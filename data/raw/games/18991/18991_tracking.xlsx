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alcChain.xml" ContentType="application/vnd.openxmlformats-officedocument.spreadsheetml.calcChain+xml"/>
  <Override PartName="/xl/python.xml" ContentType="application/vnd.ms-excel.pyth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onniepinnell/Documents/Documents - Ronnie’s MacBook Pro - 1/Programming_HD/Hockey/Benchsight/git/benchsight/data/raw/games/18991/"/>
    </mc:Choice>
  </mc:AlternateContent>
  <xr:revisionPtr revIDLastSave="0" documentId="13_ncr:1_{65A4F79A-D8C9-7A46-97EA-94AFEF8E73C1}" xr6:coauthVersionLast="47" xr6:coauthVersionMax="47" xr10:uidLastSave="{00000000-0000-0000-0000-000000000000}"/>
  <bookViews>
    <workbookView xWindow="38140" yWindow="620" windowWidth="30200" windowHeight="20980" activeTab="4" xr2:uid="{EF01C613-D165-2D4B-B5E8-CA54AD994DA8}"/>
  </bookViews>
  <sheets>
    <sheet name="examples" sheetId="9" r:id="rId1"/>
    <sheet name="Sheet1" sheetId="10" r:id="rId2"/>
    <sheet name="Rules" sheetId="5" r:id="rId3"/>
    <sheet name="Lists" sheetId="4" r:id="rId4"/>
    <sheet name="events" sheetId="1" r:id="rId5"/>
    <sheet name="shifts" sheetId="8" r:id="rId6"/>
    <sheet name="game_rosters" sheetId="11" r:id="rId7"/>
  </sheets>
  <definedNames>
    <definedName name="_xlnm._FilterDatabase" localSheetId="4" hidden="1">events!$F$1:$BS$860</definedName>
    <definedName name="DEfensive">Lists!$BL:$BL</definedName>
    <definedName name="EventType">Lists!$A$2:$A$16</definedName>
    <definedName name="Faceoff">Lists!$G$2:$G$1048576</definedName>
    <definedName name="Goal">Lists!$J$2:$J$1048576</definedName>
    <definedName name="Goal_PenaltyShot">Lists!$BA$2:$BA$1048576</definedName>
    <definedName name="Goal_Scored">Lists!$AY$2:$AY$1048576</definedName>
    <definedName name="Goal_Shootout">Lists!$AZ$2:$AZ$1048576</definedName>
    <definedName name="LoosePuck">Lists!$P$2:$P$1048576</definedName>
    <definedName name="Offensive">Lists!$BK:$BK</definedName>
    <definedName name="Pass">Lists!$I$2:$I$1048576</definedName>
    <definedName name="Pass_Completed">Lists!$R$2:$R$1048576</definedName>
    <definedName name="Pass_Deflected">Lists!$T$2:$T$1048576</definedName>
    <definedName name="Pass_Intercepted">Lists!$U$2:$U$1048576</definedName>
    <definedName name="Pass_Missed">Lists!$S$2:$S$1048576</definedName>
    <definedName name="Penalty">Lists!$M$2:$M$1048576</definedName>
    <definedName name="Penalty_Major">Lists!$AA$2:$AA$1048576</definedName>
    <definedName name="Penalty_Minor">Lists!$AB$2:$AB$1048576</definedName>
    <definedName name="Penalty_Offsetting">Lists!$AC$2:$AC$1048576</definedName>
    <definedName name="PenaltyShot_Missed">Lists!$AK$2:$AK$1048576</definedName>
    <definedName name="PenaltyShot_OnNet">Lists!$AJ$2:$AJ$1048576</definedName>
    <definedName name="PenaltyShot_Saved">Lists!$AL$2:$AL$1048576</definedName>
    <definedName name="PenaltyShot_Shootout">Lists!$N$2:$N$1048576</definedName>
    <definedName name="Play">Lists!$F:$F</definedName>
    <definedName name="Play_Defensive">Lists!$BE:$BE</definedName>
    <definedName name="Play_Offensive">Lists!$BD:$BD</definedName>
    <definedName name="Possession">Lists!$BF:$BF</definedName>
    <definedName name="Rebound">Lists!$BC$2:$BC$1048576</definedName>
    <definedName name="Save">Lists!$Q$2:$Q$1048576</definedName>
    <definedName name="Save_Freeze">Lists!$AN$2:$AN$1048576</definedName>
    <definedName name="Save_Played">Lists!$BB:$BB</definedName>
    <definedName name="Save_Rebound">Lists!$AM$2:$AM$1048576</definedName>
    <definedName name="Shootout_Missed">Lists!$AH$2:$AH$1048576</definedName>
    <definedName name="Shootout_OnNet">Lists!$AG$2:$AG$1048576</definedName>
    <definedName name="Shootout_Saved">Lists!$AI$2:$AI$1048576</definedName>
    <definedName name="Shot">Lists!$H$2:$H$1048576</definedName>
    <definedName name="Shot_Blocked">Lists!$AQ$2:$AQ$1048576</definedName>
    <definedName name="Shot_BlockedSameTeam">Lists!$AR$2:$AR$1048576</definedName>
    <definedName name="Shot_Deflected">Lists!$AS$2:$AS$1048576</definedName>
    <definedName name="Shot_DeflectedGoal">Lists!$AX$2:$AX$1048576</definedName>
    <definedName name="Shot_DeflectedOnNetSaved">Lists!$AT$2:$AT$1048576</definedName>
    <definedName name="Shot_Missed">Lists!$AP$2:$AP$1048576</definedName>
    <definedName name="Shot_MissedPost">Lists!$BH:$BH</definedName>
    <definedName name="Shot_OnNetGoal">Lists!$AV$2:$AV$1048576</definedName>
    <definedName name="Shot_OnNetSaved">Lists!$AO$2:$AO$1048576</definedName>
    <definedName name="Shot_TippedGoal">Lists!$AW$2:$AW$1048576</definedName>
    <definedName name="Shot_TippedOnNetSaved">Lists!$AU$2:$AU$1048576</definedName>
    <definedName name="Stoppage">Lists!$O$2:$O$1048576</definedName>
    <definedName name="Stoppage_Other">Lists!$AF$2:$AF$1048576</definedName>
    <definedName name="Stoppage_Period">Lists!$AE$2:$AE$1048576</definedName>
    <definedName name="Stoppage_Play">Lists!$AD$2:$AD$1048576</definedName>
    <definedName name="Turnover">Lists!$K$2:$K$1048576</definedName>
    <definedName name="Turnover_Giveaway">Lists!$V$2:$V$1048576</definedName>
    <definedName name="Turnover_Takeaway">Lists!$W$2:$W$1048576</definedName>
    <definedName name="Zone_Entry">Lists!$X$2:$X$1048576</definedName>
    <definedName name="Zone_Entry_Exit">Lists!$L$2:$L$1048576</definedName>
    <definedName name="Zone_EntryFailed">Lists!$BM:$BM</definedName>
    <definedName name="Zone_Exit">Lists!$Y$2:$Y$1048576</definedName>
    <definedName name="Zone_ExitFailed">Lists!$BN:$BN</definedName>
    <definedName name="Zone_Keepin">Lists!$Z$2:$Z$1048576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D5" i="8" l="1"/>
  <c r="AE5" i="8"/>
  <c r="AF5" i="8"/>
  <c r="AG5" i="8"/>
  <c r="AH5" i="8"/>
  <c r="AI5" i="8"/>
  <c r="AJ5" i="8"/>
  <c r="AR5" i="8" s="1"/>
  <c r="AK5" i="8"/>
  <c r="AL5" i="8"/>
  <c r="AM5" i="8"/>
  <c r="AN5" i="8"/>
  <c r="AO5" i="8"/>
  <c r="AP5" i="8"/>
  <c r="AX5" i="8" s="1"/>
  <c r="AW5" i="8" s="1"/>
  <c r="AS5" i="8"/>
  <c r="AT5" i="8"/>
  <c r="AU5" i="8"/>
  <c r="AZ5" i="8"/>
  <c r="BA5" i="8" s="1"/>
  <c r="BB5" i="8" s="1"/>
  <c r="BC5" i="8" s="1"/>
  <c r="AD6" i="8"/>
  <c r="AD7" i="8" s="1"/>
  <c r="AE6" i="8"/>
  <c r="AE7" i="8" s="1"/>
  <c r="AE8" i="8" s="1"/>
  <c r="AE9" i="8" s="1"/>
  <c r="AE10" i="8" s="1"/>
  <c r="AE11" i="8" s="1"/>
  <c r="AE12" i="8" s="1"/>
  <c r="AE13" i="8" s="1"/>
  <c r="AF6" i="8"/>
  <c r="AG6" i="8"/>
  <c r="AH6" i="8"/>
  <c r="AI6" i="8"/>
  <c r="AJ6" i="8"/>
  <c r="AN6" i="8" s="1"/>
  <c r="AP6" i="8" s="1"/>
  <c r="AX6" i="8" s="1"/>
  <c r="AW6" i="8" s="1"/>
  <c r="AK6" i="8"/>
  <c r="AL6" i="8"/>
  <c r="AM6" i="8"/>
  <c r="AO6" i="8"/>
  <c r="AQ6" i="8"/>
  <c r="AR6" i="8"/>
  <c r="AS6" i="8"/>
  <c r="AT6" i="8"/>
  <c r="AT7" i="8" s="1"/>
  <c r="AU6" i="8"/>
  <c r="AU7" i="8" s="1"/>
  <c r="AV6" i="8"/>
  <c r="AY6" i="8"/>
  <c r="AZ6" i="8"/>
  <c r="BA6" i="8" s="1"/>
  <c r="BB6" i="8" s="1"/>
  <c r="AF7" i="8"/>
  <c r="AF8" i="8" s="1"/>
  <c r="AF9" i="8" s="1"/>
  <c r="AF10" i="8" s="1"/>
  <c r="AF11" i="8" s="1"/>
  <c r="AF12" i="8" s="1"/>
  <c r="AF13" i="8" s="1"/>
  <c r="AF14" i="8" s="1"/>
  <c r="AF15" i="8" s="1"/>
  <c r="AF16" i="8" s="1"/>
  <c r="AF17" i="8" s="1"/>
  <c r="AF18" i="8" s="1"/>
  <c r="AF19" i="8" s="1"/>
  <c r="AF20" i="8" s="1"/>
  <c r="AF21" i="8" s="1"/>
  <c r="AF22" i="8" s="1"/>
  <c r="AF23" i="8" s="1"/>
  <c r="AF24" i="8" s="1"/>
  <c r="AF25" i="8" s="1"/>
  <c r="AF26" i="8" s="1"/>
  <c r="AF27" i="8" s="1"/>
  <c r="AF28" i="8" s="1"/>
  <c r="AF29" i="8" s="1"/>
  <c r="AF30" i="8" s="1"/>
  <c r="AF31" i="8" s="1"/>
  <c r="AF32" i="8" s="1"/>
  <c r="AF33" i="8" s="1"/>
  <c r="AF34" i="8" s="1"/>
  <c r="AF35" i="8" s="1"/>
  <c r="AF36" i="8" s="1"/>
  <c r="AF37" i="8" s="1"/>
  <c r="AF38" i="8" s="1"/>
  <c r="AF39" i="8" s="1"/>
  <c r="AF40" i="8" s="1"/>
  <c r="AF41" i="8" s="1"/>
  <c r="AF42" i="8" s="1"/>
  <c r="AF43" i="8" s="1"/>
  <c r="AF44" i="8" s="1"/>
  <c r="AF45" i="8" s="1"/>
  <c r="AF46" i="8" s="1"/>
  <c r="AF47" i="8" s="1"/>
  <c r="AF48" i="8" s="1"/>
  <c r="AF49" i="8" s="1"/>
  <c r="AF50" i="8" s="1"/>
  <c r="AF51" i="8" s="1"/>
  <c r="AF52" i="8" s="1"/>
  <c r="AF53" i="8" s="1"/>
  <c r="AF54" i="8" s="1"/>
  <c r="AF55" i="8" s="1"/>
  <c r="AF56" i="8" s="1"/>
  <c r="AF57" i="8" s="1"/>
  <c r="AF58" i="8" s="1"/>
  <c r="AF59" i="8" s="1"/>
  <c r="AF60" i="8" s="1"/>
  <c r="AF61" i="8" s="1"/>
  <c r="AF62" i="8" s="1"/>
  <c r="AF63" i="8" s="1"/>
  <c r="AF64" i="8" s="1"/>
  <c r="AF65" i="8" s="1"/>
  <c r="AF66" i="8" s="1"/>
  <c r="AF67" i="8" s="1"/>
  <c r="AF68" i="8" s="1"/>
  <c r="AF69" i="8" s="1"/>
  <c r="AF70" i="8" s="1"/>
  <c r="AF71" i="8" s="1"/>
  <c r="AF72" i="8" s="1"/>
  <c r="AF73" i="8" s="1"/>
  <c r="AF74" i="8" s="1"/>
  <c r="AF75" i="8" s="1"/>
  <c r="AG7" i="8"/>
  <c r="AH7" i="8"/>
  <c r="AJ7" i="8"/>
  <c r="AK7" i="8"/>
  <c r="AL7" i="8"/>
  <c r="AM7" i="8"/>
  <c r="AZ7" i="8"/>
  <c r="BA7" i="8"/>
  <c r="BB7" i="8" s="1"/>
  <c r="AD8" i="8"/>
  <c r="AD9" i="8" s="1"/>
  <c r="AD10" i="8" s="1"/>
  <c r="AD11" i="8" s="1"/>
  <c r="AD12" i="8" s="1"/>
  <c r="AG8" i="8"/>
  <c r="AI8" i="8" s="1"/>
  <c r="AH8" i="8"/>
  <c r="AJ8" i="8"/>
  <c r="AK8" i="8"/>
  <c r="AL8" i="8"/>
  <c r="AS8" i="8" s="1"/>
  <c r="AM8" i="8"/>
  <c r="AN8" i="8"/>
  <c r="AO8" i="8"/>
  <c r="AQ8" i="8" s="1"/>
  <c r="AP8" i="8"/>
  <c r="AX8" i="8" s="1"/>
  <c r="AW8" i="8" s="1"/>
  <c r="AR8" i="8"/>
  <c r="AT8" i="8"/>
  <c r="AT9" i="8" s="1"/>
  <c r="AT10" i="8" s="1"/>
  <c r="AT11" i="8" s="1"/>
  <c r="AT12" i="8" s="1"/>
  <c r="AT13" i="8" s="1"/>
  <c r="AT14" i="8" s="1"/>
  <c r="AT15" i="8" s="1"/>
  <c r="AT16" i="8" s="1"/>
  <c r="AT17" i="8" s="1"/>
  <c r="AT18" i="8" s="1"/>
  <c r="AT19" i="8" s="1"/>
  <c r="AT20" i="8" s="1"/>
  <c r="AT21" i="8" s="1"/>
  <c r="AT22" i="8" s="1"/>
  <c r="AT23" i="8" s="1"/>
  <c r="AT24" i="8" s="1"/>
  <c r="AT25" i="8" s="1"/>
  <c r="AT26" i="8" s="1"/>
  <c r="AT27" i="8" s="1"/>
  <c r="AT28" i="8" s="1"/>
  <c r="AT29" i="8" s="1"/>
  <c r="AT30" i="8" s="1"/>
  <c r="AT31" i="8" s="1"/>
  <c r="AT32" i="8" s="1"/>
  <c r="AT33" i="8" s="1"/>
  <c r="AT34" i="8" s="1"/>
  <c r="AT35" i="8" s="1"/>
  <c r="AT36" i="8" s="1"/>
  <c r="AT37" i="8" s="1"/>
  <c r="AT38" i="8" s="1"/>
  <c r="AT39" i="8" s="1"/>
  <c r="AT40" i="8" s="1"/>
  <c r="AT41" i="8" s="1"/>
  <c r="AT42" i="8" s="1"/>
  <c r="AT43" i="8" s="1"/>
  <c r="AT44" i="8" s="1"/>
  <c r="AT45" i="8" s="1"/>
  <c r="AT46" i="8" s="1"/>
  <c r="AT47" i="8" s="1"/>
  <c r="AT48" i="8" s="1"/>
  <c r="AT49" i="8" s="1"/>
  <c r="AT50" i="8" s="1"/>
  <c r="AT51" i="8" s="1"/>
  <c r="AT52" i="8" s="1"/>
  <c r="AT53" i="8" s="1"/>
  <c r="AT54" i="8" s="1"/>
  <c r="AT55" i="8" s="1"/>
  <c r="AT56" i="8" s="1"/>
  <c r="AT57" i="8" s="1"/>
  <c r="AT58" i="8" s="1"/>
  <c r="AT59" i="8" s="1"/>
  <c r="AT60" i="8" s="1"/>
  <c r="AT61" i="8" s="1"/>
  <c r="AT62" i="8" s="1"/>
  <c r="AT63" i="8" s="1"/>
  <c r="AT64" i="8" s="1"/>
  <c r="AT65" i="8" s="1"/>
  <c r="AT66" i="8" s="1"/>
  <c r="AT67" i="8" s="1"/>
  <c r="AT68" i="8" s="1"/>
  <c r="AT69" i="8" s="1"/>
  <c r="AT70" i="8" s="1"/>
  <c r="AT71" i="8" s="1"/>
  <c r="AT72" i="8" s="1"/>
  <c r="AT73" i="8" s="1"/>
  <c r="AT74" i="8" s="1"/>
  <c r="AT75" i="8" s="1"/>
  <c r="AT76" i="8" s="1"/>
  <c r="AT77" i="8" s="1"/>
  <c r="AT78" i="8" s="1"/>
  <c r="AT79" i="8" s="1"/>
  <c r="AU8" i="8"/>
  <c r="AU9" i="8" s="1"/>
  <c r="AU10" i="8" s="1"/>
  <c r="AU11" i="8" s="1"/>
  <c r="AU12" i="8" s="1"/>
  <c r="AU13" i="8" s="1"/>
  <c r="AU14" i="8" s="1"/>
  <c r="AU15" i="8" s="1"/>
  <c r="AU16" i="8" s="1"/>
  <c r="AU17" i="8" s="1"/>
  <c r="AU18" i="8" s="1"/>
  <c r="AU19" i="8" s="1"/>
  <c r="AU20" i="8" s="1"/>
  <c r="AU21" i="8" s="1"/>
  <c r="AU22" i="8" s="1"/>
  <c r="AU23" i="8" s="1"/>
  <c r="AU24" i="8" s="1"/>
  <c r="AU25" i="8" s="1"/>
  <c r="AU26" i="8" s="1"/>
  <c r="AU27" i="8" s="1"/>
  <c r="AU28" i="8" s="1"/>
  <c r="AU29" i="8" s="1"/>
  <c r="AU30" i="8" s="1"/>
  <c r="AU31" i="8" s="1"/>
  <c r="AU32" i="8" s="1"/>
  <c r="AU33" i="8" s="1"/>
  <c r="AU34" i="8" s="1"/>
  <c r="AU35" i="8" s="1"/>
  <c r="AU36" i="8" s="1"/>
  <c r="AU37" i="8" s="1"/>
  <c r="AU38" i="8" s="1"/>
  <c r="AU39" i="8" s="1"/>
  <c r="AU40" i="8" s="1"/>
  <c r="AU41" i="8" s="1"/>
  <c r="AU42" i="8" s="1"/>
  <c r="AU43" i="8" s="1"/>
  <c r="AU44" i="8" s="1"/>
  <c r="AU45" i="8" s="1"/>
  <c r="AU46" i="8" s="1"/>
  <c r="AU47" i="8" s="1"/>
  <c r="AU48" i="8" s="1"/>
  <c r="AU49" i="8" s="1"/>
  <c r="AU50" i="8" s="1"/>
  <c r="AU51" i="8" s="1"/>
  <c r="AU52" i="8" s="1"/>
  <c r="AU53" i="8" s="1"/>
  <c r="AU54" i="8" s="1"/>
  <c r="AU55" i="8" s="1"/>
  <c r="AU56" i="8" s="1"/>
  <c r="AU57" i="8" s="1"/>
  <c r="AU58" i="8" s="1"/>
  <c r="AU59" i="8" s="1"/>
  <c r="AU60" i="8" s="1"/>
  <c r="AU61" i="8" s="1"/>
  <c r="AU62" i="8" s="1"/>
  <c r="AU63" i="8" s="1"/>
  <c r="AU64" i="8" s="1"/>
  <c r="AU65" i="8" s="1"/>
  <c r="AU66" i="8" s="1"/>
  <c r="AU67" i="8" s="1"/>
  <c r="AU68" i="8" s="1"/>
  <c r="AU69" i="8" s="1"/>
  <c r="AU70" i="8" s="1"/>
  <c r="AU71" i="8" s="1"/>
  <c r="AU72" i="8" s="1"/>
  <c r="AU73" i="8" s="1"/>
  <c r="AU74" i="8" s="1"/>
  <c r="AU75" i="8" s="1"/>
  <c r="AU76" i="8" s="1"/>
  <c r="AU77" i="8" s="1"/>
  <c r="AU78" i="8" s="1"/>
  <c r="AU79" i="8" s="1"/>
  <c r="AV8" i="8"/>
  <c r="AY8" i="8" s="1"/>
  <c r="AZ8" i="8"/>
  <c r="BA8" i="8"/>
  <c r="BB8" i="8"/>
  <c r="AG9" i="8"/>
  <c r="AH9" i="8"/>
  <c r="AJ9" i="8"/>
  <c r="AK9" i="8"/>
  <c r="AL9" i="8"/>
  <c r="AM9" i="8"/>
  <c r="AR9" i="8"/>
  <c r="AS9" i="8"/>
  <c r="AZ9" i="8"/>
  <c r="BA9" i="8" s="1"/>
  <c r="BB9" i="8" s="1"/>
  <c r="AG10" i="8"/>
  <c r="AH10" i="8"/>
  <c r="AI10" i="8"/>
  <c r="AJ10" i="8"/>
  <c r="AK10" i="8"/>
  <c r="AL10" i="8"/>
  <c r="AM10" i="8"/>
  <c r="AR10" i="8" s="1"/>
  <c r="AZ10" i="8"/>
  <c r="BA10" i="8" s="1"/>
  <c r="BB10" i="8" s="1"/>
  <c r="BC10" i="8" s="1"/>
  <c r="AG11" i="8"/>
  <c r="AI11" i="8" s="1"/>
  <c r="AH11" i="8"/>
  <c r="AJ11" i="8"/>
  <c r="AK11" i="8"/>
  <c r="AL11" i="8"/>
  <c r="AM11" i="8"/>
  <c r="AN11" i="8"/>
  <c r="AO11" i="8"/>
  <c r="AQ11" i="8" s="1"/>
  <c r="AP11" i="8"/>
  <c r="AX11" i="8" s="1"/>
  <c r="AW11" i="8" s="1"/>
  <c r="AR11" i="8"/>
  <c r="AS11" i="8"/>
  <c r="AZ11" i="8"/>
  <c r="BA11" i="8" s="1"/>
  <c r="BB11" i="8" s="1"/>
  <c r="BC11" i="8" s="1"/>
  <c r="AG12" i="8"/>
  <c r="AI12" i="8" s="1"/>
  <c r="AH12" i="8"/>
  <c r="AJ12" i="8"/>
  <c r="AR12" i="8" s="1"/>
  <c r="AK12" i="8"/>
  <c r="AL12" i="8"/>
  <c r="AM12" i="8"/>
  <c r="AZ12" i="8"/>
  <c r="BA12" i="8" s="1"/>
  <c r="BB12" i="8"/>
  <c r="BC12" i="8"/>
  <c r="AD13" i="8"/>
  <c r="AD14" i="8" s="1"/>
  <c r="AD15" i="8" s="1"/>
  <c r="AD16" i="8" s="1"/>
  <c r="AD17" i="8" s="1"/>
  <c r="AD18" i="8" s="1"/>
  <c r="AD19" i="8" s="1"/>
  <c r="AD20" i="8" s="1"/>
  <c r="AD21" i="8" s="1"/>
  <c r="AD22" i="8" s="1"/>
  <c r="AD23" i="8" s="1"/>
  <c r="AD24" i="8" s="1"/>
  <c r="AD25" i="8" s="1"/>
  <c r="AD26" i="8" s="1"/>
  <c r="AD27" i="8" s="1"/>
  <c r="AD28" i="8" s="1"/>
  <c r="AD29" i="8" s="1"/>
  <c r="AD30" i="8" s="1"/>
  <c r="AD31" i="8" s="1"/>
  <c r="AD32" i="8" s="1"/>
  <c r="AD33" i="8" s="1"/>
  <c r="AD34" i="8" s="1"/>
  <c r="AD35" i="8" s="1"/>
  <c r="AD36" i="8" s="1"/>
  <c r="AD37" i="8" s="1"/>
  <c r="AD38" i="8" s="1"/>
  <c r="AD39" i="8" s="1"/>
  <c r="AD40" i="8" s="1"/>
  <c r="AD41" i="8" s="1"/>
  <c r="AD42" i="8" s="1"/>
  <c r="AD43" i="8" s="1"/>
  <c r="AD44" i="8" s="1"/>
  <c r="AD45" i="8" s="1"/>
  <c r="AD46" i="8" s="1"/>
  <c r="AD47" i="8" s="1"/>
  <c r="AD48" i="8" s="1"/>
  <c r="AD49" i="8" s="1"/>
  <c r="AD50" i="8" s="1"/>
  <c r="AD51" i="8" s="1"/>
  <c r="AD52" i="8" s="1"/>
  <c r="AD53" i="8" s="1"/>
  <c r="AD54" i="8" s="1"/>
  <c r="AD55" i="8" s="1"/>
  <c r="AD56" i="8" s="1"/>
  <c r="AD57" i="8" s="1"/>
  <c r="AD58" i="8" s="1"/>
  <c r="AD59" i="8" s="1"/>
  <c r="AD60" i="8" s="1"/>
  <c r="AG13" i="8"/>
  <c r="AH13" i="8"/>
  <c r="AI13" i="8"/>
  <c r="AJ13" i="8"/>
  <c r="AK13" i="8"/>
  <c r="AN13" i="8" s="1"/>
  <c r="AP13" i="8" s="1"/>
  <c r="AX13" i="8" s="1"/>
  <c r="AW13" i="8" s="1"/>
  <c r="AL13" i="8"/>
  <c r="AM13" i="8"/>
  <c r="AO13" i="8"/>
  <c r="AR13" i="8"/>
  <c r="AS13" i="8"/>
  <c r="AZ13" i="8"/>
  <c r="BA13" i="8" s="1"/>
  <c r="BB13" i="8" s="1"/>
  <c r="BC13" i="8" s="1"/>
  <c r="AE14" i="8"/>
  <c r="AE15" i="8" s="1"/>
  <c r="AE16" i="8" s="1"/>
  <c r="AE17" i="8" s="1"/>
  <c r="AE18" i="8" s="1"/>
  <c r="AE19" i="8" s="1"/>
  <c r="AE20" i="8" s="1"/>
  <c r="AE21" i="8" s="1"/>
  <c r="AE22" i="8" s="1"/>
  <c r="AE23" i="8" s="1"/>
  <c r="AE24" i="8" s="1"/>
  <c r="AE25" i="8" s="1"/>
  <c r="AE26" i="8" s="1"/>
  <c r="AE27" i="8" s="1"/>
  <c r="AE28" i="8" s="1"/>
  <c r="AE29" i="8" s="1"/>
  <c r="AE30" i="8" s="1"/>
  <c r="AE31" i="8" s="1"/>
  <c r="AE32" i="8" s="1"/>
  <c r="AE33" i="8" s="1"/>
  <c r="AE34" i="8" s="1"/>
  <c r="AE35" i="8" s="1"/>
  <c r="AE36" i="8" s="1"/>
  <c r="AE37" i="8" s="1"/>
  <c r="AG14" i="8"/>
  <c r="AH14" i="8"/>
  <c r="AI14" i="8"/>
  <c r="AJ14" i="8"/>
  <c r="AK14" i="8"/>
  <c r="AL14" i="8"/>
  <c r="AM14" i="8"/>
  <c r="AR14" i="8"/>
  <c r="AS14" i="8"/>
  <c r="AZ14" i="8"/>
  <c r="BA14" i="8" s="1"/>
  <c r="BB14" i="8" s="1"/>
  <c r="BC14" i="8" s="1"/>
  <c r="AG15" i="8"/>
  <c r="AH15" i="8"/>
  <c r="AI15" i="8"/>
  <c r="AJ15" i="8"/>
  <c r="AK15" i="8"/>
  <c r="AL15" i="8"/>
  <c r="AS15" i="8" s="1"/>
  <c r="AM15" i="8"/>
  <c r="AN15" i="8"/>
  <c r="AO15" i="8"/>
  <c r="AP15" i="8"/>
  <c r="AX15" i="8" s="1"/>
  <c r="AW15" i="8" s="1"/>
  <c r="AZ15" i="8"/>
  <c r="BA15" i="8" s="1"/>
  <c r="BB15" i="8" s="1"/>
  <c r="BC15" i="8" s="1"/>
  <c r="AG16" i="8"/>
  <c r="AI16" i="8" s="1"/>
  <c r="AH16" i="8"/>
  <c r="AJ16" i="8"/>
  <c r="AK16" i="8"/>
  <c r="AL16" i="8"/>
  <c r="AM16" i="8"/>
  <c r="AZ16" i="8"/>
  <c r="BA16" i="8"/>
  <c r="BB16" i="8"/>
  <c r="BC16" i="8"/>
  <c r="AG17" i="8"/>
  <c r="AI17" i="8" s="1"/>
  <c r="AH17" i="8"/>
  <c r="AJ17" i="8"/>
  <c r="AK17" i="8"/>
  <c r="AL17" i="8"/>
  <c r="AM17" i="8"/>
  <c r="AZ17" i="8"/>
  <c r="BA17" i="8"/>
  <c r="BB17" i="8" s="1"/>
  <c r="BC17" i="8" s="1"/>
  <c r="AG18" i="8"/>
  <c r="AH18" i="8"/>
  <c r="AI18" i="8"/>
  <c r="AJ18" i="8"/>
  <c r="AK18" i="8"/>
  <c r="AN18" i="8" s="1"/>
  <c r="AP18" i="8" s="1"/>
  <c r="AX18" i="8" s="1"/>
  <c r="AW18" i="8" s="1"/>
  <c r="AL18" i="8"/>
  <c r="AM18" i="8"/>
  <c r="AR18" i="8"/>
  <c r="AZ18" i="8"/>
  <c r="BA18" i="8"/>
  <c r="BB18" i="8" s="1"/>
  <c r="AG19" i="8"/>
  <c r="AI19" i="8" s="1"/>
  <c r="AH19" i="8"/>
  <c r="AJ19" i="8"/>
  <c r="AK19" i="8"/>
  <c r="AL19" i="8"/>
  <c r="AM19" i="8"/>
  <c r="AN19" i="8"/>
  <c r="AO19" i="8"/>
  <c r="AP19" i="8"/>
  <c r="AX19" i="8" s="1"/>
  <c r="AW19" i="8" s="1"/>
  <c r="AQ19" i="8"/>
  <c r="AR19" i="8"/>
  <c r="AS19" i="8"/>
  <c r="AV19" i="8"/>
  <c r="AY19" i="8" s="1"/>
  <c r="AZ19" i="8"/>
  <c r="BA19" i="8" s="1"/>
  <c r="BB19" i="8" s="1"/>
  <c r="BC19" i="8" s="1"/>
  <c r="AG20" i="8"/>
  <c r="AI20" i="8" s="1"/>
  <c r="BC20" i="8" s="1"/>
  <c r="AH20" i="8"/>
  <c r="AJ20" i="8"/>
  <c r="AK20" i="8"/>
  <c r="AL20" i="8"/>
  <c r="AM20" i="8"/>
  <c r="AZ20" i="8"/>
  <c r="BA20" i="8" s="1"/>
  <c r="BB20" i="8"/>
  <c r="AG21" i="8"/>
  <c r="AH21" i="8"/>
  <c r="AI21" i="8"/>
  <c r="BC21" i="8" s="1"/>
  <c r="AJ21" i="8"/>
  <c r="AR21" i="8" s="1"/>
  <c r="AK21" i="8"/>
  <c r="AL21" i="8"/>
  <c r="AM21" i="8"/>
  <c r="AZ21" i="8"/>
  <c r="BA21" i="8" s="1"/>
  <c r="BB21" i="8" s="1"/>
  <c r="AG22" i="8"/>
  <c r="AH22" i="8"/>
  <c r="AI22" i="8" s="1"/>
  <c r="AJ22" i="8"/>
  <c r="AN22" i="8" s="1"/>
  <c r="AK22" i="8"/>
  <c r="AL22" i="8"/>
  <c r="AM22" i="8"/>
  <c r="AO22" i="8"/>
  <c r="AP22" i="8"/>
  <c r="AX22" i="8" s="1"/>
  <c r="AW22" i="8" s="1"/>
  <c r="AQ22" i="8"/>
  <c r="AR22" i="8"/>
  <c r="AS22" i="8"/>
  <c r="AV22" i="8"/>
  <c r="AY22" i="8"/>
  <c r="AZ22" i="8"/>
  <c r="BA22" i="8" s="1"/>
  <c r="BB22" i="8" s="1"/>
  <c r="BC22" i="8" s="1"/>
  <c r="AG23" i="8"/>
  <c r="AH23" i="8"/>
  <c r="AI23" i="8"/>
  <c r="AJ23" i="8"/>
  <c r="AK23" i="8"/>
  <c r="AL23" i="8"/>
  <c r="AS23" i="8" s="1"/>
  <c r="AM23" i="8"/>
  <c r="AN23" i="8"/>
  <c r="AO23" i="8"/>
  <c r="AP23" i="8"/>
  <c r="AW23" i="8"/>
  <c r="AX23" i="8"/>
  <c r="AZ23" i="8"/>
  <c r="BA23" i="8" s="1"/>
  <c r="BB23" i="8" s="1"/>
  <c r="BC23" i="8" s="1"/>
  <c r="AG24" i="8"/>
  <c r="AI24" i="8" s="1"/>
  <c r="AH24" i="8"/>
  <c r="AJ24" i="8"/>
  <c r="AK24" i="8"/>
  <c r="AL24" i="8"/>
  <c r="AM24" i="8"/>
  <c r="AO24" i="8"/>
  <c r="AZ24" i="8"/>
  <c r="BA24" i="8"/>
  <c r="BB24" i="8"/>
  <c r="BC24" i="8" s="1"/>
  <c r="AG25" i="8"/>
  <c r="AI25" i="8" s="1"/>
  <c r="AH25" i="8"/>
  <c r="AJ25" i="8"/>
  <c r="AK25" i="8"/>
  <c r="AL25" i="8"/>
  <c r="AM25" i="8"/>
  <c r="AZ25" i="8"/>
  <c r="BA25" i="8"/>
  <c r="BB25" i="8"/>
  <c r="BC25" i="8" s="1"/>
  <c r="AG26" i="8"/>
  <c r="AH26" i="8"/>
  <c r="AI26" i="8" s="1"/>
  <c r="BC26" i="8" s="1"/>
  <c r="AJ26" i="8"/>
  <c r="AK26" i="8"/>
  <c r="AN26" i="8" s="1"/>
  <c r="AP26" i="8" s="1"/>
  <c r="AX26" i="8" s="1"/>
  <c r="AW26" i="8" s="1"/>
  <c r="AL26" i="8"/>
  <c r="AM26" i="8"/>
  <c r="AR26" i="8"/>
  <c r="AZ26" i="8"/>
  <c r="BA26" i="8"/>
  <c r="BB26" i="8" s="1"/>
  <c r="AG27" i="8"/>
  <c r="AI27" i="8" s="1"/>
  <c r="AH27" i="8"/>
  <c r="AJ27" i="8"/>
  <c r="AK27" i="8"/>
  <c r="AL27" i="8"/>
  <c r="AM27" i="8"/>
  <c r="AN27" i="8"/>
  <c r="AO27" i="8"/>
  <c r="AP27" i="8"/>
  <c r="AX27" i="8" s="1"/>
  <c r="AQ27" i="8"/>
  <c r="AR27" i="8"/>
  <c r="AS27" i="8"/>
  <c r="AV27" i="8"/>
  <c r="AY27" i="8" s="1"/>
  <c r="AW27" i="8"/>
  <c r="AZ27" i="8"/>
  <c r="BA27" i="8" s="1"/>
  <c r="BB27" i="8" s="1"/>
  <c r="BC27" i="8" s="1"/>
  <c r="AG28" i="8"/>
  <c r="AI28" i="8" s="1"/>
  <c r="BC28" i="8" s="1"/>
  <c r="AH28" i="8"/>
  <c r="AJ28" i="8"/>
  <c r="AK28" i="8"/>
  <c r="AL28" i="8"/>
  <c r="AS28" i="8" s="1"/>
  <c r="AM28" i="8"/>
  <c r="AZ28" i="8"/>
  <c r="BA28" i="8" s="1"/>
  <c r="BB28" i="8"/>
  <c r="AG29" i="8"/>
  <c r="AH29" i="8"/>
  <c r="AI29" i="8"/>
  <c r="AJ29" i="8"/>
  <c r="AK29" i="8"/>
  <c r="AL29" i="8"/>
  <c r="AM29" i="8"/>
  <c r="AZ29" i="8"/>
  <c r="BA29" i="8" s="1"/>
  <c r="BB29" i="8" s="1"/>
  <c r="BC29" i="8"/>
  <c r="AG30" i="8"/>
  <c r="AH30" i="8"/>
  <c r="AI30" i="8" s="1"/>
  <c r="AJ30" i="8"/>
  <c r="AN30" i="8" s="1"/>
  <c r="AK30" i="8"/>
  <c r="AL30" i="8"/>
  <c r="AM30" i="8"/>
  <c r="AO30" i="8"/>
  <c r="AP30" i="8"/>
  <c r="AX30" i="8" s="1"/>
  <c r="AW30" i="8" s="1"/>
  <c r="AQ30" i="8"/>
  <c r="AR30" i="8"/>
  <c r="AS30" i="8"/>
  <c r="AV30" i="8"/>
  <c r="AY30" i="8"/>
  <c r="AZ30" i="8"/>
  <c r="BA30" i="8" s="1"/>
  <c r="BB30" i="8" s="1"/>
  <c r="BC30" i="8" s="1"/>
  <c r="AG31" i="8"/>
  <c r="AH31" i="8"/>
  <c r="AI31" i="8"/>
  <c r="AJ31" i="8"/>
  <c r="AK31" i="8"/>
  <c r="AL31" i="8"/>
  <c r="AS31" i="8" s="1"/>
  <c r="AM31" i="8"/>
  <c r="AN31" i="8"/>
  <c r="AO31" i="8"/>
  <c r="AP31" i="8"/>
  <c r="AX31" i="8"/>
  <c r="AW31" i="8" s="1"/>
  <c r="AZ31" i="8"/>
  <c r="BA31" i="8" s="1"/>
  <c r="BB31" i="8" s="1"/>
  <c r="BC31" i="8" s="1"/>
  <c r="AG32" i="8"/>
  <c r="AI32" i="8" s="1"/>
  <c r="AH32" i="8"/>
  <c r="AJ32" i="8"/>
  <c r="AK32" i="8"/>
  <c r="AL32" i="8"/>
  <c r="AM32" i="8"/>
  <c r="AZ32" i="8"/>
  <c r="BA32" i="8"/>
  <c r="BB32" i="8"/>
  <c r="BC32" i="8" s="1"/>
  <c r="AG33" i="8"/>
  <c r="AI33" i="8" s="1"/>
  <c r="AH33" i="8"/>
  <c r="AJ33" i="8"/>
  <c r="AK33" i="8"/>
  <c r="AL33" i="8"/>
  <c r="AM33" i="8"/>
  <c r="AZ33" i="8"/>
  <c r="BA33" i="8"/>
  <c r="BB33" i="8"/>
  <c r="BC33" i="8" s="1"/>
  <c r="AG34" i="8"/>
  <c r="AH34" i="8"/>
  <c r="AI34" i="8"/>
  <c r="AJ34" i="8"/>
  <c r="AK34" i="8"/>
  <c r="AN34" i="8" s="1"/>
  <c r="AP34" i="8" s="1"/>
  <c r="AX34" i="8" s="1"/>
  <c r="AW34" i="8" s="1"/>
  <c r="AL34" i="8"/>
  <c r="AM34" i="8"/>
  <c r="AR34" i="8"/>
  <c r="AZ34" i="8"/>
  <c r="BA34" i="8"/>
  <c r="BB34" i="8" s="1"/>
  <c r="BC34" i="8"/>
  <c r="AG35" i="8"/>
  <c r="AI35" i="8" s="1"/>
  <c r="AH35" i="8"/>
  <c r="AJ35" i="8"/>
  <c r="AK35" i="8"/>
  <c r="AL35" i="8"/>
  <c r="AM35" i="8"/>
  <c r="AN35" i="8"/>
  <c r="AP35" i="8" s="1"/>
  <c r="AX35" i="8" s="1"/>
  <c r="AO35" i="8"/>
  <c r="AQ35" i="8"/>
  <c r="AR35" i="8"/>
  <c r="AS35" i="8"/>
  <c r="AV35" i="8"/>
  <c r="AY35" i="8" s="1"/>
  <c r="AW35" i="8"/>
  <c r="AZ35" i="8"/>
  <c r="BA35" i="8" s="1"/>
  <c r="AG36" i="8"/>
  <c r="AI36" i="8" s="1"/>
  <c r="AH36" i="8"/>
  <c r="AJ36" i="8"/>
  <c r="AK36" i="8"/>
  <c r="AL36" i="8"/>
  <c r="AM36" i="8"/>
  <c r="AZ36" i="8"/>
  <c r="AG37" i="8"/>
  <c r="AH37" i="8"/>
  <c r="AI37" i="8"/>
  <c r="AJ37" i="8"/>
  <c r="AK37" i="8"/>
  <c r="AL37" i="8"/>
  <c r="AM37" i="8"/>
  <c r="AZ37" i="8"/>
  <c r="BA37" i="8" s="1"/>
  <c r="BB37" i="8" s="1"/>
  <c r="BC37" i="8" s="1"/>
  <c r="AE38" i="8"/>
  <c r="AE39" i="8" s="1"/>
  <c r="AE40" i="8" s="1"/>
  <c r="AE41" i="8" s="1"/>
  <c r="AE42" i="8" s="1"/>
  <c r="AE43" i="8" s="1"/>
  <c r="AE44" i="8" s="1"/>
  <c r="AE45" i="8" s="1"/>
  <c r="AE46" i="8" s="1"/>
  <c r="AE47" i="8" s="1"/>
  <c r="AE48" i="8" s="1"/>
  <c r="AE49" i="8" s="1"/>
  <c r="AE50" i="8" s="1"/>
  <c r="AE51" i="8" s="1"/>
  <c r="AG38" i="8"/>
  <c r="AH38" i="8"/>
  <c r="AJ38" i="8"/>
  <c r="AN38" i="8" s="1"/>
  <c r="AK38" i="8"/>
  <c r="AL38" i="8"/>
  <c r="AM38" i="8"/>
  <c r="AO38" i="8"/>
  <c r="AP38" i="8"/>
  <c r="AQ38" i="8"/>
  <c r="AR38" i="8"/>
  <c r="AS38" i="8"/>
  <c r="AV38" i="8"/>
  <c r="AX38" i="8"/>
  <c r="AW38" i="8" s="1"/>
  <c r="AY38" i="8"/>
  <c r="AZ38" i="8"/>
  <c r="BA38" i="8" s="1"/>
  <c r="BB38" i="8" s="1"/>
  <c r="AG39" i="8"/>
  <c r="AI39" i="8" s="1"/>
  <c r="AH39" i="8"/>
  <c r="AJ39" i="8"/>
  <c r="AK39" i="8"/>
  <c r="AL39" i="8"/>
  <c r="AM39" i="8"/>
  <c r="AN39" i="8"/>
  <c r="AO39" i="8"/>
  <c r="AQ39" i="8" s="1"/>
  <c r="AP39" i="8"/>
  <c r="AX39" i="8" s="1"/>
  <c r="AV39" i="8"/>
  <c r="AY39" i="8" s="1"/>
  <c r="AW39" i="8"/>
  <c r="AZ39" i="8"/>
  <c r="BA39" i="8"/>
  <c r="BB39" i="8" s="1"/>
  <c r="BC39" i="8" s="1"/>
  <c r="AG40" i="8"/>
  <c r="AI40" i="8" s="1"/>
  <c r="AH40" i="8"/>
  <c r="AJ40" i="8"/>
  <c r="AK40" i="8"/>
  <c r="AL40" i="8"/>
  <c r="AM40" i="8"/>
  <c r="AN40" i="8"/>
  <c r="AP40" i="8" s="1"/>
  <c r="AX40" i="8" s="1"/>
  <c r="AW40" i="8" s="1"/>
  <c r="AZ40" i="8"/>
  <c r="BA40" i="8"/>
  <c r="BB40" i="8"/>
  <c r="BC40" i="8"/>
  <c r="AG41" i="8"/>
  <c r="AI41" i="8" s="1"/>
  <c r="AH41" i="8"/>
  <c r="AJ41" i="8"/>
  <c r="AK41" i="8"/>
  <c r="AR41" i="8" s="1"/>
  <c r="AL41" i="8"/>
  <c r="AM41" i="8"/>
  <c r="AS41" i="8"/>
  <c r="AZ41" i="8"/>
  <c r="BA41" i="8" s="1"/>
  <c r="BB41" i="8" s="1"/>
  <c r="BC41" i="8" s="1"/>
  <c r="AG42" i="8"/>
  <c r="AH42" i="8"/>
  <c r="AI42" i="8"/>
  <c r="AJ42" i="8"/>
  <c r="AN42" i="8" s="1"/>
  <c r="AP42" i="8" s="1"/>
  <c r="AX42" i="8" s="1"/>
  <c r="AW42" i="8" s="1"/>
  <c r="AK42" i="8"/>
  <c r="AL42" i="8"/>
  <c r="AM42" i="8"/>
  <c r="AZ42" i="8"/>
  <c r="BA42" i="8" s="1"/>
  <c r="BB42" i="8" s="1"/>
  <c r="BC42" i="8" s="1"/>
  <c r="AG43" i="8"/>
  <c r="AH43" i="8"/>
  <c r="AJ43" i="8"/>
  <c r="AK43" i="8"/>
  <c r="AL43" i="8"/>
  <c r="AM43" i="8"/>
  <c r="AZ43" i="8"/>
  <c r="BA43" i="8" s="1"/>
  <c r="BB43" i="8" s="1"/>
  <c r="AG44" i="8"/>
  <c r="AH44" i="8"/>
  <c r="AI44" i="8" s="1"/>
  <c r="AJ44" i="8"/>
  <c r="AK44" i="8"/>
  <c r="AL44" i="8"/>
  <c r="AO44" i="8" s="1"/>
  <c r="AQ44" i="8" s="1"/>
  <c r="AM44" i="8"/>
  <c r="AR44" i="8"/>
  <c r="AZ44" i="8"/>
  <c r="BA44" i="8" s="1"/>
  <c r="BB44" i="8" s="1"/>
  <c r="BC44" i="8" s="1"/>
  <c r="AG45" i="8"/>
  <c r="AH45" i="8"/>
  <c r="AI45" i="8" s="1"/>
  <c r="AJ45" i="8"/>
  <c r="AK45" i="8"/>
  <c r="AL45" i="8"/>
  <c r="AM45" i="8"/>
  <c r="AZ45" i="8"/>
  <c r="BA45" i="8" s="1"/>
  <c r="BB45" i="8" s="1"/>
  <c r="BC45" i="8" s="1"/>
  <c r="AG46" i="8"/>
  <c r="AH46" i="8"/>
  <c r="AI46" i="8"/>
  <c r="AJ46" i="8"/>
  <c r="AK46" i="8"/>
  <c r="AL46" i="8"/>
  <c r="AN46" i="8" s="1"/>
  <c r="AM46" i="8"/>
  <c r="AO46" i="8"/>
  <c r="AV46" i="8" s="1"/>
  <c r="AY46" i="8" s="1"/>
  <c r="AP46" i="8"/>
  <c r="AX46" i="8" s="1"/>
  <c r="AW46" i="8" s="1"/>
  <c r="AR46" i="8"/>
  <c r="AZ46" i="8"/>
  <c r="BA46" i="8" s="1"/>
  <c r="BB46" i="8" s="1"/>
  <c r="AG47" i="8"/>
  <c r="AH47" i="8"/>
  <c r="AI47" i="8"/>
  <c r="AJ47" i="8"/>
  <c r="AK47" i="8"/>
  <c r="AL47" i="8"/>
  <c r="AM47" i="8"/>
  <c r="AR47" i="8"/>
  <c r="AZ47" i="8"/>
  <c r="BA47" i="8"/>
  <c r="BB47" i="8" s="1"/>
  <c r="BC47" i="8" s="1"/>
  <c r="AG48" i="8"/>
  <c r="AH48" i="8"/>
  <c r="AJ48" i="8"/>
  <c r="AO48" i="8" s="1"/>
  <c r="AK48" i="8"/>
  <c r="AL48" i="8"/>
  <c r="AM48" i="8"/>
  <c r="AN48" i="8"/>
  <c r="AP48" i="8"/>
  <c r="AX48" i="8" s="1"/>
  <c r="AW48" i="8" s="1"/>
  <c r="AQ48" i="8"/>
  <c r="AR48" i="8"/>
  <c r="AV48" i="8"/>
  <c r="AY48" i="8" s="1"/>
  <c r="AZ48" i="8"/>
  <c r="BA48" i="8" s="1"/>
  <c r="BB48" i="8"/>
  <c r="AG49" i="8"/>
  <c r="AH49" i="8"/>
  <c r="AI49" i="8"/>
  <c r="AJ49" i="8"/>
  <c r="AR49" i="8" s="1"/>
  <c r="AK49" i="8"/>
  <c r="AL49" i="8"/>
  <c r="AM49" i="8"/>
  <c r="AN49" i="8"/>
  <c r="AP49" i="8" s="1"/>
  <c r="AX49" i="8" s="1"/>
  <c r="AS49" i="8"/>
  <c r="AW49" i="8"/>
  <c r="AZ49" i="8"/>
  <c r="BA49" i="8"/>
  <c r="BB49" i="8" s="1"/>
  <c r="BC49" i="8" s="1"/>
  <c r="AG50" i="8"/>
  <c r="AI50" i="8" s="1"/>
  <c r="AH50" i="8"/>
  <c r="AJ50" i="8"/>
  <c r="AK50" i="8"/>
  <c r="AN50" i="8" s="1"/>
  <c r="AP50" i="8" s="1"/>
  <c r="AX50" i="8" s="1"/>
  <c r="AW50" i="8" s="1"/>
  <c r="AL50" i="8"/>
  <c r="AM50" i="8"/>
  <c r="AO50" i="8"/>
  <c r="AQ50" i="8"/>
  <c r="AR50" i="8"/>
  <c r="AV50" i="8"/>
  <c r="AY50" i="8" s="1"/>
  <c r="AZ50" i="8"/>
  <c r="BA50" i="8" s="1"/>
  <c r="BB50" i="8" s="1"/>
  <c r="BC50" i="8" s="1"/>
  <c r="AG51" i="8"/>
  <c r="AI51" i="8" s="1"/>
  <c r="AH51" i="8"/>
  <c r="AJ51" i="8"/>
  <c r="AK51" i="8"/>
  <c r="AL51" i="8"/>
  <c r="AM51" i="8"/>
  <c r="AO51" i="8"/>
  <c r="AZ51" i="8"/>
  <c r="BA51" i="8" s="1"/>
  <c r="BB51" i="8"/>
  <c r="BC51" i="8" s="1"/>
  <c r="AE52" i="8"/>
  <c r="AE53" i="8" s="1"/>
  <c r="AE54" i="8" s="1"/>
  <c r="AE55" i="8" s="1"/>
  <c r="AE56" i="8" s="1"/>
  <c r="AE57" i="8" s="1"/>
  <c r="AE58" i="8" s="1"/>
  <c r="AE59" i="8" s="1"/>
  <c r="AE60" i="8" s="1"/>
  <c r="AE61" i="8" s="1"/>
  <c r="AE62" i="8" s="1"/>
  <c r="AE63" i="8" s="1"/>
  <c r="AE64" i="8" s="1"/>
  <c r="AE65" i="8" s="1"/>
  <c r="AE66" i="8" s="1"/>
  <c r="AE67" i="8" s="1"/>
  <c r="AE68" i="8" s="1"/>
  <c r="AE69" i="8" s="1"/>
  <c r="AE70" i="8" s="1"/>
  <c r="AE71" i="8" s="1"/>
  <c r="AE72" i="8" s="1"/>
  <c r="AE73" i="8" s="1"/>
  <c r="AE74" i="8" s="1"/>
  <c r="AE75" i="8" s="1"/>
  <c r="AE76" i="8" s="1"/>
  <c r="AE77" i="8" s="1"/>
  <c r="AE78" i="8" s="1"/>
  <c r="AE79" i="8" s="1"/>
  <c r="AG52" i="8"/>
  <c r="AH52" i="8"/>
  <c r="AJ52" i="8"/>
  <c r="AK52" i="8"/>
  <c r="AL52" i="8"/>
  <c r="AM52" i="8"/>
  <c r="AR52" i="8"/>
  <c r="AS52" i="8"/>
  <c r="AZ52" i="8"/>
  <c r="BA52" i="8" s="1"/>
  <c r="BB52" i="8" s="1"/>
  <c r="AG53" i="8"/>
  <c r="AH53" i="8"/>
  <c r="AI53" i="8"/>
  <c r="AJ53" i="8"/>
  <c r="AK53" i="8"/>
  <c r="AL53" i="8"/>
  <c r="AM53" i="8"/>
  <c r="AN53" i="8"/>
  <c r="AP53" i="8" s="1"/>
  <c r="AX53" i="8" s="1"/>
  <c r="AW53" i="8" s="1"/>
  <c r="AZ53" i="8"/>
  <c r="BA53" i="8"/>
  <c r="BB53" i="8"/>
  <c r="BC53" i="8" s="1"/>
  <c r="AG54" i="8"/>
  <c r="AH54" i="8"/>
  <c r="AI54" i="8"/>
  <c r="AJ54" i="8"/>
  <c r="AN54" i="8" s="1"/>
  <c r="AK54" i="8"/>
  <c r="AL54" i="8"/>
  <c r="AO54" i="8" s="1"/>
  <c r="AM54" i="8"/>
  <c r="AP54" i="8"/>
  <c r="AQ54" i="8"/>
  <c r="AR54" i="8"/>
  <c r="AS54" i="8"/>
  <c r="AV54" i="8"/>
  <c r="AY54" i="8" s="1"/>
  <c r="AX54" i="8"/>
  <c r="AW54" i="8" s="1"/>
  <c r="AZ54" i="8"/>
  <c r="BA54" i="8" s="1"/>
  <c r="BB54" i="8" s="1"/>
  <c r="AG55" i="8"/>
  <c r="AH55" i="8"/>
  <c r="AI55" i="8"/>
  <c r="AJ55" i="8"/>
  <c r="AK55" i="8"/>
  <c r="AL55" i="8"/>
  <c r="AM55" i="8"/>
  <c r="AN55" i="8"/>
  <c r="AP55" i="8"/>
  <c r="AX55" i="8" s="1"/>
  <c r="AR55" i="8"/>
  <c r="AW55" i="8"/>
  <c r="AZ55" i="8"/>
  <c r="BA55" i="8" s="1"/>
  <c r="BB55" i="8" s="1"/>
  <c r="BC55" i="8" s="1"/>
  <c r="AG56" i="8"/>
  <c r="AH56" i="8"/>
  <c r="AJ56" i="8"/>
  <c r="AK56" i="8"/>
  <c r="AL56" i="8"/>
  <c r="AM56" i="8"/>
  <c r="AN56" i="8"/>
  <c r="AP56" i="8" s="1"/>
  <c r="AX56" i="8" s="1"/>
  <c r="AW56" i="8" s="1"/>
  <c r="AR56" i="8"/>
  <c r="AS56" i="8"/>
  <c r="AZ56" i="8"/>
  <c r="BA56" i="8"/>
  <c r="BB56" i="8"/>
  <c r="AG57" i="8"/>
  <c r="AH57" i="8"/>
  <c r="AI57" i="8"/>
  <c r="AJ57" i="8"/>
  <c r="AR57" i="8" s="1"/>
  <c r="AK57" i="8"/>
  <c r="AL57" i="8"/>
  <c r="AO57" i="8" s="1"/>
  <c r="AM57" i="8"/>
  <c r="AZ57" i="8"/>
  <c r="BA57" i="8" s="1"/>
  <c r="BB57" i="8" s="1"/>
  <c r="BC57" i="8" s="1"/>
  <c r="AG58" i="8"/>
  <c r="AH58" i="8"/>
  <c r="AJ58" i="8"/>
  <c r="AK58" i="8"/>
  <c r="AL58" i="8"/>
  <c r="AM58" i="8"/>
  <c r="AZ58" i="8"/>
  <c r="BA58" i="8" s="1"/>
  <c r="AG59" i="8"/>
  <c r="AI59" i="8" s="1"/>
  <c r="AH59" i="8"/>
  <c r="AJ59" i="8"/>
  <c r="AK59" i="8"/>
  <c r="AL59" i="8"/>
  <c r="AM59" i="8"/>
  <c r="AN59" i="8"/>
  <c r="AO59" i="8"/>
  <c r="AV59" i="8" s="1"/>
  <c r="AY59" i="8" s="1"/>
  <c r="AP59" i="8"/>
  <c r="AQ59" i="8"/>
  <c r="AS59" i="8"/>
  <c r="AX59" i="8"/>
  <c r="AW59" i="8" s="1"/>
  <c r="AZ59" i="8"/>
  <c r="AG60" i="8"/>
  <c r="AI60" i="8" s="1"/>
  <c r="AH60" i="8"/>
  <c r="AJ60" i="8"/>
  <c r="AK60" i="8"/>
  <c r="AL60" i="8"/>
  <c r="AM60" i="8"/>
  <c r="AR60" i="8"/>
  <c r="AZ60" i="8"/>
  <c r="BA60" i="8" s="1"/>
  <c r="BB60" i="8" s="1"/>
  <c r="BC60" i="8" s="1"/>
  <c r="AD61" i="8"/>
  <c r="AD62" i="8" s="1"/>
  <c r="AD63" i="8" s="1"/>
  <c r="AD64" i="8" s="1"/>
  <c r="AD65" i="8" s="1"/>
  <c r="AD66" i="8" s="1"/>
  <c r="AD67" i="8" s="1"/>
  <c r="AD68" i="8" s="1"/>
  <c r="AD69" i="8" s="1"/>
  <c r="AD70" i="8" s="1"/>
  <c r="AD71" i="8" s="1"/>
  <c r="AD72" i="8" s="1"/>
  <c r="AD73" i="8" s="1"/>
  <c r="AD74" i="8" s="1"/>
  <c r="AD75" i="8" s="1"/>
  <c r="AD76" i="8" s="1"/>
  <c r="AD77" i="8" s="1"/>
  <c r="AD78" i="8" s="1"/>
  <c r="AD79" i="8" s="1"/>
  <c r="AG61" i="8"/>
  <c r="AH61" i="8"/>
  <c r="AI61" i="8"/>
  <c r="AJ61" i="8"/>
  <c r="AK61" i="8"/>
  <c r="AL61" i="8"/>
  <c r="AS61" i="8" s="1"/>
  <c r="AM61" i="8"/>
  <c r="AN61" i="8"/>
  <c r="AO61" i="8"/>
  <c r="AP61" i="8"/>
  <c r="AQ61" i="8"/>
  <c r="AR61" i="8"/>
  <c r="AV61" i="8"/>
  <c r="AY61" i="8" s="1"/>
  <c r="AX61" i="8"/>
  <c r="AW61" i="8" s="1"/>
  <c r="AZ61" i="8"/>
  <c r="BA61" i="8"/>
  <c r="BB61" i="8" s="1"/>
  <c r="AG62" i="8"/>
  <c r="AH62" i="8"/>
  <c r="AI62" i="8" s="1"/>
  <c r="AJ62" i="8"/>
  <c r="AK62" i="8"/>
  <c r="AL62" i="8"/>
  <c r="AM62" i="8"/>
  <c r="AN62" i="8"/>
  <c r="AP62" i="8" s="1"/>
  <c r="AX62" i="8" s="1"/>
  <c r="AW62" i="8" s="1"/>
  <c r="AZ62" i="8"/>
  <c r="BA62" i="8" s="1"/>
  <c r="BB62" i="8" s="1"/>
  <c r="AG63" i="8"/>
  <c r="AH63" i="8"/>
  <c r="AI63" i="8"/>
  <c r="AJ63" i="8"/>
  <c r="AK63" i="8"/>
  <c r="AL63" i="8"/>
  <c r="AM63" i="8"/>
  <c r="AN63" i="8"/>
  <c r="AP63" i="8" s="1"/>
  <c r="AX63" i="8" s="1"/>
  <c r="AW63" i="8" s="1"/>
  <c r="AZ63" i="8"/>
  <c r="BA63" i="8"/>
  <c r="BB63" i="8" s="1"/>
  <c r="AG64" i="8"/>
  <c r="AI64" i="8" s="1"/>
  <c r="AH64" i="8"/>
  <c r="AJ64" i="8"/>
  <c r="AK64" i="8"/>
  <c r="AL64" i="8"/>
  <c r="AM64" i="8"/>
  <c r="AZ64" i="8"/>
  <c r="BA64" i="8" s="1"/>
  <c r="BB64" i="8" s="1"/>
  <c r="BC64" i="8" s="1"/>
  <c r="AG65" i="8"/>
  <c r="AI65" i="8" s="1"/>
  <c r="AH65" i="8"/>
  <c r="AJ65" i="8"/>
  <c r="AK65" i="8"/>
  <c r="AL65" i="8"/>
  <c r="AM65" i="8"/>
  <c r="AN65" i="8"/>
  <c r="AP65" i="8"/>
  <c r="AR65" i="8"/>
  <c r="AS65" i="8"/>
  <c r="AX65" i="8"/>
  <c r="AW65" i="8" s="1"/>
  <c r="AZ65" i="8"/>
  <c r="BA65" i="8"/>
  <c r="BB65" i="8" s="1"/>
  <c r="AG66" i="8"/>
  <c r="AH66" i="8"/>
  <c r="AI66" i="8"/>
  <c r="AJ66" i="8"/>
  <c r="AK66" i="8"/>
  <c r="AL66" i="8"/>
  <c r="AM66" i="8"/>
  <c r="AS66" i="8" s="1"/>
  <c r="AN66" i="8"/>
  <c r="AP66" i="8" s="1"/>
  <c r="AX66" i="8" s="1"/>
  <c r="AW66" i="8" s="1"/>
  <c r="AO66" i="8"/>
  <c r="AQ66" i="8" s="1"/>
  <c r="AR66" i="8"/>
  <c r="AV66" i="8"/>
  <c r="AY66" i="8"/>
  <c r="AZ66" i="8"/>
  <c r="BA66" i="8" s="1"/>
  <c r="BB66" i="8" s="1"/>
  <c r="BC66" i="8" s="1"/>
  <c r="AG67" i="8"/>
  <c r="AH67" i="8"/>
  <c r="AI67" i="8"/>
  <c r="AJ67" i="8"/>
  <c r="AK67" i="8"/>
  <c r="AL67" i="8"/>
  <c r="AO67" i="8" s="1"/>
  <c r="AV67" i="8" s="1"/>
  <c r="AY67" i="8" s="1"/>
  <c r="AM67" i="8"/>
  <c r="AN67" i="8"/>
  <c r="AP67" i="8"/>
  <c r="AX67" i="8" s="1"/>
  <c r="AW67" i="8" s="1"/>
  <c r="AQ67" i="8"/>
  <c r="AZ67" i="8"/>
  <c r="BA67" i="8" s="1"/>
  <c r="BB67" i="8" s="1"/>
  <c r="BC67" i="8"/>
  <c r="AG68" i="8"/>
  <c r="AH68" i="8"/>
  <c r="AI68" i="8"/>
  <c r="AJ68" i="8"/>
  <c r="AK68" i="8"/>
  <c r="AR68" i="8" s="1"/>
  <c r="AL68" i="8"/>
  <c r="AM68" i="8"/>
  <c r="AZ68" i="8"/>
  <c r="BA68" i="8" s="1"/>
  <c r="BB68" i="8" s="1"/>
  <c r="BC68" i="8" s="1"/>
  <c r="AG69" i="8"/>
  <c r="AH69" i="8"/>
  <c r="AJ69" i="8"/>
  <c r="AK69" i="8"/>
  <c r="AL69" i="8"/>
  <c r="AM69" i="8"/>
  <c r="AZ69" i="8"/>
  <c r="BA69" i="8"/>
  <c r="BB69" i="8" s="1"/>
  <c r="AG70" i="8"/>
  <c r="AH70" i="8"/>
  <c r="AI70" i="8"/>
  <c r="AJ70" i="8"/>
  <c r="AK70" i="8"/>
  <c r="AS70" i="8" s="1"/>
  <c r="AL70" i="8"/>
  <c r="AM70" i="8"/>
  <c r="AN70" i="8"/>
  <c r="AP70" i="8" s="1"/>
  <c r="AX70" i="8" s="1"/>
  <c r="AW70" i="8" s="1"/>
  <c r="AO70" i="8"/>
  <c r="AV70" i="8" s="1"/>
  <c r="AY70" i="8" s="1"/>
  <c r="AQ70" i="8"/>
  <c r="AR70" i="8"/>
  <c r="AZ70" i="8"/>
  <c r="BA70" i="8" s="1"/>
  <c r="BB70" i="8" s="1"/>
  <c r="BC70" i="8" s="1"/>
  <c r="AG71" i="8"/>
  <c r="AH71" i="8"/>
  <c r="AI71" i="8"/>
  <c r="BC71" i="8" s="1"/>
  <c r="AJ71" i="8"/>
  <c r="AR71" i="8" s="1"/>
  <c r="AK71" i="8"/>
  <c r="AL71" i="8"/>
  <c r="AM71" i="8"/>
  <c r="AN71" i="8"/>
  <c r="AP71" i="8"/>
  <c r="AX71" i="8" s="1"/>
  <c r="AW71" i="8" s="1"/>
  <c r="AZ71" i="8"/>
  <c r="BA71" i="8"/>
  <c r="BB71" i="8"/>
  <c r="AG72" i="8"/>
  <c r="AH72" i="8"/>
  <c r="AJ72" i="8"/>
  <c r="AR72" i="8" s="1"/>
  <c r="AK72" i="8"/>
  <c r="AL72" i="8"/>
  <c r="AO72" i="8" s="1"/>
  <c r="AM72" i="8"/>
  <c r="AZ72" i="8"/>
  <c r="BA72" i="8" s="1"/>
  <c r="BB72" i="8" s="1"/>
  <c r="AG73" i="8"/>
  <c r="AI73" i="8" s="1"/>
  <c r="AH73" i="8"/>
  <c r="AJ73" i="8"/>
  <c r="AK73" i="8"/>
  <c r="AL73" i="8"/>
  <c r="AM73" i="8"/>
  <c r="AO73" i="8"/>
  <c r="AV73" i="8" s="1"/>
  <c r="AQ73" i="8"/>
  <c r="AY73" i="8"/>
  <c r="AZ73" i="8"/>
  <c r="BA73" i="8"/>
  <c r="BB73" i="8"/>
  <c r="BC73" i="8" s="1"/>
  <c r="AG74" i="8"/>
  <c r="AI74" i="8" s="1"/>
  <c r="AH74" i="8"/>
  <c r="AJ74" i="8"/>
  <c r="AK74" i="8"/>
  <c r="AL74" i="8"/>
  <c r="AM74" i="8"/>
  <c r="AR74" i="8" s="1"/>
  <c r="AN74" i="8"/>
  <c r="AO74" i="8"/>
  <c r="AV74" i="8" s="1"/>
  <c r="AY74" i="8" s="1"/>
  <c r="AP74" i="8"/>
  <c r="AX74" i="8" s="1"/>
  <c r="AW74" i="8" s="1"/>
  <c r="AQ74" i="8"/>
  <c r="AS74" i="8"/>
  <c r="AZ74" i="8"/>
  <c r="BA74" i="8" s="1"/>
  <c r="BB74" i="8" s="1"/>
  <c r="BC74" i="8" s="1"/>
  <c r="AG75" i="8"/>
  <c r="AH75" i="8"/>
  <c r="AI75" i="8"/>
  <c r="AJ75" i="8"/>
  <c r="AK75" i="8"/>
  <c r="AR75" i="8" s="1"/>
  <c r="AL75" i="8"/>
  <c r="AM75" i="8"/>
  <c r="AZ75" i="8"/>
  <c r="BA75" i="8"/>
  <c r="BB75" i="8"/>
  <c r="BC75" i="8"/>
  <c r="AF76" i="8"/>
  <c r="AF77" i="8" s="1"/>
  <c r="AF78" i="8" s="1"/>
  <c r="AF79" i="8" s="1"/>
  <c r="AG76" i="8"/>
  <c r="AH76" i="8"/>
  <c r="AI76" i="8"/>
  <c r="AJ76" i="8"/>
  <c r="AK76" i="8"/>
  <c r="AL76" i="8"/>
  <c r="AM76" i="8"/>
  <c r="AN76" i="8"/>
  <c r="AP76" i="8" s="1"/>
  <c r="AX76" i="8" s="1"/>
  <c r="AO76" i="8"/>
  <c r="AQ76" i="8"/>
  <c r="AR76" i="8"/>
  <c r="AS76" i="8"/>
  <c r="AV76" i="8"/>
  <c r="AW76" i="8"/>
  <c r="AY76" i="8"/>
  <c r="AZ76" i="8"/>
  <c r="BA76" i="8" s="1"/>
  <c r="BB76" i="8" s="1"/>
  <c r="BC76" i="8" s="1"/>
  <c r="AG77" i="8"/>
  <c r="AH77" i="8"/>
  <c r="AI77" i="8"/>
  <c r="AJ77" i="8"/>
  <c r="AK77" i="8"/>
  <c r="AL77" i="8"/>
  <c r="AM77" i="8"/>
  <c r="AS77" i="8" s="1"/>
  <c r="AO77" i="8"/>
  <c r="AV77" i="8" s="1"/>
  <c r="AY77" i="8" s="1"/>
  <c r="AQ77" i="8"/>
  <c r="AR77" i="8"/>
  <c r="AZ77" i="8"/>
  <c r="BA77" i="8"/>
  <c r="BB77" i="8"/>
  <c r="BC77" i="8"/>
  <c r="AG78" i="8"/>
  <c r="AH78" i="8"/>
  <c r="AI78" i="8"/>
  <c r="AJ78" i="8"/>
  <c r="AK78" i="8"/>
  <c r="AL78" i="8"/>
  <c r="AM78" i="8"/>
  <c r="AZ78" i="8"/>
  <c r="BA78" i="8"/>
  <c r="BB78" i="8" s="1"/>
  <c r="BC78" i="8"/>
  <c r="AG79" i="8"/>
  <c r="AH79" i="8"/>
  <c r="AI79" i="8" s="1"/>
  <c r="AJ79" i="8"/>
  <c r="AK79" i="8"/>
  <c r="AL79" i="8"/>
  <c r="AM79" i="8"/>
  <c r="AN79" i="8"/>
  <c r="AO79" i="8"/>
  <c r="AV79" i="8" s="1"/>
  <c r="AP79" i="8"/>
  <c r="AQ79" i="8"/>
  <c r="AS79" i="8"/>
  <c r="AX79" i="8"/>
  <c r="AW79" i="8" s="1"/>
  <c r="AY79" i="8"/>
  <c r="AZ79" i="8"/>
  <c r="BA79" i="8"/>
  <c r="BB79" i="8" s="1"/>
  <c r="X4" i="8"/>
  <c r="X5" i="8"/>
  <c r="X6" i="8"/>
  <c r="X7" i="8"/>
  <c r="X8" i="8"/>
  <c r="X9" i="8"/>
  <c r="X10" i="8"/>
  <c r="X11" i="8"/>
  <c r="X12" i="8"/>
  <c r="X13" i="8"/>
  <c r="X14" i="8"/>
  <c r="X15" i="8"/>
  <c r="X16" i="8"/>
  <c r="X17" i="8"/>
  <c r="X18" i="8"/>
  <c r="X19" i="8"/>
  <c r="X20" i="8"/>
  <c r="X21" i="8"/>
  <c r="X22" i="8"/>
  <c r="X23" i="8"/>
  <c r="X24" i="8"/>
  <c r="X25" i="8"/>
  <c r="X26" i="8"/>
  <c r="X27" i="8"/>
  <c r="X28" i="8"/>
  <c r="X29" i="8"/>
  <c r="X30" i="8"/>
  <c r="X31" i="8"/>
  <c r="X32" i="8"/>
  <c r="X33" i="8"/>
  <c r="X34" i="8"/>
  <c r="X35" i="8"/>
  <c r="X36" i="8"/>
  <c r="X37" i="8"/>
  <c r="X38" i="8"/>
  <c r="X39" i="8"/>
  <c r="X40" i="8"/>
  <c r="X41" i="8"/>
  <c r="X42" i="8"/>
  <c r="X43" i="8"/>
  <c r="X44" i="8"/>
  <c r="X45" i="8"/>
  <c r="X46" i="8"/>
  <c r="X47" i="8"/>
  <c r="X48" i="8"/>
  <c r="X49" i="8"/>
  <c r="X50" i="8"/>
  <c r="X51" i="8"/>
  <c r="X52" i="8"/>
  <c r="X53" i="8"/>
  <c r="X54" i="8"/>
  <c r="X55" i="8"/>
  <c r="X56" i="8"/>
  <c r="X57" i="8"/>
  <c r="X58" i="8"/>
  <c r="X59" i="8"/>
  <c r="X60" i="8"/>
  <c r="X61" i="8"/>
  <c r="X62" i="8"/>
  <c r="X63" i="8"/>
  <c r="X64" i="8"/>
  <c r="X65" i="8"/>
  <c r="X66" i="8"/>
  <c r="X67" i="8"/>
  <c r="X68" i="8"/>
  <c r="X69" i="8"/>
  <c r="X70" i="8"/>
  <c r="X71" i="8"/>
  <c r="X72" i="8"/>
  <c r="X73" i="8"/>
  <c r="X74" i="8"/>
  <c r="X75" i="8"/>
  <c r="X76" i="8"/>
  <c r="X77" i="8"/>
  <c r="X78" i="8"/>
  <c r="X79" i="8"/>
  <c r="BS438" i="1"/>
  <c r="BS453" i="1"/>
  <c r="BS459" i="1"/>
  <c r="BS460" i="1"/>
  <c r="BS462" i="1"/>
  <c r="BS464" i="1"/>
  <c r="BS489" i="1"/>
  <c r="BS507" i="1"/>
  <c r="BS520" i="1"/>
  <c r="BS522" i="1"/>
  <c r="BS541" i="1"/>
  <c r="BS547" i="1"/>
  <c r="BS553" i="1"/>
  <c r="BS555" i="1"/>
  <c r="BS560" i="1"/>
  <c r="BS564" i="1"/>
  <c r="BS575" i="1"/>
  <c r="BS580" i="1"/>
  <c r="BS591" i="1"/>
  <c r="BS592" i="1"/>
  <c r="BS596" i="1"/>
  <c r="BS602" i="1"/>
  <c r="BS619" i="1"/>
  <c r="BS631" i="1"/>
  <c r="BS646" i="1"/>
  <c r="BS658" i="1"/>
  <c r="BS699" i="1"/>
  <c r="BS713" i="1"/>
  <c r="BS724" i="1"/>
  <c r="BS726" i="1"/>
  <c r="BS731" i="1"/>
  <c r="BT448" i="1"/>
  <c r="BT449" i="1"/>
  <c r="J268" i="1"/>
  <c r="AS253" i="1"/>
  <c r="AS254" i="1"/>
  <c r="AI227" i="1"/>
  <c r="AK227" i="1" s="1"/>
  <c r="AL227" i="1" s="1"/>
  <c r="AJ227" i="1"/>
  <c r="AI228" i="1"/>
  <c r="AJ228" i="1"/>
  <c r="AK228" i="1"/>
  <c r="AL228" i="1"/>
  <c r="AI229" i="1"/>
  <c r="AJ229" i="1"/>
  <c r="AK229" i="1"/>
  <c r="AL229" i="1" s="1"/>
  <c r="AI230" i="1"/>
  <c r="AI231" i="1" s="1"/>
  <c r="AJ230" i="1"/>
  <c r="AJ231" i="1" s="1"/>
  <c r="AK230" i="1"/>
  <c r="AL230" i="1"/>
  <c r="AK231" i="1"/>
  <c r="AL231" i="1"/>
  <c r="AI232" i="1"/>
  <c r="AI233" i="1" s="1"/>
  <c r="AJ232" i="1"/>
  <c r="AJ233" i="1" s="1"/>
  <c r="AK233" i="1"/>
  <c r="AL233" i="1"/>
  <c r="AI234" i="1"/>
  <c r="AI235" i="1" s="1"/>
  <c r="AI236" i="1" s="1"/>
  <c r="AJ234" i="1"/>
  <c r="AJ235" i="1" s="1"/>
  <c r="AJ236" i="1" s="1"/>
  <c r="AK234" i="1"/>
  <c r="AL234" i="1" s="1"/>
  <c r="AK235" i="1"/>
  <c r="AL235" i="1"/>
  <c r="AK236" i="1"/>
  <c r="AL236" i="1"/>
  <c r="AI237" i="1"/>
  <c r="AK237" i="1" s="1"/>
  <c r="AL237" i="1" s="1"/>
  <c r="AJ237" i="1"/>
  <c r="AJ238" i="1" s="1"/>
  <c r="AK238" i="1"/>
  <c r="AL238" i="1"/>
  <c r="AI239" i="1"/>
  <c r="AK239" i="1" s="1"/>
  <c r="AJ239" i="1"/>
  <c r="AJ240" i="1" s="1"/>
  <c r="AJ241" i="1" s="1"/>
  <c r="AL239" i="1"/>
  <c r="AK240" i="1"/>
  <c r="AL240" i="1"/>
  <c r="AK241" i="1"/>
  <c r="AL241" i="1"/>
  <c r="AI242" i="1"/>
  <c r="AI243" i="1" s="1"/>
  <c r="AI244" i="1" s="1"/>
  <c r="AJ242" i="1"/>
  <c r="AJ243" i="1" s="1"/>
  <c r="AJ244" i="1" s="1"/>
  <c r="AK243" i="1"/>
  <c r="AL243" i="1"/>
  <c r="AK244" i="1"/>
  <c r="AL244" i="1"/>
  <c r="AS78" i="8" l="1"/>
  <c r="AQ72" i="8"/>
  <c r="AV72" i="8"/>
  <c r="AY72" i="8" s="1"/>
  <c r="AS58" i="8"/>
  <c r="AN58" i="8"/>
  <c r="AP58" i="8" s="1"/>
  <c r="AX58" i="8" s="1"/>
  <c r="AW58" i="8" s="1"/>
  <c r="AO58" i="8"/>
  <c r="AN78" i="8"/>
  <c r="AP78" i="8" s="1"/>
  <c r="AX78" i="8" s="1"/>
  <c r="AW78" i="8" s="1"/>
  <c r="AO78" i="8"/>
  <c r="AR78" i="8"/>
  <c r="AN69" i="8"/>
  <c r="AP69" i="8" s="1"/>
  <c r="AX69" i="8" s="1"/>
  <c r="AW69" i="8" s="1"/>
  <c r="AO69" i="8"/>
  <c r="AR69" i="8"/>
  <c r="AS69" i="8"/>
  <c r="BA59" i="8"/>
  <c r="BB59" i="8" s="1"/>
  <c r="BC59" i="8" s="1"/>
  <c r="BB58" i="8"/>
  <c r="AQ23" i="8"/>
  <c r="AV23" i="8"/>
  <c r="AY23" i="8" s="1"/>
  <c r="AS71" i="8"/>
  <c r="AO71" i="8"/>
  <c r="AN68" i="8"/>
  <c r="AP68" i="8" s="1"/>
  <c r="AX68" i="8" s="1"/>
  <c r="AW68" i="8" s="1"/>
  <c r="AO68" i="8"/>
  <c r="AS68" i="8"/>
  <c r="BC65" i="8"/>
  <c r="BC79" i="8"/>
  <c r="AR64" i="8"/>
  <c r="AO64" i="8"/>
  <c r="AN64" i="8"/>
  <c r="AP64" i="8" s="1"/>
  <c r="AX64" i="8" s="1"/>
  <c r="AW64" i="8" s="1"/>
  <c r="AR58" i="8"/>
  <c r="AI69" i="8"/>
  <c r="BC69" i="8" s="1"/>
  <c r="BC7" i="8"/>
  <c r="AO36" i="8"/>
  <c r="AN36" i="8"/>
  <c r="AP36" i="8" s="1"/>
  <c r="AX36" i="8" s="1"/>
  <c r="AW36" i="8" s="1"/>
  <c r="AS36" i="8"/>
  <c r="AV57" i="8"/>
  <c r="AY57" i="8" s="1"/>
  <c r="AQ57" i="8"/>
  <c r="AN43" i="8"/>
  <c r="AP43" i="8" s="1"/>
  <c r="AX43" i="8" s="1"/>
  <c r="AW43" i="8" s="1"/>
  <c r="AO43" i="8"/>
  <c r="AR43" i="8"/>
  <c r="AS43" i="8"/>
  <c r="AS32" i="8"/>
  <c r="AN32" i="8"/>
  <c r="AP32" i="8" s="1"/>
  <c r="AX32" i="8" s="1"/>
  <c r="AW32" i="8" s="1"/>
  <c r="AQ15" i="8"/>
  <c r="AV15" i="8"/>
  <c r="AY15" i="8" s="1"/>
  <c r="BC8" i="8"/>
  <c r="AN75" i="8"/>
  <c r="AP75" i="8" s="1"/>
  <c r="AX75" i="8" s="1"/>
  <c r="AW75" i="8" s="1"/>
  <c r="AO75" i="8"/>
  <c r="AS63" i="8"/>
  <c r="AS48" i="8"/>
  <c r="AQ46" i="8"/>
  <c r="AN44" i="8"/>
  <c r="AP44" i="8" s="1"/>
  <c r="AX44" i="8" s="1"/>
  <c r="AW44" i="8" s="1"/>
  <c r="AR32" i="8"/>
  <c r="AR33" i="8"/>
  <c r="AS33" i="8"/>
  <c r="AS24" i="8"/>
  <c r="AN24" i="8"/>
  <c r="AP24" i="8" s="1"/>
  <c r="AX24" i="8" s="1"/>
  <c r="AW24" i="8" s="1"/>
  <c r="BC9" i="8"/>
  <c r="AO56" i="8"/>
  <c r="AS55" i="8"/>
  <c r="AO55" i="8"/>
  <c r="AR45" i="8"/>
  <c r="AR37" i="8"/>
  <c r="AR24" i="8"/>
  <c r="AN77" i="8"/>
  <c r="AP77" i="8" s="1"/>
  <c r="AX77" i="8" s="1"/>
  <c r="AW77" i="8" s="1"/>
  <c r="AQ51" i="8"/>
  <c r="AV51" i="8"/>
  <c r="AY51" i="8" s="1"/>
  <c r="AO20" i="8"/>
  <c r="AN20" i="8"/>
  <c r="AP20" i="8" s="1"/>
  <c r="AX20" i="8" s="1"/>
  <c r="AW20" i="8" s="1"/>
  <c r="AS20" i="8"/>
  <c r="AI43" i="8"/>
  <c r="BC43" i="8" s="1"/>
  <c r="BC63" i="8"/>
  <c r="AS51" i="8"/>
  <c r="AN51" i="8"/>
  <c r="AP51" i="8" s="1"/>
  <c r="AX51" i="8" s="1"/>
  <c r="AW51" i="8" s="1"/>
  <c r="AR42" i="8"/>
  <c r="AR16" i="8"/>
  <c r="AI7" i="8"/>
  <c r="AI58" i="8"/>
  <c r="AO28" i="8"/>
  <c r="AN28" i="8"/>
  <c r="AP28" i="8" s="1"/>
  <c r="AX28" i="8" s="1"/>
  <c r="AW28" i="8" s="1"/>
  <c r="AQ24" i="8"/>
  <c r="AV24" i="8"/>
  <c r="AY24" i="8" s="1"/>
  <c r="AV5" i="8"/>
  <c r="AY5" i="8" s="1"/>
  <c r="AQ5" i="8"/>
  <c r="AN45" i="8"/>
  <c r="AP45" i="8" s="1"/>
  <c r="AX45" i="8" s="1"/>
  <c r="AW45" i="8" s="1"/>
  <c r="AO45" i="8"/>
  <c r="AS45" i="8"/>
  <c r="AN29" i="8"/>
  <c r="AP29" i="8" s="1"/>
  <c r="AX29" i="8" s="1"/>
  <c r="AW29" i="8" s="1"/>
  <c r="AO29" i="8"/>
  <c r="AS29" i="8"/>
  <c r="BC62" i="8"/>
  <c r="AO60" i="8"/>
  <c r="AN60" i="8"/>
  <c r="AP60" i="8" s="1"/>
  <c r="AX60" i="8" s="1"/>
  <c r="AW60" i="8" s="1"/>
  <c r="AS60" i="8"/>
  <c r="AS53" i="8"/>
  <c r="AO53" i="8"/>
  <c r="AO52" i="8"/>
  <c r="AN52" i="8"/>
  <c r="AP52" i="8" s="1"/>
  <c r="AX52" i="8" s="1"/>
  <c r="AW52" i="8" s="1"/>
  <c r="AQ31" i="8"/>
  <c r="AV31" i="8"/>
  <c r="AY31" i="8" s="1"/>
  <c r="AR29" i="8"/>
  <c r="AR25" i="8"/>
  <c r="AS25" i="8"/>
  <c r="AO42" i="8"/>
  <c r="AS40" i="8"/>
  <c r="AS67" i="8"/>
  <c r="AR62" i="8"/>
  <c r="AS16" i="8"/>
  <c r="AN16" i="8"/>
  <c r="AP16" i="8" s="1"/>
  <c r="AX16" i="8" s="1"/>
  <c r="AW16" i="8" s="1"/>
  <c r="AO16" i="8"/>
  <c r="AR63" i="8"/>
  <c r="AR53" i="8"/>
  <c r="BC46" i="8"/>
  <c r="AV44" i="8"/>
  <c r="AY44" i="8" s="1"/>
  <c r="AO40" i="8"/>
  <c r="AR40" i="8"/>
  <c r="BC18" i="8"/>
  <c r="AO62" i="8"/>
  <c r="AS62" i="8"/>
  <c r="AN37" i="8"/>
  <c r="AP37" i="8" s="1"/>
  <c r="AX37" i="8" s="1"/>
  <c r="AW37" i="8" s="1"/>
  <c r="AO37" i="8"/>
  <c r="AS37" i="8"/>
  <c r="AS47" i="8"/>
  <c r="AN47" i="8"/>
  <c r="AP47" i="8" s="1"/>
  <c r="AX47" i="8" s="1"/>
  <c r="AW47" i="8" s="1"/>
  <c r="AO47" i="8"/>
  <c r="AS57" i="8"/>
  <c r="AR51" i="8"/>
  <c r="AR79" i="8"/>
  <c r="AS75" i="8"/>
  <c r="AR73" i="8"/>
  <c r="AN72" i="8"/>
  <c r="AP72" i="8" s="1"/>
  <c r="AX72" i="8" s="1"/>
  <c r="AW72" i="8" s="1"/>
  <c r="AS64" i="8"/>
  <c r="BC61" i="8"/>
  <c r="BC54" i="8"/>
  <c r="BC48" i="8"/>
  <c r="AN21" i="8"/>
  <c r="AP21" i="8" s="1"/>
  <c r="AX21" i="8" s="1"/>
  <c r="AW21" i="8" s="1"/>
  <c r="AO21" i="8"/>
  <c r="AS21" i="8"/>
  <c r="AR17" i="8"/>
  <c r="AN10" i="8"/>
  <c r="AP10" i="8" s="1"/>
  <c r="AX10" i="8" s="1"/>
  <c r="AW10" i="8" s="1"/>
  <c r="AI72" i="8"/>
  <c r="BC72" i="8" s="1"/>
  <c r="AS72" i="8"/>
  <c r="AS73" i="8"/>
  <c r="AN73" i="8"/>
  <c r="AP73" i="8" s="1"/>
  <c r="AX73" i="8" s="1"/>
  <c r="AW73" i="8" s="1"/>
  <c r="AR67" i="8"/>
  <c r="AO63" i="8"/>
  <c r="AR59" i="8"/>
  <c r="AN57" i="8"/>
  <c r="AP57" i="8" s="1"/>
  <c r="AX57" i="8" s="1"/>
  <c r="AW57" i="8" s="1"/>
  <c r="AI52" i="8"/>
  <c r="BC52" i="8" s="1"/>
  <c r="AS44" i="8"/>
  <c r="AS42" i="8"/>
  <c r="AI38" i="8"/>
  <c r="BC38" i="8" s="1"/>
  <c r="AO32" i="8"/>
  <c r="AR7" i="8"/>
  <c r="AI56" i="8"/>
  <c r="BC56" i="8" s="1"/>
  <c r="AO49" i="8"/>
  <c r="AS46" i="8"/>
  <c r="AR36" i="8"/>
  <c r="AR28" i="8"/>
  <c r="AR20" i="8"/>
  <c r="AS10" i="8"/>
  <c r="AO10" i="8"/>
  <c r="BC6" i="8"/>
  <c r="AS39" i="8"/>
  <c r="AN9" i="8"/>
  <c r="AP9" i="8" s="1"/>
  <c r="AX9" i="8" s="1"/>
  <c r="AW9" i="8" s="1"/>
  <c r="AO9" i="8"/>
  <c r="AR39" i="8"/>
  <c r="AR15" i="8"/>
  <c r="AO65" i="8"/>
  <c r="AR31" i="8"/>
  <c r="AR23" i="8"/>
  <c r="AV13" i="8"/>
  <c r="AY13" i="8" s="1"/>
  <c r="AQ13" i="8"/>
  <c r="AS50" i="8"/>
  <c r="AN41" i="8"/>
  <c r="AP41" i="8" s="1"/>
  <c r="AX41" i="8" s="1"/>
  <c r="AW41" i="8" s="1"/>
  <c r="AO41" i="8"/>
  <c r="AS17" i="8"/>
  <c r="AN14" i="8"/>
  <c r="AP14" i="8" s="1"/>
  <c r="AX14" i="8" s="1"/>
  <c r="AW14" i="8" s="1"/>
  <c r="AO14" i="8"/>
  <c r="AV11" i="8"/>
  <c r="AY11" i="8" s="1"/>
  <c r="AI9" i="8"/>
  <c r="AO7" i="8"/>
  <c r="AS34" i="8"/>
  <c r="AO34" i="8"/>
  <c r="AS26" i="8"/>
  <c r="AO26" i="8"/>
  <c r="AS18" i="8"/>
  <c r="AO18" i="8"/>
  <c r="AN12" i="8"/>
  <c r="AP12" i="8" s="1"/>
  <c r="AX12" i="8" s="1"/>
  <c r="AW12" i="8" s="1"/>
  <c r="AN7" i="8"/>
  <c r="AP7" i="8" s="1"/>
  <c r="AX7" i="8" s="1"/>
  <c r="AW7" i="8" s="1"/>
  <c r="AI48" i="8"/>
  <c r="BB35" i="8"/>
  <c r="BC35" i="8" s="1"/>
  <c r="BA36" i="8"/>
  <c r="BB36" i="8" s="1"/>
  <c r="BC36" i="8" s="1"/>
  <c r="AN33" i="8"/>
  <c r="AP33" i="8" s="1"/>
  <c r="AX33" i="8" s="1"/>
  <c r="AW33" i="8" s="1"/>
  <c r="AO33" i="8"/>
  <c r="AN25" i="8"/>
  <c r="AP25" i="8" s="1"/>
  <c r="AX25" i="8" s="1"/>
  <c r="AW25" i="8" s="1"/>
  <c r="AO25" i="8"/>
  <c r="AN17" i="8"/>
  <c r="AP17" i="8" s="1"/>
  <c r="AX17" i="8" s="1"/>
  <c r="AW17" i="8" s="1"/>
  <c r="AO17" i="8"/>
  <c r="AO12" i="8"/>
  <c r="AS12" i="8"/>
  <c r="AS7" i="8"/>
  <c r="AI238" i="1"/>
  <c r="AK242" i="1"/>
  <c r="AL242" i="1" s="1"/>
  <c r="AK232" i="1"/>
  <c r="AL232" i="1" s="1"/>
  <c r="AI240" i="1"/>
  <c r="AI241" i="1" s="1"/>
  <c r="BL713" i="1"/>
  <c r="BM713" i="1"/>
  <c r="BL714" i="1"/>
  <c r="BM714" i="1"/>
  <c r="BL715" i="1"/>
  <c r="BM715" i="1"/>
  <c r="BL716" i="1"/>
  <c r="BM716" i="1"/>
  <c r="BL717" i="1"/>
  <c r="BM717" i="1"/>
  <c r="BL718" i="1"/>
  <c r="BM718" i="1"/>
  <c r="BL719" i="1"/>
  <c r="BM719" i="1"/>
  <c r="BL720" i="1"/>
  <c r="BM720" i="1"/>
  <c r="BL721" i="1"/>
  <c r="BM721" i="1"/>
  <c r="BL722" i="1"/>
  <c r="BM722" i="1"/>
  <c r="BL723" i="1"/>
  <c r="BM723" i="1"/>
  <c r="BL724" i="1"/>
  <c r="BM724" i="1"/>
  <c r="BL725" i="1"/>
  <c r="BM725" i="1"/>
  <c r="BL726" i="1"/>
  <c r="BM726" i="1"/>
  <c r="BL727" i="1"/>
  <c r="BM727" i="1"/>
  <c r="BL728" i="1"/>
  <c r="BM728" i="1"/>
  <c r="BL729" i="1"/>
  <c r="BM729" i="1"/>
  <c r="BL730" i="1"/>
  <c r="BM730" i="1"/>
  <c r="BL731" i="1"/>
  <c r="BM731" i="1"/>
  <c r="BL732" i="1"/>
  <c r="BM732" i="1"/>
  <c r="BL733" i="1"/>
  <c r="BM733" i="1"/>
  <c r="BL734" i="1"/>
  <c r="BM734" i="1"/>
  <c r="BL735" i="1"/>
  <c r="BM735" i="1"/>
  <c r="BL736" i="1"/>
  <c r="BM736" i="1"/>
  <c r="BL737" i="1"/>
  <c r="BM737" i="1"/>
  <c r="BL738" i="1"/>
  <c r="BM738" i="1"/>
  <c r="AY710" i="1" a="1"/>
  <c r="AY710" i="1" s="1"/>
  <c r="AY711" i="1" a="1"/>
  <c r="AY711" i="1" s="1"/>
  <c r="AV712" i="1" a="1"/>
  <c r="AV712" i="1" s="1"/>
  <c r="AV713" i="1" a="1"/>
  <c r="AV713" i="1" s="1"/>
  <c r="AX713" i="1" a="1"/>
  <c r="AX713" i="1" s="1"/>
  <c r="AY713" i="1" a="1"/>
  <c r="AY713" i="1" s="1"/>
  <c r="AV715" i="1" a="1"/>
  <c r="AV715" i="1" s="1"/>
  <c r="AY715" i="1" a="1"/>
  <c r="AY715" i="1" s="1"/>
  <c r="AV716" i="1" a="1"/>
  <c r="AV716" i="1" s="1"/>
  <c r="AY721" i="1" a="1"/>
  <c r="AY721" i="1" s="1"/>
  <c r="AV723" i="1" a="1"/>
  <c r="AV723" i="1" s="1"/>
  <c r="AY723" i="1" a="1"/>
  <c r="AY723" i="1" s="1"/>
  <c r="AV724" i="1" a="1"/>
  <c r="AV724" i="1" s="1"/>
  <c r="AX724" i="1" a="1"/>
  <c r="AX724" i="1" s="1"/>
  <c r="AY724" i="1" a="1"/>
  <c r="AY724" i="1" s="1"/>
  <c r="AV725" i="1" a="1"/>
  <c r="AV725" i="1" s="1"/>
  <c r="AY725" i="1" a="1"/>
  <c r="AY725" i="1" s="1"/>
  <c r="AV726" i="1" a="1"/>
  <c r="AV726" i="1" s="1"/>
  <c r="AX726" i="1" a="1"/>
  <c r="AX726" i="1" s="1"/>
  <c r="AY726" i="1" a="1"/>
  <c r="AY726" i="1" s="1"/>
  <c r="AV728" i="1" a="1"/>
  <c r="AV728" i="1" s="1"/>
  <c r="AY728" i="1" a="1"/>
  <c r="AY728" i="1" s="1"/>
  <c r="AY729" i="1" a="1"/>
  <c r="AY729" i="1" s="1"/>
  <c r="AY730" i="1" a="1"/>
  <c r="AY730" i="1" s="1"/>
  <c r="AV731" i="1" a="1"/>
  <c r="AV731" i="1" s="1"/>
  <c r="AX731" i="1" a="1"/>
  <c r="AX731" i="1" s="1"/>
  <c r="AI27" i="1"/>
  <c r="AJ27" i="1"/>
  <c r="AK27" i="1"/>
  <c r="AL27" i="1"/>
  <c r="AN27" i="1"/>
  <c r="AM27" i="1" s="1"/>
  <c r="AQ27" i="1" s="1"/>
  <c r="AO27" i="1"/>
  <c r="AP27" i="1"/>
  <c r="AR27" i="1"/>
  <c r="AI28" i="1"/>
  <c r="AI29" i="1" s="1"/>
  <c r="AI30" i="1" s="1"/>
  <c r="AJ28" i="1"/>
  <c r="AJ29" i="1" s="1"/>
  <c r="AJ30" i="1" s="1"/>
  <c r="AK28" i="1"/>
  <c r="AN28" i="1"/>
  <c r="AK29" i="1"/>
  <c r="AL29" i="1"/>
  <c r="AK30" i="1"/>
  <c r="AL30" i="1"/>
  <c r="AI31" i="1"/>
  <c r="AK31" i="1" s="1"/>
  <c r="AJ31" i="1"/>
  <c r="AL31" i="1"/>
  <c r="AN31" i="1"/>
  <c r="AM31" i="1" s="1"/>
  <c r="AQ31" i="1" s="1"/>
  <c r="AO31" i="1"/>
  <c r="AP31" i="1"/>
  <c r="AP32" i="1" s="1"/>
  <c r="AR31" i="1"/>
  <c r="AI32" i="1"/>
  <c r="AI33" i="1" s="1"/>
  <c r="AJ32" i="1"/>
  <c r="AJ33" i="1" s="1"/>
  <c r="AK32" i="1"/>
  <c r="AO32" i="1" s="1"/>
  <c r="AO33" i="1" s="1"/>
  <c r="AL32" i="1"/>
  <c r="AN32" i="1"/>
  <c r="AK33" i="1"/>
  <c r="AL33" i="1"/>
  <c r="AN33" i="1"/>
  <c r="AM33" i="1" s="1"/>
  <c r="AQ33" i="1" s="1"/>
  <c r="AI34" i="1"/>
  <c r="AJ34" i="1"/>
  <c r="AK34" i="1"/>
  <c r="AL34" i="1"/>
  <c r="AM34" i="1"/>
  <c r="AN34" i="1"/>
  <c r="AO34" i="1"/>
  <c r="AP34" i="1"/>
  <c r="AQ34" i="1"/>
  <c r="AR34" i="1"/>
  <c r="AI35" i="1"/>
  <c r="AJ35" i="1"/>
  <c r="AK35" i="1"/>
  <c r="AL35" i="1"/>
  <c r="AN35" i="1"/>
  <c r="AM35" i="1" s="1"/>
  <c r="AQ35" i="1" s="1"/>
  <c r="AO35" i="1"/>
  <c r="AP35" i="1"/>
  <c r="AR35" i="1"/>
  <c r="AI36" i="1"/>
  <c r="AJ36" i="1"/>
  <c r="AK36" i="1"/>
  <c r="AN36" i="1"/>
  <c r="AI37" i="1"/>
  <c r="AJ37" i="1"/>
  <c r="AK37" i="1"/>
  <c r="AL37" i="1"/>
  <c r="AI38" i="1"/>
  <c r="AI39" i="1" s="1"/>
  <c r="AJ38" i="1"/>
  <c r="AK38" i="1"/>
  <c r="AL38" i="1" s="1"/>
  <c r="AP38" i="1" s="1"/>
  <c r="AP39" i="1" s="1"/>
  <c r="AP40" i="1" s="1"/>
  <c r="AM38" i="1"/>
  <c r="AN38" i="1"/>
  <c r="AN39" i="1" s="1"/>
  <c r="AM39" i="1" s="1"/>
  <c r="AQ39" i="1" s="1"/>
  <c r="AO38" i="1"/>
  <c r="AO39" i="1" s="1"/>
  <c r="AQ38" i="1"/>
  <c r="AR38" i="1"/>
  <c r="AJ39" i="1"/>
  <c r="AJ40" i="1" s="1"/>
  <c r="AK39" i="1"/>
  <c r="AL39" i="1"/>
  <c r="AI40" i="1"/>
  <c r="AK40" i="1"/>
  <c r="AL40" i="1"/>
  <c r="AN40" i="1"/>
  <c r="AI41" i="1"/>
  <c r="AI42" i="1" s="1"/>
  <c r="AJ41" i="1"/>
  <c r="AJ42" i="1" s="1"/>
  <c r="AK41" i="1"/>
  <c r="AL41" i="1" s="1"/>
  <c r="AP41" i="1" s="1"/>
  <c r="AM41" i="1"/>
  <c r="AQ41" i="1" s="1"/>
  <c r="AN41" i="1"/>
  <c r="AO41" i="1"/>
  <c r="AR41" i="1"/>
  <c r="AK42" i="1"/>
  <c r="AL42" i="1"/>
  <c r="AP42" i="1" s="1"/>
  <c r="AN42" i="1"/>
  <c r="AO42" i="1"/>
  <c r="AI43" i="1"/>
  <c r="AJ43" i="1"/>
  <c r="AK43" i="1"/>
  <c r="AL43" i="1"/>
  <c r="AN43" i="1"/>
  <c r="AM43" i="1" s="1"/>
  <c r="AQ43" i="1" s="1"/>
  <c r="AO43" i="1"/>
  <c r="AP43" i="1"/>
  <c r="AR43" i="1"/>
  <c r="AI44" i="1"/>
  <c r="AJ44" i="1"/>
  <c r="AK44" i="1"/>
  <c r="AN44" i="1"/>
  <c r="AI45" i="1"/>
  <c r="AI46" i="1" s="1"/>
  <c r="AI47" i="1" s="1"/>
  <c r="AJ45" i="1"/>
  <c r="AJ46" i="1" s="1"/>
  <c r="AK45" i="1"/>
  <c r="AL45" i="1" s="1"/>
  <c r="AP45" i="1" s="1"/>
  <c r="AM45" i="1"/>
  <c r="AQ45" i="1" s="1"/>
  <c r="AN45" i="1"/>
  <c r="AN46" i="1" s="1"/>
  <c r="AO45" i="1"/>
  <c r="AR45" i="1"/>
  <c r="AK46" i="1"/>
  <c r="AO46" i="1" s="1"/>
  <c r="AO47" i="1" s="1"/>
  <c r="AL46" i="1"/>
  <c r="AP46" i="1" s="1"/>
  <c r="AP47" i="1" s="1"/>
  <c r="AP48" i="1" s="1"/>
  <c r="AM46" i="1"/>
  <c r="AQ46" i="1" s="1"/>
  <c r="AJ47" i="1"/>
  <c r="AJ48" i="1" s="1"/>
  <c r="AK47" i="1"/>
  <c r="AL47" i="1"/>
  <c r="AI48" i="1"/>
  <c r="AK48" i="1"/>
  <c r="AL48" i="1"/>
  <c r="AI49" i="1"/>
  <c r="AI50" i="1" s="1"/>
  <c r="AI51" i="1" s="1"/>
  <c r="AJ49" i="1"/>
  <c r="AJ50" i="1" s="1"/>
  <c r="AJ51" i="1" s="1"/>
  <c r="AK49" i="1"/>
  <c r="AL49" i="1"/>
  <c r="AP49" i="1" s="1"/>
  <c r="AP50" i="1" s="1"/>
  <c r="AP51" i="1" s="1"/>
  <c r="AN49" i="1"/>
  <c r="AO49" i="1"/>
  <c r="AO50" i="1" s="1"/>
  <c r="AO51" i="1" s="1"/>
  <c r="AR49" i="1"/>
  <c r="AK50" i="1"/>
  <c r="AL50" i="1"/>
  <c r="AK51" i="1"/>
  <c r="AL51" i="1"/>
  <c r="AI52" i="1"/>
  <c r="AK52" i="1" s="1"/>
  <c r="AJ52" i="1"/>
  <c r="AN52" i="1"/>
  <c r="AI53" i="1"/>
  <c r="AI54" i="1" s="1"/>
  <c r="AJ53" i="1"/>
  <c r="AJ54" i="1" s="1"/>
  <c r="AK53" i="1"/>
  <c r="AL53" i="1"/>
  <c r="AM53" i="1"/>
  <c r="AQ53" i="1" s="1"/>
  <c r="AN53" i="1"/>
  <c r="AK54" i="1"/>
  <c r="AL54" i="1"/>
  <c r="AI55" i="1"/>
  <c r="AJ55" i="1"/>
  <c r="AJ56" i="1" s="1"/>
  <c r="AK55" i="1"/>
  <c r="AL55" i="1"/>
  <c r="AP55" i="1" s="1"/>
  <c r="AP56" i="1" s="1"/>
  <c r="AN55" i="1"/>
  <c r="AM55" i="1" s="1"/>
  <c r="AQ55" i="1" s="1"/>
  <c r="AO55" i="1"/>
  <c r="AR55" i="1"/>
  <c r="AI56" i="1"/>
  <c r="AK56" i="1"/>
  <c r="AO56" i="1" s="1"/>
  <c r="AL56" i="1"/>
  <c r="AN56" i="1"/>
  <c r="AI57" i="1"/>
  <c r="AJ57" i="1"/>
  <c r="AJ58" i="1" s="1"/>
  <c r="AM57" i="1"/>
  <c r="AQ57" i="1" s="1"/>
  <c r="AN57" i="1"/>
  <c r="AR57" i="1"/>
  <c r="AK58" i="1"/>
  <c r="AL58" i="1"/>
  <c r="AN58" i="1"/>
  <c r="AM58" i="1" s="1"/>
  <c r="AQ58" i="1"/>
  <c r="AR58" i="1"/>
  <c r="AI59" i="1"/>
  <c r="AJ59" i="1"/>
  <c r="AK59" i="1"/>
  <c r="AL59" i="1"/>
  <c r="AN59" i="1"/>
  <c r="AM59" i="1" s="1"/>
  <c r="AQ59" i="1" s="1"/>
  <c r="AO59" i="1"/>
  <c r="AP59" i="1"/>
  <c r="AR59" i="1"/>
  <c r="AI60" i="1"/>
  <c r="AI61" i="1" s="1"/>
  <c r="AJ60" i="1"/>
  <c r="AJ61" i="1" s="1"/>
  <c r="AK60" i="1"/>
  <c r="AN60" i="1"/>
  <c r="AK61" i="1"/>
  <c r="AL61" i="1"/>
  <c r="AI62" i="1"/>
  <c r="AI63" i="1" s="1"/>
  <c r="AJ62" i="1"/>
  <c r="AK62" i="1"/>
  <c r="AM62" i="1"/>
  <c r="AQ62" i="1" s="1"/>
  <c r="AN62" i="1"/>
  <c r="AN63" i="1" s="1"/>
  <c r="AM63" i="1" s="1"/>
  <c r="AR62" i="1"/>
  <c r="AJ63" i="1"/>
  <c r="AK63" i="1"/>
  <c r="AL63" i="1"/>
  <c r="AQ63" i="1"/>
  <c r="AR63" i="1"/>
  <c r="AI64" i="1"/>
  <c r="AJ64" i="1"/>
  <c r="AN64" i="1"/>
  <c r="AJ65" i="1"/>
  <c r="AK65" i="1"/>
  <c r="AL65" i="1"/>
  <c r="AM65" i="1"/>
  <c r="AQ65" i="1" s="1"/>
  <c r="AN65" i="1"/>
  <c r="AR65" i="1"/>
  <c r="AI66" i="1"/>
  <c r="AI67" i="1" s="1"/>
  <c r="AI68" i="1" s="1"/>
  <c r="AI69" i="1" s="1"/>
  <c r="AJ66" i="1"/>
  <c r="AK66" i="1"/>
  <c r="AL66" i="1"/>
  <c r="AN66" i="1"/>
  <c r="AN67" i="1" s="1"/>
  <c r="AM67" i="1" s="1"/>
  <c r="AO66" i="1"/>
  <c r="AP66" i="1"/>
  <c r="AR66" i="1"/>
  <c r="AJ67" i="1"/>
  <c r="AJ68" i="1" s="1"/>
  <c r="AJ69" i="1" s="1"/>
  <c r="AK67" i="1"/>
  <c r="AL67" i="1"/>
  <c r="AO67" i="1"/>
  <c r="AP67" i="1"/>
  <c r="AP68" i="1" s="1"/>
  <c r="AQ67" i="1"/>
  <c r="AK68" i="1"/>
  <c r="AL68" i="1"/>
  <c r="AK69" i="1"/>
  <c r="AL69" i="1"/>
  <c r="AP69" i="1" s="1"/>
  <c r="AI70" i="1"/>
  <c r="AJ70" i="1"/>
  <c r="AK70" i="1"/>
  <c r="AL70" i="1" s="1"/>
  <c r="AP70" i="1" s="1"/>
  <c r="AN70" i="1"/>
  <c r="AN71" i="1" s="1"/>
  <c r="AM71" i="1" s="1"/>
  <c r="AQ71" i="1" s="1"/>
  <c r="AO70" i="1"/>
  <c r="AO71" i="1" s="1"/>
  <c r="AR70" i="1"/>
  <c r="AI71" i="1"/>
  <c r="AJ71" i="1"/>
  <c r="AK71" i="1"/>
  <c r="AL71" i="1"/>
  <c r="AI72" i="1"/>
  <c r="AI73" i="1" s="1"/>
  <c r="AJ72" i="1"/>
  <c r="AJ73" i="1" s="1"/>
  <c r="AK72" i="1"/>
  <c r="AL72" i="1"/>
  <c r="AN72" i="1"/>
  <c r="AK73" i="1"/>
  <c r="AL73" i="1"/>
  <c r="AI74" i="1"/>
  <c r="AJ74" i="1"/>
  <c r="AK74" i="1"/>
  <c r="AO74" i="1" s="1"/>
  <c r="AO75" i="1" s="1"/>
  <c r="AL74" i="1"/>
  <c r="AP74" i="1" s="1"/>
  <c r="AM74" i="1"/>
  <c r="AQ74" i="1" s="1"/>
  <c r="AN74" i="1"/>
  <c r="AI75" i="1"/>
  <c r="AJ75" i="1"/>
  <c r="AK75" i="1"/>
  <c r="AL75" i="1"/>
  <c r="AP75" i="1"/>
  <c r="AI76" i="1"/>
  <c r="AK76" i="1" s="1"/>
  <c r="AJ76" i="1"/>
  <c r="AN76" i="1"/>
  <c r="AI77" i="1"/>
  <c r="AK77" i="1" s="1"/>
  <c r="AL77" i="1" s="1"/>
  <c r="AP77" i="1" s="1"/>
  <c r="AJ77" i="1"/>
  <c r="AM77" i="1"/>
  <c r="AQ77" i="1" s="1"/>
  <c r="AN77" i="1"/>
  <c r="AO77" i="1"/>
  <c r="AR77" i="1"/>
  <c r="AI78" i="1"/>
  <c r="AJ78" i="1"/>
  <c r="AK78" i="1"/>
  <c r="AL78" i="1"/>
  <c r="AN78" i="1"/>
  <c r="AM78" i="1" s="1"/>
  <c r="AQ78" i="1" s="1"/>
  <c r="AO78" i="1"/>
  <c r="AP78" i="1"/>
  <c r="AR78" i="1"/>
  <c r="AI79" i="1"/>
  <c r="AK79" i="1" s="1"/>
  <c r="AJ79" i="1"/>
  <c r="AL79" i="1"/>
  <c r="AN79" i="1"/>
  <c r="AM79" i="1" s="1"/>
  <c r="AQ79" i="1" s="1"/>
  <c r="AO79" i="1"/>
  <c r="AP79" i="1"/>
  <c r="AR79" i="1"/>
  <c r="AI80" i="1"/>
  <c r="AJ80" i="1"/>
  <c r="AK80" i="1"/>
  <c r="AN80" i="1"/>
  <c r="AI81" i="1"/>
  <c r="AJ81" i="1"/>
  <c r="AJ82" i="1" s="1"/>
  <c r="AM81" i="1"/>
  <c r="AQ81" i="1" s="1"/>
  <c r="AN81" i="1"/>
  <c r="AR81" i="1"/>
  <c r="AK82" i="1"/>
  <c r="AL82" i="1"/>
  <c r="AM82" i="1"/>
  <c r="AN82" i="1"/>
  <c r="AQ82" i="1"/>
  <c r="AR82" i="1"/>
  <c r="AI83" i="1"/>
  <c r="AK83" i="1" s="1"/>
  <c r="AO83" i="1" s="1"/>
  <c r="AJ83" i="1"/>
  <c r="AN83" i="1"/>
  <c r="AM83" i="1" s="1"/>
  <c r="AQ83" i="1"/>
  <c r="AR83" i="1"/>
  <c r="AI84" i="1"/>
  <c r="AJ84" i="1"/>
  <c r="AJ85" i="1" s="1"/>
  <c r="AK84" i="1"/>
  <c r="AO84" i="1" s="1"/>
  <c r="AO85" i="1" s="1"/>
  <c r="AL84" i="1"/>
  <c r="AN84" i="1"/>
  <c r="AP84" i="1"/>
  <c r="AI85" i="1"/>
  <c r="AK85" i="1"/>
  <c r="AL85" i="1"/>
  <c r="AI86" i="1"/>
  <c r="AJ86" i="1"/>
  <c r="AK86" i="1"/>
  <c r="AL86" i="1"/>
  <c r="AM86" i="1"/>
  <c r="AQ86" i="1" s="1"/>
  <c r="AN86" i="1"/>
  <c r="AO86" i="1"/>
  <c r="AO87" i="1" s="1"/>
  <c r="AP86" i="1"/>
  <c r="AI87" i="1"/>
  <c r="AJ87" i="1"/>
  <c r="AK87" i="1"/>
  <c r="AL87" i="1"/>
  <c r="AP87" i="1" s="1"/>
  <c r="AP88" i="1" s="1"/>
  <c r="AI88" i="1"/>
  <c r="AI89" i="1" s="1"/>
  <c r="AJ88" i="1"/>
  <c r="AK88" i="1"/>
  <c r="AO88" i="1" s="1"/>
  <c r="AL88" i="1"/>
  <c r="AN88" i="1"/>
  <c r="AJ89" i="1"/>
  <c r="AK89" i="1"/>
  <c r="AL89" i="1"/>
  <c r="AN89" i="1"/>
  <c r="AM89" i="1" s="1"/>
  <c r="AQ89" i="1" s="1"/>
  <c r="AO89" i="1"/>
  <c r="AR89" i="1"/>
  <c r="AI90" i="1"/>
  <c r="AJ90" i="1"/>
  <c r="AK90" i="1"/>
  <c r="AL90" i="1" s="1"/>
  <c r="AP90" i="1" s="1"/>
  <c r="AM90" i="1"/>
  <c r="AN90" i="1"/>
  <c r="AO90" i="1"/>
  <c r="AQ90" i="1"/>
  <c r="AR90" i="1"/>
  <c r="AI91" i="1"/>
  <c r="AK91" i="1" s="1"/>
  <c r="AJ91" i="1"/>
  <c r="AJ92" i="1" s="1"/>
  <c r="AL91" i="1"/>
  <c r="AN91" i="1"/>
  <c r="AM91" i="1" s="1"/>
  <c r="AQ91" i="1" s="1"/>
  <c r="AO91" i="1"/>
  <c r="AP91" i="1"/>
  <c r="AP92" i="1" s="1"/>
  <c r="AR91" i="1"/>
  <c r="AI92" i="1"/>
  <c r="AK92" i="1"/>
  <c r="AL92" i="1"/>
  <c r="AN92" i="1"/>
  <c r="AI93" i="1"/>
  <c r="AI94" i="1" s="1"/>
  <c r="AJ93" i="1"/>
  <c r="AJ94" i="1" s="1"/>
  <c r="AK93" i="1"/>
  <c r="AO93" i="1" s="1"/>
  <c r="AO94" i="1" s="1"/>
  <c r="AL93" i="1"/>
  <c r="AP93" i="1" s="1"/>
  <c r="AP94" i="1" s="1"/>
  <c r="AM93" i="1"/>
  <c r="AQ93" i="1" s="1"/>
  <c r="AN93" i="1"/>
  <c r="AR93" i="1"/>
  <c r="AK94" i="1"/>
  <c r="AL94" i="1"/>
  <c r="AM94" i="1"/>
  <c r="AQ94" i="1" s="1"/>
  <c r="AN94" i="1"/>
  <c r="AR94" i="1"/>
  <c r="AI95" i="1"/>
  <c r="AK95" i="1" s="1"/>
  <c r="AO95" i="1" s="1"/>
  <c r="AJ95" i="1"/>
  <c r="AL95" i="1"/>
  <c r="AP95" i="1" s="1"/>
  <c r="AP96" i="1" s="1"/>
  <c r="AN95" i="1"/>
  <c r="AM95" i="1" s="1"/>
  <c r="AQ95" i="1"/>
  <c r="AR95" i="1"/>
  <c r="AI96" i="1"/>
  <c r="AJ96" i="1"/>
  <c r="AK96" i="1"/>
  <c r="AO96" i="1" s="1"/>
  <c r="AL96" i="1"/>
  <c r="AN96" i="1"/>
  <c r="AI97" i="1"/>
  <c r="AK97" i="1" s="1"/>
  <c r="AJ97" i="1"/>
  <c r="AN97" i="1"/>
  <c r="AM97" i="1" s="1"/>
  <c r="AQ97" i="1" s="1"/>
  <c r="AR97" i="1"/>
  <c r="AI98" i="1"/>
  <c r="AJ98" i="1"/>
  <c r="AK98" i="1"/>
  <c r="AL98" i="1"/>
  <c r="AP98" i="1" s="1"/>
  <c r="AM98" i="1"/>
  <c r="AQ98" i="1" s="1"/>
  <c r="AN98" i="1"/>
  <c r="AR98" i="1" s="1"/>
  <c r="AO98" i="1"/>
  <c r="AI99" i="1"/>
  <c r="AJ99" i="1"/>
  <c r="AK99" i="1"/>
  <c r="AL99" i="1"/>
  <c r="AN99" i="1"/>
  <c r="AM99" i="1" s="1"/>
  <c r="AO99" i="1"/>
  <c r="AP99" i="1"/>
  <c r="AP100" i="1" s="1"/>
  <c r="AQ99" i="1"/>
  <c r="AR99" i="1"/>
  <c r="AI100" i="1"/>
  <c r="AJ100" i="1"/>
  <c r="AK100" i="1"/>
  <c r="AL100" i="1"/>
  <c r="AN100" i="1"/>
  <c r="AI101" i="1"/>
  <c r="AI102" i="1" s="1"/>
  <c r="AJ101" i="1"/>
  <c r="AJ102" i="1" s="1"/>
  <c r="AK101" i="1"/>
  <c r="AL101" i="1"/>
  <c r="AP101" i="1" s="1"/>
  <c r="AP102" i="1" s="1"/>
  <c r="AM101" i="1"/>
  <c r="AQ101" i="1" s="1"/>
  <c r="AN101" i="1"/>
  <c r="AO101" i="1"/>
  <c r="AR101" i="1"/>
  <c r="AK102" i="1"/>
  <c r="AO102" i="1" s="1"/>
  <c r="AL102" i="1"/>
  <c r="AN102" i="1"/>
  <c r="AI103" i="1"/>
  <c r="AJ103" i="1"/>
  <c r="AJ104" i="1" s="1"/>
  <c r="AK103" i="1"/>
  <c r="AL103" i="1"/>
  <c r="AN103" i="1"/>
  <c r="AM103" i="1" s="1"/>
  <c r="AO103" i="1"/>
  <c r="AP103" i="1"/>
  <c r="AQ103" i="1"/>
  <c r="AR103" i="1"/>
  <c r="AI104" i="1"/>
  <c r="AK104" i="1"/>
  <c r="AL104" i="1"/>
  <c r="AN104" i="1"/>
  <c r="AP104" i="1"/>
  <c r="AI105" i="1"/>
  <c r="AI106" i="1" s="1"/>
  <c r="AJ105" i="1"/>
  <c r="AJ106" i="1" s="1"/>
  <c r="AK105" i="1"/>
  <c r="AO105" i="1" s="1"/>
  <c r="AM105" i="1"/>
  <c r="AQ105" i="1" s="1"/>
  <c r="AN105" i="1"/>
  <c r="AR105" i="1"/>
  <c r="AK106" i="1"/>
  <c r="AL106" i="1"/>
  <c r="AM106" i="1"/>
  <c r="AN106" i="1"/>
  <c r="AO106" i="1"/>
  <c r="AQ106" i="1"/>
  <c r="AR106" i="1"/>
  <c r="AI107" i="1"/>
  <c r="AK107" i="1" s="1"/>
  <c r="AO107" i="1" s="1"/>
  <c r="AJ107" i="1"/>
  <c r="AL107" i="1"/>
  <c r="AN107" i="1"/>
  <c r="AM107" i="1" s="1"/>
  <c r="AQ107" i="1" s="1"/>
  <c r="AP107" i="1"/>
  <c r="AR107" i="1"/>
  <c r="AI108" i="1"/>
  <c r="AJ108" i="1"/>
  <c r="AK108" i="1"/>
  <c r="AN108" i="1"/>
  <c r="AI109" i="1"/>
  <c r="AJ109" i="1"/>
  <c r="AK109" i="1"/>
  <c r="AL109" i="1"/>
  <c r="AI110" i="1"/>
  <c r="AJ110" i="1"/>
  <c r="AK110" i="1"/>
  <c r="AL110" i="1"/>
  <c r="AN110" i="1"/>
  <c r="AO110" i="1"/>
  <c r="AO111" i="1" s="1"/>
  <c r="AP110" i="1"/>
  <c r="AP111" i="1" s="1"/>
  <c r="AI111" i="1"/>
  <c r="AJ111" i="1"/>
  <c r="AK111" i="1"/>
  <c r="AL111" i="1"/>
  <c r="AI112" i="1"/>
  <c r="AI113" i="1" s="1"/>
  <c r="AJ112" i="1"/>
  <c r="AK112" i="1"/>
  <c r="AN112" i="1"/>
  <c r="AJ113" i="1"/>
  <c r="AK113" i="1"/>
  <c r="AL113" i="1"/>
  <c r="AI114" i="1"/>
  <c r="AJ114" i="1"/>
  <c r="AK114" i="1"/>
  <c r="AL114" i="1"/>
  <c r="AP114" i="1" s="1"/>
  <c r="AM114" i="1"/>
  <c r="AN114" i="1"/>
  <c r="AO114" i="1"/>
  <c r="AQ114" i="1"/>
  <c r="AR114" i="1"/>
  <c r="AI115" i="1"/>
  <c r="AK115" i="1" s="1"/>
  <c r="AL115" i="1" s="1"/>
  <c r="AP115" i="1" s="1"/>
  <c r="AJ115" i="1"/>
  <c r="AN115" i="1"/>
  <c r="AM115" i="1" s="1"/>
  <c r="AQ115" i="1"/>
  <c r="AR115" i="1"/>
  <c r="AI116" i="1"/>
  <c r="AJ116" i="1"/>
  <c r="AK116" i="1"/>
  <c r="AN116" i="1"/>
  <c r="AI117" i="1"/>
  <c r="AI118" i="1" s="1"/>
  <c r="AJ117" i="1"/>
  <c r="AJ118" i="1" s="1"/>
  <c r="AN117" i="1"/>
  <c r="AM117" i="1" s="1"/>
  <c r="AQ117" i="1" s="1"/>
  <c r="AR117" i="1"/>
  <c r="AK118" i="1"/>
  <c r="AL118" i="1"/>
  <c r="AN118" i="1"/>
  <c r="AM118" i="1" s="1"/>
  <c r="AQ118" i="1"/>
  <c r="AR118" i="1"/>
  <c r="AI119" i="1"/>
  <c r="AK119" i="1" s="1"/>
  <c r="AJ119" i="1"/>
  <c r="AN119" i="1"/>
  <c r="AM119" i="1" s="1"/>
  <c r="AQ119" i="1" s="1"/>
  <c r="AR119" i="1"/>
  <c r="AI120" i="1"/>
  <c r="AK120" i="1" s="1"/>
  <c r="AJ120" i="1"/>
  <c r="AN120" i="1"/>
  <c r="AI121" i="1"/>
  <c r="AJ121" i="1"/>
  <c r="AK121" i="1"/>
  <c r="AL121" i="1"/>
  <c r="AI122" i="1"/>
  <c r="AJ122" i="1"/>
  <c r="AK122" i="1"/>
  <c r="AL122" i="1"/>
  <c r="AM122" i="1"/>
  <c r="AQ122" i="1" s="1"/>
  <c r="AN122" i="1"/>
  <c r="AN123" i="1" s="1"/>
  <c r="AM123" i="1" s="1"/>
  <c r="AQ123" i="1" s="1"/>
  <c r="AO122" i="1"/>
  <c r="AO123" i="1" s="1"/>
  <c r="AP122" i="1"/>
  <c r="AR122" i="1"/>
  <c r="AI123" i="1"/>
  <c r="AJ123" i="1"/>
  <c r="AK123" i="1"/>
  <c r="AL123" i="1"/>
  <c r="AP123" i="1" s="1"/>
  <c r="AI124" i="1"/>
  <c r="AI125" i="1" s="1"/>
  <c r="AI126" i="1" s="1"/>
  <c r="AJ124" i="1"/>
  <c r="AJ125" i="1" s="1"/>
  <c r="AJ126" i="1" s="1"/>
  <c r="AN124" i="1"/>
  <c r="AK125" i="1"/>
  <c r="AL125" i="1"/>
  <c r="AK126" i="1"/>
  <c r="AL126" i="1"/>
  <c r="AI127" i="1"/>
  <c r="AK127" i="1" s="1"/>
  <c r="AJ127" i="1"/>
  <c r="AL127" i="1"/>
  <c r="AN127" i="1"/>
  <c r="AM127" i="1" s="1"/>
  <c r="AO127" i="1"/>
  <c r="AP127" i="1"/>
  <c r="AQ127" i="1"/>
  <c r="AR127" i="1"/>
  <c r="AI128" i="1"/>
  <c r="AJ128" i="1"/>
  <c r="AK128" i="1"/>
  <c r="AN128" i="1"/>
  <c r="AI129" i="1"/>
  <c r="AI130" i="1" s="1"/>
  <c r="AI131" i="1" s="1"/>
  <c r="AJ129" i="1"/>
  <c r="AJ130" i="1" s="1"/>
  <c r="AJ131" i="1" s="1"/>
  <c r="AK129" i="1"/>
  <c r="AL129" i="1"/>
  <c r="AP129" i="1" s="1"/>
  <c r="AN129" i="1"/>
  <c r="AO129" i="1"/>
  <c r="AK130" i="1"/>
  <c r="AL130" i="1"/>
  <c r="AK131" i="1"/>
  <c r="AL131" i="1"/>
  <c r="AI132" i="1"/>
  <c r="AJ132" i="1"/>
  <c r="AJ133" i="1" s="1"/>
  <c r="AN132" i="1"/>
  <c r="AK133" i="1"/>
  <c r="AL133" i="1"/>
  <c r="AN133" i="1"/>
  <c r="AM133" i="1" s="1"/>
  <c r="AQ133" i="1" s="1"/>
  <c r="AR133" i="1"/>
  <c r="AI134" i="1"/>
  <c r="AJ134" i="1"/>
  <c r="AK134" i="1"/>
  <c r="AL134" i="1" s="1"/>
  <c r="AP134" i="1" s="1"/>
  <c r="AP135" i="1" s="1"/>
  <c r="AP136" i="1" s="1"/>
  <c r="AM134" i="1"/>
  <c r="AQ134" i="1" s="1"/>
  <c r="AN134" i="1"/>
  <c r="AN135" i="1" s="1"/>
  <c r="AM135" i="1" s="1"/>
  <c r="AO134" i="1"/>
  <c r="AR134" i="1"/>
  <c r="AI135" i="1"/>
  <c r="AJ135" i="1"/>
  <c r="AK135" i="1"/>
  <c r="AL135" i="1"/>
  <c r="AO135" i="1"/>
  <c r="AQ135" i="1"/>
  <c r="AI136" i="1"/>
  <c r="AJ136" i="1"/>
  <c r="AK136" i="1"/>
  <c r="AL136" i="1"/>
  <c r="AN136" i="1"/>
  <c r="AI137" i="1"/>
  <c r="AJ137" i="1"/>
  <c r="AK137" i="1"/>
  <c r="AL137" i="1"/>
  <c r="AI138" i="1"/>
  <c r="AJ138" i="1"/>
  <c r="AK138" i="1"/>
  <c r="AO138" i="1" s="1"/>
  <c r="AO139" i="1" s="1"/>
  <c r="AL138" i="1"/>
  <c r="AP138" i="1" s="1"/>
  <c r="AN138" i="1"/>
  <c r="AI139" i="1"/>
  <c r="AJ139" i="1"/>
  <c r="AK139" i="1"/>
  <c r="AL139" i="1"/>
  <c r="AI140" i="1"/>
  <c r="AK140" i="1" s="1"/>
  <c r="AJ140" i="1"/>
  <c r="AJ141" i="1" s="1"/>
  <c r="AN140" i="1"/>
  <c r="AM140" i="1" s="1"/>
  <c r="AQ140" i="1" s="1"/>
  <c r="AR140" i="1"/>
  <c r="AK141" i="1"/>
  <c r="AL141" i="1"/>
  <c r="AN141" i="1"/>
  <c r="AM141" i="1" s="1"/>
  <c r="AQ141" i="1" s="1"/>
  <c r="AR141" i="1"/>
  <c r="AI142" i="1"/>
  <c r="AJ142" i="1"/>
  <c r="AK142" i="1"/>
  <c r="AO142" i="1" s="1"/>
  <c r="AO143" i="1" s="1"/>
  <c r="AL142" i="1"/>
  <c r="AP142" i="1" s="1"/>
  <c r="AM142" i="1"/>
  <c r="AQ142" i="1" s="1"/>
  <c r="AN142" i="1"/>
  <c r="AR142" i="1"/>
  <c r="AI143" i="1"/>
  <c r="AJ143" i="1"/>
  <c r="AK143" i="1"/>
  <c r="AL143" i="1"/>
  <c r="AN143" i="1"/>
  <c r="AM143" i="1" s="1"/>
  <c r="AQ143" i="1" s="1"/>
  <c r="AP143" i="1"/>
  <c r="AR143" i="1"/>
  <c r="AI144" i="1"/>
  <c r="AJ144" i="1"/>
  <c r="AK144" i="1"/>
  <c r="AN144" i="1"/>
  <c r="AM144" i="1" s="1"/>
  <c r="AQ144" i="1" s="1"/>
  <c r="AR144" i="1"/>
  <c r="AI145" i="1"/>
  <c r="AJ145" i="1"/>
  <c r="AN145" i="1"/>
  <c r="AJ146" i="1"/>
  <c r="AK146" i="1"/>
  <c r="AL146" i="1"/>
  <c r="AN146" i="1"/>
  <c r="AJ147" i="1"/>
  <c r="AK147" i="1"/>
  <c r="AL147" i="1"/>
  <c r="AI148" i="1"/>
  <c r="AI149" i="1" s="1"/>
  <c r="AI150" i="1" s="1"/>
  <c r="AJ148" i="1"/>
  <c r="AJ149" i="1" s="1"/>
  <c r="AJ150" i="1" s="1"/>
  <c r="AK148" i="1"/>
  <c r="AN148" i="1"/>
  <c r="AK149" i="1"/>
  <c r="AL149" i="1"/>
  <c r="AK150" i="1"/>
  <c r="AL150" i="1"/>
  <c r="AI151" i="1"/>
  <c r="AK151" i="1" s="1"/>
  <c r="AJ151" i="1"/>
  <c r="AJ152" i="1" s="1"/>
  <c r="AL151" i="1"/>
  <c r="AN151" i="1"/>
  <c r="AN152" i="1" s="1"/>
  <c r="AM152" i="1" s="1"/>
  <c r="AQ152" i="1" s="1"/>
  <c r="AO151" i="1"/>
  <c r="AP151" i="1"/>
  <c r="AP152" i="1" s="1"/>
  <c r="AR151" i="1"/>
  <c r="AI152" i="1"/>
  <c r="AK152" i="1"/>
  <c r="AL152" i="1"/>
  <c r="AR152" i="1"/>
  <c r="AI153" i="1"/>
  <c r="AI154" i="1" s="1"/>
  <c r="AJ153" i="1"/>
  <c r="AJ154" i="1" s="1"/>
  <c r="AK153" i="1"/>
  <c r="AN153" i="1"/>
  <c r="AR153" i="1" s="1"/>
  <c r="AK154" i="1"/>
  <c r="AL154" i="1"/>
  <c r="AI155" i="1"/>
  <c r="AK155" i="1" s="1"/>
  <c r="AJ155" i="1"/>
  <c r="AL155" i="1"/>
  <c r="AP155" i="1" s="1"/>
  <c r="AN155" i="1"/>
  <c r="AO155" i="1"/>
  <c r="AI156" i="1"/>
  <c r="AJ156" i="1"/>
  <c r="AK156" i="1"/>
  <c r="AO156" i="1" s="1"/>
  <c r="AL156" i="1"/>
  <c r="AI157" i="1"/>
  <c r="AJ157" i="1"/>
  <c r="AJ158" i="1" s="1"/>
  <c r="AM157" i="1"/>
  <c r="AN157" i="1"/>
  <c r="AQ157" i="1"/>
  <c r="AR157" i="1"/>
  <c r="AK158" i="1"/>
  <c r="AL158" i="1"/>
  <c r="AN158" i="1"/>
  <c r="AM158" i="1" s="1"/>
  <c r="AQ158" i="1"/>
  <c r="AR158" i="1"/>
  <c r="AI159" i="1"/>
  <c r="AK159" i="1" s="1"/>
  <c r="AJ159" i="1"/>
  <c r="AL159" i="1"/>
  <c r="AP159" i="1" s="1"/>
  <c r="AM159" i="1"/>
  <c r="AN159" i="1"/>
  <c r="AO159" i="1"/>
  <c r="AQ159" i="1"/>
  <c r="AR159" i="1"/>
  <c r="AI160" i="1"/>
  <c r="AJ160" i="1"/>
  <c r="AK160" i="1"/>
  <c r="AL160" i="1"/>
  <c r="AP160" i="1" s="1"/>
  <c r="AN160" i="1"/>
  <c r="AI161" i="1"/>
  <c r="AJ161" i="1"/>
  <c r="AK161" i="1"/>
  <c r="AL161" i="1"/>
  <c r="AN161" i="1"/>
  <c r="AN162" i="1" s="1"/>
  <c r="AM162" i="1" s="1"/>
  <c r="AQ162" i="1" s="1"/>
  <c r="AO161" i="1"/>
  <c r="AO162" i="1" s="1"/>
  <c r="AP161" i="1"/>
  <c r="AP162" i="1" s="1"/>
  <c r="AR161" i="1"/>
  <c r="AI162" i="1"/>
  <c r="AJ162" i="1"/>
  <c r="AK162" i="1"/>
  <c r="AL162" i="1"/>
  <c r="AR162" i="1"/>
  <c r="AI163" i="1"/>
  <c r="AK163" i="1" s="1"/>
  <c r="AJ163" i="1"/>
  <c r="AL163" i="1"/>
  <c r="AP163" i="1" s="1"/>
  <c r="AN163" i="1"/>
  <c r="AM163" i="1" s="1"/>
  <c r="AQ163" i="1" s="1"/>
  <c r="AO163" i="1"/>
  <c r="AR163" i="1"/>
  <c r="AI164" i="1"/>
  <c r="AI165" i="1" s="1"/>
  <c r="AJ164" i="1"/>
  <c r="AJ165" i="1" s="1"/>
  <c r="AK164" i="1"/>
  <c r="AO164" i="1" s="1"/>
  <c r="AN164" i="1"/>
  <c r="AK165" i="1"/>
  <c r="AL165" i="1"/>
  <c r="AO165" i="1"/>
  <c r="AI166" i="1"/>
  <c r="AJ166" i="1"/>
  <c r="AK166" i="1"/>
  <c r="AM166" i="1"/>
  <c r="AQ166" i="1" s="1"/>
  <c r="AN166" i="1"/>
  <c r="AR166" i="1"/>
  <c r="AI167" i="1"/>
  <c r="AJ167" i="1"/>
  <c r="AK167" i="1"/>
  <c r="AL167" i="1"/>
  <c r="AM167" i="1"/>
  <c r="AN167" i="1"/>
  <c r="AR167" i="1" s="1"/>
  <c r="AQ167" i="1"/>
  <c r="AI168" i="1"/>
  <c r="AJ168" i="1"/>
  <c r="AK168" i="1"/>
  <c r="AO168" i="1" s="1"/>
  <c r="AL168" i="1"/>
  <c r="AM168" i="1"/>
  <c r="AN168" i="1"/>
  <c r="AP168" i="1"/>
  <c r="AQ168" i="1"/>
  <c r="AR168" i="1"/>
  <c r="AI169" i="1"/>
  <c r="AK169" i="1" s="1"/>
  <c r="AL169" i="1" s="1"/>
  <c r="AP169" i="1" s="1"/>
  <c r="AJ169" i="1"/>
  <c r="AM169" i="1"/>
  <c r="AN169" i="1"/>
  <c r="AO169" i="1"/>
  <c r="AQ169" i="1"/>
  <c r="AR169" i="1"/>
  <c r="AI170" i="1"/>
  <c r="AI171" i="1" s="1"/>
  <c r="AI172" i="1" s="1"/>
  <c r="AJ170" i="1"/>
  <c r="AJ171" i="1" s="1"/>
  <c r="AM170" i="1"/>
  <c r="AQ170" i="1" s="1"/>
  <c r="AN170" i="1"/>
  <c r="AK171" i="1"/>
  <c r="AL171" i="1"/>
  <c r="AJ172" i="1"/>
  <c r="AK172" i="1"/>
  <c r="AL172" i="1"/>
  <c r="AI173" i="1"/>
  <c r="AJ173" i="1"/>
  <c r="AK173" i="1"/>
  <c r="AN173" i="1"/>
  <c r="AM173" i="1" s="1"/>
  <c r="AQ173" i="1" s="1"/>
  <c r="AI174" i="1"/>
  <c r="AJ174" i="1"/>
  <c r="AK174" i="1"/>
  <c r="AL174" i="1"/>
  <c r="AI175" i="1"/>
  <c r="AI176" i="1" s="1"/>
  <c r="AJ175" i="1"/>
  <c r="AJ176" i="1" s="1"/>
  <c r="AK175" i="1"/>
  <c r="AL175" i="1" s="1"/>
  <c r="AP175" i="1" s="1"/>
  <c r="AP176" i="1" s="1"/>
  <c r="AP177" i="1" s="1"/>
  <c r="AN175" i="1"/>
  <c r="AO175" i="1"/>
  <c r="AO176" i="1" s="1"/>
  <c r="AK176" i="1"/>
  <c r="AL176" i="1"/>
  <c r="AN176" i="1"/>
  <c r="AR176" i="1"/>
  <c r="AI177" i="1"/>
  <c r="AI178" i="1" s="1"/>
  <c r="AJ177" i="1"/>
  <c r="AJ178" i="1" s="1"/>
  <c r="AK177" i="1"/>
  <c r="AL177" i="1"/>
  <c r="AK178" i="1"/>
  <c r="AL178" i="1"/>
  <c r="AI179" i="1"/>
  <c r="AI180" i="1" s="1"/>
  <c r="AI181" i="1" s="1"/>
  <c r="AJ179" i="1"/>
  <c r="AJ180" i="1" s="1"/>
  <c r="AJ181" i="1" s="1"/>
  <c r="AK179" i="1"/>
  <c r="AL179" i="1" s="1"/>
  <c r="AM179" i="1"/>
  <c r="AQ179" i="1" s="1"/>
  <c r="AN179" i="1"/>
  <c r="AO179" i="1"/>
  <c r="AP179" i="1"/>
  <c r="AP180" i="1" s="1"/>
  <c r="AP181" i="1" s="1"/>
  <c r="AR179" i="1"/>
  <c r="AK180" i="1"/>
  <c r="AL180" i="1"/>
  <c r="AN180" i="1"/>
  <c r="AO180" i="1"/>
  <c r="AK181" i="1"/>
  <c r="AL181" i="1"/>
  <c r="AI182" i="1"/>
  <c r="AJ182" i="1"/>
  <c r="AK182" i="1"/>
  <c r="AL182" i="1"/>
  <c r="AI183" i="1"/>
  <c r="AJ183" i="1"/>
  <c r="AK183" i="1"/>
  <c r="AO183" i="1" s="1"/>
  <c r="AL183" i="1"/>
  <c r="AM183" i="1"/>
  <c r="AQ183" i="1" s="1"/>
  <c r="AN183" i="1"/>
  <c r="AP183" i="1"/>
  <c r="AR183" i="1"/>
  <c r="AI184" i="1"/>
  <c r="AJ184" i="1"/>
  <c r="AK184" i="1"/>
  <c r="AL184" i="1"/>
  <c r="AN184" i="1"/>
  <c r="AM184" i="1" s="1"/>
  <c r="AO184" i="1"/>
  <c r="AP184" i="1"/>
  <c r="AP185" i="1" s="1"/>
  <c r="AQ184" i="1"/>
  <c r="AR184" i="1"/>
  <c r="AI185" i="1"/>
  <c r="AJ185" i="1"/>
  <c r="AK185" i="1"/>
  <c r="AL185" i="1"/>
  <c r="AN185" i="1"/>
  <c r="AI186" i="1"/>
  <c r="AI187" i="1" s="1"/>
  <c r="AJ186" i="1"/>
  <c r="AJ187" i="1" s="1"/>
  <c r="AM186" i="1"/>
  <c r="AQ186" i="1" s="1"/>
  <c r="AN186" i="1"/>
  <c r="AK187" i="1"/>
  <c r="AL187" i="1"/>
  <c r="AI188" i="1"/>
  <c r="AJ188" i="1"/>
  <c r="AK188" i="1"/>
  <c r="AL188" i="1"/>
  <c r="AN188" i="1"/>
  <c r="AM188" i="1" s="1"/>
  <c r="AO188" i="1"/>
  <c r="AP188" i="1"/>
  <c r="AQ188" i="1"/>
  <c r="AR188" i="1"/>
  <c r="AI189" i="1"/>
  <c r="AK189" i="1" s="1"/>
  <c r="AJ189" i="1"/>
  <c r="AN189" i="1"/>
  <c r="AM189" i="1" s="1"/>
  <c r="AQ189" i="1" s="1"/>
  <c r="AI190" i="1"/>
  <c r="AJ190" i="1"/>
  <c r="AK190" i="1"/>
  <c r="AO190" i="1" s="1"/>
  <c r="AN190" i="1"/>
  <c r="AR190" i="1" s="1"/>
  <c r="AI191" i="1"/>
  <c r="AJ191" i="1"/>
  <c r="AK191" i="1"/>
  <c r="AL191" i="1" s="1"/>
  <c r="AP191" i="1" s="1"/>
  <c r="AM191" i="1"/>
  <c r="AQ191" i="1" s="1"/>
  <c r="AN191" i="1"/>
  <c r="AO191" i="1"/>
  <c r="AR191" i="1"/>
  <c r="AI192" i="1"/>
  <c r="AJ192" i="1"/>
  <c r="AK192" i="1"/>
  <c r="AL192" i="1"/>
  <c r="AN192" i="1"/>
  <c r="AM192" i="1" s="1"/>
  <c r="AO192" i="1"/>
  <c r="AP192" i="1"/>
  <c r="AQ192" i="1"/>
  <c r="AI193" i="1"/>
  <c r="AK193" i="1" s="1"/>
  <c r="AJ193" i="1"/>
  <c r="AN193" i="1"/>
  <c r="AI194" i="1"/>
  <c r="AK194" i="1" s="1"/>
  <c r="AJ194" i="1"/>
  <c r="AL194" i="1"/>
  <c r="AP194" i="1" s="1"/>
  <c r="AN194" i="1"/>
  <c r="AM194" i="1" s="1"/>
  <c r="AQ194" i="1" s="1"/>
  <c r="AO194" i="1"/>
  <c r="AR194" i="1"/>
  <c r="AI195" i="1"/>
  <c r="AI196" i="1" s="1"/>
  <c r="AI197" i="1" s="1"/>
  <c r="AJ195" i="1"/>
  <c r="AJ196" i="1" s="1"/>
  <c r="AJ197" i="1" s="1"/>
  <c r="AK195" i="1"/>
  <c r="AO195" i="1" s="1"/>
  <c r="AO196" i="1" s="1"/>
  <c r="AL195" i="1"/>
  <c r="AP195" i="1" s="1"/>
  <c r="AP196" i="1" s="1"/>
  <c r="AP197" i="1" s="1"/>
  <c r="AM195" i="1"/>
  <c r="AQ195" i="1" s="1"/>
  <c r="AN195" i="1"/>
  <c r="AR195" i="1"/>
  <c r="AK196" i="1"/>
  <c r="AL196" i="1"/>
  <c r="AM196" i="1"/>
  <c r="AN196" i="1"/>
  <c r="AQ196" i="1"/>
  <c r="AR196" i="1"/>
  <c r="AK197" i="1"/>
  <c r="AL197" i="1"/>
  <c r="AN197" i="1"/>
  <c r="AM197" i="1" s="1"/>
  <c r="AQ197" i="1" s="1"/>
  <c r="AR197" i="1"/>
  <c r="AI198" i="1"/>
  <c r="AI199" i="1" s="1"/>
  <c r="AI200" i="1" s="1"/>
  <c r="AJ198" i="1"/>
  <c r="AK198" i="1"/>
  <c r="AO198" i="1" s="1"/>
  <c r="AO199" i="1" s="1"/>
  <c r="AO200" i="1" s="1"/>
  <c r="AM198" i="1"/>
  <c r="AQ198" i="1" s="1"/>
  <c r="AN198" i="1"/>
  <c r="AR198" i="1"/>
  <c r="AJ199" i="1"/>
  <c r="AJ200" i="1" s="1"/>
  <c r="AJ201" i="1" s="1"/>
  <c r="AJ202" i="1" s="1"/>
  <c r="AK199" i="1"/>
  <c r="AL199" i="1"/>
  <c r="AM199" i="1"/>
  <c r="AQ199" i="1" s="1"/>
  <c r="AN199" i="1"/>
  <c r="AK200" i="1"/>
  <c r="AL200" i="1"/>
  <c r="AI201" i="1"/>
  <c r="AI202" i="1" s="1"/>
  <c r="AL201" i="1"/>
  <c r="AN201" i="1"/>
  <c r="AK202" i="1"/>
  <c r="AL202" i="1"/>
  <c r="AN202" i="1"/>
  <c r="AN203" i="1" s="1"/>
  <c r="AI203" i="1"/>
  <c r="AJ203" i="1"/>
  <c r="AK203" i="1"/>
  <c r="AL203" i="1"/>
  <c r="AI204" i="1"/>
  <c r="AJ204" i="1"/>
  <c r="AK204" i="1"/>
  <c r="AL204" i="1"/>
  <c r="AM204" i="1"/>
  <c r="AQ204" i="1" s="1"/>
  <c r="AN204" i="1"/>
  <c r="AR204" i="1" s="1"/>
  <c r="AO204" i="1"/>
  <c r="AP204" i="1"/>
  <c r="AI205" i="1"/>
  <c r="AJ205" i="1"/>
  <c r="AK205" i="1"/>
  <c r="AL205" i="1"/>
  <c r="AN205" i="1"/>
  <c r="AP205" i="1"/>
  <c r="AI206" i="1"/>
  <c r="AK206" i="1" s="1"/>
  <c r="AJ206" i="1"/>
  <c r="AM206" i="1"/>
  <c r="AQ206" i="1" s="1"/>
  <c r="AN206" i="1"/>
  <c r="AR206" i="1"/>
  <c r="AI207" i="1"/>
  <c r="AJ207" i="1"/>
  <c r="AK207" i="1"/>
  <c r="AL207" i="1"/>
  <c r="AM207" i="1"/>
  <c r="AQ207" i="1" s="1"/>
  <c r="AN207" i="1"/>
  <c r="AR207" i="1" s="1"/>
  <c r="AI208" i="1"/>
  <c r="AJ208" i="1"/>
  <c r="AK208" i="1"/>
  <c r="AL208" i="1"/>
  <c r="AN208" i="1"/>
  <c r="AM208" i="1" s="1"/>
  <c r="AO208" i="1"/>
  <c r="AP208" i="1"/>
  <c r="AP209" i="1" s="1"/>
  <c r="AQ208" i="1"/>
  <c r="AR208" i="1"/>
  <c r="AI209" i="1"/>
  <c r="AJ209" i="1"/>
  <c r="AK209" i="1"/>
  <c r="AL209" i="1"/>
  <c r="AI210" i="1"/>
  <c r="AI211" i="1" s="1"/>
  <c r="AJ210" i="1"/>
  <c r="AK210" i="1"/>
  <c r="AL210" i="1"/>
  <c r="AP210" i="1" s="1"/>
  <c r="AP211" i="1" s="1"/>
  <c r="AN210" i="1"/>
  <c r="AN211" i="1" s="1"/>
  <c r="AR211" i="1" s="1"/>
  <c r="AO210" i="1"/>
  <c r="AR210" i="1"/>
  <c r="AJ211" i="1"/>
  <c r="AK211" i="1"/>
  <c r="AL211" i="1"/>
  <c r="AM211" i="1"/>
  <c r="AO211" i="1"/>
  <c r="AQ211" i="1"/>
  <c r="AI212" i="1"/>
  <c r="AJ212" i="1"/>
  <c r="AK212" i="1"/>
  <c r="AL212" i="1" s="1"/>
  <c r="AP212" i="1" s="1"/>
  <c r="AM212" i="1"/>
  <c r="AN212" i="1"/>
  <c r="AO212" i="1"/>
  <c r="AQ212" i="1"/>
  <c r="AR212" i="1"/>
  <c r="AI213" i="1"/>
  <c r="AK213" i="1" s="1"/>
  <c r="AJ213" i="1"/>
  <c r="AN213" i="1"/>
  <c r="AI214" i="1"/>
  <c r="AI215" i="1" s="1"/>
  <c r="AJ214" i="1"/>
  <c r="AN214" i="1"/>
  <c r="AR214" i="1"/>
  <c r="AJ215" i="1"/>
  <c r="AK215" i="1"/>
  <c r="AL215" i="1"/>
  <c r="AI216" i="1"/>
  <c r="AI217" i="1" s="1"/>
  <c r="AI218" i="1" s="1"/>
  <c r="AJ216" i="1"/>
  <c r="AJ217" i="1" s="1"/>
  <c r="AJ218" i="1" s="1"/>
  <c r="AK216" i="1"/>
  <c r="AL216" i="1"/>
  <c r="AP216" i="1" s="1"/>
  <c r="AP217" i="1" s="1"/>
  <c r="AP218" i="1" s="1"/>
  <c r="AN216" i="1"/>
  <c r="AO216" i="1"/>
  <c r="AO217" i="1" s="1"/>
  <c r="AO218" i="1" s="1"/>
  <c r="AK217" i="1"/>
  <c r="AL217" i="1"/>
  <c r="AK218" i="1"/>
  <c r="AL218" i="1"/>
  <c r="AI219" i="1"/>
  <c r="AJ219" i="1"/>
  <c r="AK219" i="1"/>
  <c r="AN219" i="1"/>
  <c r="AI220" i="1"/>
  <c r="AI221" i="1" s="1"/>
  <c r="AJ220" i="1"/>
  <c r="AJ221" i="1" s="1"/>
  <c r="AK220" i="1"/>
  <c r="AL220" i="1"/>
  <c r="AK221" i="1"/>
  <c r="AL221" i="1"/>
  <c r="AI222" i="1"/>
  <c r="AJ222" i="1"/>
  <c r="AK222" i="1"/>
  <c r="AL222" i="1"/>
  <c r="AM222" i="1"/>
  <c r="AN222" i="1"/>
  <c r="AO222" i="1"/>
  <c r="AP222" i="1"/>
  <c r="AP223" i="1" s="1"/>
  <c r="AQ222" i="1"/>
  <c r="AR222" i="1"/>
  <c r="AI223" i="1"/>
  <c r="AI224" i="1" s="1"/>
  <c r="AJ223" i="1"/>
  <c r="AJ224" i="1" s="1"/>
  <c r="AK223" i="1"/>
  <c r="AO223" i="1" s="1"/>
  <c r="AL223" i="1"/>
  <c r="AN223" i="1"/>
  <c r="AK224" i="1"/>
  <c r="AL224" i="1"/>
  <c r="AP224" i="1" s="1"/>
  <c r="AN224" i="1"/>
  <c r="AO224" i="1"/>
  <c r="AI225" i="1"/>
  <c r="AI226" i="1" s="1"/>
  <c r="AJ225" i="1"/>
  <c r="AN225" i="1"/>
  <c r="AN226" i="1" s="1"/>
  <c r="AR225" i="1"/>
  <c r="AJ226" i="1"/>
  <c r="AK226" i="1"/>
  <c r="AL226" i="1"/>
  <c r="AM226" i="1"/>
  <c r="AQ226" i="1" s="1"/>
  <c r="AR226" i="1"/>
  <c r="AO227" i="1"/>
  <c r="AO228" i="1" s="1"/>
  <c r="AN227" i="1"/>
  <c r="AP227" i="1"/>
  <c r="AN229" i="1"/>
  <c r="AN230" i="1" s="1"/>
  <c r="AM230" i="1" s="1"/>
  <c r="AQ230" i="1" s="1"/>
  <c r="AP229" i="1"/>
  <c r="AP230" i="1" s="1"/>
  <c r="AP231" i="1" s="1"/>
  <c r="AR230" i="1"/>
  <c r="AN231" i="1"/>
  <c r="AP232" i="1"/>
  <c r="AP233" i="1" s="1"/>
  <c r="AN232" i="1"/>
  <c r="AN233" i="1" s="1"/>
  <c r="AO232" i="1"/>
  <c r="AR232" i="1"/>
  <c r="AM234" i="1"/>
  <c r="AN234" i="1"/>
  <c r="AO234" i="1"/>
  <c r="AP234" i="1"/>
  <c r="AP235" i="1" s="1"/>
  <c r="AQ234" i="1"/>
  <c r="AR234" i="1"/>
  <c r="AN235" i="1"/>
  <c r="AN236" i="1"/>
  <c r="AP237" i="1"/>
  <c r="AP238" i="1" s="1"/>
  <c r="AN237" i="1"/>
  <c r="AO239" i="1"/>
  <c r="AO240" i="1" s="1"/>
  <c r="AO241" i="1" s="1"/>
  <c r="AN239" i="1"/>
  <c r="AP239" i="1"/>
  <c r="AP242" i="1"/>
  <c r="AP243" i="1" s="1"/>
  <c r="AM242" i="1"/>
  <c r="AN242" i="1"/>
  <c r="AO242" i="1"/>
  <c r="AQ242" i="1"/>
  <c r="AR242" i="1"/>
  <c r="AN243" i="1"/>
  <c r="AI245" i="1"/>
  <c r="AI246" i="1" s="1"/>
  <c r="AI247" i="1" s="1"/>
  <c r="AI248" i="1" s="1"/>
  <c r="AJ245" i="1"/>
  <c r="AJ246" i="1" s="1"/>
  <c r="AJ247" i="1" s="1"/>
  <c r="AJ248" i="1" s="1"/>
  <c r="AM245" i="1"/>
  <c r="AN245" i="1"/>
  <c r="AN246" i="1" s="1"/>
  <c r="AM246" i="1" s="1"/>
  <c r="AQ246" i="1" s="1"/>
  <c r="AQ245" i="1"/>
  <c r="AR245" i="1"/>
  <c r="AK246" i="1"/>
  <c r="AL246" i="1"/>
  <c r="AK247" i="1"/>
  <c r="AL247" i="1"/>
  <c r="AN247" i="1"/>
  <c r="AK248" i="1"/>
  <c r="AL248" i="1"/>
  <c r="AI249" i="1"/>
  <c r="AI250" i="1" s="1"/>
  <c r="AI251" i="1" s="1"/>
  <c r="AI252" i="1" s="1"/>
  <c r="AJ249" i="1"/>
  <c r="AJ250" i="1" s="1"/>
  <c r="AJ251" i="1" s="1"/>
  <c r="AJ252" i="1" s="1"/>
  <c r="AM249" i="1"/>
  <c r="AQ249" i="1" s="1"/>
  <c r="AN249" i="1"/>
  <c r="AN250" i="1" s="1"/>
  <c r="AR249" i="1"/>
  <c r="AK250" i="1"/>
  <c r="AL250" i="1"/>
  <c r="AM250" i="1"/>
  <c r="AQ250" i="1" s="1"/>
  <c r="AR250" i="1"/>
  <c r="AK251" i="1"/>
  <c r="AL251" i="1"/>
  <c r="AN251" i="1"/>
  <c r="AK252" i="1"/>
  <c r="AL252" i="1"/>
  <c r="AM252" i="1"/>
  <c r="AQ252" i="1" s="1"/>
  <c r="AN252" i="1"/>
  <c r="AR252" i="1" s="1"/>
  <c r="AI253" i="1"/>
  <c r="AK253" i="1" s="1"/>
  <c r="AL253" i="1" s="1"/>
  <c r="AP253" i="1" s="1"/>
  <c r="AJ253" i="1"/>
  <c r="AM253" i="1"/>
  <c r="AN253" i="1"/>
  <c r="AQ253" i="1"/>
  <c r="AR253" i="1"/>
  <c r="AI254" i="1"/>
  <c r="AK254" i="1" s="1"/>
  <c r="AJ254" i="1"/>
  <c r="AM254" i="1"/>
  <c r="AQ254" i="1" s="1"/>
  <c r="AN254" i="1"/>
  <c r="AR254" i="1"/>
  <c r="AI255" i="1"/>
  <c r="AK255" i="1" s="1"/>
  <c r="AJ255" i="1"/>
  <c r="AJ256" i="1" s="1"/>
  <c r="AN255" i="1"/>
  <c r="AK256" i="1"/>
  <c r="AL256" i="1"/>
  <c r="AN256" i="1"/>
  <c r="AI257" i="1"/>
  <c r="AK257" i="1" s="1"/>
  <c r="AJ257" i="1"/>
  <c r="AM257" i="1"/>
  <c r="AQ257" i="1" s="1"/>
  <c r="AN257" i="1"/>
  <c r="AR257" i="1" s="1"/>
  <c r="AI258" i="1"/>
  <c r="AI259" i="1" s="1"/>
  <c r="AI260" i="1" s="1"/>
  <c r="AJ258" i="1"/>
  <c r="AJ259" i="1" s="1"/>
  <c r="AJ260" i="1" s="1"/>
  <c r="AM258" i="1"/>
  <c r="AQ258" i="1" s="1"/>
  <c r="AN258" i="1"/>
  <c r="AR258" i="1"/>
  <c r="AK259" i="1"/>
  <c r="AL259" i="1"/>
  <c r="AN259" i="1"/>
  <c r="AK260" i="1"/>
  <c r="AL260" i="1"/>
  <c r="AM260" i="1"/>
  <c r="AQ260" i="1" s="1"/>
  <c r="AN260" i="1"/>
  <c r="AR260" i="1"/>
  <c r="AI261" i="1"/>
  <c r="AK261" i="1" s="1"/>
  <c r="AL261" i="1" s="1"/>
  <c r="AP261" i="1" s="1"/>
  <c r="AJ261" i="1"/>
  <c r="AN261" i="1"/>
  <c r="AM261" i="1" s="1"/>
  <c r="AQ261" i="1"/>
  <c r="AR261" i="1"/>
  <c r="AI262" i="1"/>
  <c r="AK262" i="1" s="1"/>
  <c r="AJ262" i="1"/>
  <c r="AJ263" i="1" s="1"/>
  <c r="AM262" i="1"/>
  <c r="AN262" i="1"/>
  <c r="AQ262" i="1"/>
  <c r="AR262" i="1"/>
  <c r="AI263" i="1"/>
  <c r="AK263" i="1"/>
  <c r="AL263" i="1"/>
  <c r="AN263" i="1"/>
  <c r="AI264" i="1"/>
  <c r="AI265" i="1" s="1"/>
  <c r="AI266" i="1" s="1"/>
  <c r="AJ264" i="1"/>
  <c r="AJ265" i="1" s="1"/>
  <c r="AJ266" i="1" s="1"/>
  <c r="AN264" i="1"/>
  <c r="AM264" i="1" s="1"/>
  <c r="AQ264" i="1" s="1"/>
  <c r="AK265" i="1"/>
  <c r="AL265" i="1"/>
  <c r="AN265" i="1"/>
  <c r="AK266" i="1"/>
  <c r="AL266" i="1"/>
  <c r="AI267" i="1"/>
  <c r="AK267" i="1" s="1"/>
  <c r="AO267" i="1" s="1"/>
  <c r="AJ267" i="1"/>
  <c r="AN267" i="1"/>
  <c r="AM267" i="1" s="1"/>
  <c r="AQ267" i="1"/>
  <c r="AR267" i="1"/>
  <c r="AI268" i="1"/>
  <c r="AK268" i="1" s="1"/>
  <c r="AO268" i="1" s="1"/>
  <c r="AJ268" i="1"/>
  <c r="AL268" i="1"/>
  <c r="AP268" i="1" s="1"/>
  <c r="AN268" i="1"/>
  <c r="AI269" i="1"/>
  <c r="AK269" i="1" s="1"/>
  <c r="AJ269" i="1"/>
  <c r="AN269" i="1"/>
  <c r="AM269" i="1" s="1"/>
  <c r="AQ269" i="1" s="1"/>
  <c r="AR269" i="1"/>
  <c r="AI270" i="1"/>
  <c r="AK270" i="1" s="1"/>
  <c r="AL270" i="1" s="1"/>
  <c r="AP270" i="1" s="1"/>
  <c r="AJ270" i="1"/>
  <c r="AN270" i="1"/>
  <c r="AI271" i="1"/>
  <c r="AK271" i="1" s="1"/>
  <c r="AJ271" i="1"/>
  <c r="AJ272" i="1" s="1"/>
  <c r="AN271" i="1"/>
  <c r="AM271" i="1" s="1"/>
  <c r="AQ271" i="1" s="1"/>
  <c r="AK272" i="1"/>
  <c r="AL272" i="1"/>
  <c r="AN272" i="1"/>
  <c r="AM272" i="1" s="1"/>
  <c r="AQ272" i="1" s="1"/>
  <c r="AR272" i="1"/>
  <c r="AI273" i="1"/>
  <c r="AJ273" i="1"/>
  <c r="AJ274" i="1" s="1"/>
  <c r="AJ275" i="1" s="1"/>
  <c r="AM273" i="1"/>
  <c r="AN273" i="1"/>
  <c r="AQ273" i="1"/>
  <c r="AR273" i="1"/>
  <c r="AK274" i="1"/>
  <c r="AL274" i="1"/>
  <c r="AN274" i="1"/>
  <c r="AK275" i="1"/>
  <c r="AL275" i="1"/>
  <c r="AI276" i="1"/>
  <c r="AK276" i="1" s="1"/>
  <c r="AJ276" i="1"/>
  <c r="AM276" i="1"/>
  <c r="AQ276" i="1" s="1"/>
  <c r="AN276" i="1"/>
  <c r="AR276" i="1"/>
  <c r="AI277" i="1"/>
  <c r="AI278" i="1" s="1"/>
  <c r="AJ277" i="1"/>
  <c r="AJ278" i="1" s="1"/>
  <c r="AM277" i="1"/>
  <c r="AN277" i="1"/>
  <c r="AN278" i="1" s="1"/>
  <c r="AQ277" i="1"/>
  <c r="AR277" i="1"/>
  <c r="AK278" i="1"/>
  <c r="AL278" i="1"/>
  <c r="AI279" i="1"/>
  <c r="AK279" i="1" s="1"/>
  <c r="AJ279" i="1"/>
  <c r="AN279" i="1"/>
  <c r="AI280" i="1"/>
  <c r="AJ280" i="1"/>
  <c r="AJ281" i="1" s="1"/>
  <c r="AM280" i="1"/>
  <c r="AQ280" i="1" s="1"/>
  <c r="AN280" i="1"/>
  <c r="AN281" i="1" s="1"/>
  <c r="AM281" i="1" s="1"/>
  <c r="AR280" i="1"/>
  <c r="AK281" i="1"/>
  <c r="AL281" i="1"/>
  <c r="AQ281" i="1"/>
  <c r="AR281" i="1"/>
  <c r="AI282" i="1"/>
  <c r="AK282" i="1" s="1"/>
  <c r="AL282" i="1" s="1"/>
  <c r="AP282" i="1" s="1"/>
  <c r="AJ282" i="1"/>
  <c r="AJ283" i="1" s="1"/>
  <c r="AJ284" i="1" s="1"/>
  <c r="AN282" i="1"/>
  <c r="AM282" i="1" s="1"/>
  <c r="AQ282" i="1" s="1"/>
  <c r="AR282" i="1"/>
  <c r="AK283" i="1"/>
  <c r="AL283" i="1"/>
  <c r="AN283" i="1"/>
  <c r="AR283" i="1"/>
  <c r="AK284" i="1"/>
  <c r="AL284" i="1"/>
  <c r="AI285" i="1"/>
  <c r="AK285" i="1" s="1"/>
  <c r="AJ285" i="1"/>
  <c r="AN285" i="1"/>
  <c r="AR285" i="1" s="1"/>
  <c r="AI286" i="1"/>
  <c r="AK286" i="1" s="1"/>
  <c r="AL286" i="1" s="1"/>
  <c r="AP286" i="1" s="1"/>
  <c r="AJ286" i="1"/>
  <c r="AN286" i="1"/>
  <c r="AM286" i="1" s="1"/>
  <c r="AQ286" i="1"/>
  <c r="AR286" i="1"/>
  <c r="AI287" i="1"/>
  <c r="AJ287" i="1"/>
  <c r="AJ288" i="1" s="1"/>
  <c r="AJ289" i="1" s="1"/>
  <c r="AM287" i="1"/>
  <c r="AN287" i="1"/>
  <c r="AQ287" i="1"/>
  <c r="AR287" i="1"/>
  <c r="AK288" i="1"/>
  <c r="AL288" i="1"/>
  <c r="AN288" i="1"/>
  <c r="AK289" i="1"/>
  <c r="AL289" i="1"/>
  <c r="AI290" i="1"/>
  <c r="AK290" i="1" s="1"/>
  <c r="AJ290" i="1"/>
  <c r="AJ291" i="1" s="1"/>
  <c r="AN290" i="1"/>
  <c r="AN291" i="1" s="1"/>
  <c r="AM291" i="1" s="1"/>
  <c r="AK291" i="1"/>
  <c r="AL291" i="1"/>
  <c r="AQ291" i="1"/>
  <c r="AI292" i="1"/>
  <c r="AK292" i="1" s="1"/>
  <c r="AJ292" i="1"/>
  <c r="AM292" i="1"/>
  <c r="AQ292" i="1" s="1"/>
  <c r="AN292" i="1"/>
  <c r="AR292" i="1" s="1"/>
  <c r="AI293" i="1"/>
  <c r="AI294" i="1" s="1"/>
  <c r="AJ293" i="1"/>
  <c r="AJ294" i="1" s="1"/>
  <c r="AN293" i="1"/>
  <c r="AM293" i="1" s="1"/>
  <c r="AQ293" i="1" s="1"/>
  <c r="AR293" i="1"/>
  <c r="AK294" i="1"/>
  <c r="AL294" i="1"/>
  <c r="AN294" i="1"/>
  <c r="AM294" i="1" s="1"/>
  <c r="AQ294" i="1" s="1"/>
  <c r="AR294" i="1"/>
  <c r="AI295" i="1"/>
  <c r="AK295" i="1" s="1"/>
  <c r="AL295" i="1" s="1"/>
  <c r="AP295" i="1" s="1"/>
  <c r="AJ295" i="1"/>
  <c r="AJ296" i="1" s="1"/>
  <c r="AM295" i="1"/>
  <c r="AN295" i="1"/>
  <c r="AQ295" i="1"/>
  <c r="AR295" i="1"/>
  <c r="AK296" i="1"/>
  <c r="AL296" i="1"/>
  <c r="AN296" i="1"/>
  <c r="AR296" i="1" s="1"/>
  <c r="AI297" i="1"/>
  <c r="AK297" i="1" s="1"/>
  <c r="AJ297" i="1"/>
  <c r="AN297" i="1"/>
  <c r="AM297" i="1" s="1"/>
  <c r="AQ297" i="1" s="1"/>
  <c r="AR297" i="1"/>
  <c r="AI298" i="1"/>
  <c r="AK298" i="1" s="1"/>
  <c r="AL298" i="1" s="1"/>
  <c r="AP298" i="1" s="1"/>
  <c r="AJ298" i="1"/>
  <c r="AJ299" i="1" s="1"/>
  <c r="AM298" i="1"/>
  <c r="AN298" i="1"/>
  <c r="AN299" i="1" s="1"/>
  <c r="AM299" i="1" s="1"/>
  <c r="AQ298" i="1"/>
  <c r="AR298" i="1"/>
  <c r="AK299" i="1"/>
  <c r="AL299" i="1"/>
  <c r="AQ299" i="1"/>
  <c r="AI300" i="1"/>
  <c r="AI301" i="1" s="1"/>
  <c r="AJ300" i="1"/>
  <c r="AJ301" i="1" s="1"/>
  <c r="AM300" i="1"/>
  <c r="AQ300" i="1" s="1"/>
  <c r="AN300" i="1"/>
  <c r="AR300" i="1" s="1"/>
  <c r="AK301" i="1"/>
  <c r="AL301" i="1"/>
  <c r="AI302" i="1"/>
  <c r="AK302" i="1" s="1"/>
  <c r="AO302" i="1" s="1"/>
  <c r="AJ302" i="1"/>
  <c r="AM302" i="1"/>
  <c r="AQ302" i="1" s="1"/>
  <c r="AN302" i="1"/>
  <c r="AR302" i="1" s="1"/>
  <c r="AI303" i="1"/>
  <c r="AK303" i="1" s="1"/>
  <c r="AJ303" i="1"/>
  <c r="AM303" i="1"/>
  <c r="AN303" i="1"/>
  <c r="AQ303" i="1"/>
  <c r="AR303" i="1"/>
  <c r="AI304" i="1"/>
  <c r="AK304" i="1" s="1"/>
  <c r="AJ304" i="1"/>
  <c r="AN304" i="1"/>
  <c r="AR304" i="1" s="1"/>
  <c r="AI305" i="1"/>
  <c r="AI306" i="1" s="1"/>
  <c r="AJ305" i="1"/>
  <c r="AJ306" i="1" s="1"/>
  <c r="AN305" i="1"/>
  <c r="AK306" i="1"/>
  <c r="AL306" i="1"/>
  <c r="AI307" i="1"/>
  <c r="AJ307" i="1"/>
  <c r="AJ308" i="1" s="1"/>
  <c r="AM307" i="1"/>
  <c r="AN307" i="1"/>
  <c r="AQ307" i="1"/>
  <c r="AR307" i="1"/>
  <c r="AK308" i="1"/>
  <c r="AL308" i="1"/>
  <c r="AM308" i="1"/>
  <c r="AQ308" i="1" s="1"/>
  <c r="AN308" i="1"/>
  <c r="AR308" i="1" s="1"/>
  <c r="AI309" i="1"/>
  <c r="AJ309" i="1"/>
  <c r="AJ310" i="1" s="1"/>
  <c r="AN309" i="1"/>
  <c r="AN310" i="1" s="1"/>
  <c r="AR309" i="1"/>
  <c r="AK310" i="1"/>
  <c r="AL310" i="1"/>
  <c r="AI311" i="1"/>
  <c r="AK311" i="1" s="1"/>
  <c r="AL311" i="1" s="1"/>
  <c r="AP311" i="1" s="1"/>
  <c r="AJ311" i="1"/>
  <c r="AM311" i="1"/>
  <c r="AN311" i="1"/>
  <c r="AQ311" i="1"/>
  <c r="AR311" i="1"/>
  <c r="AI312" i="1"/>
  <c r="AK312" i="1" s="1"/>
  <c r="AJ312" i="1"/>
  <c r="AJ313" i="1" s="1"/>
  <c r="AJ314" i="1" s="1"/>
  <c r="AN312" i="1"/>
  <c r="AR312" i="1" s="1"/>
  <c r="AK313" i="1"/>
  <c r="AL313" i="1"/>
  <c r="AK314" i="1"/>
  <c r="AL314" i="1"/>
  <c r="AI315" i="1"/>
  <c r="AK315" i="1" s="1"/>
  <c r="AL315" i="1" s="1"/>
  <c r="AP315" i="1" s="1"/>
  <c r="AJ315" i="1"/>
  <c r="AJ316" i="1" s="1"/>
  <c r="AJ317" i="1" s="1"/>
  <c r="AM315" i="1"/>
  <c r="AN315" i="1"/>
  <c r="AQ315" i="1"/>
  <c r="AR315" i="1"/>
  <c r="AK316" i="1"/>
  <c r="AL316" i="1"/>
  <c r="AN316" i="1"/>
  <c r="AR316" i="1" s="1"/>
  <c r="AK317" i="1"/>
  <c r="AL317" i="1"/>
  <c r="AN317" i="1"/>
  <c r="AM317" i="1" s="1"/>
  <c r="AQ317" i="1"/>
  <c r="AR317" i="1"/>
  <c r="AI318" i="1"/>
  <c r="AK318" i="1" s="1"/>
  <c r="AL318" i="1" s="1"/>
  <c r="AP318" i="1" s="1"/>
  <c r="AJ318" i="1"/>
  <c r="AJ319" i="1" s="1"/>
  <c r="AJ320" i="1" s="1"/>
  <c r="AM318" i="1"/>
  <c r="AN318" i="1"/>
  <c r="AN319" i="1" s="1"/>
  <c r="AM319" i="1" s="1"/>
  <c r="AQ319" i="1" s="1"/>
  <c r="AQ318" i="1"/>
  <c r="AR318" i="1"/>
  <c r="AK319" i="1"/>
  <c r="AL319" i="1"/>
  <c r="AR319" i="1"/>
  <c r="AK320" i="1"/>
  <c r="AL320" i="1"/>
  <c r="AN320" i="1"/>
  <c r="AI321" i="1"/>
  <c r="AK321" i="1" s="1"/>
  <c r="AJ321" i="1"/>
  <c r="AN321" i="1"/>
  <c r="AM321" i="1" s="1"/>
  <c r="AQ321" i="1" s="1"/>
  <c r="AR321" i="1"/>
  <c r="AI322" i="1"/>
  <c r="AK322" i="1" s="1"/>
  <c r="AO322" i="1" s="1"/>
  <c r="AJ322" i="1"/>
  <c r="AN322" i="1"/>
  <c r="AM322" i="1" s="1"/>
  <c r="AQ322" i="1" s="1"/>
  <c r="AR322" i="1"/>
  <c r="AI323" i="1"/>
  <c r="AK323" i="1" s="1"/>
  <c r="AO323" i="1" s="1"/>
  <c r="AJ323" i="1"/>
  <c r="AJ324" i="1" s="1"/>
  <c r="AJ325" i="1" s="1"/>
  <c r="AJ326" i="1" s="1"/>
  <c r="AM323" i="1"/>
  <c r="AN323" i="1"/>
  <c r="AQ323" i="1"/>
  <c r="AR323" i="1"/>
  <c r="AK324" i="1"/>
  <c r="AL324" i="1"/>
  <c r="AN324" i="1"/>
  <c r="AR324" i="1" s="1"/>
  <c r="AK325" i="1"/>
  <c r="AL325" i="1"/>
  <c r="AK326" i="1"/>
  <c r="AL326" i="1"/>
  <c r="AI327" i="1"/>
  <c r="AK327" i="1" s="1"/>
  <c r="AL327" i="1" s="1"/>
  <c r="AP327" i="1" s="1"/>
  <c r="AJ327" i="1"/>
  <c r="AJ328" i="1" s="1"/>
  <c r="AM327" i="1"/>
  <c r="AN327" i="1"/>
  <c r="AQ327" i="1"/>
  <c r="AR327" i="1"/>
  <c r="AK328" i="1"/>
  <c r="AL328" i="1"/>
  <c r="AM328" i="1"/>
  <c r="AQ328" i="1" s="1"/>
  <c r="AN328" i="1"/>
  <c r="AR328" i="1" s="1"/>
  <c r="AI329" i="1"/>
  <c r="AK329" i="1" s="1"/>
  <c r="AJ329" i="1"/>
  <c r="AM329" i="1"/>
  <c r="AQ329" i="1" s="1"/>
  <c r="AN329" i="1"/>
  <c r="AR329" i="1" s="1"/>
  <c r="AI330" i="1"/>
  <c r="AI331" i="1" s="1"/>
  <c r="AI332" i="1" s="1"/>
  <c r="AJ330" i="1"/>
  <c r="AJ331" i="1" s="1"/>
  <c r="AJ332" i="1" s="1"/>
  <c r="AN330" i="1"/>
  <c r="AN331" i="1" s="1"/>
  <c r="AM331" i="1" s="1"/>
  <c r="AQ331" i="1" s="1"/>
  <c r="AR330" i="1"/>
  <c r="AK331" i="1"/>
  <c r="AL331" i="1"/>
  <c r="AK332" i="1"/>
  <c r="AL332" i="1"/>
  <c r="AM332" i="1"/>
  <c r="AQ332" i="1" s="1"/>
  <c r="AN332" i="1"/>
  <c r="AR332" i="1" s="1"/>
  <c r="AI333" i="1"/>
  <c r="AK333" i="1" s="1"/>
  <c r="AJ333" i="1"/>
  <c r="AM333" i="1"/>
  <c r="AN333" i="1"/>
  <c r="AQ333" i="1"/>
  <c r="AR333" i="1"/>
  <c r="AI334" i="1"/>
  <c r="AJ334" i="1"/>
  <c r="AJ335" i="1" s="1"/>
  <c r="AJ336" i="1" s="1"/>
  <c r="AJ337" i="1" s="1"/>
  <c r="AN334" i="1"/>
  <c r="AN335" i="1" s="1"/>
  <c r="AR335" i="1" s="1"/>
  <c r="AR334" i="1"/>
  <c r="AK335" i="1"/>
  <c r="AL335" i="1"/>
  <c r="AM335" i="1"/>
  <c r="AQ335" i="1" s="1"/>
  <c r="AK336" i="1"/>
  <c r="AL336" i="1"/>
  <c r="AM336" i="1"/>
  <c r="AQ336" i="1" s="1"/>
  <c r="AN336" i="1"/>
  <c r="AR336" i="1" s="1"/>
  <c r="AK337" i="1"/>
  <c r="AL337" i="1"/>
  <c r="AI338" i="1"/>
  <c r="AK338" i="1" s="1"/>
  <c r="AO338" i="1" s="1"/>
  <c r="AJ338" i="1"/>
  <c r="AM338" i="1"/>
  <c r="AQ338" i="1" s="1"/>
  <c r="AN338" i="1"/>
  <c r="AR338" i="1"/>
  <c r="AI339" i="1"/>
  <c r="AK339" i="1" s="1"/>
  <c r="AL339" i="1" s="1"/>
  <c r="AP339" i="1" s="1"/>
  <c r="AJ339" i="1"/>
  <c r="AJ340" i="1" s="1"/>
  <c r="AJ341" i="1" s="1"/>
  <c r="AM339" i="1"/>
  <c r="AQ339" i="1" s="1"/>
  <c r="AN339" i="1"/>
  <c r="AR339" i="1"/>
  <c r="AK340" i="1"/>
  <c r="AL340" i="1"/>
  <c r="AN340" i="1"/>
  <c r="AR340" i="1" s="1"/>
  <c r="AK341" i="1"/>
  <c r="AL341" i="1"/>
  <c r="AI342" i="1"/>
  <c r="AI343" i="1" s="1"/>
  <c r="AI344" i="1" s="1"/>
  <c r="AI345" i="1" s="1"/>
  <c r="AJ342" i="1"/>
  <c r="AJ343" i="1" s="1"/>
  <c r="AJ344" i="1" s="1"/>
  <c r="AJ345" i="1" s="1"/>
  <c r="AN342" i="1"/>
  <c r="AK343" i="1"/>
  <c r="AL343" i="1"/>
  <c r="AK344" i="1"/>
  <c r="AL344" i="1"/>
  <c r="AK345" i="1"/>
  <c r="AL345" i="1"/>
  <c r="AI346" i="1"/>
  <c r="AI347" i="1" s="1"/>
  <c r="AI348" i="1" s="1"/>
  <c r="AI349" i="1" s="1"/>
  <c r="AJ346" i="1"/>
  <c r="AJ347" i="1" s="1"/>
  <c r="AJ348" i="1" s="1"/>
  <c r="AJ349" i="1" s="1"/>
  <c r="AM346" i="1"/>
  <c r="AQ346" i="1" s="1"/>
  <c r="AN346" i="1"/>
  <c r="AN347" i="1" s="1"/>
  <c r="AM347" i="1" s="1"/>
  <c r="AQ347" i="1" s="1"/>
  <c r="AR346" i="1"/>
  <c r="AK347" i="1"/>
  <c r="AL347" i="1"/>
  <c r="AR347" i="1"/>
  <c r="AK348" i="1"/>
  <c r="AL348" i="1"/>
  <c r="AN348" i="1"/>
  <c r="AK349" i="1"/>
  <c r="AL349" i="1"/>
  <c r="AI350" i="1"/>
  <c r="AJ350" i="1"/>
  <c r="AJ351" i="1" s="1"/>
  <c r="AJ352" i="1" s="1"/>
  <c r="AN350" i="1"/>
  <c r="AN351" i="1" s="1"/>
  <c r="AR351" i="1" s="1"/>
  <c r="AR350" i="1"/>
  <c r="AK351" i="1"/>
  <c r="AL351" i="1"/>
  <c r="AM351" i="1"/>
  <c r="AQ351" i="1" s="1"/>
  <c r="AK352" i="1"/>
  <c r="AL352" i="1"/>
  <c r="AM352" i="1"/>
  <c r="AQ352" i="1" s="1"/>
  <c r="AN352" i="1"/>
  <c r="AR352" i="1" s="1"/>
  <c r="AI353" i="1"/>
  <c r="AK353" i="1" s="1"/>
  <c r="AL353" i="1" s="1"/>
  <c r="AP353" i="1" s="1"/>
  <c r="AJ353" i="1"/>
  <c r="AM353" i="1"/>
  <c r="AN353" i="1"/>
  <c r="AQ353" i="1"/>
  <c r="AR353" i="1"/>
  <c r="AI354" i="1"/>
  <c r="AI355" i="1" s="1"/>
  <c r="AJ354" i="1"/>
  <c r="AJ355" i="1" s="1"/>
  <c r="AM354" i="1"/>
  <c r="AQ354" i="1" s="1"/>
  <c r="AN354" i="1"/>
  <c r="AN355" i="1" s="1"/>
  <c r="AR354" i="1"/>
  <c r="AK355" i="1"/>
  <c r="AL355" i="1"/>
  <c r="AM355" i="1"/>
  <c r="AQ355" i="1"/>
  <c r="AR355" i="1"/>
  <c r="AI356" i="1"/>
  <c r="AK356" i="1" s="1"/>
  <c r="AJ356" i="1"/>
  <c r="AJ357" i="1" s="1"/>
  <c r="AJ358" i="1" s="1"/>
  <c r="AJ359" i="1" s="1"/>
  <c r="AN356" i="1"/>
  <c r="AK357" i="1"/>
  <c r="AL357" i="1"/>
  <c r="AK358" i="1"/>
  <c r="AL358" i="1"/>
  <c r="AK359" i="1"/>
  <c r="AL359" i="1"/>
  <c r="AI360" i="1"/>
  <c r="AK360" i="1" s="1"/>
  <c r="AJ360" i="1"/>
  <c r="AN360" i="1"/>
  <c r="AI361" i="1"/>
  <c r="AK361" i="1" s="1"/>
  <c r="AJ361" i="1"/>
  <c r="AJ362" i="1" s="1"/>
  <c r="AN361" i="1"/>
  <c r="AK362" i="1"/>
  <c r="AL362" i="1"/>
  <c r="AI363" i="1"/>
  <c r="AK363" i="1" s="1"/>
  <c r="AL363" i="1" s="1"/>
  <c r="AP363" i="1" s="1"/>
  <c r="AJ363" i="1"/>
  <c r="AJ364" i="1" s="1"/>
  <c r="AM363" i="1"/>
  <c r="AN363" i="1"/>
  <c r="AQ363" i="1"/>
  <c r="AR363" i="1"/>
  <c r="AK364" i="1"/>
  <c r="AL364" i="1"/>
  <c r="AN364" i="1"/>
  <c r="AR364" i="1" s="1"/>
  <c r="AI365" i="1"/>
  <c r="AK365" i="1" s="1"/>
  <c r="AL365" i="1" s="1"/>
  <c r="AP365" i="1" s="1"/>
  <c r="AJ365" i="1"/>
  <c r="AJ366" i="1" s="1"/>
  <c r="AJ367" i="1" s="1"/>
  <c r="AN365" i="1"/>
  <c r="AM365" i="1" s="1"/>
  <c r="AQ365" i="1"/>
  <c r="AR365" i="1"/>
  <c r="AK366" i="1"/>
  <c r="AL366" i="1"/>
  <c r="AN366" i="1"/>
  <c r="AK367" i="1"/>
  <c r="AL367" i="1"/>
  <c r="AI368" i="1"/>
  <c r="AI369" i="1" s="1"/>
  <c r="AI370" i="1" s="1"/>
  <c r="AJ368" i="1"/>
  <c r="AJ369" i="1" s="1"/>
  <c r="AJ370" i="1" s="1"/>
  <c r="AM368" i="1"/>
  <c r="AN368" i="1"/>
  <c r="AQ368" i="1"/>
  <c r="AK369" i="1"/>
  <c r="AL369" i="1"/>
  <c r="AK370" i="1"/>
  <c r="AL370" i="1"/>
  <c r="AI371" i="1"/>
  <c r="AK371" i="1" s="1"/>
  <c r="AJ371" i="1"/>
  <c r="AN371" i="1"/>
  <c r="AM371" i="1" s="1"/>
  <c r="AQ371" i="1" s="1"/>
  <c r="AR371" i="1"/>
  <c r="AI372" i="1"/>
  <c r="AK372" i="1" s="1"/>
  <c r="AJ372" i="1"/>
  <c r="AM372" i="1"/>
  <c r="AQ372" i="1" s="1"/>
  <c r="AN372" i="1"/>
  <c r="AR372" i="1"/>
  <c r="AI373" i="1"/>
  <c r="AJ373" i="1"/>
  <c r="AJ374" i="1" s="1"/>
  <c r="AJ375" i="1" s="1"/>
  <c r="AJ376" i="1" s="1"/>
  <c r="AN373" i="1"/>
  <c r="AM373" i="1" s="1"/>
  <c r="AQ373" i="1" s="1"/>
  <c r="AR373" i="1"/>
  <c r="AK374" i="1"/>
  <c r="AL374" i="1"/>
  <c r="AM374" i="1"/>
  <c r="AQ374" i="1" s="1"/>
  <c r="AN374" i="1"/>
  <c r="AK375" i="1"/>
  <c r="AL375" i="1"/>
  <c r="AK376" i="1"/>
  <c r="AL376" i="1"/>
  <c r="AI377" i="1"/>
  <c r="AK377" i="1" s="1"/>
  <c r="AJ377" i="1"/>
  <c r="AJ378" i="1" s="1"/>
  <c r="AJ379" i="1" s="1"/>
  <c r="AM377" i="1"/>
  <c r="AQ377" i="1" s="1"/>
  <c r="AN377" i="1"/>
  <c r="AR377" i="1"/>
  <c r="AK378" i="1"/>
  <c r="AL378" i="1"/>
  <c r="AN378" i="1"/>
  <c r="AK379" i="1"/>
  <c r="AL379" i="1"/>
  <c r="AN379" i="1"/>
  <c r="AM379" i="1" s="1"/>
  <c r="AQ379" i="1"/>
  <c r="AR379" i="1"/>
  <c r="AI380" i="1"/>
  <c r="AJ380" i="1"/>
  <c r="AJ381" i="1" s="1"/>
  <c r="AM380" i="1"/>
  <c r="AQ380" i="1" s="1"/>
  <c r="AN380" i="1"/>
  <c r="AR380" i="1"/>
  <c r="AK381" i="1"/>
  <c r="AL381" i="1"/>
  <c r="AN381" i="1"/>
  <c r="AI382" i="1"/>
  <c r="AJ382" i="1"/>
  <c r="AJ383" i="1" s="1"/>
  <c r="AJ384" i="1" s="1"/>
  <c r="AJ385" i="1" s="1"/>
  <c r="AJ386" i="1" s="1"/>
  <c r="AJ387" i="1" s="1"/>
  <c r="AN382" i="1"/>
  <c r="AN383" i="1" s="1"/>
  <c r="AN384" i="1" s="1"/>
  <c r="AM384" i="1" s="1"/>
  <c r="AQ384" i="1" s="1"/>
  <c r="AR382" i="1"/>
  <c r="AK383" i="1"/>
  <c r="AL383" i="1"/>
  <c r="AM383" i="1"/>
  <c r="AQ383" i="1" s="1"/>
  <c r="AK384" i="1"/>
  <c r="AL384" i="1"/>
  <c r="AR384" i="1"/>
  <c r="AL385" i="1"/>
  <c r="AM385" i="1"/>
  <c r="AQ385" i="1" s="1"/>
  <c r="AN385" i="1"/>
  <c r="AR385" i="1" s="1"/>
  <c r="AK386" i="1"/>
  <c r="AL386" i="1"/>
  <c r="AN386" i="1"/>
  <c r="AN387" i="1" s="1"/>
  <c r="AM387" i="1" s="1"/>
  <c r="AQ387" i="1" s="1"/>
  <c r="AR386" i="1"/>
  <c r="AK387" i="1"/>
  <c r="AL387" i="1"/>
  <c r="AI388" i="1"/>
  <c r="AK388" i="1" s="1"/>
  <c r="AJ388" i="1"/>
  <c r="AM388" i="1"/>
  <c r="AQ388" i="1" s="1"/>
  <c r="AN388" i="1"/>
  <c r="AR388" i="1"/>
  <c r="AI389" i="1"/>
  <c r="AI390" i="1" s="1"/>
  <c r="AJ389" i="1"/>
  <c r="AJ390" i="1" s="1"/>
  <c r="AN389" i="1"/>
  <c r="AN390" i="1" s="1"/>
  <c r="AR389" i="1"/>
  <c r="AK390" i="1"/>
  <c r="AL390" i="1"/>
  <c r="AI391" i="1"/>
  <c r="AJ391" i="1"/>
  <c r="AJ392" i="1" s="1"/>
  <c r="AJ393" i="1" s="1"/>
  <c r="AM391" i="1"/>
  <c r="AQ391" i="1" s="1"/>
  <c r="AN391" i="1"/>
  <c r="AR391" i="1"/>
  <c r="AK392" i="1"/>
  <c r="AL392" i="1"/>
  <c r="AM392" i="1"/>
  <c r="AN392" i="1"/>
  <c r="AQ392" i="1"/>
  <c r="AR392" i="1"/>
  <c r="AK393" i="1"/>
  <c r="AL393" i="1"/>
  <c r="AM393" i="1"/>
  <c r="AQ393" i="1" s="1"/>
  <c r="AN393" i="1"/>
  <c r="AR393" i="1" s="1"/>
  <c r="AI394" i="1"/>
  <c r="AI395" i="1" s="1"/>
  <c r="AJ394" i="1"/>
  <c r="AJ395" i="1" s="1"/>
  <c r="AN394" i="1"/>
  <c r="AM394" i="1" s="1"/>
  <c r="AQ394" i="1" s="1"/>
  <c r="AR394" i="1"/>
  <c r="AK395" i="1"/>
  <c r="AL395" i="1"/>
  <c r="AM395" i="1"/>
  <c r="AQ395" i="1" s="1"/>
  <c r="AN395" i="1"/>
  <c r="AR395" i="1"/>
  <c r="AI396" i="1"/>
  <c r="AI397" i="1" s="1"/>
  <c r="AI398" i="1" s="1"/>
  <c r="AI399" i="1" s="1"/>
  <c r="AJ396" i="1"/>
  <c r="AJ397" i="1" s="1"/>
  <c r="AJ398" i="1" s="1"/>
  <c r="AJ399" i="1" s="1"/>
  <c r="AJ400" i="1" s="1"/>
  <c r="AJ401" i="1" s="1"/>
  <c r="AM396" i="1"/>
  <c r="AN396" i="1"/>
  <c r="AN397" i="1" s="1"/>
  <c r="AQ396" i="1"/>
  <c r="AR396" i="1"/>
  <c r="AK397" i="1"/>
  <c r="AL397" i="1"/>
  <c r="AK398" i="1"/>
  <c r="AL398" i="1"/>
  <c r="AL399" i="1"/>
  <c r="AM399" i="1"/>
  <c r="AQ399" i="1" s="1"/>
  <c r="AN399" i="1"/>
  <c r="AR399" i="1"/>
  <c r="AK400" i="1"/>
  <c r="AL400" i="1"/>
  <c r="AM400" i="1"/>
  <c r="AQ400" i="1" s="1"/>
  <c r="AN400" i="1"/>
  <c r="AN401" i="1" s="1"/>
  <c r="AM401" i="1" s="1"/>
  <c r="AQ401" i="1" s="1"/>
  <c r="AR400" i="1"/>
  <c r="AK401" i="1"/>
  <c r="AL401" i="1"/>
  <c r="AR401" i="1"/>
  <c r="AI402" i="1"/>
  <c r="AK402" i="1" s="1"/>
  <c r="AJ402" i="1"/>
  <c r="AM402" i="1"/>
  <c r="AQ402" i="1" s="1"/>
  <c r="AN402" i="1"/>
  <c r="AR402" i="1" s="1"/>
  <c r="AI403" i="1"/>
  <c r="AK403" i="1" s="1"/>
  <c r="AJ403" i="1"/>
  <c r="AN403" i="1"/>
  <c r="AM403" i="1" s="1"/>
  <c r="AQ403" i="1"/>
  <c r="AR403" i="1"/>
  <c r="AI404" i="1"/>
  <c r="AK404" i="1" s="1"/>
  <c r="AO404" i="1" s="1"/>
  <c r="AJ404" i="1"/>
  <c r="AN404" i="1"/>
  <c r="AM404" i="1" s="1"/>
  <c r="AQ404" i="1"/>
  <c r="AI405" i="1"/>
  <c r="AK405" i="1" s="1"/>
  <c r="AO405" i="1" s="1"/>
  <c r="AJ405" i="1"/>
  <c r="AN405" i="1"/>
  <c r="AR405" i="1" s="1"/>
  <c r="AI406" i="1"/>
  <c r="AJ406" i="1"/>
  <c r="AJ407" i="1" s="1"/>
  <c r="AM406" i="1"/>
  <c r="AQ406" i="1" s="1"/>
  <c r="AN406" i="1"/>
  <c r="AR406" i="1"/>
  <c r="AK407" i="1"/>
  <c r="AL407" i="1"/>
  <c r="AN407" i="1"/>
  <c r="AM407" i="1" s="1"/>
  <c r="AQ407" i="1" s="1"/>
  <c r="AR407" i="1"/>
  <c r="AI408" i="1"/>
  <c r="AK408" i="1" s="1"/>
  <c r="AJ408" i="1"/>
  <c r="AJ409" i="1" s="1"/>
  <c r="AJ410" i="1" s="1"/>
  <c r="AJ411" i="1" s="1"/>
  <c r="AN408" i="1"/>
  <c r="AK409" i="1"/>
  <c r="AL409" i="1"/>
  <c r="AM409" i="1"/>
  <c r="AQ409" i="1" s="1"/>
  <c r="AN409" i="1"/>
  <c r="AR409" i="1" s="1"/>
  <c r="AL410" i="1"/>
  <c r="AM410" i="1"/>
  <c r="AN410" i="1"/>
  <c r="AQ410" i="1"/>
  <c r="AR410" i="1"/>
  <c r="AK411" i="1"/>
  <c r="AL411" i="1"/>
  <c r="AN411" i="1"/>
  <c r="AI412" i="1"/>
  <c r="AK412" i="1" s="1"/>
  <c r="AJ412" i="1"/>
  <c r="AM412" i="1"/>
  <c r="AN412" i="1"/>
  <c r="AQ412" i="1"/>
  <c r="AR412" i="1"/>
  <c r="AI413" i="1"/>
  <c r="AK413" i="1" s="1"/>
  <c r="AJ413" i="1"/>
  <c r="AN413" i="1"/>
  <c r="AM413" i="1" s="1"/>
  <c r="AQ413" i="1"/>
  <c r="AR413" i="1"/>
  <c r="AI414" i="1"/>
  <c r="AJ414" i="1"/>
  <c r="AJ415" i="1" s="1"/>
  <c r="AN414" i="1"/>
  <c r="AM414" i="1" s="1"/>
  <c r="AQ414" i="1"/>
  <c r="AR414" i="1"/>
  <c r="AK415" i="1"/>
  <c r="AL415" i="1"/>
  <c r="AI416" i="1"/>
  <c r="AI417" i="1" s="1"/>
  <c r="AI418" i="1" s="1"/>
  <c r="AI419" i="1" s="1"/>
  <c r="AJ416" i="1"/>
  <c r="AJ417" i="1" s="1"/>
  <c r="AJ418" i="1" s="1"/>
  <c r="AJ419" i="1" s="1"/>
  <c r="AM416" i="1"/>
  <c r="AQ416" i="1" s="1"/>
  <c r="AN416" i="1"/>
  <c r="AR416" i="1" s="1"/>
  <c r="AK417" i="1"/>
  <c r="AL417" i="1"/>
  <c r="AM417" i="1"/>
  <c r="AQ417" i="1" s="1"/>
  <c r="AN417" i="1"/>
  <c r="AN418" i="1" s="1"/>
  <c r="AR417" i="1"/>
  <c r="AK418" i="1"/>
  <c r="AL418" i="1"/>
  <c r="AK419" i="1"/>
  <c r="AL419" i="1"/>
  <c r="AI420" i="1"/>
  <c r="AK420" i="1" s="1"/>
  <c r="AO420" i="1" s="1"/>
  <c r="AJ420" i="1"/>
  <c r="AJ421" i="1" s="1"/>
  <c r="AN420" i="1"/>
  <c r="AM420" i="1" s="1"/>
  <c r="AQ420" i="1" s="1"/>
  <c r="AR420" i="1"/>
  <c r="AK421" i="1"/>
  <c r="AL421" i="1"/>
  <c r="AM421" i="1"/>
  <c r="AN421" i="1"/>
  <c r="AQ421" i="1"/>
  <c r="AR421" i="1"/>
  <c r="AI422" i="1"/>
  <c r="AK422" i="1" s="1"/>
  <c r="AJ422" i="1"/>
  <c r="AJ423" i="1" s="1"/>
  <c r="AN422" i="1"/>
  <c r="AM422" i="1" s="1"/>
  <c r="AQ422" i="1" s="1"/>
  <c r="AR422" i="1"/>
  <c r="AK423" i="1"/>
  <c r="AL423" i="1"/>
  <c r="AM423" i="1"/>
  <c r="AQ423" i="1" s="1"/>
  <c r="AN423" i="1"/>
  <c r="AR423" i="1" s="1"/>
  <c r="AI424" i="1"/>
  <c r="AI425" i="1" s="1"/>
  <c r="AI426" i="1" s="1"/>
  <c r="AJ424" i="1"/>
  <c r="AJ425" i="1" s="1"/>
  <c r="AJ426" i="1" s="1"/>
  <c r="AN424" i="1"/>
  <c r="AN425" i="1" s="1"/>
  <c r="AK425" i="1"/>
  <c r="AL425" i="1"/>
  <c r="AM425" i="1"/>
  <c r="AQ425" i="1" s="1"/>
  <c r="AK426" i="1"/>
  <c r="AL426" i="1"/>
  <c r="AI427" i="1"/>
  <c r="AK427" i="1" s="1"/>
  <c r="AO427" i="1" s="1"/>
  <c r="AJ427" i="1"/>
  <c r="AJ428" i="1" s="1"/>
  <c r="AJ429" i="1" s="1"/>
  <c r="AN427" i="1"/>
  <c r="AK428" i="1"/>
  <c r="AL428" i="1"/>
  <c r="AN428" i="1"/>
  <c r="AR428" i="1"/>
  <c r="AK429" i="1"/>
  <c r="AL429" i="1"/>
  <c r="AI430" i="1"/>
  <c r="AK430" i="1" s="1"/>
  <c r="AJ430" i="1"/>
  <c r="AN430" i="1"/>
  <c r="AI431" i="1"/>
  <c r="AJ431" i="1"/>
  <c r="AJ432" i="1" s="1"/>
  <c r="AM431" i="1"/>
  <c r="AN431" i="1"/>
  <c r="AQ431" i="1"/>
  <c r="AR431" i="1"/>
  <c r="AK432" i="1"/>
  <c r="AL432" i="1"/>
  <c r="AN432" i="1"/>
  <c r="AM432" i="1" s="1"/>
  <c r="AQ432" i="1" s="1"/>
  <c r="AI433" i="1"/>
  <c r="AI434" i="1" s="1"/>
  <c r="AI435" i="1" s="1"/>
  <c r="AJ433" i="1"/>
  <c r="AJ434" i="1" s="1"/>
  <c r="AJ435" i="1" s="1"/>
  <c r="AN433" i="1"/>
  <c r="AK434" i="1"/>
  <c r="AL434" i="1"/>
  <c r="AK435" i="1"/>
  <c r="AL435" i="1"/>
  <c r="AI436" i="1"/>
  <c r="AK436" i="1" s="1"/>
  <c r="AJ436" i="1"/>
  <c r="AN436" i="1"/>
  <c r="AI437" i="1"/>
  <c r="AI438" i="1" s="1"/>
  <c r="AJ437" i="1"/>
  <c r="AJ438" i="1" s="1"/>
  <c r="AM437" i="1"/>
  <c r="AQ437" i="1" s="1"/>
  <c r="AN437" i="1"/>
  <c r="AK438" i="1"/>
  <c r="AL438" i="1"/>
  <c r="AI439" i="1"/>
  <c r="AK439" i="1" s="1"/>
  <c r="AL439" i="1" s="1"/>
  <c r="AP439" i="1" s="1"/>
  <c r="AJ439" i="1"/>
  <c r="AM439" i="1"/>
  <c r="AQ439" i="1" s="1"/>
  <c r="AN439" i="1"/>
  <c r="AR439" i="1"/>
  <c r="AI440" i="1"/>
  <c r="AI441" i="1" s="1"/>
  <c r="AJ440" i="1"/>
  <c r="AJ441" i="1" s="1"/>
  <c r="AN440" i="1"/>
  <c r="AN441" i="1" s="1"/>
  <c r="AR441" i="1" s="1"/>
  <c r="AR440" i="1"/>
  <c r="AK441" i="1"/>
  <c r="AL441" i="1"/>
  <c r="AM441" i="1"/>
  <c r="AQ441" i="1" s="1"/>
  <c r="AI442" i="1"/>
  <c r="AI443" i="1" s="1"/>
  <c r="AJ442" i="1"/>
  <c r="AJ443" i="1" s="1"/>
  <c r="AN442" i="1"/>
  <c r="AK443" i="1"/>
  <c r="AL443" i="1"/>
  <c r="AI444" i="1"/>
  <c r="AI445" i="1" s="1"/>
  <c r="AI446" i="1" s="1"/>
  <c r="AJ444" i="1"/>
  <c r="AJ445" i="1" s="1"/>
  <c r="AJ446" i="1" s="1"/>
  <c r="AN444" i="1"/>
  <c r="AK445" i="1"/>
  <c r="AL445" i="1"/>
  <c r="AN445" i="1"/>
  <c r="AK446" i="1"/>
  <c r="AL446" i="1"/>
  <c r="AI447" i="1"/>
  <c r="AJ447" i="1"/>
  <c r="AJ448" i="1" s="1"/>
  <c r="AJ449" i="1" s="1"/>
  <c r="AM447" i="1"/>
  <c r="AQ447" i="1" s="1"/>
  <c r="AN447" i="1"/>
  <c r="AR447" i="1" s="1"/>
  <c r="AK448" i="1"/>
  <c r="AL448" i="1"/>
  <c r="AN448" i="1"/>
  <c r="AN449" i="1" s="1"/>
  <c r="AR449" i="1" s="1"/>
  <c r="AR448" i="1"/>
  <c r="AK449" i="1"/>
  <c r="AL449" i="1"/>
  <c r="AM449" i="1"/>
  <c r="AQ449" i="1" s="1"/>
  <c r="AI450" i="1"/>
  <c r="AJ450" i="1"/>
  <c r="AI451" i="1"/>
  <c r="AJ451" i="1"/>
  <c r="AI453" i="1"/>
  <c r="AJ453" i="1"/>
  <c r="AI455" i="1"/>
  <c r="AJ455" i="1"/>
  <c r="AI457" i="1"/>
  <c r="AJ457" i="1"/>
  <c r="AI459" i="1"/>
  <c r="AJ459" i="1"/>
  <c r="AI460" i="1"/>
  <c r="AJ460" i="1"/>
  <c r="AI462" i="1"/>
  <c r="AJ462" i="1"/>
  <c r="AI464" i="1"/>
  <c r="AJ464" i="1"/>
  <c r="AI467" i="1"/>
  <c r="AJ467" i="1"/>
  <c r="AI470" i="1"/>
  <c r="AJ470" i="1"/>
  <c r="AI473" i="1"/>
  <c r="AJ473" i="1"/>
  <c r="AI475" i="1"/>
  <c r="AJ475" i="1"/>
  <c r="AI477" i="1"/>
  <c r="AJ477" i="1"/>
  <c r="AI479" i="1"/>
  <c r="AJ479" i="1"/>
  <c r="AI480" i="1"/>
  <c r="AJ480" i="1"/>
  <c r="AI481" i="1"/>
  <c r="AJ481" i="1"/>
  <c r="AI483" i="1"/>
  <c r="AJ483" i="1"/>
  <c r="AI484" i="1"/>
  <c r="AJ484" i="1"/>
  <c r="AI486" i="1"/>
  <c r="AJ486" i="1"/>
  <c r="AI489" i="1"/>
  <c r="AJ489" i="1"/>
  <c r="AI491" i="1"/>
  <c r="AJ491" i="1"/>
  <c r="AI494" i="1"/>
  <c r="AJ494" i="1"/>
  <c r="AI496" i="1"/>
  <c r="AJ496" i="1"/>
  <c r="AI498" i="1"/>
  <c r="AJ498" i="1"/>
  <c r="AI500" i="1"/>
  <c r="AJ500" i="1"/>
  <c r="AI503" i="1"/>
  <c r="AJ503" i="1"/>
  <c r="AI504" i="1"/>
  <c r="AJ504" i="1"/>
  <c r="AI505" i="1"/>
  <c r="AJ505" i="1"/>
  <c r="AI507" i="1"/>
  <c r="AJ507" i="1"/>
  <c r="AI510" i="1"/>
  <c r="AJ510" i="1"/>
  <c r="AI514" i="1"/>
  <c r="AJ514" i="1"/>
  <c r="AI518" i="1"/>
  <c r="AJ518" i="1"/>
  <c r="AI519" i="1"/>
  <c r="AJ519" i="1"/>
  <c r="AI520" i="1"/>
  <c r="AJ520" i="1"/>
  <c r="AI522" i="1"/>
  <c r="AJ522" i="1"/>
  <c r="AI525" i="1"/>
  <c r="AJ525" i="1"/>
  <c r="AI527" i="1"/>
  <c r="AJ527" i="1"/>
  <c r="AI529" i="1"/>
  <c r="AJ529" i="1"/>
  <c r="AI531" i="1"/>
  <c r="AJ531" i="1"/>
  <c r="AI534" i="1"/>
  <c r="AJ534" i="1"/>
  <c r="AI537" i="1"/>
  <c r="AJ537" i="1"/>
  <c r="AI538" i="1"/>
  <c r="AJ538" i="1"/>
  <c r="AI541" i="1"/>
  <c r="AJ541" i="1"/>
  <c r="AI544" i="1"/>
  <c r="AJ544" i="1"/>
  <c r="AI545" i="1"/>
  <c r="AJ545" i="1"/>
  <c r="AI547" i="1"/>
  <c r="AJ547" i="1"/>
  <c r="AI550" i="1"/>
  <c r="AJ550" i="1"/>
  <c r="AI553" i="1"/>
  <c r="AJ553" i="1"/>
  <c r="AI555" i="1"/>
  <c r="AJ555" i="1"/>
  <c r="AI559" i="1"/>
  <c r="AJ559" i="1"/>
  <c r="AI560" i="1"/>
  <c r="AJ560" i="1"/>
  <c r="AI561" i="1"/>
  <c r="AJ561" i="1"/>
  <c r="AI562" i="1"/>
  <c r="AJ562" i="1"/>
  <c r="AI563" i="1"/>
  <c r="AJ563" i="1"/>
  <c r="AI564" i="1"/>
  <c r="AJ564" i="1"/>
  <c r="AI565" i="1"/>
  <c r="AJ565" i="1"/>
  <c r="AI567" i="1"/>
  <c r="AJ567" i="1"/>
  <c r="AI569" i="1"/>
  <c r="AJ569" i="1"/>
  <c r="AI571" i="1"/>
  <c r="AJ571" i="1"/>
  <c r="AI573" i="1"/>
  <c r="AJ573" i="1"/>
  <c r="AI575" i="1"/>
  <c r="AJ575" i="1"/>
  <c r="AI579" i="1"/>
  <c r="AJ579" i="1"/>
  <c r="AI580" i="1"/>
  <c r="AJ580" i="1"/>
  <c r="AI582" i="1"/>
  <c r="AJ582" i="1"/>
  <c r="AI583" i="1"/>
  <c r="AJ583" i="1"/>
  <c r="AI587" i="1"/>
  <c r="AJ587" i="1"/>
  <c r="AI591" i="1"/>
  <c r="AJ591" i="1"/>
  <c r="AI592" i="1"/>
  <c r="AJ592" i="1"/>
  <c r="AI596" i="1"/>
  <c r="AJ596" i="1"/>
  <c r="AI598" i="1"/>
  <c r="AJ598" i="1"/>
  <c r="AI599" i="1"/>
  <c r="AJ599" i="1"/>
  <c r="AI604" i="1"/>
  <c r="AJ604" i="1"/>
  <c r="AI605" i="1"/>
  <c r="AJ605" i="1"/>
  <c r="AI606" i="1"/>
  <c r="AJ606" i="1"/>
  <c r="AI607" i="1"/>
  <c r="AJ607" i="1"/>
  <c r="AI609" i="1"/>
  <c r="AJ609" i="1"/>
  <c r="AI612" i="1"/>
  <c r="AJ612" i="1"/>
  <c r="AI614" i="1"/>
  <c r="AJ614" i="1"/>
  <c r="AI617" i="1"/>
  <c r="AJ617" i="1"/>
  <c r="AI619" i="1"/>
  <c r="AJ619" i="1"/>
  <c r="AI621" i="1"/>
  <c r="AJ621" i="1"/>
  <c r="AI623" i="1"/>
  <c r="AJ623" i="1"/>
  <c r="AI626" i="1"/>
  <c r="AJ626" i="1"/>
  <c r="AI628" i="1"/>
  <c r="AJ628" i="1"/>
  <c r="AI631" i="1"/>
  <c r="AJ631" i="1"/>
  <c r="AI632" i="1"/>
  <c r="AJ632" i="1"/>
  <c r="AI635" i="1"/>
  <c r="AJ635" i="1"/>
  <c r="AI638" i="1"/>
  <c r="AJ638" i="1"/>
  <c r="AI639" i="1"/>
  <c r="AJ639" i="1"/>
  <c r="AI642" i="1"/>
  <c r="AJ642" i="1"/>
  <c r="AI643" i="1"/>
  <c r="AJ643" i="1"/>
  <c r="AI646" i="1"/>
  <c r="AJ646" i="1"/>
  <c r="AI649" i="1"/>
  <c r="AJ649" i="1"/>
  <c r="AI653" i="1"/>
  <c r="AJ653" i="1"/>
  <c r="AI655" i="1"/>
  <c r="AJ655" i="1"/>
  <c r="AI658" i="1"/>
  <c r="AJ658" i="1"/>
  <c r="AI660" i="1"/>
  <c r="AJ660" i="1"/>
  <c r="AI662" i="1"/>
  <c r="AJ662" i="1"/>
  <c r="AI664" i="1"/>
  <c r="AJ664" i="1"/>
  <c r="AI665" i="1"/>
  <c r="AJ665" i="1"/>
  <c r="AI667" i="1"/>
  <c r="AJ667" i="1"/>
  <c r="AI669" i="1"/>
  <c r="AJ669" i="1"/>
  <c r="AI670" i="1"/>
  <c r="AJ670" i="1"/>
  <c r="AI672" i="1"/>
  <c r="AJ672" i="1"/>
  <c r="AI674" i="1"/>
  <c r="AJ674" i="1"/>
  <c r="AI676" i="1"/>
  <c r="AJ676" i="1"/>
  <c r="AI677" i="1"/>
  <c r="AJ677" i="1"/>
  <c r="AI678" i="1"/>
  <c r="AJ678" i="1"/>
  <c r="AI679" i="1"/>
  <c r="AJ679" i="1"/>
  <c r="AI680" i="1"/>
  <c r="AJ680" i="1"/>
  <c r="AI683" i="1"/>
  <c r="AJ683" i="1"/>
  <c r="AI686" i="1"/>
  <c r="AJ686" i="1"/>
  <c r="AI687" i="1"/>
  <c r="AJ687" i="1"/>
  <c r="AI688" i="1"/>
  <c r="AJ688" i="1"/>
  <c r="AI689" i="1"/>
  <c r="AJ689" i="1"/>
  <c r="AI731" i="1"/>
  <c r="AJ731" i="1"/>
  <c r="AI733" i="1"/>
  <c r="AJ733" i="1"/>
  <c r="AI735" i="1"/>
  <c r="AJ735" i="1"/>
  <c r="AI737" i="1"/>
  <c r="AJ737" i="1"/>
  <c r="AE721" i="1"/>
  <c r="AE724" i="1"/>
  <c r="AE729" i="1"/>
  <c r="AG729" i="1"/>
  <c r="W44" i="1" a="1"/>
  <c r="W44" i="1" s="1"/>
  <c r="W45" i="1" a="1"/>
  <c r="W45" i="1"/>
  <c r="W46" i="1" a="1"/>
  <c r="W46" i="1"/>
  <c r="W47" i="1" a="1"/>
  <c r="W47" i="1"/>
  <c r="W48" i="1" a="1"/>
  <c r="W48" i="1"/>
  <c r="W49" i="1" a="1"/>
  <c r="W49" i="1"/>
  <c r="W50" i="1" a="1"/>
  <c r="W50" i="1"/>
  <c r="W51" i="1" a="1"/>
  <c r="W51" i="1"/>
  <c r="W52" i="1" a="1"/>
  <c r="W52" i="1" s="1"/>
  <c r="W53" i="1" a="1"/>
  <c r="W53" i="1"/>
  <c r="W54" i="1" a="1"/>
  <c r="W54" i="1"/>
  <c r="W55" i="1" a="1"/>
  <c r="W55" i="1"/>
  <c r="W56" i="1" a="1"/>
  <c r="W56" i="1"/>
  <c r="W57" i="1" a="1"/>
  <c r="W57" i="1"/>
  <c r="W58" i="1" a="1"/>
  <c r="W58" i="1"/>
  <c r="W59" i="1" a="1"/>
  <c r="W59" i="1"/>
  <c r="W60" i="1" a="1"/>
  <c r="W60" i="1" s="1"/>
  <c r="W61" i="1" a="1"/>
  <c r="W61" i="1"/>
  <c r="W62" i="1" a="1"/>
  <c r="W62" i="1"/>
  <c r="W63" i="1" a="1"/>
  <c r="W63" i="1"/>
  <c r="W64" i="1" a="1"/>
  <c r="W64" i="1"/>
  <c r="W65" i="1" a="1"/>
  <c r="W65" i="1"/>
  <c r="W66" i="1" a="1"/>
  <c r="W66" i="1"/>
  <c r="W67" i="1" a="1"/>
  <c r="W67" i="1"/>
  <c r="W68" i="1" a="1"/>
  <c r="W68" i="1" s="1"/>
  <c r="W69" i="1" a="1"/>
  <c r="W69" i="1"/>
  <c r="W70" i="1" a="1"/>
  <c r="W70" i="1"/>
  <c r="W71" i="1" a="1"/>
  <c r="W71" i="1"/>
  <c r="W72" i="1" a="1"/>
  <c r="W72" i="1"/>
  <c r="W73" i="1" a="1"/>
  <c r="W73" i="1"/>
  <c r="W74" i="1" a="1"/>
  <c r="W74" i="1"/>
  <c r="W75" i="1" a="1"/>
  <c r="W75" i="1"/>
  <c r="W76" i="1" a="1"/>
  <c r="W76" i="1" s="1"/>
  <c r="W77" i="1" a="1"/>
  <c r="W77" i="1"/>
  <c r="W78" i="1" a="1"/>
  <c r="W78" i="1"/>
  <c r="W79" i="1" a="1"/>
  <c r="W79" i="1"/>
  <c r="W80" i="1" a="1"/>
  <c r="W80" i="1"/>
  <c r="W81" i="1" a="1"/>
  <c r="W81" i="1"/>
  <c r="W82" i="1" a="1"/>
  <c r="W82" i="1"/>
  <c r="W83" i="1" a="1"/>
  <c r="W83" i="1"/>
  <c r="W84" i="1" a="1"/>
  <c r="W84" i="1" s="1"/>
  <c r="W85" i="1" a="1"/>
  <c r="W85" i="1"/>
  <c r="W86" i="1" a="1"/>
  <c r="W86" i="1"/>
  <c r="W87" i="1" a="1"/>
  <c r="W87" i="1"/>
  <c r="W88" i="1" a="1"/>
  <c r="W88" i="1"/>
  <c r="W89" i="1" a="1"/>
  <c r="W89" i="1"/>
  <c r="W90" i="1" a="1"/>
  <c r="W90" i="1"/>
  <c r="W91" i="1" a="1"/>
  <c r="W91" i="1"/>
  <c r="W92" i="1" a="1"/>
  <c r="W92" i="1" s="1"/>
  <c r="W93" i="1" a="1"/>
  <c r="W93" i="1"/>
  <c r="W94" i="1" a="1"/>
  <c r="W94" i="1"/>
  <c r="W95" i="1" a="1"/>
  <c r="W95" i="1"/>
  <c r="W96" i="1" a="1"/>
  <c r="W96" i="1"/>
  <c r="W97" i="1" a="1"/>
  <c r="W97" i="1"/>
  <c r="W98" i="1" a="1"/>
  <c r="W98" i="1"/>
  <c r="W99" i="1" a="1"/>
  <c r="W99" i="1"/>
  <c r="W100" i="1" a="1"/>
  <c r="W100" i="1" s="1"/>
  <c r="W101" i="1" a="1"/>
  <c r="W101" i="1"/>
  <c r="W102" i="1" a="1"/>
  <c r="W102" i="1"/>
  <c r="W103" i="1" a="1"/>
  <c r="W103" i="1"/>
  <c r="W104" i="1" a="1"/>
  <c r="W104" i="1"/>
  <c r="W105" i="1" a="1"/>
  <c r="W105" i="1"/>
  <c r="W106" i="1" a="1"/>
  <c r="W106" i="1"/>
  <c r="W107" i="1" a="1"/>
  <c r="W107" i="1"/>
  <c r="W108" i="1" a="1"/>
  <c r="W108" i="1" s="1"/>
  <c r="W109" i="1" a="1"/>
  <c r="W109" i="1"/>
  <c r="W110" i="1" a="1"/>
  <c r="W110" i="1"/>
  <c r="W111" i="1" a="1"/>
  <c r="W111" i="1"/>
  <c r="W112" i="1" a="1"/>
  <c r="W112" i="1"/>
  <c r="W113" i="1" a="1"/>
  <c r="W113" i="1"/>
  <c r="W114" i="1" a="1"/>
  <c r="W114" i="1"/>
  <c r="W115" i="1" a="1"/>
  <c r="W115" i="1"/>
  <c r="W116" i="1" a="1"/>
  <c r="W116" i="1" s="1"/>
  <c r="W117" i="1" a="1"/>
  <c r="W117" i="1"/>
  <c r="W118" i="1" a="1"/>
  <c r="W118" i="1"/>
  <c r="W119" i="1" a="1"/>
  <c r="W119" i="1"/>
  <c r="W120" i="1" a="1"/>
  <c r="W120" i="1"/>
  <c r="W121" i="1" a="1"/>
  <c r="W121" i="1"/>
  <c r="W122" i="1" a="1"/>
  <c r="W122" i="1"/>
  <c r="W123" i="1" a="1"/>
  <c r="W123" i="1"/>
  <c r="W124" i="1" a="1"/>
  <c r="W124" i="1" s="1"/>
  <c r="W125" i="1" a="1"/>
  <c r="W125" i="1"/>
  <c r="W126" i="1" a="1"/>
  <c r="W126" i="1"/>
  <c r="W127" i="1" a="1"/>
  <c r="W127" i="1"/>
  <c r="W128" i="1" a="1"/>
  <c r="W128" i="1"/>
  <c r="W129" i="1" a="1"/>
  <c r="W129" i="1"/>
  <c r="W130" i="1" a="1"/>
  <c r="W130" i="1"/>
  <c r="W131" i="1" a="1"/>
  <c r="W131" i="1"/>
  <c r="W132" i="1" a="1"/>
  <c r="W132" i="1" s="1"/>
  <c r="W133" i="1" a="1"/>
  <c r="W133" i="1"/>
  <c r="W134" i="1" a="1"/>
  <c r="W134" i="1"/>
  <c r="W135" i="1" a="1"/>
  <c r="W135" i="1"/>
  <c r="W136" i="1" a="1"/>
  <c r="W136" i="1"/>
  <c r="W137" i="1" a="1"/>
  <c r="W137" i="1"/>
  <c r="W138" i="1" a="1"/>
  <c r="W138" i="1"/>
  <c r="W139" i="1" a="1"/>
  <c r="W139" i="1"/>
  <c r="W140" i="1" a="1"/>
  <c r="W140" i="1" s="1"/>
  <c r="W141" i="1" a="1"/>
  <c r="W141" i="1"/>
  <c r="W142" i="1" a="1"/>
  <c r="W142" i="1"/>
  <c r="W143" i="1" a="1"/>
  <c r="W143" i="1"/>
  <c r="W144" i="1" a="1"/>
  <c r="W144" i="1"/>
  <c r="W145" i="1" a="1"/>
  <c r="W145" i="1"/>
  <c r="W146" i="1" a="1"/>
  <c r="W146" i="1"/>
  <c r="W147" i="1" a="1"/>
  <c r="W147" i="1"/>
  <c r="W148" i="1" a="1"/>
  <c r="W148" i="1" s="1"/>
  <c r="W149" i="1" a="1"/>
  <c r="W149" i="1"/>
  <c r="W150" i="1" a="1"/>
  <c r="W150" i="1"/>
  <c r="W151" i="1" a="1"/>
  <c r="W151" i="1"/>
  <c r="W152" i="1" a="1"/>
  <c r="W152" i="1"/>
  <c r="W153" i="1" a="1"/>
  <c r="W153" i="1"/>
  <c r="W154" i="1" a="1"/>
  <c r="W154" i="1"/>
  <c r="W155" i="1" a="1"/>
  <c r="W155" i="1"/>
  <c r="W156" i="1" a="1"/>
  <c r="W156" i="1" s="1"/>
  <c r="W157" i="1" a="1"/>
  <c r="W157" i="1"/>
  <c r="W158" i="1" a="1"/>
  <c r="W158" i="1"/>
  <c r="W159" i="1" a="1"/>
  <c r="W159" i="1"/>
  <c r="W160" i="1" a="1"/>
  <c r="W160" i="1"/>
  <c r="W161" i="1" a="1"/>
  <c r="W161" i="1"/>
  <c r="W162" i="1" a="1"/>
  <c r="W162" i="1"/>
  <c r="W163" i="1" a="1"/>
  <c r="W163" i="1"/>
  <c r="W164" i="1" a="1"/>
  <c r="W164" i="1" s="1"/>
  <c r="W165" i="1" a="1"/>
  <c r="W165" i="1"/>
  <c r="W166" i="1" a="1"/>
  <c r="W166" i="1"/>
  <c r="W167" i="1" a="1"/>
  <c r="W167" i="1"/>
  <c r="W168" i="1" a="1"/>
  <c r="W168" i="1"/>
  <c r="W169" i="1" a="1"/>
  <c r="W169" i="1"/>
  <c r="W170" i="1" a="1"/>
  <c r="W170" i="1"/>
  <c r="W171" i="1" a="1"/>
  <c r="W171" i="1"/>
  <c r="W172" i="1" a="1"/>
  <c r="W172" i="1" s="1"/>
  <c r="W173" i="1" a="1"/>
  <c r="W173" i="1"/>
  <c r="W174" i="1" a="1"/>
  <c r="W174" i="1"/>
  <c r="W175" i="1" a="1"/>
  <c r="W175" i="1"/>
  <c r="W176" i="1" a="1"/>
  <c r="W176" i="1"/>
  <c r="W177" i="1" a="1"/>
  <c r="W177" i="1"/>
  <c r="W178" i="1" a="1"/>
  <c r="W178" i="1"/>
  <c r="W179" i="1" a="1"/>
  <c r="W179" i="1"/>
  <c r="W180" i="1" a="1"/>
  <c r="W180" i="1" s="1"/>
  <c r="W181" i="1" a="1"/>
  <c r="W181" i="1"/>
  <c r="W182" i="1" a="1"/>
  <c r="W182" i="1"/>
  <c r="W183" i="1" a="1"/>
  <c r="W183" i="1"/>
  <c r="W184" i="1" a="1"/>
  <c r="W184" i="1"/>
  <c r="W185" i="1" a="1"/>
  <c r="W185" i="1"/>
  <c r="W186" i="1" a="1"/>
  <c r="W186" i="1"/>
  <c r="W187" i="1" a="1"/>
  <c r="W187" i="1"/>
  <c r="W188" i="1" a="1"/>
  <c r="W188" i="1" s="1"/>
  <c r="W189" i="1" a="1"/>
  <c r="W189" i="1"/>
  <c r="W190" i="1" a="1"/>
  <c r="W190" i="1"/>
  <c r="W191" i="1" a="1"/>
  <c r="W191" i="1"/>
  <c r="W192" i="1" a="1"/>
  <c r="W192" i="1"/>
  <c r="W193" i="1" a="1"/>
  <c r="W193" i="1"/>
  <c r="W194" i="1" a="1"/>
  <c r="W194" i="1"/>
  <c r="W195" i="1" a="1"/>
  <c r="W195" i="1"/>
  <c r="W196" i="1" a="1"/>
  <c r="W196" i="1" s="1"/>
  <c r="W197" i="1" a="1"/>
  <c r="W197" i="1"/>
  <c r="W198" i="1" a="1"/>
  <c r="W198" i="1"/>
  <c r="W199" i="1" a="1"/>
  <c r="W199" i="1"/>
  <c r="W200" i="1" a="1"/>
  <c r="W200" i="1"/>
  <c r="W201" i="1" a="1"/>
  <c r="W201" i="1"/>
  <c r="W202" i="1" a="1"/>
  <c r="W202" i="1"/>
  <c r="W203" i="1" a="1"/>
  <c r="W203" i="1"/>
  <c r="W204" i="1" a="1"/>
  <c r="W204" i="1" s="1"/>
  <c r="W205" i="1" a="1"/>
  <c r="W205" i="1"/>
  <c r="W206" i="1" a="1"/>
  <c r="W206" i="1"/>
  <c r="W207" i="1" a="1"/>
  <c r="W207" i="1"/>
  <c r="W208" i="1" a="1"/>
  <c r="W208" i="1"/>
  <c r="W209" i="1" a="1"/>
  <c r="W209" i="1"/>
  <c r="W210" i="1" a="1"/>
  <c r="W210" i="1"/>
  <c r="W211" i="1" a="1"/>
  <c r="W211" i="1"/>
  <c r="W212" i="1" a="1"/>
  <c r="W212" i="1" s="1"/>
  <c r="W213" i="1" a="1"/>
  <c r="W213" i="1"/>
  <c r="W214" i="1" a="1"/>
  <c r="W214" i="1"/>
  <c r="W215" i="1" a="1"/>
  <c r="W215" i="1"/>
  <c r="W216" i="1" a="1"/>
  <c r="W216" i="1"/>
  <c r="W217" i="1" a="1"/>
  <c r="W217" i="1"/>
  <c r="W218" i="1" a="1"/>
  <c r="W218" i="1"/>
  <c r="W219" i="1" a="1"/>
  <c r="W219" i="1"/>
  <c r="W220" i="1" a="1"/>
  <c r="W220" i="1" s="1"/>
  <c r="W221" i="1" a="1"/>
  <c r="W221" i="1"/>
  <c r="W222" i="1" a="1"/>
  <c r="W222" i="1"/>
  <c r="W223" i="1" a="1"/>
  <c r="W223" i="1"/>
  <c r="W224" i="1" a="1"/>
  <c r="W224" i="1"/>
  <c r="W225" i="1" a="1"/>
  <c r="W225" i="1"/>
  <c r="W226" i="1" a="1"/>
  <c r="W226" i="1"/>
  <c r="W227" i="1" a="1"/>
  <c r="W227" i="1"/>
  <c r="W228" i="1" a="1"/>
  <c r="W228" i="1" s="1"/>
  <c r="W229" i="1" a="1"/>
  <c r="W229" i="1"/>
  <c r="W230" i="1" a="1"/>
  <c r="W230" i="1"/>
  <c r="W231" i="1" a="1"/>
  <c r="W231" i="1"/>
  <c r="W232" i="1" a="1"/>
  <c r="W232" i="1"/>
  <c r="W233" i="1" a="1"/>
  <c r="W233" i="1"/>
  <c r="W234" i="1" a="1"/>
  <c r="W234" i="1"/>
  <c r="W235" i="1" a="1"/>
  <c r="W235" i="1"/>
  <c r="W236" i="1" a="1"/>
  <c r="W236" i="1" s="1"/>
  <c r="W237" i="1" a="1"/>
  <c r="W237" i="1"/>
  <c r="W238" i="1" a="1"/>
  <c r="W238" i="1"/>
  <c r="W239" i="1" a="1"/>
  <c r="W239" i="1"/>
  <c r="W240" i="1" a="1"/>
  <c r="W240" i="1"/>
  <c r="W241" i="1" a="1"/>
  <c r="W241" i="1"/>
  <c r="W242" i="1" a="1"/>
  <c r="W242" i="1"/>
  <c r="W243" i="1" a="1"/>
  <c r="W243" i="1"/>
  <c r="W244" i="1" a="1"/>
  <c r="W244" i="1" s="1"/>
  <c r="W245" i="1" a="1"/>
  <c r="W245" i="1"/>
  <c r="W246" i="1" a="1"/>
  <c r="W246" i="1"/>
  <c r="W247" i="1" a="1"/>
  <c r="W247" i="1"/>
  <c r="W248" i="1" a="1"/>
  <c r="W248" i="1"/>
  <c r="W249" i="1" a="1"/>
  <c r="W249" i="1"/>
  <c r="W250" i="1" a="1"/>
  <c r="W250" i="1"/>
  <c r="W251" i="1" a="1"/>
  <c r="W251" i="1"/>
  <c r="W252" i="1" a="1"/>
  <c r="W252" i="1" s="1"/>
  <c r="W253" i="1" a="1"/>
  <c r="W253" i="1"/>
  <c r="W254" i="1" a="1"/>
  <c r="W254" i="1"/>
  <c r="W255" i="1" a="1"/>
  <c r="W255" i="1"/>
  <c r="W256" i="1" a="1"/>
  <c r="W256" i="1"/>
  <c r="W257" i="1" a="1"/>
  <c r="W257" i="1"/>
  <c r="W258" i="1" a="1"/>
  <c r="W258" i="1"/>
  <c r="W259" i="1" a="1"/>
  <c r="W259" i="1"/>
  <c r="W260" i="1" a="1"/>
  <c r="W260" i="1" s="1"/>
  <c r="W261" i="1" a="1"/>
  <c r="W261" i="1"/>
  <c r="W262" i="1" a="1"/>
  <c r="W262" i="1"/>
  <c r="W263" i="1" a="1"/>
  <c r="W263" i="1"/>
  <c r="W264" i="1" a="1"/>
  <c r="W264" i="1"/>
  <c r="W265" i="1" a="1"/>
  <c r="W265" i="1"/>
  <c r="W266" i="1" a="1"/>
  <c r="W266" i="1"/>
  <c r="W267" i="1" a="1"/>
  <c r="W267" i="1"/>
  <c r="W268" i="1" a="1"/>
  <c r="W268" i="1" s="1"/>
  <c r="W269" i="1" a="1"/>
  <c r="W269" i="1"/>
  <c r="W270" i="1" a="1"/>
  <c r="W270" i="1"/>
  <c r="W271" i="1" a="1"/>
  <c r="W271" i="1"/>
  <c r="W272" i="1" a="1"/>
  <c r="W272" i="1"/>
  <c r="W273" i="1" a="1"/>
  <c r="W273" i="1"/>
  <c r="W274" i="1" a="1"/>
  <c r="W274" i="1"/>
  <c r="W275" i="1" a="1"/>
  <c r="W275" i="1"/>
  <c r="W276" i="1" a="1"/>
  <c r="W276" i="1" s="1"/>
  <c r="W277" i="1" a="1"/>
  <c r="W277" i="1"/>
  <c r="W278" i="1" a="1"/>
  <c r="W278" i="1"/>
  <c r="W279" i="1" a="1"/>
  <c r="W279" i="1"/>
  <c r="W280" i="1" a="1"/>
  <c r="W280" i="1"/>
  <c r="W281" i="1" a="1"/>
  <c r="W281" i="1"/>
  <c r="W282" i="1" a="1"/>
  <c r="W282" i="1"/>
  <c r="W283" i="1" a="1"/>
  <c r="W283" i="1"/>
  <c r="W284" i="1" a="1"/>
  <c r="W284" i="1" s="1"/>
  <c r="W285" i="1" a="1"/>
  <c r="W285" i="1"/>
  <c r="W286" i="1" a="1"/>
  <c r="W286" i="1"/>
  <c r="W287" i="1" a="1"/>
  <c r="W287" i="1"/>
  <c r="W288" i="1" a="1"/>
  <c r="W288" i="1"/>
  <c r="W289" i="1" a="1"/>
  <c r="W289" i="1"/>
  <c r="W290" i="1" a="1"/>
  <c r="W290" i="1"/>
  <c r="W291" i="1" a="1"/>
  <c r="W291" i="1"/>
  <c r="W292" i="1" a="1"/>
  <c r="W292" i="1" s="1"/>
  <c r="W293" i="1" a="1"/>
  <c r="W293" i="1"/>
  <c r="W294" i="1" a="1"/>
  <c r="W294" i="1"/>
  <c r="W295" i="1" a="1"/>
  <c r="W295" i="1"/>
  <c r="W296" i="1" a="1"/>
  <c r="W296" i="1"/>
  <c r="W297" i="1" a="1"/>
  <c r="W297" i="1"/>
  <c r="W298" i="1" a="1"/>
  <c r="W298" i="1"/>
  <c r="W299" i="1" a="1"/>
  <c r="W299" i="1"/>
  <c r="W300" i="1" a="1"/>
  <c r="W300" i="1" s="1"/>
  <c r="W301" i="1" a="1"/>
  <c r="W301" i="1"/>
  <c r="W302" i="1" a="1"/>
  <c r="W302" i="1"/>
  <c r="W303" i="1" a="1"/>
  <c r="W303" i="1"/>
  <c r="W304" i="1" a="1"/>
  <c r="W304" i="1"/>
  <c r="W305" i="1" a="1"/>
  <c r="W305" i="1"/>
  <c r="W306" i="1" a="1"/>
  <c r="W306" i="1"/>
  <c r="W307" i="1" a="1"/>
  <c r="W307" i="1"/>
  <c r="W308" i="1" a="1"/>
  <c r="W308" i="1" s="1"/>
  <c r="W309" i="1" a="1"/>
  <c r="W309" i="1"/>
  <c r="W310" i="1" a="1"/>
  <c r="W310" i="1"/>
  <c r="W311" i="1" a="1"/>
  <c r="W311" i="1"/>
  <c r="W312" i="1" a="1"/>
  <c r="W312" i="1"/>
  <c r="W313" i="1" a="1"/>
  <c r="W313" i="1"/>
  <c r="W314" i="1" a="1"/>
  <c r="W314" i="1"/>
  <c r="W315" i="1" a="1"/>
  <c r="W315" i="1"/>
  <c r="W316" i="1" a="1"/>
  <c r="W316" i="1" s="1"/>
  <c r="W317" i="1" a="1"/>
  <c r="W317" i="1"/>
  <c r="W318" i="1" a="1"/>
  <c r="W318" i="1"/>
  <c r="W319" i="1" a="1"/>
  <c r="W319" i="1"/>
  <c r="W320" i="1" a="1"/>
  <c r="W320" i="1"/>
  <c r="W321" i="1" a="1"/>
  <c r="W321" i="1"/>
  <c r="W322" i="1" a="1"/>
  <c r="W322" i="1"/>
  <c r="W323" i="1" a="1"/>
  <c r="W323" i="1"/>
  <c r="W324" i="1" a="1"/>
  <c r="W324" i="1" s="1"/>
  <c r="W325" i="1" a="1"/>
  <c r="W325" i="1"/>
  <c r="W326" i="1" a="1"/>
  <c r="W326" i="1"/>
  <c r="W327" i="1" a="1"/>
  <c r="W327" i="1"/>
  <c r="W328" i="1" a="1"/>
  <c r="W328" i="1"/>
  <c r="W329" i="1" a="1"/>
  <c r="W329" i="1"/>
  <c r="W330" i="1" a="1"/>
  <c r="W330" i="1"/>
  <c r="W331" i="1" a="1"/>
  <c r="W331" i="1"/>
  <c r="W332" i="1" a="1"/>
  <c r="W332" i="1" s="1"/>
  <c r="W333" i="1" a="1"/>
  <c r="W333" i="1"/>
  <c r="W334" i="1" a="1"/>
  <c r="W334" i="1"/>
  <c r="W335" i="1" a="1"/>
  <c r="W335" i="1"/>
  <c r="W336" i="1" a="1"/>
  <c r="W336" i="1"/>
  <c r="W337" i="1" a="1"/>
  <c r="W337" i="1"/>
  <c r="W338" i="1" a="1"/>
  <c r="W338" i="1"/>
  <c r="W339" i="1" a="1"/>
  <c r="W339" i="1"/>
  <c r="W340" i="1" a="1"/>
  <c r="W340" i="1" s="1"/>
  <c r="W341" i="1" a="1"/>
  <c r="W341" i="1"/>
  <c r="W342" i="1" a="1"/>
  <c r="W342" i="1"/>
  <c r="W343" i="1" a="1"/>
  <c r="W343" i="1"/>
  <c r="W344" i="1" a="1"/>
  <c r="W344" i="1"/>
  <c r="W345" i="1" a="1"/>
  <c r="W345" i="1"/>
  <c r="W346" i="1" a="1"/>
  <c r="W346" i="1"/>
  <c r="W347" i="1" a="1"/>
  <c r="W347" i="1"/>
  <c r="W348" i="1" a="1"/>
  <c r="W348" i="1" s="1"/>
  <c r="W349" i="1" a="1"/>
  <c r="W349" i="1"/>
  <c r="W350" i="1" a="1"/>
  <c r="W350" i="1"/>
  <c r="W351" i="1" a="1"/>
  <c r="W351" i="1"/>
  <c r="W352" i="1" a="1"/>
  <c r="W352" i="1"/>
  <c r="W353" i="1" a="1"/>
  <c r="W353" i="1"/>
  <c r="W354" i="1" a="1"/>
  <c r="W354" i="1"/>
  <c r="W355" i="1" a="1"/>
  <c r="W355" i="1"/>
  <c r="W356" i="1" a="1"/>
  <c r="W356" i="1" s="1"/>
  <c r="W357" i="1" a="1"/>
  <c r="W357" i="1"/>
  <c r="W358" i="1" a="1"/>
  <c r="W358" i="1"/>
  <c r="W359" i="1" a="1"/>
  <c r="W359" i="1"/>
  <c r="W360" i="1" a="1"/>
  <c r="W360" i="1"/>
  <c r="W361" i="1" a="1"/>
  <c r="W361" i="1"/>
  <c r="W362" i="1" a="1"/>
  <c r="W362" i="1"/>
  <c r="W363" i="1" a="1"/>
  <c r="W363" i="1"/>
  <c r="W364" i="1" a="1"/>
  <c r="W364" i="1" s="1"/>
  <c r="W365" i="1" a="1"/>
  <c r="W365" i="1"/>
  <c r="W366" i="1" a="1"/>
  <c r="W366" i="1"/>
  <c r="W367" i="1" a="1"/>
  <c r="W367" i="1"/>
  <c r="W368" i="1" a="1"/>
  <c r="W368" i="1"/>
  <c r="W369" i="1" a="1"/>
  <c r="W369" i="1"/>
  <c r="W370" i="1" a="1"/>
  <c r="W370" i="1"/>
  <c r="W371" i="1" a="1"/>
  <c r="W371" i="1"/>
  <c r="W372" i="1" a="1"/>
  <c r="W372" i="1" s="1"/>
  <c r="W373" i="1" a="1"/>
  <c r="W373" i="1"/>
  <c r="W374" i="1" a="1"/>
  <c r="W374" i="1"/>
  <c r="W375" i="1" a="1"/>
  <c r="W375" i="1"/>
  <c r="W376" i="1" a="1"/>
  <c r="W376" i="1"/>
  <c r="W377" i="1" a="1"/>
  <c r="W377" i="1"/>
  <c r="W378" i="1" a="1"/>
  <c r="W378" i="1"/>
  <c r="W379" i="1" a="1"/>
  <c r="W379" i="1"/>
  <c r="W380" i="1" a="1"/>
  <c r="W380" i="1" s="1"/>
  <c r="W381" i="1" a="1"/>
  <c r="W381" i="1"/>
  <c r="W382" i="1" a="1"/>
  <c r="W382" i="1"/>
  <c r="W383" i="1" a="1"/>
  <c r="W383" i="1"/>
  <c r="W384" i="1" a="1"/>
  <c r="W384" i="1"/>
  <c r="W385" i="1" a="1"/>
  <c r="W385" i="1"/>
  <c r="W386" i="1" a="1"/>
  <c r="W386" i="1"/>
  <c r="W387" i="1" a="1"/>
  <c r="W387" i="1"/>
  <c r="W388" i="1" a="1"/>
  <c r="W388" i="1" s="1"/>
  <c r="W389" i="1" a="1"/>
  <c r="W389" i="1"/>
  <c r="W390" i="1" a="1"/>
  <c r="W390" i="1"/>
  <c r="W391" i="1" a="1"/>
  <c r="W391" i="1"/>
  <c r="W392" i="1" a="1"/>
  <c r="W392" i="1"/>
  <c r="W393" i="1" a="1"/>
  <c r="W393" i="1"/>
  <c r="W394" i="1" a="1"/>
  <c r="W394" i="1"/>
  <c r="W395" i="1" a="1"/>
  <c r="W395" i="1"/>
  <c r="W396" i="1" a="1"/>
  <c r="W396" i="1" s="1"/>
  <c r="W397" i="1" a="1"/>
  <c r="W397" i="1"/>
  <c r="W398" i="1" a="1"/>
  <c r="W398" i="1"/>
  <c r="W399" i="1" a="1"/>
  <c r="W399" i="1"/>
  <c r="W400" i="1" a="1"/>
  <c r="W400" i="1"/>
  <c r="W401" i="1" a="1"/>
  <c r="W401" i="1"/>
  <c r="W402" i="1" a="1"/>
  <c r="W402" i="1"/>
  <c r="W403" i="1" a="1"/>
  <c r="W403" i="1"/>
  <c r="W404" i="1" a="1"/>
  <c r="W404" i="1" s="1"/>
  <c r="W405" i="1" a="1"/>
  <c r="W405" i="1"/>
  <c r="W406" i="1" a="1"/>
  <c r="W406" i="1"/>
  <c r="W407" i="1" a="1"/>
  <c r="W407" i="1"/>
  <c r="W408" i="1" a="1"/>
  <c r="W408" i="1"/>
  <c r="W409" i="1" a="1"/>
  <c r="W409" i="1"/>
  <c r="W410" i="1" a="1"/>
  <c r="W410" i="1"/>
  <c r="W411" i="1" a="1"/>
  <c r="W411" i="1"/>
  <c r="W412" i="1" a="1"/>
  <c r="W412" i="1" s="1"/>
  <c r="W413" i="1" a="1"/>
  <c r="W413" i="1"/>
  <c r="W414" i="1" a="1"/>
  <c r="W414" i="1"/>
  <c r="W415" i="1" a="1"/>
  <c r="W415" i="1"/>
  <c r="W416" i="1" a="1"/>
  <c r="W416" i="1"/>
  <c r="W417" i="1" a="1"/>
  <c r="W417" i="1"/>
  <c r="W418" i="1" a="1"/>
  <c r="W418" i="1"/>
  <c r="W419" i="1" a="1"/>
  <c r="W419" i="1"/>
  <c r="W420" i="1" a="1"/>
  <c r="W420" i="1" s="1"/>
  <c r="W421" i="1" a="1"/>
  <c r="W421" i="1"/>
  <c r="W422" i="1" a="1"/>
  <c r="W422" i="1"/>
  <c r="W423" i="1" a="1"/>
  <c r="W423" i="1"/>
  <c r="W424" i="1" a="1"/>
  <c r="W424" i="1"/>
  <c r="W425" i="1" a="1"/>
  <c r="W425" i="1"/>
  <c r="W426" i="1" a="1"/>
  <c r="W426" i="1"/>
  <c r="W427" i="1" a="1"/>
  <c r="W427" i="1"/>
  <c r="W428" i="1" a="1"/>
  <c r="W428" i="1" s="1"/>
  <c r="W429" i="1" a="1"/>
  <c r="W429" i="1"/>
  <c r="W430" i="1" a="1"/>
  <c r="W430" i="1"/>
  <c r="W431" i="1" a="1"/>
  <c r="W431" i="1"/>
  <c r="W432" i="1" a="1"/>
  <c r="W432" i="1"/>
  <c r="W433" i="1" a="1"/>
  <c r="W433" i="1"/>
  <c r="W434" i="1" a="1"/>
  <c r="W434" i="1"/>
  <c r="W435" i="1" a="1"/>
  <c r="W435" i="1"/>
  <c r="W436" i="1" a="1"/>
  <c r="W436" i="1" s="1"/>
  <c r="W437" i="1" a="1"/>
  <c r="W437" i="1"/>
  <c r="W438" i="1" a="1"/>
  <c r="W438" i="1"/>
  <c r="W439" i="1" a="1"/>
  <c r="W439" i="1"/>
  <c r="W440" i="1" a="1"/>
  <c r="W440" i="1"/>
  <c r="W441" i="1" a="1"/>
  <c r="W441" i="1"/>
  <c r="W442" i="1" a="1"/>
  <c r="W442" i="1"/>
  <c r="W443" i="1" a="1"/>
  <c r="W443" i="1"/>
  <c r="W444" i="1" a="1"/>
  <c r="W444" i="1" s="1"/>
  <c r="W445" i="1" a="1"/>
  <c r="W445" i="1"/>
  <c r="W446" i="1" a="1"/>
  <c r="W446" i="1"/>
  <c r="W447" i="1" a="1"/>
  <c r="W447" i="1"/>
  <c r="W448" i="1" a="1"/>
  <c r="W448" i="1"/>
  <c r="W449" i="1" a="1"/>
  <c r="W449" i="1"/>
  <c r="W28" i="1" a="1"/>
  <c r="W28" i="1"/>
  <c r="W29" i="1" a="1"/>
  <c r="W29" i="1"/>
  <c r="W30" i="1" a="1"/>
  <c r="W30" i="1"/>
  <c r="W31" i="1" a="1"/>
  <c r="W31" i="1"/>
  <c r="W32" i="1" a="1"/>
  <c r="W32" i="1"/>
  <c r="W33" i="1" a="1"/>
  <c r="W33" i="1"/>
  <c r="W34" i="1" a="1"/>
  <c r="W34" i="1"/>
  <c r="W35" i="1" a="1"/>
  <c r="W35" i="1"/>
  <c r="W36" i="1" a="1"/>
  <c r="W36" i="1"/>
  <c r="W37" i="1" a="1"/>
  <c r="W37" i="1"/>
  <c r="W38" i="1" a="1"/>
  <c r="W38" i="1"/>
  <c r="W39" i="1" a="1"/>
  <c r="W39" i="1"/>
  <c r="W40" i="1" a="1"/>
  <c r="W40" i="1"/>
  <c r="W41" i="1" a="1"/>
  <c r="W41" i="1"/>
  <c r="W42" i="1" a="1"/>
  <c r="W42" i="1"/>
  <c r="W43" i="1" a="1"/>
  <c r="W43" i="1"/>
  <c r="W27" i="1" a="1"/>
  <c r="W27" i="1"/>
  <c r="AQ16" i="8" l="1"/>
  <c r="AV16" i="8"/>
  <c r="AY16" i="8" s="1"/>
  <c r="BC58" i="8"/>
  <c r="AQ47" i="8"/>
  <c r="AV47" i="8"/>
  <c r="AY47" i="8" s="1"/>
  <c r="AQ55" i="8"/>
  <c r="AV55" i="8"/>
  <c r="AY55" i="8" s="1"/>
  <c r="AV18" i="8"/>
  <c r="AY18" i="8" s="1"/>
  <c r="AQ18" i="8"/>
  <c r="AQ49" i="8"/>
  <c r="AV49" i="8"/>
  <c r="AY49" i="8" s="1"/>
  <c r="AQ60" i="8"/>
  <c r="AV60" i="8"/>
  <c r="AY60" i="8" s="1"/>
  <c r="AV69" i="8"/>
  <c r="AY69" i="8" s="1"/>
  <c r="AQ69" i="8"/>
  <c r="AQ12" i="8"/>
  <c r="AV12" i="8"/>
  <c r="AY12" i="8" s="1"/>
  <c r="AQ65" i="8"/>
  <c r="AV65" i="8"/>
  <c r="AY65" i="8" s="1"/>
  <c r="AQ32" i="8"/>
  <c r="AV32" i="8"/>
  <c r="AY32" i="8" s="1"/>
  <c r="AV21" i="8"/>
  <c r="AY21" i="8" s="1"/>
  <c r="AQ21" i="8"/>
  <c r="AV37" i="8"/>
  <c r="AY37" i="8" s="1"/>
  <c r="AQ37" i="8"/>
  <c r="AV29" i="8"/>
  <c r="AY29" i="8" s="1"/>
  <c r="AQ29" i="8"/>
  <c r="AQ64" i="8"/>
  <c r="AV64" i="8"/>
  <c r="AY64" i="8" s="1"/>
  <c r="AV26" i="8"/>
  <c r="AY26" i="8" s="1"/>
  <c r="AQ26" i="8"/>
  <c r="AQ17" i="8"/>
  <c r="AV17" i="8"/>
  <c r="AY17" i="8" s="1"/>
  <c r="AV34" i="8"/>
  <c r="AY34" i="8" s="1"/>
  <c r="AQ34" i="8"/>
  <c r="AV42" i="8"/>
  <c r="AY42" i="8" s="1"/>
  <c r="AQ42" i="8"/>
  <c r="AQ78" i="8"/>
  <c r="AV78" i="8"/>
  <c r="AY78" i="8" s="1"/>
  <c r="AQ25" i="8"/>
  <c r="AV25" i="8"/>
  <c r="AY25" i="8" s="1"/>
  <c r="AQ7" i="8"/>
  <c r="AV7" i="8"/>
  <c r="AY7" i="8" s="1"/>
  <c r="AQ9" i="8"/>
  <c r="AV9" i="8"/>
  <c r="AY9" i="8" s="1"/>
  <c r="AV62" i="8"/>
  <c r="AY62" i="8" s="1"/>
  <c r="AQ62" i="8"/>
  <c r="AQ45" i="8"/>
  <c r="AV45" i="8"/>
  <c r="AY45" i="8" s="1"/>
  <c r="AQ43" i="8"/>
  <c r="AV43" i="8"/>
  <c r="AY43" i="8" s="1"/>
  <c r="AQ58" i="8"/>
  <c r="AV58" i="8"/>
  <c r="AY58" i="8" s="1"/>
  <c r="AQ68" i="8"/>
  <c r="AV68" i="8"/>
  <c r="AY68" i="8" s="1"/>
  <c r="AQ14" i="8"/>
  <c r="AV14" i="8"/>
  <c r="AY14" i="8" s="1"/>
  <c r="AQ40" i="8"/>
  <c r="AV40" i="8"/>
  <c r="AY40" i="8" s="1"/>
  <c r="AV10" i="8"/>
  <c r="AY10" i="8" s="1"/>
  <c r="AQ10" i="8"/>
  <c r="AQ63" i="8"/>
  <c r="AV63" i="8"/>
  <c r="AY63" i="8" s="1"/>
  <c r="AQ71" i="8"/>
  <c r="AV71" i="8"/>
  <c r="AY71" i="8" s="1"/>
  <c r="AQ52" i="8"/>
  <c r="AV52" i="8"/>
  <c r="AY52" i="8" s="1"/>
  <c r="AV56" i="8"/>
  <c r="AY56" i="8" s="1"/>
  <c r="AQ56" i="8"/>
  <c r="AQ41" i="8"/>
  <c r="AV41" i="8"/>
  <c r="AY41" i="8" s="1"/>
  <c r="AV53" i="8"/>
  <c r="AY53" i="8" s="1"/>
  <c r="AQ53" i="8"/>
  <c r="AQ36" i="8"/>
  <c r="AV36" i="8"/>
  <c r="AY36" i="8" s="1"/>
  <c r="AQ33" i="8"/>
  <c r="AV33" i="8"/>
  <c r="AY33" i="8" s="1"/>
  <c r="AQ20" i="8"/>
  <c r="AV20" i="8"/>
  <c r="AY20" i="8" s="1"/>
  <c r="AQ28" i="8"/>
  <c r="AV28" i="8"/>
  <c r="AY28" i="8" s="1"/>
  <c r="AQ75" i="8"/>
  <c r="AV75" i="8"/>
  <c r="AY75" i="8" s="1"/>
  <c r="AL267" i="1"/>
  <c r="AP267" i="1" s="1"/>
  <c r="AK354" i="1"/>
  <c r="AO354" i="1" s="1"/>
  <c r="AO355" i="1" s="1"/>
  <c r="AI428" i="1"/>
  <c r="AI429" i="1" s="1"/>
  <c r="AP364" i="1"/>
  <c r="AK444" i="1"/>
  <c r="AO444" i="1" s="1"/>
  <c r="AO445" i="1" s="1"/>
  <c r="AO446" i="1" s="1"/>
  <c r="AK396" i="1"/>
  <c r="AO396" i="1" s="1"/>
  <c r="AO397" i="1" s="1"/>
  <c r="AO398" i="1" s="1"/>
  <c r="AI272" i="1"/>
  <c r="AI319" i="1"/>
  <c r="AI320" i="1" s="1"/>
  <c r="AK258" i="1"/>
  <c r="AL258" i="1" s="1"/>
  <c r="AP258" i="1" s="1"/>
  <c r="AP259" i="1" s="1"/>
  <c r="AP260" i="1" s="1"/>
  <c r="AI421" i="1"/>
  <c r="AO339" i="1"/>
  <c r="AO340" i="1" s="1"/>
  <c r="AO341" i="1" s="1"/>
  <c r="AI299" i="1"/>
  <c r="AI423" i="1"/>
  <c r="AP328" i="1"/>
  <c r="AI291" i="1"/>
  <c r="AI364" i="1"/>
  <c r="AI313" i="1"/>
  <c r="AI314" i="1" s="1"/>
  <c r="AK433" i="1"/>
  <c r="AO433" i="1" s="1"/>
  <c r="AO434" i="1" s="1"/>
  <c r="AO435" i="1" s="1"/>
  <c r="AK424" i="1"/>
  <c r="AO424" i="1" s="1"/>
  <c r="AO425" i="1" s="1"/>
  <c r="AO426" i="1" s="1"/>
  <c r="AI340" i="1"/>
  <c r="AI341" i="1" s="1"/>
  <c r="AK293" i="1"/>
  <c r="AO293" i="1" s="1"/>
  <c r="AO294" i="1" s="1"/>
  <c r="AO377" i="1"/>
  <c r="AO378" i="1" s="1"/>
  <c r="AO379" i="1" s="1"/>
  <c r="AL377" i="1"/>
  <c r="AP377" i="1" s="1"/>
  <c r="AP378" i="1" s="1"/>
  <c r="AP379" i="1" s="1"/>
  <c r="AO430" i="1"/>
  <c r="AL430" i="1"/>
  <c r="AP430" i="1" s="1"/>
  <c r="AO315" i="1"/>
  <c r="AO316" i="1" s="1"/>
  <c r="AO317" i="1" s="1"/>
  <c r="AO311" i="1"/>
  <c r="AI256" i="1"/>
  <c r="AO421" i="1"/>
  <c r="AO428" i="1"/>
  <c r="AO429" i="1" s="1"/>
  <c r="AO439" i="1"/>
  <c r="AL420" i="1"/>
  <c r="AP420" i="1" s="1"/>
  <c r="AP421" i="1" s="1"/>
  <c r="AK416" i="1"/>
  <c r="AI378" i="1"/>
  <c r="AI379" i="1" s="1"/>
  <c r="AI328" i="1"/>
  <c r="AP283" i="1"/>
  <c r="AP284" i="1" s="1"/>
  <c r="AK389" i="1"/>
  <c r="AK330" i="1"/>
  <c r="AI316" i="1"/>
  <c r="AI317" i="1" s="1"/>
  <c r="AO253" i="1"/>
  <c r="AK399" i="1"/>
  <c r="AO399" i="1" s="1"/>
  <c r="AO400" i="1" s="1"/>
  <c r="AO401" i="1" s="1"/>
  <c r="AI400" i="1"/>
  <c r="AI401" i="1" s="1"/>
  <c r="AO412" i="1"/>
  <c r="AL412" i="1"/>
  <c r="AP412" i="1" s="1"/>
  <c r="AO371" i="1"/>
  <c r="AL371" i="1"/>
  <c r="AP371" i="1" s="1"/>
  <c r="AI409" i="1"/>
  <c r="AI410" i="1" s="1"/>
  <c r="AK307" i="1"/>
  <c r="AL307" i="1" s="1"/>
  <c r="AP307" i="1" s="1"/>
  <c r="AP308" i="1" s="1"/>
  <c r="AI308" i="1"/>
  <c r="AO292" i="1"/>
  <c r="AL292" i="1"/>
  <c r="AP292" i="1" s="1"/>
  <c r="AI274" i="1"/>
  <c r="AI275" i="1" s="1"/>
  <c r="AK273" i="1"/>
  <c r="AL262" i="1"/>
  <c r="AP262" i="1" s="1"/>
  <c r="AP263" i="1" s="1"/>
  <c r="AO262" i="1"/>
  <c r="AO263" i="1" s="1"/>
  <c r="AO261" i="1"/>
  <c r="AK414" i="1"/>
  <c r="AI415" i="1"/>
  <c r="AO312" i="1"/>
  <c r="AO313" i="1" s="1"/>
  <c r="AO314" i="1" s="1"/>
  <c r="AL312" i="1"/>
  <c r="AP312" i="1" s="1"/>
  <c r="AP313" i="1" s="1"/>
  <c r="AP314" i="1" s="1"/>
  <c r="AI310" i="1"/>
  <c r="AK309" i="1"/>
  <c r="AL403" i="1"/>
  <c r="AP403" i="1" s="1"/>
  <c r="AO403" i="1"/>
  <c r="AL254" i="1"/>
  <c r="AP254" i="1" s="1"/>
  <c r="AO254" i="1"/>
  <c r="AP299" i="1"/>
  <c r="AL297" i="1"/>
  <c r="AP297" i="1" s="1"/>
  <c r="AO297" i="1"/>
  <c r="AI407" i="1"/>
  <c r="AK406" i="1"/>
  <c r="AO406" i="1" s="1"/>
  <c r="AO407" i="1" s="1"/>
  <c r="AL285" i="1"/>
  <c r="AP285" i="1" s="1"/>
  <c r="AO285" i="1"/>
  <c r="AK442" i="1"/>
  <c r="AO388" i="1"/>
  <c r="AL388" i="1"/>
  <c r="AP388" i="1" s="1"/>
  <c r="AL329" i="1"/>
  <c r="AP329" i="1" s="1"/>
  <c r="AO329" i="1"/>
  <c r="AO257" i="1"/>
  <c r="AL257" i="1"/>
  <c r="AP257" i="1" s="1"/>
  <c r="AL405" i="1"/>
  <c r="AP405" i="1" s="1"/>
  <c r="AL303" i="1"/>
  <c r="AP303" i="1" s="1"/>
  <c r="AO303" i="1"/>
  <c r="AK440" i="1"/>
  <c r="AP366" i="1"/>
  <c r="AP367" i="1" s="1"/>
  <c r="AL323" i="1"/>
  <c r="AP323" i="1" s="1"/>
  <c r="AP324" i="1" s="1"/>
  <c r="AP325" i="1" s="1"/>
  <c r="AP326" i="1" s="1"/>
  <c r="AO282" i="1"/>
  <c r="AO283" i="1" s="1"/>
  <c r="AO284" i="1" s="1"/>
  <c r="AO270" i="1"/>
  <c r="AK394" i="1"/>
  <c r="AO394" i="1" s="1"/>
  <c r="AO395" i="1" s="1"/>
  <c r="AK245" i="1"/>
  <c r="AK300" i="1"/>
  <c r="AO300" i="1" s="1"/>
  <c r="AO301" i="1" s="1"/>
  <c r="AK264" i="1"/>
  <c r="AK368" i="1"/>
  <c r="AO368" i="1" s="1"/>
  <c r="AO369" i="1" s="1"/>
  <c r="AO370" i="1" s="1"/>
  <c r="AK346" i="1"/>
  <c r="AO327" i="1"/>
  <c r="AO328" i="1" s="1"/>
  <c r="AO286" i="1"/>
  <c r="AI357" i="1"/>
  <c r="AI358" i="1" s="1"/>
  <c r="AI359" i="1" s="1"/>
  <c r="AI296" i="1"/>
  <c r="AO295" i="1"/>
  <c r="AO296" i="1" s="1"/>
  <c r="AK277" i="1"/>
  <c r="AP340" i="1"/>
  <c r="AP341" i="1" s="1"/>
  <c r="AI283" i="1"/>
  <c r="AI284" i="1" s="1"/>
  <c r="AO402" i="1"/>
  <c r="AL402" i="1"/>
  <c r="AP402" i="1" s="1"/>
  <c r="AL333" i="1"/>
  <c r="AP333" i="1" s="1"/>
  <c r="AO333" i="1"/>
  <c r="AN429" i="1"/>
  <c r="AM428" i="1"/>
  <c r="AQ428" i="1" s="1"/>
  <c r="AO413" i="1"/>
  <c r="AL413" i="1"/>
  <c r="AP413" i="1" s="1"/>
  <c r="AO269" i="1"/>
  <c r="AL269" i="1"/>
  <c r="AP269" i="1" s="1"/>
  <c r="AK431" i="1"/>
  <c r="AI432" i="1"/>
  <c r="AR356" i="1"/>
  <c r="AN357" i="1"/>
  <c r="AM356" i="1"/>
  <c r="AQ356" i="1" s="1"/>
  <c r="AR437" i="1"/>
  <c r="AN438" i="1"/>
  <c r="AI383" i="1"/>
  <c r="AI384" i="1" s="1"/>
  <c r="AI385" i="1" s="1"/>
  <c r="AK382" i="1"/>
  <c r="AK447" i="1"/>
  <c r="AI448" i="1"/>
  <c r="AI449" i="1" s="1"/>
  <c r="AR381" i="1"/>
  <c r="AM381" i="1"/>
  <c r="AQ381" i="1" s="1"/>
  <c r="AR430" i="1"/>
  <c r="AM430" i="1"/>
  <c r="AQ430" i="1" s="1"/>
  <c r="AK437" i="1"/>
  <c r="AL404" i="1"/>
  <c r="AP404" i="1" s="1"/>
  <c r="AK391" i="1"/>
  <c r="AI392" i="1"/>
  <c r="AI393" i="1" s="1"/>
  <c r="AR374" i="1"/>
  <c r="AN375" i="1"/>
  <c r="AR432" i="1"/>
  <c r="AN446" i="1"/>
  <c r="AR445" i="1"/>
  <c r="AM445" i="1"/>
  <c r="AQ445" i="1" s="1"/>
  <c r="AK380" i="1"/>
  <c r="AI381" i="1"/>
  <c r="AN369" i="1"/>
  <c r="AR368" i="1"/>
  <c r="AO356" i="1"/>
  <c r="AO357" i="1" s="1"/>
  <c r="AO358" i="1" s="1"/>
  <c r="AO359" i="1" s="1"/>
  <c r="AL356" i="1"/>
  <c r="AP356" i="1" s="1"/>
  <c r="AP357" i="1" s="1"/>
  <c r="AP358" i="1" s="1"/>
  <c r="AP359" i="1" s="1"/>
  <c r="AR444" i="1"/>
  <c r="AM444" i="1"/>
  <c r="AQ444" i="1" s="1"/>
  <c r="AM436" i="1"/>
  <c r="AQ436" i="1" s="1"/>
  <c r="AR436" i="1"/>
  <c r="AL279" i="1"/>
  <c r="AP279" i="1" s="1"/>
  <c r="AO279" i="1"/>
  <c r="AM224" i="1"/>
  <c r="AQ224" i="1" s="1"/>
  <c r="AR224" i="1"/>
  <c r="AM146" i="1"/>
  <c r="AQ146" i="1" s="1"/>
  <c r="AR146" i="1"/>
  <c r="AN147" i="1"/>
  <c r="AN443" i="1"/>
  <c r="AR442" i="1"/>
  <c r="AM440" i="1"/>
  <c r="AQ440" i="1" s="1"/>
  <c r="AM427" i="1"/>
  <c r="AQ427" i="1" s="1"/>
  <c r="AR427" i="1"/>
  <c r="AM386" i="1"/>
  <c r="AQ386" i="1" s="1"/>
  <c r="AM378" i="1"/>
  <c r="AQ378" i="1" s="1"/>
  <c r="AR378" i="1"/>
  <c r="AL321" i="1"/>
  <c r="AP321" i="1" s="1"/>
  <c r="AO321" i="1"/>
  <c r="AM205" i="1"/>
  <c r="AQ205" i="1" s="1"/>
  <c r="AR205" i="1"/>
  <c r="AM448" i="1"/>
  <c r="AQ448" i="1" s="1"/>
  <c r="AM442" i="1"/>
  <c r="AQ442" i="1" s="1"/>
  <c r="AO436" i="1"/>
  <c r="AL436" i="1"/>
  <c r="AP436" i="1" s="1"/>
  <c r="AL427" i="1"/>
  <c r="AP427" i="1" s="1"/>
  <c r="AP428" i="1" s="1"/>
  <c r="AP429" i="1" s="1"/>
  <c r="AR305" i="1"/>
  <c r="AN306" i="1"/>
  <c r="AM239" i="1"/>
  <c r="AQ239" i="1" s="1"/>
  <c r="AR239" i="1"/>
  <c r="AN240" i="1"/>
  <c r="AR424" i="1"/>
  <c r="AM405" i="1"/>
  <c r="AQ405" i="1" s="1"/>
  <c r="AN398" i="1"/>
  <c r="AM397" i="1"/>
  <c r="AQ397" i="1" s="1"/>
  <c r="AR397" i="1"/>
  <c r="AM364" i="1"/>
  <c r="AQ364" i="1" s="1"/>
  <c r="AI362" i="1"/>
  <c r="AR348" i="1"/>
  <c r="AN349" i="1"/>
  <c r="AM348" i="1"/>
  <c r="AQ348" i="1" s="1"/>
  <c r="AM305" i="1"/>
  <c r="AQ305" i="1" s="1"/>
  <c r="AM270" i="1"/>
  <c r="AQ270" i="1" s="1"/>
  <c r="AR270" i="1"/>
  <c r="AM411" i="1"/>
  <c r="AQ411" i="1" s="1"/>
  <c r="AR411" i="1"/>
  <c r="AK373" i="1"/>
  <c r="AI374" i="1"/>
  <c r="AI375" i="1" s="1"/>
  <c r="AI376" i="1" s="1"/>
  <c r="AR433" i="1"/>
  <c r="AN434" i="1"/>
  <c r="AM433" i="1"/>
  <c r="AQ433" i="1" s="1"/>
  <c r="AN426" i="1"/>
  <c r="AR425" i="1"/>
  <c r="AR387" i="1"/>
  <c r="AL361" i="1"/>
  <c r="AP361" i="1" s="1"/>
  <c r="AP362" i="1" s="1"/>
  <c r="AO361" i="1"/>
  <c r="AO362" i="1" s="1"/>
  <c r="AM424" i="1"/>
  <c r="AQ424" i="1" s="1"/>
  <c r="AN415" i="1"/>
  <c r="AM390" i="1"/>
  <c r="AQ390" i="1" s="1"/>
  <c r="AR390" i="1"/>
  <c r="AR360" i="1"/>
  <c r="AM360" i="1"/>
  <c r="AQ360" i="1" s="1"/>
  <c r="AL422" i="1"/>
  <c r="AP422" i="1" s="1"/>
  <c r="AP423" i="1" s="1"/>
  <c r="AO422" i="1"/>
  <c r="AO423" i="1" s="1"/>
  <c r="AN419" i="1"/>
  <c r="AM418" i="1"/>
  <c r="AQ418" i="1" s="1"/>
  <c r="AR418" i="1"/>
  <c r="AM389" i="1"/>
  <c r="AQ389" i="1" s="1"/>
  <c r="AM366" i="1"/>
  <c r="AQ366" i="1" s="1"/>
  <c r="AR366" i="1"/>
  <c r="AN367" i="1"/>
  <c r="AO360" i="1"/>
  <c r="AL360" i="1"/>
  <c r="AP360" i="1" s="1"/>
  <c r="AM278" i="1"/>
  <c r="AQ278" i="1" s="1"/>
  <c r="AR278" i="1"/>
  <c r="AR274" i="1"/>
  <c r="AN275" i="1"/>
  <c r="AL338" i="1"/>
  <c r="AP338" i="1" s="1"/>
  <c r="AK305" i="1"/>
  <c r="AM285" i="1"/>
  <c r="AQ285" i="1" s="1"/>
  <c r="AK280" i="1"/>
  <c r="AI281" i="1"/>
  <c r="AM274" i="1"/>
  <c r="AQ274" i="1" s="1"/>
  <c r="AO233" i="1"/>
  <c r="AR320" i="1"/>
  <c r="AM320" i="1"/>
  <c r="AQ320" i="1" s="1"/>
  <c r="AL290" i="1"/>
  <c r="AP290" i="1" s="1"/>
  <c r="AP291" i="1" s="1"/>
  <c r="AO290" i="1"/>
  <c r="AO291" i="1" s="1"/>
  <c r="AI366" i="1"/>
  <c r="AI367" i="1" s="1"/>
  <c r="AL302" i="1"/>
  <c r="AP302" i="1" s="1"/>
  <c r="AO372" i="1"/>
  <c r="AL372" i="1"/>
  <c r="AP372" i="1" s="1"/>
  <c r="AK287" i="1"/>
  <c r="AI288" i="1"/>
  <c r="AI289" i="1" s="1"/>
  <c r="AM263" i="1"/>
  <c r="AQ263" i="1" s="1"/>
  <c r="AR263" i="1"/>
  <c r="AM102" i="1"/>
  <c r="AQ102" i="1" s="1"/>
  <c r="AR102" i="1"/>
  <c r="AP319" i="1"/>
  <c r="AP320" i="1" s="1"/>
  <c r="AO304" i="1"/>
  <c r="AL304" i="1"/>
  <c r="AP304" i="1" s="1"/>
  <c r="AM233" i="1"/>
  <c r="AQ233" i="1" s="1"/>
  <c r="AR233" i="1"/>
  <c r="AM408" i="1"/>
  <c r="AQ408" i="1" s="1"/>
  <c r="AR408" i="1"/>
  <c r="AM382" i="1"/>
  <c r="AQ382" i="1" s="1"/>
  <c r="AO363" i="1"/>
  <c r="AO364" i="1" s="1"/>
  <c r="AL322" i="1"/>
  <c r="AP322" i="1" s="1"/>
  <c r="AM310" i="1"/>
  <c r="AQ310" i="1" s="1"/>
  <c r="AR310" i="1"/>
  <c r="AO307" i="1"/>
  <c r="AO308" i="1" s="1"/>
  <c r="AN238" i="1"/>
  <c r="AR237" i="1"/>
  <c r="AO408" i="1"/>
  <c r="AO409" i="1" s="1"/>
  <c r="AL408" i="1"/>
  <c r="AP408" i="1" s="1"/>
  <c r="AP409" i="1" s="1"/>
  <c r="AP410" i="1" s="1"/>
  <c r="AP411" i="1" s="1"/>
  <c r="AO365" i="1"/>
  <c r="AO366" i="1" s="1"/>
  <c r="AO367" i="1" s="1"/>
  <c r="AK334" i="1"/>
  <c r="AI335" i="1"/>
  <c r="AI336" i="1" s="1"/>
  <c r="AI337" i="1" s="1"/>
  <c r="AL271" i="1"/>
  <c r="AP271" i="1" s="1"/>
  <c r="AP272" i="1" s="1"/>
  <c r="AO271" i="1"/>
  <c r="AO272" i="1" s="1"/>
  <c r="AM268" i="1"/>
  <c r="AQ268" i="1" s="1"/>
  <c r="AR268" i="1"/>
  <c r="AM265" i="1"/>
  <c r="AQ265" i="1" s="1"/>
  <c r="AR265" i="1"/>
  <c r="AN266" i="1"/>
  <c r="AM237" i="1"/>
  <c r="AQ237" i="1" s="1"/>
  <c r="AN200" i="1"/>
  <c r="AR199" i="1"/>
  <c r="AR383" i="1"/>
  <c r="AR361" i="1"/>
  <c r="AN362" i="1"/>
  <c r="AK350" i="1"/>
  <c r="AI351" i="1"/>
  <c r="AI352" i="1" s="1"/>
  <c r="AN343" i="1"/>
  <c r="AR342" i="1"/>
  <c r="AM342" i="1"/>
  <c r="AQ342" i="1" s="1"/>
  <c r="AP296" i="1"/>
  <c r="AL276" i="1"/>
  <c r="AP276" i="1" s="1"/>
  <c r="AO276" i="1"/>
  <c r="AR404" i="1"/>
  <c r="AM361" i="1"/>
  <c r="AQ361" i="1" s="1"/>
  <c r="AP316" i="1"/>
  <c r="AP317" i="1" s="1"/>
  <c r="AR288" i="1"/>
  <c r="AN289" i="1"/>
  <c r="AO229" i="1"/>
  <c r="AO230" i="1" s="1"/>
  <c r="AP199" i="1"/>
  <c r="AP200" i="1" s="1"/>
  <c r="AP201" i="1" s="1"/>
  <c r="AP202" i="1" s="1"/>
  <c r="AP203" i="1" s="1"/>
  <c r="AM193" i="1"/>
  <c r="AQ193" i="1" s="1"/>
  <c r="AR193" i="1"/>
  <c r="AM112" i="1"/>
  <c r="AQ112" i="1" s="1"/>
  <c r="AR112" i="1"/>
  <c r="AN113" i="1"/>
  <c r="AM288" i="1"/>
  <c r="AQ288" i="1" s="1"/>
  <c r="AM256" i="1"/>
  <c r="AQ256" i="1" s="1"/>
  <c r="AR256" i="1"/>
  <c r="AM243" i="1"/>
  <c r="AQ243" i="1" s="1"/>
  <c r="AR243" i="1"/>
  <c r="AN244" i="1"/>
  <c r="AM283" i="1"/>
  <c r="AQ283" i="1" s="1"/>
  <c r="AN284" i="1"/>
  <c r="AL193" i="1"/>
  <c r="AP193" i="1" s="1"/>
  <c r="AO193" i="1"/>
  <c r="AO141" i="1"/>
  <c r="AM279" i="1"/>
  <c r="AQ279" i="1" s="1"/>
  <c r="AR279" i="1"/>
  <c r="AM214" i="1"/>
  <c r="AQ214" i="1" s="1"/>
  <c r="AN215" i="1"/>
  <c r="AK342" i="1"/>
  <c r="AR264" i="1"/>
  <c r="AM236" i="1"/>
  <c r="AQ236" i="1" s="1"/>
  <c r="AR236" i="1"/>
  <c r="AM223" i="1"/>
  <c r="AQ223" i="1" s="1"/>
  <c r="AR223" i="1"/>
  <c r="AR216" i="1"/>
  <c r="AN217" i="1"/>
  <c r="AM255" i="1"/>
  <c r="AQ255" i="1" s="1"/>
  <c r="AR255" i="1"/>
  <c r="AP236" i="1"/>
  <c r="AM232" i="1"/>
  <c r="AQ232" i="1" s="1"/>
  <c r="AM216" i="1"/>
  <c r="AQ216" i="1" s="1"/>
  <c r="AM213" i="1"/>
  <c r="AQ213" i="1" s="1"/>
  <c r="AR213" i="1"/>
  <c r="AK64" i="1"/>
  <c r="AI65" i="1"/>
  <c r="AR331" i="1"/>
  <c r="AM330" i="1"/>
  <c r="AQ330" i="1" s="1"/>
  <c r="AM324" i="1"/>
  <c r="AQ324" i="1" s="1"/>
  <c r="AM312" i="1"/>
  <c r="AQ312" i="1" s="1"/>
  <c r="AM309" i="1"/>
  <c r="AQ309" i="1" s="1"/>
  <c r="AL255" i="1"/>
  <c r="AP255" i="1" s="1"/>
  <c r="AP256" i="1" s="1"/>
  <c r="AO255" i="1"/>
  <c r="AO256" i="1" s="1"/>
  <c r="AM247" i="1"/>
  <c r="AQ247" i="1" s="1"/>
  <c r="AR247" i="1"/>
  <c r="AN248" i="1"/>
  <c r="AP154" i="1"/>
  <c r="AO353" i="1"/>
  <c r="AM340" i="1"/>
  <c r="AQ340" i="1" s="1"/>
  <c r="AO318" i="1"/>
  <c r="AO319" i="1" s="1"/>
  <c r="AO320" i="1" s="1"/>
  <c r="AO298" i="1"/>
  <c r="AO299" i="1" s="1"/>
  <c r="AR290" i="1"/>
  <c r="AR271" i="1"/>
  <c r="AR229" i="1"/>
  <c r="AL213" i="1"/>
  <c r="AP213" i="1" s="1"/>
  <c r="AO213" i="1"/>
  <c r="AK201" i="1"/>
  <c r="AO201" i="1" s="1"/>
  <c r="AO202" i="1" s="1"/>
  <c r="AO203" i="1" s="1"/>
  <c r="AN337" i="1"/>
  <c r="AO324" i="1"/>
  <c r="AO325" i="1" s="1"/>
  <c r="AO326" i="1" s="1"/>
  <c r="AM304" i="1"/>
  <c r="AQ304" i="1" s="1"/>
  <c r="AN301" i="1"/>
  <c r="AN154" i="1"/>
  <c r="AM153" i="1"/>
  <c r="AQ153" i="1" s="1"/>
  <c r="AM350" i="1"/>
  <c r="AQ350" i="1" s="1"/>
  <c r="AM334" i="1"/>
  <c r="AQ334" i="1" s="1"/>
  <c r="AI324" i="1"/>
  <c r="AI325" i="1" s="1"/>
  <c r="AI326" i="1" s="1"/>
  <c r="AR299" i="1"/>
  <c r="AK249" i="1"/>
  <c r="AM227" i="1"/>
  <c r="AQ227" i="1" s="1"/>
  <c r="AR227" i="1"/>
  <c r="AN228" i="1"/>
  <c r="AK225" i="1"/>
  <c r="AN325" i="1"/>
  <c r="AP240" i="1"/>
  <c r="AP241" i="1" s="1"/>
  <c r="AM231" i="1"/>
  <c r="AQ231" i="1" s="1"/>
  <c r="AR231" i="1"/>
  <c r="AN341" i="1"/>
  <c r="AN313" i="1"/>
  <c r="AM290" i="1"/>
  <c r="AQ290" i="1" s="1"/>
  <c r="AR246" i="1"/>
  <c r="AP244" i="1"/>
  <c r="AM229" i="1"/>
  <c r="AQ229" i="1" s="1"/>
  <c r="AN165" i="1"/>
  <c r="AM164" i="1"/>
  <c r="AQ164" i="1" s="1"/>
  <c r="AR164" i="1"/>
  <c r="AI158" i="1"/>
  <c r="AK157" i="1"/>
  <c r="AM316" i="1"/>
  <c r="AQ316" i="1" s="1"/>
  <c r="AM296" i="1"/>
  <c r="AQ296" i="1" s="1"/>
  <c r="AR291" i="1"/>
  <c r="AO231" i="1"/>
  <c r="AP220" i="1"/>
  <c r="AP221" i="1" s="1"/>
  <c r="AM185" i="1"/>
  <c r="AQ185" i="1" s="1"/>
  <c r="AR185" i="1"/>
  <c r="AM190" i="1"/>
  <c r="AQ190" i="1" s="1"/>
  <c r="AM176" i="1"/>
  <c r="AQ176" i="1" s="1"/>
  <c r="AN177" i="1"/>
  <c r="AL153" i="1"/>
  <c r="AP153" i="1" s="1"/>
  <c r="AO153" i="1"/>
  <c r="AO154" i="1" s="1"/>
  <c r="AL140" i="1"/>
  <c r="AP140" i="1" s="1"/>
  <c r="AO140" i="1"/>
  <c r="AO121" i="1"/>
  <c r="AL28" i="1"/>
  <c r="AP28" i="1" s="1"/>
  <c r="AO28" i="1"/>
  <c r="AO29" i="1" s="1"/>
  <c r="AO30" i="1" s="1"/>
  <c r="AM219" i="1"/>
  <c r="AQ219" i="1" s="1"/>
  <c r="AR219" i="1"/>
  <c r="AL190" i="1"/>
  <c r="AP190" i="1" s="1"/>
  <c r="AO185" i="1"/>
  <c r="AO181" i="1"/>
  <c r="AO182" i="1" s="1"/>
  <c r="AR170" i="1"/>
  <c r="AN171" i="1"/>
  <c r="AL97" i="1"/>
  <c r="AP97" i="1" s="1"/>
  <c r="AO97" i="1"/>
  <c r="AN50" i="1"/>
  <c r="AM49" i="1"/>
  <c r="AQ49" i="1" s="1"/>
  <c r="AL219" i="1"/>
  <c r="AP219" i="1" s="1"/>
  <c r="AO219" i="1"/>
  <c r="AO220" i="1" s="1"/>
  <c r="AO221" i="1" s="1"/>
  <c r="AK214" i="1"/>
  <c r="AR202" i="1"/>
  <c r="AO166" i="1"/>
  <c r="AO167" i="1" s="1"/>
  <c r="AL166" i="1"/>
  <c r="AP166" i="1" s="1"/>
  <c r="AP167" i="1" s="1"/>
  <c r="AR145" i="1"/>
  <c r="AM145" i="1"/>
  <c r="AQ145" i="1" s="1"/>
  <c r="AK117" i="1"/>
  <c r="AL76" i="1"/>
  <c r="AP76" i="1" s="1"/>
  <c r="AO76" i="1"/>
  <c r="AO237" i="1"/>
  <c r="AO238" i="1" s="1"/>
  <c r="AM235" i="1"/>
  <c r="AQ235" i="1" s="1"/>
  <c r="AR235" i="1"/>
  <c r="AM210" i="1"/>
  <c r="AQ210" i="1" s="1"/>
  <c r="AL198" i="1"/>
  <c r="AP198" i="1" s="1"/>
  <c r="AM72" i="1"/>
  <c r="AQ72" i="1" s="1"/>
  <c r="AR72" i="1"/>
  <c r="AN73" i="1"/>
  <c r="AM56" i="1"/>
  <c r="AQ56" i="1" s="1"/>
  <c r="AR56" i="1"/>
  <c r="AM203" i="1"/>
  <c r="AQ203" i="1" s="1"/>
  <c r="AR203" i="1"/>
  <c r="AR160" i="1"/>
  <c r="AM160" i="1"/>
  <c r="AQ160" i="1" s="1"/>
  <c r="AI146" i="1"/>
  <c r="AI147" i="1" s="1"/>
  <c r="AK145" i="1"/>
  <c r="AM108" i="1"/>
  <c r="AQ108" i="1" s="1"/>
  <c r="AR108" i="1"/>
  <c r="AN109" i="1"/>
  <c r="AM259" i="1"/>
  <c r="AQ259" i="1" s="1"/>
  <c r="AR259" i="1"/>
  <c r="AO235" i="1"/>
  <c r="AO236" i="1" s="1"/>
  <c r="AM202" i="1"/>
  <c r="AQ202" i="1" s="1"/>
  <c r="AM180" i="1"/>
  <c r="AQ180" i="1" s="1"/>
  <c r="AR180" i="1"/>
  <c r="AN181" i="1"/>
  <c r="AN130" i="1"/>
  <c r="AM129" i="1"/>
  <c r="AQ129" i="1" s="1"/>
  <c r="AR129" i="1"/>
  <c r="AI82" i="1"/>
  <c r="AK81" i="1"/>
  <c r="AM251" i="1"/>
  <c r="AQ251" i="1" s="1"/>
  <c r="AR251" i="1"/>
  <c r="AO243" i="1"/>
  <c r="AO244" i="1" s="1"/>
  <c r="AP178" i="1"/>
  <c r="AR175" i="1"/>
  <c r="AM175" i="1"/>
  <c r="AQ175" i="1" s="1"/>
  <c r="AO160" i="1"/>
  <c r="AL120" i="1"/>
  <c r="AP120" i="1" s="1"/>
  <c r="AP121" i="1" s="1"/>
  <c r="AO120" i="1"/>
  <c r="AM116" i="1"/>
  <c r="AQ116" i="1" s="1"/>
  <c r="AR116" i="1"/>
  <c r="AO62" i="1"/>
  <c r="AO63" i="1" s="1"/>
  <c r="AL62" i="1"/>
  <c r="AP62" i="1" s="1"/>
  <c r="AP63" i="1" s="1"/>
  <c r="AM225" i="1"/>
  <c r="AQ225" i="1" s="1"/>
  <c r="AN220" i="1"/>
  <c r="AL206" i="1"/>
  <c r="AP206" i="1" s="1"/>
  <c r="AP207" i="1" s="1"/>
  <c r="AO206" i="1"/>
  <c r="AO207" i="1" s="1"/>
  <c r="AR189" i="1"/>
  <c r="AO178" i="1"/>
  <c r="AL148" i="1"/>
  <c r="AP148" i="1" s="1"/>
  <c r="AP149" i="1" s="1"/>
  <c r="AP150" i="1" s="1"/>
  <c r="AO148" i="1"/>
  <c r="AO149" i="1" s="1"/>
  <c r="AO150" i="1" s="1"/>
  <c r="AN139" i="1"/>
  <c r="AR138" i="1"/>
  <c r="AM138" i="1"/>
  <c r="AQ138" i="1" s="1"/>
  <c r="AL44" i="1"/>
  <c r="AP44" i="1" s="1"/>
  <c r="AO44" i="1"/>
  <c r="AP182" i="1"/>
  <c r="AN111" i="1"/>
  <c r="AR110" i="1"/>
  <c r="AM110" i="1"/>
  <c r="AQ110" i="1" s="1"/>
  <c r="AP228" i="1"/>
  <c r="AN209" i="1"/>
  <c r="AM201" i="1"/>
  <c r="AQ201" i="1" s="1"/>
  <c r="AR201" i="1"/>
  <c r="AL189" i="1"/>
  <c r="AP189" i="1" s="1"/>
  <c r="AO189" i="1"/>
  <c r="AN187" i="1"/>
  <c r="AR186" i="1"/>
  <c r="AO177" i="1"/>
  <c r="AM128" i="1"/>
  <c r="AQ128" i="1" s="1"/>
  <c r="AR128" i="1"/>
  <c r="AO119" i="1"/>
  <c r="AL119" i="1"/>
  <c r="AP119" i="1" s="1"/>
  <c r="AN156" i="1"/>
  <c r="AM155" i="1"/>
  <c r="AQ155" i="1" s="1"/>
  <c r="AM148" i="1"/>
  <c r="AQ148" i="1" s="1"/>
  <c r="AN149" i="1"/>
  <c r="AK132" i="1"/>
  <c r="AI133" i="1"/>
  <c r="AP113" i="1"/>
  <c r="AR53" i="1"/>
  <c r="AN54" i="1"/>
  <c r="AR173" i="1"/>
  <c r="AK170" i="1"/>
  <c r="AM28" i="1"/>
  <c r="AQ28" i="1" s="1"/>
  <c r="AR28" i="1"/>
  <c r="AN29" i="1"/>
  <c r="AL112" i="1"/>
  <c r="AP112" i="1" s="1"/>
  <c r="AO112" i="1"/>
  <c r="AO113" i="1" s="1"/>
  <c r="AL108" i="1"/>
  <c r="AP108" i="1" s="1"/>
  <c r="AO108" i="1"/>
  <c r="AO109" i="1" s="1"/>
  <c r="AM84" i="1"/>
  <c r="AQ84" i="1" s="1"/>
  <c r="AR84" i="1"/>
  <c r="AN85" i="1"/>
  <c r="AO69" i="1"/>
  <c r="AL173" i="1"/>
  <c r="AP173" i="1" s="1"/>
  <c r="AP174" i="1" s="1"/>
  <c r="AO173" i="1"/>
  <c r="AO174" i="1" s="1"/>
  <c r="AP156" i="1"/>
  <c r="AP139" i="1"/>
  <c r="AP89" i="1"/>
  <c r="AM60" i="1"/>
  <c r="AQ60" i="1" s="1"/>
  <c r="AR60" i="1"/>
  <c r="AN61" i="1"/>
  <c r="AM161" i="1"/>
  <c r="AQ161" i="1" s="1"/>
  <c r="AM151" i="1"/>
  <c r="AQ151" i="1" s="1"/>
  <c r="AP137" i="1"/>
  <c r="AM124" i="1"/>
  <c r="AQ124" i="1" s="1"/>
  <c r="AR124" i="1"/>
  <c r="AN125" i="1"/>
  <c r="AM120" i="1"/>
  <c r="AQ120" i="1" s="1"/>
  <c r="AR120" i="1"/>
  <c r="AN121" i="1"/>
  <c r="AP71" i="1"/>
  <c r="AP72" i="1" s="1"/>
  <c r="AL60" i="1"/>
  <c r="AP60" i="1" s="1"/>
  <c r="AO60" i="1"/>
  <c r="AO61" i="1" s="1"/>
  <c r="AO205" i="1"/>
  <c r="AR192" i="1"/>
  <c r="AK186" i="1"/>
  <c r="AO137" i="1"/>
  <c r="AK124" i="1"/>
  <c r="AN87" i="1"/>
  <c r="AR86" i="1"/>
  <c r="AN75" i="1"/>
  <c r="AR74" i="1"/>
  <c r="AL52" i="1"/>
  <c r="AP52" i="1" s="1"/>
  <c r="AP53" i="1" s="1"/>
  <c r="AP54" i="1" s="1"/>
  <c r="AO52" i="1"/>
  <c r="AO53" i="1" s="1"/>
  <c r="AO54" i="1" s="1"/>
  <c r="AR33" i="1"/>
  <c r="AN47" i="1"/>
  <c r="AR46" i="1"/>
  <c r="AI141" i="1"/>
  <c r="AL128" i="1"/>
  <c r="AP128" i="1" s="1"/>
  <c r="AO128" i="1"/>
  <c r="AO197" i="1"/>
  <c r="AN174" i="1"/>
  <c r="AL164" i="1"/>
  <c r="AP164" i="1" s="1"/>
  <c r="AP165" i="1" s="1"/>
  <c r="AL105" i="1"/>
  <c r="AP105" i="1" s="1"/>
  <c r="AP106" i="1" s="1"/>
  <c r="AM40" i="1"/>
  <c r="AQ40" i="1" s="1"/>
  <c r="AR40" i="1"/>
  <c r="AR155" i="1"/>
  <c r="AO115" i="1"/>
  <c r="AP37" i="1"/>
  <c r="AP130" i="1"/>
  <c r="AP131" i="1" s="1"/>
  <c r="AR123" i="1"/>
  <c r="AM96" i="1"/>
  <c r="AQ96" i="1" s="1"/>
  <c r="AR96" i="1"/>
  <c r="AO40" i="1"/>
  <c r="AO37" i="1"/>
  <c r="AO209" i="1"/>
  <c r="AR148" i="1"/>
  <c r="AM136" i="1"/>
  <c r="AQ136" i="1" s="1"/>
  <c r="AR136" i="1"/>
  <c r="AN137" i="1"/>
  <c r="AO130" i="1"/>
  <c r="AO131" i="1" s="1"/>
  <c r="AL83" i="1"/>
  <c r="AP83" i="1" s="1"/>
  <c r="AI58" i="1"/>
  <c r="AK57" i="1"/>
  <c r="AR42" i="1"/>
  <c r="AM42" i="1"/>
  <c r="AQ42" i="1" s="1"/>
  <c r="AO72" i="1"/>
  <c r="AO73" i="1" s="1"/>
  <c r="AM70" i="1"/>
  <c r="AQ70" i="1" s="1"/>
  <c r="AP33" i="1"/>
  <c r="AM104" i="1"/>
  <c r="AQ104" i="1" s="1"/>
  <c r="AR104" i="1"/>
  <c r="AM92" i="1"/>
  <c r="AQ92" i="1" s="1"/>
  <c r="AR92" i="1"/>
  <c r="AM80" i="1"/>
  <c r="AQ80" i="1" s="1"/>
  <c r="AR80" i="1"/>
  <c r="AN68" i="1"/>
  <c r="AM36" i="1"/>
  <c r="AQ36" i="1" s="1"/>
  <c r="AR36" i="1"/>
  <c r="AL80" i="1"/>
  <c r="AP80" i="1" s="1"/>
  <c r="AO80" i="1"/>
  <c r="AR71" i="1"/>
  <c r="AL36" i="1"/>
  <c r="AP36" i="1" s="1"/>
  <c r="AO36" i="1"/>
  <c r="AP141" i="1"/>
  <c r="AO136" i="1"/>
  <c r="AO104" i="1"/>
  <c r="AO92" i="1"/>
  <c r="AO68" i="1"/>
  <c r="AP61" i="1"/>
  <c r="AM52" i="1"/>
  <c r="AQ52" i="1" s="1"/>
  <c r="AR52" i="1"/>
  <c r="AR39" i="1"/>
  <c r="AP73" i="1"/>
  <c r="AP29" i="1"/>
  <c r="AP30" i="1" s="1"/>
  <c r="AL144" i="1"/>
  <c r="AP144" i="1" s="1"/>
  <c r="AO144" i="1"/>
  <c r="AL116" i="1"/>
  <c r="AP116" i="1" s="1"/>
  <c r="AO116" i="1"/>
  <c r="AM66" i="1"/>
  <c r="AQ66" i="1" s="1"/>
  <c r="AM100" i="1"/>
  <c r="AQ100" i="1" s="1"/>
  <c r="AR100" i="1"/>
  <c r="AP85" i="1"/>
  <c r="AM76" i="1"/>
  <c r="AQ76" i="1" s="1"/>
  <c r="AR76" i="1"/>
  <c r="AM64" i="1"/>
  <c r="AQ64" i="1" s="1"/>
  <c r="AR64" i="1"/>
  <c r="AM132" i="1"/>
  <c r="AQ132" i="1" s="1"/>
  <c r="AR132" i="1"/>
  <c r="AP109" i="1"/>
  <c r="AM88" i="1"/>
  <c r="AQ88" i="1" s="1"/>
  <c r="AR88" i="1"/>
  <c r="AO48" i="1"/>
  <c r="AM32" i="1"/>
  <c r="AQ32" i="1" s="1"/>
  <c r="AR32" i="1"/>
  <c r="AO152" i="1"/>
  <c r="AR135" i="1"/>
  <c r="AO100" i="1"/>
  <c r="AR67" i="1"/>
  <c r="AM44" i="1"/>
  <c r="AQ44" i="1" s="1"/>
  <c r="AR44" i="1"/>
  <c r="AN37" i="1"/>
  <c r="AO273" i="1" l="1"/>
  <c r="AO274" i="1" s="1"/>
  <c r="AO275" i="1" s="1"/>
  <c r="AL273" i="1"/>
  <c r="AP273" i="1" s="1"/>
  <c r="AP274" i="1" s="1"/>
  <c r="AP275" i="1" s="1"/>
  <c r="AO264" i="1"/>
  <c r="AO265" i="1" s="1"/>
  <c r="AO266" i="1" s="1"/>
  <c r="AL264" i="1"/>
  <c r="AP264" i="1" s="1"/>
  <c r="AP265" i="1" s="1"/>
  <c r="AP266" i="1" s="1"/>
  <c r="AL354" i="1"/>
  <c r="AP354" i="1" s="1"/>
  <c r="AP355" i="1" s="1"/>
  <c r="AL444" i="1"/>
  <c r="AP444" i="1" s="1"/>
  <c r="AP445" i="1" s="1"/>
  <c r="AP446" i="1" s="1"/>
  <c r="AL293" i="1"/>
  <c r="AP293" i="1" s="1"/>
  <c r="AP294" i="1" s="1"/>
  <c r="AO258" i="1"/>
  <c r="AO259" i="1" s="1"/>
  <c r="AO260" i="1" s="1"/>
  <c r="AL396" i="1"/>
  <c r="AP396" i="1" s="1"/>
  <c r="AP397" i="1" s="1"/>
  <c r="AP398" i="1" s="1"/>
  <c r="AP399" i="1" s="1"/>
  <c r="AP400" i="1" s="1"/>
  <c r="AP401" i="1" s="1"/>
  <c r="AL433" i="1"/>
  <c r="AP433" i="1" s="1"/>
  <c r="AP434" i="1" s="1"/>
  <c r="AP435" i="1" s="1"/>
  <c r="AL424" i="1"/>
  <c r="AP424" i="1" s="1"/>
  <c r="AP425" i="1" s="1"/>
  <c r="AP426" i="1" s="1"/>
  <c r="AO416" i="1"/>
  <c r="AO417" i="1" s="1"/>
  <c r="AO418" i="1" s="1"/>
  <c r="AO419" i="1" s="1"/>
  <c r="AL416" i="1"/>
  <c r="AP416" i="1" s="1"/>
  <c r="AP417" i="1" s="1"/>
  <c r="AP418" i="1" s="1"/>
  <c r="AP419" i="1" s="1"/>
  <c r="AL389" i="1"/>
  <c r="AP389" i="1" s="1"/>
  <c r="AP390" i="1" s="1"/>
  <c r="AO389" i="1"/>
  <c r="AO390" i="1" s="1"/>
  <c r="AL330" i="1"/>
  <c r="AP330" i="1" s="1"/>
  <c r="AP331" i="1" s="1"/>
  <c r="AP332" i="1" s="1"/>
  <c r="AO330" i="1"/>
  <c r="AO331" i="1" s="1"/>
  <c r="AO332" i="1" s="1"/>
  <c r="AL300" i="1"/>
  <c r="AP300" i="1" s="1"/>
  <c r="AP301" i="1" s="1"/>
  <c r="AL368" i="1"/>
  <c r="AP368" i="1" s="1"/>
  <c r="AP369" i="1" s="1"/>
  <c r="AP370" i="1" s="1"/>
  <c r="AL277" i="1"/>
  <c r="AP277" i="1" s="1"/>
  <c r="AP278" i="1" s="1"/>
  <c r="AO277" i="1"/>
  <c r="AO278" i="1" s="1"/>
  <c r="AL414" i="1"/>
  <c r="AP414" i="1" s="1"/>
  <c r="AP415" i="1" s="1"/>
  <c r="AO414" i="1"/>
  <c r="AO415" i="1" s="1"/>
  <c r="AO440" i="1"/>
  <c r="AO441" i="1" s="1"/>
  <c r="AL440" i="1"/>
  <c r="AP440" i="1" s="1"/>
  <c r="AP441" i="1" s="1"/>
  <c r="AK410" i="1"/>
  <c r="AO410" i="1" s="1"/>
  <c r="AO411" i="1" s="1"/>
  <c r="AI411" i="1"/>
  <c r="AL406" i="1"/>
  <c r="AP406" i="1" s="1"/>
  <c r="AP407" i="1" s="1"/>
  <c r="AL442" i="1"/>
  <c r="AP442" i="1" s="1"/>
  <c r="AP443" i="1" s="1"/>
  <c r="AO442" i="1"/>
  <c r="AO443" i="1" s="1"/>
  <c r="AL394" i="1"/>
  <c r="AP394" i="1" s="1"/>
  <c r="AP395" i="1" s="1"/>
  <c r="AO309" i="1"/>
  <c r="AO310" i="1" s="1"/>
  <c r="AL309" i="1"/>
  <c r="AP309" i="1" s="1"/>
  <c r="AP310" i="1" s="1"/>
  <c r="AL245" i="1"/>
  <c r="AP245" i="1" s="1"/>
  <c r="AP246" i="1" s="1"/>
  <c r="AP247" i="1" s="1"/>
  <c r="AP248" i="1" s="1"/>
  <c r="AO245" i="1"/>
  <c r="AO246" i="1" s="1"/>
  <c r="AO247" i="1" s="1"/>
  <c r="AO248" i="1" s="1"/>
  <c r="AO346" i="1"/>
  <c r="AO347" i="1" s="1"/>
  <c r="AO348" i="1" s="1"/>
  <c r="AO349" i="1" s="1"/>
  <c r="AL346" i="1"/>
  <c r="AP346" i="1" s="1"/>
  <c r="AP347" i="1" s="1"/>
  <c r="AP348" i="1" s="1"/>
  <c r="AP349" i="1" s="1"/>
  <c r="AR419" i="1"/>
  <c r="AM419" i="1"/>
  <c r="AQ419" i="1" s="1"/>
  <c r="AM248" i="1"/>
  <c r="AQ248" i="1" s="1"/>
  <c r="AR248" i="1"/>
  <c r="AR37" i="1"/>
  <c r="AM37" i="1"/>
  <c r="AQ37" i="1" s="1"/>
  <c r="AM68" i="1"/>
  <c r="AQ68" i="1" s="1"/>
  <c r="AR68" i="1"/>
  <c r="AN69" i="1"/>
  <c r="AL57" i="1"/>
  <c r="AP57" i="1" s="1"/>
  <c r="AP58" i="1" s="1"/>
  <c r="AO57" i="1"/>
  <c r="AO58" i="1" s="1"/>
  <c r="AM137" i="1"/>
  <c r="AQ137" i="1" s="1"/>
  <c r="AR137" i="1"/>
  <c r="AM174" i="1"/>
  <c r="AQ174" i="1" s="1"/>
  <c r="AR174" i="1"/>
  <c r="AM47" i="1"/>
  <c r="AQ47" i="1" s="1"/>
  <c r="AN48" i="1"/>
  <c r="AR47" i="1"/>
  <c r="AM75" i="1"/>
  <c r="AQ75" i="1" s="1"/>
  <c r="AR75" i="1"/>
  <c r="AM87" i="1"/>
  <c r="AQ87" i="1" s="1"/>
  <c r="AR87" i="1"/>
  <c r="AL124" i="1"/>
  <c r="AP124" i="1" s="1"/>
  <c r="AP125" i="1" s="1"/>
  <c r="AP126" i="1" s="1"/>
  <c r="AO124" i="1"/>
  <c r="AO125" i="1" s="1"/>
  <c r="AO126" i="1" s="1"/>
  <c r="AL186" i="1"/>
  <c r="AP186" i="1" s="1"/>
  <c r="AP187" i="1" s="1"/>
  <c r="AO186" i="1"/>
  <c r="AO187" i="1" s="1"/>
  <c r="AR121" i="1"/>
  <c r="AM121" i="1"/>
  <c r="AQ121" i="1" s="1"/>
  <c r="AN126" i="1"/>
  <c r="AM125" i="1"/>
  <c r="AQ125" i="1" s="1"/>
  <c r="AR125" i="1"/>
  <c r="AM61" i="1"/>
  <c r="AQ61" i="1" s="1"/>
  <c r="AR61" i="1"/>
  <c r="AM85" i="1"/>
  <c r="AQ85" i="1" s="1"/>
  <c r="AR85" i="1"/>
  <c r="AM29" i="1"/>
  <c r="AQ29" i="1" s="1"/>
  <c r="AR29" i="1"/>
  <c r="AN30" i="1"/>
  <c r="AL170" i="1"/>
  <c r="AP170" i="1" s="1"/>
  <c r="AP171" i="1" s="1"/>
  <c r="AP172" i="1" s="1"/>
  <c r="AO170" i="1"/>
  <c r="AO171" i="1" s="1"/>
  <c r="AO172" i="1" s="1"/>
  <c r="AM54" i="1"/>
  <c r="AQ54" i="1" s="1"/>
  <c r="AR54" i="1"/>
  <c r="AL132" i="1"/>
  <c r="AP132" i="1" s="1"/>
  <c r="AP133" i="1" s="1"/>
  <c r="AO132" i="1"/>
  <c r="AO133" i="1" s="1"/>
  <c r="AM149" i="1"/>
  <c r="AQ149" i="1" s="1"/>
  <c r="AR149" i="1"/>
  <c r="AN150" i="1"/>
  <c r="AR156" i="1"/>
  <c r="AM156" i="1"/>
  <c r="AQ156" i="1" s="1"/>
  <c r="AM187" i="1"/>
  <c r="AQ187" i="1" s="1"/>
  <c r="AR187" i="1"/>
  <c r="AM209" i="1"/>
  <c r="AQ209" i="1" s="1"/>
  <c r="AR209" i="1"/>
  <c r="AM111" i="1"/>
  <c r="AQ111" i="1" s="1"/>
  <c r="AR111" i="1"/>
  <c r="AM139" i="1"/>
  <c r="AQ139" i="1" s="1"/>
  <c r="AR139" i="1"/>
  <c r="AM220" i="1"/>
  <c r="AQ220" i="1" s="1"/>
  <c r="AR220" i="1"/>
  <c r="AN221" i="1"/>
  <c r="AO81" i="1"/>
  <c r="AO82" i="1" s="1"/>
  <c r="AL81" i="1"/>
  <c r="AP81" i="1" s="1"/>
  <c r="AP82" i="1" s="1"/>
  <c r="AN131" i="1"/>
  <c r="AR130" i="1"/>
  <c r="AM130" i="1"/>
  <c r="AQ130" i="1" s="1"/>
  <c r="AM181" i="1"/>
  <c r="AQ181" i="1" s="1"/>
  <c r="AN182" i="1"/>
  <c r="AR181" i="1"/>
  <c r="AR109" i="1"/>
  <c r="AM109" i="1"/>
  <c r="AQ109" i="1" s="1"/>
  <c r="AL145" i="1"/>
  <c r="AP145" i="1" s="1"/>
  <c r="AP146" i="1" s="1"/>
  <c r="AP147" i="1" s="1"/>
  <c r="AO145" i="1"/>
  <c r="AO146" i="1" s="1"/>
  <c r="AO147" i="1" s="1"/>
  <c r="AM73" i="1"/>
  <c r="AQ73" i="1" s="1"/>
  <c r="AR73" i="1"/>
  <c r="AL117" i="1"/>
  <c r="AP117" i="1" s="1"/>
  <c r="AP118" i="1" s="1"/>
  <c r="AO117" i="1"/>
  <c r="AO118" i="1" s="1"/>
  <c r="AL214" i="1"/>
  <c r="AP214" i="1" s="1"/>
  <c r="AP215" i="1" s="1"/>
  <c r="AO214" i="1"/>
  <c r="AO215" i="1" s="1"/>
  <c r="AN51" i="1"/>
  <c r="AM50" i="1"/>
  <c r="AQ50" i="1" s="1"/>
  <c r="AR50" i="1"/>
  <c r="AN172" i="1"/>
  <c r="AM171" i="1"/>
  <c r="AQ171" i="1" s="1"/>
  <c r="AR171" i="1"/>
  <c r="AM177" i="1"/>
  <c r="AQ177" i="1" s="1"/>
  <c r="AR177" i="1"/>
  <c r="AN178" i="1"/>
  <c r="AO157" i="1"/>
  <c r="AO158" i="1" s="1"/>
  <c r="AL157" i="1"/>
  <c r="AP157" i="1" s="1"/>
  <c r="AP158" i="1" s="1"/>
  <c r="AR165" i="1"/>
  <c r="AM165" i="1"/>
  <c r="AQ165" i="1" s="1"/>
  <c r="AM313" i="1"/>
  <c r="AQ313" i="1" s="1"/>
  <c r="AR313" i="1"/>
  <c r="AN314" i="1"/>
  <c r="AM341" i="1"/>
  <c r="AQ341" i="1" s="1"/>
  <c r="AR341" i="1"/>
  <c r="AM325" i="1"/>
  <c r="AQ325" i="1" s="1"/>
  <c r="AR325" i="1"/>
  <c r="AN326" i="1"/>
  <c r="AL225" i="1"/>
  <c r="AP225" i="1" s="1"/>
  <c r="AP226" i="1" s="1"/>
  <c r="AO225" i="1"/>
  <c r="AO226" i="1" s="1"/>
  <c r="AR228" i="1"/>
  <c r="AM228" i="1"/>
  <c r="AQ228" i="1" s="1"/>
  <c r="AL249" i="1"/>
  <c r="AP249" i="1" s="1"/>
  <c r="AP250" i="1" s="1"/>
  <c r="AP251" i="1" s="1"/>
  <c r="AP252" i="1" s="1"/>
  <c r="AO249" i="1"/>
  <c r="AO250" i="1" s="1"/>
  <c r="AO251" i="1" s="1"/>
  <c r="AO252" i="1" s="1"/>
  <c r="AM154" i="1"/>
  <c r="AQ154" i="1" s="1"/>
  <c r="AR154" i="1"/>
  <c r="AM301" i="1"/>
  <c r="AQ301" i="1" s="1"/>
  <c r="AR301" i="1"/>
  <c r="AM337" i="1"/>
  <c r="AQ337" i="1" s="1"/>
  <c r="AR337" i="1"/>
  <c r="AL64" i="1"/>
  <c r="AP64" i="1" s="1"/>
  <c r="AP65" i="1" s="1"/>
  <c r="AO64" i="1"/>
  <c r="AO65" i="1" s="1"/>
  <c r="AN218" i="1"/>
  <c r="AM217" i="1"/>
  <c r="AQ217" i="1" s="1"/>
  <c r="AR217" i="1"/>
  <c r="AL342" i="1"/>
  <c r="AP342" i="1" s="1"/>
  <c r="AP343" i="1" s="1"/>
  <c r="AP344" i="1" s="1"/>
  <c r="AP345" i="1" s="1"/>
  <c r="AO342" i="1"/>
  <c r="AO343" i="1" s="1"/>
  <c r="AO344" i="1" s="1"/>
  <c r="AO345" i="1" s="1"/>
  <c r="AM215" i="1"/>
  <c r="AQ215" i="1" s="1"/>
  <c r="AR215" i="1"/>
  <c r="AM284" i="1"/>
  <c r="AQ284" i="1" s="1"/>
  <c r="AR284" i="1"/>
  <c r="AR244" i="1"/>
  <c r="AM244" i="1"/>
  <c r="AQ244" i="1" s="1"/>
  <c r="AR113" i="1"/>
  <c r="AM113" i="1"/>
  <c r="AQ113" i="1" s="1"/>
  <c r="AM289" i="1"/>
  <c r="AQ289" i="1" s="1"/>
  <c r="AR289" i="1"/>
  <c r="AN344" i="1"/>
  <c r="AM343" i="1"/>
  <c r="AQ343" i="1" s="1"/>
  <c r="AR343" i="1"/>
  <c r="AL350" i="1"/>
  <c r="AP350" i="1" s="1"/>
  <c r="AP351" i="1" s="1"/>
  <c r="AP352" i="1" s="1"/>
  <c r="AO350" i="1"/>
  <c r="AO351" i="1" s="1"/>
  <c r="AO352" i="1" s="1"/>
  <c r="AM362" i="1"/>
  <c r="AQ362" i="1" s="1"/>
  <c r="AR362" i="1"/>
  <c r="AM200" i="1"/>
  <c r="AQ200" i="1" s="1"/>
  <c r="AR200" i="1"/>
  <c r="AM266" i="1"/>
  <c r="AQ266" i="1" s="1"/>
  <c r="AR266" i="1"/>
  <c r="AL334" i="1"/>
  <c r="AP334" i="1" s="1"/>
  <c r="AP335" i="1" s="1"/>
  <c r="AP336" i="1" s="1"/>
  <c r="AP337" i="1" s="1"/>
  <c r="AO334" i="1"/>
  <c r="AO335" i="1" s="1"/>
  <c r="AO336" i="1" s="1"/>
  <c r="AO337" i="1" s="1"/>
  <c r="AM238" i="1"/>
  <c r="AQ238" i="1" s="1"/>
  <c r="AR238" i="1"/>
  <c r="AL287" i="1"/>
  <c r="AP287" i="1" s="1"/>
  <c r="AP288" i="1" s="1"/>
  <c r="AP289" i="1" s="1"/>
  <c r="AO287" i="1"/>
  <c r="AO288" i="1" s="1"/>
  <c r="AO289" i="1" s="1"/>
  <c r="AL280" i="1"/>
  <c r="AP280" i="1" s="1"/>
  <c r="AP281" i="1" s="1"/>
  <c r="AO280" i="1"/>
  <c r="AO281" i="1" s="1"/>
  <c r="AO305" i="1"/>
  <c r="AO306" i="1" s="1"/>
  <c r="AL305" i="1"/>
  <c r="AP305" i="1" s="1"/>
  <c r="AP306" i="1" s="1"/>
  <c r="AM275" i="1"/>
  <c r="AQ275" i="1" s="1"/>
  <c r="AR275" i="1"/>
  <c r="AM367" i="1"/>
  <c r="AQ367" i="1" s="1"/>
  <c r="AR367" i="1"/>
  <c r="AM415" i="1"/>
  <c r="AQ415" i="1" s="1"/>
  <c r="AR415" i="1"/>
  <c r="AM426" i="1"/>
  <c r="AQ426" i="1" s="1"/>
  <c r="AR426" i="1"/>
  <c r="AR434" i="1"/>
  <c r="AM434" i="1"/>
  <c r="AQ434" i="1" s="1"/>
  <c r="AN435" i="1"/>
  <c r="AL373" i="1"/>
  <c r="AP373" i="1" s="1"/>
  <c r="AP374" i="1" s="1"/>
  <c r="AP375" i="1" s="1"/>
  <c r="AP376" i="1" s="1"/>
  <c r="AO373" i="1"/>
  <c r="AO374" i="1" s="1"/>
  <c r="AO375" i="1" s="1"/>
  <c r="AO376" i="1" s="1"/>
  <c r="AM349" i="1"/>
  <c r="AQ349" i="1" s="1"/>
  <c r="AR349" i="1"/>
  <c r="AM398" i="1"/>
  <c r="AQ398" i="1" s="1"/>
  <c r="AR398" i="1"/>
  <c r="AN241" i="1"/>
  <c r="AM240" i="1"/>
  <c r="AQ240" i="1" s="1"/>
  <c r="AR240" i="1"/>
  <c r="AM306" i="1"/>
  <c r="AQ306" i="1" s="1"/>
  <c r="AR306" i="1"/>
  <c r="AM443" i="1"/>
  <c r="AQ443" i="1" s="1"/>
  <c r="AR443" i="1"/>
  <c r="AM147" i="1"/>
  <c r="AQ147" i="1" s="1"/>
  <c r="AR147" i="1"/>
  <c r="AN370" i="1"/>
  <c r="AM369" i="1"/>
  <c r="AQ369" i="1" s="1"/>
  <c r="AR369" i="1"/>
  <c r="AO380" i="1"/>
  <c r="AO381" i="1" s="1"/>
  <c r="AL380" i="1"/>
  <c r="AP380" i="1" s="1"/>
  <c r="AP381" i="1" s="1"/>
  <c r="AM446" i="1"/>
  <c r="AQ446" i="1" s="1"/>
  <c r="AR446" i="1"/>
  <c r="AN376" i="1"/>
  <c r="AM375" i="1"/>
  <c r="AQ375" i="1" s="1"/>
  <c r="AR375" i="1"/>
  <c r="AO391" i="1"/>
  <c r="AO392" i="1" s="1"/>
  <c r="AO393" i="1" s="1"/>
  <c r="AL391" i="1"/>
  <c r="AP391" i="1" s="1"/>
  <c r="AP392" i="1" s="1"/>
  <c r="AP393" i="1" s="1"/>
  <c r="AO437" i="1"/>
  <c r="AO438" i="1" s="1"/>
  <c r="AL437" i="1"/>
  <c r="AP437" i="1" s="1"/>
  <c r="AP438" i="1" s="1"/>
  <c r="AO447" i="1"/>
  <c r="AO448" i="1" s="1"/>
  <c r="AO449" i="1" s="1"/>
  <c r="AL447" i="1"/>
  <c r="AP447" i="1" s="1"/>
  <c r="AP448" i="1" s="1"/>
  <c r="AP449" i="1" s="1"/>
  <c r="AL382" i="1"/>
  <c r="AP382" i="1" s="1"/>
  <c r="AP383" i="1" s="1"/>
  <c r="AP384" i="1" s="1"/>
  <c r="AP385" i="1" s="1"/>
  <c r="AP386" i="1" s="1"/>
  <c r="AP387" i="1" s="1"/>
  <c r="AO382" i="1"/>
  <c r="AO383" i="1" s="1"/>
  <c r="AO384" i="1" s="1"/>
  <c r="AI386" i="1"/>
  <c r="AI387" i="1" s="1"/>
  <c r="AK385" i="1"/>
  <c r="AO385" i="1" s="1"/>
  <c r="AO386" i="1" s="1"/>
  <c r="AO387" i="1" s="1"/>
  <c r="AM438" i="1"/>
  <c r="AQ438" i="1" s="1"/>
  <c r="AR438" i="1"/>
  <c r="AM357" i="1"/>
  <c r="AQ357" i="1" s="1"/>
  <c r="AR357" i="1"/>
  <c r="AN358" i="1"/>
  <c r="AL431" i="1"/>
  <c r="AP431" i="1" s="1"/>
  <c r="AP432" i="1" s="1"/>
  <c r="AO431" i="1"/>
  <c r="AO432" i="1" s="1"/>
  <c r="AM429" i="1"/>
  <c r="AQ429" i="1" s="1"/>
  <c r="AR429" i="1"/>
  <c r="AM376" i="1" l="1"/>
  <c r="AQ376" i="1" s="1"/>
  <c r="AR376" i="1"/>
  <c r="AN359" i="1"/>
  <c r="AR358" i="1"/>
  <c r="AM358" i="1"/>
  <c r="AQ358" i="1" s="1"/>
  <c r="AR370" i="1"/>
  <c r="AM370" i="1"/>
  <c r="AQ370" i="1" s="1"/>
  <c r="AR241" i="1"/>
  <c r="AM241" i="1"/>
  <c r="AQ241" i="1" s="1"/>
  <c r="AM435" i="1"/>
  <c r="AQ435" i="1" s="1"/>
  <c r="AR435" i="1"/>
  <c r="AR344" i="1"/>
  <c r="AM344" i="1"/>
  <c r="AQ344" i="1" s="1"/>
  <c r="AN345" i="1"/>
  <c r="AR218" i="1"/>
  <c r="AM218" i="1"/>
  <c r="AQ218" i="1" s="1"/>
  <c r="AR326" i="1"/>
  <c r="AM326" i="1"/>
  <c r="AQ326" i="1" s="1"/>
  <c r="AM314" i="1"/>
  <c r="AQ314" i="1" s="1"/>
  <c r="AR314" i="1"/>
  <c r="AM178" i="1"/>
  <c r="AQ178" i="1" s="1"/>
  <c r="AR178" i="1"/>
  <c r="AM172" i="1"/>
  <c r="AQ172" i="1" s="1"/>
  <c r="AR172" i="1"/>
  <c r="AM51" i="1"/>
  <c r="AQ51" i="1" s="1"/>
  <c r="AR51" i="1"/>
  <c r="AM182" i="1"/>
  <c r="AQ182" i="1" s="1"/>
  <c r="AR182" i="1"/>
  <c r="AM131" i="1"/>
  <c r="AQ131" i="1" s="1"/>
  <c r="AR131" i="1"/>
  <c r="AM221" i="1"/>
  <c r="AQ221" i="1" s="1"/>
  <c r="AR221" i="1"/>
  <c r="AR150" i="1"/>
  <c r="AM150" i="1"/>
  <c r="AQ150" i="1" s="1"/>
  <c r="AR30" i="1"/>
  <c r="AM30" i="1"/>
  <c r="AQ30" i="1" s="1"/>
  <c r="AR126" i="1"/>
  <c r="AM126" i="1"/>
  <c r="AQ126" i="1" s="1"/>
  <c r="AM48" i="1"/>
  <c r="AQ48" i="1" s="1"/>
  <c r="AR48" i="1"/>
  <c r="AR69" i="1"/>
  <c r="AM69" i="1"/>
  <c r="AQ69" i="1" s="1"/>
  <c r="AR345" i="1" l="1"/>
  <c r="AM345" i="1"/>
  <c r="AQ345" i="1" s="1"/>
  <c r="AM359" i="1"/>
  <c r="AQ359" i="1" s="1"/>
  <c r="AR359" i="1"/>
  <c r="W26" i="1" l="1" a="1"/>
  <c r="W26" i="1"/>
  <c r="Y31" i="1" a="1"/>
  <c r="Y31" i="1" s="1"/>
  <c r="AH31" i="1" s="1"/>
  <c r="AS31" i="1" s="1"/>
  <c r="Y37" i="1" a="1"/>
  <c r="Y37" i="1" s="1"/>
  <c r="AH37" i="1" s="1"/>
  <c r="AS37" i="1" s="1"/>
  <c r="Y39" i="1" a="1"/>
  <c r="Y39" i="1" s="1"/>
  <c r="AH39" i="1" s="1"/>
  <c r="AS39" i="1" s="1"/>
  <c r="Y41" i="1" a="1"/>
  <c r="Y41" i="1" s="1"/>
  <c r="AH41" i="1" s="1"/>
  <c r="AS41" i="1" s="1"/>
  <c r="Y59" i="1" a="1"/>
  <c r="Y59" i="1" s="1"/>
  <c r="AH59" i="1" s="1"/>
  <c r="AS59" i="1" s="1"/>
  <c r="Y74" i="1" a="1"/>
  <c r="Y74" i="1" s="1"/>
  <c r="AH74" i="1" s="1"/>
  <c r="AS74" i="1" s="1"/>
  <c r="Y90" i="1" a="1"/>
  <c r="Y90" i="1" s="1"/>
  <c r="AH90" i="1" s="1"/>
  <c r="AS90" i="1" s="1"/>
  <c r="Y91" i="1" a="1"/>
  <c r="Y91" i="1" s="1"/>
  <c r="AH91" i="1" s="1"/>
  <c r="AS91" i="1" s="1"/>
  <c r="Y97" i="1" a="1"/>
  <c r="Y97" i="1" s="1"/>
  <c r="AH97" i="1" s="1"/>
  <c r="AS97" i="1" s="1"/>
  <c r="Y101" i="1" a="1"/>
  <c r="Y101" i="1" s="1"/>
  <c r="AH101" i="1" s="1"/>
  <c r="AS101" i="1" s="1"/>
  <c r="Y103" i="1" a="1"/>
  <c r="Y103" i="1" s="1"/>
  <c r="AH103" i="1" s="1"/>
  <c r="AS103" i="1" s="1"/>
  <c r="Y115" i="1" a="1"/>
  <c r="Y115" i="1" s="1"/>
  <c r="AH115" i="1" s="1"/>
  <c r="AS115" i="1" s="1"/>
  <c r="Y117" i="1" a="1"/>
  <c r="Y117" i="1" s="1"/>
  <c r="AH117" i="1" s="1"/>
  <c r="AS117" i="1" s="1"/>
  <c r="Y127" i="1" a="1"/>
  <c r="Y127" i="1" s="1"/>
  <c r="AH127" i="1" s="1"/>
  <c r="AS127" i="1" s="1"/>
  <c r="Y129" i="1" a="1"/>
  <c r="Y129" i="1" s="1"/>
  <c r="AH129" i="1" s="1"/>
  <c r="AS129" i="1" s="1"/>
  <c r="Y132" i="1" a="1"/>
  <c r="Y132" i="1" s="1"/>
  <c r="AH132" i="1" s="1"/>
  <c r="AS132" i="1" s="1"/>
  <c r="Y133" i="1" a="1"/>
  <c r="Y133" i="1" s="1"/>
  <c r="AH133" i="1" s="1"/>
  <c r="AS133" i="1" s="1"/>
  <c r="Y135" i="1" a="1"/>
  <c r="Y135" i="1" s="1"/>
  <c r="AH135" i="1" s="1"/>
  <c r="AS135" i="1" s="1"/>
  <c r="Y155" i="1" a="1"/>
  <c r="Y155" i="1" s="1"/>
  <c r="AH155" i="1" s="1"/>
  <c r="AS155" i="1" s="1"/>
  <c r="Y158" i="1" a="1"/>
  <c r="Y158" i="1" s="1"/>
  <c r="AH158" i="1" s="1"/>
  <c r="AS158" i="1" s="1"/>
  <c r="Y159" i="1" a="1"/>
  <c r="Y159" i="1" s="1"/>
  <c r="AH159" i="1" s="1"/>
  <c r="AS159" i="1" s="1"/>
  <c r="Y169" i="1" a="1"/>
  <c r="Y169" i="1" s="1"/>
  <c r="AH169" i="1" s="1"/>
  <c r="AS169" i="1" s="1"/>
  <c r="Y185" i="1" a="1"/>
  <c r="Y185" i="1" s="1"/>
  <c r="AH185" i="1" s="1"/>
  <c r="AS185" i="1" s="1"/>
  <c r="Y188" i="1" a="1"/>
  <c r="Y188" i="1" s="1"/>
  <c r="AH188" i="1" s="1"/>
  <c r="AS188" i="1" s="1"/>
  <c r="Y193" i="1" a="1"/>
  <c r="Y193" i="1" s="1"/>
  <c r="AH193" i="1" s="1"/>
  <c r="AS193" i="1" s="1"/>
  <c r="Y204" i="1" a="1"/>
  <c r="Y204" i="1" s="1"/>
  <c r="AH204" i="1" s="1"/>
  <c r="AS204" i="1" s="1"/>
  <c r="Y210" i="1" a="1"/>
  <c r="Y210" i="1" s="1"/>
  <c r="AH210" i="1" s="1"/>
  <c r="AS210" i="1" s="1"/>
  <c r="Y255" i="1" a="1"/>
  <c r="Y255" i="1" s="1"/>
  <c r="AH255" i="1" s="1"/>
  <c r="AS255" i="1" s="1"/>
  <c r="Y258" i="1" a="1"/>
  <c r="Y258" i="1" s="1"/>
  <c r="AH258" i="1" s="1"/>
  <c r="AS258" i="1" s="1"/>
  <c r="Y260" i="1" a="1"/>
  <c r="Y260" i="1" s="1"/>
  <c r="AH260" i="1" s="1"/>
  <c r="AS260" i="1" s="1"/>
  <c r="Y261" i="1" a="1"/>
  <c r="Y261" i="1" s="1"/>
  <c r="AH261" i="1" s="1"/>
  <c r="AS261" i="1" s="1"/>
  <c r="Y264" i="1" a="1"/>
  <c r="Y264" i="1" s="1"/>
  <c r="AH264" i="1" s="1"/>
  <c r="AS264" i="1" s="1"/>
  <c r="Y267" i="1" a="1"/>
  <c r="Y267" i="1" s="1"/>
  <c r="AH267" i="1" s="1"/>
  <c r="AS267" i="1" s="1"/>
  <c r="Y270" i="1" a="1"/>
  <c r="Y270" i="1" s="1"/>
  <c r="AH270" i="1" s="1"/>
  <c r="AS270" i="1" s="1"/>
  <c r="Y272" i="1" a="1"/>
  <c r="Y272" i="1" s="1"/>
  <c r="AH272" i="1" s="1"/>
  <c r="AS272" i="1" s="1"/>
  <c r="Y273" i="1" a="1"/>
  <c r="Y273" i="1" s="1"/>
  <c r="AH273" i="1" s="1"/>
  <c r="AS273" i="1" s="1"/>
  <c r="Y279" i="1" a="1"/>
  <c r="Y279" i="1" s="1"/>
  <c r="AH279" i="1" s="1"/>
  <c r="AS279" i="1" s="1"/>
  <c r="Y281" i="1" a="1"/>
  <c r="Y281" i="1" s="1"/>
  <c r="AH281" i="1" s="1"/>
  <c r="AS281" i="1" s="1"/>
  <c r="Y292" i="1" a="1"/>
  <c r="Y292" i="1" s="1"/>
  <c r="AH292" i="1" s="1"/>
  <c r="AS292" i="1" s="1"/>
  <c r="Y302" i="1" a="1"/>
  <c r="Y302" i="1" s="1"/>
  <c r="AH302" i="1" s="1"/>
  <c r="AS302" i="1" s="1"/>
  <c r="Y305" i="1" a="1"/>
  <c r="Y305" i="1" s="1"/>
  <c r="AH305" i="1" s="1"/>
  <c r="AS305" i="1" s="1"/>
  <c r="Y308" i="1" a="1"/>
  <c r="Y308" i="1" s="1"/>
  <c r="AH308" i="1" s="1"/>
  <c r="AS308" i="1" s="1"/>
  <c r="Y313" i="1" a="1"/>
  <c r="Y313" i="1" s="1"/>
  <c r="AH313" i="1" s="1"/>
  <c r="AS313" i="1" s="1"/>
  <c r="Y314" i="1" a="1"/>
  <c r="Y314" i="1" s="1"/>
  <c r="AH314" i="1" s="1"/>
  <c r="AS314" i="1" s="1"/>
  <c r="Y330" i="1" a="1"/>
  <c r="Y330" i="1" s="1"/>
  <c r="AH330" i="1" s="1"/>
  <c r="AS330" i="1" s="1"/>
  <c r="Y333" i="1" a="1"/>
  <c r="Y333" i="1" s="1"/>
  <c r="AH333" i="1" s="1"/>
  <c r="AS333" i="1" s="1"/>
  <c r="Y334" i="1" a="1"/>
  <c r="Y334" i="1" s="1"/>
  <c r="AH334" i="1" s="1"/>
  <c r="AS334" i="1" s="1"/>
  <c r="Y342" i="1" a="1"/>
  <c r="Y342" i="1" s="1"/>
  <c r="AH342" i="1" s="1"/>
  <c r="AS342" i="1" s="1"/>
  <c r="Y351" i="1" a="1"/>
  <c r="Y351" i="1" s="1"/>
  <c r="AH351" i="1" s="1"/>
  <c r="AS351" i="1" s="1"/>
  <c r="Y356" i="1" a="1"/>
  <c r="Y356" i="1" s="1"/>
  <c r="AH356" i="1" s="1"/>
  <c r="AS356" i="1" s="1"/>
  <c r="Y363" i="1" a="1"/>
  <c r="Y363" i="1" s="1"/>
  <c r="AH363" i="1" s="1"/>
  <c r="AS363" i="1" s="1"/>
  <c r="Y366" i="1" a="1"/>
  <c r="Y366" i="1" s="1"/>
  <c r="AH366" i="1" s="1"/>
  <c r="AS366" i="1" s="1"/>
  <c r="Y404" i="1" a="1"/>
  <c r="Y404" i="1" s="1"/>
  <c r="AH404" i="1" s="1"/>
  <c r="AS404" i="1" s="1"/>
  <c r="Y405" i="1" a="1"/>
  <c r="Y405" i="1" s="1"/>
  <c r="AH405" i="1" s="1"/>
  <c r="AS405" i="1" s="1"/>
  <c r="Y412" i="1" a="1"/>
  <c r="Y412" i="1" s="1"/>
  <c r="AH412" i="1" s="1"/>
  <c r="AS412" i="1" s="1"/>
  <c r="Y423" i="1" a="1"/>
  <c r="Y423" i="1" s="1"/>
  <c r="AH423" i="1" s="1"/>
  <c r="AS423" i="1" s="1"/>
  <c r="Y439" i="1" a="1"/>
  <c r="Y439" i="1" s="1"/>
  <c r="AH439" i="1" s="1"/>
  <c r="AS439" i="1" s="1"/>
  <c r="Y440" i="1" a="1"/>
  <c r="Y440" i="1" s="1"/>
  <c r="AH440" i="1" s="1"/>
  <c r="AS440" i="1" s="1"/>
  <c r="Y441" i="1" a="1"/>
  <c r="Y441" i="1" s="1"/>
  <c r="AH441" i="1" s="1"/>
  <c r="Y16" i="1" a="1"/>
  <c r="Y16" i="1" s="1"/>
  <c r="Y17" i="1" a="1"/>
  <c r="Y17" i="1" s="1"/>
  <c r="Y18" i="1" a="1"/>
  <c r="Y18" i="1" s="1"/>
  <c r="Y19" i="1" a="1"/>
  <c r="Y19" i="1" s="1"/>
  <c r="Y20" i="1" a="1"/>
  <c r="Y20" i="1" s="1"/>
  <c r="Y21" i="1" a="1"/>
  <c r="Y21" i="1" s="1"/>
  <c r="Y22" i="1" a="1"/>
  <c r="Y22" i="1"/>
  <c r="Y23" i="1" a="1"/>
  <c r="Y23" i="1"/>
  <c r="Y24" i="1" a="1"/>
  <c r="Y24" i="1" s="1"/>
  <c r="Y25" i="1" a="1"/>
  <c r="Y25" i="1" s="1"/>
  <c r="Y4" i="1" a="1"/>
  <c r="Y4" i="1" s="1"/>
  <c r="Y5" i="1" a="1"/>
  <c r="Y5" i="1" s="1"/>
  <c r="Y6" i="1" a="1"/>
  <c r="Y6" i="1" s="1"/>
  <c r="Y9" i="1" a="1"/>
  <c r="Y9" i="1" s="1"/>
  <c r="Y10" i="1" a="1"/>
  <c r="Y10" i="1" s="1"/>
  <c r="Y11" i="1" a="1"/>
  <c r="Y11" i="1" s="1"/>
  <c r="Y12" i="1" a="1"/>
  <c r="Y12" i="1" s="1"/>
  <c r="Y13" i="1" a="1"/>
  <c r="Y13" i="1" s="1"/>
  <c r="Y14" i="1" a="1"/>
  <c r="Y14" i="1" s="1"/>
  <c r="Y15" i="1" a="1"/>
  <c r="Y15" i="1" s="1"/>
  <c r="AZ5" i="1"/>
  <c r="BA5" i="1"/>
  <c r="BB5" i="1"/>
  <c r="BC5" i="1"/>
  <c r="BD5" i="1"/>
  <c r="BE5" i="1"/>
  <c r="BF5" i="1"/>
  <c r="BG5" i="1"/>
  <c r="BI5" i="1"/>
  <c r="BJ5" i="1"/>
  <c r="BK5" i="1"/>
  <c r="BL5" i="1"/>
  <c r="BM5" i="1"/>
  <c r="BN5" i="1" s="1"/>
  <c r="BO5" i="1" s="1"/>
  <c r="BP5" i="1" s="1"/>
  <c r="AZ6" i="1"/>
  <c r="BB6" i="1"/>
  <c r="BC6" i="1"/>
  <c r="BC7" i="1" s="1"/>
  <c r="BC8" i="1" s="1"/>
  <c r="BC9" i="1" s="1"/>
  <c r="BC10" i="1" s="1"/>
  <c r="BC11" i="1" s="1"/>
  <c r="BD6" i="1"/>
  <c r="BD7" i="1" s="1"/>
  <c r="BD8" i="1" s="1"/>
  <c r="BE6" i="1"/>
  <c r="BE7" i="1" s="1"/>
  <c r="BE8" i="1" s="1"/>
  <c r="BF6" i="1"/>
  <c r="BF7" i="1" s="1"/>
  <c r="BG6" i="1"/>
  <c r="BG7" i="1" s="1"/>
  <c r="BI6" i="1"/>
  <c r="BJ6" i="1"/>
  <c r="BK6" i="1"/>
  <c r="BL6" i="1"/>
  <c r="BM6" i="1"/>
  <c r="BN6" i="1"/>
  <c r="BO6" i="1" s="1"/>
  <c r="BP6" i="1" s="1"/>
  <c r="AZ7" i="1"/>
  <c r="AZ8" i="1" s="1"/>
  <c r="BB7" i="1"/>
  <c r="BI7" i="1"/>
  <c r="BJ7" i="1"/>
  <c r="BK7" i="1"/>
  <c r="BL7" i="1"/>
  <c r="BM7" i="1"/>
  <c r="BN7" i="1"/>
  <c r="BO7" i="1" s="1"/>
  <c r="BP7" i="1"/>
  <c r="BB8" i="1"/>
  <c r="BF8" i="1"/>
  <c r="BG8" i="1"/>
  <c r="BI8" i="1"/>
  <c r="BJ8" i="1"/>
  <c r="BK8" i="1"/>
  <c r="BL8" i="1"/>
  <c r="BM8" i="1"/>
  <c r="BN8" i="1"/>
  <c r="BO8" i="1" s="1"/>
  <c r="BP8" i="1" s="1"/>
  <c r="AZ9" i="1"/>
  <c r="BB9" i="1"/>
  <c r="BD9" i="1"/>
  <c r="BE9" i="1"/>
  <c r="BF9" i="1"/>
  <c r="BG9" i="1"/>
  <c r="BI9" i="1"/>
  <c r="BJ9" i="1"/>
  <c r="BK9" i="1"/>
  <c r="BL9" i="1"/>
  <c r="BM9" i="1"/>
  <c r="BN9" i="1"/>
  <c r="BO9" i="1"/>
  <c r="BP9" i="1"/>
  <c r="AZ10" i="1"/>
  <c r="AZ11" i="1" s="1"/>
  <c r="AZ12" i="1" s="1"/>
  <c r="AZ13" i="1" s="1"/>
  <c r="AZ14" i="1" s="1"/>
  <c r="AZ15" i="1" s="1"/>
  <c r="AZ16" i="1" s="1"/>
  <c r="AZ17" i="1" s="1"/>
  <c r="BB10" i="1"/>
  <c r="BD10" i="1"/>
  <c r="BE10" i="1"/>
  <c r="BF10" i="1"/>
  <c r="BG10" i="1"/>
  <c r="BI10" i="1"/>
  <c r="BJ10" i="1"/>
  <c r="BK10" i="1"/>
  <c r="BL10" i="1"/>
  <c r="BM10" i="1"/>
  <c r="BN10" i="1"/>
  <c r="BO10" i="1"/>
  <c r="BP10" i="1" s="1"/>
  <c r="BB11" i="1"/>
  <c r="BB12" i="1" s="1"/>
  <c r="BB13" i="1" s="1"/>
  <c r="BB14" i="1" s="1"/>
  <c r="BB15" i="1" s="1"/>
  <c r="BB16" i="1" s="1"/>
  <c r="BB17" i="1" s="1"/>
  <c r="BB18" i="1" s="1"/>
  <c r="BB19" i="1" s="1"/>
  <c r="BB20" i="1" s="1"/>
  <c r="BB21" i="1" s="1"/>
  <c r="BB22" i="1" s="1"/>
  <c r="BB23" i="1" s="1"/>
  <c r="BD11" i="1"/>
  <c r="BE11" i="1"/>
  <c r="BF11" i="1"/>
  <c r="BG11" i="1"/>
  <c r="BI11" i="1"/>
  <c r="BJ11" i="1"/>
  <c r="BK11" i="1"/>
  <c r="BL11" i="1"/>
  <c r="BM11" i="1"/>
  <c r="BN11" i="1"/>
  <c r="BO11" i="1"/>
  <c r="BP11" i="1" s="1"/>
  <c r="BC12" i="1"/>
  <c r="BC13" i="1" s="1"/>
  <c r="BD12" i="1"/>
  <c r="BE12" i="1"/>
  <c r="BF12" i="1"/>
  <c r="BG12" i="1"/>
  <c r="BG13" i="1" s="1"/>
  <c r="BI12" i="1"/>
  <c r="BJ12" i="1"/>
  <c r="BK12" i="1"/>
  <c r="BL12" i="1"/>
  <c r="BM12" i="1"/>
  <c r="BN12" i="1"/>
  <c r="BO12" i="1" s="1"/>
  <c r="BP12" i="1" s="1"/>
  <c r="BD13" i="1"/>
  <c r="BE13" i="1"/>
  <c r="BF13" i="1"/>
  <c r="BI13" i="1"/>
  <c r="BJ13" i="1"/>
  <c r="BK13" i="1"/>
  <c r="BL13" i="1"/>
  <c r="BM13" i="1"/>
  <c r="BN13" i="1" s="1"/>
  <c r="BO13" i="1"/>
  <c r="BC14" i="1"/>
  <c r="BC15" i="1" s="1"/>
  <c r="BC16" i="1" s="1"/>
  <c r="BD14" i="1"/>
  <c r="BE14" i="1"/>
  <c r="BF14" i="1"/>
  <c r="BG14" i="1"/>
  <c r="BI14" i="1"/>
  <c r="BJ14" i="1"/>
  <c r="BK14" i="1"/>
  <c r="BL14" i="1"/>
  <c r="BM14" i="1"/>
  <c r="BN14" i="1" s="1"/>
  <c r="BO14" i="1"/>
  <c r="BD15" i="1"/>
  <c r="BE15" i="1"/>
  <c r="BE16" i="1" s="1"/>
  <c r="BF15" i="1"/>
  <c r="BF16" i="1" s="1"/>
  <c r="BG15" i="1"/>
  <c r="BI15" i="1"/>
  <c r="BJ15" i="1"/>
  <c r="BK15" i="1"/>
  <c r="BL15" i="1"/>
  <c r="BM15" i="1"/>
  <c r="BN15" i="1"/>
  <c r="BO15" i="1" s="1"/>
  <c r="BP15" i="1" s="1"/>
  <c r="BD16" i="1"/>
  <c r="BG16" i="1"/>
  <c r="BI16" i="1"/>
  <c r="BJ16" i="1"/>
  <c r="BK16" i="1"/>
  <c r="BL16" i="1"/>
  <c r="BM16" i="1"/>
  <c r="BN16" i="1" s="1"/>
  <c r="BO16" i="1"/>
  <c r="BP16" i="1" s="1"/>
  <c r="BC17" i="1"/>
  <c r="BC18" i="1" s="1"/>
  <c r="BD17" i="1"/>
  <c r="BE17" i="1"/>
  <c r="BE18" i="1" s="1"/>
  <c r="BF17" i="1"/>
  <c r="BF18" i="1" s="1"/>
  <c r="BG17" i="1"/>
  <c r="BI17" i="1"/>
  <c r="BJ17" i="1"/>
  <c r="BK17" i="1"/>
  <c r="BL17" i="1"/>
  <c r="BM17" i="1"/>
  <c r="BN17" i="1" s="1"/>
  <c r="BO17" i="1"/>
  <c r="BP17" i="1"/>
  <c r="AZ18" i="1"/>
  <c r="AZ19" i="1" s="1"/>
  <c r="AZ20" i="1" s="1"/>
  <c r="AZ21" i="1" s="1"/>
  <c r="AZ22" i="1" s="1"/>
  <c r="AZ23" i="1" s="1"/>
  <c r="AZ24" i="1" s="1"/>
  <c r="AZ25" i="1" s="1"/>
  <c r="AZ26" i="1" s="1"/>
  <c r="AZ27" i="1" s="1"/>
  <c r="AZ28" i="1" s="1"/>
  <c r="AZ29" i="1" s="1"/>
  <c r="AZ30" i="1" s="1"/>
  <c r="AZ31" i="1" s="1"/>
  <c r="AZ32" i="1" s="1"/>
  <c r="AZ33" i="1" s="1"/>
  <c r="AZ34" i="1" s="1"/>
  <c r="AZ35" i="1" s="1"/>
  <c r="AZ36" i="1" s="1"/>
  <c r="BD18" i="1"/>
  <c r="BG18" i="1"/>
  <c r="BI18" i="1"/>
  <c r="BJ18" i="1"/>
  <c r="BK18" i="1"/>
  <c r="BL18" i="1"/>
  <c r="BM18" i="1"/>
  <c r="BN18" i="1"/>
  <c r="BO18" i="1"/>
  <c r="BP18" i="1" s="1"/>
  <c r="BD19" i="1"/>
  <c r="BD20" i="1" s="1"/>
  <c r="BE19" i="1"/>
  <c r="BE20" i="1" s="1"/>
  <c r="BF19" i="1"/>
  <c r="BG19" i="1"/>
  <c r="BG20" i="1" s="1"/>
  <c r="BI19" i="1"/>
  <c r="BJ19" i="1"/>
  <c r="BK19" i="1"/>
  <c r="BL19" i="1"/>
  <c r="BM19" i="1"/>
  <c r="BN19" i="1" s="1"/>
  <c r="BO19" i="1"/>
  <c r="BP19" i="1" s="1"/>
  <c r="BF20" i="1"/>
  <c r="BI20" i="1"/>
  <c r="BJ20" i="1"/>
  <c r="BK20" i="1"/>
  <c r="BL20" i="1"/>
  <c r="BM20" i="1"/>
  <c r="BN20" i="1"/>
  <c r="BO20" i="1"/>
  <c r="BP20" i="1"/>
  <c r="BD21" i="1"/>
  <c r="BE21" i="1"/>
  <c r="BF21" i="1"/>
  <c r="BG21" i="1"/>
  <c r="BI21" i="1"/>
  <c r="BJ21" i="1"/>
  <c r="BK21" i="1"/>
  <c r="BL21" i="1"/>
  <c r="BM21" i="1"/>
  <c r="BN21" i="1" s="1"/>
  <c r="BO21" i="1" s="1"/>
  <c r="BP21" i="1" s="1"/>
  <c r="BD22" i="1"/>
  <c r="BE22" i="1"/>
  <c r="BF22" i="1"/>
  <c r="BG22" i="1"/>
  <c r="BI22" i="1"/>
  <c r="BJ22" i="1"/>
  <c r="BK22" i="1"/>
  <c r="BL22" i="1"/>
  <c r="BM22" i="1"/>
  <c r="BN22" i="1" s="1"/>
  <c r="BO22" i="1" s="1"/>
  <c r="BP22" i="1" s="1"/>
  <c r="BD23" i="1"/>
  <c r="BE23" i="1"/>
  <c r="BF23" i="1"/>
  <c r="BG23" i="1"/>
  <c r="BI23" i="1"/>
  <c r="BJ23" i="1"/>
  <c r="BK23" i="1"/>
  <c r="BL23" i="1"/>
  <c r="BM23" i="1"/>
  <c r="BN23" i="1"/>
  <c r="BO23" i="1"/>
  <c r="BP23" i="1" s="1"/>
  <c r="BD24" i="1"/>
  <c r="BE24" i="1"/>
  <c r="BF24" i="1"/>
  <c r="BG24" i="1"/>
  <c r="BG25" i="1" s="1"/>
  <c r="BI24" i="1"/>
  <c r="BJ24" i="1"/>
  <c r="BK24" i="1"/>
  <c r="BL24" i="1"/>
  <c r="BM24" i="1"/>
  <c r="BN24" i="1" s="1"/>
  <c r="BO24" i="1"/>
  <c r="BD25" i="1"/>
  <c r="BE25" i="1"/>
  <c r="BF25" i="1"/>
  <c r="BI25" i="1"/>
  <c r="BJ25" i="1"/>
  <c r="BK25" i="1"/>
  <c r="BL25" i="1"/>
  <c r="BM25" i="1"/>
  <c r="BN25" i="1" s="1"/>
  <c r="BO25" i="1"/>
  <c r="BP25" i="1" s="1"/>
  <c r="BD26" i="1"/>
  <c r="BE26" i="1"/>
  <c r="BF26" i="1"/>
  <c r="BF27" i="1" s="1"/>
  <c r="BG26" i="1"/>
  <c r="BI26" i="1"/>
  <c r="BJ26" i="1"/>
  <c r="BK26" i="1"/>
  <c r="BL26" i="1"/>
  <c r="BM26" i="1"/>
  <c r="BN26" i="1"/>
  <c r="BO26" i="1"/>
  <c r="BP26" i="1" s="1"/>
  <c r="BD27" i="1"/>
  <c r="BE27" i="1"/>
  <c r="BG27" i="1"/>
  <c r="BI27" i="1"/>
  <c r="BJ27" i="1"/>
  <c r="BK27" i="1"/>
  <c r="BL27" i="1"/>
  <c r="BM27" i="1"/>
  <c r="BN27" i="1" s="1"/>
  <c r="BO27" i="1"/>
  <c r="BP27" i="1" s="1"/>
  <c r="BD28" i="1"/>
  <c r="BE28" i="1"/>
  <c r="BF28" i="1"/>
  <c r="BG28" i="1"/>
  <c r="BG29" i="1" s="1"/>
  <c r="BJ28" i="1"/>
  <c r="BL28" i="1"/>
  <c r="BM28" i="1"/>
  <c r="BN28" i="1"/>
  <c r="BO28" i="1" s="1"/>
  <c r="BD29" i="1"/>
  <c r="BD30" i="1" s="1"/>
  <c r="BE29" i="1"/>
  <c r="BF29" i="1"/>
  <c r="BF30" i="1" s="1"/>
  <c r="BJ29" i="1"/>
  <c r="BL29" i="1"/>
  <c r="BM29" i="1"/>
  <c r="BN29" i="1" s="1"/>
  <c r="BO29" i="1" s="1"/>
  <c r="BE30" i="1"/>
  <c r="BG30" i="1"/>
  <c r="BJ30" i="1"/>
  <c r="BL30" i="1"/>
  <c r="BM30" i="1"/>
  <c r="BN30" i="1" s="1"/>
  <c r="BO30" i="1" s="1"/>
  <c r="BD31" i="1"/>
  <c r="BE31" i="1"/>
  <c r="BE32" i="1" s="1"/>
  <c r="BF31" i="1"/>
  <c r="BF32" i="1" s="1"/>
  <c r="BF33" i="1" s="1"/>
  <c r="BG31" i="1"/>
  <c r="BI31" i="1"/>
  <c r="BL31" i="1"/>
  <c r="BM31" i="1"/>
  <c r="BT31" i="1"/>
  <c r="BS31" i="1" s="1"/>
  <c r="BD32" i="1"/>
  <c r="BG32" i="1"/>
  <c r="BG33" i="1" s="1"/>
  <c r="BI32" i="1"/>
  <c r="BL32" i="1"/>
  <c r="BM32" i="1"/>
  <c r="BD33" i="1"/>
  <c r="BE33" i="1"/>
  <c r="BI33" i="1"/>
  <c r="BL33" i="1"/>
  <c r="BM33" i="1"/>
  <c r="BD34" i="1"/>
  <c r="BE34" i="1"/>
  <c r="BF34" i="1"/>
  <c r="BG34" i="1"/>
  <c r="BI34" i="1"/>
  <c r="BL34" i="1"/>
  <c r="BM34" i="1"/>
  <c r="BD35" i="1"/>
  <c r="BE35" i="1"/>
  <c r="BF35" i="1"/>
  <c r="BG35" i="1"/>
  <c r="BI35" i="1"/>
  <c r="BL35" i="1"/>
  <c r="BM35" i="1"/>
  <c r="BD36" i="1"/>
  <c r="BE36" i="1"/>
  <c r="BF36" i="1"/>
  <c r="BG36" i="1"/>
  <c r="BG37" i="1" s="1"/>
  <c r="BI36" i="1"/>
  <c r="BL36" i="1"/>
  <c r="BM36" i="1"/>
  <c r="AZ37" i="1"/>
  <c r="AZ38" i="1" s="1"/>
  <c r="AZ39" i="1" s="1"/>
  <c r="AZ40" i="1" s="1"/>
  <c r="AZ41" i="1" s="1"/>
  <c r="AZ42" i="1" s="1"/>
  <c r="AZ43" i="1" s="1"/>
  <c r="AZ44" i="1" s="1"/>
  <c r="AZ45" i="1" s="1"/>
  <c r="AZ46" i="1" s="1"/>
  <c r="AZ47" i="1" s="1"/>
  <c r="AZ48" i="1" s="1"/>
  <c r="AZ49" i="1" s="1"/>
  <c r="AZ50" i="1" s="1"/>
  <c r="AZ51" i="1" s="1"/>
  <c r="AZ52" i="1" s="1"/>
  <c r="AZ53" i="1" s="1"/>
  <c r="AZ54" i="1" s="1"/>
  <c r="AZ55" i="1" s="1"/>
  <c r="AZ56" i="1" s="1"/>
  <c r="AZ57" i="1" s="1"/>
  <c r="AZ58" i="1" s="1"/>
  <c r="AZ59" i="1" s="1"/>
  <c r="AZ60" i="1" s="1"/>
  <c r="AZ61" i="1" s="1"/>
  <c r="AZ62" i="1" s="1"/>
  <c r="AZ63" i="1" s="1"/>
  <c r="AZ64" i="1" s="1"/>
  <c r="AZ65" i="1" s="1"/>
  <c r="AZ66" i="1" s="1"/>
  <c r="AZ67" i="1" s="1"/>
  <c r="AZ68" i="1" s="1"/>
  <c r="AZ69" i="1" s="1"/>
  <c r="AZ70" i="1" s="1"/>
  <c r="AZ71" i="1" s="1"/>
  <c r="AZ72" i="1" s="1"/>
  <c r="AZ73" i="1" s="1"/>
  <c r="AZ74" i="1" s="1"/>
  <c r="AZ75" i="1" s="1"/>
  <c r="AZ76" i="1" s="1"/>
  <c r="AZ77" i="1" s="1"/>
  <c r="AZ78" i="1" s="1"/>
  <c r="AZ79" i="1" s="1"/>
  <c r="AZ80" i="1" s="1"/>
  <c r="AZ81" i="1" s="1"/>
  <c r="AZ82" i="1" s="1"/>
  <c r="AZ83" i="1" s="1"/>
  <c r="AZ84" i="1" s="1"/>
  <c r="AZ85" i="1" s="1"/>
  <c r="AZ86" i="1" s="1"/>
  <c r="AZ87" i="1" s="1"/>
  <c r="AZ88" i="1" s="1"/>
  <c r="AZ89" i="1" s="1"/>
  <c r="AZ90" i="1" s="1"/>
  <c r="AZ91" i="1" s="1"/>
  <c r="AZ92" i="1" s="1"/>
  <c r="AZ93" i="1" s="1"/>
  <c r="AZ94" i="1" s="1"/>
  <c r="AZ95" i="1" s="1"/>
  <c r="AZ96" i="1" s="1"/>
  <c r="AZ97" i="1" s="1"/>
  <c r="AZ98" i="1" s="1"/>
  <c r="BD37" i="1"/>
  <c r="BE37" i="1"/>
  <c r="BF37" i="1"/>
  <c r="BI37" i="1"/>
  <c r="BL37" i="1"/>
  <c r="BM37" i="1"/>
  <c r="BT37" i="1"/>
  <c r="BS37" i="1" s="1"/>
  <c r="BD38" i="1"/>
  <c r="BE38" i="1"/>
  <c r="BE39" i="1" s="1"/>
  <c r="BE40" i="1" s="1"/>
  <c r="BF38" i="1"/>
  <c r="BG38" i="1"/>
  <c r="BG39" i="1" s="1"/>
  <c r="BI38" i="1"/>
  <c r="BL38" i="1"/>
  <c r="BM38" i="1"/>
  <c r="BD39" i="1"/>
  <c r="BF39" i="1"/>
  <c r="BI39" i="1"/>
  <c r="BL39" i="1"/>
  <c r="BM39" i="1"/>
  <c r="BT39" i="1"/>
  <c r="BS39" i="1" s="1"/>
  <c r="BD40" i="1"/>
  <c r="BF40" i="1"/>
  <c r="BG40" i="1"/>
  <c r="BI40" i="1"/>
  <c r="BL40" i="1"/>
  <c r="BM40" i="1"/>
  <c r="BD41" i="1"/>
  <c r="BE41" i="1"/>
  <c r="BE42" i="1" s="1"/>
  <c r="BF41" i="1"/>
  <c r="BG41" i="1"/>
  <c r="BL41" i="1"/>
  <c r="BM41" i="1"/>
  <c r="BT41" i="1"/>
  <c r="BS41" i="1" s="1"/>
  <c r="BD42" i="1"/>
  <c r="BF42" i="1"/>
  <c r="BG42" i="1"/>
  <c r="BL42" i="1"/>
  <c r="BM42" i="1"/>
  <c r="BD43" i="1"/>
  <c r="BE43" i="1"/>
  <c r="BF43" i="1"/>
  <c r="BG43" i="1"/>
  <c r="BL43" i="1"/>
  <c r="BM43" i="1"/>
  <c r="BD44" i="1"/>
  <c r="BE44" i="1"/>
  <c r="BF44" i="1"/>
  <c r="BG44" i="1"/>
  <c r="BL44" i="1"/>
  <c r="BM44" i="1"/>
  <c r="BD45" i="1"/>
  <c r="BE45" i="1"/>
  <c r="BF45" i="1"/>
  <c r="BF46" i="1" s="1"/>
  <c r="BF47" i="1" s="1"/>
  <c r="BF48" i="1" s="1"/>
  <c r="BG45" i="1"/>
  <c r="BL45" i="1"/>
  <c r="BM45" i="1"/>
  <c r="BD46" i="1"/>
  <c r="BE46" i="1"/>
  <c r="BE47" i="1" s="1"/>
  <c r="BE48" i="1" s="1"/>
  <c r="BG46" i="1"/>
  <c r="BG47" i="1" s="1"/>
  <c r="BL46" i="1"/>
  <c r="BM46" i="1"/>
  <c r="BD47" i="1"/>
  <c r="BL47" i="1"/>
  <c r="BM47" i="1"/>
  <c r="BD48" i="1"/>
  <c r="BG48" i="1"/>
  <c r="BL48" i="1"/>
  <c r="BM48" i="1"/>
  <c r="BD49" i="1"/>
  <c r="BE49" i="1"/>
  <c r="BE50" i="1" s="1"/>
  <c r="BF49" i="1"/>
  <c r="BG49" i="1"/>
  <c r="BI49" i="1"/>
  <c r="BL49" i="1"/>
  <c r="BM49" i="1"/>
  <c r="BD50" i="1"/>
  <c r="BD51" i="1" s="1"/>
  <c r="BF50" i="1"/>
  <c r="BG50" i="1"/>
  <c r="BI50" i="1"/>
  <c r="BL50" i="1"/>
  <c r="BM50" i="1"/>
  <c r="BE51" i="1"/>
  <c r="BF51" i="1"/>
  <c r="BG51" i="1"/>
  <c r="BI51" i="1"/>
  <c r="BL51" i="1"/>
  <c r="BM51" i="1"/>
  <c r="BD52" i="1"/>
  <c r="BE52" i="1"/>
  <c r="BF52" i="1"/>
  <c r="BF53" i="1" s="1"/>
  <c r="BF54" i="1" s="1"/>
  <c r="BG52" i="1"/>
  <c r="BG53" i="1" s="1"/>
  <c r="BI52" i="1"/>
  <c r="BL52" i="1"/>
  <c r="BM52" i="1"/>
  <c r="BD53" i="1"/>
  <c r="BE53" i="1"/>
  <c r="BI53" i="1"/>
  <c r="BL53" i="1"/>
  <c r="BM53" i="1"/>
  <c r="BD54" i="1"/>
  <c r="BE54" i="1"/>
  <c r="BG54" i="1"/>
  <c r="BI54" i="1"/>
  <c r="BL54" i="1"/>
  <c r="BM54" i="1"/>
  <c r="BD55" i="1"/>
  <c r="BD56" i="1" s="1"/>
  <c r="BE55" i="1"/>
  <c r="BE56" i="1" s="1"/>
  <c r="BF55" i="1"/>
  <c r="BF56" i="1" s="1"/>
  <c r="BG55" i="1"/>
  <c r="BI55" i="1"/>
  <c r="BL55" i="1"/>
  <c r="BM55" i="1"/>
  <c r="BG56" i="1"/>
  <c r="BI56" i="1"/>
  <c r="BL56" i="1"/>
  <c r="BM56" i="1"/>
  <c r="BD57" i="1"/>
  <c r="BD58" i="1" s="1"/>
  <c r="BE57" i="1"/>
  <c r="BE58" i="1" s="1"/>
  <c r="BF57" i="1"/>
  <c r="BG57" i="1"/>
  <c r="BI57" i="1"/>
  <c r="BL57" i="1"/>
  <c r="BM57" i="1"/>
  <c r="BF58" i="1"/>
  <c r="BG58" i="1"/>
  <c r="BI58" i="1"/>
  <c r="BL58" i="1"/>
  <c r="BM58" i="1"/>
  <c r="BD59" i="1"/>
  <c r="BE59" i="1"/>
  <c r="BF59" i="1"/>
  <c r="BG59" i="1"/>
  <c r="BL59" i="1"/>
  <c r="BM59" i="1"/>
  <c r="BT59" i="1"/>
  <c r="BS59" i="1" s="1"/>
  <c r="BD60" i="1"/>
  <c r="BE60" i="1"/>
  <c r="BF60" i="1"/>
  <c r="BG60" i="1"/>
  <c r="BG61" i="1" s="1"/>
  <c r="BL60" i="1"/>
  <c r="BM60" i="1"/>
  <c r="BD61" i="1"/>
  <c r="BE61" i="1"/>
  <c r="BF61" i="1"/>
  <c r="BL61" i="1"/>
  <c r="BM61" i="1"/>
  <c r="BD62" i="1"/>
  <c r="BE62" i="1"/>
  <c r="BF62" i="1"/>
  <c r="BF63" i="1" s="1"/>
  <c r="BG62" i="1"/>
  <c r="BI62" i="1"/>
  <c r="BL62" i="1"/>
  <c r="BM62" i="1"/>
  <c r="BD63" i="1"/>
  <c r="BE63" i="1"/>
  <c r="BG63" i="1"/>
  <c r="BI63" i="1"/>
  <c r="BL63" i="1"/>
  <c r="BM63" i="1"/>
  <c r="BD64" i="1"/>
  <c r="BE64" i="1"/>
  <c r="BF64" i="1"/>
  <c r="BF65" i="1" s="1"/>
  <c r="BG64" i="1"/>
  <c r="BG65" i="1" s="1"/>
  <c r="BL64" i="1"/>
  <c r="BM64" i="1"/>
  <c r="BD65" i="1"/>
  <c r="BE65" i="1"/>
  <c r="BL65" i="1"/>
  <c r="BM65" i="1"/>
  <c r="BD66" i="1"/>
  <c r="BE66" i="1"/>
  <c r="BF66" i="1"/>
  <c r="BG66" i="1"/>
  <c r="BI66" i="1"/>
  <c r="BL66" i="1"/>
  <c r="BM66" i="1"/>
  <c r="BD67" i="1"/>
  <c r="BE67" i="1"/>
  <c r="BE68" i="1" s="1"/>
  <c r="BF67" i="1"/>
  <c r="BF68" i="1" s="1"/>
  <c r="BG67" i="1"/>
  <c r="BG68" i="1" s="1"/>
  <c r="BG69" i="1" s="1"/>
  <c r="BI67" i="1"/>
  <c r="BL67" i="1"/>
  <c r="BM67" i="1"/>
  <c r="BD68" i="1"/>
  <c r="BI68" i="1"/>
  <c r="BL68" i="1"/>
  <c r="BM68" i="1"/>
  <c r="BD69" i="1"/>
  <c r="BE69" i="1"/>
  <c r="BF69" i="1"/>
  <c r="BI69" i="1"/>
  <c r="BL69" i="1"/>
  <c r="BM69" i="1"/>
  <c r="BD70" i="1"/>
  <c r="BE70" i="1"/>
  <c r="BF70" i="1"/>
  <c r="BG70" i="1"/>
  <c r="BI70" i="1"/>
  <c r="BL70" i="1"/>
  <c r="BM70" i="1"/>
  <c r="BD71" i="1"/>
  <c r="BE71" i="1"/>
  <c r="BE72" i="1" s="1"/>
  <c r="BE73" i="1" s="1"/>
  <c r="BF71" i="1"/>
  <c r="BG71" i="1"/>
  <c r="BG72" i="1" s="1"/>
  <c r="BG73" i="1" s="1"/>
  <c r="BI71" i="1"/>
  <c r="BL71" i="1"/>
  <c r="BM71" i="1"/>
  <c r="BD72" i="1"/>
  <c r="BF72" i="1"/>
  <c r="BF73" i="1" s="1"/>
  <c r="BI72" i="1"/>
  <c r="BL72" i="1"/>
  <c r="BM72" i="1"/>
  <c r="BD73" i="1"/>
  <c r="BI73" i="1"/>
  <c r="BL73" i="1"/>
  <c r="BM73" i="1"/>
  <c r="BD74" i="1"/>
  <c r="BE74" i="1"/>
  <c r="BF74" i="1"/>
  <c r="BG74" i="1"/>
  <c r="BG75" i="1" s="1"/>
  <c r="BL74" i="1"/>
  <c r="BM74" i="1"/>
  <c r="BT74" i="1"/>
  <c r="BS74" i="1" s="1"/>
  <c r="BD75" i="1"/>
  <c r="BE75" i="1"/>
  <c r="BF75" i="1"/>
  <c r="BL75" i="1"/>
  <c r="BM75" i="1"/>
  <c r="BD76" i="1"/>
  <c r="BE76" i="1"/>
  <c r="BF76" i="1"/>
  <c r="BG76" i="1"/>
  <c r="BI76" i="1"/>
  <c r="BL76" i="1"/>
  <c r="BM76" i="1"/>
  <c r="BD77" i="1"/>
  <c r="BE77" i="1"/>
  <c r="BF77" i="1"/>
  <c r="BG77" i="1"/>
  <c r="BI77" i="1"/>
  <c r="BL77" i="1"/>
  <c r="BM77" i="1"/>
  <c r="BD78" i="1"/>
  <c r="BE78" i="1"/>
  <c r="BF78" i="1"/>
  <c r="BG78" i="1"/>
  <c r="BI78" i="1"/>
  <c r="BL78" i="1"/>
  <c r="BM78" i="1"/>
  <c r="BD79" i="1"/>
  <c r="BE79" i="1"/>
  <c r="BF79" i="1"/>
  <c r="BG79" i="1"/>
  <c r="BI79" i="1"/>
  <c r="BL79" i="1"/>
  <c r="BM79" i="1"/>
  <c r="BD80" i="1"/>
  <c r="BE80" i="1"/>
  <c r="BF80" i="1"/>
  <c r="BG80" i="1"/>
  <c r="BI80" i="1"/>
  <c r="BL80" i="1"/>
  <c r="BM80" i="1"/>
  <c r="BD81" i="1"/>
  <c r="BD82" i="1" s="1"/>
  <c r="BE81" i="1"/>
  <c r="BF81" i="1"/>
  <c r="BG81" i="1"/>
  <c r="BI81" i="1"/>
  <c r="BJ81" i="1"/>
  <c r="BK81" i="1" s="1"/>
  <c r="BL81" i="1"/>
  <c r="BM81" i="1"/>
  <c r="BN81" i="1" s="1"/>
  <c r="BO81" i="1" s="1"/>
  <c r="BP81" i="1" s="1"/>
  <c r="BE82" i="1"/>
  <c r="BF82" i="1"/>
  <c r="BG82" i="1"/>
  <c r="BI82" i="1"/>
  <c r="BJ82" i="1"/>
  <c r="BL82" i="1"/>
  <c r="BM82" i="1"/>
  <c r="BN82" i="1"/>
  <c r="BO82" i="1" s="1"/>
  <c r="BP82" i="1" s="1"/>
  <c r="BD83" i="1"/>
  <c r="BE83" i="1"/>
  <c r="BF83" i="1"/>
  <c r="BG83" i="1"/>
  <c r="BI83" i="1"/>
  <c r="BJ83" i="1"/>
  <c r="BK83" i="1"/>
  <c r="BL83" i="1"/>
  <c r="BM83" i="1"/>
  <c r="BN83" i="1"/>
  <c r="BO83" i="1"/>
  <c r="BD84" i="1"/>
  <c r="BD85" i="1" s="1"/>
  <c r="BE84" i="1"/>
  <c r="BF84" i="1"/>
  <c r="BG84" i="1"/>
  <c r="BG85" i="1" s="1"/>
  <c r="BI84" i="1"/>
  <c r="BJ84" i="1"/>
  <c r="BK84" i="1"/>
  <c r="BL84" i="1"/>
  <c r="BM84" i="1"/>
  <c r="BN84" i="1" s="1"/>
  <c r="BO84" i="1"/>
  <c r="BP84" i="1" s="1"/>
  <c r="BE85" i="1"/>
  <c r="BF85" i="1"/>
  <c r="BI85" i="1"/>
  <c r="BJ85" i="1"/>
  <c r="BK85" i="1"/>
  <c r="BL85" i="1"/>
  <c r="BM85" i="1"/>
  <c r="BN85" i="1" s="1"/>
  <c r="BO85" i="1"/>
  <c r="BP85" i="1"/>
  <c r="BD86" i="1"/>
  <c r="BE86" i="1"/>
  <c r="BF86" i="1"/>
  <c r="BG86" i="1"/>
  <c r="BI86" i="1"/>
  <c r="BJ86" i="1"/>
  <c r="BK86" i="1"/>
  <c r="BL86" i="1"/>
  <c r="BM86" i="1"/>
  <c r="BN86" i="1" s="1"/>
  <c r="BO86" i="1" s="1"/>
  <c r="BP86" i="1" s="1"/>
  <c r="BD87" i="1"/>
  <c r="BE87" i="1"/>
  <c r="BF87" i="1"/>
  <c r="BG87" i="1"/>
  <c r="BI87" i="1"/>
  <c r="BJ87" i="1"/>
  <c r="BK87" i="1"/>
  <c r="BL87" i="1"/>
  <c r="BM87" i="1"/>
  <c r="BN87" i="1"/>
  <c r="BO87" i="1" s="1"/>
  <c r="BD88" i="1"/>
  <c r="BD89" i="1" s="1"/>
  <c r="BE88" i="1"/>
  <c r="BF88" i="1"/>
  <c r="BG88" i="1"/>
  <c r="BI88" i="1"/>
  <c r="BJ88" i="1"/>
  <c r="BK88" i="1" s="1"/>
  <c r="BL88" i="1"/>
  <c r="BM88" i="1"/>
  <c r="BN88" i="1"/>
  <c r="BO88" i="1" s="1"/>
  <c r="BP88" i="1" s="1"/>
  <c r="BE89" i="1"/>
  <c r="BF89" i="1"/>
  <c r="BG89" i="1"/>
  <c r="BI89" i="1"/>
  <c r="BJ89" i="1"/>
  <c r="BK89" i="1"/>
  <c r="BL89" i="1"/>
  <c r="BM89" i="1"/>
  <c r="BN89" i="1" s="1"/>
  <c r="BO89" i="1"/>
  <c r="BP89" i="1" s="1"/>
  <c r="BD90" i="1"/>
  <c r="BE90" i="1"/>
  <c r="BF90" i="1"/>
  <c r="BG90" i="1"/>
  <c r="BI90" i="1"/>
  <c r="BJ90" i="1"/>
  <c r="BK90" i="1"/>
  <c r="BL90" i="1"/>
  <c r="BM90" i="1"/>
  <c r="BN90" i="1" s="1"/>
  <c r="BO90" i="1" s="1"/>
  <c r="BT90" i="1"/>
  <c r="BS90" i="1" s="1"/>
  <c r="BD91" i="1"/>
  <c r="BE91" i="1"/>
  <c r="BF91" i="1"/>
  <c r="BF92" i="1" s="1"/>
  <c r="BG91" i="1"/>
  <c r="BG92" i="1" s="1"/>
  <c r="BI91" i="1"/>
  <c r="BJ91" i="1"/>
  <c r="BK91" i="1" s="1"/>
  <c r="BL91" i="1"/>
  <c r="BM91" i="1"/>
  <c r="BN91" i="1"/>
  <c r="BO91" i="1"/>
  <c r="BP91" i="1" s="1"/>
  <c r="BT91" i="1"/>
  <c r="BS91" i="1" s="1"/>
  <c r="BD92" i="1"/>
  <c r="BE92" i="1"/>
  <c r="BI92" i="1"/>
  <c r="BP92" i="1" s="1"/>
  <c r="BJ92" i="1"/>
  <c r="BK92" i="1" s="1"/>
  <c r="BL92" i="1"/>
  <c r="BM92" i="1"/>
  <c r="BN92" i="1" s="1"/>
  <c r="BO92" i="1"/>
  <c r="BD93" i="1"/>
  <c r="BE93" i="1"/>
  <c r="BE94" i="1" s="1"/>
  <c r="BF93" i="1"/>
  <c r="BG93" i="1"/>
  <c r="BI93" i="1"/>
  <c r="BJ93" i="1"/>
  <c r="BK93" i="1" s="1"/>
  <c r="BL93" i="1"/>
  <c r="BM93" i="1"/>
  <c r="BN93" i="1"/>
  <c r="BO93" i="1"/>
  <c r="BP93" i="1" s="1"/>
  <c r="BD94" i="1"/>
  <c r="BF94" i="1"/>
  <c r="BG94" i="1"/>
  <c r="BI94" i="1"/>
  <c r="BJ94" i="1"/>
  <c r="BK94" i="1" s="1"/>
  <c r="BL94" i="1"/>
  <c r="BM94" i="1"/>
  <c r="BN94" i="1"/>
  <c r="BO94" i="1" s="1"/>
  <c r="BP94" i="1" s="1"/>
  <c r="BD95" i="1"/>
  <c r="BE95" i="1"/>
  <c r="BE96" i="1" s="1"/>
  <c r="BF95" i="1"/>
  <c r="BG95" i="1"/>
  <c r="BG96" i="1" s="1"/>
  <c r="BI95" i="1"/>
  <c r="BJ95" i="1"/>
  <c r="BK95" i="1"/>
  <c r="BL95" i="1"/>
  <c r="BM95" i="1"/>
  <c r="BN95" i="1"/>
  <c r="BO95" i="1"/>
  <c r="BP95" i="1" s="1"/>
  <c r="BD96" i="1"/>
  <c r="BF96" i="1"/>
  <c r="BI96" i="1"/>
  <c r="BJ96" i="1"/>
  <c r="BK96" i="1" s="1"/>
  <c r="BL96" i="1"/>
  <c r="BM96" i="1"/>
  <c r="BN96" i="1" s="1"/>
  <c r="BO96" i="1" s="1"/>
  <c r="BP96" i="1" s="1"/>
  <c r="BD97" i="1"/>
  <c r="BE97" i="1"/>
  <c r="BF97" i="1"/>
  <c r="BG97" i="1"/>
  <c r="BI97" i="1"/>
  <c r="BJ97" i="1"/>
  <c r="BK97" i="1"/>
  <c r="BL97" i="1"/>
  <c r="BM97" i="1"/>
  <c r="BN97" i="1"/>
  <c r="BO97" i="1" s="1"/>
  <c r="BT97" i="1"/>
  <c r="BS97" i="1" s="1"/>
  <c r="BD98" i="1"/>
  <c r="BE98" i="1"/>
  <c r="BF98" i="1"/>
  <c r="BG98" i="1"/>
  <c r="BI98" i="1"/>
  <c r="BJ98" i="1"/>
  <c r="BK98" i="1"/>
  <c r="BL98" i="1"/>
  <c r="BM98" i="1"/>
  <c r="BN98" i="1"/>
  <c r="BO98" i="1" s="1"/>
  <c r="BP98" i="1" s="1"/>
  <c r="AZ99" i="1"/>
  <c r="AZ100" i="1" s="1"/>
  <c r="AZ101" i="1" s="1"/>
  <c r="AZ102" i="1" s="1"/>
  <c r="AZ103" i="1" s="1"/>
  <c r="AZ104" i="1" s="1"/>
  <c r="AZ105" i="1" s="1"/>
  <c r="AZ106" i="1" s="1"/>
  <c r="AZ107" i="1" s="1"/>
  <c r="AZ108" i="1" s="1"/>
  <c r="AZ109" i="1" s="1"/>
  <c r="AZ110" i="1" s="1"/>
  <c r="AZ111" i="1" s="1"/>
  <c r="AZ112" i="1" s="1"/>
  <c r="AZ113" i="1" s="1"/>
  <c r="AZ114" i="1" s="1"/>
  <c r="AZ115" i="1" s="1"/>
  <c r="AZ116" i="1" s="1"/>
  <c r="AZ117" i="1" s="1"/>
  <c r="AZ118" i="1" s="1"/>
  <c r="AZ119" i="1" s="1"/>
  <c r="AZ120" i="1" s="1"/>
  <c r="AZ121" i="1" s="1"/>
  <c r="AZ122" i="1" s="1"/>
  <c r="AZ123" i="1" s="1"/>
  <c r="AZ124" i="1" s="1"/>
  <c r="AZ125" i="1" s="1"/>
  <c r="AZ126" i="1" s="1"/>
  <c r="AZ127" i="1" s="1"/>
  <c r="AZ128" i="1" s="1"/>
  <c r="AZ129" i="1" s="1"/>
  <c r="AZ130" i="1" s="1"/>
  <c r="AZ131" i="1" s="1"/>
  <c r="AZ132" i="1" s="1"/>
  <c r="AZ133" i="1" s="1"/>
  <c r="AZ134" i="1" s="1"/>
  <c r="AZ135" i="1" s="1"/>
  <c r="AZ136" i="1" s="1"/>
  <c r="AZ137" i="1" s="1"/>
  <c r="AZ138" i="1" s="1"/>
  <c r="AZ139" i="1" s="1"/>
  <c r="AZ140" i="1" s="1"/>
  <c r="AZ141" i="1" s="1"/>
  <c r="AZ142" i="1" s="1"/>
  <c r="BD99" i="1"/>
  <c r="BD100" i="1" s="1"/>
  <c r="BE99" i="1"/>
  <c r="BF99" i="1"/>
  <c r="BF100" i="1" s="1"/>
  <c r="BG99" i="1"/>
  <c r="BG100" i="1" s="1"/>
  <c r="BJ99" i="1"/>
  <c r="BL99" i="1"/>
  <c r="BM99" i="1"/>
  <c r="BN99" i="1" s="1"/>
  <c r="BO99" i="1" s="1"/>
  <c r="BE100" i="1"/>
  <c r="BL100" i="1"/>
  <c r="BM100" i="1"/>
  <c r="BD101" i="1"/>
  <c r="BE101" i="1"/>
  <c r="BE102" i="1" s="1"/>
  <c r="BF101" i="1"/>
  <c r="BG101" i="1"/>
  <c r="BI101" i="1"/>
  <c r="BL101" i="1"/>
  <c r="BM101" i="1"/>
  <c r="BT101" i="1"/>
  <c r="BS101" i="1" s="1"/>
  <c r="BD102" i="1"/>
  <c r="BF102" i="1"/>
  <c r="BG102" i="1"/>
  <c r="BI102" i="1"/>
  <c r="BL102" i="1"/>
  <c r="BM102" i="1"/>
  <c r="BD103" i="1"/>
  <c r="BE103" i="1"/>
  <c r="BF103" i="1"/>
  <c r="BG103" i="1"/>
  <c r="BG104" i="1" s="1"/>
  <c r="BI103" i="1"/>
  <c r="BL103" i="1"/>
  <c r="BM103" i="1"/>
  <c r="BT103" i="1"/>
  <c r="BS103" i="1" s="1"/>
  <c r="BD104" i="1"/>
  <c r="BE104" i="1"/>
  <c r="BF104" i="1"/>
  <c r="BI104" i="1"/>
  <c r="BL104" i="1"/>
  <c r="BM104" i="1"/>
  <c r="BD105" i="1"/>
  <c r="BE105" i="1"/>
  <c r="BE106" i="1" s="1"/>
  <c r="BF105" i="1"/>
  <c r="BG105" i="1"/>
  <c r="BG106" i="1" s="1"/>
  <c r="BI105" i="1"/>
  <c r="BL105" i="1"/>
  <c r="BM105" i="1"/>
  <c r="BD106" i="1"/>
  <c r="BF106" i="1"/>
  <c r="BI106" i="1"/>
  <c r="BL106" i="1"/>
  <c r="BM106" i="1"/>
  <c r="BD107" i="1"/>
  <c r="BE107" i="1"/>
  <c r="BF107" i="1"/>
  <c r="BG107" i="1"/>
  <c r="BL107" i="1"/>
  <c r="BM107" i="1"/>
  <c r="BD108" i="1"/>
  <c r="BE108" i="1"/>
  <c r="BF108" i="1"/>
  <c r="BG108" i="1"/>
  <c r="BI108" i="1"/>
  <c r="BL108" i="1"/>
  <c r="BM108" i="1"/>
  <c r="BD109" i="1"/>
  <c r="BE109" i="1"/>
  <c r="BF109" i="1"/>
  <c r="BG109" i="1"/>
  <c r="BI109" i="1"/>
  <c r="BL109" i="1"/>
  <c r="BM109" i="1"/>
  <c r="BD110" i="1"/>
  <c r="BD111" i="1" s="1"/>
  <c r="BE110" i="1"/>
  <c r="BF110" i="1"/>
  <c r="BG110" i="1"/>
  <c r="BG111" i="1" s="1"/>
  <c r="BI110" i="1"/>
  <c r="BL110" i="1"/>
  <c r="BM110" i="1"/>
  <c r="BE111" i="1"/>
  <c r="BF111" i="1"/>
  <c r="BI111" i="1"/>
  <c r="BL111" i="1"/>
  <c r="BM111" i="1"/>
  <c r="BD112" i="1"/>
  <c r="BD113" i="1" s="1"/>
  <c r="BE112" i="1"/>
  <c r="BF112" i="1"/>
  <c r="BG112" i="1"/>
  <c r="BI112" i="1"/>
  <c r="BL112" i="1"/>
  <c r="BM112" i="1"/>
  <c r="BE113" i="1"/>
  <c r="BF113" i="1"/>
  <c r="BG113" i="1"/>
  <c r="BI113" i="1"/>
  <c r="BL113" i="1"/>
  <c r="BM113" i="1"/>
  <c r="BD114" i="1"/>
  <c r="BE114" i="1"/>
  <c r="BF114" i="1"/>
  <c r="BG114" i="1"/>
  <c r="BI114" i="1"/>
  <c r="BL114" i="1"/>
  <c r="BM114" i="1"/>
  <c r="BD115" i="1"/>
  <c r="BE115" i="1"/>
  <c r="BF115" i="1"/>
  <c r="BG115" i="1"/>
  <c r="BI115" i="1"/>
  <c r="BL115" i="1"/>
  <c r="BM115" i="1"/>
  <c r="BT115" i="1"/>
  <c r="BS115" i="1" s="1"/>
  <c r="BD116" i="1"/>
  <c r="BE116" i="1"/>
  <c r="BF116" i="1"/>
  <c r="BG116" i="1"/>
  <c r="BL116" i="1"/>
  <c r="BM116" i="1"/>
  <c r="BD117" i="1"/>
  <c r="BE117" i="1"/>
  <c r="BE118" i="1" s="1"/>
  <c r="BF117" i="1"/>
  <c r="BG117" i="1"/>
  <c r="BI117" i="1"/>
  <c r="BL117" i="1"/>
  <c r="BM117" i="1"/>
  <c r="BT117" i="1"/>
  <c r="BS117" i="1" s="1"/>
  <c r="BD118" i="1"/>
  <c r="BF118" i="1"/>
  <c r="BG118" i="1"/>
  <c r="BI118" i="1"/>
  <c r="BL118" i="1"/>
  <c r="BM118" i="1"/>
  <c r="BD119" i="1"/>
  <c r="BE119" i="1"/>
  <c r="BF119" i="1"/>
  <c r="BG119" i="1"/>
  <c r="BL119" i="1"/>
  <c r="BM119" i="1"/>
  <c r="BD120" i="1"/>
  <c r="BD121" i="1" s="1"/>
  <c r="BE120" i="1"/>
  <c r="BE121" i="1" s="1"/>
  <c r="BF120" i="1"/>
  <c r="BG120" i="1"/>
  <c r="BL120" i="1"/>
  <c r="BM120" i="1"/>
  <c r="BF121" i="1"/>
  <c r="BG121" i="1"/>
  <c r="BL121" i="1"/>
  <c r="BM121" i="1"/>
  <c r="BD122" i="1"/>
  <c r="BD123" i="1" s="1"/>
  <c r="BE122" i="1"/>
  <c r="BE123" i="1" s="1"/>
  <c r="BF122" i="1"/>
  <c r="BF123" i="1" s="1"/>
  <c r="BG122" i="1"/>
  <c r="BG123" i="1" s="1"/>
  <c r="BL122" i="1"/>
  <c r="BM122" i="1"/>
  <c r="BL123" i="1"/>
  <c r="BM123" i="1"/>
  <c r="BD124" i="1"/>
  <c r="BE124" i="1"/>
  <c r="BF124" i="1"/>
  <c r="BF125" i="1" s="1"/>
  <c r="BF126" i="1" s="1"/>
  <c r="BG124" i="1"/>
  <c r="BI124" i="1"/>
  <c r="BL124" i="1"/>
  <c r="BM124" i="1"/>
  <c r="BD125" i="1"/>
  <c r="BE125" i="1"/>
  <c r="BE126" i="1" s="1"/>
  <c r="BG125" i="1"/>
  <c r="BG126" i="1" s="1"/>
  <c r="BI125" i="1"/>
  <c r="BL125" i="1"/>
  <c r="BM125" i="1"/>
  <c r="BD126" i="1"/>
  <c r="BI126" i="1"/>
  <c r="BL126" i="1"/>
  <c r="BM126" i="1"/>
  <c r="BD127" i="1"/>
  <c r="BE127" i="1"/>
  <c r="BF127" i="1"/>
  <c r="BG127" i="1"/>
  <c r="BI127" i="1"/>
  <c r="BL127" i="1"/>
  <c r="BM127" i="1"/>
  <c r="BT127" i="1"/>
  <c r="BS127" i="1" s="1"/>
  <c r="BD128" i="1"/>
  <c r="BE128" i="1"/>
  <c r="BF128" i="1"/>
  <c r="BG128" i="1"/>
  <c r="BL128" i="1"/>
  <c r="BM128" i="1"/>
  <c r="BD129" i="1"/>
  <c r="BD130" i="1" s="1"/>
  <c r="BD131" i="1" s="1"/>
  <c r="BE129" i="1"/>
  <c r="BF129" i="1"/>
  <c r="BG129" i="1"/>
  <c r="BG130" i="1" s="1"/>
  <c r="BG131" i="1" s="1"/>
  <c r="BI129" i="1"/>
  <c r="BL129" i="1"/>
  <c r="BM129" i="1"/>
  <c r="BT129" i="1"/>
  <c r="BS129" i="1" s="1"/>
  <c r="BE130" i="1"/>
  <c r="BE131" i="1" s="1"/>
  <c r="BF130" i="1"/>
  <c r="BI130" i="1"/>
  <c r="BL130" i="1"/>
  <c r="BM130" i="1"/>
  <c r="BF131" i="1"/>
  <c r="BI131" i="1"/>
  <c r="BL131" i="1"/>
  <c r="BM131" i="1"/>
  <c r="BD132" i="1"/>
  <c r="BD133" i="1" s="1"/>
  <c r="BE132" i="1"/>
  <c r="BF132" i="1"/>
  <c r="BF133" i="1" s="1"/>
  <c r="BG132" i="1"/>
  <c r="BL132" i="1"/>
  <c r="BM132" i="1"/>
  <c r="BT132" i="1"/>
  <c r="BS132" i="1" s="1"/>
  <c r="BE133" i="1"/>
  <c r="BG133" i="1"/>
  <c r="BL133" i="1"/>
  <c r="BM133" i="1"/>
  <c r="BT133" i="1"/>
  <c r="BS133" i="1" s="1"/>
  <c r="BD134" i="1"/>
  <c r="BD135" i="1" s="1"/>
  <c r="BD136" i="1" s="1"/>
  <c r="BE134" i="1"/>
  <c r="BF134" i="1"/>
  <c r="BF135" i="1" s="1"/>
  <c r="BG134" i="1"/>
  <c r="BI134" i="1"/>
  <c r="BL134" i="1"/>
  <c r="BM134" i="1"/>
  <c r="BE135" i="1"/>
  <c r="BG135" i="1"/>
  <c r="BI135" i="1"/>
  <c r="BL135" i="1"/>
  <c r="BM135" i="1"/>
  <c r="BT135" i="1"/>
  <c r="BS135" i="1" s="1"/>
  <c r="BE136" i="1"/>
  <c r="BF136" i="1"/>
  <c r="BG136" i="1"/>
  <c r="BI136" i="1"/>
  <c r="BL136" i="1"/>
  <c r="BM136" i="1"/>
  <c r="BD137" i="1"/>
  <c r="BE137" i="1"/>
  <c r="BF137" i="1"/>
  <c r="BG137" i="1"/>
  <c r="BI137" i="1"/>
  <c r="BL137" i="1"/>
  <c r="BM137" i="1"/>
  <c r="BD138" i="1"/>
  <c r="BE138" i="1"/>
  <c r="BE139" i="1" s="1"/>
  <c r="BF138" i="1"/>
  <c r="BG138" i="1"/>
  <c r="BG139" i="1" s="1"/>
  <c r="BL138" i="1"/>
  <c r="BM138" i="1"/>
  <c r="BD139" i="1"/>
  <c r="BF139" i="1"/>
  <c r="BL139" i="1"/>
  <c r="BM139" i="1"/>
  <c r="BD140" i="1"/>
  <c r="BD141" i="1" s="1"/>
  <c r="BE140" i="1"/>
  <c r="BF140" i="1"/>
  <c r="BF141" i="1" s="1"/>
  <c r="BG140" i="1"/>
  <c r="BG141" i="1" s="1"/>
  <c r="BI140" i="1"/>
  <c r="BL140" i="1"/>
  <c r="BM140" i="1"/>
  <c r="BE141" i="1"/>
  <c r="BI141" i="1"/>
  <c r="BL141" i="1"/>
  <c r="BM141" i="1"/>
  <c r="BD142" i="1"/>
  <c r="BE142" i="1"/>
  <c r="BE143" i="1" s="1"/>
  <c r="BF142" i="1"/>
  <c r="BF143" i="1" s="1"/>
  <c r="BG142" i="1"/>
  <c r="BG143" i="1" s="1"/>
  <c r="BI142" i="1"/>
  <c r="BL142" i="1"/>
  <c r="BM142" i="1"/>
  <c r="AZ143" i="1"/>
  <c r="AZ144" i="1" s="1"/>
  <c r="AZ145" i="1" s="1"/>
  <c r="AZ146" i="1" s="1"/>
  <c r="AZ147" i="1" s="1"/>
  <c r="AZ148" i="1" s="1"/>
  <c r="AZ149" i="1" s="1"/>
  <c r="AZ150" i="1" s="1"/>
  <c r="AZ151" i="1" s="1"/>
  <c r="BD143" i="1"/>
  <c r="BI143" i="1"/>
  <c r="BL143" i="1"/>
  <c r="BM143" i="1"/>
  <c r="BD144" i="1"/>
  <c r="BE144" i="1"/>
  <c r="BF144" i="1"/>
  <c r="BG144" i="1"/>
  <c r="BI144" i="1"/>
  <c r="BJ144" i="1"/>
  <c r="BK144" i="1"/>
  <c r="BL144" i="1"/>
  <c r="BM144" i="1"/>
  <c r="BN144" i="1"/>
  <c r="BO144" i="1"/>
  <c r="BP144" i="1" s="1"/>
  <c r="BD145" i="1"/>
  <c r="BE145" i="1"/>
  <c r="BF145" i="1"/>
  <c r="BG145" i="1"/>
  <c r="BI145" i="1"/>
  <c r="BP145" i="1" s="1"/>
  <c r="BJ145" i="1"/>
  <c r="BL145" i="1"/>
  <c r="BM145" i="1"/>
  <c r="BN145" i="1"/>
  <c r="BO145" i="1"/>
  <c r="BD146" i="1"/>
  <c r="BE146" i="1"/>
  <c r="BF146" i="1"/>
  <c r="BF147" i="1" s="1"/>
  <c r="BG146" i="1"/>
  <c r="BG147" i="1" s="1"/>
  <c r="BI146" i="1"/>
  <c r="BJ146" i="1"/>
  <c r="BL146" i="1"/>
  <c r="BM146" i="1"/>
  <c r="BN146" i="1" s="1"/>
  <c r="BO146" i="1"/>
  <c r="BP146" i="1" s="1"/>
  <c r="BD147" i="1"/>
  <c r="BE147" i="1"/>
  <c r="BI147" i="1"/>
  <c r="BJ147" i="1"/>
  <c r="BK147" i="1"/>
  <c r="BL147" i="1"/>
  <c r="BM147" i="1"/>
  <c r="BN147" i="1"/>
  <c r="BO147" i="1"/>
  <c r="BP147" i="1"/>
  <c r="BD148" i="1"/>
  <c r="BE148" i="1"/>
  <c r="BF148" i="1"/>
  <c r="BF149" i="1" s="1"/>
  <c r="BF150" i="1" s="1"/>
  <c r="BG148" i="1"/>
  <c r="BG149" i="1" s="1"/>
  <c r="BI148" i="1"/>
  <c r="BJ148" i="1"/>
  <c r="BL148" i="1"/>
  <c r="BM148" i="1"/>
  <c r="BN148" i="1"/>
  <c r="BO148" i="1"/>
  <c r="BP148" i="1" s="1"/>
  <c r="BD149" i="1"/>
  <c r="BE149" i="1"/>
  <c r="BI149" i="1"/>
  <c r="BJ149" i="1"/>
  <c r="BK149" i="1" s="1"/>
  <c r="BL149" i="1"/>
  <c r="BM149" i="1"/>
  <c r="BN149" i="1" s="1"/>
  <c r="BO149" i="1" s="1"/>
  <c r="BP149" i="1" s="1"/>
  <c r="BD150" i="1"/>
  <c r="BE150" i="1"/>
  <c r="BG150" i="1"/>
  <c r="BI150" i="1"/>
  <c r="BJ150" i="1"/>
  <c r="BK150" i="1" s="1"/>
  <c r="BL150" i="1"/>
  <c r="BM150" i="1"/>
  <c r="BN150" i="1"/>
  <c r="BO150" i="1" s="1"/>
  <c r="BP150" i="1"/>
  <c r="BD151" i="1"/>
  <c r="BD152" i="1" s="1"/>
  <c r="BE151" i="1"/>
  <c r="BE152" i="1" s="1"/>
  <c r="BF151" i="1"/>
  <c r="BG151" i="1"/>
  <c r="BI151" i="1"/>
  <c r="BJ151" i="1"/>
  <c r="BK151" i="1"/>
  <c r="BL151" i="1"/>
  <c r="BM151" i="1"/>
  <c r="BN151" i="1"/>
  <c r="BO151" i="1"/>
  <c r="BP151" i="1"/>
  <c r="AZ152" i="1"/>
  <c r="AZ153" i="1" s="1"/>
  <c r="AZ154" i="1" s="1"/>
  <c r="BF152" i="1"/>
  <c r="BG152" i="1"/>
  <c r="BI152" i="1"/>
  <c r="BJ152" i="1"/>
  <c r="BK152" i="1"/>
  <c r="BL152" i="1"/>
  <c r="BM152" i="1"/>
  <c r="BN152" i="1"/>
  <c r="BO152" i="1" s="1"/>
  <c r="BP152" i="1" s="1"/>
  <c r="BD153" i="1"/>
  <c r="BE153" i="1"/>
  <c r="BE154" i="1" s="1"/>
  <c r="BF153" i="1"/>
  <c r="BF154" i="1" s="1"/>
  <c r="BG153" i="1"/>
  <c r="BI153" i="1"/>
  <c r="BP153" i="1" s="1"/>
  <c r="BJ153" i="1"/>
  <c r="BK153" i="1"/>
  <c r="BL153" i="1"/>
  <c r="BM153" i="1"/>
  <c r="BN153" i="1" s="1"/>
  <c r="BO153" i="1" s="1"/>
  <c r="BD154" i="1"/>
  <c r="BG154" i="1"/>
  <c r="BI154" i="1"/>
  <c r="BJ154" i="1"/>
  <c r="BK154" i="1"/>
  <c r="BL154" i="1"/>
  <c r="BM154" i="1"/>
  <c r="BN154" i="1" s="1"/>
  <c r="BO154" i="1" s="1"/>
  <c r="BP154" i="1"/>
  <c r="AZ155" i="1"/>
  <c r="AZ156" i="1" s="1"/>
  <c r="AZ157" i="1" s="1"/>
  <c r="BD155" i="1"/>
  <c r="BD156" i="1" s="1"/>
  <c r="BE155" i="1"/>
  <c r="BF155" i="1"/>
  <c r="BG155" i="1"/>
  <c r="BI155" i="1"/>
  <c r="BJ155" i="1"/>
  <c r="BK155" i="1"/>
  <c r="BL155" i="1"/>
  <c r="BM155" i="1"/>
  <c r="BN155" i="1" s="1"/>
  <c r="BO155" i="1" s="1"/>
  <c r="BP155" i="1" s="1"/>
  <c r="BT155" i="1"/>
  <c r="BS155" i="1" s="1"/>
  <c r="BE156" i="1"/>
  <c r="BF156" i="1"/>
  <c r="BG156" i="1"/>
  <c r="BI156" i="1"/>
  <c r="BJ156" i="1"/>
  <c r="BK156" i="1"/>
  <c r="BL156" i="1"/>
  <c r="BM156" i="1"/>
  <c r="BN156" i="1" s="1"/>
  <c r="BO156" i="1" s="1"/>
  <c r="BP156" i="1" s="1"/>
  <c r="BD157" i="1"/>
  <c r="BD158" i="1" s="1"/>
  <c r="BE157" i="1"/>
  <c r="BE158" i="1" s="1"/>
  <c r="BF157" i="1"/>
  <c r="BF158" i="1" s="1"/>
  <c r="BG157" i="1"/>
  <c r="BG158" i="1" s="1"/>
  <c r="BI157" i="1"/>
  <c r="BJ157" i="1"/>
  <c r="BK157" i="1" s="1"/>
  <c r="BL157" i="1"/>
  <c r="BM157" i="1"/>
  <c r="BN157" i="1"/>
  <c r="BO157" i="1" s="1"/>
  <c r="BP157" i="1" s="1"/>
  <c r="AZ158" i="1"/>
  <c r="AZ159" i="1" s="1"/>
  <c r="AZ160" i="1" s="1"/>
  <c r="BI158" i="1"/>
  <c r="BJ158" i="1"/>
  <c r="BK158" i="1"/>
  <c r="BL158" i="1"/>
  <c r="BM158" i="1"/>
  <c r="BN158" i="1"/>
  <c r="BO158" i="1"/>
  <c r="BP158" i="1" s="1"/>
  <c r="BD159" i="1"/>
  <c r="BE159" i="1"/>
  <c r="BF159" i="1"/>
  <c r="BG159" i="1"/>
  <c r="BI159" i="1"/>
  <c r="BJ159" i="1"/>
  <c r="BK159" i="1"/>
  <c r="BL159" i="1"/>
  <c r="BM159" i="1"/>
  <c r="BN159" i="1"/>
  <c r="BO159" i="1" s="1"/>
  <c r="BP159" i="1" s="1"/>
  <c r="BD160" i="1"/>
  <c r="BE160" i="1"/>
  <c r="BF160" i="1"/>
  <c r="BG160" i="1"/>
  <c r="BI160" i="1"/>
  <c r="BJ160" i="1"/>
  <c r="BK160" i="1"/>
  <c r="BL160" i="1"/>
  <c r="BM160" i="1"/>
  <c r="BN160" i="1" s="1"/>
  <c r="BO160" i="1" s="1"/>
  <c r="BP160" i="1" s="1"/>
  <c r="AZ161" i="1"/>
  <c r="AZ162" i="1" s="1"/>
  <c r="AZ163" i="1" s="1"/>
  <c r="AZ164" i="1" s="1"/>
  <c r="AZ165" i="1" s="1"/>
  <c r="AZ166" i="1" s="1"/>
  <c r="AZ167" i="1" s="1"/>
  <c r="AZ168" i="1" s="1"/>
  <c r="BD161" i="1"/>
  <c r="BE161" i="1"/>
  <c r="BE162" i="1" s="1"/>
  <c r="BF161" i="1"/>
  <c r="BG161" i="1"/>
  <c r="BI161" i="1"/>
  <c r="BJ161" i="1"/>
  <c r="BK161" i="1"/>
  <c r="BL161" i="1"/>
  <c r="BM161" i="1"/>
  <c r="BN161" i="1"/>
  <c r="BO161" i="1"/>
  <c r="BP161" i="1"/>
  <c r="BD162" i="1"/>
  <c r="BF162" i="1"/>
  <c r="BG162" i="1"/>
  <c r="BI162" i="1"/>
  <c r="BJ162" i="1"/>
  <c r="BK162" i="1"/>
  <c r="BL162" i="1"/>
  <c r="BM162" i="1"/>
  <c r="BN162" i="1" s="1"/>
  <c r="BO162" i="1" s="1"/>
  <c r="BD163" i="1"/>
  <c r="BE163" i="1"/>
  <c r="BF163" i="1"/>
  <c r="BG163" i="1"/>
  <c r="BI163" i="1"/>
  <c r="BJ163" i="1"/>
  <c r="BK163" i="1"/>
  <c r="BL163" i="1"/>
  <c r="BM163" i="1"/>
  <c r="BN163" i="1" s="1"/>
  <c r="BO163" i="1"/>
  <c r="BP163" i="1" s="1"/>
  <c r="BD164" i="1"/>
  <c r="BD165" i="1" s="1"/>
  <c r="BE164" i="1"/>
  <c r="BF164" i="1"/>
  <c r="BF165" i="1" s="1"/>
  <c r="BG164" i="1"/>
  <c r="BJ164" i="1"/>
  <c r="BL164" i="1"/>
  <c r="BM164" i="1"/>
  <c r="BN164" i="1"/>
  <c r="BO164" i="1"/>
  <c r="BE165" i="1"/>
  <c r="BG165" i="1"/>
  <c r="BL165" i="1"/>
  <c r="BM165" i="1"/>
  <c r="BD166" i="1"/>
  <c r="BD167" i="1" s="1"/>
  <c r="BE166" i="1"/>
  <c r="BE167" i="1" s="1"/>
  <c r="BF166" i="1"/>
  <c r="BG166" i="1"/>
  <c r="BG167" i="1" s="1"/>
  <c r="BI166" i="1"/>
  <c r="BL166" i="1"/>
  <c r="BM166" i="1"/>
  <c r="BF167" i="1"/>
  <c r="BI167" i="1"/>
  <c r="BL167" i="1"/>
  <c r="BM167" i="1"/>
  <c r="BD168" i="1"/>
  <c r="BE168" i="1"/>
  <c r="BF168" i="1"/>
  <c r="BG168" i="1"/>
  <c r="BI168" i="1"/>
  <c r="BL168" i="1"/>
  <c r="BM168" i="1"/>
  <c r="AZ169" i="1"/>
  <c r="AZ170" i="1" s="1"/>
  <c r="AZ171" i="1" s="1"/>
  <c r="AZ172" i="1" s="1"/>
  <c r="AZ173" i="1" s="1"/>
  <c r="AZ174" i="1" s="1"/>
  <c r="AZ175" i="1" s="1"/>
  <c r="AZ176" i="1" s="1"/>
  <c r="AZ177" i="1" s="1"/>
  <c r="AZ178" i="1" s="1"/>
  <c r="AZ179" i="1" s="1"/>
  <c r="AZ180" i="1" s="1"/>
  <c r="AZ181" i="1" s="1"/>
  <c r="AZ182" i="1" s="1"/>
  <c r="AZ183" i="1" s="1"/>
  <c r="AZ184" i="1" s="1"/>
  <c r="BD169" i="1"/>
  <c r="BE169" i="1"/>
  <c r="BF169" i="1"/>
  <c r="BG169" i="1"/>
  <c r="BL169" i="1"/>
  <c r="BM169" i="1"/>
  <c r="BT169" i="1"/>
  <c r="BS169" i="1" s="1"/>
  <c r="BD170" i="1"/>
  <c r="BD171" i="1" s="1"/>
  <c r="BD172" i="1" s="1"/>
  <c r="BE170" i="1"/>
  <c r="BF170" i="1"/>
  <c r="BF171" i="1" s="1"/>
  <c r="BF172" i="1" s="1"/>
  <c r="BG170" i="1"/>
  <c r="BI170" i="1"/>
  <c r="BL170" i="1"/>
  <c r="BM170" i="1"/>
  <c r="BE171" i="1"/>
  <c r="BG171" i="1"/>
  <c r="BI171" i="1"/>
  <c r="BL171" i="1"/>
  <c r="BM171" i="1"/>
  <c r="BE172" i="1"/>
  <c r="BG172" i="1"/>
  <c r="BI172" i="1"/>
  <c r="BL172" i="1"/>
  <c r="BM172" i="1"/>
  <c r="BD173" i="1"/>
  <c r="BD174" i="1" s="1"/>
  <c r="BE173" i="1"/>
  <c r="BE174" i="1" s="1"/>
  <c r="BF173" i="1"/>
  <c r="BG173" i="1"/>
  <c r="BG174" i="1" s="1"/>
  <c r="BI173" i="1"/>
  <c r="BL173" i="1"/>
  <c r="BM173" i="1"/>
  <c r="BF174" i="1"/>
  <c r="BI174" i="1"/>
  <c r="BL174" i="1"/>
  <c r="BM174" i="1"/>
  <c r="BD175" i="1"/>
  <c r="BE175" i="1"/>
  <c r="BF175" i="1"/>
  <c r="BG175" i="1"/>
  <c r="BI175" i="1"/>
  <c r="BL175" i="1"/>
  <c r="BM175" i="1"/>
  <c r="BD176" i="1"/>
  <c r="BD177" i="1" s="1"/>
  <c r="BE176" i="1"/>
  <c r="BE177" i="1" s="1"/>
  <c r="BE178" i="1" s="1"/>
  <c r="BF176" i="1"/>
  <c r="BF177" i="1" s="1"/>
  <c r="BF178" i="1" s="1"/>
  <c r="BG176" i="1"/>
  <c r="BI176" i="1"/>
  <c r="BL176" i="1"/>
  <c r="BM176" i="1"/>
  <c r="BG177" i="1"/>
  <c r="BG178" i="1" s="1"/>
  <c r="BI177" i="1"/>
  <c r="BL177" i="1"/>
  <c r="BM177" i="1"/>
  <c r="BD178" i="1"/>
  <c r="BI178" i="1"/>
  <c r="BL178" i="1"/>
  <c r="BM178" i="1"/>
  <c r="BD179" i="1"/>
  <c r="BD180" i="1" s="1"/>
  <c r="BE179" i="1"/>
  <c r="BF179" i="1"/>
  <c r="BF180" i="1" s="1"/>
  <c r="BF181" i="1" s="1"/>
  <c r="BG179" i="1"/>
  <c r="BG180" i="1" s="1"/>
  <c r="BG181" i="1" s="1"/>
  <c r="BG182" i="1" s="1"/>
  <c r="BI179" i="1"/>
  <c r="BL179" i="1"/>
  <c r="BM179" i="1"/>
  <c r="BE180" i="1"/>
  <c r="BI180" i="1"/>
  <c r="BL180" i="1"/>
  <c r="BM180" i="1"/>
  <c r="BD181" i="1"/>
  <c r="BE181" i="1"/>
  <c r="BE182" i="1" s="1"/>
  <c r="BI181" i="1"/>
  <c r="BL181" i="1"/>
  <c r="BM181" i="1"/>
  <c r="BD182" i="1"/>
  <c r="BF182" i="1"/>
  <c r="BI182" i="1"/>
  <c r="BL182" i="1"/>
  <c r="BM182" i="1"/>
  <c r="BD183" i="1"/>
  <c r="BE183" i="1"/>
  <c r="BF183" i="1"/>
  <c r="BG183" i="1"/>
  <c r="BL183" i="1"/>
  <c r="BM183" i="1"/>
  <c r="BD184" i="1"/>
  <c r="BD185" i="1" s="1"/>
  <c r="BE184" i="1"/>
  <c r="BE185" i="1" s="1"/>
  <c r="BF184" i="1"/>
  <c r="BG184" i="1"/>
  <c r="BI184" i="1"/>
  <c r="BL184" i="1"/>
  <c r="BM184" i="1"/>
  <c r="AZ185" i="1"/>
  <c r="AZ186" i="1" s="1"/>
  <c r="AZ187" i="1" s="1"/>
  <c r="AZ188" i="1" s="1"/>
  <c r="AZ189" i="1" s="1"/>
  <c r="AZ190" i="1" s="1"/>
  <c r="AZ191" i="1" s="1"/>
  <c r="AZ192" i="1" s="1"/>
  <c r="AZ193" i="1" s="1"/>
  <c r="AZ194" i="1" s="1"/>
  <c r="AZ195" i="1" s="1"/>
  <c r="AZ196" i="1" s="1"/>
  <c r="AZ197" i="1" s="1"/>
  <c r="AZ198" i="1" s="1"/>
  <c r="AZ199" i="1" s="1"/>
  <c r="AZ200" i="1" s="1"/>
  <c r="AZ201" i="1" s="1"/>
  <c r="AZ202" i="1" s="1"/>
  <c r="AZ203" i="1" s="1"/>
  <c r="AZ204" i="1" s="1"/>
  <c r="AZ205" i="1" s="1"/>
  <c r="AZ206" i="1" s="1"/>
  <c r="AZ207" i="1" s="1"/>
  <c r="AZ208" i="1" s="1"/>
  <c r="AZ209" i="1" s="1"/>
  <c r="AZ210" i="1" s="1"/>
  <c r="BF185" i="1"/>
  <c r="BG185" i="1"/>
  <c r="BI185" i="1"/>
  <c r="BL185" i="1"/>
  <c r="BM185" i="1"/>
  <c r="BT185" i="1"/>
  <c r="BS185" i="1" s="1"/>
  <c r="BD186" i="1"/>
  <c r="BE186" i="1"/>
  <c r="BF186" i="1"/>
  <c r="BG186" i="1"/>
  <c r="BI186" i="1"/>
  <c r="BL186" i="1"/>
  <c r="BM186" i="1"/>
  <c r="BD187" i="1"/>
  <c r="BE187" i="1"/>
  <c r="BF187" i="1"/>
  <c r="BG187" i="1"/>
  <c r="BI187" i="1"/>
  <c r="BL187" i="1"/>
  <c r="BM187" i="1"/>
  <c r="BD188" i="1"/>
  <c r="BE188" i="1"/>
  <c r="BF188" i="1"/>
  <c r="BG188" i="1"/>
  <c r="BL188" i="1"/>
  <c r="BM188" i="1"/>
  <c r="BT188" i="1"/>
  <c r="BS188" i="1" s="1"/>
  <c r="BD189" i="1"/>
  <c r="BE189" i="1"/>
  <c r="BF189" i="1"/>
  <c r="BG189" i="1"/>
  <c r="BI189" i="1"/>
  <c r="BL189" i="1"/>
  <c r="BM189" i="1"/>
  <c r="BD190" i="1"/>
  <c r="BE190" i="1"/>
  <c r="BF190" i="1"/>
  <c r="BG190" i="1"/>
  <c r="BI190" i="1"/>
  <c r="BL190" i="1"/>
  <c r="BM190" i="1"/>
  <c r="BD191" i="1"/>
  <c r="BE191" i="1"/>
  <c r="BF191" i="1"/>
  <c r="BG191" i="1"/>
  <c r="BI191" i="1"/>
  <c r="BJ191" i="1"/>
  <c r="BK191" i="1"/>
  <c r="BL191" i="1"/>
  <c r="BM191" i="1"/>
  <c r="BN191" i="1"/>
  <c r="BO191" i="1" s="1"/>
  <c r="BP191" i="1" s="1"/>
  <c r="BD192" i="1"/>
  <c r="BE192" i="1"/>
  <c r="BF192" i="1"/>
  <c r="BG192" i="1"/>
  <c r="BI192" i="1"/>
  <c r="BJ192" i="1"/>
  <c r="BK192" i="1"/>
  <c r="BL192" i="1"/>
  <c r="BM192" i="1"/>
  <c r="BN192" i="1"/>
  <c r="BO192" i="1"/>
  <c r="BP192" i="1" s="1"/>
  <c r="BD193" i="1"/>
  <c r="BE193" i="1"/>
  <c r="BF193" i="1"/>
  <c r="BG193" i="1"/>
  <c r="BI193" i="1"/>
  <c r="BJ193" i="1"/>
  <c r="BK193" i="1"/>
  <c r="BL193" i="1"/>
  <c r="BM193" i="1"/>
  <c r="BN193" i="1" s="1"/>
  <c r="BO193" i="1" s="1"/>
  <c r="BT193" i="1"/>
  <c r="BS193" i="1" s="1"/>
  <c r="BD194" i="1"/>
  <c r="BE194" i="1"/>
  <c r="BF194" i="1"/>
  <c r="BG194" i="1"/>
  <c r="BI194" i="1"/>
  <c r="BJ194" i="1"/>
  <c r="BK194" i="1"/>
  <c r="BL194" i="1"/>
  <c r="BM194" i="1"/>
  <c r="BN194" i="1"/>
  <c r="BO194" i="1" s="1"/>
  <c r="BD195" i="1"/>
  <c r="BD196" i="1" s="1"/>
  <c r="BE195" i="1"/>
  <c r="BF195" i="1"/>
  <c r="BG195" i="1"/>
  <c r="BI195" i="1"/>
  <c r="BJ195" i="1"/>
  <c r="BK195" i="1"/>
  <c r="BL195" i="1"/>
  <c r="BM195" i="1"/>
  <c r="BN195" i="1" s="1"/>
  <c r="BO195" i="1"/>
  <c r="BP195" i="1"/>
  <c r="BE196" i="1"/>
  <c r="BF196" i="1"/>
  <c r="BF197" i="1" s="1"/>
  <c r="BG196" i="1"/>
  <c r="BG197" i="1" s="1"/>
  <c r="BI196" i="1"/>
  <c r="BJ196" i="1"/>
  <c r="BK196" i="1"/>
  <c r="BL196" i="1"/>
  <c r="BM196" i="1"/>
  <c r="BN196" i="1"/>
  <c r="BO196" i="1"/>
  <c r="BP196" i="1" s="1"/>
  <c r="BD197" i="1"/>
  <c r="BE197" i="1"/>
  <c r="BI197" i="1"/>
  <c r="BJ197" i="1"/>
  <c r="BK197" i="1"/>
  <c r="BL197" i="1"/>
  <c r="BM197" i="1"/>
  <c r="BN197" i="1" s="1"/>
  <c r="BO197" i="1" s="1"/>
  <c r="BP197" i="1"/>
  <c r="BD198" i="1"/>
  <c r="BD199" i="1" s="1"/>
  <c r="BE198" i="1"/>
  <c r="BE199" i="1" s="1"/>
  <c r="BE200" i="1" s="1"/>
  <c r="BF198" i="1"/>
  <c r="BG198" i="1"/>
  <c r="BG199" i="1" s="1"/>
  <c r="BI198" i="1"/>
  <c r="BJ198" i="1"/>
  <c r="BK198" i="1"/>
  <c r="BL198" i="1"/>
  <c r="BM198" i="1"/>
  <c r="BN198" i="1" s="1"/>
  <c r="BO198" i="1" s="1"/>
  <c r="BP198" i="1" s="1"/>
  <c r="BF199" i="1"/>
  <c r="BI199" i="1"/>
  <c r="BJ199" i="1"/>
  <c r="BK199" i="1"/>
  <c r="BL199" i="1"/>
  <c r="BM199" i="1"/>
  <c r="BN199" i="1"/>
  <c r="BO199" i="1"/>
  <c r="BP199" i="1" s="1"/>
  <c r="BD200" i="1"/>
  <c r="BF200" i="1"/>
  <c r="BG200" i="1"/>
  <c r="BI200" i="1"/>
  <c r="BJ200" i="1"/>
  <c r="BK200" i="1"/>
  <c r="BL200" i="1"/>
  <c r="BM200" i="1"/>
  <c r="BN200" i="1" s="1"/>
  <c r="BO200" i="1" s="1"/>
  <c r="BP200" i="1" s="1"/>
  <c r="BD201" i="1"/>
  <c r="BD202" i="1" s="1"/>
  <c r="BE201" i="1"/>
  <c r="BE202" i="1" s="1"/>
  <c r="BF201" i="1"/>
  <c r="BF202" i="1" s="1"/>
  <c r="BG201" i="1"/>
  <c r="BI201" i="1"/>
  <c r="BJ201" i="1"/>
  <c r="BK201" i="1"/>
  <c r="BL201" i="1"/>
  <c r="BM201" i="1"/>
  <c r="BN201" i="1" s="1"/>
  <c r="BO201" i="1" s="1"/>
  <c r="BP201" i="1" s="1"/>
  <c r="BG202" i="1"/>
  <c r="BG203" i="1" s="1"/>
  <c r="BI202" i="1"/>
  <c r="BJ202" i="1"/>
  <c r="BK202" i="1"/>
  <c r="BL202" i="1"/>
  <c r="BM202" i="1"/>
  <c r="BN202" i="1"/>
  <c r="BO202" i="1"/>
  <c r="BP202" i="1" s="1"/>
  <c r="BD203" i="1"/>
  <c r="BE203" i="1"/>
  <c r="BF203" i="1"/>
  <c r="BI203" i="1"/>
  <c r="BJ203" i="1"/>
  <c r="BK203" i="1"/>
  <c r="BL203" i="1"/>
  <c r="BM203" i="1"/>
  <c r="BN203" i="1" s="1"/>
  <c r="BO203" i="1" s="1"/>
  <c r="BP203" i="1" s="1"/>
  <c r="BD204" i="1"/>
  <c r="BE204" i="1"/>
  <c r="BE205" i="1" s="1"/>
  <c r="BF204" i="1"/>
  <c r="BF205" i="1" s="1"/>
  <c r="BG204" i="1"/>
  <c r="BG205" i="1" s="1"/>
  <c r="BL204" i="1"/>
  <c r="BM204" i="1"/>
  <c r="BT204" i="1"/>
  <c r="BS204" i="1" s="1"/>
  <c r="BD205" i="1"/>
  <c r="BL205" i="1"/>
  <c r="BM205" i="1"/>
  <c r="BD206" i="1"/>
  <c r="BD207" i="1" s="1"/>
  <c r="BE206" i="1"/>
  <c r="BF206" i="1"/>
  <c r="BG206" i="1"/>
  <c r="BG207" i="1" s="1"/>
  <c r="BL206" i="1"/>
  <c r="BM206" i="1"/>
  <c r="BE207" i="1"/>
  <c r="BF207" i="1"/>
  <c r="BL207" i="1"/>
  <c r="BM207" i="1"/>
  <c r="BD208" i="1"/>
  <c r="BE208" i="1"/>
  <c r="BF208" i="1"/>
  <c r="BF209" i="1" s="1"/>
  <c r="BG208" i="1"/>
  <c r="BL208" i="1"/>
  <c r="BM208" i="1"/>
  <c r="BD209" i="1"/>
  <c r="BE209" i="1"/>
  <c r="BG209" i="1"/>
  <c r="BL209" i="1"/>
  <c r="BM209" i="1"/>
  <c r="BD210" i="1"/>
  <c r="BD211" i="1" s="1"/>
  <c r="BE210" i="1"/>
  <c r="BF210" i="1"/>
  <c r="BF211" i="1" s="1"/>
  <c r="BG210" i="1"/>
  <c r="BG211" i="1" s="1"/>
  <c r="BI210" i="1"/>
  <c r="BL210" i="1"/>
  <c r="BM210" i="1"/>
  <c r="BT210" i="1"/>
  <c r="BS210" i="1" s="1"/>
  <c r="AZ211" i="1"/>
  <c r="AZ212" i="1" s="1"/>
  <c r="AZ213" i="1" s="1"/>
  <c r="AZ214" i="1" s="1"/>
  <c r="BE211" i="1"/>
  <c r="BI211" i="1"/>
  <c r="BL211" i="1"/>
  <c r="BM211" i="1"/>
  <c r="BD212" i="1"/>
  <c r="BE212" i="1"/>
  <c r="BF212" i="1"/>
  <c r="BG212" i="1"/>
  <c r="BL212" i="1"/>
  <c r="BM212" i="1"/>
  <c r="BD213" i="1"/>
  <c r="BE213" i="1"/>
  <c r="BF213" i="1"/>
  <c r="BG213" i="1"/>
  <c r="BI213" i="1"/>
  <c r="BL213" i="1"/>
  <c r="BM213" i="1"/>
  <c r="BD214" i="1"/>
  <c r="BE214" i="1"/>
  <c r="BE215" i="1" s="1"/>
  <c r="BF214" i="1"/>
  <c r="BF215" i="1" s="1"/>
  <c r="BG214" i="1"/>
  <c r="BG215" i="1" s="1"/>
  <c r="BI214" i="1"/>
  <c r="BL214" i="1"/>
  <c r="BM214" i="1"/>
  <c r="AZ215" i="1"/>
  <c r="AZ216" i="1" s="1"/>
  <c r="AZ217" i="1" s="1"/>
  <c r="AZ218" i="1" s="1"/>
  <c r="BD215" i="1"/>
  <c r="BI215" i="1"/>
  <c r="BL215" i="1"/>
  <c r="BM215" i="1"/>
  <c r="BD216" i="1"/>
  <c r="BE216" i="1"/>
  <c r="BF216" i="1"/>
  <c r="BG216" i="1"/>
  <c r="BI216" i="1"/>
  <c r="BL216" i="1"/>
  <c r="BM216" i="1"/>
  <c r="BD217" i="1"/>
  <c r="BD218" i="1" s="1"/>
  <c r="BE217" i="1"/>
  <c r="BE218" i="1" s="1"/>
  <c r="BF217" i="1"/>
  <c r="BF218" i="1" s="1"/>
  <c r="BG217" i="1"/>
  <c r="BG218" i="1" s="1"/>
  <c r="BI217" i="1"/>
  <c r="BL217" i="1"/>
  <c r="BM217" i="1"/>
  <c r="BI218" i="1"/>
  <c r="BL218" i="1"/>
  <c r="BM218" i="1"/>
  <c r="AZ219" i="1"/>
  <c r="AZ220" i="1" s="1"/>
  <c r="AZ221" i="1" s="1"/>
  <c r="AZ222" i="1" s="1"/>
  <c r="AZ223" i="1" s="1"/>
  <c r="AZ224" i="1" s="1"/>
  <c r="AZ225" i="1" s="1"/>
  <c r="BD219" i="1"/>
  <c r="BE219" i="1"/>
  <c r="BF219" i="1"/>
  <c r="BG219" i="1"/>
  <c r="BI219" i="1"/>
  <c r="BL219" i="1"/>
  <c r="BM219" i="1"/>
  <c r="BD220" i="1"/>
  <c r="BD221" i="1" s="1"/>
  <c r="BE220" i="1"/>
  <c r="BF220" i="1"/>
  <c r="BG220" i="1"/>
  <c r="BI220" i="1"/>
  <c r="BL220" i="1"/>
  <c r="BM220" i="1"/>
  <c r="BE221" i="1"/>
  <c r="BF221" i="1"/>
  <c r="BG221" i="1"/>
  <c r="BI221" i="1"/>
  <c r="BL221" i="1"/>
  <c r="BM221" i="1"/>
  <c r="BD222" i="1"/>
  <c r="BD223" i="1" s="1"/>
  <c r="BD224" i="1" s="1"/>
  <c r="BE222" i="1"/>
  <c r="BF222" i="1"/>
  <c r="BG222" i="1"/>
  <c r="BG223" i="1" s="1"/>
  <c r="BL222" i="1"/>
  <c r="BM222" i="1"/>
  <c r="BE223" i="1"/>
  <c r="BE224" i="1" s="1"/>
  <c r="BF223" i="1"/>
  <c r="BF224" i="1" s="1"/>
  <c r="BL223" i="1"/>
  <c r="BM223" i="1"/>
  <c r="BG224" i="1"/>
  <c r="BL224" i="1"/>
  <c r="BM224" i="1"/>
  <c r="BD225" i="1"/>
  <c r="BE225" i="1"/>
  <c r="BE226" i="1" s="1"/>
  <c r="BF225" i="1"/>
  <c r="BG225" i="1"/>
  <c r="BG226" i="1" s="1"/>
  <c r="BI225" i="1"/>
  <c r="BL225" i="1"/>
  <c r="BM225" i="1"/>
  <c r="AZ226" i="1"/>
  <c r="AZ227" i="1" s="1"/>
  <c r="BD226" i="1"/>
  <c r="BF226" i="1"/>
  <c r="BI226" i="1"/>
  <c r="BL226" i="1"/>
  <c r="BM226" i="1"/>
  <c r="BD227" i="1"/>
  <c r="BD228" i="1" s="1"/>
  <c r="BE227" i="1"/>
  <c r="BE228" i="1" s="1"/>
  <c r="BF227" i="1"/>
  <c r="BG227" i="1"/>
  <c r="BL227" i="1"/>
  <c r="BM227" i="1"/>
  <c r="AZ228" i="1"/>
  <c r="AZ229" i="1" s="1"/>
  <c r="AZ230" i="1" s="1"/>
  <c r="AZ231" i="1" s="1"/>
  <c r="AZ232" i="1" s="1"/>
  <c r="AZ233" i="1" s="1"/>
  <c r="AZ234" i="1" s="1"/>
  <c r="AZ235" i="1" s="1"/>
  <c r="AZ236" i="1" s="1"/>
  <c r="AZ237" i="1" s="1"/>
  <c r="AZ238" i="1" s="1"/>
  <c r="AZ239" i="1" s="1"/>
  <c r="AZ240" i="1" s="1"/>
  <c r="AZ241" i="1" s="1"/>
  <c r="AZ242" i="1" s="1"/>
  <c r="AZ243" i="1" s="1"/>
  <c r="AZ244" i="1" s="1"/>
  <c r="AZ245" i="1" s="1"/>
  <c r="AZ246" i="1" s="1"/>
  <c r="AZ247" i="1" s="1"/>
  <c r="AZ248" i="1" s="1"/>
  <c r="AZ249" i="1" s="1"/>
  <c r="AZ250" i="1" s="1"/>
  <c r="AZ251" i="1" s="1"/>
  <c r="AZ252" i="1" s="1"/>
  <c r="AZ253" i="1" s="1"/>
  <c r="AZ254" i="1" s="1"/>
  <c r="AZ255" i="1" s="1"/>
  <c r="AZ256" i="1" s="1"/>
  <c r="AZ257" i="1" s="1"/>
  <c r="AZ258" i="1" s="1"/>
  <c r="AZ259" i="1" s="1"/>
  <c r="AZ260" i="1" s="1"/>
  <c r="AZ261" i="1" s="1"/>
  <c r="AZ262" i="1" s="1"/>
  <c r="AZ263" i="1" s="1"/>
  <c r="AZ264" i="1" s="1"/>
  <c r="AZ265" i="1" s="1"/>
  <c r="AZ266" i="1" s="1"/>
  <c r="AZ267" i="1" s="1"/>
  <c r="AZ268" i="1" s="1"/>
  <c r="AZ269" i="1" s="1"/>
  <c r="AZ270" i="1" s="1"/>
  <c r="AZ271" i="1" s="1"/>
  <c r="AZ272" i="1" s="1"/>
  <c r="AZ273" i="1" s="1"/>
  <c r="AZ274" i="1" s="1"/>
  <c r="AZ275" i="1" s="1"/>
  <c r="AZ276" i="1" s="1"/>
  <c r="AZ277" i="1" s="1"/>
  <c r="AZ278" i="1" s="1"/>
  <c r="AZ279" i="1" s="1"/>
  <c r="AZ280" i="1" s="1"/>
  <c r="AZ281" i="1" s="1"/>
  <c r="AZ282" i="1" s="1"/>
  <c r="AZ283" i="1" s="1"/>
  <c r="AZ284" i="1" s="1"/>
  <c r="AZ285" i="1" s="1"/>
  <c r="AZ286" i="1" s="1"/>
  <c r="AZ287" i="1" s="1"/>
  <c r="AZ288" i="1" s="1"/>
  <c r="AZ289" i="1" s="1"/>
  <c r="AZ290" i="1" s="1"/>
  <c r="AZ291" i="1" s="1"/>
  <c r="AZ292" i="1" s="1"/>
  <c r="AZ293" i="1" s="1"/>
  <c r="AZ294" i="1" s="1"/>
  <c r="AZ295" i="1" s="1"/>
  <c r="AZ296" i="1" s="1"/>
  <c r="AZ297" i="1" s="1"/>
  <c r="AZ298" i="1" s="1"/>
  <c r="AZ299" i="1" s="1"/>
  <c r="AZ300" i="1" s="1"/>
  <c r="AZ301" i="1" s="1"/>
  <c r="AZ302" i="1" s="1"/>
  <c r="AZ303" i="1" s="1"/>
  <c r="AZ304" i="1" s="1"/>
  <c r="AZ305" i="1" s="1"/>
  <c r="AZ306" i="1" s="1"/>
  <c r="AZ307" i="1" s="1"/>
  <c r="AZ308" i="1" s="1"/>
  <c r="AZ309" i="1" s="1"/>
  <c r="AZ310" i="1" s="1"/>
  <c r="AZ311" i="1" s="1"/>
  <c r="AZ312" i="1" s="1"/>
  <c r="AZ313" i="1" s="1"/>
  <c r="AZ314" i="1" s="1"/>
  <c r="AZ315" i="1" s="1"/>
  <c r="AZ316" i="1" s="1"/>
  <c r="AZ317" i="1" s="1"/>
  <c r="AZ318" i="1" s="1"/>
  <c r="AZ319" i="1" s="1"/>
  <c r="AZ320" i="1" s="1"/>
  <c r="AZ321" i="1" s="1"/>
  <c r="AZ322" i="1" s="1"/>
  <c r="AZ323" i="1" s="1"/>
  <c r="AZ324" i="1" s="1"/>
  <c r="AZ325" i="1" s="1"/>
  <c r="AZ326" i="1" s="1"/>
  <c r="AZ327" i="1" s="1"/>
  <c r="AZ328" i="1" s="1"/>
  <c r="AZ329" i="1" s="1"/>
  <c r="AZ330" i="1" s="1"/>
  <c r="AZ331" i="1" s="1"/>
  <c r="AZ332" i="1" s="1"/>
  <c r="AZ333" i="1" s="1"/>
  <c r="AZ334" i="1" s="1"/>
  <c r="BF228" i="1"/>
  <c r="BG228" i="1"/>
  <c r="BL228" i="1"/>
  <c r="BM228" i="1"/>
  <c r="BD229" i="1"/>
  <c r="BE229" i="1"/>
  <c r="BE230" i="1" s="1"/>
  <c r="BF229" i="1"/>
  <c r="BF230" i="1" s="1"/>
  <c r="BG229" i="1"/>
  <c r="BG230" i="1" s="1"/>
  <c r="BG231" i="1" s="1"/>
  <c r="BI229" i="1"/>
  <c r="BL229" i="1"/>
  <c r="BM229" i="1"/>
  <c r="BD230" i="1"/>
  <c r="BD231" i="1" s="1"/>
  <c r="BI230" i="1"/>
  <c r="BL230" i="1"/>
  <c r="BM230" i="1"/>
  <c r="BE231" i="1"/>
  <c r="BF231" i="1"/>
  <c r="BI231" i="1"/>
  <c r="BL231" i="1"/>
  <c r="BM231" i="1"/>
  <c r="BD232" i="1"/>
  <c r="BE232" i="1"/>
  <c r="BE233" i="1" s="1"/>
  <c r="BF232" i="1"/>
  <c r="BF233" i="1" s="1"/>
  <c r="BG232" i="1"/>
  <c r="BG233" i="1" s="1"/>
  <c r="BL232" i="1"/>
  <c r="BM232" i="1"/>
  <c r="BD233" i="1"/>
  <c r="BL233" i="1"/>
  <c r="BM233" i="1"/>
  <c r="BD234" i="1"/>
  <c r="BD235" i="1" s="1"/>
  <c r="BE234" i="1"/>
  <c r="BF234" i="1"/>
  <c r="BF235" i="1" s="1"/>
  <c r="BG234" i="1"/>
  <c r="BI234" i="1"/>
  <c r="BL234" i="1"/>
  <c r="BM234" i="1"/>
  <c r="BE235" i="1"/>
  <c r="BG235" i="1"/>
  <c r="BG236" i="1" s="1"/>
  <c r="BI235" i="1"/>
  <c r="BL235" i="1"/>
  <c r="BM235" i="1"/>
  <c r="BD236" i="1"/>
  <c r="BE236" i="1"/>
  <c r="BF236" i="1"/>
  <c r="BI236" i="1"/>
  <c r="BL236" i="1"/>
  <c r="BM236" i="1"/>
  <c r="BD237" i="1"/>
  <c r="BD238" i="1" s="1"/>
  <c r="BE237" i="1"/>
  <c r="BE238" i="1" s="1"/>
  <c r="BF237" i="1"/>
  <c r="BG237" i="1"/>
  <c r="BG238" i="1" s="1"/>
  <c r="BL237" i="1"/>
  <c r="BM237" i="1"/>
  <c r="BF238" i="1"/>
  <c r="BL238" i="1"/>
  <c r="BM238" i="1"/>
  <c r="BD239" i="1"/>
  <c r="BD240" i="1" s="1"/>
  <c r="BD241" i="1" s="1"/>
  <c r="BE239" i="1"/>
  <c r="BF239" i="1"/>
  <c r="BF240" i="1" s="1"/>
  <c r="BF241" i="1" s="1"/>
  <c r="BG239" i="1"/>
  <c r="BI239" i="1"/>
  <c r="BL239" i="1"/>
  <c r="BM239" i="1"/>
  <c r="BE240" i="1"/>
  <c r="BE241" i="1" s="1"/>
  <c r="BG240" i="1"/>
  <c r="BG241" i="1" s="1"/>
  <c r="BI240" i="1"/>
  <c r="BL240" i="1"/>
  <c r="BM240" i="1"/>
  <c r="BI241" i="1"/>
  <c r="BL241" i="1"/>
  <c r="BM241" i="1"/>
  <c r="BD242" i="1"/>
  <c r="BD243" i="1" s="1"/>
  <c r="BD244" i="1" s="1"/>
  <c r="BE242" i="1"/>
  <c r="BF242" i="1"/>
  <c r="BF243" i="1" s="1"/>
  <c r="BF244" i="1" s="1"/>
  <c r="BG242" i="1"/>
  <c r="BL242" i="1"/>
  <c r="BM242" i="1"/>
  <c r="BE243" i="1"/>
  <c r="BE244" i="1" s="1"/>
  <c r="BG243" i="1"/>
  <c r="BL243" i="1"/>
  <c r="BM243" i="1"/>
  <c r="BG244" i="1"/>
  <c r="BL244" i="1"/>
  <c r="BM244" i="1"/>
  <c r="BD245" i="1"/>
  <c r="BE245" i="1"/>
  <c r="BE246" i="1" s="1"/>
  <c r="BE247" i="1" s="1"/>
  <c r="BF245" i="1"/>
  <c r="BG245" i="1"/>
  <c r="BI245" i="1"/>
  <c r="BL245" i="1"/>
  <c r="BM245" i="1"/>
  <c r="BD246" i="1"/>
  <c r="BD247" i="1" s="1"/>
  <c r="BF246" i="1"/>
  <c r="BF247" i="1" s="1"/>
  <c r="BG246" i="1"/>
  <c r="BG247" i="1" s="1"/>
  <c r="BG248" i="1" s="1"/>
  <c r="BI246" i="1"/>
  <c r="BL246" i="1"/>
  <c r="BM246" i="1"/>
  <c r="BI247" i="1"/>
  <c r="BL247" i="1"/>
  <c r="BM247" i="1"/>
  <c r="BD248" i="1"/>
  <c r="BE248" i="1"/>
  <c r="BF248" i="1"/>
  <c r="BI248" i="1"/>
  <c r="BL248" i="1"/>
  <c r="BM248" i="1"/>
  <c r="BD249" i="1"/>
  <c r="BE249" i="1"/>
  <c r="BE250" i="1" s="1"/>
  <c r="BE251" i="1" s="1"/>
  <c r="BF249" i="1"/>
  <c r="BF250" i="1" s="1"/>
  <c r="BG249" i="1"/>
  <c r="BI249" i="1"/>
  <c r="BL249" i="1"/>
  <c r="BM249" i="1"/>
  <c r="BD250" i="1"/>
  <c r="BD251" i="1" s="1"/>
  <c r="BD252" i="1" s="1"/>
  <c r="BG250" i="1"/>
  <c r="BI250" i="1"/>
  <c r="BL250" i="1"/>
  <c r="BM250" i="1"/>
  <c r="BF251" i="1"/>
  <c r="BF252" i="1" s="1"/>
  <c r="BG251" i="1"/>
  <c r="BI251" i="1"/>
  <c r="BL251" i="1"/>
  <c r="BM251" i="1"/>
  <c r="BE252" i="1"/>
  <c r="BG252" i="1"/>
  <c r="BI252" i="1"/>
  <c r="BL252" i="1"/>
  <c r="BM252" i="1"/>
  <c r="BD253" i="1"/>
  <c r="BE253" i="1"/>
  <c r="BF253" i="1"/>
  <c r="BG253" i="1"/>
  <c r="BI253" i="1"/>
  <c r="BL253" i="1"/>
  <c r="BM253" i="1"/>
  <c r="BD254" i="1"/>
  <c r="BE254" i="1"/>
  <c r="BF254" i="1"/>
  <c r="BG254" i="1"/>
  <c r="BK254" i="1"/>
  <c r="BL254" i="1"/>
  <c r="BM254" i="1"/>
  <c r="BD255" i="1"/>
  <c r="BD256" i="1" s="1"/>
  <c r="BE255" i="1"/>
  <c r="BE256" i="1" s="1"/>
  <c r="BF255" i="1"/>
  <c r="BG255" i="1"/>
  <c r="BL255" i="1"/>
  <c r="BM255" i="1"/>
  <c r="BT255" i="1"/>
  <c r="BS255" i="1" s="1"/>
  <c r="BF256" i="1"/>
  <c r="BG256" i="1"/>
  <c r="BL256" i="1"/>
  <c r="BM256" i="1"/>
  <c r="BD257" i="1"/>
  <c r="BE257" i="1"/>
  <c r="BF257" i="1"/>
  <c r="BG257" i="1"/>
  <c r="BL257" i="1"/>
  <c r="BM257" i="1"/>
  <c r="BD258" i="1"/>
  <c r="BE258" i="1"/>
  <c r="BF258" i="1"/>
  <c r="BF259" i="1" s="1"/>
  <c r="BF260" i="1" s="1"/>
  <c r="BG258" i="1"/>
  <c r="BL258" i="1"/>
  <c r="BM258" i="1"/>
  <c r="BT258" i="1"/>
  <c r="BS258" i="1" s="1"/>
  <c r="BD259" i="1"/>
  <c r="BD260" i="1" s="1"/>
  <c r="BE259" i="1"/>
  <c r="BG259" i="1"/>
  <c r="BL259" i="1"/>
  <c r="BM259" i="1"/>
  <c r="BE260" i="1"/>
  <c r="BG260" i="1"/>
  <c r="BL260" i="1"/>
  <c r="BM260" i="1"/>
  <c r="BD261" i="1"/>
  <c r="BE261" i="1"/>
  <c r="BF261" i="1"/>
  <c r="BG261" i="1"/>
  <c r="BL261" i="1"/>
  <c r="BM261" i="1"/>
  <c r="BT261" i="1"/>
  <c r="BS261" i="1" s="1"/>
  <c r="BD262" i="1"/>
  <c r="BD263" i="1" s="1"/>
  <c r="BE262" i="1"/>
  <c r="BF262" i="1"/>
  <c r="BG262" i="1"/>
  <c r="BG263" i="1" s="1"/>
  <c r="BL262" i="1"/>
  <c r="BM262" i="1"/>
  <c r="BE263" i="1"/>
  <c r="BF263" i="1"/>
  <c r="BL263" i="1"/>
  <c r="BM263" i="1"/>
  <c r="BD264" i="1"/>
  <c r="BE264" i="1"/>
  <c r="BF264" i="1"/>
  <c r="BF265" i="1" s="1"/>
  <c r="BF266" i="1" s="1"/>
  <c r="BG264" i="1"/>
  <c r="BG265" i="1" s="1"/>
  <c r="BG266" i="1" s="1"/>
  <c r="BL264" i="1"/>
  <c r="BM264" i="1"/>
  <c r="BD265" i="1"/>
  <c r="BD266" i="1" s="1"/>
  <c r="BE265" i="1"/>
  <c r="BE266" i="1" s="1"/>
  <c r="BL265" i="1"/>
  <c r="BM265" i="1"/>
  <c r="BL266" i="1"/>
  <c r="BM266" i="1"/>
  <c r="BD267" i="1"/>
  <c r="BE267" i="1"/>
  <c r="BF267" i="1"/>
  <c r="BG267" i="1"/>
  <c r="BL267" i="1"/>
  <c r="BM267" i="1"/>
  <c r="BT267" i="1"/>
  <c r="BS267" i="1" s="1"/>
  <c r="BD268" i="1"/>
  <c r="BE268" i="1"/>
  <c r="BF268" i="1"/>
  <c r="BG268" i="1"/>
  <c r="BL268" i="1"/>
  <c r="BM268" i="1"/>
  <c r="BD269" i="1"/>
  <c r="BE269" i="1"/>
  <c r="BF269" i="1"/>
  <c r="BG269" i="1"/>
  <c r="BL269" i="1"/>
  <c r="BM269" i="1"/>
  <c r="BD270" i="1"/>
  <c r="BE270" i="1"/>
  <c r="BF270" i="1"/>
  <c r="BG270" i="1"/>
  <c r="BL270" i="1"/>
  <c r="BM270" i="1"/>
  <c r="BD271" i="1"/>
  <c r="BD272" i="1" s="1"/>
  <c r="BE271" i="1"/>
  <c r="BF271" i="1"/>
  <c r="BG271" i="1"/>
  <c r="BL271" i="1"/>
  <c r="BM271" i="1"/>
  <c r="BE272" i="1"/>
  <c r="BF272" i="1"/>
  <c r="BG272" i="1"/>
  <c r="BL272" i="1"/>
  <c r="BM272" i="1"/>
  <c r="BT272" i="1"/>
  <c r="BS272" i="1" s="1"/>
  <c r="BD273" i="1"/>
  <c r="BE273" i="1"/>
  <c r="BE274" i="1" s="1"/>
  <c r="BF273" i="1"/>
  <c r="BG273" i="1"/>
  <c r="BG274" i="1" s="1"/>
  <c r="BG275" i="1" s="1"/>
  <c r="BL273" i="1"/>
  <c r="BM273" i="1"/>
  <c r="BT273" i="1"/>
  <c r="BS273" i="1" s="1"/>
  <c r="BD274" i="1"/>
  <c r="BF274" i="1"/>
  <c r="BF275" i="1" s="1"/>
  <c r="BL274" i="1"/>
  <c r="BM274" i="1"/>
  <c r="BD275" i="1"/>
  <c r="BE275" i="1"/>
  <c r="BL275" i="1"/>
  <c r="BM275" i="1"/>
  <c r="BD276" i="1"/>
  <c r="BE276" i="1"/>
  <c r="BF276" i="1"/>
  <c r="BG276" i="1"/>
  <c r="BL276" i="1"/>
  <c r="BM276" i="1"/>
  <c r="BD277" i="1"/>
  <c r="BD278" i="1" s="1"/>
  <c r="BE277" i="1"/>
  <c r="BE278" i="1" s="1"/>
  <c r="BF277" i="1"/>
  <c r="BF278" i="1" s="1"/>
  <c r="BG277" i="1"/>
  <c r="BL277" i="1"/>
  <c r="BM277" i="1"/>
  <c r="BG278" i="1"/>
  <c r="BL278" i="1"/>
  <c r="BM278" i="1"/>
  <c r="BD279" i="1"/>
  <c r="BE279" i="1"/>
  <c r="BF279" i="1"/>
  <c r="BG279" i="1"/>
  <c r="BL279" i="1"/>
  <c r="BM279" i="1"/>
  <c r="BD280" i="1"/>
  <c r="BE280" i="1"/>
  <c r="BE281" i="1" s="1"/>
  <c r="BF280" i="1"/>
  <c r="BG280" i="1"/>
  <c r="BL280" i="1"/>
  <c r="BM280" i="1"/>
  <c r="BD281" i="1"/>
  <c r="BF281" i="1"/>
  <c r="BG281" i="1"/>
  <c r="BL281" i="1"/>
  <c r="BM281" i="1"/>
  <c r="BT281" i="1"/>
  <c r="BS281" i="1" s="1"/>
  <c r="BD282" i="1"/>
  <c r="BE282" i="1"/>
  <c r="BF282" i="1"/>
  <c r="BG282" i="1"/>
  <c r="BG283" i="1" s="1"/>
  <c r="BG284" i="1" s="1"/>
  <c r="BL282" i="1"/>
  <c r="BM282" i="1"/>
  <c r="BD283" i="1"/>
  <c r="BE283" i="1"/>
  <c r="BE284" i="1" s="1"/>
  <c r="BF283" i="1"/>
  <c r="BL283" i="1"/>
  <c r="BM283" i="1"/>
  <c r="BD284" i="1"/>
  <c r="BF284" i="1"/>
  <c r="BL284" i="1"/>
  <c r="BM284" i="1"/>
  <c r="BD285" i="1"/>
  <c r="BE285" i="1"/>
  <c r="BF285" i="1"/>
  <c r="BG285" i="1"/>
  <c r="BL285" i="1"/>
  <c r="BM285" i="1"/>
  <c r="BD286" i="1"/>
  <c r="BE286" i="1"/>
  <c r="BF286" i="1"/>
  <c r="BG286" i="1"/>
  <c r="BL286" i="1"/>
  <c r="BM286" i="1"/>
  <c r="BD287" i="1"/>
  <c r="BD288" i="1" s="1"/>
  <c r="BD289" i="1" s="1"/>
  <c r="BE287" i="1"/>
  <c r="BF287" i="1"/>
  <c r="BG287" i="1"/>
  <c r="BL287" i="1"/>
  <c r="BM287" i="1"/>
  <c r="BE288" i="1"/>
  <c r="BE289" i="1" s="1"/>
  <c r="BF288" i="1"/>
  <c r="BG288" i="1"/>
  <c r="BL288" i="1"/>
  <c r="BM288" i="1"/>
  <c r="BF289" i="1"/>
  <c r="BG289" i="1"/>
  <c r="BL289" i="1"/>
  <c r="BM289" i="1"/>
  <c r="BD290" i="1"/>
  <c r="BD291" i="1" s="1"/>
  <c r="BE290" i="1"/>
  <c r="BF290" i="1"/>
  <c r="BG290" i="1"/>
  <c r="BL290" i="1"/>
  <c r="BM290" i="1"/>
  <c r="BE291" i="1"/>
  <c r="BF291" i="1"/>
  <c r="BG291" i="1"/>
  <c r="BL291" i="1"/>
  <c r="BM291" i="1"/>
  <c r="BD292" i="1"/>
  <c r="BE292" i="1"/>
  <c r="BF292" i="1"/>
  <c r="BG292" i="1"/>
  <c r="BL292" i="1"/>
  <c r="BM292" i="1"/>
  <c r="BT292" i="1"/>
  <c r="BS292" i="1" s="1"/>
  <c r="BD293" i="1"/>
  <c r="BD294" i="1" s="1"/>
  <c r="BE293" i="1"/>
  <c r="BE294" i="1" s="1"/>
  <c r="BF293" i="1"/>
  <c r="BG293" i="1"/>
  <c r="BL293" i="1"/>
  <c r="BM293" i="1"/>
  <c r="BF294" i="1"/>
  <c r="BG294" i="1"/>
  <c r="BL294" i="1"/>
  <c r="BM294" i="1"/>
  <c r="BD295" i="1"/>
  <c r="BE295" i="1"/>
  <c r="BF295" i="1"/>
  <c r="BF296" i="1" s="1"/>
  <c r="BG295" i="1"/>
  <c r="BL295" i="1"/>
  <c r="BM295" i="1"/>
  <c r="BD296" i="1"/>
  <c r="BE296" i="1"/>
  <c r="BG296" i="1"/>
  <c r="BL296" i="1"/>
  <c r="BM296" i="1"/>
  <c r="BD297" i="1"/>
  <c r="BE297" i="1"/>
  <c r="BF297" i="1"/>
  <c r="BG297" i="1"/>
  <c r="BL297" i="1"/>
  <c r="BM297" i="1"/>
  <c r="BD298" i="1"/>
  <c r="BE298" i="1"/>
  <c r="BF298" i="1"/>
  <c r="BG298" i="1"/>
  <c r="BG299" i="1" s="1"/>
  <c r="BL298" i="1"/>
  <c r="BM298" i="1"/>
  <c r="BD299" i="1"/>
  <c r="BE299" i="1"/>
  <c r="BF299" i="1"/>
  <c r="BL299" i="1"/>
  <c r="BM299" i="1"/>
  <c r="BD300" i="1"/>
  <c r="BE300" i="1"/>
  <c r="BF300" i="1"/>
  <c r="BG300" i="1"/>
  <c r="BG301" i="1" s="1"/>
  <c r="BL300" i="1"/>
  <c r="BM300" i="1"/>
  <c r="BD301" i="1"/>
  <c r="BE301" i="1"/>
  <c r="BF301" i="1"/>
  <c r="BL301" i="1"/>
  <c r="BM301" i="1"/>
  <c r="BD302" i="1"/>
  <c r="BE302" i="1"/>
  <c r="BF302" i="1"/>
  <c r="BG302" i="1"/>
  <c r="BL302" i="1"/>
  <c r="BM302" i="1"/>
  <c r="BD303" i="1"/>
  <c r="BE303" i="1"/>
  <c r="BF303" i="1"/>
  <c r="BG303" i="1"/>
  <c r="BL303" i="1"/>
  <c r="BM303" i="1"/>
  <c r="BD304" i="1"/>
  <c r="BE304" i="1"/>
  <c r="BF304" i="1"/>
  <c r="BG304" i="1"/>
  <c r="BL304" i="1"/>
  <c r="BM304" i="1"/>
  <c r="BD305" i="1"/>
  <c r="BD306" i="1" s="1"/>
  <c r="BE305" i="1"/>
  <c r="BE306" i="1" s="1"/>
  <c r="BF305" i="1"/>
  <c r="BF306" i="1" s="1"/>
  <c r="BG305" i="1"/>
  <c r="BG306" i="1" s="1"/>
  <c r="BL305" i="1"/>
  <c r="BM305" i="1"/>
  <c r="BT305" i="1"/>
  <c r="BS305" i="1" s="1"/>
  <c r="BL306" i="1"/>
  <c r="BM306" i="1"/>
  <c r="BD307" i="1"/>
  <c r="BD308" i="1" s="1"/>
  <c r="BE307" i="1"/>
  <c r="BF307" i="1"/>
  <c r="BG307" i="1"/>
  <c r="BL307" i="1"/>
  <c r="BM307" i="1"/>
  <c r="BE308" i="1"/>
  <c r="BF308" i="1"/>
  <c r="BG308" i="1"/>
  <c r="BL308" i="1"/>
  <c r="BM308" i="1"/>
  <c r="BD309" i="1"/>
  <c r="BE309" i="1"/>
  <c r="BF309" i="1"/>
  <c r="BF310" i="1" s="1"/>
  <c r="BG309" i="1"/>
  <c r="BG310" i="1" s="1"/>
  <c r="BL309" i="1"/>
  <c r="BM309" i="1"/>
  <c r="BD310" i="1"/>
  <c r="BE310" i="1"/>
  <c r="BL310" i="1"/>
  <c r="BM310" i="1"/>
  <c r="BD311" i="1"/>
  <c r="BE311" i="1"/>
  <c r="BF311" i="1"/>
  <c r="BG311" i="1"/>
  <c r="BL311" i="1"/>
  <c r="BM311" i="1"/>
  <c r="BD312" i="1"/>
  <c r="BE312" i="1"/>
  <c r="BE313" i="1" s="1"/>
  <c r="BE314" i="1" s="1"/>
  <c r="BF312" i="1"/>
  <c r="BG312" i="1"/>
  <c r="BL312" i="1"/>
  <c r="BM312" i="1"/>
  <c r="BD313" i="1"/>
  <c r="BF313" i="1"/>
  <c r="BF314" i="1" s="1"/>
  <c r="BG313" i="1"/>
  <c r="BL313" i="1"/>
  <c r="BM313" i="1"/>
  <c r="BD314" i="1"/>
  <c r="BG314" i="1"/>
  <c r="BL314" i="1"/>
  <c r="BM314" i="1"/>
  <c r="BD315" i="1"/>
  <c r="BE315" i="1"/>
  <c r="BE316" i="1" s="1"/>
  <c r="BE317" i="1" s="1"/>
  <c r="BF315" i="1"/>
  <c r="BG315" i="1"/>
  <c r="BG316" i="1" s="1"/>
  <c r="BL315" i="1"/>
  <c r="BM315" i="1"/>
  <c r="BD316" i="1"/>
  <c r="BD317" i="1" s="1"/>
  <c r="BF316" i="1"/>
  <c r="BF317" i="1" s="1"/>
  <c r="BL316" i="1"/>
  <c r="BM316" i="1"/>
  <c r="BG317" i="1"/>
  <c r="BL317" i="1"/>
  <c r="BM317" i="1"/>
  <c r="BD318" i="1"/>
  <c r="BE318" i="1"/>
  <c r="BE319" i="1" s="1"/>
  <c r="BF318" i="1"/>
  <c r="BF319" i="1" s="1"/>
  <c r="BF320" i="1" s="1"/>
  <c r="BG318" i="1"/>
  <c r="BG319" i="1" s="1"/>
  <c r="BL318" i="1"/>
  <c r="BM318" i="1"/>
  <c r="BD319" i="1"/>
  <c r="BD320" i="1" s="1"/>
  <c r="BL319" i="1"/>
  <c r="BM319" i="1"/>
  <c r="BE320" i="1"/>
  <c r="BG320" i="1"/>
  <c r="BL320" i="1"/>
  <c r="BM320" i="1"/>
  <c r="BD321" i="1"/>
  <c r="BE321" i="1"/>
  <c r="BF321" i="1"/>
  <c r="BG321" i="1"/>
  <c r="BL321" i="1"/>
  <c r="BM321" i="1"/>
  <c r="BD322" i="1"/>
  <c r="BE322" i="1"/>
  <c r="BF322" i="1"/>
  <c r="BG322" i="1"/>
  <c r="BL322" i="1"/>
  <c r="BM322" i="1"/>
  <c r="BD323" i="1"/>
  <c r="BD324" i="1" s="1"/>
  <c r="BD325" i="1" s="1"/>
  <c r="BD326" i="1" s="1"/>
  <c r="BE323" i="1"/>
  <c r="BE324" i="1" s="1"/>
  <c r="BE325" i="1" s="1"/>
  <c r="BE326" i="1" s="1"/>
  <c r="BF323" i="1"/>
  <c r="BG323" i="1"/>
  <c r="BG324" i="1" s="1"/>
  <c r="BG325" i="1" s="1"/>
  <c r="BG326" i="1" s="1"/>
  <c r="BL323" i="1"/>
  <c r="BM323" i="1"/>
  <c r="BF324" i="1"/>
  <c r="BF325" i="1" s="1"/>
  <c r="BF326" i="1" s="1"/>
  <c r="BL324" i="1"/>
  <c r="BM324" i="1"/>
  <c r="BL325" i="1"/>
  <c r="BM325" i="1"/>
  <c r="BL326" i="1"/>
  <c r="BM326" i="1"/>
  <c r="BD327" i="1"/>
  <c r="BE327" i="1"/>
  <c r="BE328" i="1" s="1"/>
  <c r="BF327" i="1"/>
  <c r="BF328" i="1" s="1"/>
  <c r="BG327" i="1"/>
  <c r="BL327" i="1"/>
  <c r="BM327" i="1"/>
  <c r="BD328" i="1"/>
  <c r="BG328" i="1"/>
  <c r="BL328" i="1"/>
  <c r="BM328" i="1"/>
  <c r="BD329" i="1"/>
  <c r="BE329" i="1"/>
  <c r="BF329" i="1"/>
  <c r="BG329" i="1"/>
  <c r="BL329" i="1"/>
  <c r="BM329" i="1"/>
  <c r="BD330" i="1"/>
  <c r="BD331" i="1" s="1"/>
  <c r="BD332" i="1" s="1"/>
  <c r="BE330" i="1"/>
  <c r="BE331" i="1" s="1"/>
  <c r="BE332" i="1" s="1"/>
  <c r="BF330" i="1"/>
  <c r="BF331" i="1" s="1"/>
  <c r="BF332" i="1" s="1"/>
  <c r="BG330" i="1"/>
  <c r="BG331" i="1" s="1"/>
  <c r="BG332" i="1" s="1"/>
  <c r="BL330" i="1"/>
  <c r="BM330" i="1"/>
  <c r="BT330" i="1"/>
  <c r="BS330" i="1" s="1"/>
  <c r="BL331" i="1"/>
  <c r="BM331" i="1"/>
  <c r="BL332" i="1"/>
  <c r="BM332" i="1"/>
  <c r="BD333" i="1"/>
  <c r="BE333" i="1"/>
  <c r="BF333" i="1"/>
  <c r="BG333" i="1"/>
  <c r="BL333" i="1"/>
  <c r="BM333" i="1"/>
  <c r="BT333" i="1"/>
  <c r="BS333" i="1" s="1"/>
  <c r="BD334" i="1"/>
  <c r="BE334" i="1"/>
  <c r="BF334" i="1"/>
  <c r="BF335" i="1" s="1"/>
  <c r="BF336" i="1" s="1"/>
  <c r="BF337" i="1" s="1"/>
  <c r="BG334" i="1"/>
  <c r="BL334" i="1"/>
  <c r="BM334" i="1"/>
  <c r="BT334" i="1"/>
  <c r="BS334" i="1" s="1"/>
  <c r="AZ335" i="1"/>
  <c r="AZ336" i="1" s="1"/>
  <c r="AZ337" i="1" s="1"/>
  <c r="AZ338" i="1" s="1"/>
  <c r="AZ339" i="1" s="1"/>
  <c r="AZ340" i="1" s="1"/>
  <c r="BD335" i="1"/>
  <c r="BD336" i="1" s="1"/>
  <c r="BE335" i="1"/>
  <c r="BE336" i="1" s="1"/>
  <c r="BE337" i="1" s="1"/>
  <c r="BG335" i="1"/>
  <c r="BL335" i="1"/>
  <c r="BM335" i="1"/>
  <c r="BG336" i="1"/>
  <c r="BL336" i="1"/>
  <c r="BM336" i="1"/>
  <c r="BD337" i="1"/>
  <c r="BG337" i="1"/>
  <c r="BL337" i="1"/>
  <c r="BM337" i="1"/>
  <c r="BD338" i="1"/>
  <c r="BE338" i="1"/>
  <c r="BF338" i="1"/>
  <c r="BG338" i="1"/>
  <c r="BL338" i="1"/>
  <c r="BM338" i="1"/>
  <c r="BD339" i="1"/>
  <c r="BE339" i="1"/>
  <c r="BF339" i="1"/>
  <c r="BF340" i="1" s="1"/>
  <c r="BG339" i="1"/>
  <c r="BL339" i="1"/>
  <c r="BM339" i="1"/>
  <c r="BD340" i="1"/>
  <c r="BE340" i="1"/>
  <c r="BE341" i="1" s="1"/>
  <c r="BG340" i="1"/>
  <c r="BG341" i="1" s="1"/>
  <c r="BL340" i="1"/>
  <c r="BM340" i="1"/>
  <c r="AZ341" i="1"/>
  <c r="AZ342" i="1" s="1"/>
  <c r="AZ343" i="1" s="1"/>
  <c r="AZ344" i="1" s="1"/>
  <c r="AZ345" i="1" s="1"/>
  <c r="AZ346" i="1" s="1"/>
  <c r="AZ347" i="1" s="1"/>
  <c r="AZ348" i="1" s="1"/>
  <c r="AZ349" i="1" s="1"/>
  <c r="BD341" i="1"/>
  <c r="BF341" i="1"/>
  <c r="BL341" i="1"/>
  <c r="BM341" i="1"/>
  <c r="BD342" i="1"/>
  <c r="BE342" i="1"/>
  <c r="BF342" i="1"/>
  <c r="BG342" i="1"/>
  <c r="BG343" i="1" s="1"/>
  <c r="BG344" i="1" s="1"/>
  <c r="BG345" i="1" s="1"/>
  <c r="BL342" i="1"/>
  <c r="BM342" i="1"/>
  <c r="BT342" i="1"/>
  <c r="BS342" i="1" s="1"/>
  <c r="BD343" i="1"/>
  <c r="BE343" i="1"/>
  <c r="BE344" i="1" s="1"/>
  <c r="BE345" i="1" s="1"/>
  <c r="BF343" i="1"/>
  <c r="BL343" i="1"/>
  <c r="BM343" i="1"/>
  <c r="BD344" i="1"/>
  <c r="BD345" i="1" s="1"/>
  <c r="BF344" i="1"/>
  <c r="BL344" i="1"/>
  <c r="BM344" i="1"/>
  <c r="BF345" i="1"/>
  <c r="BL345" i="1"/>
  <c r="BM345" i="1"/>
  <c r="BD346" i="1"/>
  <c r="BE346" i="1"/>
  <c r="BE347" i="1" s="1"/>
  <c r="BE348" i="1" s="1"/>
  <c r="BF346" i="1"/>
  <c r="BG346" i="1"/>
  <c r="BG347" i="1" s="1"/>
  <c r="BL346" i="1"/>
  <c r="BM346" i="1"/>
  <c r="BD347" i="1"/>
  <c r="BD348" i="1" s="1"/>
  <c r="BF347" i="1"/>
  <c r="BL347" i="1"/>
  <c r="BM347" i="1"/>
  <c r="BF348" i="1"/>
  <c r="BF349" i="1" s="1"/>
  <c r="BG348" i="1"/>
  <c r="BL348" i="1"/>
  <c r="BM348" i="1"/>
  <c r="BD349" i="1"/>
  <c r="BE349" i="1"/>
  <c r="BG349" i="1"/>
  <c r="BL349" i="1"/>
  <c r="BM349" i="1"/>
  <c r="AZ350" i="1"/>
  <c r="AZ351" i="1" s="1"/>
  <c r="AZ352" i="1" s="1"/>
  <c r="AZ353" i="1" s="1"/>
  <c r="AZ354" i="1" s="1"/>
  <c r="AZ355" i="1" s="1"/>
  <c r="AZ356" i="1" s="1"/>
  <c r="AZ357" i="1" s="1"/>
  <c r="AZ358" i="1" s="1"/>
  <c r="AZ359" i="1" s="1"/>
  <c r="AZ360" i="1" s="1"/>
  <c r="AZ361" i="1" s="1"/>
  <c r="AZ362" i="1" s="1"/>
  <c r="AZ363" i="1" s="1"/>
  <c r="AZ364" i="1" s="1"/>
  <c r="AZ365" i="1" s="1"/>
  <c r="AZ366" i="1" s="1"/>
  <c r="AZ367" i="1" s="1"/>
  <c r="AZ368" i="1" s="1"/>
  <c r="AZ369" i="1" s="1"/>
  <c r="AZ370" i="1" s="1"/>
  <c r="AZ371" i="1" s="1"/>
  <c r="AZ372" i="1" s="1"/>
  <c r="AZ373" i="1" s="1"/>
  <c r="AZ374" i="1" s="1"/>
  <c r="AZ375" i="1" s="1"/>
  <c r="AZ376" i="1" s="1"/>
  <c r="AZ377" i="1" s="1"/>
  <c r="AZ378" i="1" s="1"/>
  <c r="AZ379" i="1" s="1"/>
  <c r="AZ380" i="1" s="1"/>
  <c r="BD350" i="1"/>
  <c r="BE350" i="1"/>
  <c r="BF350" i="1"/>
  <c r="BF351" i="1" s="1"/>
  <c r="BG350" i="1"/>
  <c r="BL350" i="1"/>
  <c r="BM350" i="1"/>
  <c r="BD351" i="1"/>
  <c r="BE351" i="1"/>
  <c r="BE352" i="1" s="1"/>
  <c r="BG351" i="1"/>
  <c r="BL351" i="1"/>
  <c r="BM351" i="1"/>
  <c r="BD352" i="1"/>
  <c r="BF352" i="1"/>
  <c r="BG352" i="1"/>
  <c r="BL352" i="1"/>
  <c r="BM352" i="1"/>
  <c r="BD353" i="1"/>
  <c r="BE353" i="1"/>
  <c r="BF353" i="1"/>
  <c r="BG353" i="1"/>
  <c r="BL353" i="1"/>
  <c r="BM353" i="1"/>
  <c r="BD354" i="1"/>
  <c r="BE354" i="1"/>
  <c r="BE355" i="1" s="1"/>
  <c r="BF354" i="1"/>
  <c r="BG354" i="1"/>
  <c r="BG355" i="1" s="1"/>
  <c r="BL354" i="1"/>
  <c r="BM354" i="1"/>
  <c r="BD355" i="1"/>
  <c r="BF355" i="1"/>
  <c r="BL355" i="1"/>
  <c r="BM355" i="1"/>
  <c r="BD356" i="1"/>
  <c r="BD357" i="1" s="1"/>
  <c r="BD358" i="1" s="1"/>
  <c r="BE356" i="1"/>
  <c r="BF356" i="1"/>
  <c r="BF357" i="1" s="1"/>
  <c r="BG356" i="1"/>
  <c r="BG357" i="1" s="1"/>
  <c r="BL356" i="1"/>
  <c r="BM356" i="1"/>
  <c r="BE357" i="1"/>
  <c r="BE358" i="1" s="1"/>
  <c r="BL357" i="1"/>
  <c r="BM357" i="1"/>
  <c r="BF358" i="1"/>
  <c r="BF359" i="1" s="1"/>
  <c r="BG358" i="1"/>
  <c r="BL358" i="1"/>
  <c r="BM358" i="1"/>
  <c r="BD359" i="1"/>
  <c r="BE359" i="1"/>
  <c r="BG359" i="1"/>
  <c r="BL359" i="1"/>
  <c r="BM359" i="1"/>
  <c r="BD360" i="1"/>
  <c r="BE360" i="1"/>
  <c r="BF360" i="1"/>
  <c r="BG360" i="1"/>
  <c r="BL360" i="1"/>
  <c r="BM360" i="1"/>
  <c r="BD361" i="1"/>
  <c r="BE361" i="1"/>
  <c r="BF361" i="1"/>
  <c r="BF362" i="1" s="1"/>
  <c r="BG361" i="1"/>
  <c r="BL361" i="1"/>
  <c r="BM361" i="1"/>
  <c r="BD362" i="1"/>
  <c r="BE362" i="1"/>
  <c r="BG362" i="1"/>
  <c r="BL362" i="1"/>
  <c r="BM362" i="1"/>
  <c r="BD363" i="1"/>
  <c r="BD364" i="1" s="1"/>
  <c r="BE363" i="1"/>
  <c r="BE364" i="1" s="1"/>
  <c r="BF363" i="1"/>
  <c r="BF364" i="1" s="1"/>
  <c r="BG363" i="1"/>
  <c r="BL363" i="1"/>
  <c r="BM363" i="1"/>
  <c r="BT363" i="1"/>
  <c r="BS363" i="1" s="1"/>
  <c r="BG364" i="1"/>
  <c r="BL364" i="1"/>
  <c r="BM364" i="1"/>
  <c r="BD365" i="1"/>
  <c r="BE365" i="1"/>
  <c r="BF365" i="1"/>
  <c r="BG365" i="1"/>
  <c r="BL365" i="1"/>
  <c r="BM365" i="1"/>
  <c r="BD366" i="1"/>
  <c r="BD367" i="1" s="1"/>
  <c r="BE366" i="1"/>
  <c r="BE367" i="1" s="1"/>
  <c r="BF366" i="1"/>
  <c r="BF367" i="1" s="1"/>
  <c r="BG366" i="1"/>
  <c r="BL366" i="1"/>
  <c r="BM366" i="1"/>
  <c r="BG367" i="1"/>
  <c r="BL367" i="1"/>
  <c r="BM367" i="1"/>
  <c r="BD368" i="1"/>
  <c r="BE368" i="1"/>
  <c r="BF368" i="1"/>
  <c r="BF369" i="1" s="1"/>
  <c r="BF370" i="1" s="1"/>
  <c r="BG368" i="1"/>
  <c r="BL368" i="1"/>
  <c r="BM368" i="1"/>
  <c r="BD369" i="1"/>
  <c r="BD370" i="1" s="1"/>
  <c r="BE369" i="1"/>
  <c r="BE370" i="1" s="1"/>
  <c r="BG369" i="1"/>
  <c r="BL369" i="1"/>
  <c r="BM369" i="1"/>
  <c r="BG370" i="1"/>
  <c r="BL370" i="1"/>
  <c r="BM370" i="1"/>
  <c r="BD371" i="1"/>
  <c r="BE371" i="1"/>
  <c r="BF371" i="1"/>
  <c r="BG371" i="1"/>
  <c r="BL371" i="1"/>
  <c r="BM371" i="1"/>
  <c r="BD372" i="1"/>
  <c r="BE372" i="1"/>
  <c r="BF372" i="1"/>
  <c r="BG372" i="1"/>
  <c r="BL372" i="1"/>
  <c r="BM372" i="1"/>
  <c r="BD373" i="1"/>
  <c r="BD374" i="1" s="1"/>
  <c r="BE373" i="1"/>
  <c r="BF373" i="1"/>
  <c r="BG373" i="1"/>
  <c r="BL373" i="1"/>
  <c r="BM373" i="1"/>
  <c r="BE374" i="1"/>
  <c r="BF374" i="1"/>
  <c r="BG374" i="1"/>
  <c r="BG375" i="1" s="1"/>
  <c r="BG376" i="1" s="1"/>
  <c r="BL374" i="1"/>
  <c r="BM374" i="1"/>
  <c r="BD375" i="1"/>
  <c r="BD376" i="1" s="1"/>
  <c r="BE375" i="1"/>
  <c r="BE376" i="1" s="1"/>
  <c r="BF375" i="1"/>
  <c r="BF376" i="1" s="1"/>
  <c r="BL375" i="1"/>
  <c r="BM375" i="1"/>
  <c r="BL376" i="1"/>
  <c r="BM376" i="1"/>
  <c r="BD377" i="1"/>
  <c r="BD378" i="1" s="1"/>
  <c r="BE377" i="1"/>
  <c r="BF377" i="1"/>
  <c r="BG377" i="1"/>
  <c r="BL377" i="1"/>
  <c r="BM377" i="1"/>
  <c r="BE378" i="1"/>
  <c r="BE379" i="1" s="1"/>
  <c r="BF378" i="1"/>
  <c r="BG378" i="1"/>
  <c r="BG379" i="1" s="1"/>
  <c r="BL378" i="1"/>
  <c r="BM378" i="1"/>
  <c r="BD379" i="1"/>
  <c r="BF379" i="1"/>
  <c r="BL379" i="1"/>
  <c r="BM379" i="1"/>
  <c r="BD380" i="1"/>
  <c r="BE380" i="1"/>
  <c r="BF380" i="1"/>
  <c r="BG380" i="1"/>
  <c r="BG381" i="1" s="1"/>
  <c r="BL380" i="1"/>
  <c r="BM380" i="1"/>
  <c r="AZ381" i="1"/>
  <c r="AZ382" i="1" s="1"/>
  <c r="AZ383" i="1" s="1"/>
  <c r="AZ384" i="1" s="1"/>
  <c r="AZ385" i="1" s="1"/>
  <c r="AZ386" i="1" s="1"/>
  <c r="BD381" i="1"/>
  <c r="BE381" i="1"/>
  <c r="BF381" i="1"/>
  <c r="BL381" i="1"/>
  <c r="BM381" i="1"/>
  <c r="BD382" i="1"/>
  <c r="BD383" i="1" s="1"/>
  <c r="BE382" i="1"/>
  <c r="BE383" i="1" s="1"/>
  <c r="BE384" i="1" s="1"/>
  <c r="BF382" i="1"/>
  <c r="BG382" i="1"/>
  <c r="BL382" i="1"/>
  <c r="BM382" i="1"/>
  <c r="BF383" i="1"/>
  <c r="BF384" i="1" s="1"/>
  <c r="BG383" i="1"/>
  <c r="BG384" i="1" s="1"/>
  <c r="BL383" i="1"/>
  <c r="BM383" i="1"/>
  <c r="BD384" i="1"/>
  <c r="BL384" i="1"/>
  <c r="BM384" i="1"/>
  <c r="BD385" i="1"/>
  <c r="BD386" i="1" s="1"/>
  <c r="BD387" i="1" s="1"/>
  <c r="BE385" i="1"/>
  <c r="BF385" i="1"/>
  <c r="BF386" i="1" s="1"/>
  <c r="BF387" i="1" s="1"/>
  <c r="BG385" i="1"/>
  <c r="BG386" i="1" s="1"/>
  <c r="BL385" i="1"/>
  <c r="BM385" i="1"/>
  <c r="BE386" i="1"/>
  <c r="BE387" i="1" s="1"/>
  <c r="BL386" i="1"/>
  <c r="BM386" i="1"/>
  <c r="AZ387" i="1"/>
  <c r="AZ388" i="1" s="1"/>
  <c r="AZ389" i="1" s="1"/>
  <c r="AZ390" i="1" s="1"/>
  <c r="AZ391" i="1" s="1"/>
  <c r="AZ392" i="1" s="1"/>
  <c r="AZ393" i="1" s="1"/>
  <c r="AZ394" i="1" s="1"/>
  <c r="AZ395" i="1" s="1"/>
  <c r="AZ396" i="1" s="1"/>
  <c r="AZ397" i="1" s="1"/>
  <c r="BG387" i="1"/>
  <c r="BL387" i="1"/>
  <c r="BM387" i="1"/>
  <c r="BD388" i="1"/>
  <c r="BE388" i="1"/>
  <c r="BF388" i="1"/>
  <c r="BG388" i="1"/>
  <c r="BL388" i="1"/>
  <c r="BM388" i="1"/>
  <c r="BD389" i="1"/>
  <c r="BE389" i="1"/>
  <c r="BE390" i="1" s="1"/>
  <c r="BF389" i="1"/>
  <c r="BG389" i="1"/>
  <c r="BL389" i="1"/>
  <c r="BM389" i="1"/>
  <c r="BD390" i="1"/>
  <c r="BF390" i="1"/>
  <c r="BG390" i="1"/>
  <c r="BL390" i="1"/>
  <c r="BM390" i="1"/>
  <c r="BD391" i="1"/>
  <c r="BE391" i="1"/>
  <c r="BE392" i="1" s="1"/>
  <c r="BE393" i="1" s="1"/>
  <c r="BF391" i="1"/>
  <c r="BF392" i="1" s="1"/>
  <c r="BF393" i="1" s="1"/>
  <c r="BG391" i="1"/>
  <c r="BL391" i="1"/>
  <c r="BM391" i="1"/>
  <c r="BD392" i="1"/>
  <c r="BD393" i="1" s="1"/>
  <c r="BG392" i="1"/>
  <c r="BL392" i="1"/>
  <c r="BM392" i="1"/>
  <c r="BG393" i="1"/>
  <c r="BL393" i="1"/>
  <c r="BM393" i="1"/>
  <c r="BD394" i="1"/>
  <c r="BE394" i="1"/>
  <c r="BF394" i="1"/>
  <c r="BF395" i="1" s="1"/>
  <c r="BG394" i="1"/>
  <c r="BG395" i="1" s="1"/>
  <c r="BL394" i="1"/>
  <c r="BM394" i="1"/>
  <c r="BD395" i="1"/>
  <c r="BE395" i="1"/>
  <c r="BL395" i="1"/>
  <c r="BM395" i="1"/>
  <c r="BD396" i="1"/>
  <c r="BE396" i="1"/>
  <c r="BE397" i="1" s="1"/>
  <c r="BE398" i="1" s="1"/>
  <c r="BF396" i="1"/>
  <c r="BG396" i="1"/>
  <c r="BG397" i="1" s="1"/>
  <c r="BL396" i="1"/>
  <c r="BM396" i="1"/>
  <c r="BD397" i="1"/>
  <c r="BF397" i="1"/>
  <c r="BL397" i="1"/>
  <c r="BM397" i="1"/>
  <c r="AZ398" i="1"/>
  <c r="AZ399" i="1" s="1"/>
  <c r="AZ400" i="1" s="1"/>
  <c r="AZ401" i="1" s="1"/>
  <c r="AZ402" i="1" s="1"/>
  <c r="AZ403" i="1" s="1"/>
  <c r="AZ404" i="1" s="1"/>
  <c r="AZ405" i="1" s="1"/>
  <c r="AZ406" i="1" s="1"/>
  <c r="AZ407" i="1" s="1"/>
  <c r="AZ408" i="1" s="1"/>
  <c r="AZ409" i="1" s="1"/>
  <c r="AZ410" i="1" s="1"/>
  <c r="AZ411" i="1" s="1"/>
  <c r="AZ412" i="1" s="1"/>
  <c r="AZ413" i="1" s="1"/>
  <c r="AZ414" i="1" s="1"/>
  <c r="AZ415" i="1" s="1"/>
  <c r="AZ416" i="1" s="1"/>
  <c r="AZ417" i="1" s="1"/>
  <c r="AZ418" i="1" s="1"/>
  <c r="AZ419" i="1" s="1"/>
  <c r="AZ420" i="1" s="1"/>
  <c r="AZ421" i="1" s="1"/>
  <c r="AZ422" i="1" s="1"/>
  <c r="AZ423" i="1" s="1"/>
  <c r="AZ424" i="1" s="1"/>
  <c r="AZ425" i="1" s="1"/>
  <c r="AZ426" i="1" s="1"/>
  <c r="BD398" i="1"/>
  <c r="BF398" i="1"/>
  <c r="BG398" i="1"/>
  <c r="BL398" i="1"/>
  <c r="BM398" i="1"/>
  <c r="BD399" i="1"/>
  <c r="BE399" i="1"/>
  <c r="BE400" i="1" s="1"/>
  <c r="BF399" i="1"/>
  <c r="BG399" i="1"/>
  <c r="BG400" i="1" s="1"/>
  <c r="BL399" i="1"/>
  <c r="BM399" i="1"/>
  <c r="BD400" i="1"/>
  <c r="BF400" i="1"/>
  <c r="BL400" i="1"/>
  <c r="BM400" i="1"/>
  <c r="BD401" i="1"/>
  <c r="BE401" i="1"/>
  <c r="BF401" i="1"/>
  <c r="BG401" i="1"/>
  <c r="BL401" i="1"/>
  <c r="BM401" i="1"/>
  <c r="BD402" i="1"/>
  <c r="BE402" i="1"/>
  <c r="BF402" i="1"/>
  <c r="BG402" i="1"/>
  <c r="BL402" i="1"/>
  <c r="BM402" i="1"/>
  <c r="BD403" i="1"/>
  <c r="BE403" i="1"/>
  <c r="BF403" i="1"/>
  <c r="BG403" i="1"/>
  <c r="BL403" i="1"/>
  <c r="BM403" i="1"/>
  <c r="BD404" i="1"/>
  <c r="BE404" i="1"/>
  <c r="BF404" i="1"/>
  <c r="BG404" i="1"/>
  <c r="BL404" i="1"/>
  <c r="BM404" i="1"/>
  <c r="BT404" i="1"/>
  <c r="BS404" i="1" s="1"/>
  <c r="BD405" i="1"/>
  <c r="BE405" i="1"/>
  <c r="BF405" i="1"/>
  <c r="BG405" i="1"/>
  <c r="BL405" i="1"/>
  <c r="BM405" i="1"/>
  <c r="BT405" i="1"/>
  <c r="BS405" i="1" s="1"/>
  <c r="BD406" i="1"/>
  <c r="BD407" i="1" s="1"/>
  <c r="BE406" i="1"/>
  <c r="BF406" i="1"/>
  <c r="BG406" i="1"/>
  <c r="BL406" i="1"/>
  <c r="BM406" i="1"/>
  <c r="BE407" i="1"/>
  <c r="BF407" i="1"/>
  <c r="BG407" i="1"/>
  <c r="BL407" i="1"/>
  <c r="BM407" i="1"/>
  <c r="BD408" i="1"/>
  <c r="BE408" i="1"/>
  <c r="BF408" i="1"/>
  <c r="BG408" i="1"/>
  <c r="BL408" i="1"/>
  <c r="BM408" i="1"/>
  <c r="BD409" i="1"/>
  <c r="BE409" i="1"/>
  <c r="BF409" i="1"/>
  <c r="BG409" i="1"/>
  <c r="BL409" i="1"/>
  <c r="BM409" i="1"/>
  <c r="BD410" i="1"/>
  <c r="BD411" i="1" s="1"/>
  <c r="BE410" i="1"/>
  <c r="BF410" i="1"/>
  <c r="BF411" i="1" s="1"/>
  <c r="BG410" i="1"/>
  <c r="BL410" i="1"/>
  <c r="BM410" i="1"/>
  <c r="BE411" i="1"/>
  <c r="BG411" i="1"/>
  <c r="BL411" i="1"/>
  <c r="BM411" i="1"/>
  <c r="BD412" i="1"/>
  <c r="BE412" i="1"/>
  <c r="BF412" i="1"/>
  <c r="BG412" i="1"/>
  <c r="BL412" i="1"/>
  <c r="BM412" i="1"/>
  <c r="BT412" i="1"/>
  <c r="BS412" i="1" s="1"/>
  <c r="BD413" i="1"/>
  <c r="BE413" i="1"/>
  <c r="BF413" i="1"/>
  <c r="BG413" i="1"/>
  <c r="BL413" i="1"/>
  <c r="BM413" i="1"/>
  <c r="BD414" i="1"/>
  <c r="BD415" i="1" s="1"/>
  <c r="BE414" i="1"/>
  <c r="BF414" i="1"/>
  <c r="BG414" i="1"/>
  <c r="BL414" i="1"/>
  <c r="BM414" i="1"/>
  <c r="BE415" i="1"/>
  <c r="BF415" i="1"/>
  <c r="BG415" i="1"/>
  <c r="BL415" i="1"/>
  <c r="BM415" i="1"/>
  <c r="BD416" i="1"/>
  <c r="BE416" i="1"/>
  <c r="BF416" i="1"/>
  <c r="BG416" i="1"/>
  <c r="BL416" i="1"/>
  <c r="BM416" i="1"/>
  <c r="BD417" i="1"/>
  <c r="BD418" i="1" s="1"/>
  <c r="BE417" i="1"/>
  <c r="BF417" i="1"/>
  <c r="BF418" i="1" s="1"/>
  <c r="BF419" i="1" s="1"/>
  <c r="BG417" i="1"/>
  <c r="BL417" i="1"/>
  <c r="BM417" i="1"/>
  <c r="BE418" i="1"/>
  <c r="BE419" i="1" s="1"/>
  <c r="BG418" i="1"/>
  <c r="BG419" i="1" s="1"/>
  <c r="BL418" i="1"/>
  <c r="BM418" i="1"/>
  <c r="BD419" i="1"/>
  <c r="BL419" i="1"/>
  <c r="BM419" i="1"/>
  <c r="BD420" i="1"/>
  <c r="BD421" i="1" s="1"/>
  <c r="BE420" i="1"/>
  <c r="BF420" i="1"/>
  <c r="BG420" i="1"/>
  <c r="BG421" i="1" s="1"/>
  <c r="BL420" i="1"/>
  <c r="BM420" i="1"/>
  <c r="BE421" i="1"/>
  <c r="BF421" i="1"/>
  <c r="BL421" i="1"/>
  <c r="BM421" i="1"/>
  <c r="BD422" i="1"/>
  <c r="BE422" i="1"/>
  <c r="BF422" i="1"/>
  <c r="BG422" i="1"/>
  <c r="BL422" i="1"/>
  <c r="BM422" i="1"/>
  <c r="BD423" i="1"/>
  <c r="BE423" i="1"/>
  <c r="BF423" i="1"/>
  <c r="BG423" i="1"/>
  <c r="BL423" i="1"/>
  <c r="BM423" i="1"/>
  <c r="BT423" i="1"/>
  <c r="BS423" i="1" s="1"/>
  <c r="BD424" i="1"/>
  <c r="BE424" i="1"/>
  <c r="BF424" i="1"/>
  <c r="BG424" i="1"/>
  <c r="BL424" i="1"/>
  <c r="BM424" i="1"/>
  <c r="BD425" i="1"/>
  <c r="BD426" i="1" s="1"/>
  <c r="BE425" i="1"/>
  <c r="BE426" i="1" s="1"/>
  <c r="BF425" i="1"/>
  <c r="BG425" i="1"/>
  <c r="BL425" i="1"/>
  <c r="BM425" i="1"/>
  <c r="BF426" i="1"/>
  <c r="BG426" i="1"/>
  <c r="BL426" i="1"/>
  <c r="BM426" i="1"/>
  <c r="AZ427" i="1"/>
  <c r="AZ428" i="1" s="1"/>
  <c r="AZ429" i="1" s="1"/>
  <c r="AZ430" i="1" s="1"/>
  <c r="AZ431" i="1" s="1"/>
  <c r="AZ432" i="1" s="1"/>
  <c r="AZ433" i="1" s="1"/>
  <c r="AZ434" i="1" s="1"/>
  <c r="AZ435" i="1" s="1"/>
  <c r="AZ436" i="1" s="1"/>
  <c r="AZ437" i="1" s="1"/>
  <c r="AZ438" i="1" s="1"/>
  <c r="AZ439" i="1" s="1"/>
  <c r="AZ440" i="1" s="1"/>
  <c r="AZ441" i="1" s="1"/>
  <c r="AZ442" i="1" s="1"/>
  <c r="AZ443" i="1" s="1"/>
  <c r="AZ444" i="1" s="1"/>
  <c r="AZ445" i="1" s="1"/>
  <c r="AZ446" i="1" s="1"/>
  <c r="AZ447" i="1" s="1"/>
  <c r="AZ448" i="1" s="1"/>
  <c r="AZ449" i="1" s="1"/>
  <c r="AZ450" i="1" s="1"/>
  <c r="AZ451" i="1" s="1"/>
  <c r="AZ452" i="1" s="1"/>
  <c r="AZ453" i="1" s="1"/>
  <c r="AZ454" i="1" s="1"/>
  <c r="AZ455" i="1" s="1"/>
  <c r="AZ456" i="1" s="1"/>
  <c r="AZ457" i="1" s="1"/>
  <c r="AZ458" i="1" s="1"/>
  <c r="AZ459" i="1" s="1"/>
  <c r="AZ460" i="1" s="1"/>
  <c r="AZ461" i="1" s="1"/>
  <c r="AZ462" i="1" s="1"/>
  <c r="BD427" i="1"/>
  <c r="BE427" i="1"/>
  <c r="BF427" i="1"/>
  <c r="BG427" i="1"/>
  <c r="BG428" i="1" s="1"/>
  <c r="BG429" i="1" s="1"/>
  <c r="BL427" i="1"/>
  <c r="BM427" i="1"/>
  <c r="BD428" i="1"/>
  <c r="BE428" i="1"/>
  <c r="BF428" i="1"/>
  <c r="BF429" i="1" s="1"/>
  <c r="BL428" i="1"/>
  <c r="BM428" i="1"/>
  <c r="BD429" i="1"/>
  <c r="BE429" i="1"/>
  <c r="BL429" i="1"/>
  <c r="BM429" i="1"/>
  <c r="BD430" i="1"/>
  <c r="BE430" i="1"/>
  <c r="BF430" i="1"/>
  <c r="BG430" i="1"/>
  <c r="BL430" i="1"/>
  <c r="BM430" i="1"/>
  <c r="BD431" i="1"/>
  <c r="BE431" i="1"/>
  <c r="BE432" i="1" s="1"/>
  <c r="BF431" i="1"/>
  <c r="BG431" i="1"/>
  <c r="BL431" i="1"/>
  <c r="BM431" i="1"/>
  <c r="BD432" i="1"/>
  <c r="BF432" i="1"/>
  <c r="BG432" i="1"/>
  <c r="BL432" i="1"/>
  <c r="BM432" i="1"/>
  <c r="BD433" i="1"/>
  <c r="BD434" i="1" s="1"/>
  <c r="BD435" i="1" s="1"/>
  <c r="BE433" i="1"/>
  <c r="BE434" i="1" s="1"/>
  <c r="BE435" i="1" s="1"/>
  <c r="BF433" i="1"/>
  <c r="BG433" i="1"/>
  <c r="BL433" i="1"/>
  <c r="BM433" i="1"/>
  <c r="BF434" i="1"/>
  <c r="BF435" i="1" s="1"/>
  <c r="BG434" i="1"/>
  <c r="BL434" i="1"/>
  <c r="BM434" i="1"/>
  <c r="BG435" i="1"/>
  <c r="BL435" i="1"/>
  <c r="BM435" i="1"/>
  <c r="BD436" i="1"/>
  <c r="BE436" i="1"/>
  <c r="BF436" i="1"/>
  <c r="BG436" i="1"/>
  <c r="BL436" i="1"/>
  <c r="BM436" i="1"/>
  <c r="BD437" i="1"/>
  <c r="BE437" i="1"/>
  <c r="BF437" i="1"/>
  <c r="BF438" i="1" s="1"/>
  <c r="BG437" i="1"/>
  <c r="BL437" i="1"/>
  <c r="BM437" i="1"/>
  <c r="BD438" i="1"/>
  <c r="BE438" i="1"/>
  <c r="BG438" i="1"/>
  <c r="BL438" i="1"/>
  <c r="BM438" i="1"/>
  <c r="BD439" i="1"/>
  <c r="BE439" i="1"/>
  <c r="BF439" i="1"/>
  <c r="BG439" i="1"/>
  <c r="BL439" i="1"/>
  <c r="BM439" i="1"/>
  <c r="BT439" i="1"/>
  <c r="BS439" i="1" s="1"/>
  <c r="BD440" i="1"/>
  <c r="BE440" i="1"/>
  <c r="BF440" i="1"/>
  <c r="BG440" i="1"/>
  <c r="BL440" i="1"/>
  <c r="BM440" i="1"/>
  <c r="BT440" i="1"/>
  <c r="BS440" i="1" s="1"/>
  <c r="BD441" i="1"/>
  <c r="BE441" i="1"/>
  <c r="BF441" i="1"/>
  <c r="BG441" i="1"/>
  <c r="BL441" i="1"/>
  <c r="BM441" i="1"/>
  <c r="BD442" i="1"/>
  <c r="BD443" i="1" s="1"/>
  <c r="BE442" i="1"/>
  <c r="BF442" i="1"/>
  <c r="BF443" i="1" s="1"/>
  <c r="BG442" i="1"/>
  <c r="BG443" i="1" s="1"/>
  <c r="BL442" i="1"/>
  <c r="BM442" i="1"/>
  <c r="BE443" i="1"/>
  <c r="BL443" i="1"/>
  <c r="BM443" i="1"/>
  <c r="BD444" i="1"/>
  <c r="BE444" i="1"/>
  <c r="BE445" i="1" s="1"/>
  <c r="BE446" i="1" s="1"/>
  <c r="BF444" i="1"/>
  <c r="BG444" i="1"/>
  <c r="BG445" i="1" s="1"/>
  <c r="BG446" i="1" s="1"/>
  <c r="BL444" i="1"/>
  <c r="BM444" i="1"/>
  <c r="BD445" i="1"/>
  <c r="BF445" i="1"/>
  <c r="BF446" i="1" s="1"/>
  <c r="BL445" i="1"/>
  <c r="BM445" i="1"/>
  <c r="BD446" i="1"/>
  <c r="BL446" i="1"/>
  <c r="BM446" i="1"/>
  <c r="BD447" i="1"/>
  <c r="BE447" i="1"/>
  <c r="BE448" i="1" s="1"/>
  <c r="BF447" i="1"/>
  <c r="BG447" i="1"/>
  <c r="BL447" i="1"/>
  <c r="BM447" i="1"/>
  <c r="BD448" i="1"/>
  <c r="BF448" i="1"/>
  <c r="BF449" i="1" s="1"/>
  <c r="BG448" i="1"/>
  <c r="BG449" i="1" s="1"/>
  <c r="BL448" i="1"/>
  <c r="BM448" i="1"/>
  <c r="BD449" i="1"/>
  <c r="BE449" i="1"/>
  <c r="BL449" i="1"/>
  <c r="BM449" i="1"/>
  <c r="BD450" i="1"/>
  <c r="BE450" i="1"/>
  <c r="BL450" i="1"/>
  <c r="BM450" i="1"/>
  <c r="BD451" i="1"/>
  <c r="BE451" i="1"/>
  <c r="BF451" i="1"/>
  <c r="BG451" i="1"/>
  <c r="BL451" i="1"/>
  <c r="BM451" i="1"/>
  <c r="BL452" i="1"/>
  <c r="BM452" i="1"/>
  <c r="BD453" i="1"/>
  <c r="BE453" i="1"/>
  <c r="BF453" i="1"/>
  <c r="BG453" i="1"/>
  <c r="BL453" i="1"/>
  <c r="BM453" i="1"/>
  <c r="BL454" i="1"/>
  <c r="BM454" i="1"/>
  <c r="BD455" i="1"/>
  <c r="BE455" i="1"/>
  <c r="BF455" i="1"/>
  <c r="BG455" i="1"/>
  <c r="BL455" i="1"/>
  <c r="BM455" i="1"/>
  <c r="BL456" i="1"/>
  <c r="BM456" i="1"/>
  <c r="BD457" i="1"/>
  <c r="BE457" i="1"/>
  <c r="BF457" i="1"/>
  <c r="BG457" i="1"/>
  <c r="BL457" i="1"/>
  <c r="BM457" i="1"/>
  <c r="BL458" i="1"/>
  <c r="BM458" i="1"/>
  <c r="BD459" i="1"/>
  <c r="BE459" i="1"/>
  <c r="BL459" i="1"/>
  <c r="BM459" i="1"/>
  <c r="BD460" i="1"/>
  <c r="BE460" i="1"/>
  <c r="BL460" i="1"/>
  <c r="BM460" i="1"/>
  <c r="BL461" i="1"/>
  <c r="BM461" i="1"/>
  <c r="BD462" i="1"/>
  <c r="BE462" i="1"/>
  <c r="BF462" i="1"/>
  <c r="BG462" i="1"/>
  <c r="BL462" i="1"/>
  <c r="BM462" i="1"/>
  <c r="AZ463" i="1"/>
  <c r="AZ464" i="1" s="1"/>
  <c r="AZ465" i="1" s="1"/>
  <c r="AZ466" i="1" s="1"/>
  <c r="AZ467" i="1" s="1"/>
  <c r="AZ468" i="1" s="1"/>
  <c r="AZ469" i="1" s="1"/>
  <c r="AZ470" i="1" s="1"/>
  <c r="AZ471" i="1" s="1"/>
  <c r="AZ472" i="1" s="1"/>
  <c r="AZ473" i="1" s="1"/>
  <c r="AZ474" i="1" s="1"/>
  <c r="AZ475" i="1" s="1"/>
  <c r="AZ476" i="1" s="1"/>
  <c r="AZ477" i="1" s="1"/>
  <c r="AZ478" i="1" s="1"/>
  <c r="AZ479" i="1" s="1"/>
  <c r="AZ480" i="1" s="1"/>
  <c r="AZ481" i="1" s="1"/>
  <c r="AZ482" i="1" s="1"/>
  <c r="AZ483" i="1" s="1"/>
  <c r="AZ484" i="1" s="1"/>
  <c r="AZ485" i="1" s="1"/>
  <c r="AZ486" i="1" s="1"/>
  <c r="AZ487" i="1" s="1"/>
  <c r="AZ488" i="1" s="1"/>
  <c r="AZ489" i="1" s="1"/>
  <c r="AZ490" i="1" s="1"/>
  <c r="AZ491" i="1" s="1"/>
  <c r="AZ492" i="1" s="1"/>
  <c r="AZ493" i="1" s="1"/>
  <c r="AZ494" i="1" s="1"/>
  <c r="AZ495" i="1" s="1"/>
  <c r="AZ496" i="1" s="1"/>
  <c r="AZ497" i="1" s="1"/>
  <c r="AZ498" i="1" s="1"/>
  <c r="AZ499" i="1" s="1"/>
  <c r="AZ500" i="1" s="1"/>
  <c r="AZ501" i="1" s="1"/>
  <c r="AZ502" i="1" s="1"/>
  <c r="AZ503" i="1" s="1"/>
  <c r="AZ504" i="1" s="1"/>
  <c r="AZ505" i="1" s="1"/>
  <c r="AZ506" i="1" s="1"/>
  <c r="AZ507" i="1" s="1"/>
  <c r="AZ508" i="1" s="1"/>
  <c r="AZ509" i="1" s="1"/>
  <c r="AZ510" i="1" s="1"/>
  <c r="AZ511" i="1" s="1"/>
  <c r="AZ512" i="1" s="1"/>
  <c r="AZ513" i="1" s="1"/>
  <c r="AZ514" i="1" s="1"/>
  <c r="AZ515" i="1" s="1"/>
  <c r="AZ516" i="1" s="1"/>
  <c r="AZ517" i="1" s="1"/>
  <c r="AZ518" i="1" s="1"/>
  <c r="AZ519" i="1" s="1"/>
  <c r="AZ520" i="1" s="1"/>
  <c r="AZ521" i="1" s="1"/>
  <c r="AZ522" i="1" s="1"/>
  <c r="AZ523" i="1" s="1"/>
  <c r="AZ524" i="1" s="1"/>
  <c r="AZ525" i="1" s="1"/>
  <c r="AZ526" i="1" s="1"/>
  <c r="AZ527" i="1" s="1"/>
  <c r="AZ528" i="1" s="1"/>
  <c r="AZ529" i="1" s="1"/>
  <c r="AZ530" i="1" s="1"/>
  <c r="AZ531" i="1" s="1"/>
  <c r="AZ532" i="1" s="1"/>
  <c r="AZ533" i="1" s="1"/>
  <c r="AZ534" i="1" s="1"/>
  <c r="AZ535" i="1" s="1"/>
  <c r="AZ536" i="1" s="1"/>
  <c r="AZ537" i="1" s="1"/>
  <c r="AZ538" i="1" s="1"/>
  <c r="AZ539" i="1" s="1"/>
  <c r="AZ540" i="1" s="1"/>
  <c r="AZ541" i="1" s="1"/>
  <c r="AZ542" i="1" s="1"/>
  <c r="AZ543" i="1" s="1"/>
  <c r="AZ544" i="1" s="1"/>
  <c r="AZ545" i="1" s="1"/>
  <c r="AZ546" i="1" s="1"/>
  <c r="BL463" i="1"/>
  <c r="BM463" i="1"/>
  <c r="BD464" i="1"/>
  <c r="BE464" i="1"/>
  <c r="BF464" i="1"/>
  <c r="BG464" i="1"/>
  <c r="BL464" i="1"/>
  <c r="BM464" i="1"/>
  <c r="BL465" i="1"/>
  <c r="BM465" i="1"/>
  <c r="BL466" i="1"/>
  <c r="BM466" i="1"/>
  <c r="BD467" i="1"/>
  <c r="BE467" i="1"/>
  <c r="BF467" i="1"/>
  <c r="BG467" i="1"/>
  <c r="BL467" i="1"/>
  <c r="BM467" i="1"/>
  <c r="BL468" i="1"/>
  <c r="BM468" i="1"/>
  <c r="BL469" i="1"/>
  <c r="BM469" i="1"/>
  <c r="BD470" i="1"/>
  <c r="BE470" i="1"/>
  <c r="BF470" i="1"/>
  <c r="BG470" i="1"/>
  <c r="BL470" i="1"/>
  <c r="BM470" i="1"/>
  <c r="BL471" i="1"/>
  <c r="BM471" i="1"/>
  <c r="BL472" i="1"/>
  <c r="BM472" i="1"/>
  <c r="BD473" i="1"/>
  <c r="BE473" i="1"/>
  <c r="BG473" i="1"/>
  <c r="BL473" i="1"/>
  <c r="BM473" i="1"/>
  <c r="BL474" i="1"/>
  <c r="BM474" i="1"/>
  <c r="BD475" i="1"/>
  <c r="BE475" i="1"/>
  <c r="BF475" i="1"/>
  <c r="BG475" i="1"/>
  <c r="BL475" i="1"/>
  <c r="BM475" i="1"/>
  <c r="BL476" i="1"/>
  <c r="BM476" i="1"/>
  <c r="BD477" i="1"/>
  <c r="BE477" i="1"/>
  <c r="BF477" i="1"/>
  <c r="BG477" i="1"/>
  <c r="BL477" i="1"/>
  <c r="BM477" i="1"/>
  <c r="BL478" i="1"/>
  <c r="BM478" i="1"/>
  <c r="BD479" i="1"/>
  <c r="BE479" i="1"/>
  <c r="BG479" i="1"/>
  <c r="BL479" i="1"/>
  <c r="BM479" i="1"/>
  <c r="BD480" i="1"/>
  <c r="BL480" i="1"/>
  <c r="BM480" i="1"/>
  <c r="BD481" i="1"/>
  <c r="BE481" i="1"/>
  <c r="BG481" i="1"/>
  <c r="BL481" i="1"/>
  <c r="BM481" i="1"/>
  <c r="BL482" i="1"/>
  <c r="BM482" i="1"/>
  <c r="BD483" i="1"/>
  <c r="BL483" i="1"/>
  <c r="BM483" i="1"/>
  <c r="BD484" i="1"/>
  <c r="BE484" i="1"/>
  <c r="BF484" i="1"/>
  <c r="BG484" i="1"/>
  <c r="BL484" i="1"/>
  <c r="BM484" i="1"/>
  <c r="BL485" i="1"/>
  <c r="BM485" i="1"/>
  <c r="BD486" i="1"/>
  <c r="BE486" i="1"/>
  <c r="BF486" i="1"/>
  <c r="BG486" i="1"/>
  <c r="BL486" i="1"/>
  <c r="BM486" i="1"/>
  <c r="BL487" i="1"/>
  <c r="BM487" i="1"/>
  <c r="BL488" i="1"/>
  <c r="BM488" i="1"/>
  <c r="BD489" i="1"/>
  <c r="BE489" i="1"/>
  <c r="BG489" i="1"/>
  <c r="BL489" i="1"/>
  <c r="BM489" i="1"/>
  <c r="BL490" i="1"/>
  <c r="BM490" i="1"/>
  <c r="BD491" i="1"/>
  <c r="BE491" i="1"/>
  <c r="BF491" i="1"/>
  <c r="BG491" i="1"/>
  <c r="BL491" i="1"/>
  <c r="BM491" i="1"/>
  <c r="BL492" i="1"/>
  <c r="BM492" i="1"/>
  <c r="BL493" i="1"/>
  <c r="BM493" i="1"/>
  <c r="BD494" i="1"/>
  <c r="BL494" i="1"/>
  <c r="BM494" i="1"/>
  <c r="BL495" i="1"/>
  <c r="BM495" i="1"/>
  <c r="BD496" i="1"/>
  <c r="BE496" i="1"/>
  <c r="BF496" i="1"/>
  <c r="BL496" i="1"/>
  <c r="BM496" i="1"/>
  <c r="BL497" i="1"/>
  <c r="BM497" i="1"/>
  <c r="BD498" i="1"/>
  <c r="BL498" i="1"/>
  <c r="BM498" i="1"/>
  <c r="BL499" i="1"/>
  <c r="BM499" i="1"/>
  <c r="BD500" i="1"/>
  <c r="BE500" i="1"/>
  <c r="BF500" i="1"/>
  <c r="BG500" i="1"/>
  <c r="BL500" i="1"/>
  <c r="BM500" i="1"/>
  <c r="BL501" i="1"/>
  <c r="BM501" i="1"/>
  <c r="BL502" i="1"/>
  <c r="BM502" i="1"/>
  <c r="BD503" i="1"/>
  <c r="BE503" i="1"/>
  <c r="BF503" i="1"/>
  <c r="BL503" i="1"/>
  <c r="BM503" i="1"/>
  <c r="BD504" i="1"/>
  <c r="BL504" i="1"/>
  <c r="BM504" i="1"/>
  <c r="BD505" i="1"/>
  <c r="BE505" i="1"/>
  <c r="BL505" i="1"/>
  <c r="BM505" i="1"/>
  <c r="BL506" i="1"/>
  <c r="BM506" i="1"/>
  <c r="BD507" i="1"/>
  <c r="BE507" i="1"/>
  <c r="BG507" i="1"/>
  <c r="BL507" i="1"/>
  <c r="BM507" i="1"/>
  <c r="BL508" i="1"/>
  <c r="BM508" i="1"/>
  <c r="BL509" i="1"/>
  <c r="BM509" i="1"/>
  <c r="BD510" i="1"/>
  <c r="BE510" i="1"/>
  <c r="BF510" i="1"/>
  <c r="BG510" i="1"/>
  <c r="BL510" i="1"/>
  <c r="BM510" i="1"/>
  <c r="BL511" i="1"/>
  <c r="BM511" i="1"/>
  <c r="BL512" i="1"/>
  <c r="BM512" i="1"/>
  <c r="BL513" i="1"/>
  <c r="BM513" i="1"/>
  <c r="BD514" i="1"/>
  <c r="BE514" i="1"/>
  <c r="BF514" i="1"/>
  <c r="BG514" i="1"/>
  <c r="BL514" i="1"/>
  <c r="BM514" i="1"/>
  <c r="BL515" i="1"/>
  <c r="BM515" i="1"/>
  <c r="BL516" i="1"/>
  <c r="BM516" i="1"/>
  <c r="BL517" i="1"/>
  <c r="BM517" i="1"/>
  <c r="BD518" i="1"/>
  <c r="BE518" i="1"/>
  <c r="BG518" i="1"/>
  <c r="BL518" i="1"/>
  <c r="BM518" i="1"/>
  <c r="BD519" i="1"/>
  <c r="BE519" i="1"/>
  <c r="BF519" i="1"/>
  <c r="BG519" i="1"/>
  <c r="BL519" i="1"/>
  <c r="BM519" i="1"/>
  <c r="BD520" i="1"/>
  <c r="BE520" i="1"/>
  <c r="BF520" i="1"/>
  <c r="BG520" i="1"/>
  <c r="BL520" i="1"/>
  <c r="BM520" i="1"/>
  <c r="BL521" i="1"/>
  <c r="BM521" i="1"/>
  <c r="BD522" i="1"/>
  <c r="BE522" i="1"/>
  <c r="BF522" i="1"/>
  <c r="BG522" i="1"/>
  <c r="BL522" i="1"/>
  <c r="BM522" i="1"/>
  <c r="BL523" i="1"/>
  <c r="BM523" i="1"/>
  <c r="BL524" i="1"/>
  <c r="BM524" i="1"/>
  <c r="BD525" i="1"/>
  <c r="BE525" i="1"/>
  <c r="BF525" i="1"/>
  <c r="BG525" i="1"/>
  <c r="BL525" i="1"/>
  <c r="BM525" i="1"/>
  <c r="BL526" i="1"/>
  <c r="BM526" i="1"/>
  <c r="BD527" i="1"/>
  <c r="BE527" i="1"/>
  <c r="BF527" i="1"/>
  <c r="BL527" i="1"/>
  <c r="BM527" i="1"/>
  <c r="BL528" i="1"/>
  <c r="BM528" i="1"/>
  <c r="BD529" i="1"/>
  <c r="BE529" i="1"/>
  <c r="BL529" i="1"/>
  <c r="BM529" i="1"/>
  <c r="BD530" i="1"/>
  <c r="BE530" i="1"/>
  <c r="BG530" i="1"/>
  <c r="BL530" i="1"/>
  <c r="BM530" i="1"/>
  <c r="BD531" i="1"/>
  <c r="BE531" i="1"/>
  <c r="BF531" i="1"/>
  <c r="BG531" i="1"/>
  <c r="BL531" i="1"/>
  <c r="BM531" i="1"/>
  <c r="BL532" i="1"/>
  <c r="BM532" i="1"/>
  <c r="BL533" i="1"/>
  <c r="BM533" i="1"/>
  <c r="BD534" i="1"/>
  <c r="BE534" i="1"/>
  <c r="BF534" i="1"/>
  <c r="BG534" i="1"/>
  <c r="BL534" i="1"/>
  <c r="BM534" i="1"/>
  <c r="BL535" i="1"/>
  <c r="BM535" i="1"/>
  <c r="BL536" i="1"/>
  <c r="BM536" i="1"/>
  <c r="BD537" i="1"/>
  <c r="BL537" i="1"/>
  <c r="BM537" i="1"/>
  <c r="BD538" i="1"/>
  <c r="BE538" i="1"/>
  <c r="BF538" i="1"/>
  <c r="BG538" i="1"/>
  <c r="BL538" i="1"/>
  <c r="BM538" i="1"/>
  <c r="BL539" i="1"/>
  <c r="BM539" i="1"/>
  <c r="BL540" i="1"/>
  <c r="BM540" i="1"/>
  <c r="BD541" i="1"/>
  <c r="BE541" i="1"/>
  <c r="BF541" i="1"/>
  <c r="BL541" i="1"/>
  <c r="BM541" i="1"/>
  <c r="BL542" i="1"/>
  <c r="BM542" i="1"/>
  <c r="BL543" i="1"/>
  <c r="BM543" i="1"/>
  <c r="BD544" i="1"/>
  <c r="BE544" i="1"/>
  <c r="BL544" i="1"/>
  <c r="BM544" i="1"/>
  <c r="BD545" i="1"/>
  <c r="BE545" i="1"/>
  <c r="BG545" i="1"/>
  <c r="BL545" i="1"/>
  <c r="BM545" i="1"/>
  <c r="BL546" i="1"/>
  <c r="BM546" i="1"/>
  <c r="AZ547" i="1"/>
  <c r="AZ548" i="1" s="1"/>
  <c r="AZ549" i="1" s="1"/>
  <c r="AZ550" i="1" s="1"/>
  <c r="AZ551" i="1" s="1"/>
  <c r="AZ552" i="1" s="1"/>
  <c r="AZ553" i="1" s="1"/>
  <c r="AZ554" i="1" s="1"/>
  <c r="AZ555" i="1" s="1"/>
  <c r="AZ556" i="1" s="1"/>
  <c r="AZ557" i="1" s="1"/>
  <c r="BD547" i="1"/>
  <c r="BE547" i="1"/>
  <c r="BF547" i="1"/>
  <c r="BG547" i="1"/>
  <c r="BL547" i="1"/>
  <c r="BM547" i="1"/>
  <c r="BL548" i="1"/>
  <c r="BM548" i="1"/>
  <c r="BL549" i="1"/>
  <c r="BM549" i="1"/>
  <c r="BD550" i="1"/>
  <c r="BL550" i="1"/>
  <c r="BM550" i="1"/>
  <c r="BL551" i="1"/>
  <c r="BM551" i="1"/>
  <c r="BL552" i="1"/>
  <c r="BM552" i="1"/>
  <c r="BD553" i="1"/>
  <c r="BL553" i="1"/>
  <c r="BM553" i="1"/>
  <c r="BL554" i="1"/>
  <c r="BM554" i="1"/>
  <c r="BD555" i="1"/>
  <c r="BE555" i="1"/>
  <c r="BF555" i="1"/>
  <c r="BG555" i="1"/>
  <c r="BL555" i="1"/>
  <c r="BM555" i="1"/>
  <c r="BL556" i="1"/>
  <c r="BM556" i="1"/>
  <c r="BL557" i="1"/>
  <c r="BM557" i="1"/>
  <c r="AZ558" i="1"/>
  <c r="AZ559" i="1" s="1"/>
  <c r="AZ560" i="1" s="1"/>
  <c r="AZ561" i="1" s="1"/>
  <c r="AZ562" i="1" s="1"/>
  <c r="AZ563" i="1" s="1"/>
  <c r="AZ564" i="1" s="1"/>
  <c r="AZ565" i="1" s="1"/>
  <c r="AZ566" i="1" s="1"/>
  <c r="AZ567" i="1" s="1"/>
  <c r="AZ568" i="1" s="1"/>
  <c r="AZ569" i="1" s="1"/>
  <c r="AZ570" i="1" s="1"/>
  <c r="AZ571" i="1" s="1"/>
  <c r="AZ572" i="1" s="1"/>
  <c r="AZ573" i="1" s="1"/>
  <c r="AZ574" i="1" s="1"/>
  <c r="AZ575" i="1" s="1"/>
  <c r="AZ576" i="1" s="1"/>
  <c r="AZ577" i="1" s="1"/>
  <c r="AZ578" i="1" s="1"/>
  <c r="AZ579" i="1" s="1"/>
  <c r="AZ580" i="1" s="1"/>
  <c r="AZ581" i="1" s="1"/>
  <c r="AZ582" i="1" s="1"/>
  <c r="AZ583" i="1" s="1"/>
  <c r="AZ584" i="1" s="1"/>
  <c r="AZ585" i="1" s="1"/>
  <c r="AZ586" i="1" s="1"/>
  <c r="AZ587" i="1" s="1"/>
  <c r="AZ588" i="1" s="1"/>
  <c r="AZ589" i="1" s="1"/>
  <c r="AZ590" i="1" s="1"/>
  <c r="AZ591" i="1" s="1"/>
  <c r="AZ592" i="1" s="1"/>
  <c r="AZ593" i="1" s="1"/>
  <c r="AZ594" i="1" s="1"/>
  <c r="AZ595" i="1" s="1"/>
  <c r="AZ596" i="1" s="1"/>
  <c r="AZ597" i="1" s="1"/>
  <c r="AZ598" i="1" s="1"/>
  <c r="AZ599" i="1" s="1"/>
  <c r="AZ600" i="1" s="1"/>
  <c r="AZ601" i="1" s="1"/>
  <c r="AZ602" i="1" s="1"/>
  <c r="AZ603" i="1" s="1"/>
  <c r="AZ604" i="1" s="1"/>
  <c r="AZ605" i="1" s="1"/>
  <c r="AZ606" i="1" s="1"/>
  <c r="AZ607" i="1" s="1"/>
  <c r="AZ608" i="1" s="1"/>
  <c r="AZ609" i="1" s="1"/>
  <c r="AZ610" i="1" s="1"/>
  <c r="AZ611" i="1" s="1"/>
  <c r="AZ612" i="1" s="1"/>
  <c r="AZ613" i="1" s="1"/>
  <c r="AZ614" i="1" s="1"/>
  <c r="AZ615" i="1" s="1"/>
  <c r="AZ616" i="1" s="1"/>
  <c r="AZ617" i="1" s="1"/>
  <c r="AZ618" i="1" s="1"/>
  <c r="AZ619" i="1" s="1"/>
  <c r="AZ620" i="1" s="1"/>
  <c r="AZ621" i="1" s="1"/>
  <c r="AZ622" i="1" s="1"/>
  <c r="AZ623" i="1" s="1"/>
  <c r="AZ624" i="1" s="1"/>
  <c r="AZ625" i="1" s="1"/>
  <c r="AZ626" i="1" s="1"/>
  <c r="AZ627" i="1" s="1"/>
  <c r="AZ628" i="1" s="1"/>
  <c r="AZ629" i="1" s="1"/>
  <c r="AZ630" i="1" s="1"/>
  <c r="AZ631" i="1" s="1"/>
  <c r="AZ632" i="1" s="1"/>
  <c r="AZ633" i="1" s="1"/>
  <c r="AZ634" i="1" s="1"/>
  <c r="AZ635" i="1" s="1"/>
  <c r="AZ636" i="1" s="1"/>
  <c r="AZ637" i="1" s="1"/>
  <c r="AZ638" i="1" s="1"/>
  <c r="AZ639" i="1" s="1"/>
  <c r="AZ640" i="1" s="1"/>
  <c r="AZ641" i="1" s="1"/>
  <c r="AZ642" i="1" s="1"/>
  <c r="AZ643" i="1" s="1"/>
  <c r="AZ644" i="1" s="1"/>
  <c r="AZ645" i="1" s="1"/>
  <c r="AZ646" i="1" s="1"/>
  <c r="AZ647" i="1" s="1"/>
  <c r="AZ648" i="1" s="1"/>
  <c r="AZ649" i="1" s="1"/>
  <c r="AZ650" i="1" s="1"/>
  <c r="AZ651" i="1" s="1"/>
  <c r="AZ652" i="1" s="1"/>
  <c r="AZ653" i="1" s="1"/>
  <c r="AZ654" i="1" s="1"/>
  <c r="AZ655" i="1" s="1"/>
  <c r="AZ656" i="1" s="1"/>
  <c r="AZ657" i="1" s="1"/>
  <c r="AZ658" i="1" s="1"/>
  <c r="AZ659" i="1" s="1"/>
  <c r="AZ660" i="1" s="1"/>
  <c r="AZ661" i="1" s="1"/>
  <c r="AZ662" i="1" s="1"/>
  <c r="AZ663" i="1" s="1"/>
  <c r="AZ664" i="1" s="1"/>
  <c r="AZ665" i="1" s="1"/>
  <c r="AZ666" i="1" s="1"/>
  <c r="AZ667" i="1" s="1"/>
  <c r="AZ668" i="1" s="1"/>
  <c r="AZ669" i="1" s="1"/>
  <c r="AZ670" i="1" s="1"/>
  <c r="AZ671" i="1" s="1"/>
  <c r="AZ672" i="1" s="1"/>
  <c r="AZ673" i="1" s="1"/>
  <c r="AZ674" i="1" s="1"/>
  <c r="AZ675" i="1" s="1"/>
  <c r="AZ676" i="1" s="1"/>
  <c r="AZ677" i="1" s="1"/>
  <c r="AZ678" i="1" s="1"/>
  <c r="AZ679" i="1" s="1"/>
  <c r="AZ680" i="1" s="1"/>
  <c r="AZ681" i="1" s="1"/>
  <c r="AZ682" i="1" s="1"/>
  <c r="AZ683" i="1" s="1"/>
  <c r="AZ684" i="1" s="1"/>
  <c r="AZ685" i="1" s="1"/>
  <c r="AZ686" i="1" s="1"/>
  <c r="AZ687" i="1" s="1"/>
  <c r="AZ688" i="1" s="1"/>
  <c r="AZ689" i="1" s="1"/>
  <c r="AZ690" i="1" s="1"/>
  <c r="AZ691" i="1" s="1"/>
  <c r="AZ692" i="1" s="1"/>
  <c r="AZ693" i="1" s="1"/>
  <c r="AZ694" i="1" s="1"/>
  <c r="AZ695" i="1" s="1"/>
  <c r="AZ696" i="1" s="1"/>
  <c r="AZ697" i="1" s="1"/>
  <c r="AZ698" i="1" s="1"/>
  <c r="AZ699" i="1" s="1"/>
  <c r="AZ700" i="1" s="1"/>
  <c r="AZ701" i="1" s="1"/>
  <c r="AZ702" i="1" s="1"/>
  <c r="AZ703" i="1" s="1"/>
  <c r="AZ704" i="1" s="1"/>
  <c r="AZ705" i="1" s="1"/>
  <c r="AZ706" i="1" s="1"/>
  <c r="AZ707" i="1" s="1"/>
  <c r="AZ708" i="1" s="1"/>
  <c r="AZ709" i="1" s="1"/>
  <c r="AZ710" i="1" s="1"/>
  <c r="AZ711" i="1" s="1"/>
  <c r="AZ712" i="1" s="1"/>
  <c r="AZ713" i="1" s="1"/>
  <c r="AZ714" i="1" s="1"/>
  <c r="AZ715" i="1" s="1"/>
  <c r="AZ716" i="1" s="1"/>
  <c r="AZ717" i="1" s="1"/>
  <c r="AZ718" i="1" s="1"/>
  <c r="AZ719" i="1" s="1"/>
  <c r="AZ720" i="1" s="1"/>
  <c r="AZ721" i="1" s="1"/>
  <c r="AZ722" i="1" s="1"/>
  <c r="AZ723" i="1" s="1"/>
  <c r="AZ724" i="1" s="1"/>
  <c r="AZ725" i="1" s="1"/>
  <c r="AZ726" i="1" s="1"/>
  <c r="AZ727" i="1" s="1"/>
  <c r="AZ728" i="1" s="1"/>
  <c r="AZ729" i="1" s="1"/>
  <c r="AZ730" i="1" s="1"/>
  <c r="AZ731" i="1" s="1"/>
  <c r="AZ732" i="1" s="1"/>
  <c r="AZ733" i="1" s="1"/>
  <c r="AZ734" i="1" s="1"/>
  <c r="AZ735" i="1" s="1"/>
  <c r="AZ736" i="1" s="1"/>
  <c r="AZ737" i="1" s="1"/>
  <c r="AZ738" i="1" s="1"/>
  <c r="BL558" i="1"/>
  <c r="BM558" i="1"/>
  <c r="BD559" i="1"/>
  <c r="BE559" i="1"/>
  <c r="BG559" i="1"/>
  <c r="BL559" i="1"/>
  <c r="BM559" i="1"/>
  <c r="BD560" i="1"/>
  <c r="BE560" i="1"/>
  <c r="BF560" i="1"/>
  <c r="BG560" i="1"/>
  <c r="BL560" i="1"/>
  <c r="BM560" i="1"/>
  <c r="BD561" i="1"/>
  <c r="BE561" i="1"/>
  <c r="BG561" i="1"/>
  <c r="BL561" i="1"/>
  <c r="BM561" i="1"/>
  <c r="BD562" i="1"/>
  <c r="BE562" i="1"/>
  <c r="BF562" i="1"/>
  <c r="BG562" i="1"/>
  <c r="BL562" i="1"/>
  <c r="BM562" i="1"/>
  <c r="BD563" i="1"/>
  <c r="BE563" i="1"/>
  <c r="BF563" i="1"/>
  <c r="BG563" i="1"/>
  <c r="BL563" i="1"/>
  <c r="BM563" i="1"/>
  <c r="BD564" i="1"/>
  <c r="BE564" i="1"/>
  <c r="BG564" i="1"/>
  <c r="BL564" i="1"/>
  <c r="BM564" i="1"/>
  <c r="BD565" i="1"/>
  <c r="BE565" i="1"/>
  <c r="BF565" i="1"/>
  <c r="BG565" i="1"/>
  <c r="BL565" i="1"/>
  <c r="BM565" i="1"/>
  <c r="BL566" i="1"/>
  <c r="BM566" i="1"/>
  <c r="BD567" i="1"/>
  <c r="BL567" i="1"/>
  <c r="BM567" i="1"/>
  <c r="BL568" i="1"/>
  <c r="BM568" i="1"/>
  <c r="BD569" i="1"/>
  <c r="BE569" i="1"/>
  <c r="BF569" i="1"/>
  <c r="BG569" i="1"/>
  <c r="BL569" i="1"/>
  <c r="BM569" i="1"/>
  <c r="BL570" i="1"/>
  <c r="BM570" i="1"/>
  <c r="BD571" i="1"/>
  <c r="BE571" i="1"/>
  <c r="BF571" i="1"/>
  <c r="BG571" i="1"/>
  <c r="BL571" i="1"/>
  <c r="BM571" i="1"/>
  <c r="BL572" i="1"/>
  <c r="BM572" i="1"/>
  <c r="BD573" i="1"/>
  <c r="BL573" i="1"/>
  <c r="BM573" i="1"/>
  <c r="BL574" i="1"/>
  <c r="BM574" i="1"/>
  <c r="BD575" i="1"/>
  <c r="BE575" i="1"/>
  <c r="BF575" i="1"/>
  <c r="BG575" i="1"/>
  <c r="BL575" i="1"/>
  <c r="BM575" i="1"/>
  <c r="BL576" i="1"/>
  <c r="BM576" i="1"/>
  <c r="BL577" i="1"/>
  <c r="BM577" i="1"/>
  <c r="BL578" i="1"/>
  <c r="BM578" i="1"/>
  <c r="BD579" i="1"/>
  <c r="BE579" i="1"/>
  <c r="BG579" i="1"/>
  <c r="BL579" i="1"/>
  <c r="BM579" i="1"/>
  <c r="BD580" i="1"/>
  <c r="BE580" i="1"/>
  <c r="BF580" i="1"/>
  <c r="BG580" i="1"/>
  <c r="BL580" i="1"/>
  <c r="BM580" i="1"/>
  <c r="BL581" i="1"/>
  <c r="BM581" i="1"/>
  <c r="BD582" i="1"/>
  <c r="BL582" i="1"/>
  <c r="BM582" i="1"/>
  <c r="BD583" i="1"/>
  <c r="BE583" i="1"/>
  <c r="BF583" i="1"/>
  <c r="BG583" i="1"/>
  <c r="BL583" i="1"/>
  <c r="BM583" i="1"/>
  <c r="BL584" i="1"/>
  <c r="BM584" i="1"/>
  <c r="BL585" i="1"/>
  <c r="BM585" i="1"/>
  <c r="BL586" i="1"/>
  <c r="BM586" i="1"/>
  <c r="BD587" i="1"/>
  <c r="BE587" i="1"/>
  <c r="BF587" i="1"/>
  <c r="BG587" i="1"/>
  <c r="BL587" i="1"/>
  <c r="BM587" i="1"/>
  <c r="BL588" i="1"/>
  <c r="BM588" i="1"/>
  <c r="BL589" i="1"/>
  <c r="BM589" i="1"/>
  <c r="BL590" i="1"/>
  <c r="BM590" i="1"/>
  <c r="BD591" i="1"/>
  <c r="BE591" i="1"/>
  <c r="BG591" i="1"/>
  <c r="BL591" i="1"/>
  <c r="BM591" i="1"/>
  <c r="BD592" i="1"/>
  <c r="BE592" i="1"/>
  <c r="BF592" i="1"/>
  <c r="BG592" i="1"/>
  <c r="BL592" i="1"/>
  <c r="BM592" i="1"/>
  <c r="BL593" i="1"/>
  <c r="BM593" i="1"/>
  <c r="BD594" i="1"/>
  <c r="BE594" i="1"/>
  <c r="BF594" i="1"/>
  <c r="BG594" i="1"/>
  <c r="BL594" i="1"/>
  <c r="BM594" i="1"/>
  <c r="BL595" i="1"/>
  <c r="BM595" i="1"/>
  <c r="BD596" i="1"/>
  <c r="BE596" i="1"/>
  <c r="BG596" i="1"/>
  <c r="BL596" i="1"/>
  <c r="BM596" i="1"/>
  <c r="BL597" i="1"/>
  <c r="BM597" i="1"/>
  <c r="BD598" i="1"/>
  <c r="BE598" i="1"/>
  <c r="BF598" i="1"/>
  <c r="BG598" i="1"/>
  <c r="BL598" i="1"/>
  <c r="BM598" i="1"/>
  <c r="BD599" i="1"/>
  <c r="BE599" i="1"/>
  <c r="BF599" i="1"/>
  <c r="BG599" i="1"/>
  <c r="BL599" i="1"/>
  <c r="BM599" i="1"/>
  <c r="BD600" i="1"/>
  <c r="BE600" i="1"/>
  <c r="BG600" i="1"/>
  <c r="BL600" i="1"/>
  <c r="BM600" i="1"/>
  <c r="BL601" i="1"/>
  <c r="BM601" i="1"/>
  <c r="BD602" i="1"/>
  <c r="BE602" i="1"/>
  <c r="BF602" i="1"/>
  <c r="BG602" i="1"/>
  <c r="BL602" i="1"/>
  <c r="BM602" i="1"/>
  <c r="BL603" i="1"/>
  <c r="BM603" i="1"/>
  <c r="BD604" i="1"/>
  <c r="BE604" i="1"/>
  <c r="BG604" i="1"/>
  <c r="BL604" i="1"/>
  <c r="BM604" i="1"/>
  <c r="BD605" i="1"/>
  <c r="BE605" i="1"/>
  <c r="BF605" i="1"/>
  <c r="BG605" i="1"/>
  <c r="BL605" i="1"/>
  <c r="BM605" i="1"/>
  <c r="BD606" i="1"/>
  <c r="BE606" i="1"/>
  <c r="BF606" i="1"/>
  <c r="BG606" i="1"/>
  <c r="BL606" i="1"/>
  <c r="BM606" i="1"/>
  <c r="BD607" i="1"/>
  <c r="BE607" i="1"/>
  <c r="BG607" i="1"/>
  <c r="BL607" i="1"/>
  <c r="BM607" i="1"/>
  <c r="BL608" i="1"/>
  <c r="BM608" i="1"/>
  <c r="BD609" i="1"/>
  <c r="BE609" i="1"/>
  <c r="BF609" i="1"/>
  <c r="BG609" i="1"/>
  <c r="BL609" i="1"/>
  <c r="BM609" i="1"/>
  <c r="BL610" i="1"/>
  <c r="BM610" i="1"/>
  <c r="BL611" i="1"/>
  <c r="BM611" i="1"/>
  <c r="BD612" i="1"/>
  <c r="BL612" i="1"/>
  <c r="BM612" i="1"/>
  <c r="BL613" i="1"/>
  <c r="BM613" i="1"/>
  <c r="BD614" i="1"/>
  <c r="BE614" i="1"/>
  <c r="BF614" i="1"/>
  <c r="BG614" i="1"/>
  <c r="BL614" i="1"/>
  <c r="BM614" i="1"/>
  <c r="BL615" i="1"/>
  <c r="BM615" i="1"/>
  <c r="BL616" i="1"/>
  <c r="BM616" i="1"/>
  <c r="BD617" i="1"/>
  <c r="BE617" i="1"/>
  <c r="BF617" i="1"/>
  <c r="BG617" i="1"/>
  <c r="BL617" i="1"/>
  <c r="BM617" i="1"/>
  <c r="BL618" i="1"/>
  <c r="BM618" i="1"/>
  <c r="BD619" i="1"/>
  <c r="BE619" i="1"/>
  <c r="BF619" i="1"/>
  <c r="BG619" i="1"/>
  <c r="BL619" i="1"/>
  <c r="BM619" i="1"/>
  <c r="BL620" i="1"/>
  <c r="BM620" i="1"/>
  <c r="BD621" i="1"/>
  <c r="BE621" i="1"/>
  <c r="BG621" i="1"/>
  <c r="BL621" i="1"/>
  <c r="BM621" i="1"/>
  <c r="BL622" i="1"/>
  <c r="BM622" i="1"/>
  <c r="BD623" i="1"/>
  <c r="BE623" i="1"/>
  <c r="BF623" i="1"/>
  <c r="BG623" i="1"/>
  <c r="BL623" i="1"/>
  <c r="BM623" i="1"/>
  <c r="BL624" i="1"/>
  <c r="BM624" i="1"/>
  <c r="BL625" i="1"/>
  <c r="BM625" i="1"/>
  <c r="BD626" i="1"/>
  <c r="BL626" i="1"/>
  <c r="BM626" i="1"/>
  <c r="BL627" i="1"/>
  <c r="BM627" i="1"/>
  <c r="BD628" i="1"/>
  <c r="BE628" i="1"/>
  <c r="BF628" i="1"/>
  <c r="BG628" i="1"/>
  <c r="BL628" i="1"/>
  <c r="BM628" i="1"/>
  <c r="BL629" i="1"/>
  <c r="BM629" i="1"/>
  <c r="BL630" i="1"/>
  <c r="BM630" i="1"/>
  <c r="BD631" i="1"/>
  <c r="BL631" i="1"/>
  <c r="BM631" i="1"/>
  <c r="BD632" i="1"/>
  <c r="BE632" i="1"/>
  <c r="BF632" i="1"/>
  <c r="BG632" i="1"/>
  <c r="BL632" i="1"/>
  <c r="BM632" i="1"/>
  <c r="BL633" i="1"/>
  <c r="BM633" i="1"/>
  <c r="BL634" i="1"/>
  <c r="BM634" i="1"/>
  <c r="BD635" i="1"/>
  <c r="BE635" i="1"/>
  <c r="BF635" i="1"/>
  <c r="BG635" i="1"/>
  <c r="BL635" i="1"/>
  <c r="BM635" i="1"/>
  <c r="BL636" i="1"/>
  <c r="BM636" i="1"/>
  <c r="BL637" i="1"/>
  <c r="BM637" i="1"/>
  <c r="BD638" i="1"/>
  <c r="BE638" i="1"/>
  <c r="BG638" i="1"/>
  <c r="BL638" i="1"/>
  <c r="BM638" i="1"/>
  <c r="BD639" i="1"/>
  <c r="BE639" i="1"/>
  <c r="BF639" i="1"/>
  <c r="BG639" i="1"/>
  <c r="BL639" i="1"/>
  <c r="BM639" i="1"/>
  <c r="BL640" i="1"/>
  <c r="BM640" i="1"/>
  <c r="BL641" i="1"/>
  <c r="BM641" i="1"/>
  <c r="BD642" i="1"/>
  <c r="BL642" i="1"/>
  <c r="BM642" i="1"/>
  <c r="BD643" i="1"/>
  <c r="BE643" i="1"/>
  <c r="BF643" i="1"/>
  <c r="BG643" i="1"/>
  <c r="BL643" i="1"/>
  <c r="BM643" i="1"/>
  <c r="BL644" i="1"/>
  <c r="BM644" i="1"/>
  <c r="BL645" i="1"/>
  <c r="BM645" i="1"/>
  <c r="BD646" i="1"/>
  <c r="BE646" i="1"/>
  <c r="BF646" i="1"/>
  <c r="BG646" i="1"/>
  <c r="BL646" i="1"/>
  <c r="BM646" i="1"/>
  <c r="BL647" i="1"/>
  <c r="BM647" i="1"/>
  <c r="BL648" i="1"/>
  <c r="BM648" i="1"/>
  <c r="BD649" i="1"/>
  <c r="BE649" i="1"/>
  <c r="BF649" i="1"/>
  <c r="BG649" i="1"/>
  <c r="BL649" i="1"/>
  <c r="BM649" i="1"/>
  <c r="BL650" i="1"/>
  <c r="BM650" i="1"/>
  <c r="BL651" i="1"/>
  <c r="BM651" i="1"/>
  <c r="BL652" i="1"/>
  <c r="BM652" i="1"/>
  <c r="BD653" i="1"/>
  <c r="BE653" i="1"/>
  <c r="BL653" i="1"/>
  <c r="BM653" i="1"/>
  <c r="BL654" i="1"/>
  <c r="BM654" i="1"/>
  <c r="BD655" i="1"/>
  <c r="BE655" i="1"/>
  <c r="BF655" i="1"/>
  <c r="BG655" i="1"/>
  <c r="BL655" i="1"/>
  <c r="BM655" i="1"/>
  <c r="BL656" i="1"/>
  <c r="BM656" i="1"/>
  <c r="BL657" i="1"/>
  <c r="BM657" i="1"/>
  <c r="BD658" i="1"/>
  <c r="BE658" i="1"/>
  <c r="BF658" i="1"/>
  <c r="BG658" i="1"/>
  <c r="BL658" i="1"/>
  <c r="BM658" i="1"/>
  <c r="BL659" i="1"/>
  <c r="BM659" i="1"/>
  <c r="BD660" i="1"/>
  <c r="BE660" i="1"/>
  <c r="BF660" i="1"/>
  <c r="BG660" i="1"/>
  <c r="BL660" i="1"/>
  <c r="BM660" i="1"/>
  <c r="BL661" i="1"/>
  <c r="BM661" i="1"/>
  <c r="BD662" i="1"/>
  <c r="BE662" i="1"/>
  <c r="BF662" i="1"/>
  <c r="BG662" i="1"/>
  <c r="BL662" i="1"/>
  <c r="BM662" i="1"/>
  <c r="BL663" i="1"/>
  <c r="BM663" i="1"/>
  <c r="BD664" i="1"/>
  <c r="BE664" i="1"/>
  <c r="BL664" i="1"/>
  <c r="BM664" i="1"/>
  <c r="BD665" i="1"/>
  <c r="BE665" i="1"/>
  <c r="BF665" i="1"/>
  <c r="BG665" i="1"/>
  <c r="BL665" i="1"/>
  <c r="BM665" i="1"/>
  <c r="BL666" i="1"/>
  <c r="BM666" i="1"/>
  <c r="BD667" i="1"/>
  <c r="BE667" i="1"/>
  <c r="BF667" i="1"/>
  <c r="BG667" i="1"/>
  <c r="BL667" i="1"/>
  <c r="BM667" i="1"/>
  <c r="BL668" i="1"/>
  <c r="BM668" i="1"/>
  <c r="BD669" i="1"/>
  <c r="BE669" i="1"/>
  <c r="BG669" i="1"/>
  <c r="BL669" i="1"/>
  <c r="BM669" i="1"/>
  <c r="BD670" i="1"/>
  <c r="BE670" i="1"/>
  <c r="BF670" i="1"/>
  <c r="BG670" i="1"/>
  <c r="BL670" i="1"/>
  <c r="BM670" i="1"/>
  <c r="BL671" i="1"/>
  <c r="BM671" i="1"/>
  <c r="BD672" i="1"/>
  <c r="BE672" i="1"/>
  <c r="BF672" i="1"/>
  <c r="BG672" i="1"/>
  <c r="BL672" i="1"/>
  <c r="BM672" i="1"/>
  <c r="BL673" i="1"/>
  <c r="BM673" i="1"/>
  <c r="BD674" i="1"/>
  <c r="BE674" i="1"/>
  <c r="BF674" i="1"/>
  <c r="BG674" i="1"/>
  <c r="BL674" i="1"/>
  <c r="BM674" i="1"/>
  <c r="BL675" i="1"/>
  <c r="BM675" i="1"/>
  <c r="BD676" i="1"/>
  <c r="BE676" i="1"/>
  <c r="BG676" i="1"/>
  <c r="BL676" i="1"/>
  <c r="BM676" i="1"/>
  <c r="BD677" i="1"/>
  <c r="BE677" i="1"/>
  <c r="BF677" i="1"/>
  <c r="BG677" i="1"/>
  <c r="BL677" i="1"/>
  <c r="BM677" i="1"/>
  <c r="BD678" i="1"/>
  <c r="BE678" i="1"/>
  <c r="BF678" i="1"/>
  <c r="BG678" i="1"/>
  <c r="BL678" i="1"/>
  <c r="BM678" i="1"/>
  <c r="BD679" i="1"/>
  <c r="BL679" i="1"/>
  <c r="BM679" i="1"/>
  <c r="BD680" i="1"/>
  <c r="BE680" i="1"/>
  <c r="BF680" i="1"/>
  <c r="BG680" i="1"/>
  <c r="BL680" i="1"/>
  <c r="BM680" i="1"/>
  <c r="BL681" i="1"/>
  <c r="BM681" i="1"/>
  <c r="BL682" i="1"/>
  <c r="BM682" i="1"/>
  <c r="BD683" i="1"/>
  <c r="BE683" i="1"/>
  <c r="BF683" i="1"/>
  <c r="BG683" i="1"/>
  <c r="BL683" i="1"/>
  <c r="BM683" i="1"/>
  <c r="BL684" i="1"/>
  <c r="BM684" i="1"/>
  <c r="BL685" i="1"/>
  <c r="BM685" i="1"/>
  <c r="BD686" i="1"/>
  <c r="BL686" i="1"/>
  <c r="BM686" i="1"/>
  <c r="BD687" i="1"/>
  <c r="BE687" i="1"/>
  <c r="BF687" i="1"/>
  <c r="BG687" i="1"/>
  <c r="BL687" i="1"/>
  <c r="BM687" i="1"/>
  <c r="BD688" i="1"/>
  <c r="BL688" i="1"/>
  <c r="BM688" i="1"/>
  <c r="BD689" i="1"/>
  <c r="BE689" i="1"/>
  <c r="BF689" i="1"/>
  <c r="BG689" i="1"/>
  <c r="BL689" i="1"/>
  <c r="BM689" i="1"/>
  <c r="BL690" i="1"/>
  <c r="BM690" i="1"/>
  <c r="BD691" i="1"/>
  <c r="BL691" i="1"/>
  <c r="BM691" i="1"/>
  <c r="BL692" i="1"/>
  <c r="BM692" i="1"/>
  <c r="BL693" i="1"/>
  <c r="BM693" i="1"/>
  <c r="BD694" i="1"/>
  <c r="BE694" i="1"/>
  <c r="BF694" i="1"/>
  <c r="BG694" i="1"/>
  <c r="BL694" i="1"/>
  <c r="BM694" i="1"/>
  <c r="BL695" i="1"/>
  <c r="BM695" i="1"/>
  <c r="BL696" i="1"/>
  <c r="BM696" i="1"/>
  <c r="BD697" i="1"/>
  <c r="BL697" i="1"/>
  <c r="BM697" i="1"/>
  <c r="BD698" i="1"/>
  <c r="BE698" i="1"/>
  <c r="BF698" i="1"/>
  <c r="BL698" i="1"/>
  <c r="BM698" i="1"/>
  <c r="BD699" i="1"/>
  <c r="BE699" i="1"/>
  <c r="BG699" i="1"/>
  <c r="BL699" i="1"/>
  <c r="BM699" i="1"/>
  <c r="BL700" i="1"/>
  <c r="BM700" i="1"/>
  <c r="BD701" i="1"/>
  <c r="BE701" i="1"/>
  <c r="BF701" i="1"/>
  <c r="BL701" i="1"/>
  <c r="BM701" i="1"/>
  <c r="BL702" i="1"/>
  <c r="BM702" i="1"/>
  <c r="BD703" i="1"/>
  <c r="BE703" i="1"/>
  <c r="BG703" i="1"/>
  <c r="BL703" i="1"/>
  <c r="BM703" i="1"/>
  <c r="BL704" i="1"/>
  <c r="BM704" i="1"/>
  <c r="BL705" i="1"/>
  <c r="BM705" i="1"/>
  <c r="BD706" i="1"/>
  <c r="BE706" i="1"/>
  <c r="BF706" i="1"/>
  <c r="BG706" i="1"/>
  <c r="BL706" i="1"/>
  <c r="BM706" i="1"/>
  <c r="BL707" i="1"/>
  <c r="BM707" i="1"/>
  <c r="BL708" i="1"/>
  <c r="BM708" i="1"/>
  <c r="BD709" i="1"/>
  <c r="BE709" i="1"/>
  <c r="BF709" i="1"/>
  <c r="BG709" i="1"/>
  <c r="BL709" i="1"/>
  <c r="BM709" i="1"/>
  <c r="BL710" i="1"/>
  <c r="BM710" i="1"/>
  <c r="BD711" i="1"/>
  <c r="BL711" i="1"/>
  <c r="BM711" i="1"/>
  <c r="BL712" i="1"/>
  <c r="BM712" i="1"/>
  <c r="BD713" i="1"/>
  <c r="BE713" i="1"/>
  <c r="BF713" i="1"/>
  <c r="BG713" i="1"/>
  <c r="BD717" i="1"/>
  <c r="BE717" i="1"/>
  <c r="BF717" i="1"/>
  <c r="BG717" i="1"/>
  <c r="BD721" i="1"/>
  <c r="BE721" i="1"/>
  <c r="BF721" i="1"/>
  <c r="BG721" i="1"/>
  <c r="BD724" i="1"/>
  <c r="BE724" i="1"/>
  <c r="BG724" i="1"/>
  <c r="BD726" i="1"/>
  <c r="BE726" i="1"/>
  <c r="BF726" i="1"/>
  <c r="BG726" i="1"/>
  <c r="BD729" i="1"/>
  <c r="BE729" i="1"/>
  <c r="BD731" i="1"/>
  <c r="BE731" i="1"/>
  <c r="BF731" i="1"/>
  <c r="BG731" i="1"/>
  <c r="BD733" i="1"/>
  <c r="BE733" i="1"/>
  <c r="BF733" i="1"/>
  <c r="BG733" i="1"/>
  <c r="BD735" i="1"/>
  <c r="BE735" i="1"/>
  <c r="BF735" i="1"/>
  <c r="BG735" i="1"/>
  <c r="BD737" i="1"/>
  <c r="BE737" i="1"/>
  <c r="BF737" i="1"/>
  <c r="BG737" i="1"/>
  <c r="AD5" i="1"/>
  <c r="AE5" i="1"/>
  <c r="AF5" i="1"/>
  <c r="AG5" i="1"/>
  <c r="AI5" i="1"/>
  <c r="AJ5" i="1"/>
  <c r="AK5" i="1"/>
  <c r="AL5" i="1"/>
  <c r="AN5" i="1"/>
  <c r="AM5" i="1" s="1"/>
  <c r="AO5" i="1"/>
  <c r="AP5" i="1"/>
  <c r="AQ5" i="1"/>
  <c r="AR5" i="1"/>
  <c r="AT5" i="1"/>
  <c r="AU5" i="1"/>
  <c r="AV5" i="1" a="1"/>
  <c r="AV5" i="1" s="1"/>
  <c r="AW5" i="1" a="1"/>
  <c r="AW5" i="1" s="1"/>
  <c r="AX5" i="1" a="1"/>
  <c r="AX5" i="1" s="1"/>
  <c r="AY5" i="1" a="1"/>
  <c r="AY5" i="1" s="1"/>
  <c r="AD6" i="1"/>
  <c r="AE6" i="1"/>
  <c r="AF6" i="1"/>
  <c r="AF7" i="1" s="1"/>
  <c r="AF8" i="1" s="1"/>
  <c r="AG6" i="1"/>
  <c r="AI6" i="1"/>
  <c r="AJ6" i="1"/>
  <c r="AM6" i="1"/>
  <c r="AQ6" i="1" s="1"/>
  <c r="AN6" i="1"/>
  <c r="AR6" i="1"/>
  <c r="AT6" i="1"/>
  <c r="AU6" i="1"/>
  <c r="AV6" i="1" a="1"/>
  <c r="AV6" i="1" s="1"/>
  <c r="AW6" i="1" a="1"/>
  <c r="AW6" i="1" s="1"/>
  <c r="AX6" i="1" a="1"/>
  <c r="AX6" i="1" s="1"/>
  <c r="AY6" i="1" a="1"/>
  <c r="AY6" i="1" s="1"/>
  <c r="AD7" i="1"/>
  <c r="AE7" i="1"/>
  <c r="AE8" i="1" s="1"/>
  <c r="AG7" i="1"/>
  <c r="AG8" i="1" s="1"/>
  <c r="AE9" i="1" s="1"/>
  <c r="AJ7" i="1"/>
  <c r="AK7" i="1"/>
  <c r="AL7" i="1"/>
  <c r="AN7" i="1"/>
  <c r="AR7" i="1" s="1"/>
  <c r="AT7" i="1"/>
  <c r="AU7" i="1"/>
  <c r="AV7" i="1" a="1"/>
  <c r="AV7" i="1" s="1"/>
  <c r="AW7" i="1" a="1"/>
  <c r="AW7" i="1" s="1"/>
  <c r="AX7" i="1" a="1"/>
  <c r="AX7" i="1" s="1"/>
  <c r="AY7" i="1" a="1"/>
  <c r="AY7" i="1" s="1"/>
  <c r="AD8" i="1"/>
  <c r="AJ8" i="1"/>
  <c r="AK8" i="1"/>
  <c r="AL8" i="1"/>
  <c r="AT8" i="1"/>
  <c r="AU8" i="1"/>
  <c r="AV8" i="1" a="1"/>
  <c r="AV8" i="1" s="1"/>
  <c r="AW8" i="1" a="1"/>
  <c r="AW8" i="1" s="1"/>
  <c r="AX8" i="1" a="1"/>
  <c r="AX8" i="1" s="1"/>
  <c r="AY8" i="1" a="1"/>
  <c r="AY8" i="1" s="1"/>
  <c r="AD9" i="1"/>
  <c r="AF9" i="1"/>
  <c r="AD10" i="1" s="1"/>
  <c r="AG9" i="1"/>
  <c r="AI9" i="1"/>
  <c r="AJ9" i="1"/>
  <c r="AK9" i="1"/>
  <c r="AL9" i="1" s="1"/>
  <c r="AN9" i="1"/>
  <c r="AM9" i="1" s="1"/>
  <c r="AO9" i="1"/>
  <c r="AP9" i="1"/>
  <c r="AQ9" i="1"/>
  <c r="AR9" i="1"/>
  <c r="AT9" i="1"/>
  <c r="AU9" i="1"/>
  <c r="AV9" i="1" a="1"/>
  <c r="AV9" i="1" s="1"/>
  <c r="AW9" i="1" a="1"/>
  <c r="AW9" i="1" s="1"/>
  <c r="AX9" i="1" a="1"/>
  <c r="AX9" i="1" s="1"/>
  <c r="AY9" i="1" a="1"/>
  <c r="AY9" i="1" s="1"/>
  <c r="AE10" i="1"/>
  <c r="AF10" i="1"/>
  <c r="AG10" i="1"/>
  <c r="AI10" i="1"/>
  <c r="AI11" i="1" s="1"/>
  <c r="AJ10" i="1"/>
  <c r="AJ11" i="1" s="1"/>
  <c r="AK10" i="1"/>
  <c r="AL10" i="1"/>
  <c r="AP10" i="1" s="1"/>
  <c r="AP11" i="1" s="1"/>
  <c r="AM10" i="1"/>
  <c r="AN10" i="1"/>
  <c r="AR10" i="1" s="1"/>
  <c r="AO10" i="1"/>
  <c r="AQ10" i="1"/>
  <c r="AT10" i="1"/>
  <c r="AU10" i="1"/>
  <c r="AV10" i="1" a="1"/>
  <c r="AV10" i="1" s="1"/>
  <c r="AW10" i="1" a="1"/>
  <c r="AW10" i="1" s="1"/>
  <c r="AX10" i="1" a="1"/>
  <c r="AX10" i="1" s="1"/>
  <c r="AY10" i="1" a="1"/>
  <c r="AY10" i="1" s="1"/>
  <c r="AD11" i="1"/>
  <c r="AD12" i="1" s="1"/>
  <c r="AD13" i="1" s="1"/>
  <c r="AD14" i="1" s="1"/>
  <c r="AF14" i="1" s="1"/>
  <c r="AE11" i="1"/>
  <c r="AF11" i="1"/>
  <c r="AG11" i="1"/>
  <c r="AE12" i="1" s="1"/>
  <c r="AE13" i="1" s="1"/>
  <c r="AK11" i="1"/>
  <c r="AL11" i="1"/>
  <c r="AM11" i="1"/>
  <c r="AN11" i="1"/>
  <c r="AO11" i="1"/>
  <c r="AQ11" i="1"/>
  <c r="AR11" i="1"/>
  <c r="AT11" i="1"/>
  <c r="AU11" i="1"/>
  <c r="AV11" i="1" a="1"/>
  <c r="AV11" i="1" s="1"/>
  <c r="AW11" i="1" a="1"/>
  <c r="AW11" i="1" s="1"/>
  <c r="AX11" i="1" a="1"/>
  <c r="AX11" i="1" s="1"/>
  <c r="AY11" i="1" a="1"/>
  <c r="AY11" i="1" s="1"/>
  <c r="AF12" i="1"/>
  <c r="AF13" i="1" s="1"/>
  <c r="AG12" i="1"/>
  <c r="AI12" i="1"/>
  <c r="AJ12" i="1"/>
  <c r="AK12" i="1"/>
  <c r="AO12" i="1" s="1"/>
  <c r="AL12" i="1"/>
  <c r="AP12" i="1" s="1"/>
  <c r="AM12" i="1"/>
  <c r="AN12" i="1"/>
  <c r="AQ12" i="1"/>
  <c r="AR12" i="1"/>
  <c r="AT12" i="1"/>
  <c r="AU12" i="1"/>
  <c r="AV12" i="1" a="1"/>
  <c r="AV12" i="1" s="1"/>
  <c r="AW12" i="1" a="1"/>
  <c r="AW12" i="1" s="1"/>
  <c r="AX12" i="1" a="1"/>
  <c r="AX12" i="1" s="1"/>
  <c r="AY12" i="1" a="1"/>
  <c r="AY12" i="1" s="1"/>
  <c r="AG13" i="1"/>
  <c r="AI13" i="1"/>
  <c r="AJ13" i="1"/>
  <c r="AK13" i="1"/>
  <c r="AL13" i="1"/>
  <c r="AM13" i="1"/>
  <c r="AN13" i="1"/>
  <c r="AO13" i="1"/>
  <c r="AP13" i="1"/>
  <c r="AQ13" i="1"/>
  <c r="AR13" i="1"/>
  <c r="AT13" i="1"/>
  <c r="AU13" i="1"/>
  <c r="AV13" i="1" a="1"/>
  <c r="AV13" i="1" s="1"/>
  <c r="AW13" i="1" a="1"/>
  <c r="AW13" i="1" s="1"/>
  <c r="AX13" i="1" a="1"/>
  <c r="AX13" i="1" s="1"/>
  <c r="AY13" i="1" a="1"/>
  <c r="AY13" i="1" s="1"/>
  <c r="AE14" i="1"/>
  <c r="AG14" i="1"/>
  <c r="AI14" i="1"/>
  <c r="AK14" i="1" s="1"/>
  <c r="AL14" i="1" s="1"/>
  <c r="AJ14" i="1"/>
  <c r="AM14" i="1"/>
  <c r="AN14" i="1"/>
  <c r="AO14" i="1"/>
  <c r="AP14" i="1"/>
  <c r="AQ14" i="1"/>
  <c r="AR14" i="1"/>
  <c r="AT14" i="1"/>
  <c r="AU14" i="1"/>
  <c r="AV14" i="1" a="1"/>
  <c r="AV14" i="1" s="1"/>
  <c r="AW14" i="1" a="1"/>
  <c r="AW14" i="1" s="1"/>
  <c r="AX14" i="1" a="1"/>
  <c r="AX14" i="1" s="1"/>
  <c r="AY14" i="1" a="1"/>
  <c r="AY14" i="1" s="1"/>
  <c r="AD15" i="1"/>
  <c r="AD16" i="1" s="1"/>
  <c r="AD17" i="1" s="1"/>
  <c r="AD18" i="1" s="1"/>
  <c r="AD19" i="1" s="1"/>
  <c r="AD20" i="1" s="1"/>
  <c r="AE15" i="1"/>
  <c r="AF15" i="1"/>
  <c r="AF16" i="1" s="1"/>
  <c r="AG15" i="1"/>
  <c r="AG16" i="1" s="1"/>
  <c r="AI15" i="1"/>
  <c r="AJ15" i="1"/>
  <c r="AK15" i="1"/>
  <c r="AL15" i="1" s="1"/>
  <c r="AP15" i="1" s="1"/>
  <c r="AM15" i="1"/>
  <c r="AQ15" i="1" s="1"/>
  <c r="AN15" i="1"/>
  <c r="AR15" i="1" s="1"/>
  <c r="AT15" i="1"/>
  <c r="AU15" i="1"/>
  <c r="AV15" i="1" a="1"/>
  <c r="AV15" i="1" s="1"/>
  <c r="AX15" i="1" a="1"/>
  <c r="AX15" i="1" s="1"/>
  <c r="AE16" i="1"/>
  <c r="AE17" i="1" s="1"/>
  <c r="AE18" i="1" s="1"/>
  <c r="AH16" i="1"/>
  <c r="AS16" i="1" s="1"/>
  <c r="AI16" i="1"/>
  <c r="AJ16" i="1"/>
  <c r="AK16" i="1"/>
  <c r="AL16" i="1"/>
  <c r="AM16" i="1"/>
  <c r="AQ16" i="1" s="1"/>
  <c r="AN16" i="1"/>
  <c r="AR16" i="1" s="1"/>
  <c r="AP16" i="1"/>
  <c r="AT16" i="1"/>
  <c r="AU16" i="1"/>
  <c r="AF17" i="1"/>
  <c r="AG17" i="1"/>
  <c r="AH17" i="1"/>
  <c r="BR17" i="1" s="1"/>
  <c r="BQ17" i="1" s="1"/>
  <c r="AI17" i="1"/>
  <c r="AJ17" i="1"/>
  <c r="AK17" i="1"/>
  <c r="AL17" i="1"/>
  <c r="AP17" i="1" s="1"/>
  <c r="AP18" i="1" s="1"/>
  <c r="AN17" i="1"/>
  <c r="AM17" i="1" s="1"/>
  <c r="AO17" i="1"/>
  <c r="AQ17" i="1"/>
  <c r="AR17" i="1"/>
  <c r="AT17" i="1"/>
  <c r="AU17" i="1"/>
  <c r="AF18" i="1"/>
  <c r="AG18" i="1"/>
  <c r="AH18" i="1"/>
  <c r="AI18" i="1"/>
  <c r="AJ18" i="1"/>
  <c r="AK18" i="1"/>
  <c r="AL18" i="1"/>
  <c r="AM18" i="1"/>
  <c r="AN18" i="1"/>
  <c r="AO18" i="1"/>
  <c r="AQ18" i="1"/>
  <c r="AR18" i="1"/>
  <c r="AT18" i="1"/>
  <c r="AU18" i="1"/>
  <c r="AE19" i="1"/>
  <c r="AE20" i="1" s="1"/>
  <c r="AE21" i="1" s="1"/>
  <c r="AE22" i="1" s="1"/>
  <c r="AF19" i="1"/>
  <c r="AF20" i="1" s="1"/>
  <c r="AF21" i="1" s="1"/>
  <c r="AF22" i="1" s="1"/>
  <c r="AD23" i="1" s="1"/>
  <c r="AD24" i="1" s="1"/>
  <c r="AD25" i="1" s="1"/>
  <c r="AD26" i="1" s="1"/>
  <c r="AD27" i="1" s="1"/>
  <c r="AD28" i="1" s="1"/>
  <c r="AD29" i="1" s="1"/>
  <c r="AD30" i="1" s="1"/>
  <c r="AG19" i="1"/>
  <c r="AH19" i="1"/>
  <c r="AI19" i="1"/>
  <c r="AJ19" i="1"/>
  <c r="AK19" i="1"/>
  <c r="AL19" i="1"/>
  <c r="AM19" i="1"/>
  <c r="AN19" i="1"/>
  <c r="AO19" i="1"/>
  <c r="AP19" i="1"/>
  <c r="AP20" i="1" s="1"/>
  <c r="AQ19" i="1"/>
  <c r="AR19" i="1"/>
  <c r="AT19" i="1"/>
  <c r="AU19" i="1"/>
  <c r="AG20" i="1"/>
  <c r="AH20" i="1"/>
  <c r="AI20" i="1"/>
  <c r="AJ20" i="1"/>
  <c r="AK20" i="1"/>
  <c r="AO20" i="1" s="1"/>
  <c r="AL20" i="1"/>
  <c r="AM20" i="1"/>
  <c r="AQ20" i="1" s="1"/>
  <c r="AN20" i="1"/>
  <c r="AR20" i="1" s="1"/>
  <c r="AT20" i="1"/>
  <c r="AU20" i="1"/>
  <c r="AD21" i="1"/>
  <c r="AD22" i="1" s="1"/>
  <c r="AG21" i="1"/>
  <c r="AH21" i="1"/>
  <c r="BR21" i="1" s="1"/>
  <c r="BQ21" i="1" s="1"/>
  <c r="AI21" i="1"/>
  <c r="AJ21" i="1"/>
  <c r="AK21" i="1"/>
  <c r="AL21" i="1" s="1"/>
  <c r="AP21" i="1" s="1"/>
  <c r="AP22" i="1" s="1"/>
  <c r="AM21" i="1"/>
  <c r="AN21" i="1"/>
  <c r="AQ21" i="1"/>
  <c r="AR21" i="1"/>
  <c r="AS21" i="1"/>
  <c r="AT21" i="1"/>
  <c r="AU21" i="1"/>
  <c r="AG22" i="1"/>
  <c r="AH22" i="1"/>
  <c r="AI22" i="1"/>
  <c r="AJ22" i="1"/>
  <c r="AK22" i="1"/>
  <c r="AL22" i="1"/>
  <c r="AM22" i="1"/>
  <c r="AN22" i="1"/>
  <c r="AQ22" i="1"/>
  <c r="AR22" i="1"/>
  <c r="AS22" i="1"/>
  <c r="AT22" i="1"/>
  <c r="AU22" i="1"/>
  <c r="AE23" i="1"/>
  <c r="AF23" i="1"/>
  <c r="AG23" i="1"/>
  <c r="AH23" i="1"/>
  <c r="BR23" i="1" s="1"/>
  <c r="BQ23" i="1" s="1"/>
  <c r="AI23" i="1"/>
  <c r="AJ23" i="1"/>
  <c r="AK23" i="1"/>
  <c r="AL23" i="1"/>
  <c r="AM23" i="1"/>
  <c r="AQ23" i="1" s="1"/>
  <c r="AN23" i="1"/>
  <c r="AO23" i="1"/>
  <c r="AP23" i="1"/>
  <c r="AR23" i="1"/>
  <c r="AS23" i="1"/>
  <c r="AT23" i="1"/>
  <c r="AU23" i="1"/>
  <c r="AV23" i="1" a="1"/>
  <c r="AV23" i="1" s="1"/>
  <c r="AW23" i="1" a="1"/>
  <c r="AW23" i="1" s="1"/>
  <c r="AX23" i="1" a="1"/>
  <c r="AX23" i="1" s="1"/>
  <c r="AY23" i="1" a="1"/>
  <c r="AY23" i="1" s="1"/>
  <c r="AE24" i="1"/>
  <c r="AE25" i="1" s="1"/>
  <c r="AE26" i="1" s="1"/>
  <c r="AE27" i="1" s="1"/>
  <c r="AF24" i="1"/>
  <c r="AG24" i="1"/>
  <c r="AH24" i="1"/>
  <c r="BR24" i="1" s="1"/>
  <c r="BQ24" i="1" s="1"/>
  <c r="AI24" i="1"/>
  <c r="AJ24" i="1"/>
  <c r="AM24" i="1"/>
  <c r="AN24" i="1"/>
  <c r="AQ24" i="1"/>
  <c r="AR24" i="1"/>
  <c r="AT24" i="1"/>
  <c r="AU24" i="1"/>
  <c r="AV24" i="1" a="1"/>
  <c r="AV24" i="1" s="1"/>
  <c r="AW24" i="1" a="1"/>
  <c r="AW24" i="1" s="1"/>
  <c r="AX24" i="1" a="1"/>
  <c r="AX24" i="1" s="1"/>
  <c r="AY24" i="1" a="1"/>
  <c r="AY24" i="1" s="1"/>
  <c r="AF25" i="1"/>
  <c r="AG25" i="1"/>
  <c r="AH25" i="1"/>
  <c r="AJ25" i="1"/>
  <c r="AK25" i="1"/>
  <c r="AL25" i="1"/>
  <c r="AN25" i="1"/>
  <c r="AM25" i="1" s="1"/>
  <c r="AQ25" i="1"/>
  <c r="AT25" i="1"/>
  <c r="AU25" i="1"/>
  <c r="AV25" i="1" a="1"/>
  <c r="AV25" i="1" s="1"/>
  <c r="AY25" i="1" a="1"/>
  <c r="AY25" i="1" s="1"/>
  <c r="AF26" i="1"/>
  <c r="AG26" i="1"/>
  <c r="AI26" i="1"/>
  <c r="AJ26" i="1"/>
  <c r="AK26" i="1"/>
  <c r="AN26" i="1"/>
  <c r="AR26" i="1"/>
  <c r="AT26" i="1"/>
  <c r="AU26" i="1"/>
  <c r="AY26" i="1" a="1"/>
  <c r="AY26" i="1" s="1"/>
  <c r="AF27" i="1"/>
  <c r="AG27" i="1"/>
  <c r="AT27" i="1"/>
  <c r="AU27" i="1"/>
  <c r="AY27" i="1" a="1"/>
  <c r="AY27" i="1" s="1"/>
  <c r="AE28" i="1"/>
  <c r="AE29" i="1" s="1"/>
  <c r="AG28" i="1"/>
  <c r="AG29" i="1" s="1"/>
  <c r="AG30" i="1" s="1"/>
  <c r="AE31" i="1" s="1"/>
  <c r="AE32" i="1" s="1"/>
  <c r="AE33" i="1" s="1"/>
  <c r="AT28" i="1"/>
  <c r="AU28" i="1"/>
  <c r="AV28" i="1" a="1"/>
  <c r="AV28" i="1" s="1"/>
  <c r="AW28" i="1" a="1"/>
  <c r="AW28" i="1" s="1"/>
  <c r="AX28" i="1" a="1"/>
  <c r="AX28" i="1" s="1"/>
  <c r="AY28" i="1" a="1"/>
  <c r="AY28" i="1" s="1"/>
  <c r="AT29" i="1"/>
  <c r="AU29" i="1"/>
  <c r="AV29" i="1" a="1"/>
  <c r="AV29" i="1" s="1"/>
  <c r="AW29" i="1" a="1"/>
  <c r="AW29" i="1" s="1"/>
  <c r="AX29" i="1" a="1"/>
  <c r="AX29" i="1" s="1"/>
  <c r="AY29" i="1" a="1"/>
  <c r="AY29" i="1" s="1"/>
  <c r="AE30" i="1"/>
  <c r="AT30" i="1"/>
  <c r="AU30" i="1"/>
  <c r="AV30" i="1" a="1"/>
  <c r="AV30" i="1" s="1"/>
  <c r="AW30" i="1" a="1"/>
  <c r="AW30" i="1" s="1"/>
  <c r="AX30" i="1" a="1"/>
  <c r="AX30" i="1" s="1"/>
  <c r="AY30" i="1" a="1"/>
  <c r="AY30" i="1" s="1"/>
  <c r="AF31" i="1"/>
  <c r="AG31" i="1"/>
  <c r="AG32" i="1" s="1"/>
  <c r="BR31" i="1"/>
  <c r="BQ31" i="1" s="1"/>
  <c r="AT31" i="1"/>
  <c r="AU31" i="1"/>
  <c r="AV31" i="1" a="1"/>
  <c r="AV31" i="1" s="1"/>
  <c r="AW31" i="1" a="1"/>
  <c r="AW31" i="1" s="1"/>
  <c r="AX31" i="1" a="1"/>
  <c r="AX31" i="1" s="1"/>
  <c r="AY31" i="1" a="1"/>
  <c r="AY31" i="1" s="1"/>
  <c r="AF32" i="1"/>
  <c r="AT32" i="1"/>
  <c r="AU32" i="1"/>
  <c r="AV32" i="1" a="1"/>
  <c r="AV32" i="1" s="1"/>
  <c r="AW32" i="1" a="1"/>
  <c r="AW32" i="1" s="1"/>
  <c r="AX32" i="1" a="1"/>
  <c r="AX32" i="1" s="1"/>
  <c r="AY32" i="1" a="1"/>
  <c r="AY32" i="1" s="1"/>
  <c r="AF33" i="1"/>
  <c r="AG33" i="1"/>
  <c r="AT33" i="1"/>
  <c r="AU33" i="1"/>
  <c r="AV33" i="1" a="1"/>
  <c r="AV33" i="1" s="1"/>
  <c r="AW33" i="1" a="1"/>
  <c r="AW33" i="1" s="1"/>
  <c r="AX33" i="1" a="1"/>
  <c r="AX33" i="1" s="1"/>
  <c r="AY33" i="1" a="1"/>
  <c r="AY33" i="1" s="1"/>
  <c r="AE34" i="1"/>
  <c r="AF34" i="1"/>
  <c r="AG34" i="1"/>
  <c r="AT34" i="1"/>
  <c r="AU34" i="1"/>
  <c r="AV34" i="1" a="1"/>
  <c r="AV34" i="1" s="1"/>
  <c r="AW34" i="1" a="1"/>
  <c r="AW34" i="1" s="1"/>
  <c r="AX34" i="1" a="1"/>
  <c r="AX34" i="1" s="1"/>
  <c r="AY34" i="1" a="1"/>
  <c r="AY34" i="1" s="1"/>
  <c r="AE35" i="1"/>
  <c r="AF35" i="1"/>
  <c r="AG35" i="1"/>
  <c r="AT35" i="1"/>
  <c r="AU35" i="1"/>
  <c r="AV35" i="1" a="1"/>
  <c r="AV35" i="1" s="1"/>
  <c r="AW35" i="1" a="1"/>
  <c r="AW35" i="1" s="1"/>
  <c r="AX35" i="1" a="1"/>
  <c r="AX35" i="1" s="1"/>
  <c r="AY35" i="1" a="1"/>
  <c r="AY35" i="1" s="1"/>
  <c r="AE36" i="1"/>
  <c r="AE37" i="1" s="1"/>
  <c r="AF36" i="1"/>
  <c r="AG36" i="1"/>
  <c r="AT36" i="1"/>
  <c r="AU36" i="1"/>
  <c r="AV36" i="1" a="1"/>
  <c r="AV36" i="1" s="1"/>
  <c r="AW36" i="1" a="1"/>
  <c r="AW36" i="1" s="1"/>
  <c r="AX36" i="1" a="1"/>
  <c r="AX36" i="1" s="1"/>
  <c r="AY36" i="1" a="1"/>
  <c r="AY36" i="1" s="1"/>
  <c r="AF37" i="1"/>
  <c r="AG37" i="1"/>
  <c r="AT37" i="1"/>
  <c r="AU37" i="1"/>
  <c r="AV37" i="1" a="1"/>
  <c r="AV37" i="1" s="1"/>
  <c r="AW37" i="1" a="1"/>
  <c r="AW37" i="1" s="1"/>
  <c r="AX37" i="1" a="1"/>
  <c r="AX37" i="1" s="1"/>
  <c r="AY37" i="1" a="1"/>
  <c r="AY37" i="1" s="1"/>
  <c r="AE38" i="1"/>
  <c r="AF38" i="1"/>
  <c r="AG38" i="1"/>
  <c r="AT38" i="1"/>
  <c r="AU38" i="1"/>
  <c r="AV38" i="1" a="1"/>
  <c r="AV38" i="1" s="1"/>
  <c r="AW38" i="1" a="1"/>
  <c r="AW38" i="1" s="1"/>
  <c r="AX38" i="1" a="1"/>
  <c r="AX38" i="1" s="1"/>
  <c r="AY38" i="1" a="1"/>
  <c r="AY38" i="1" s="1"/>
  <c r="AE39" i="1"/>
  <c r="AE40" i="1" s="1"/>
  <c r="AF39" i="1"/>
  <c r="AF40" i="1" s="1"/>
  <c r="AG39" i="1"/>
  <c r="AG40" i="1" s="1"/>
  <c r="AT39" i="1"/>
  <c r="AU39" i="1"/>
  <c r="AV39" i="1" a="1"/>
  <c r="AV39" i="1" s="1"/>
  <c r="AW39" i="1" a="1"/>
  <c r="AW39" i="1" s="1"/>
  <c r="AX39" i="1" a="1"/>
  <c r="AX39" i="1" s="1"/>
  <c r="AY39" i="1" a="1"/>
  <c r="AY39" i="1" s="1"/>
  <c r="AT40" i="1"/>
  <c r="AU40" i="1"/>
  <c r="AV40" i="1" a="1"/>
  <c r="AV40" i="1" s="1"/>
  <c r="AW40" i="1" a="1"/>
  <c r="AW40" i="1" s="1"/>
  <c r="AX40" i="1" a="1"/>
  <c r="AX40" i="1" s="1"/>
  <c r="AY40" i="1" a="1"/>
  <c r="AY40" i="1" s="1"/>
  <c r="AE41" i="1"/>
  <c r="AE42" i="1" s="1"/>
  <c r="AG41" i="1"/>
  <c r="AT41" i="1"/>
  <c r="AU41" i="1"/>
  <c r="AV41" i="1" a="1"/>
  <c r="AV41" i="1" s="1"/>
  <c r="AW41" i="1" a="1"/>
  <c r="AW41" i="1" s="1"/>
  <c r="AX41" i="1" a="1"/>
  <c r="AX41" i="1" s="1"/>
  <c r="AY41" i="1" a="1"/>
  <c r="AY41" i="1" s="1"/>
  <c r="AG42" i="1"/>
  <c r="AE43" i="1" s="1"/>
  <c r="AT42" i="1"/>
  <c r="AU42" i="1"/>
  <c r="AV42" i="1" a="1"/>
  <c r="AV42" i="1" s="1"/>
  <c r="AW42" i="1" a="1"/>
  <c r="AW42" i="1" s="1"/>
  <c r="AX42" i="1" a="1"/>
  <c r="AX42" i="1" s="1"/>
  <c r="AY42" i="1" a="1"/>
  <c r="AY42" i="1" s="1"/>
  <c r="AG43" i="1"/>
  <c r="AT43" i="1"/>
  <c r="AU43" i="1"/>
  <c r="AV43" i="1" a="1"/>
  <c r="AV43" i="1" s="1"/>
  <c r="AW43" i="1" a="1"/>
  <c r="AW43" i="1" s="1"/>
  <c r="AX43" i="1" a="1"/>
  <c r="AX43" i="1" s="1"/>
  <c r="AY43" i="1" a="1"/>
  <c r="AY43" i="1" s="1"/>
  <c r="AE44" i="1"/>
  <c r="AG44" i="1"/>
  <c r="AE45" i="1" s="1"/>
  <c r="AT44" i="1"/>
  <c r="AU44" i="1"/>
  <c r="AV44" i="1" a="1"/>
  <c r="AV44" i="1" s="1"/>
  <c r="AW44" i="1" a="1"/>
  <c r="AW44" i="1" s="1"/>
  <c r="AX44" i="1" a="1"/>
  <c r="AX44" i="1" s="1"/>
  <c r="AY44" i="1" a="1"/>
  <c r="AY44" i="1" s="1"/>
  <c r="AG45" i="1"/>
  <c r="AT45" i="1"/>
  <c r="AU45" i="1"/>
  <c r="AV45" i="1" a="1"/>
  <c r="AV45" i="1" s="1"/>
  <c r="AW45" i="1" a="1"/>
  <c r="AW45" i="1" s="1"/>
  <c r="AX45" i="1" a="1"/>
  <c r="AX45" i="1" s="1"/>
  <c r="AY45" i="1" a="1"/>
  <c r="AY45" i="1" s="1"/>
  <c r="AE46" i="1"/>
  <c r="AG46" i="1"/>
  <c r="AG47" i="1" s="1"/>
  <c r="AG48" i="1" s="1"/>
  <c r="AE49" i="1" s="1"/>
  <c r="AE50" i="1" s="1"/>
  <c r="AE51" i="1" s="1"/>
  <c r="AT46" i="1"/>
  <c r="AU46" i="1"/>
  <c r="AV46" i="1" a="1"/>
  <c r="AV46" i="1" s="1"/>
  <c r="AW46" i="1" a="1"/>
  <c r="AW46" i="1" s="1"/>
  <c r="AX46" i="1" a="1"/>
  <c r="AX46" i="1" s="1"/>
  <c r="AY46" i="1" a="1"/>
  <c r="AY46" i="1" s="1"/>
  <c r="AE47" i="1"/>
  <c r="AE48" i="1" s="1"/>
  <c r="AT47" i="1"/>
  <c r="AU47" i="1"/>
  <c r="AV47" i="1" a="1"/>
  <c r="AV47" i="1" s="1"/>
  <c r="AW47" i="1" a="1"/>
  <c r="AW47" i="1" s="1"/>
  <c r="AX47" i="1" a="1"/>
  <c r="AX47" i="1" s="1"/>
  <c r="AY47" i="1" a="1"/>
  <c r="AY47" i="1" s="1"/>
  <c r="AT48" i="1"/>
  <c r="AU48" i="1"/>
  <c r="AV48" i="1" a="1"/>
  <c r="AV48" i="1" s="1"/>
  <c r="AW48" i="1" a="1"/>
  <c r="AW48" i="1" s="1"/>
  <c r="AX48" i="1" a="1"/>
  <c r="AX48" i="1" s="1"/>
  <c r="AY48" i="1" a="1"/>
  <c r="AY48" i="1" s="1"/>
  <c r="AF49" i="1"/>
  <c r="AG49" i="1"/>
  <c r="AT49" i="1"/>
  <c r="AU49" i="1"/>
  <c r="AF50" i="1"/>
  <c r="AF51" i="1" s="1"/>
  <c r="AG50" i="1"/>
  <c r="AG51" i="1" s="1"/>
  <c r="AT50" i="1"/>
  <c r="AU50" i="1"/>
  <c r="AT51" i="1"/>
  <c r="AU51" i="1"/>
  <c r="AV51" i="1" a="1"/>
  <c r="AV51" i="1" s="1"/>
  <c r="AW51" i="1" a="1"/>
  <c r="AW51" i="1" s="1"/>
  <c r="AE52" i="1"/>
  <c r="AE53" i="1" s="1"/>
  <c r="AE54" i="1" s="1"/>
  <c r="AF52" i="1"/>
  <c r="AF53" i="1" s="1"/>
  <c r="AF54" i="1" s="1"/>
  <c r="AG52" i="1"/>
  <c r="AT52" i="1"/>
  <c r="AU52" i="1"/>
  <c r="AG53" i="1"/>
  <c r="AT53" i="1"/>
  <c r="AU53" i="1"/>
  <c r="AG54" i="1"/>
  <c r="AT54" i="1"/>
  <c r="AU54" i="1"/>
  <c r="AE55" i="1"/>
  <c r="AF55" i="1"/>
  <c r="AG55" i="1"/>
  <c r="AG56" i="1" s="1"/>
  <c r="AE57" i="1" s="1"/>
  <c r="AE58" i="1" s="1"/>
  <c r="AT55" i="1"/>
  <c r="AU55" i="1"/>
  <c r="AV55" i="1" a="1"/>
  <c r="AV55" i="1" s="1"/>
  <c r="AW55" i="1" a="1"/>
  <c r="AW55" i="1" s="1"/>
  <c r="AX55" i="1" a="1"/>
  <c r="AX55" i="1" s="1"/>
  <c r="AY55" i="1" a="1"/>
  <c r="AY55" i="1" s="1"/>
  <c r="AE56" i="1"/>
  <c r="AF56" i="1"/>
  <c r="AT56" i="1"/>
  <c r="AU56" i="1"/>
  <c r="AV56" i="1" a="1"/>
  <c r="AV56" i="1" s="1"/>
  <c r="AW56" i="1" a="1"/>
  <c r="AW56" i="1" s="1"/>
  <c r="AX56" i="1" a="1"/>
  <c r="AX56" i="1" s="1"/>
  <c r="AY56" i="1" a="1"/>
  <c r="AY56" i="1" s="1"/>
  <c r="AF57" i="1"/>
  <c r="AF58" i="1" s="1"/>
  <c r="AG57" i="1"/>
  <c r="AT57" i="1"/>
  <c r="AU57" i="1"/>
  <c r="AV57" i="1" a="1"/>
  <c r="AV57" i="1" s="1"/>
  <c r="AW57" i="1" a="1"/>
  <c r="AW57" i="1" s="1"/>
  <c r="AX57" i="1" a="1"/>
  <c r="AX57" i="1" s="1"/>
  <c r="AY57" i="1" a="1"/>
  <c r="AY57" i="1" s="1"/>
  <c r="AG58" i="1"/>
  <c r="AT58" i="1"/>
  <c r="AU58" i="1"/>
  <c r="AV58" i="1" a="1"/>
  <c r="AV58" i="1" s="1"/>
  <c r="AW58" i="1" a="1"/>
  <c r="AW58" i="1" s="1"/>
  <c r="AX58" i="1" a="1"/>
  <c r="AX58" i="1" s="1"/>
  <c r="AY58" i="1" a="1"/>
  <c r="AY58" i="1" s="1"/>
  <c r="AE59" i="1"/>
  <c r="AG59" i="1"/>
  <c r="AT59" i="1"/>
  <c r="AU59" i="1"/>
  <c r="AV59" i="1" a="1"/>
  <c r="AV59" i="1" s="1"/>
  <c r="AW59" i="1" a="1"/>
  <c r="AW59" i="1" s="1"/>
  <c r="AX59" i="1" a="1"/>
  <c r="AX59" i="1" s="1"/>
  <c r="AY59" i="1" a="1"/>
  <c r="AY59" i="1" s="1"/>
  <c r="AE60" i="1"/>
  <c r="AE61" i="1" s="1"/>
  <c r="AG60" i="1"/>
  <c r="AT60" i="1"/>
  <c r="AU60" i="1"/>
  <c r="AV60" i="1" a="1"/>
  <c r="AV60" i="1" s="1"/>
  <c r="AW60" i="1" a="1"/>
  <c r="AW60" i="1" s="1"/>
  <c r="AX60" i="1" a="1"/>
  <c r="AX60" i="1" s="1"/>
  <c r="AY60" i="1" a="1"/>
  <c r="AY60" i="1" s="1"/>
  <c r="AG61" i="1"/>
  <c r="AE62" i="1" s="1"/>
  <c r="AT61" i="1"/>
  <c r="AU61" i="1"/>
  <c r="AV61" i="1" a="1"/>
  <c r="AV61" i="1" s="1"/>
  <c r="AW61" i="1" a="1"/>
  <c r="AW61" i="1" s="1"/>
  <c r="AX61" i="1" a="1"/>
  <c r="AX61" i="1" s="1"/>
  <c r="AY61" i="1" a="1"/>
  <c r="AY61" i="1" s="1"/>
  <c r="AF62" i="1"/>
  <c r="AG62" i="1"/>
  <c r="AT62" i="1"/>
  <c r="AU62" i="1"/>
  <c r="AV62" i="1" a="1"/>
  <c r="AV62" i="1" s="1"/>
  <c r="AW62" i="1" a="1"/>
  <c r="AW62" i="1" s="1"/>
  <c r="AX62" i="1" a="1"/>
  <c r="AX62" i="1" s="1"/>
  <c r="AY62" i="1" a="1"/>
  <c r="AY62" i="1" s="1"/>
  <c r="AE63" i="1"/>
  <c r="AF63" i="1"/>
  <c r="AG63" i="1"/>
  <c r="AT63" i="1"/>
  <c r="AU63" i="1"/>
  <c r="AV63" i="1" a="1"/>
  <c r="AV63" i="1" s="1"/>
  <c r="AW63" i="1" a="1"/>
  <c r="AW63" i="1" s="1"/>
  <c r="AX63" i="1" a="1"/>
  <c r="AX63" i="1" s="1"/>
  <c r="AY63" i="1" a="1"/>
  <c r="AY63" i="1" s="1"/>
  <c r="AE64" i="1"/>
  <c r="AG64" i="1"/>
  <c r="AT64" i="1"/>
  <c r="AU64" i="1"/>
  <c r="AV64" i="1" a="1"/>
  <c r="AV64" i="1" s="1"/>
  <c r="AW64" i="1" a="1"/>
  <c r="AW64" i="1" s="1"/>
  <c r="AX64" i="1" a="1"/>
  <c r="AX64" i="1" s="1"/>
  <c r="AY64" i="1" a="1"/>
  <c r="AY64" i="1" s="1"/>
  <c r="AE65" i="1"/>
  <c r="AG65" i="1"/>
  <c r="AT65" i="1"/>
  <c r="AU65" i="1"/>
  <c r="AV65" i="1" a="1"/>
  <c r="AV65" i="1" s="1"/>
  <c r="AW65" i="1" a="1"/>
  <c r="AW65" i="1" s="1"/>
  <c r="AX65" i="1" a="1"/>
  <c r="AX65" i="1" s="1"/>
  <c r="AY65" i="1" a="1"/>
  <c r="AY65" i="1" s="1"/>
  <c r="AE66" i="1"/>
  <c r="AE67" i="1" s="1"/>
  <c r="AE68" i="1" s="1"/>
  <c r="AE69" i="1" s="1"/>
  <c r="AE70" i="1" s="1"/>
  <c r="AF66" i="1"/>
  <c r="AG66" i="1"/>
  <c r="AG67" i="1" s="1"/>
  <c r="AG68" i="1" s="1"/>
  <c r="AG69" i="1" s="1"/>
  <c r="AT66" i="1"/>
  <c r="AU66" i="1"/>
  <c r="AV66" i="1" a="1"/>
  <c r="AV66" i="1" s="1"/>
  <c r="AX66" i="1" a="1"/>
  <c r="AX66" i="1" s="1"/>
  <c r="AY66" i="1" a="1"/>
  <c r="AY66" i="1" s="1"/>
  <c r="AF67" i="1"/>
  <c r="AT67" i="1"/>
  <c r="AU67" i="1"/>
  <c r="AF68" i="1"/>
  <c r="AF69" i="1" s="1"/>
  <c r="AF70" i="1" s="1"/>
  <c r="AF71" i="1" s="1"/>
  <c r="AF72" i="1" s="1"/>
  <c r="AF73" i="1" s="1"/>
  <c r="AT68" i="1"/>
  <c r="AU68" i="1"/>
  <c r="AV68" i="1" a="1"/>
  <c r="AV68" i="1" s="1"/>
  <c r="AT69" i="1"/>
  <c r="AU69" i="1"/>
  <c r="AY69" i="1" a="1"/>
  <c r="AY69" i="1" s="1"/>
  <c r="AG70" i="1"/>
  <c r="AT70" i="1"/>
  <c r="AU70" i="1"/>
  <c r="AE71" i="1"/>
  <c r="AG71" i="1"/>
  <c r="AT71" i="1"/>
  <c r="AU71" i="1"/>
  <c r="AE72" i="1"/>
  <c r="AE73" i="1" s="1"/>
  <c r="AG72" i="1"/>
  <c r="AG73" i="1" s="1"/>
  <c r="AT72" i="1"/>
  <c r="AU72" i="1"/>
  <c r="AT73" i="1"/>
  <c r="AU73" i="1"/>
  <c r="AE74" i="1"/>
  <c r="AG74" i="1"/>
  <c r="BR74" i="1"/>
  <c r="BQ74" i="1" s="1"/>
  <c r="AT74" i="1"/>
  <c r="AU74" i="1"/>
  <c r="AV74" i="1" a="1"/>
  <c r="AV74" i="1" s="1"/>
  <c r="AW74" i="1" a="1"/>
  <c r="AW74" i="1" s="1"/>
  <c r="AX74" i="1" a="1"/>
  <c r="AX74" i="1" s="1"/>
  <c r="AY74" i="1" a="1"/>
  <c r="AY74" i="1" s="1"/>
  <c r="AE75" i="1"/>
  <c r="AG75" i="1"/>
  <c r="AT75" i="1"/>
  <c r="AU75" i="1"/>
  <c r="AV75" i="1" a="1"/>
  <c r="AV75" i="1" s="1"/>
  <c r="AW75" i="1" a="1"/>
  <c r="AW75" i="1" s="1"/>
  <c r="AX75" i="1" a="1"/>
  <c r="AX75" i="1" s="1"/>
  <c r="AY75" i="1" a="1"/>
  <c r="AY75" i="1" s="1"/>
  <c r="AE76" i="1"/>
  <c r="AE77" i="1" s="1"/>
  <c r="AE78" i="1" s="1"/>
  <c r="AE79" i="1" s="1"/>
  <c r="AE80" i="1" s="1"/>
  <c r="AF76" i="1"/>
  <c r="AG76" i="1"/>
  <c r="AT76" i="1"/>
  <c r="AU76" i="1"/>
  <c r="AV76" i="1" a="1"/>
  <c r="AV76" i="1" s="1"/>
  <c r="AX76" i="1" a="1"/>
  <c r="AX76" i="1" s="1"/>
  <c r="AF77" i="1"/>
  <c r="AG77" i="1"/>
  <c r="AT77" i="1"/>
  <c r="AU77" i="1"/>
  <c r="AF78" i="1"/>
  <c r="AG78" i="1"/>
  <c r="AT78" i="1"/>
  <c r="AU78" i="1"/>
  <c r="AF79" i="1"/>
  <c r="AF80" i="1" s="1"/>
  <c r="AG79" i="1"/>
  <c r="AT79" i="1"/>
  <c r="AU79" i="1"/>
  <c r="AG80" i="1"/>
  <c r="AT80" i="1"/>
  <c r="AU80" i="1"/>
  <c r="AD81" i="1"/>
  <c r="AE81" i="1"/>
  <c r="AF81" i="1"/>
  <c r="AG81" i="1"/>
  <c r="AT81" i="1"/>
  <c r="AU81" i="1"/>
  <c r="AV81" i="1" a="1"/>
  <c r="AV81" i="1" s="1"/>
  <c r="AW81" i="1" a="1"/>
  <c r="AW81" i="1" s="1"/>
  <c r="AX81" i="1" a="1"/>
  <c r="AX81" i="1" s="1"/>
  <c r="AY81" i="1" a="1"/>
  <c r="AY81" i="1" s="1"/>
  <c r="AD82" i="1"/>
  <c r="AE82" i="1"/>
  <c r="AF82" i="1"/>
  <c r="AG82" i="1"/>
  <c r="AE83" i="1" s="1"/>
  <c r="AT82" i="1"/>
  <c r="AU82" i="1"/>
  <c r="AV82" i="1" a="1"/>
  <c r="AV82" i="1" s="1"/>
  <c r="AW82" i="1" a="1"/>
  <c r="AW82" i="1" s="1"/>
  <c r="AX82" i="1" a="1"/>
  <c r="AX82" i="1" s="1"/>
  <c r="AY82" i="1" a="1"/>
  <c r="AY82" i="1" s="1"/>
  <c r="AD83" i="1"/>
  <c r="AF83" i="1"/>
  <c r="AG83" i="1"/>
  <c r="AT83" i="1"/>
  <c r="AU83" i="1"/>
  <c r="AV83" i="1" a="1"/>
  <c r="AV83" i="1" s="1"/>
  <c r="AW83" i="1" a="1"/>
  <c r="AW83" i="1" s="1"/>
  <c r="AX83" i="1" a="1"/>
  <c r="AX83" i="1" s="1"/>
  <c r="AY83" i="1" a="1"/>
  <c r="AY83" i="1" s="1"/>
  <c r="AD84" i="1"/>
  <c r="AE84" i="1"/>
  <c r="AF84" i="1"/>
  <c r="AG84" i="1"/>
  <c r="AT84" i="1"/>
  <c r="AU84" i="1"/>
  <c r="AV84" i="1" a="1"/>
  <c r="AV84" i="1" s="1"/>
  <c r="AW84" i="1" a="1"/>
  <c r="AW84" i="1" s="1"/>
  <c r="AX84" i="1" a="1"/>
  <c r="AX84" i="1" s="1"/>
  <c r="AY84" i="1" a="1"/>
  <c r="AY84" i="1" s="1"/>
  <c r="AD85" i="1"/>
  <c r="AE85" i="1"/>
  <c r="AE86" i="1" s="1"/>
  <c r="AE87" i="1" s="1"/>
  <c r="AE88" i="1" s="1"/>
  <c r="AE89" i="1" s="1"/>
  <c r="AF85" i="1"/>
  <c r="AD86" i="1" s="1"/>
  <c r="AD87" i="1" s="1"/>
  <c r="AD88" i="1" s="1"/>
  <c r="AD89" i="1" s="1"/>
  <c r="AD90" i="1" s="1"/>
  <c r="AF90" i="1" s="1"/>
  <c r="AD91" i="1" s="1"/>
  <c r="AD92" i="1" s="1"/>
  <c r="AD93" i="1" s="1"/>
  <c r="AD94" i="1" s="1"/>
  <c r="AD95" i="1" s="1"/>
  <c r="AD96" i="1" s="1"/>
  <c r="AG85" i="1"/>
  <c r="AT85" i="1"/>
  <c r="AU85" i="1"/>
  <c r="AV85" i="1" a="1"/>
  <c r="AV85" i="1" s="1"/>
  <c r="AW85" i="1" a="1"/>
  <c r="AW85" i="1" s="1"/>
  <c r="AX85" i="1" a="1"/>
  <c r="AX85" i="1" s="1"/>
  <c r="AY85" i="1" a="1"/>
  <c r="AY85" i="1" s="1"/>
  <c r="AF86" i="1"/>
  <c r="AG86" i="1"/>
  <c r="AT86" i="1"/>
  <c r="AU86" i="1"/>
  <c r="AF87" i="1"/>
  <c r="AG87" i="1"/>
  <c r="AT87" i="1"/>
  <c r="AU87" i="1"/>
  <c r="AF88" i="1"/>
  <c r="AG88" i="1"/>
  <c r="AT88" i="1"/>
  <c r="AU88" i="1"/>
  <c r="AF89" i="1"/>
  <c r="AG89" i="1"/>
  <c r="AT89" i="1"/>
  <c r="AU89" i="1"/>
  <c r="AE90" i="1"/>
  <c r="AG90" i="1"/>
  <c r="AT90" i="1"/>
  <c r="AU90" i="1"/>
  <c r="AV90" i="1" a="1"/>
  <c r="AV90" i="1" s="1"/>
  <c r="AW90" i="1" a="1"/>
  <c r="AW90" i="1" s="1"/>
  <c r="AX90" i="1" a="1"/>
  <c r="AX90" i="1" s="1"/>
  <c r="AY90" i="1" a="1"/>
  <c r="AY90" i="1" s="1"/>
  <c r="AE91" i="1"/>
  <c r="AF91" i="1"/>
  <c r="AG91" i="1"/>
  <c r="AG92" i="1" s="1"/>
  <c r="AT91" i="1"/>
  <c r="AU91" i="1"/>
  <c r="AE92" i="1"/>
  <c r="AF92" i="1"/>
  <c r="AT92" i="1"/>
  <c r="AU92" i="1"/>
  <c r="AE93" i="1"/>
  <c r="AE94" i="1" s="1"/>
  <c r="AE95" i="1" s="1"/>
  <c r="AE96" i="1" s="1"/>
  <c r="AF93" i="1"/>
  <c r="AF94" i="1" s="1"/>
  <c r="AF95" i="1" s="1"/>
  <c r="AF96" i="1" s="1"/>
  <c r="AD97" i="1" s="1"/>
  <c r="AD98" i="1" s="1"/>
  <c r="AD99" i="1" s="1"/>
  <c r="AG93" i="1"/>
  <c r="AT93" i="1"/>
  <c r="AU93" i="1"/>
  <c r="AG94" i="1"/>
  <c r="AT94" i="1"/>
  <c r="AU94" i="1"/>
  <c r="AG95" i="1"/>
  <c r="AT95" i="1"/>
  <c r="AU95" i="1"/>
  <c r="AG96" i="1"/>
  <c r="AT96" i="1"/>
  <c r="AU96" i="1"/>
  <c r="AE97" i="1"/>
  <c r="AF97" i="1"/>
  <c r="AG97" i="1"/>
  <c r="AT97" i="1"/>
  <c r="AU97" i="1"/>
  <c r="AV97" i="1" a="1"/>
  <c r="AV97" i="1" s="1"/>
  <c r="AW97" i="1" a="1"/>
  <c r="AW97" i="1" s="1"/>
  <c r="AX97" i="1" a="1"/>
  <c r="AX97" i="1" s="1"/>
  <c r="AY97" i="1" a="1"/>
  <c r="AY97" i="1" s="1"/>
  <c r="AE98" i="1"/>
  <c r="AF98" i="1"/>
  <c r="AG98" i="1"/>
  <c r="AT98" i="1"/>
  <c r="AU98" i="1"/>
  <c r="AV98" i="1" a="1"/>
  <c r="AV98" i="1" s="1"/>
  <c r="AW98" i="1" a="1"/>
  <c r="AW98" i="1" s="1"/>
  <c r="AX98" i="1" a="1"/>
  <c r="AX98" i="1" s="1"/>
  <c r="AY98" i="1" a="1"/>
  <c r="AY98" i="1" s="1"/>
  <c r="AE99" i="1"/>
  <c r="AG99" i="1"/>
  <c r="AG100" i="1" s="1"/>
  <c r="AT99" i="1"/>
  <c r="AU99" i="1"/>
  <c r="AV99" i="1" a="1"/>
  <c r="AV99" i="1" s="1"/>
  <c r="AW99" i="1" a="1"/>
  <c r="AW99" i="1" s="1"/>
  <c r="AX99" i="1" a="1"/>
  <c r="AX99" i="1" s="1"/>
  <c r="AY99" i="1" a="1"/>
  <c r="AY99" i="1" s="1"/>
  <c r="AE100" i="1"/>
  <c r="AT100" i="1"/>
  <c r="AU100" i="1"/>
  <c r="AV100" i="1" a="1"/>
  <c r="AV100" i="1" s="1"/>
  <c r="AW100" i="1" a="1"/>
  <c r="AW100" i="1" s="1"/>
  <c r="AX100" i="1" a="1"/>
  <c r="AX100" i="1" s="1"/>
  <c r="AY100" i="1" a="1"/>
  <c r="AY100" i="1" s="1"/>
  <c r="AE101" i="1"/>
  <c r="AF101" i="1"/>
  <c r="AG101" i="1"/>
  <c r="AT101" i="1"/>
  <c r="AU101" i="1"/>
  <c r="AV101" i="1" a="1"/>
  <c r="AV101" i="1" s="1"/>
  <c r="AW101" i="1" a="1"/>
  <c r="AW101" i="1" s="1"/>
  <c r="AX101" i="1" a="1"/>
  <c r="AX101" i="1" s="1"/>
  <c r="AY101" i="1" a="1"/>
  <c r="AY101" i="1" s="1"/>
  <c r="AE102" i="1"/>
  <c r="AF102" i="1"/>
  <c r="AG102" i="1"/>
  <c r="AE103" i="1" s="1"/>
  <c r="AE104" i="1" s="1"/>
  <c r="AE105" i="1" s="1"/>
  <c r="AE106" i="1" s="1"/>
  <c r="AT102" i="1"/>
  <c r="AU102" i="1"/>
  <c r="AV102" i="1" a="1"/>
  <c r="AV102" i="1" s="1"/>
  <c r="AW102" i="1" a="1"/>
  <c r="AW102" i="1" s="1"/>
  <c r="AX102" i="1" a="1"/>
  <c r="AX102" i="1" s="1"/>
  <c r="AY102" i="1" a="1"/>
  <c r="AY102" i="1" s="1"/>
  <c r="AF103" i="1"/>
  <c r="AG103" i="1"/>
  <c r="AT103" i="1"/>
  <c r="AU103" i="1"/>
  <c r="AV103" i="1" a="1"/>
  <c r="AV103" i="1" s="1"/>
  <c r="AX103" i="1" a="1"/>
  <c r="AX103" i="1" s="1"/>
  <c r="AY103" i="1" a="1"/>
  <c r="AY103" i="1" s="1"/>
  <c r="AF104" i="1"/>
  <c r="AF105" i="1" s="1"/>
  <c r="AF106" i="1" s="1"/>
  <c r="AG104" i="1"/>
  <c r="AT104" i="1"/>
  <c r="AU104" i="1"/>
  <c r="AV104" i="1" a="1"/>
  <c r="AV104" i="1" s="1"/>
  <c r="AX104" i="1" a="1"/>
  <c r="AX104" i="1" s="1"/>
  <c r="AY104" i="1" a="1"/>
  <c r="AY104" i="1" s="1"/>
  <c r="AG105" i="1"/>
  <c r="AT105" i="1"/>
  <c r="AU105" i="1"/>
  <c r="AY105" i="1" a="1"/>
  <c r="AY105" i="1" s="1"/>
  <c r="AG106" i="1"/>
  <c r="AT106" i="1"/>
  <c r="AU106" i="1"/>
  <c r="AY106" i="1" a="1"/>
  <c r="AY106" i="1" s="1"/>
  <c r="AE107" i="1"/>
  <c r="AG107" i="1"/>
  <c r="AT107" i="1"/>
  <c r="AU107" i="1"/>
  <c r="AV107" i="1" a="1"/>
  <c r="AV107" i="1" s="1"/>
  <c r="AW107" i="1" a="1"/>
  <c r="AW107" i="1" s="1"/>
  <c r="AX107" i="1" a="1"/>
  <c r="AX107" i="1" s="1"/>
  <c r="AY107" i="1" a="1"/>
  <c r="AY107" i="1" s="1"/>
  <c r="AE108" i="1"/>
  <c r="AE109" i="1" s="1"/>
  <c r="AE110" i="1" s="1"/>
  <c r="AE111" i="1" s="1"/>
  <c r="AE112" i="1" s="1"/>
  <c r="AE113" i="1" s="1"/>
  <c r="AF108" i="1"/>
  <c r="AG108" i="1"/>
  <c r="AT108" i="1"/>
  <c r="AU108" i="1"/>
  <c r="AV108" i="1" a="1"/>
  <c r="AV108" i="1" s="1"/>
  <c r="AW108" i="1" a="1"/>
  <c r="AW108" i="1" s="1"/>
  <c r="AX108" i="1" a="1"/>
  <c r="AX108" i="1" s="1"/>
  <c r="AY108" i="1" a="1"/>
  <c r="AY108" i="1" s="1"/>
  <c r="AF109" i="1"/>
  <c r="AG109" i="1"/>
  <c r="AT109" i="1"/>
  <c r="AU109" i="1"/>
  <c r="AV109" i="1" a="1"/>
  <c r="AV109" i="1" s="1"/>
  <c r="AW109" i="1" a="1"/>
  <c r="AW109" i="1" s="1"/>
  <c r="AX109" i="1" a="1"/>
  <c r="AX109" i="1" s="1"/>
  <c r="AY109" i="1" a="1"/>
  <c r="AY109" i="1" s="1"/>
  <c r="AF110" i="1"/>
  <c r="AG110" i="1"/>
  <c r="AT110" i="1"/>
  <c r="AU110" i="1"/>
  <c r="AV110" i="1" a="1"/>
  <c r="AV110" i="1" s="1"/>
  <c r="AX110" i="1" a="1"/>
  <c r="AX110" i="1" s="1"/>
  <c r="AF111" i="1"/>
  <c r="AF112" i="1" s="1"/>
  <c r="AF113" i="1" s="1"/>
  <c r="AG111" i="1"/>
  <c r="AT111" i="1"/>
  <c r="AU111" i="1"/>
  <c r="AG112" i="1"/>
  <c r="AT112" i="1"/>
  <c r="AU112" i="1"/>
  <c r="AG113" i="1"/>
  <c r="AT113" i="1"/>
  <c r="AU113" i="1"/>
  <c r="AE114" i="1"/>
  <c r="AF114" i="1"/>
  <c r="AG114" i="1"/>
  <c r="AT114" i="1"/>
  <c r="AU114" i="1"/>
  <c r="AV114" i="1" a="1"/>
  <c r="AV114" i="1" s="1"/>
  <c r="AW114" i="1" a="1"/>
  <c r="AW114" i="1" s="1"/>
  <c r="AX114" i="1" a="1"/>
  <c r="AX114" i="1" s="1"/>
  <c r="AY114" i="1" a="1"/>
  <c r="AY114" i="1" s="1"/>
  <c r="AE115" i="1"/>
  <c r="AF115" i="1"/>
  <c r="AG115" i="1"/>
  <c r="BR115" i="1"/>
  <c r="BQ115" i="1" s="1"/>
  <c r="AT115" i="1"/>
  <c r="AU115" i="1"/>
  <c r="AV115" i="1" a="1"/>
  <c r="AV115" i="1" s="1"/>
  <c r="AW115" i="1" a="1"/>
  <c r="AW115" i="1" s="1"/>
  <c r="AX115" i="1" a="1"/>
  <c r="AX115" i="1" s="1"/>
  <c r="AY115" i="1" a="1"/>
  <c r="AY115" i="1" s="1"/>
  <c r="AE116" i="1"/>
  <c r="AG116" i="1"/>
  <c r="AT116" i="1"/>
  <c r="AU116" i="1"/>
  <c r="AV116" i="1" a="1"/>
  <c r="AV116" i="1" s="1"/>
  <c r="AW116" i="1" a="1"/>
  <c r="AW116" i="1" s="1"/>
  <c r="AX116" i="1" a="1"/>
  <c r="AX116" i="1" s="1"/>
  <c r="AY116" i="1" a="1"/>
  <c r="AY116" i="1" s="1"/>
  <c r="AE117" i="1"/>
  <c r="AE118" i="1" s="1"/>
  <c r="AE119" i="1" s="1"/>
  <c r="AF117" i="1"/>
  <c r="AG117" i="1"/>
  <c r="AT117" i="1"/>
  <c r="AU117" i="1"/>
  <c r="AV117" i="1" a="1"/>
  <c r="AV117" i="1" s="1"/>
  <c r="AW117" i="1" a="1"/>
  <c r="AW117" i="1" s="1"/>
  <c r="AX117" i="1" a="1"/>
  <c r="AX117" i="1" s="1"/>
  <c r="AY117" i="1" a="1"/>
  <c r="AY117" i="1" s="1"/>
  <c r="AF118" i="1"/>
  <c r="AG118" i="1"/>
  <c r="AT118" i="1"/>
  <c r="AU118" i="1"/>
  <c r="AV118" i="1" a="1"/>
  <c r="AV118" i="1" s="1"/>
  <c r="AW118" i="1" a="1"/>
  <c r="AW118" i="1" s="1"/>
  <c r="AX118" i="1" a="1"/>
  <c r="AX118" i="1" s="1"/>
  <c r="AY118" i="1" a="1"/>
  <c r="AY118" i="1" s="1"/>
  <c r="AG119" i="1"/>
  <c r="AT119" i="1"/>
  <c r="AU119" i="1"/>
  <c r="AV119" i="1" a="1"/>
  <c r="AV119" i="1" s="1"/>
  <c r="AW119" i="1" a="1"/>
  <c r="AW119" i="1" s="1"/>
  <c r="AX119" i="1" a="1"/>
  <c r="AX119" i="1" s="1"/>
  <c r="AY119" i="1" a="1"/>
  <c r="AY119" i="1" s="1"/>
  <c r="AE120" i="1"/>
  <c r="AE121" i="1" s="1"/>
  <c r="AG120" i="1"/>
  <c r="AT120" i="1"/>
  <c r="AU120" i="1"/>
  <c r="AV120" i="1" a="1"/>
  <c r="AV120" i="1" s="1"/>
  <c r="AW120" i="1" a="1"/>
  <c r="AW120" i="1" s="1"/>
  <c r="AX120" i="1" a="1"/>
  <c r="AX120" i="1" s="1"/>
  <c r="AY120" i="1" a="1"/>
  <c r="AY120" i="1" s="1"/>
  <c r="AG121" i="1"/>
  <c r="AT121" i="1"/>
  <c r="AU121" i="1"/>
  <c r="AV121" i="1" a="1"/>
  <c r="AV121" i="1" s="1"/>
  <c r="AW121" i="1" a="1"/>
  <c r="AW121" i="1" s="1"/>
  <c r="AX121" i="1" a="1"/>
  <c r="AX121" i="1" s="1"/>
  <c r="AY121" i="1" a="1"/>
  <c r="AY121" i="1" s="1"/>
  <c r="AE122" i="1"/>
  <c r="AE123" i="1" s="1"/>
  <c r="AG122" i="1"/>
  <c r="AT122" i="1"/>
  <c r="AU122" i="1"/>
  <c r="AV122" i="1" a="1"/>
  <c r="AV122" i="1" s="1"/>
  <c r="AW122" i="1" a="1"/>
  <c r="AW122" i="1" s="1"/>
  <c r="AX122" i="1" a="1"/>
  <c r="AX122" i="1" s="1"/>
  <c r="AY122" i="1" a="1"/>
  <c r="AY122" i="1" s="1"/>
  <c r="AG123" i="1"/>
  <c r="AT123" i="1"/>
  <c r="AU123" i="1"/>
  <c r="AV123" i="1" a="1"/>
  <c r="AV123" i="1" s="1"/>
  <c r="AW123" i="1" a="1"/>
  <c r="AW123" i="1" s="1"/>
  <c r="AX123" i="1" a="1"/>
  <c r="AX123" i="1" s="1"/>
  <c r="AY123" i="1" a="1"/>
  <c r="AY123" i="1" s="1"/>
  <c r="AE124" i="1"/>
  <c r="AF124" i="1"/>
  <c r="AG124" i="1"/>
  <c r="AT124" i="1"/>
  <c r="AU124" i="1"/>
  <c r="AV124" i="1" a="1"/>
  <c r="AV124" i="1" s="1"/>
  <c r="AW124" i="1" a="1"/>
  <c r="AW124" i="1" s="1"/>
  <c r="AX124" i="1" a="1"/>
  <c r="AX124" i="1" s="1"/>
  <c r="AY124" i="1" a="1"/>
  <c r="AY124" i="1" s="1"/>
  <c r="AE125" i="1"/>
  <c r="AE126" i="1" s="1"/>
  <c r="AF125" i="1"/>
  <c r="AG125" i="1"/>
  <c r="AT125" i="1"/>
  <c r="AU125" i="1"/>
  <c r="AV125" i="1" a="1"/>
  <c r="AV125" i="1" s="1"/>
  <c r="AW125" i="1" a="1"/>
  <c r="AW125" i="1" s="1"/>
  <c r="AX125" i="1" a="1"/>
  <c r="AX125" i="1" s="1"/>
  <c r="AY125" i="1" a="1"/>
  <c r="AY125" i="1" s="1"/>
  <c r="AF126" i="1"/>
  <c r="AG126" i="1"/>
  <c r="AT126" i="1"/>
  <c r="AU126" i="1"/>
  <c r="AV126" i="1" a="1"/>
  <c r="AV126" i="1" s="1"/>
  <c r="AW126" i="1" a="1"/>
  <c r="AW126" i="1" s="1"/>
  <c r="AX126" i="1" a="1"/>
  <c r="AX126" i="1" s="1"/>
  <c r="AY126" i="1" a="1"/>
  <c r="AY126" i="1" s="1"/>
  <c r="AE127" i="1"/>
  <c r="AF127" i="1"/>
  <c r="AG127" i="1"/>
  <c r="AT127" i="1"/>
  <c r="AU127" i="1"/>
  <c r="AV127" i="1" a="1"/>
  <c r="AV127" i="1" s="1"/>
  <c r="AW127" i="1" a="1"/>
  <c r="AW127" i="1" s="1"/>
  <c r="AX127" i="1" a="1"/>
  <c r="AX127" i="1" s="1"/>
  <c r="AY127" i="1" a="1"/>
  <c r="AY127" i="1" s="1"/>
  <c r="AE128" i="1"/>
  <c r="AG128" i="1"/>
  <c r="AE129" i="1" s="1"/>
  <c r="AT128" i="1"/>
  <c r="AU128" i="1"/>
  <c r="AV128" i="1" a="1"/>
  <c r="AV128" i="1" s="1"/>
  <c r="AW128" i="1" a="1"/>
  <c r="AW128" i="1" s="1"/>
  <c r="AX128" i="1" a="1"/>
  <c r="AX128" i="1" s="1"/>
  <c r="AY128" i="1" a="1"/>
  <c r="AY128" i="1" s="1"/>
  <c r="AF129" i="1"/>
  <c r="AG129" i="1"/>
  <c r="AG130" i="1" s="1"/>
  <c r="AG131" i="1" s="1"/>
  <c r="BR129" i="1"/>
  <c r="BQ129" i="1" s="1"/>
  <c r="AT129" i="1"/>
  <c r="AU129" i="1"/>
  <c r="AV129" i="1" a="1"/>
  <c r="AV129" i="1" s="1"/>
  <c r="AW129" i="1" a="1"/>
  <c r="AW129" i="1" s="1"/>
  <c r="AX129" i="1" a="1"/>
  <c r="AX129" i="1" s="1"/>
  <c r="AY129" i="1" a="1"/>
  <c r="AY129" i="1" s="1"/>
  <c r="AE130" i="1"/>
  <c r="AF130" i="1"/>
  <c r="AT130" i="1"/>
  <c r="AU130" i="1"/>
  <c r="AV130" i="1" a="1"/>
  <c r="AV130" i="1" s="1"/>
  <c r="AW130" i="1" a="1"/>
  <c r="AW130" i="1" s="1"/>
  <c r="AX130" i="1" a="1"/>
  <c r="AX130" i="1" s="1"/>
  <c r="AY130" i="1" a="1"/>
  <c r="AY130" i="1" s="1"/>
  <c r="AE131" i="1"/>
  <c r="AF131" i="1"/>
  <c r="AT131" i="1"/>
  <c r="AU131" i="1"/>
  <c r="AV131" i="1" a="1"/>
  <c r="AV131" i="1" s="1"/>
  <c r="AW131" i="1" a="1"/>
  <c r="AW131" i="1" s="1"/>
  <c r="AX131" i="1" a="1"/>
  <c r="AX131" i="1" s="1"/>
  <c r="AY131" i="1" a="1"/>
  <c r="AY131" i="1" s="1"/>
  <c r="AE132" i="1"/>
  <c r="AG132" i="1"/>
  <c r="AT132" i="1"/>
  <c r="AU132" i="1"/>
  <c r="AV132" i="1" a="1"/>
  <c r="AV132" i="1" s="1"/>
  <c r="AW132" i="1" a="1"/>
  <c r="AW132" i="1" s="1"/>
  <c r="AX132" i="1" a="1"/>
  <c r="AX132" i="1" s="1"/>
  <c r="AY132" i="1" a="1"/>
  <c r="AY132" i="1" s="1"/>
  <c r="AE133" i="1"/>
  <c r="AG133" i="1"/>
  <c r="AE134" i="1" s="1"/>
  <c r="AE135" i="1" s="1"/>
  <c r="AE136" i="1" s="1"/>
  <c r="AE137" i="1" s="1"/>
  <c r="BR133" i="1"/>
  <c r="BQ133" i="1" s="1"/>
  <c r="AT133" i="1"/>
  <c r="AU133" i="1"/>
  <c r="AV133" i="1" a="1"/>
  <c r="AV133" i="1" s="1"/>
  <c r="AW133" i="1" a="1"/>
  <c r="AW133" i="1" s="1"/>
  <c r="AX133" i="1" a="1"/>
  <c r="AX133" i="1" s="1"/>
  <c r="AY133" i="1" a="1"/>
  <c r="AY133" i="1" s="1"/>
  <c r="AF134" i="1"/>
  <c r="AG134" i="1"/>
  <c r="AT134" i="1"/>
  <c r="AU134" i="1"/>
  <c r="AV134" i="1" a="1"/>
  <c r="AV134" i="1" s="1"/>
  <c r="AW134" i="1" a="1"/>
  <c r="AW134" i="1" s="1"/>
  <c r="AX134" i="1" a="1"/>
  <c r="AX134" i="1" s="1"/>
  <c r="AY134" i="1" a="1"/>
  <c r="AY134" i="1" s="1"/>
  <c r="AF135" i="1"/>
  <c r="AF136" i="1" s="1"/>
  <c r="AF137" i="1" s="1"/>
  <c r="AG135" i="1"/>
  <c r="AG136" i="1" s="1"/>
  <c r="AG137" i="1" s="1"/>
  <c r="AT135" i="1"/>
  <c r="AU135" i="1"/>
  <c r="AV135" i="1" a="1"/>
  <c r="AV135" i="1" s="1"/>
  <c r="AW135" i="1" a="1"/>
  <c r="AW135" i="1" s="1"/>
  <c r="AX135" i="1" a="1"/>
  <c r="AX135" i="1" s="1"/>
  <c r="AY135" i="1" a="1"/>
  <c r="AY135" i="1" s="1"/>
  <c r="AT136" i="1"/>
  <c r="AU136" i="1"/>
  <c r="AV136" i="1" a="1"/>
  <c r="AV136" i="1" s="1"/>
  <c r="AW136" i="1" a="1"/>
  <c r="AW136" i="1" s="1"/>
  <c r="AX136" i="1" a="1"/>
  <c r="AX136" i="1" s="1"/>
  <c r="AY136" i="1" a="1"/>
  <c r="AY136" i="1" s="1"/>
  <c r="AT137" i="1"/>
  <c r="AU137" i="1"/>
  <c r="AV137" i="1" a="1"/>
  <c r="AV137" i="1" s="1"/>
  <c r="AW137" i="1" a="1"/>
  <c r="AW137" i="1" s="1"/>
  <c r="AX137" i="1" a="1"/>
  <c r="AX137" i="1" s="1"/>
  <c r="AY137" i="1" a="1"/>
  <c r="AY137" i="1" s="1"/>
  <c r="AE138" i="1"/>
  <c r="AG138" i="1"/>
  <c r="AG139" i="1" s="1"/>
  <c r="AE140" i="1" s="1"/>
  <c r="AE141" i="1" s="1"/>
  <c r="AE142" i="1" s="1"/>
  <c r="AE143" i="1" s="1"/>
  <c r="AT138" i="1"/>
  <c r="AU138" i="1"/>
  <c r="AV138" i="1" a="1"/>
  <c r="AV138" i="1" s="1"/>
  <c r="AW138" i="1" a="1"/>
  <c r="AW138" i="1" s="1"/>
  <c r="AX138" i="1" a="1"/>
  <c r="AX138" i="1" s="1"/>
  <c r="AY138" i="1" a="1"/>
  <c r="AY138" i="1" s="1"/>
  <c r="AE139" i="1"/>
  <c r="AT139" i="1"/>
  <c r="AU139" i="1"/>
  <c r="AV139" i="1" a="1"/>
  <c r="AV139" i="1" s="1"/>
  <c r="AW139" i="1" a="1"/>
  <c r="AW139" i="1" s="1"/>
  <c r="AX139" i="1" a="1"/>
  <c r="AX139" i="1" s="1"/>
  <c r="AY139" i="1" a="1"/>
  <c r="AY139" i="1" s="1"/>
  <c r="AF140" i="1"/>
  <c r="AG140" i="1"/>
  <c r="AT140" i="1"/>
  <c r="AU140" i="1"/>
  <c r="AV140" i="1" a="1"/>
  <c r="AV140" i="1" s="1"/>
  <c r="AW140" i="1" a="1"/>
  <c r="AW140" i="1" s="1"/>
  <c r="AX140" i="1" a="1"/>
  <c r="AX140" i="1" s="1"/>
  <c r="AY140" i="1" a="1"/>
  <c r="AY140" i="1" s="1"/>
  <c r="AF141" i="1"/>
  <c r="AG141" i="1"/>
  <c r="AT141" i="1"/>
  <c r="AU141" i="1"/>
  <c r="AV141" i="1" a="1"/>
  <c r="AV141" i="1" s="1"/>
  <c r="AW141" i="1" a="1"/>
  <c r="AW141" i="1" s="1"/>
  <c r="AX141" i="1" a="1"/>
  <c r="AX141" i="1" s="1"/>
  <c r="AY141" i="1" a="1"/>
  <c r="AY141" i="1" s="1"/>
  <c r="AF142" i="1"/>
  <c r="AF143" i="1" s="1"/>
  <c r="AG142" i="1"/>
  <c r="AT142" i="1"/>
  <c r="AU142" i="1"/>
  <c r="AV142" i="1" a="1"/>
  <c r="AV142" i="1" s="1"/>
  <c r="AW142" i="1" a="1"/>
  <c r="AW142" i="1" s="1"/>
  <c r="AX142" i="1" a="1"/>
  <c r="AX142" i="1" s="1"/>
  <c r="AY142" i="1" a="1"/>
  <c r="AY142" i="1" s="1"/>
  <c r="AG143" i="1"/>
  <c r="AT143" i="1"/>
  <c r="AU143" i="1"/>
  <c r="AV143" i="1" a="1"/>
  <c r="AV143" i="1" s="1"/>
  <c r="AW143" i="1" a="1"/>
  <c r="AW143" i="1" s="1"/>
  <c r="AX143" i="1" a="1"/>
  <c r="AX143" i="1" s="1"/>
  <c r="AY143" i="1" a="1"/>
  <c r="AY143" i="1" s="1"/>
  <c r="AD144" i="1"/>
  <c r="AE144" i="1"/>
  <c r="AF144" i="1"/>
  <c r="AG144" i="1"/>
  <c r="AE145" i="1" s="1"/>
  <c r="AT144" i="1"/>
  <c r="AU144" i="1"/>
  <c r="AV144" i="1" a="1"/>
  <c r="AV144" i="1" s="1"/>
  <c r="AW144" i="1" a="1"/>
  <c r="AW144" i="1" s="1"/>
  <c r="AX144" i="1" a="1"/>
  <c r="AX144" i="1" s="1"/>
  <c r="AY144" i="1" a="1"/>
  <c r="AY144" i="1" s="1"/>
  <c r="AD145" i="1"/>
  <c r="AF145" i="1"/>
  <c r="AG145" i="1"/>
  <c r="AT145" i="1"/>
  <c r="AU145" i="1"/>
  <c r="AV145" i="1" a="1"/>
  <c r="AV145" i="1" s="1"/>
  <c r="AX145" i="1" a="1"/>
  <c r="AX145" i="1" s="1"/>
  <c r="AY145" i="1" a="1"/>
  <c r="AY145" i="1" s="1"/>
  <c r="AD146" i="1"/>
  <c r="AE146" i="1"/>
  <c r="AF146" i="1"/>
  <c r="AF147" i="1" s="1"/>
  <c r="AF148" i="1" s="1"/>
  <c r="AF149" i="1" s="1"/>
  <c r="AF150" i="1" s="1"/>
  <c r="AD151" i="1" s="1"/>
  <c r="AD152" i="1" s="1"/>
  <c r="AD153" i="1" s="1"/>
  <c r="AD154" i="1" s="1"/>
  <c r="AG146" i="1"/>
  <c r="AG147" i="1" s="1"/>
  <c r="AT146" i="1"/>
  <c r="AU146" i="1"/>
  <c r="AD147" i="1"/>
  <c r="AE147" i="1"/>
  <c r="AE148" i="1" s="1"/>
  <c r="AE149" i="1" s="1"/>
  <c r="AE150" i="1" s="1"/>
  <c r="AT147" i="1"/>
  <c r="AU147" i="1"/>
  <c r="AV147" i="1" a="1"/>
  <c r="AV147" i="1" s="1"/>
  <c r="AY147" i="1" a="1"/>
  <c r="AY147" i="1" s="1"/>
  <c r="AD148" i="1"/>
  <c r="AD149" i="1" s="1"/>
  <c r="AD150" i="1" s="1"/>
  <c r="AG148" i="1"/>
  <c r="AT148" i="1"/>
  <c r="AU148" i="1"/>
  <c r="AG149" i="1"/>
  <c r="AT149" i="1"/>
  <c r="AU149" i="1"/>
  <c r="AG150" i="1"/>
  <c r="AT150" i="1"/>
  <c r="AU150" i="1"/>
  <c r="AE151" i="1"/>
  <c r="AF151" i="1"/>
  <c r="AG151" i="1"/>
  <c r="AG152" i="1" s="1"/>
  <c r="AT151" i="1"/>
  <c r="AU151" i="1"/>
  <c r="AV151" i="1" a="1"/>
  <c r="AV151" i="1" s="1"/>
  <c r="AX151" i="1" a="1"/>
  <c r="AX151" i="1" s="1"/>
  <c r="AE152" i="1"/>
  <c r="AE153" i="1" s="1"/>
  <c r="AE154" i="1" s="1"/>
  <c r="AF152" i="1"/>
  <c r="AT152" i="1"/>
  <c r="AU152" i="1"/>
  <c r="AV152" i="1" a="1"/>
  <c r="AV152" i="1" s="1"/>
  <c r="AX152" i="1" a="1"/>
  <c r="AX152" i="1" s="1"/>
  <c r="AF153" i="1"/>
  <c r="AF154" i="1" s="1"/>
  <c r="AD155" i="1" s="1"/>
  <c r="AD156" i="1" s="1"/>
  <c r="AG153" i="1"/>
  <c r="AT153" i="1"/>
  <c r="AU153" i="1"/>
  <c r="AG154" i="1"/>
  <c r="AT154" i="1"/>
  <c r="AU154" i="1"/>
  <c r="AE155" i="1"/>
  <c r="AE156" i="1" s="1"/>
  <c r="AF155" i="1"/>
  <c r="AF156" i="1" s="1"/>
  <c r="AD157" i="1" s="1"/>
  <c r="AD158" i="1" s="1"/>
  <c r="AD159" i="1" s="1"/>
  <c r="AD160" i="1" s="1"/>
  <c r="AD161" i="1" s="1"/>
  <c r="AD162" i="1" s="1"/>
  <c r="AD163" i="1" s="1"/>
  <c r="AF163" i="1" s="1"/>
  <c r="AD164" i="1" s="1"/>
  <c r="AG155" i="1"/>
  <c r="AG156" i="1" s="1"/>
  <c r="AT155" i="1"/>
  <c r="AU155" i="1"/>
  <c r="AV155" i="1" a="1"/>
  <c r="AV155" i="1" s="1"/>
  <c r="AW155" i="1" a="1"/>
  <c r="AW155" i="1" s="1"/>
  <c r="AX155" i="1" a="1"/>
  <c r="AX155" i="1" s="1"/>
  <c r="AY155" i="1" a="1"/>
  <c r="AY155" i="1" s="1"/>
  <c r="AT156" i="1"/>
  <c r="AU156" i="1"/>
  <c r="AV156" i="1" a="1"/>
  <c r="AV156" i="1" s="1"/>
  <c r="AW156" i="1" a="1"/>
  <c r="AW156" i="1" s="1"/>
  <c r="AX156" i="1" a="1"/>
  <c r="AX156" i="1" s="1"/>
  <c r="AY156" i="1" a="1"/>
  <c r="AY156" i="1" s="1"/>
  <c r="AE157" i="1"/>
  <c r="AE158" i="1" s="1"/>
  <c r="AF157" i="1"/>
  <c r="AG157" i="1"/>
  <c r="AT157" i="1"/>
  <c r="AU157" i="1"/>
  <c r="AV157" i="1" a="1"/>
  <c r="AV157" i="1" s="1"/>
  <c r="AW157" i="1" a="1"/>
  <c r="AW157" i="1" s="1"/>
  <c r="AX157" i="1" a="1"/>
  <c r="AX157" i="1" s="1"/>
  <c r="AY157" i="1" a="1"/>
  <c r="AY157" i="1" s="1"/>
  <c r="AF158" i="1"/>
  <c r="AG158" i="1"/>
  <c r="AT158" i="1"/>
  <c r="AU158" i="1"/>
  <c r="AV158" i="1" a="1"/>
  <c r="AV158" i="1" s="1"/>
  <c r="AW158" i="1" a="1"/>
  <c r="AW158" i="1" s="1"/>
  <c r="AX158" i="1" a="1"/>
  <c r="AX158" i="1" s="1"/>
  <c r="AY158" i="1" a="1"/>
  <c r="AY158" i="1" s="1"/>
  <c r="AE159" i="1"/>
  <c r="AF159" i="1"/>
  <c r="AG159" i="1"/>
  <c r="AG160" i="1" s="1"/>
  <c r="AT159" i="1"/>
  <c r="AU159" i="1"/>
  <c r="AV159" i="1" a="1"/>
  <c r="AV159" i="1" s="1"/>
  <c r="AX159" i="1" a="1"/>
  <c r="AX159" i="1" s="1"/>
  <c r="AE160" i="1"/>
  <c r="AE161" i="1" s="1"/>
  <c r="AE162" i="1" s="1"/>
  <c r="AF160" i="1"/>
  <c r="AF161" i="1" s="1"/>
  <c r="AT160" i="1"/>
  <c r="AU160" i="1"/>
  <c r="AG161" i="1"/>
  <c r="AG162" i="1" s="1"/>
  <c r="AT161" i="1"/>
  <c r="AU161" i="1"/>
  <c r="AF162" i="1"/>
  <c r="AT162" i="1"/>
  <c r="AU162" i="1"/>
  <c r="AE163" i="1"/>
  <c r="AG163" i="1"/>
  <c r="AE164" i="1" s="1"/>
  <c r="AT163" i="1"/>
  <c r="AU163" i="1"/>
  <c r="AV163" i="1" a="1"/>
  <c r="AV163" i="1" s="1"/>
  <c r="AW163" i="1" a="1"/>
  <c r="AW163" i="1" s="1"/>
  <c r="AX163" i="1" a="1"/>
  <c r="AX163" i="1" s="1"/>
  <c r="AY163" i="1" a="1"/>
  <c r="AY163" i="1" s="1"/>
  <c r="AG164" i="1"/>
  <c r="AT164" i="1"/>
  <c r="AU164" i="1"/>
  <c r="AV164" i="1" a="1"/>
  <c r="AV164" i="1" s="1"/>
  <c r="AW164" i="1" a="1"/>
  <c r="AW164" i="1" s="1"/>
  <c r="AX164" i="1" a="1"/>
  <c r="AX164" i="1" s="1"/>
  <c r="AY164" i="1" a="1"/>
  <c r="AY164" i="1" s="1"/>
  <c r="AE165" i="1"/>
  <c r="AG165" i="1"/>
  <c r="AT165" i="1"/>
  <c r="AU165" i="1"/>
  <c r="AV165" i="1" a="1"/>
  <c r="AV165" i="1" s="1"/>
  <c r="AW165" i="1" a="1"/>
  <c r="AW165" i="1" s="1"/>
  <c r="AX165" i="1" a="1"/>
  <c r="AX165" i="1" s="1"/>
  <c r="AY165" i="1" a="1"/>
  <c r="AY165" i="1" s="1"/>
  <c r="AE166" i="1"/>
  <c r="AE167" i="1" s="1"/>
  <c r="AF166" i="1"/>
  <c r="AF167" i="1" s="1"/>
  <c r="AG166" i="1"/>
  <c r="AT166" i="1"/>
  <c r="AU166" i="1"/>
  <c r="AV166" i="1" a="1"/>
  <c r="AV166" i="1" s="1"/>
  <c r="AW166" i="1" a="1"/>
  <c r="AW166" i="1" s="1"/>
  <c r="AX166" i="1" a="1"/>
  <c r="AX166" i="1" s="1"/>
  <c r="AY166" i="1" a="1"/>
  <c r="AY166" i="1" s="1"/>
  <c r="AG167" i="1"/>
  <c r="AT167" i="1"/>
  <c r="AU167" i="1"/>
  <c r="AV167" i="1" a="1"/>
  <c r="AV167" i="1" s="1"/>
  <c r="AW167" i="1" a="1"/>
  <c r="AW167" i="1" s="1"/>
  <c r="AX167" i="1" a="1"/>
  <c r="AX167" i="1" s="1"/>
  <c r="AY167" i="1" a="1"/>
  <c r="AY167" i="1" s="1"/>
  <c r="AE168" i="1"/>
  <c r="AF168" i="1"/>
  <c r="AG168" i="1"/>
  <c r="AE169" i="1" s="1"/>
  <c r="AT168" i="1"/>
  <c r="AU168" i="1"/>
  <c r="AV168" i="1" a="1"/>
  <c r="AV168" i="1" s="1"/>
  <c r="AW168" i="1" a="1"/>
  <c r="AW168" i="1" s="1"/>
  <c r="AX168" i="1" a="1"/>
  <c r="AX168" i="1" s="1"/>
  <c r="AY168" i="1" a="1"/>
  <c r="AY168" i="1" s="1"/>
  <c r="AG169" i="1"/>
  <c r="AT169" i="1"/>
  <c r="AU169" i="1"/>
  <c r="AV169" i="1" a="1"/>
  <c r="AV169" i="1" s="1"/>
  <c r="AW169" i="1" a="1"/>
  <c r="AW169" i="1" s="1"/>
  <c r="AX169" i="1" a="1"/>
  <c r="AX169" i="1" s="1"/>
  <c r="AY169" i="1" a="1"/>
  <c r="AY169" i="1" s="1"/>
  <c r="AE170" i="1"/>
  <c r="AF170" i="1"/>
  <c r="AF171" i="1" s="1"/>
  <c r="AF172" i="1" s="1"/>
  <c r="AG170" i="1"/>
  <c r="AT170" i="1"/>
  <c r="AU170" i="1"/>
  <c r="AV170" i="1" a="1"/>
  <c r="AV170" i="1" s="1"/>
  <c r="AW170" i="1" a="1"/>
  <c r="AW170" i="1" s="1"/>
  <c r="AX170" i="1" a="1"/>
  <c r="AX170" i="1" s="1"/>
  <c r="AY170" i="1" a="1"/>
  <c r="AY170" i="1" s="1"/>
  <c r="AE171" i="1"/>
  <c r="AG171" i="1"/>
  <c r="AG172" i="1" s="1"/>
  <c r="AT171" i="1"/>
  <c r="AU171" i="1"/>
  <c r="AV171" i="1" a="1"/>
  <c r="AV171" i="1" s="1"/>
  <c r="AW171" i="1" a="1"/>
  <c r="AW171" i="1" s="1"/>
  <c r="AX171" i="1" a="1"/>
  <c r="AX171" i="1" s="1"/>
  <c r="AY171" i="1" a="1"/>
  <c r="AY171" i="1" s="1"/>
  <c r="AE172" i="1"/>
  <c r="AT172" i="1"/>
  <c r="AU172" i="1"/>
  <c r="AV172" i="1" a="1"/>
  <c r="AV172" i="1" s="1"/>
  <c r="AW172" i="1" a="1"/>
  <c r="AW172" i="1" s="1"/>
  <c r="AX172" i="1" a="1"/>
  <c r="AX172" i="1" s="1"/>
  <c r="AY172" i="1" a="1"/>
  <c r="AY172" i="1" s="1"/>
  <c r="AE173" i="1"/>
  <c r="AF173" i="1"/>
  <c r="AF174" i="1" s="1"/>
  <c r="AG173" i="1"/>
  <c r="AT173" i="1"/>
  <c r="AU173" i="1"/>
  <c r="AV173" i="1" a="1"/>
  <c r="AV173" i="1" s="1"/>
  <c r="AW173" i="1" a="1"/>
  <c r="AW173" i="1" s="1"/>
  <c r="AX173" i="1" a="1"/>
  <c r="AX173" i="1" s="1"/>
  <c r="AY173" i="1" a="1"/>
  <c r="AY173" i="1" s="1"/>
  <c r="AE174" i="1"/>
  <c r="AG174" i="1"/>
  <c r="AT174" i="1"/>
  <c r="AU174" i="1"/>
  <c r="AV174" i="1" a="1"/>
  <c r="AV174" i="1" s="1"/>
  <c r="AW174" i="1" a="1"/>
  <c r="AW174" i="1" s="1"/>
  <c r="AX174" i="1" a="1"/>
  <c r="AX174" i="1" s="1"/>
  <c r="AY174" i="1" a="1"/>
  <c r="AY174" i="1" s="1"/>
  <c r="AE175" i="1"/>
  <c r="AE176" i="1" s="1"/>
  <c r="AE177" i="1" s="1"/>
  <c r="AE178" i="1" s="1"/>
  <c r="AE179" i="1" s="1"/>
  <c r="AF175" i="1"/>
  <c r="AG175" i="1"/>
  <c r="AG176" i="1" s="1"/>
  <c r="AT175" i="1"/>
  <c r="AU175" i="1"/>
  <c r="AY175" i="1" a="1"/>
  <c r="AY175" i="1" s="1"/>
  <c r="AF176" i="1"/>
  <c r="AT176" i="1"/>
  <c r="AU176" i="1"/>
  <c r="AF177" i="1"/>
  <c r="AF178" i="1" s="1"/>
  <c r="AG177" i="1"/>
  <c r="AT177" i="1"/>
  <c r="AU177" i="1"/>
  <c r="AV177" i="1" a="1"/>
  <c r="AV177" i="1" s="1"/>
  <c r="AG178" i="1"/>
  <c r="AT178" i="1"/>
  <c r="AU178" i="1"/>
  <c r="AY178" i="1" a="1"/>
  <c r="AY178" i="1" s="1"/>
  <c r="AF179" i="1"/>
  <c r="AG179" i="1"/>
  <c r="AG180" i="1" s="1"/>
  <c r="AT179" i="1"/>
  <c r="AU179" i="1"/>
  <c r="AE180" i="1"/>
  <c r="AF180" i="1"/>
  <c r="AT180" i="1"/>
  <c r="AU180" i="1"/>
  <c r="AE181" i="1"/>
  <c r="AF181" i="1"/>
  <c r="AG181" i="1"/>
  <c r="AG182" i="1" s="1"/>
  <c r="AT181" i="1"/>
  <c r="AU181" i="1"/>
  <c r="AE182" i="1"/>
  <c r="AF182" i="1"/>
  <c r="AT182" i="1"/>
  <c r="AU182" i="1"/>
  <c r="AE183" i="1"/>
  <c r="AG183" i="1"/>
  <c r="AE184" i="1" s="1"/>
  <c r="AE185" i="1" s="1"/>
  <c r="AT183" i="1"/>
  <c r="AU183" i="1"/>
  <c r="AV183" i="1" a="1"/>
  <c r="AV183" i="1" s="1"/>
  <c r="AW183" i="1" a="1"/>
  <c r="AW183" i="1" s="1"/>
  <c r="AX183" i="1" a="1"/>
  <c r="AX183" i="1" s="1"/>
  <c r="AY183" i="1" a="1"/>
  <c r="AY183" i="1" s="1"/>
  <c r="AF184" i="1"/>
  <c r="AG184" i="1"/>
  <c r="AT184" i="1"/>
  <c r="AU184" i="1"/>
  <c r="AF185" i="1"/>
  <c r="AG185" i="1"/>
  <c r="AT185" i="1"/>
  <c r="AU185" i="1"/>
  <c r="AE186" i="1"/>
  <c r="AF186" i="1"/>
  <c r="AF187" i="1" s="1"/>
  <c r="AG186" i="1"/>
  <c r="AT186" i="1"/>
  <c r="AU186" i="1"/>
  <c r="AE187" i="1"/>
  <c r="AG187" i="1"/>
  <c r="AT187" i="1"/>
  <c r="AU187" i="1"/>
  <c r="AG188" i="1"/>
  <c r="AT188" i="1"/>
  <c r="AU188" i="1"/>
  <c r="AV188" i="1" a="1"/>
  <c r="AV188" i="1" s="1"/>
  <c r="AW188" i="1" a="1"/>
  <c r="AW188" i="1" s="1"/>
  <c r="AX188" i="1" a="1"/>
  <c r="AX188" i="1" s="1"/>
  <c r="AY188" i="1" a="1"/>
  <c r="AY188" i="1" s="1"/>
  <c r="AE189" i="1"/>
  <c r="AF189" i="1"/>
  <c r="AG189" i="1"/>
  <c r="AT189" i="1"/>
  <c r="AU189" i="1"/>
  <c r="AV189" i="1" a="1"/>
  <c r="AV189" i="1" s="1"/>
  <c r="AX189" i="1" a="1"/>
  <c r="AX189" i="1" s="1"/>
  <c r="AE190" i="1"/>
  <c r="AF190" i="1"/>
  <c r="AG190" i="1"/>
  <c r="AT190" i="1"/>
  <c r="AU190" i="1"/>
  <c r="AD191" i="1"/>
  <c r="AE191" i="1"/>
  <c r="AF191" i="1"/>
  <c r="AG191" i="1"/>
  <c r="AE192" i="1" s="1"/>
  <c r="AE193" i="1" s="1"/>
  <c r="AT191" i="1"/>
  <c r="AU191" i="1"/>
  <c r="AV191" i="1" a="1"/>
  <c r="AV191" i="1" s="1"/>
  <c r="AW191" i="1" a="1"/>
  <c r="AW191" i="1" s="1"/>
  <c r="AX191" i="1" a="1"/>
  <c r="AX191" i="1" s="1"/>
  <c r="AY191" i="1" a="1"/>
  <c r="AY191" i="1" s="1"/>
  <c r="AD192" i="1"/>
  <c r="AD193" i="1" s="1"/>
  <c r="AF192" i="1"/>
  <c r="AG192" i="1"/>
  <c r="AT192" i="1"/>
  <c r="AU192" i="1"/>
  <c r="AV192" i="1" a="1"/>
  <c r="AV192" i="1" s="1"/>
  <c r="AX192" i="1" a="1"/>
  <c r="AX192" i="1" s="1"/>
  <c r="AF193" i="1"/>
  <c r="AG193" i="1"/>
  <c r="AT193" i="1"/>
  <c r="AU193" i="1"/>
  <c r="AD194" i="1"/>
  <c r="AE194" i="1"/>
  <c r="AF194" i="1"/>
  <c r="AG194" i="1"/>
  <c r="AT194" i="1"/>
  <c r="AU194" i="1"/>
  <c r="AV194" i="1" a="1"/>
  <c r="AV194" i="1" s="1"/>
  <c r="AW194" i="1" a="1"/>
  <c r="AW194" i="1" s="1"/>
  <c r="AX194" i="1" a="1"/>
  <c r="AX194" i="1" s="1"/>
  <c r="AY194" i="1" a="1"/>
  <c r="AY194" i="1" s="1"/>
  <c r="AD195" i="1"/>
  <c r="AD196" i="1" s="1"/>
  <c r="AD197" i="1" s="1"/>
  <c r="AE195" i="1"/>
  <c r="AE196" i="1" s="1"/>
  <c r="AF195" i="1"/>
  <c r="AF196" i="1" s="1"/>
  <c r="AG195" i="1"/>
  <c r="AG196" i="1" s="1"/>
  <c r="AT195" i="1"/>
  <c r="AU195" i="1"/>
  <c r="AV195" i="1" a="1"/>
  <c r="AV195" i="1" s="1"/>
  <c r="AX195" i="1" a="1"/>
  <c r="AX195" i="1" s="1"/>
  <c r="AT196" i="1"/>
  <c r="AU196" i="1"/>
  <c r="AE197" i="1"/>
  <c r="AE198" i="1" s="1"/>
  <c r="AE199" i="1" s="1"/>
  <c r="AE200" i="1" s="1"/>
  <c r="AE201" i="1" s="1"/>
  <c r="AE202" i="1" s="1"/>
  <c r="AE203" i="1" s="1"/>
  <c r="AF197" i="1"/>
  <c r="AF198" i="1" s="1"/>
  <c r="AF199" i="1" s="1"/>
  <c r="AG197" i="1"/>
  <c r="AT197" i="1"/>
  <c r="AU197" i="1"/>
  <c r="AV197" i="1" a="1"/>
  <c r="AV197" i="1" s="1"/>
  <c r="AX197" i="1" a="1"/>
  <c r="AX197" i="1" s="1"/>
  <c r="AD198" i="1"/>
  <c r="AG198" i="1"/>
  <c r="AG199" i="1" s="1"/>
  <c r="AG200" i="1" s="1"/>
  <c r="AT198" i="1"/>
  <c r="AU198" i="1"/>
  <c r="AD199" i="1"/>
  <c r="AD200" i="1" s="1"/>
  <c r="AD201" i="1" s="1"/>
  <c r="AD202" i="1" s="1"/>
  <c r="AD203" i="1" s="1"/>
  <c r="AT199" i="1"/>
  <c r="AU199" i="1"/>
  <c r="AF200" i="1"/>
  <c r="AF201" i="1" s="1"/>
  <c r="AF202" i="1" s="1"/>
  <c r="AF203" i="1" s="1"/>
  <c r="AT200" i="1"/>
  <c r="AU200" i="1"/>
  <c r="AG201" i="1"/>
  <c r="AG202" i="1" s="1"/>
  <c r="AT201" i="1"/>
  <c r="AU201" i="1"/>
  <c r="AT202" i="1"/>
  <c r="AU202" i="1"/>
  <c r="AG203" i="1"/>
  <c r="AT203" i="1"/>
  <c r="AU203" i="1"/>
  <c r="AE204" i="1"/>
  <c r="AG204" i="1"/>
  <c r="AT204" i="1"/>
  <c r="AU204" i="1"/>
  <c r="AV204" i="1" a="1"/>
  <c r="AV204" i="1" s="1"/>
  <c r="AW204" i="1" a="1"/>
  <c r="AW204" i="1" s="1"/>
  <c r="AX204" i="1" a="1"/>
  <c r="AX204" i="1" s="1"/>
  <c r="AY204" i="1" a="1"/>
  <c r="AY204" i="1" s="1"/>
  <c r="AE205" i="1"/>
  <c r="AG205" i="1"/>
  <c r="AE206" i="1" s="1"/>
  <c r="AE207" i="1" s="1"/>
  <c r="AT205" i="1"/>
  <c r="AU205" i="1"/>
  <c r="AV205" i="1" a="1"/>
  <c r="AV205" i="1" s="1"/>
  <c r="AW205" i="1" a="1"/>
  <c r="AW205" i="1" s="1"/>
  <c r="AX205" i="1" a="1"/>
  <c r="AX205" i="1" s="1"/>
  <c r="AY205" i="1" a="1"/>
  <c r="AY205" i="1" s="1"/>
  <c r="AG206" i="1"/>
  <c r="AT206" i="1"/>
  <c r="AU206" i="1"/>
  <c r="AV206" i="1" a="1"/>
  <c r="AV206" i="1" s="1"/>
  <c r="AW206" i="1" a="1"/>
  <c r="AW206" i="1" s="1"/>
  <c r="AX206" i="1" a="1"/>
  <c r="AX206" i="1" s="1"/>
  <c r="AY206" i="1" a="1"/>
  <c r="AY206" i="1" s="1"/>
  <c r="AG207" i="1"/>
  <c r="AT207" i="1"/>
  <c r="AU207" i="1"/>
  <c r="AV207" i="1" a="1"/>
  <c r="AV207" i="1" s="1"/>
  <c r="AW207" i="1" a="1"/>
  <c r="AW207" i="1" s="1"/>
  <c r="AX207" i="1" a="1"/>
  <c r="AX207" i="1" s="1"/>
  <c r="AY207" i="1" a="1"/>
  <c r="AY207" i="1" s="1"/>
  <c r="AE208" i="1"/>
  <c r="AG208" i="1"/>
  <c r="AT208" i="1"/>
  <c r="AU208" i="1"/>
  <c r="AV208" i="1" a="1"/>
  <c r="AV208" i="1" s="1"/>
  <c r="AW208" i="1" a="1"/>
  <c r="AW208" i="1" s="1"/>
  <c r="AX208" i="1" a="1"/>
  <c r="AX208" i="1" s="1"/>
  <c r="AY208" i="1" a="1"/>
  <c r="AY208" i="1" s="1"/>
  <c r="AE209" i="1"/>
  <c r="AG209" i="1"/>
  <c r="AT209" i="1"/>
  <c r="AU209" i="1"/>
  <c r="AV209" i="1" a="1"/>
  <c r="AV209" i="1" s="1"/>
  <c r="AW209" i="1" a="1"/>
  <c r="AW209" i="1" s="1"/>
  <c r="AX209" i="1" a="1"/>
  <c r="AX209" i="1" s="1"/>
  <c r="AY209" i="1" a="1"/>
  <c r="AY209" i="1" s="1"/>
  <c r="AE210" i="1"/>
  <c r="AE211" i="1" s="1"/>
  <c r="AF210" i="1"/>
  <c r="AG210" i="1"/>
  <c r="AT210" i="1"/>
  <c r="AU210" i="1"/>
  <c r="AV210" i="1" a="1"/>
  <c r="AV210" i="1" s="1"/>
  <c r="AW210" i="1" a="1"/>
  <c r="AW210" i="1" s="1"/>
  <c r="AX210" i="1" a="1"/>
  <c r="AX210" i="1" s="1"/>
  <c r="AY210" i="1" a="1"/>
  <c r="AY210" i="1" s="1"/>
  <c r="AF211" i="1"/>
  <c r="AG211" i="1"/>
  <c r="AT211" i="1"/>
  <c r="AU211" i="1"/>
  <c r="AV211" i="1" a="1"/>
  <c r="AV211" i="1" s="1"/>
  <c r="AW211" i="1" a="1"/>
  <c r="AW211" i="1" s="1"/>
  <c r="AX211" i="1" a="1"/>
  <c r="AX211" i="1" s="1"/>
  <c r="AY211" i="1" a="1"/>
  <c r="AY211" i="1" s="1"/>
  <c r="AE212" i="1"/>
  <c r="AG212" i="1"/>
  <c r="AT212" i="1"/>
  <c r="AU212" i="1"/>
  <c r="AV212" i="1" a="1"/>
  <c r="AV212" i="1" s="1"/>
  <c r="AW212" i="1" a="1"/>
  <c r="AW212" i="1" s="1"/>
  <c r="AX212" i="1" a="1"/>
  <c r="AX212" i="1" s="1"/>
  <c r="AY212" i="1" a="1"/>
  <c r="AY212" i="1" s="1"/>
  <c r="AE213" i="1"/>
  <c r="AF213" i="1"/>
  <c r="AG213" i="1"/>
  <c r="AT213" i="1"/>
  <c r="AU213" i="1"/>
  <c r="AV213" i="1" a="1"/>
  <c r="AV213" i="1" s="1"/>
  <c r="AW213" i="1" a="1"/>
  <c r="AW213" i="1" s="1"/>
  <c r="AX213" i="1" a="1"/>
  <c r="AX213" i="1" s="1"/>
  <c r="AY213" i="1" a="1"/>
  <c r="AY213" i="1" s="1"/>
  <c r="AE214" i="1"/>
  <c r="AE215" i="1" s="1"/>
  <c r="AE216" i="1" s="1"/>
  <c r="AE217" i="1" s="1"/>
  <c r="AE218" i="1" s="1"/>
  <c r="AF214" i="1"/>
  <c r="AG214" i="1"/>
  <c r="AT214" i="1"/>
  <c r="AU214" i="1"/>
  <c r="AV214" i="1" a="1"/>
  <c r="AV214" i="1" s="1"/>
  <c r="AW214" i="1" a="1"/>
  <c r="AW214" i="1" s="1"/>
  <c r="AX214" i="1" a="1"/>
  <c r="AX214" i="1" s="1"/>
  <c r="AY214" i="1" a="1"/>
  <c r="AY214" i="1" s="1"/>
  <c r="AF215" i="1"/>
  <c r="AG215" i="1"/>
  <c r="AT215" i="1"/>
  <c r="AU215" i="1"/>
  <c r="AV215" i="1" a="1"/>
  <c r="AV215" i="1" s="1"/>
  <c r="AW215" i="1" a="1"/>
  <c r="AW215" i="1" s="1"/>
  <c r="AX215" i="1" a="1"/>
  <c r="AX215" i="1" s="1"/>
  <c r="AY215" i="1" a="1"/>
  <c r="AY215" i="1" s="1"/>
  <c r="AF216" i="1"/>
  <c r="AF217" i="1" s="1"/>
  <c r="AG216" i="1"/>
  <c r="AG217" i="1" s="1"/>
  <c r="AT216" i="1"/>
  <c r="AU216" i="1"/>
  <c r="AV216" i="1" a="1"/>
  <c r="AV216" i="1" s="1"/>
  <c r="AW216" i="1" a="1"/>
  <c r="AW216" i="1" s="1"/>
  <c r="AX216" i="1" a="1"/>
  <c r="AX216" i="1" s="1"/>
  <c r="AY216" i="1" a="1"/>
  <c r="AY216" i="1" s="1"/>
  <c r="AT217" i="1"/>
  <c r="AU217" i="1"/>
  <c r="AV217" i="1" a="1"/>
  <c r="AV217" i="1" s="1"/>
  <c r="AW217" i="1" a="1"/>
  <c r="AW217" i="1" s="1"/>
  <c r="AX217" i="1" a="1"/>
  <c r="AX217" i="1" s="1"/>
  <c r="AY217" i="1" a="1"/>
  <c r="AY217" i="1" s="1"/>
  <c r="AF218" i="1"/>
  <c r="AG218" i="1"/>
  <c r="AT218" i="1"/>
  <c r="AU218" i="1"/>
  <c r="AV218" i="1" a="1"/>
  <c r="AV218" i="1" s="1"/>
  <c r="AW218" i="1" a="1"/>
  <c r="AW218" i="1" s="1"/>
  <c r="AX218" i="1" a="1"/>
  <c r="AX218" i="1" s="1"/>
  <c r="AY218" i="1" a="1"/>
  <c r="AY218" i="1" s="1"/>
  <c r="AE219" i="1"/>
  <c r="AE220" i="1" s="1"/>
  <c r="AE221" i="1" s="1"/>
  <c r="AF219" i="1"/>
  <c r="AG219" i="1"/>
  <c r="AG220" i="1" s="1"/>
  <c r="AT219" i="1"/>
  <c r="AU219" i="1"/>
  <c r="AV219" i="1" a="1"/>
  <c r="AV219" i="1" s="1"/>
  <c r="AW219" i="1" a="1"/>
  <c r="AW219" i="1" s="1"/>
  <c r="AX219" i="1" a="1"/>
  <c r="AX219" i="1" s="1"/>
  <c r="AY219" i="1" a="1"/>
  <c r="AY219" i="1" s="1"/>
  <c r="AF220" i="1"/>
  <c r="AT220" i="1"/>
  <c r="AU220" i="1"/>
  <c r="AV220" i="1" a="1"/>
  <c r="AV220" i="1" s="1"/>
  <c r="AW220" i="1" a="1"/>
  <c r="AW220" i="1" s="1"/>
  <c r="AX220" i="1" a="1"/>
  <c r="AX220" i="1" s="1"/>
  <c r="AY220" i="1" a="1"/>
  <c r="AY220" i="1" s="1"/>
  <c r="AF221" i="1"/>
  <c r="AG221" i="1"/>
  <c r="AT221" i="1"/>
  <c r="AU221" i="1"/>
  <c r="AV221" i="1" a="1"/>
  <c r="AV221" i="1" s="1"/>
  <c r="AW221" i="1" a="1"/>
  <c r="AW221" i="1" s="1"/>
  <c r="AX221" i="1" a="1"/>
  <c r="AX221" i="1" s="1"/>
  <c r="AY221" i="1" a="1"/>
  <c r="AY221" i="1" s="1"/>
  <c r="AE222" i="1"/>
  <c r="AE223" i="1" s="1"/>
  <c r="AE224" i="1" s="1"/>
  <c r="AG222" i="1"/>
  <c r="AT222" i="1"/>
  <c r="AU222" i="1"/>
  <c r="AV222" i="1" a="1"/>
  <c r="AV222" i="1" s="1"/>
  <c r="AW222" i="1" a="1"/>
  <c r="AW222" i="1" s="1"/>
  <c r="AX222" i="1" a="1"/>
  <c r="AX222" i="1" s="1"/>
  <c r="AY222" i="1" a="1"/>
  <c r="AY222" i="1" s="1"/>
  <c r="AG223" i="1"/>
  <c r="AT223" i="1"/>
  <c r="AU223" i="1"/>
  <c r="AV223" i="1" a="1"/>
  <c r="AV223" i="1" s="1"/>
  <c r="AW223" i="1" a="1"/>
  <c r="AW223" i="1" s="1"/>
  <c r="AX223" i="1" a="1"/>
  <c r="AX223" i="1" s="1"/>
  <c r="AY223" i="1" a="1"/>
  <c r="AY223" i="1" s="1"/>
  <c r="AG224" i="1"/>
  <c r="AE225" i="1" s="1"/>
  <c r="AE226" i="1" s="1"/>
  <c r="AT224" i="1"/>
  <c r="AU224" i="1"/>
  <c r="AV224" i="1" a="1"/>
  <c r="AV224" i="1" s="1"/>
  <c r="AW224" i="1" a="1"/>
  <c r="AW224" i="1" s="1"/>
  <c r="AX224" i="1" a="1"/>
  <c r="AX224" i="1" s="1"/>
  <c r="AY224" i="1" a="1"/>
  <c r="AY224" i="1" s="1"/>
  <c r="AF225" i="1"/>
  <c r="AG225" i="1"/>
  <c r="AT225" i="1"/>
  <c r="AU225" i="1"/>
  <c r="AV225" i="1" a="1"/>
  <c r="AV225" i="1" s="1"/>
  <c r="AW225" i="1" a="1"/>
  <c r="AW225" i="1" s="1"/>
  <c r="AX225" i="1" a="1"/>
  <c r="AX225" i="1" s="1"/>
  <c r="AY225" i="1" a="1"/>
  <c r="AY225" i="1" s="1"/>
  <c r="AF226" i="1"/>
  <c r="AG226" i="1"/>
  <c r="AT226" i="1"/>
  <c r="AU226" i="1"/>
  <c r="AV226" i="1" a="1"/>
  <c r="AV226" i="1" s="1"/>
  <c r="AW226" i="1" a="1"/>
  <c r="AW226" i="1" s="1"/>
  <c r="AX226" i="1" a="1"/>
  <c r="AX226" i="1" s="1"/>
  <c r="AY226" i="1" a="1"/>
  <c r="AY226" i="1" s="1"/>
  <c r="AE227" i="1"/>
  <c r="AE228" i="1" s="1"/>
  <c r="AG227" i="1"/>
  <c r="AG228" i="1" s="1"/>
  <c r="AT227" i="1"/>
  <c r="AU227" i="1"/>
  <c r="AV227" i="1" a="1"/>
  <c r="AV227" i="1" s="1"/>
  <c r="AW227" i="1" a="1"/>
  <c r="AW227" i="1" s="1"/>
  <c r="AX227" i="1" a="1"/>
  <c r="AX227" i="1" s="1"/>
  <c r="AY227" i="1" a="1"/>
  <c r="AY227" i="1" s="1"/>
  <c r="AT228" i="1"/>
  <c r="AU228" i="1"/>
  <c r="AV228" i="1" a="1"/>
  <c r="AV228" i="1" s="1"/>
  <c r="AW228" i="1" a="1"/>
  <c r="AW228" i="1" s="1"/>
  <c r="AX228" i="1" a="1"/>
  <c r="AX228" i="1" s="1"/>
  <c r="AY228" i="1" a="1"/>
  <c r="AY228" i="1" s="1"/>
  <c r="AE229" i="1"/>
  <c r="AE230" i="1" s="1"/>
  <c r="AE231" i="1" s="1"/>
  <c r="AF229" i="1"/>
  <c r="AG229" i="1"/>
  <c r="AT229" i="1"/>
  <c r="AU229" i="1"/>
  <c r="AV229" i="1" a="1"/>
  <c r="AV229" i="1" s="1"/>
  <c r="AW229" i="1" a="1"/>
  <c r="AW229" i="1" s="1"/>
  <c r="AX229" i="1" a="1"/>
  <c r="AX229" i="1" s="1"/>
  <c r="AY229" i="1" a="1"/>
  <c r="AY229" i="1" s="1"/>
  <c r="AF230" i="1"/>
  <c r="AF231" i="1" s="1"/>
  <c r="AG230" i="1"/>
  <c r="AG231" i="1" s="1"/>
  <c r="AE232" i="1" s="1"/>
  <c r="AE233" i="1" s="1"/>
  <c r="AT230" i="1"/>
  <c r="AU230" i="1"/>
  <c r="AV230" i="1" a="1"/>
  <c r="AV230" i="1" s="1"/>
  <c r="AW230" i="1" a="1"/>
  <c r="AW230" i="1" s="1"/>
  <c r="AX230" i="1" a="1"/>
  <c r="AX230" i="1" s="1"/>
  <c r="AY230" i="1" a="1"/>
  <c r="AY230" i="1" s="1"/>
  <c r="AT231" i="1"/>
  <c r="AU231" i="1"/>
  <c r="AV231" i="1" a="1"/>
  <c r="AV231" i="1" s="1"/>
  <c r="AW231" i="1" a="1"/>
  <c r="AW231" i="1" s="1"/>
  <c r="AX231" i="1" a="1"/>
  <c r="AX231" i="1" s="1"/>
  <c r="AY231" i="1" a="1"/>
  <c r="AY231" i="1" s="1"/>
  <c r="AG232" i="1"/>
  <c r="AT232" i="1"/>
  <c r="AU232" i="1"/>
  <c r="AV232" i="1" a="1"/>
  <c r="AV232" i="1" s="1"/>
  <c r="AW232" i="1" a="1"/>
  <c r="AW232" i="1" s="1"/>
  <c r="AX232" i="1" a="1"/>
  <c r="AX232" i="1" s="1"/>
  <c r="AY232" i="1" a="1"/>
  <c r="AY232" i="1" s="1"/>
  <c r="AG233" i="1"/>
  <c r="AT233" i="1"/>
  <c r="AU233" i="1"/>
  <c r="AV233" i="1" a="1"/>
  <c r="AV233" i="1" s="1"/>
  <c r="AW233" i="1" a="1"/>
  <c r="AW233" i="1" s="1"/>
  <c r="AX233" i="1" a="1"/>
  <c r="AX233" i="1" s="1"/>
  <c r="AY233" i="1" a="1"/>
  <c r="AY233" i="1" s="1"/>
  <c r="AE234" i="1"/>
  <c r="AE235" i="1" s="1"/>
  <c r="AE236" i="1" s="1"/>
  <c r="AF234" i="1"/>
  <c r="AG234" i="1"/>
  <c r="AG235" i="1" s="1"/>
  <c r="AG236" i="1" s="1"/>
  <c r="AT234" i="1"/>
  <c r="AU234" i="1"/>
  <c r="AV234" i="1" a="1"/>
  <c r="AV234" i="1" s="1"/>
  <c r="AW234" i="1" a="1"/>
  <c r="AW234" i="1" s="1"/>
  <c r="AX234" i="1" a="1"/>
  <c r="AX234" i="1" s="1"/>
  <c r="AY234" i="1" a="1"/>
  <c r="AY234" i="1" s="1"/>
  <c r="AF235" i="1"/>
  <c r="AF236" i="1" s="1"/>
  <c r="AT235" i="1"/>
  <c r="AU235" i="1"/>
  <c r="AV235" i="1" a="1"/>
  <c r="AV235" i="1" s="1"/>
  <c r="AW235" i="1" a="1"/>
  <c r="AW235" i="1" s="1"/>
  <c r="AX235" i="1" a="1"/>
  <c r="AX235" i="1" s="1"/>
  <c r="AY235" i="1" a="1"/>
  <c r="AY235" i="1" s="1"/>
  <c r="AT236" i="1"/>
  <c r="AU236" i="1"/>
  <c r="AV236" i="1" a="1"/>
  <c r="AV236" i="1" s="1"/>
  <c r="AW236" i="1" a="1"/>
  <c r="AW236" i="1" s="1"/>
  <c r="AX236" i="1" a="1"/>
  <c r="AX236" i="1" s="1"/>
  <c r="AY236" i="1" a="1"/>
  <c r="AY236" i="1" s="1"/>
  <c r="AE237" i="1"/>
  <c r="AG237" i="1"/>
  <c r="AT237" i="1"/>
  <c r="AU237" i="1"/>
  <c r="AV237" i="1" a="1"/>
  <c r="AV237" i="1" s="1"/>
  <c r="AW237" i="1" a="1"/>
  <c r="AW237" i="1" s="1"/>
  <c r="AX237" i="1" a="1"/>
  <c r="AX237" i="1" s="1"/>
  <c r="AY237" i="1" a="1"/>
  <c r="AY237" i="1" s="1"/>
  <c r="AE238" i="1"/>
  <c r="AG238" i="1"/>
  <c r="AT238" i="1"/>
  <c r="AU238" i="1"/>
  <c r="AV238" i="1" a="1"/>
  <c r="AV238" i="1" s="1"/>
  <c r="AW238" i="1" a="1"/>
  <c r="AW238" i="1" s="1"/>
  <c r="AX238" i="1" a="1"/>
  <c r="AX238" i="1" s="1"/>
  <c r="AY238" i="1" a="1"/>
  <c r="AY238" i="1" s="1"/>
  <c r="AE239" i="1"/>
  <c r="AF239" i="1"/>
  <c r="AF240" i="1" s="1"/>
  <c r="AF241" i="1" s="1"/>
  <c r="AG239" i="1"/>
  <c r="AT239" i="1"/>
  <c r="AU239" i="1"/>
  <c r="AV239" i="1" a="1"/>
  <c r="AV239" i="1" s="1"/>
  <c r="AW239" i="1" a="1"/>
  <c r="AW239" i="1" s="1"/>
  <c r="AX239" i="1" a="1"/>
  <c r="AX239" i="1" s="1"/>
  <c r="AY239" i="1" a="1"/>
  <c r="AY239" i="1" s="1"/>
  <c r="AE240" i="1"/>
  <c r="AE241" i="1" s="1"/>
  <c r="AG240" i="1"/>
  <c r="AT240" i="1"/>
  <c r="AU240" i="1"/>
  <c r="AV240" i="1" a="1"/>
  <c r="AV240" i="1" s="1"/>
  <c r="AW240" i="1" a="1"/>
  <c r="AW240" i="1" s="1"/>
  <c r="AX240" i="1" a="1"/>
  <c r="AX240" i="1" s="1"/>
  <c r="AY240" i="1" a="1"/>
  <c r="AY240" i="1" s="1"/>
  <c r="AG241" i="1"/>
  <c r="AT241" i="1"/>
  <c r="AU241" i="1"/>
  <c r="AV241" i="1" a="1"/>
  <c r="AV241" i="1" s="1"/>
  <c r="AW241" i="1" a="1"/>
  <c r="AW241" i="1" s="1"/>
  <c r="AX241" i="1" a="1"/>
  <c r="AX241" i="1" s="1"/>
  <c r="AY241" i="1" a="1"/>
  <c r="AY241" i="1" s="1"/>
  <c r="AE242" i="1"/>
  <c r="AG242" i="1"/>
  <c r="AT242" i="1"/>
  <c r="AU242" i="1"/>
  <c r="AV242" i="1" a="1"/>
  <c r="AV242" i="1" s="1"/>
  <c r="AW242" i="1" a="1"/>
  <c r="AW242" i="1" s="1"/>
  <c r="AX242" i="1" a="1"/>
  <c r="AX242" i="1" s="1"/>
  <c r="AY242" i="1" a="1"/>
  <c r="AY242" i="1" s="1"/>
  <c r="AE243" i="1"/>
  <c r="AE244" i="1" s="1"/>
  <c r="AG243" i="1"/>
  <c r="AG244" i="1" s="1"/>
  <c r="AE245" i="1" s="1"/>
  <c r="AE246" i="1" s="1"/>
  <c r="AT243" i="1"/>
  <c r="AU243" i="1"/>
  <c r="AV243" i="1" a="1"/>
  <c r="AV243" i="1" s="1"/>
  <c r="AW243" i="1" a="1"/>
  <c r="AW243" i="1" s="1"/>
  <c r="AX243" i="1" a="1"/>
  <c r="AX243" i="1" s="1"/>
  <c r="AY243" i="1" a="1"/>
  <c r="AY243" i="1" s="1"/>
  <c r="AT244" i="1"/>
  <c r="AU244" i="1"/>
  <c r="AV244" i="1" a="1"/>
  <c r="AV244" i="1" s="1"/>
  <c r="AW244" i="1" a="1"/>
  <c r="AW244" i="1" s="1"/>
  <c r="AX244" i="1" a="1"/>
  <c r="AX244" i="1" s="1"/>
  <c r="AY244" i="1" a="1"/>
  <c r="AY244" i="1" s="1"/>
  <c r="AF245" i="1"/>
  <c r="AG245" i="1"/>
  <c r="AG246" i="1" s="1"/>
  <c r="AG247" i="1" s="1"/>
  <c r="AG248" i="1" s="1"/>
  <c r="AT245" i="1"/>
  <c r="AU245" i="1"/>
  <c r="AY245" i="1" a="1"/>
  <c r="AY245" i="1" s="1"/>
  <c r="AF246" i="1"/>
  <c r="AT246" i="1"/>
  <c r="AU246" i="1"/>
  <c r="AE247" i="1"/>
  <c r="AE248" i="1" s="1"/>
  <c r="AE249" i="1" s="1"/>
  <c r="AE250" i="1" s="1"/>
  <c r="AE251" i="1" s="1"/>
  <c r="AE252" i="1" s="1"/>
  <c r="AF247" i="1"/>
  <c r="AT247" i="1"/>
  <c r="AU247" i="1"/>
  <c r="AV247" i="1" a="1"/>
  <c r="AV247" i="1" s="1"/>
  <c r="AY247" i="1" a="1"/>
  <c r="AY247" i="1" s="1"/>
  <c r="AF248" i="1"/>
  <c r="AF249" i="1" s="1"/>
  <c r="AF250" i="1" s="1"/>
  <c r="AF251" i="1" s="1"/>
  <c r="AF252" i="1" s="1"/>
  <c r="AF253" i="1" s="1"/>
  <c r="AT248" i="1"/>
  <c r="AU248" i="1"/>
  <c r="AV248" i="1" a="1"/>
  <c r="AV248" i="1" s="1"/>
  <c r="AY248" i="1" a="1"/>
  <c r="AY248" i="1" s="1"/>
  <c r="AG249" i="1"/>
  <c r="AT249" i="1"/>
  <c r="AU249" i="1"/>
  <c r="AG250" i="1"/>
  <c r="AG251" i="1" s="1"/>
  <c r="AG252" i="1" s="1"/>
  <c r="AT250" i="1"/>
  <c r="AU250" i="1"/>
  <c r="AT251" i="1"/>
  <c r="AU251" i="1"/>
  <c r="AT252" i="1"/>
  <c r="AU252" i="1"/>
  <c r="AE253" i="1"/>
  <c r="AE254" i="1" s="1"/>
  <c r="AG253" i="1"/>
  <c r="AT253" i="1"/>
  <c r="AU253" i="1"/>
  <c r="AG254" i="1"/>
  <c r="AE255" i="1" s="1"/>
  <c r="AT254" i="1"/>
  <c r="AU254" i="1"/>
  <c r="AF255" i="1"/>
  <c r="BI255" i="1" s="1"/>
  <c r="AG255" i="1"/>
  <c r="AT255" i="1"/>
  <c r="AU255" i="1"/>
  <c r="AV255" i="1" a="1"/>
  <c r="AV255" i="1" s="1"/>
  <c r="AW255" i="1" a="1"/>
  <c r="AW255" i="1" s="1"/>
  <c r="AX255" i="1" a="1"/>
  <c r="AX255" i="1" s="1"/>
  <c r="AY255" i="1" a="1"/>
  <c r="AY255" i="1" s="1"/>
  <c r="AE256" i="1"/>
  <c r="AG256" i="1"/>
  <c r="AE257" i="1" s="1"/>
  <c r="AT256" i="1"/>
  <c r="AU256" i="1"/>
  <c r="AV256" i="1" a="1"/>
  <c r="AV256" i="1" s="1"/>
  <c r="AW256" i="1" a="1"/>
  <c r="AW256" i="1" s="1"/>
  <c r="AX256" i="1" a="1"/>
  <c r="AX256" i="1" s="1"/>
  <c r="AY256" i="1" a="1"/>
  <c r="AY256" i="1" s="1"/>
  <c r="AG257" i="1"/>
  <c r="AT257" i="1"/>
  <c r="AU257" i="1"/>
  <c r="AV257" i="1" a="1"/>
  <c r="AV257" i="1" s="1"/>
  <c r="AW257" i="1" a="1"/>
  <c r="AW257" i="1" s="1"/>
  <c r="AX257" i="1" a="1"/>
  <c r="AX257" i="1" s="1"/>
  <c r="AY257" i="1" a="1"/>
  <c r="AY257" i="1" s="1"/>
  <c r="AE258" i="1"/>
  <c r="AE259" i="1" s="1"/>
  <c r="AE260" i="1" s="1"/>
  <c r="AF258" i="1"/>
  <c r="AF259" i="1" s="1"/>
  <c r="AG258" i="1"/>
  <c r="AT258" i="1"/>
  <c r="AU258" i="1"/>
  <c r="AV258" i="1" a="1"/>
  <c r="AV258" i="1" s="1"/>
  <c r="AW258" i="1" a="1"/>
  <c r="AW258" i="1" s="1"/>
  <c r="AX258" i="1" a="1"/>
  <c r="AX258" i="1" s="1"/>
  <c r="AY258" i="1" a="1"/>
  <c r="AY258" i="1" s="1"/>
  <c r="AG259" i="1"/>
  <c r="AG260" i="1" s="1"/>
  <c r="AE261" i="1" s="1"/>
  <c r="AT259" i="1"/>
  <c r="AU259" i="1"/>
  <c r="AV259" i="1" a="1"/>
  <c r="AV259" i="1" s="1"/>
  <c r="AW259" i="1" a="1"/>
  <c r="AW259" i="1" s="1"/>
  <c r="AX259" i="1" a="1"/>
  <c r="AX259" i="1" s="1"/>
  <c r="AY259" i="1" a="1"/>
  <c r="AY259" i="1" s="1"/>
  <c r="AT260" i="1"/>
  <c r="AU260" i="1"/>
  <c r="AV260" i="1" a="1"/>
  <c r="AV260" i="1" s="1"/>
  <c r="AW260" i="1" a="1"/>
  <c r="AW260" i="1" s="1"/>
  <c r="AX260" i="1" a="1"/>
  <c r="AX260" i="1" s="1"/>
  <c r="AY260" i="1" a="1"/>
  <c r="AY260" i="1" s="1"/>
  <c r="AG261" i="1"/>
  <c r="AE262" i="1" s="1"/>
  <c r="AE263" i="1" s="1"/>
  <c r="AT261" i="1"/>
  <c r="AU261" i="1"/>
  <c r="AV261" i="1" a="1"/>
  <c r="AV261" i="1" s="1"/>
  <c r="AW261" i="1" a="1"/>
  <c r="AW261" i="1" s="1"/>
  <c r="AX261" i="1" a="1"/>
  <c r="AX261" i="1" s="1"/>
  <c r="AY261" i="1" a="1"/>
  <c r="AY261" i="1" s="1"/>
  <c r="AF262" i="1"/>
  <c r="AF263" i="1" s="1"/>
  <c r="AD264" i="1" s="1"/>
  <c r="AD265" i="1" s="1"/>
  <c r="AD266" i="1" s="1"/>
  <c r="BN266" i="1" s="1"/>
  <c r="BO266" i="1" s="1"/>
  <c r="AG262" i="1"/>
  <c r="AT262" i="1"/>
  <c r="AU262" i="1"/>
  <c r="AV262" i="1" a="1"/>
  <c r="AV262" i="1" s="1"/>
  <c r="AW262" i="1" a="1"/>
  <c r="AW262" i="1" s="1"/>
  <c r="AX262" i="1" a="1"/>
  <c r="AX262" i="1" s="1"/>
  <c r="AY262" i="1" a="1"/>
  <c r="AY262" i="1" s="1"/>
  <c r="AG263" i="1"/>
  <c r="AE264" i="1" s="1"/>
  <c r="AE265" i="1" s="1"/>
  <c r="AE266" i="1" s="1"/>
  <c r="AT263" i="1"/>
  <c r="AU263" i="1"/>
  <c r="AV263" i="1" a="1"/>
  <c r="AV263" i="1" s="1"/>
  <c r="AW263" i="1" a="1"/>
  <c r="AW263" i="1" s="1"/>
  <c r="AX263" i="1" a="1"/>
  <c r="AX263" i="1" s="1"/>
  <c r="AY263" i="1" a="1"/>
  <c r="AY263" i="1" s="1"/>
  <c r="AF264" i="1"/>
  <c r="BI264" i="1" s="1"/>
  <c r="AG264" i="1"/>
  <c r="AG265" i="1" s="1"/>
  <c r="AG266" i="1" s="1"/>
  <c r="AE267" i="1" s="1"/>
  <c r="AT264" i="1"/>
  <c r="AU264" i="1"/>
  <c r="AV264" i="1" a="1"/>
  <c r="AV264" i="1" s="1"/>
  <c r="AW264" i="1" a="1"/>
  <c r="AW264" i="1" s="1"/>
  <c r="AX264" i="1" a="1"/>
  <c r="AX264" i="1" s="1"/>
  <c r="AY264" i="1" a="1"/>
  <c r="AY264" i="1" s="1"/>
  <c r="AF265" i="1"/>
  <c r="AF266" i="1" s="1"/>
  <c r="BI266" i="1" s="1"/>
  <c r="AT265" i="1"/>
  <c r="AU265" i="1"/>
  <c r="AV265" i="1" a="1"/>
  <c r="AV265" i="1" s="1"/>
  <c r="AW265" i="1" a="1"/>
  <c r="AW265" i="1" s="1"/>
  <c r="AX265" i="1" a="1"/>
  <c r="AX265" i="1" s="1"/>
  <c r="AY265" i="1" a="1"/>
  <c r="AY265" i="1" s="1"/>
  <c r="AT266" i="1"/>
  <c r="AU266" i="1"/>
  <c r="AV266" i="1" a="1"/>
  <c r="AV266" i="1" s="1"/>
  <c r="AW266" i="1" a="1"/>
  <c r="AW266" i="1" s="1"/>
  <c r="AX266" i="1" a="1"/>
  <c r="AX266" i="1" s="1"/>
  <c r="AY266" i="1" a="1"/>
  <c r="AY266" i="1" s="1"/>
  <c r="AF267" i="1"/>
  <c r="BI267" i="1" s="1"/>
  <c r="AG267" i="1"/>
  <c r="BR267" i="1"/>
  <c r="BQ267" i="1" s="1"/>
  <c r="AT267" i="1"/>
  <c r="AU267" i="1"/>
  <c r="AV267" i="1" a="1"/>
  <c r="AV267" i="1" s="1"/>
  <c r="AW267" i="1" a="1"/>
  <c r="AW267" i="1" s="1"/>
  <c r="AX267" i="1" a="1"/>
  <c r="AX267" i="1" s="1"/>
  <c r="AY267" i="1" a="1"/>
  <c r="AY267" i="1" s="1"/>
  <c r="AD268" i="1"/>
  <c r="BJ268" i="1" s="1"/>
  <c r="AE268" i="1"/>
  <c r="AF268" i="1"/>
  <c r="AD269" i="1" s="1"/>
  <c r="AF269" i="1" s="1"/>
  <c r="AD270" i="1" s="1"/>
  <c r="AF270" i="1" s="1"/>
  <c r="AD271" i="1" s="1"/>
  <c r="BN271" i="1" s="1"/>
  <c r="BO271" i="1" s="1"/>
  <c r="AG268" i="1"/>
  <c r="AT268" i="1"/>
  <c r="AU268" i="1"/>
  <c r="AV268" i="1" a="1"/>
  <c r="AV268" i="1" s="1"/>
  <c r="AW268" i="1" a="1"/>
  <c r="AW268" i="1" s="1"/>
  <c r="AY268" i="1" a="1"/>
  <c r="AY268" i="1" s="1"/>
  <c r="AE269" i="1"/>
  <c r="AG269" i="1"/>
  <c r="AT269" i="1"/>
  <c r="AU269" i="1"/>
  <c r="AV269" i="1" a="1"/>
  <c r="AV269" i="1" s="1"/>
  <c r="AW269" i="1" a="1"/>
  <c r="AW269" i="1" s="1"/>
  <c r="AX269" i="1" a="1"/>
  <c r="AX269" i="1" s="1"/>
  <c r="AY269" i="1" a="1"/>
  <c r="AY269" i="1" s="1"/>
  <c r="AE270" i="1"/>
  <c r="AG270" i="1"/>
  <c r="AE271" i="1" s="1"/>
  <c r="AT270" i="1"/>
  <c r="AU270" i="1"/>
  <c r="AV270" i="1" a="1"/>
  <c r="AV270" i="1" s="1"/>
  <c r="AW270" i="1" a="1"/>
  <c r="AW270" i="1" s="1"/>
  <c r="AX270" i="1" a="1"/>
  <c r="AX270" i="1" s="1"/>
  <c r="AY270" i="1" a="1"/>
  <c r="AY270" i="1" s="1"/>
  <c r="AG271" i="1"/>
  <c r="AT271" i="1"/>
  <c r="AU271" i="1"/>
  <c r="AV271" i="1" a="1"/>
  <c r="AV271" i="1" s="1"/>
  <c r="AW271" i="1" a="1"/>
  <c r="AW271" i="1" s="1"/>
  <c r="AX271" i="1" a="1"/>
  <c r="AX271" i="1" s="1"/>
  <c r="AY271" i="1" a="1"/>
  <c r="AY271" i="1" s="1"/>
  <c r="AE272" i="1"/>
  <c r="AG272" i="1"/>
  <c r="AE273" i="1" s="1"/>
  <c r="AE274" i="1" s="1"/>
  <c r="AE275" i="1" s="1"/>
  <c r="AT272" i="1"/>
  <c r="AU272" i="1"/>
  <c r="AV272" i="1" a="1"/>
  <c r="AV272" i="1" s="1"/>
  <c r="AW272" i="1" a="1"/>
  <c r="AW272" i="1" s="1"/>
  <c r="AX272" i="1" a="1"/>
  <c r="AX272" i="1" s="1"/>
  <c r="AY272" i="1" a="1"/>
  <c r="AY272" i="1" s="1"/>
  <c r="AF273" i="1"/>
  <c r="BI273" i="1" s="1"/>
  <c r="AG273" i="1"/>
  <c r="AT273" i="1"/>
  <c r="AU273" i="1"/>
  <c r="AV273" i="1" a="1"/>
  <c r="AV273" i="1" s="1"/>
  <c r="AW273" i="1" a="1"/>
  <c r="AW273" i="1" s="1"/>
  <c r="AX273" i="1" a="1"/>
  <c r="AX273" i="1" s="1"/>
  <c r="AY273" i="1" a="1"/>
  <c r="AY273" i="1" s="1"/>
  <c r="AF274" i="1"/>
  <c r="BI274" i="1" s="1"/>
  <c r="AG274" i="1"/>
  <c r="AG275" i="1" s="1"/>
  <c r="AT274" i="1"/>
  <c r="AU274" i="1"/>
  <c r="AV274" i="1" a="1"/>
  <c r="AV274" i="1" s="1"/>
  <c r="AW274" i="1" a="1"/>
  <c r="AW274" i="1" s="1"/>
  <c r="AX274" i="1" a="1"/>
  <c r="AX274" i="1" s="1"/>
  <c r="AY274" i="1" a="1"/>
  <c r="AY274" i="1" s="1"/>
  <c r="AT275" i="1"/>
  <c r="AU275" i="1"/>
  <c r="AV275" i="1" a="1"/>
  <c r="AV275" i="1" s="1"/>
  <c r="AW275" i="1" a="1"/>
  <c r="AW275" i="1" s="1"/>
  <c r="AX275" i="1" a="1"/>
  <c r="AX275" i="1" s="1"/>
  <c r="AY275" i="1" a="1"/>
  <c r="AY275" i="1" s="1"/>
  <c r="AE276" i="1"/>
  <c r="AG276" i="1"/>
  <c r="AE277" i="1" s="1"/>
  <c r="AE278" i="1" s="1"/>
  <c r="AT276" i="1"/>
  <c r="AU276" i="1"/>
  <c r="AV276" i="1" a="1"/>
  <c r="AV276" i="1" s="1"/>
  <c r="AW276" i="1" a="1"/>
  <c r="AW276" i="1" s="1"/>
  <c r="AX276" i="1" a="1"/>
  <c r="AX276" i="1" s="1"/>
  <c r="AY276" i="1" a="1"/>
  <c r="AY276" i="1" s="1"/>
  <c r="AF277" i="1"/>
  <c r="BI277" i="1" s="1"/>
  <c r="AG277" i="1"/>
  <c r="AG278" i="1" s="1"/>
  <c r="AT277" i="1"/>
  <c r="AU277" i="1"/>
  <c r="AV277" i="1" a="1"/>
  <c r="AV277" i="1" s="1"/>
  <c r="AW277" i="1" a="1"/>
  <c r="AW277" i="1" s="1"/>
  <c r="AX277" i="1" a="1"/>
  <c r="AX277" i="1" s="1"/>
  <c r="AY277" i="1" a="1"/>
  <c r="AY277" i="1" s="1"/>
  <c r="AF278" i="1"/>
  <c r="BI278" i="1" s="1"/>
  <c r="AT278" i="1"/>
  <c r="AU278" i="1"/>
  <c r="AV278" i="1" a="1"/>
  <c r="AV278" i="1" s="1"/>
  <c r="AW278" i="1" a="1"/>
  <c r="AW278" i="1" s="1"/>
  <c r="AX278" i="1" a="1"/>
  <c r="AX278" i="1" s="1"/>
  <c r="AY278" i="1" a="1"/>
  <c r="AY278" i="1" s="1"/>
  <c r="AE279" i="1"/>
  <c r="AG279" i="1"/>
  <c r="AT279" i="1"/>
  <c r="AU279" i="1"/>
  <c r="AV279" i="1" a="1"/>
  <c r="AV279" i="1" s="1"/>
  <c r="AW279" i="1" a="1"/>
  <c r="AW279" i="1" s="1"/>
  <c r="AX279" i="1" a="1"/>
  <c r="AX279" i="1" s="1"/>
  <c r="AY279" i="1" a="1"/>
  <c r="AY279" i="1" s="1"/>
  <c r="AE280" i="1"/>
  <c r="AE281" i="1" s="1"/>
  <c r="AF280" i="1"/>
  <c r="BI280" i="1" s="1"/>
  <c r="AG280" i="1"/>
  <c r="AT280" i="1"/>
  <c r="AU280" i="1"/>
  <c r="AV280" i="1" a="1"/>
  <c r="AV280" i="1" s="1"/>
  <c r="AW280" i="1" a="1"/>
  <c r="AW280" i="1" s="1"/>
  <c r="AX280" i="1" a="1"/>
  <c r="AX280" i="1" s="1"/>
  <c r="AY280" i="1" a="1"/>
  <c r="AY280" i="1" s="1"/>
  <c r="AF281" i="1"/>
  <c r="BI281" i="1" s="1"/>
  <c r="AG281" i="1"/>
  <c r="AT281" i="1"/>
  <c r="AU281" i="1"/>
  <c r="AV281" i="1" a="1"/>
  <c r="AV281" i="1" s="1"/>
  <c r="AW281" i="1" a="1"/>
  <c r="AW281" i="1" s="1"/>
  <c r="AX281" i="1" a="1"/>
  <c r="AX281" i="1" s="1"/>
  <c r="AY281" i="1" a="1"/>
  <c r="AY281" i="1" s="1"/>
  <c r="AE282" i="1"/>
  <c r="AF282" i="1"/>
  <c r="AF283" i="1" s="1"/>
  <c r="AF284" i="1" s="1"/>
  <c r="BI284" i="1" s="1"/>
  <c r="AG282" i="1"/>
  <c r="AT282" i="1"/>
  <c r="AU282" i="1"/>
  <c r="AV282" i="1" a="1"/>
  <c r="AV282" i="1" s="1"/>
  <c r="AW282" i="1" a="1"/>
  <c r="AW282" i="1" s="1"/>
  <c r="AX282" i="1" a="1"/>
  <c r="AX282" i="1" s="1"/>
  <c r="AY282" i="1" a="1"/>
  <c r="AY282" i="1" s="1"/>
  <c r="AE283" i="1"/>
  <c r="AE284" i="1" s="1"/>
  <c r="AG283" i="1"/>
  <c r="AG284" i="1" s="1"/>
  <c r="AT283" i="1"/>
  <c r="AU283" i="1"/>
  <c r="AV283" i="1" a="1"/>
  <c r="AV283" i="1" s="1"/>
  <c r="AW283" i="1" a="1"/>
  <c r="AW283" i="1" s="1"/>
  <c r="AX283" i="1" a="1"/>
  <c r="AX283" i="1" s="1"/>
  <c r="AY283" i="1" a="1"/>
  <c r="AY283" i="1" s="1"/>
  <c r="AT284" i="1"/>
  <c r="AU284" i="1"/>
  <c r="AV284" i="1" a="1"/>
  <c r="AV284" i="1" s="1"/>
  <c r="AW284" i="1" a="1"/>
  <c r="AW284" i="1" s="1"/>
  <c r="AX284" i="1" a="1"/>
  <c r="AX284" i="1" s="1"/>
  <c r="AY284" i="1" a="1"/>
  <c r="AY284" i="1" s="1"/>
  <c r="AE285" i="1"/>
  <c r="AG285" i="1"/>
  <c r="AE286" i="1" s="1"/>
  <c r="AT285" i="1"/>
  <c r="AU285" i="1"/>
  <c r="AV285" i="1" a="1"/>
  <c r="AV285" i="1" s="1"/>
  <c r="AW285" i="1" a="1"/>
  <c r="AW285" i="1" s="1"/>
  <c r="AX285" i="1" a="1"/>
  <c r="AX285" i="1" s="1"/>
  <c r="AY285" i="1" a="1"/>
  <c r="AY285" i="1" s="1"/>
  <c r="AG286" i="1"/>
  <c r="AE287" i="1" s="1"/>
  <c r="AE288" i="1" s="1"/>
  <c r="AE289" i="1" s="1"/>
  <c r="AT286" i="1"/>
  <c r="AU286" i="1"/>
  <c r="AV286" i="1" a="1"/>
  <c r="AV286" i="1" s="1"/>
  <c r="AW286" i="1" a="1"/>
  <c r="AW286" i="1" s="1"/>
  <c r="AX286" i="1" a="1"/>
  <c r="AX286" i="1" s="1"/>
  <c r="AY286" i="1" a="1"/>
  <c r="AY286" i="1" s="1"/>
  <c r="AG287" i="1"/>
  <c r="AG288" i="1" s="1"/>
  <c r="AG289" i="1" s="1"/>
  <c r="AT287" i="1"/>
  <c r="AU287" i="1"/>
  <c r="AV287" i="1" a="1"/>
  <c r="AV287" i="1" s="1"/>
  <c r="AW287" i="1" a="1"/>
  <c r="AW287" i="1" s="1"/>
  <c r="AX287" i="1" a="1"/>
  <c r="AX287" i="1" s="1"/>
  <c r="AY287" i="1" a="1"/>
  <c r="AY287" i="1" s="1"/>
  <c r="AT288" i="1"/>
  <c r="AU288" i="1"/>
  <c r="AV288" i="1" a="1"/>
  <c r="AV288" i="1" s="1"/>
  <c r="AW288" i="1" a="1"/>
  <c r="AW288" i="1" s="1"/>
  <c r="AX288" i="1" a="1"/>
  <c r="AX288" i="1" s="1"/>
  <c r="AY288" i="1" a="1"/>
  <c r="AY288" i="1" s="1"/>
  <c r="AT289" i="1"/>
  <c r="AU289" i="1"/>
  <c r="AV289" i="1" a="1"/>
  <c r="AV289" i="1" s="1"/>
  <c r="AW289" i="1" a="1"/>
  <c r="AW289" i="1" s="1"/>
  <c r="AX289" i="1" a="1"/>
  <c r="AX289" i="1" s="1"/>
  <c r="AY289" i="1" a="1"/>
  <c r="AY289" i="1" s="1"/>
  <c r="AE290" i="1"/>
  <c r="AF290" i="1"/>
  <c r="AF291" i="1" s="1"/>
  <c r="BI291" i="1" s="1"/>
  <c r="AG290" i="1"/>
  <c r="AT290" i="1"/>
  <c r="AU290" i="1"/>
  <c r="AV290" i="1" a="1"/>
  <c r="AV290" i="1" s="1"/>
  <c r="AW290" i="1" a="1"/>
  <c r="AW290" i="1" s="1"/>
  <c r="AX290" i="1" a="1"/>
  <c r="AX290" i="1" s="1"/>
  <c r="AY290" i="1" a="1"/>
  <c r="AY290" i="1" s="1"/>
  <c r="AE291" i="1"/>
  <c r="AG291" i="1"/>
  <c r="AT291" i="1"/>
  <c r="AU291" i="1"/>
  <c r="AV291" i="1" a="1"/>
  <c r="AV291" i="1" s="1"/>
  <c r="AW291" i="1" a="1"/>
  <c r="AW291" i="1" s="1"/>
  <c r="AX291" i="1" a="1"/>
  <c r="AX291" i="1" s="1"/>
  <c r="AY291" i="1" a="1"/>
  <c r="AY291" i="1" s="1"/>
  <c r="AG292" i="1"/>
  <c r="AE293" i="1" s="1"/>
  <c r="AT292" i="1"/>
  <c r="AU292" i="1"/>
  <c r="AV292" i="1" a="1"/>
  <c r="AV292" i="1" s="1"/>
  <c r="AW292" i="1" a="1"/>
  <c r="AW292" i="1" s="1"/>
  <c r="AX292" i="1" a="1"/>
  <c r="AX292" i="1" s="1"/>
  <c r="AY292" i="1" a="1"/>
  <c r="AY292" i="1" s="1"/>
  <c r="AF293" i="1"/>
  <c r="AF294" i="1" s="1"/>
  <c r="BI294" i="1" s="1"/>
  <c r="AG293" i="1"/>
  <c r="AT293" i="1"/>
  <c r="AU293" i="1"/>
  <c r="AE294" i="1"/>
  <c r="AE295" i="1" s="1"/>
  <c r="AE296" i="1" s="1"/>
  <c r="AE297" i="1" s="1"/>
  <c r="AG294" i="1"/>
  <c r="AT294" i="1"/>
  <c r="AU294" i="1"/>
  <c r="AF295" i="1"/>
  <c r="AF296" i="1" s="1"/>
  <c r="AF297" i="1" s="1"/>
  <c r="BI297" i="1" s="1"/>
  <c r="AG295" i="1"/>
  <c r="AG296" i="1" s="1"/>
  <c r="AT295" i="1"/>
  <c r="AU295" i="1"/>
  <c r="AT296" i="1"/>
  <c r="AU296" i="1"/>
  <c r="AG297" i="1"/>
  <c r="AT297" i="1"/>
  <c r="AU297" i="1"/>
  <c r="AE298" i="1"/>
  <c r="AF298" i="1"/>
  <c r="AF299" i="1" s="1"/>
  <c r="BI299" i="1" s="1"/>
  <c r="AG298" i="1"/>
  <c r="AG299" i="1" s="1"/>
  <c r="AT298" i="1"/>
  <c r="AU298" i="1"/>
  <c r="AV298" i="1" a="1"/>
  <c r="AV298" i="1" s="1"/>
  <c r="AW298" i="1" a="1"/>
  <c r="AW298" i="1" s="1"/>
  <c r="AX298" i="1" a="1"/>
  <c r="AX298" i="1" s="1"/>
  <c r="AY298" i="1" a="1"/>
  <c r="AY298" i="1" s="1"/>
  <c r="AE299" i="1"/>
  <c r="AT299" i="1"/>
  <c r="AU299" i="1"/>
  <c r="AV299" i="1" a="1"/>
  <c r="AV299" i="1" s="1"/>
  <c r="AW299" i="1" a="1"/>
  <c r="AW299" i="1" s="1"/>
  <c r="AX299" i="1" a="1"/>
  <c r="AX299" i="1" s="1"/>
  <c r="AY299" i="1" a="1"/>
  <c r="AY299" i="1" s="1"/>
  <c r="AE300" i="1"/>
  <c r="AE301" i="1" s="1"/>
  <c r="AF300" i="1"/>
  <c r="AF301" i="1" s="1"/>
  <c r="BI301" i="1" s="1"/>
  <c r="AG300" i="1"/>
  <c r="AG301" i="1" s="1"/>
  <c r="AE302" i="1" s="1"/>
  <c r="AT300" i="1"/>
  <c r="AU300" i="1"/>
  <c r="AV300" i="1" a="1"/>
  <c r="AV300" i="1" s="1"/>
  <c r="AW300" i="1" a="1"/>
  <c r="AW300" i="1" s="1"/>
  <c r="AX300" i="1" a="1"/>
  <c r="AX300" i="1" s="1"/>
  <c r="AY300" i="1" a="1"/>
  <c r="AY300" i="1" s="1"/>
  <c r="AT301" i="1"/>
  <c r="AU301" i="1"/>
  <c r="AV301" i="1" a="1"/>
  <c r="AV301" i="1" s="1"/>
  <c r="AW301" i="1" a="1"/>
  <c r="AW301" i="1" s="1"/>
  <c r="AX301" i="1" a="1"/>
  <c r="AX301" i="1" s="1"/>
  <c r="AY301" i="1" a="1"/>
  <c r="AY301" i="1" s="1"/>
  <c r="AG302" i="1"/>
  <c r="AE303" i="1" s="1"/>
  <c r="AT302" i="1"/>
  <c r="AU302" i="1"/>
  <c r="AV302" i="1" a="1"/>
  <c r="AV302" i="1" s="1"/>
  <c r="AW302" i="1" a="1"/>
  <c r="AW302" i="1" s="1"/>
  <c r="AX302" i="1" a="1"/>
  <c r="AX302" i="1" s="1"/>
  <c r="AY302" i="1" a="1"/>
  <c r="AY302" i="1" s="1"/>
  <c r="AG303" i="1"/>
  <c r="AE304" i="1" s="1"/>
  <c r="AT303" i="1"/>
  <c r="AU303" i="1"/>
  <c r="AV303" i="1" a="1"/>
  <c r="AV303" i="1" s="1"/>
  <c r="AW303" i="1" a="1"/>
  <c r="AW303" i="1" s="1"/>
  <c r="AX303" i="1" a="1"/>
  <c r="AX303" i="1" s="1"/>
  <c r="AY303" i="1" a="1"/>
  <c r="AY303" i="1" s="1"/>
  <c r="AG304" i="1"/>
  <c r="AT304" i="1"/>
  <c r="AU304" i="1"/>
  <c r="AV304" i="1" a="1"/>
  <c r="AV304" i="1" s="1"/>
  <c r="AW304" i="1" a="1"/>
  <c r="AW304" i="1" s="1"/>
  <c r="AX304" i="1" a="1"/>
  <c r="AX304" i="1" s="1"/>
  <c r="AY304" i="1" a="1"/>
  <c r="AY304" i="1" s="1"/>
  <c r="AE305" i="1"/>
  <c r="AE306" i="1" s="1"/>
  <c r="AG305" i="1"/>
  <c r="AT305" i="1"/>
  <c r="AU305" i="1"/>
  <c r="AV305" i="1" a="1"/>
  <c r="AV305" i="1" s="1"/>
  <c r="AW305" i="1" a="1"/>
  <c r="AW305" i="1" s="1"/>
  <c r="AX305" i="1" a="1"/>
  <c r="AX305" i="1" s="1"/>
  <c r="AY305" i="1" a="1"/>
  <c r="AY305" i="1" s="1"/>
  <c r="AG306" i="1"/>
  <c r="AT306" i="1"/>
  <c r="AU306" i="1"/>
  <c r="AV306" i="1" a="1"/>
  <c r="AV306" i="1" s="1"/>
  <c r="AW306" i="1" a="1"/>
  <c r="AW306" i="1" s="1"/>
  <c r="AX306" i="1" a="1"/>
  <c r="AX306" i="1" s="1"/>
  <c r="AY306" i="1" a="1"/>
  <c r="AY306" i="1" s="1"/>
  <c r="AE307" i="1"/>
  <c r="AF307" i="1"/>
  <c r="AF308" i="1" s="1"/>
  <c r="BI308" i="1" s="1"/>
  <c r="AG307" i="1"/>
  <c r="AG308" i="1" s="1"/>
  <c r="AT307" i="1"/>
  <c r="AU307" i="1"/>
  <c r="AV307" i="1" a="1"/>
  <c r="AV307" i="1" s="1"/>
  <c r="AX307" i="1" a="1"/>
  <c r="AX307" i="1" s="1"/>
  <c r="AY307" i="1" a="1"/>
  <c r="AY307" i="1" s="1"/>
  <c r="AE308" i="1"/>
  <c r="AE309" i="1" s="1"/>
  <c r="AE310" i="1" s="1"/>
  <c r="AT308" i="1"/>
  <c r="AU308" i="1"/>
  <c r="AV308" i="1" a="1"/>
  <c r="AV308" i="1" s="1"/>
  <c r="AX308" i="1" a="1"/>
  <c r="AX308" i="1" s="1"/>
  <c r="AY308" i="1" a="1"/>
  <c r="AY308" i="1" s="1"/>
  <c r="AG309" i="1"/>
  <c r="AT309" i="1"/>
  <c r="AU309" i="1"/>
  <c r="AY309" i="1" a="1"/>
  <c r="AY309" i="1" s="1"/>
  <c r="AG310" i="1"/>
  <c r="AT310" i="1"/>
  <c r="AU310" i="1"/>
  <c r="AY310" i="1" a="1"/>
  <c r="AY310" i="1" s="1"/>
  <c r="AE311" i="1"/>
  <c r="AG311" i="1"/>
  <c r="AE312" i="1" s="1"/>
  <c r="AE313" i="1" s="1"/>
  <c r="AE314" i="1" s="1"/>
  <c r="AT311" i="1"/>
  <c r="AU311" i="1"/>
  <c r="AV311" i="1" a="1"/>
  <c r="AV311" i="1" s="1"/>
  <c r="AW311" i="1" a="1"/>
  <c r="AW311" i="1" s="1"/>
  <c r="AX311" i="1" a="1"/>
  <c r="AX311" i="1" s="1"/>
  <c r="AY311" i="1" a="1"/>
  <c r="AY311" i="1" s="1"/>
  <c r="AG312" i="1"/>
  <c r="AG313" i="1" s="1"/>
  <c r="AG314" i="1" s="1"/>
  <c r="AE315" i="1" s="1"/>
  <c r="AE316" i="1" s="1"/>
  <c r="AE317" i="1" s="1"/>
  <c r="AE318" i="1" s="1"/>
  <c r="AE319" i="1" s="1"/>
  <c r="AE320" i="1" s="1"/>
  <c r="AE321" i="1" s="1"/>
  <c r="AT312" i="1"/>
  <c r="AU312" i="1"/>
  <c r="AV312" i="1" a="1"/>
  <c r="AV312" i="1" s="1"/>
  <c r="AW312" i="1" a="1"/>
  <c r="AW312" i="1" s="1"/>
  <c r="AX312" i="1" a="1"/>
  <c r="AX312" i="1" s="1"/>
  <c r="AY312" i="1" a="1"/>
  <c r="AY312" i="1" s="1"/>
  <c r="AT313" i="1"/>
  <c r="AU313" i="1"/>
  <c r="AV313" i="1" a="1"/>
  <c r="AV313" i="1" s="1"/>
  <c r="AW313" i="1" a="1"/>
  <c r="AW313" i="1" s="1"/>
  <c r="AX313" i="1" a="1"/>
  <c r="AX313" i="1" s="1"/>
  <c r="AY313" i="1" a="1"/>
  <c r="AY313" i="1" s="1"/>
  <c r="AT314" i="1"/>
  <c r="AU314" i="1"/>
  <c r="AV314" i="1" a="1"/>
  <c r="AV314" i="1" s="1"/>
  <c r="AW314" i="1" a="1"/>
  <c r="AW314" i="1" s="1"/>
  <c r="AX314" i="1" a="1"/>
  <c r="AX314" i="1" s="1"/>
  <c r="AY314" i="1" a="1"/>
  <c r="AY314" i="1" s="1"/>
  <c r="AF315" i="1"/>
  <c r="AF316" i="1" s="1"/>
  <c r="AG315" i="1"/>
  <c r="AG316" i="1" s="1"/>
  <c r="AG317" i="1" s="1"/>
  <c r="AT315" i="1"/>
  <c r="AU315" i="1"/>
  <c r="AY315" i="1" a="1"/>
  <c r="AY315" i="1" s="1"/>
  <c r="AT316" i="1"/>
  <c r="AU316" i="1"/>
  <c r="AT317" i="1"/>
  <c r="AU317" i="1"/>
  <c r="AY317" i="1" a="1"/>
  <c r="AY317" i="1" s="1"/>
  <c r="AG318" i="1"/>
  <c r="AG319" i="1" s="1"/>
  <c r="AG320" i="1" s="1"/>
  <c r="AT318" i="1"/>
  <c r="AU318" i="1"/>
  <c r="AT319" i="1"/>
  <c r="AU319" i="1"/>
  <c r="AT320" i="1"/>
  <c r="AU320" i="1"/>
  <c r="AG321" i="1"/>
  <c r="AT321" i="1"/>
  <c r="AU321" i="1"/>
  <c r="AE322" i="1"/>
  <c r="AG322" i="1"/>
  <c r="AE323" i="1" s="1"/>
  <c r="AE324" i="1" s="1"/>
  <c r="AE325" i="1" s="1"/>
  <c r="AE326" i="1" s="1"/>
  <c r="AT322" i="1"/>
  <c r="AU322" i="1"/>
  <c r="AV322" i="1" a="1"/>
  <c r="AV322" i="1" s="1"/>
  <c r="AW322" i="1" a="1"/>
  <c r="AW322" i="1" s="1"/>
  <c r="AX322" i="1" a="1"/>
  <c r="AX322" i="1" s="1"/>
  <c r="AY322" i="1" a="1"/>
  <c r="AY322" i="1" s="1"/>
  <c r="AF323" i="1"/>
  <c r="BI323" i="1" s="1"/>
  <c r="AG323" i="1"/>
  <c r="AT323" i="1"/>
  <c r="AU323" i="1"/>
  <c r="AV323" i="1" a="1"/>
  <c r="AV323" i="1" s="1"/>
  <c r="AW323" i="1" a="1"/>
  <c r="AW323" i="1" s="1"/>
  <c r="AX323" i="1" a="1"/>
  <c r="AX323" i="1" s="1"/>
  <c r="AY323" i="1" a="1"/>
  <c r="AY323" i="1" s="1"/>
  <c r="AG324" i="1"/>
  <c r="AG325" i="1" s="1"/>
  <c r="AG326" i="1" s="1"/>
  <c r="AT324" i="1"/>
  <c r="AU324" i="1"/>
  <c r="AV324" i="1" a="1"/>
  <c r="AV324" i="1" s="1"/>
  <c r="AW324" i="1" a="1"/>
  <c r="AW324" i="1" s="1"/>
  <c r="AX324" i="1" a="1"/>
  <c r="AX324" i="1" s="1"/>
  <c r="AY324" i="1" a="1"/>
  <c r="AY324" i="1" s="1"/>
  <c r="AT325" i="1"/>
  <c r="AU325" i="1"/>
  <c r="AV325" i="1" a="1"/>
  <c r="AV325" i="1" s="1"/>
  <c r="AW325" i="1" a="1"/>
  <c r="AW325" i="1" s="1"/>
  <c r="AX325" i="1" a="1"/>
  <c r="AX325" i="1" s="1"/>
  <c r="AY325" i="1" a="1"/>
  <c r="AY325" i="1" s="1"/>
  <c r="AT326" i="1"/>
  <c r="AU326" i="1"/>
  <c r="AV326" i="1" a="1"/>
  <c r="AV326" i="1" s="1"/>
  <c r="AW326" i="1" a="1"/>
  <c r="AW326" i="1" s="1"/>
  <c r="AX326" i="1" a="1"/>
  <c r="AX326" i="1" s="1"/>
  <c r="AY326" i="1" a="1"/>
  <c r="AY326" i="1" s="1"/>
  <c r="AE327" i="1"/>
  <c r="AE328" i="1" s="1"/>
  <c r="AG327" i="1"/>
  <c r="AT327" i="1"/>
  <c r="AU327" i="1"/>
  <c r="AV327" i="1" a="1"/>
  <c r="AV327" i="1" s="1"/>
  <c r="AW327" i="1" a="1"/>
  <c r="AW327" i="1" s="1"/>
  <c r="AX327" i="1" a="1"/>
  <c r="AX327" i="1" s="1"/>
  <c r="AY327" i="1" a="1"/>
  <c r="AY327" i="1" s="1"/>
  <c r="AG328" i="1"/>
  <c r="AE329" i="1" s="1"/>
  <c r="AT328" i="1"/>
  <c r="AU328" i="1"/>
  <c r="AV328" i="1" a="1"/>
  <c r="AV328" i="1" s="1"/>
  <c r="AW328" i="1" a="1"/>
  <c r="AW328" i="1" s="1"/>
  <c r="AX328" i="1" a="1"/>
  <c r="AX328" i="1" s="1"/>
  <c r="AY328" i="1" a="1"/>
  <c r="AY328" i="1" s="1"/>
  <c r="AG329" i="1"/>
  <c r="AT329" i="1"/>
  <c r="AU329" i="1"/>
  <c r="AV329" i="1" a="1"/>
  <c r="AV329" i="1" s="1"/>
  <c r="AW329" i="1" a="1"/>
  <c r="AW329" i="1" s="1"/>
  <c r="AX329" i="1" a="1"/>
  <c r="AX329" i="1" s="1"/>
  <c r="AY329" i="1" a="1"/>
  <c r="AY329" i="1" s="1"/>
  <c r="AE330" i="1"/>
  <c r="AE331" i="1" s="1"/>
  <c r="AE332" i="1" s="1"/>
  <c r="AF330" i="1"/>
  <c r="BI330" i="1" s="1"/>
  <c r="AG330" i="1"/>
  <c r="AG331" i="1" s="1"/>
  <c r="AG332" i="1" s="1"/>
  <c r="AT330" i="1"/>
  <c r="AU330" i="1"/>
  <c r="AV330" i="1" a="1"/>
  <c r="AV330" i="1" s="1"/>
  <c r="AW330" i="1" a="1"/>
  <c r="AW330" i="1" s="1"/>
  <c r="AX330" i="1" a="1"/>
  <c r="AX330" i="1" s="1"/>
  <c r="AY330" i="1" a="1"/>
  <c r="AY330" i="1" s="1"/>
  <c r="AT331" i="1"/>
  <c r="AU331" i="1"/>
  <c r="AV331" i="1" a="1"/>
  <c r="AV331" i="1" s="1"/>
  <c r="AW331" i="1" a="1"/>
  <c r="AW331" i="1" s="1"/>
  <c r="AX331" i="1" a="1"/>
  <c r="AX331" i="1" s="1"/>
  <c r="AY331" i="1" a="1"/>
  <c r="AY331" i="1" s="1"/>
  <c r="AT332" i="1"/>
  <c r="AU332" i="1"/>
  <c r="AV332" i="1" a="1"/>
  <c r="AV332" i="1" s="1"/>
  <c r="AW332" i="1" a="1"/>
  <c r="AW332" i="1" s="1"/>
  <c r="AX332" i="1" a="1"/>
  <c r="AX332" i="1" s="1"/>
  <c r="AY332" i="1" a="1"/>
  <c r="AY332" i="1" s="1"/>
  <c r="AE333" i="1"/>
  <c r="AF333" i="1"/>
  <c r="AD334" i="1" s="1"/>
  <c r="AD335" i="1" s="1"/>
  <c r="AD336" i="1" s="1"/>
  <c r="AD337" i="1" s="1"/>
  <c r="BJ337" i="1" s="1"/>
  <c r="AG333" i="1"/>
  <c r="AE334" i="1" s="1"/>
  <c r="AT333" i="1"/>
  <c r="AU333" i="1"/>
  <c r="AV333" i="1" a="1"/>
  <c r="AV333" i="1" s="1"/>
  <c r="AW333" i="1" a="1"/>
  <c r="AW333" i="1" s="1"/>
  <c r="AX333" i="1" a="1"/>
  <c r="AX333" i="1" s="1"/>
  <c r="AY333" i="1" a="1"/>
  <c r="AY333" i="1" s="1"/>
  <c r="AF334" i="1"/>
  <c r="AF335" i="1" s="1"/>
  <c r="AF336" i="1" s="1"/>
  <c r="AF337" i="1" s="1"/>
  <c r="BI337" i="1" s="1"/>
  <c r="AG334" i="1"/>
  <c r="AT334" i="1"/>
  <c r="AU334" i="1"/>
  <c r="AV334" i="1" a="1"/>
  <c r="AV334" i="1" s="1"/>
  <c r="AW334" i="1" a="1"/>
  <c r="AW334" i="1" s="1"/>
  <c r="AX334" i="1" a="1"/>
  <c r="AX334" i="1" s="1"/>
  <c r="AY334" i="1" a="1"/>
  <c r="AY334" i="1" s="1"/>
  <c r="AE335" i="1"/>
  <c r="AG335" i="1"/>
  <c r="AG336" i="1" s="1"/>
  <c r="AG337" i="1" s="1"/>
  <c r="AT335" i="1"/>
  <c r="AU335" i="1"/>
  <c r="AV335" i="1" a="1"/>
  <c r="AV335" i="1" s="1"/>
  <c r="AW335" i="1" a="1"/>
  <c r="AW335" i="1" s="1"/>
  <c r="AX335" i="1" a="1"/>
  <c r="AX335" i="1" s="1"/>
  <c r="AY335" i="1" a="1"/>
  <c r="AY335" i="1" s="1"/>
  <c r="AE336" i="1"/>
  <c r="AT336" i="1"/>
  <c r="AU336" i="1"/>
  <c r="AV336" i="1" a="1"/>
  <c r="AV336" i="1" s="1"/>
  <c r="AW336" i="1" a="1"/>
  <c r="AW336" i="1" s="1"/>
  <c r="AX336" i="1" a="1"/>
  <c r="AX336" i="1" s="1"/>
  <c r="AY336" i="1" a="1"/>
  <c r="AY336" i="1" s="1"/>
  <c r="AE337" i="1"/>
  <c r="AT337" i="1"/>
  <c r="AU337" i="1"/>
  <c r="AV337" i="1" a="1"/>
  <c r="AV337" i="1" s="1"/>
  <c r="AW337" i="1" a="1"/>
  <c r="AW337" i="1" s="1"/>
  <c r="AX337" i="1" a="1"/>
  <c r="AX337" i="1" s="1"/>
  <c r="AY337" i="1" a="1"/>
  <c r="AY337" i="1" s="1"/>
  <c r="AD338" i="1"/>
  <c r="BJ338" i="1" s="1"/>
  <c r="AE338" i="1"/>
  <c r="AG338" i="1"/>
  <c r="AT338" i="1"/>
  <c r="AU338" i="1"/>
  <c r="AV338" i="1" a="1"/>
  <c r="AV338" i="1" s="1"/>
  <c r="AW338" i="1" a="1"/>
  <c r="AW338" i="1" s="1"/>
  <c r="AX338" i="1" a="1"/>
  <c r="AX338" i="1" s="1"/>
  <c r="AY338" i="1" a="1"/>
  <c r="AY338" i="1" s="1"/>
  <c r="AE339" i="1"/>
  <c r="AE340" i="1" s="1"/>
  <c r="AE341" i="1" s="1"/>
  <c r="AF339" i="1"/>
  <c r="BI339" i="1" s="1"/>
  <c r="AG339" i="1"/>
  <c r="AG340" i="1" s="1"/>
  <c r="AG341" i="1" s="1"/>
  <c r="AT339" i="1"/>
  <c r="AU339" i="1"/>
  <c r="AV339" i="1" a="1"/>
  <c r="AV339" i="1" s="1"/>
  <c r="AW339" i="1" a="1"/>
  <c r="AW339" i="1" s="1"/>
  <c r="AX339" i="1" a="1"/>
  <c r="AX339" i="1" s="1"/>
  <c r="AY339" i="1" a="1"/>
  <c r="AY339" i="1" s="1"/>
  <c r="AF340" i="1"/>
  <c r="AF341" i="1" s="1"/>
  <c r="AT340" i="1"/>
  <c r="AU340" i="1"/>
  <c r="AV340" i="1" a="1"/>
  <c r="AV340" i="1" s="1"/>
  <c r="AW340" i="1" a="1"/>
  <c r="AW340" i="1" s="1"/>
  <c r="AX340" i="1" a="1"/>
  <c r="AX340" i="1" s="1"/>
  <c r="AY340" i="1" a="1"/>
  <c r="AY340" i="1" s="1"/>
  <c r="AT341" i="1"/>
  <c r="AU341" i="1"/>
  <c r="AV341" i="1" a="1"/>
  <c r="AV341" i="1" s="1"/>
  <c r="AW341" i="1" a="1"/>
  <c r="AW341" i="1" s="1"/>
  <c r="AX341" i="1" a="1"/>
  <c r="AX341" i="1" s="1"/>
  <c r="AY341" i="1" a="1"/>
  <c r="AY341" i="1" s="1"/>
  <c r="AE342" i="1"/>
  <c r="AF342" i="1"/>
  <c r="AF343" i="1" s="1"/>
  <c r="BI343" i="1" s="1"/>
  <c r="AG342" i="1"/>
  <c r="AT342" i="1"/>
  <c r="AU342" i="1"/>
  <c r="AY342" i="1" a="1"/>
  <c r="AY342" i="1" s="1"/>
  <c r="AE343" i="1"/>
  <c r="AE344" i="1" s="1"/>
  <c r="AE345" i="1" s="1"/>
  <c r="AE346" i="1" s="1"/>
  <c r="AE347" i="1" s="1"/>
  <c r="AE348" i="1" s="1"/>
  <c r="AG343" i="1"/>
  <c r="AG344" i="1" s="1"/>
  <c r="AG345" i="1" s="1"/>
  <c r="AT343" i="1"/>
  <c r="AU343" i="1"/>
  <c r="AF344" i="1"/>
  <c r="AF345" i="1" s="1"/>
  <c r="AF346" i="1" s="1"/>
  <c r="AF347" i="1" s="1"/>
  <c r="AF348" i="1" s="1"/>
  <c r="AF349" i="1" s="1"/>
  <c r="BI349" i="1" s="1"/>
  <c r="AT344" i="1"/>
  <c r="AU344" i="1"/>
  <c r="AV344" i="1" a="1"/>
  <c r="AV344" i="1" s="1"/>
  <c r="AT345" i="1"/>
  <c r="AU345" i="1"/>
  <c r="AV345" i="1" a="1"/>
  <c r="AV345" i="1" s="1"/>
  <c r="AY345" i="1" a="1"/>
  <c r="AY345" i="1" s="1"/>
  <c r="AG346" i="1"/>
  <c r="AT346" i="1"/>
  <c r="AU346" i="1"/>
  <c r="AG347" i="1"/>
  <c r="AG348" i="1" s="1"/>
  <c r="AG349" i="1" s="1"/>
  <c r="AT347" i="1"/>
  <c r="AU347" i="1"/>
  <c r="AT348" i="1"/>
  <c r="AU348" i="1"/>
  <c r="AE349" i="1"/>
  <c r="AT349" i="1"/>
  <c r="AU349" i="1"/>
  <c r="AE350" i="1"/>
  <c r="AF350" i="1"/>
  <c r="AF351" i="1" s="1"/>
  <c r="AF352" i="1" s="1"/>
  <c r="BI352" i="1" s="1"/>
  <c r="AG350" i="1"/>
  <c r="AG351" i="1" s="1"/>
  <c r="AG352" i="1" s="1"/>
  <c r="AT350" i="1"/>
  <c r="AU350" i="1"/>
  <c r="AV350" i="1" a="1"/>
  <c r="AV350" i="1" s="1"/>
  <c r="AW350" i="1" a="1"/>
  <c r="AW350" i="1" s="1"/>
  <c r="AX350" i="1" a="1"/>
  <c r="AX350" i="1" s="1"/>
  <c r="AY350" i="1" a="1"/>
  <c r="AY350" i="1" s="1"/>
  <c r="AE351" i="1"/>
  <c r="AE352" i="1" s="1"/>
  <c r="AT351" i="1"/>
  <c r="AU351" i="1"/>
  <c r="AV351" i="1" a="1"/>
  <c r="AV351" i="1" s="1"/>
  <c r="AW351" i="1" a="1"/>
  <c r="AW351" i="1" s="1"/>
  <c r="AX351" i="1" a="1"/>
  <c r="AX351" i="1" s="1"/>
  <c r="AY351" i="1" a="1"/>
  <c r="AY351" i="1" s="1"/>
  <c r="AT352" i="1"/>
  <c r="AU352" i="1"/>
  <c r="AV352" i="1" a="1"/>
  <c r="AV352" i="1" s="1"/>
  <c r="AW352" i="1" a="1"/>
  <c r="AW352" i="1" s="1"/>
  <c r="AX352" i="1" a="1"/>
  <c r="AX352" i="1" s="1"/>
  <c r="AY352" i="1" a="1"/>
  <c r="AY352" i="1" s="1"/>
  <c r="AE353" i="1"/>
  <c r="AF353" i="1"/>
  <c r="BI353" i="1" s="1"/>
  <c r="AG353" i="1"/>
  <c r="AE354" i="1" s="1"/>
  <c r="AT353" i="1"/>
  <c r="AU353" i="1"/>
  <c r="AV353" i="1" a="1"/>
  <c r="AV353" i="1" s="1"/>
  <c r="AW353" i="1" a="1"/>
  <c r="AW353" i="1" s="1"/>
  <c r="AX353" i="1" a="1"/>
  <c r="AX353" i="1" s="1"/>
  <c r="AY353" i="1" a="1"/>
  <c r="AY353" i="1" s="1"/>
  <c r="AG354" i="1"/>
  <c r="AG355" i="1" s="1"/>
  <c r="AE356" i="1" s="1"/>
  <c r="AE357" i="1" s="1"/>
  <c r="AE358" i="1" s="1"/>
  <c r="AE359" i="1" s="1"/>
  <c r="AT354" i="1"/>
  <c r="AU354" i="1"/>
  <c r="AV354" i="1" a="1"/>
  <c r="AV354" i="1" s="1"/>
  <c r="AW354" i="1" a="1"/>
  <c r="AW354" i="1" s="1"/>
  <c r="AX354" i="1" a="1"/>
  <c r="AX354" i="1" s="1"/>
  <c r="AY354" i="1" a="1"/>
  <c r="AY354" i="1" s="1"/>
  <c r="AE355" i="1"/>
  <c r="AT355" i="1"/>
  <c r="AU355" i="1"/>
  <c r="AV355" i="1" a="1"/>
  <c r="AV355" i="1" s="1"/>
  <c r="AW355" i="1" a="1"/>
  <c r="AW355" i="1" s="1"/>
  <c r="AX355" i="1" a="1"/>
  <c r="AX355" i="1" s="1"/>
  <c r="AY355" i="1" a="1"/>
  <c r="AY355" i="1" s="1"/>
  <c r="AF356" i="1"/>
  <c r="AF357" i="1" s="1"/>
  <c r="AF358" i="1" s="1"/>
  <c r="AF359" i="1" s="1"/>
  <c r="BI359" i="1" s="1"/>
  <c r="AG356" i="1"/>
  <c r="AG357" i="1" s="1"/>
  <c r="AT356" i="1"/>
  <c r="AU356" i="1"/>
  <c r="AV356" i="1" a="1"/>
  <c r="AV356" i="1" s="1"/>
  <c r="AW356" i="1" a="1"/>
  <c r="AW356" i="1" s="1"/>
  <c r="AX356" i="1" a="1"/>
  <c r="AX356" i="1" s="1"/>
  <c r="AY356" i="1" a="1"/>
  <c r="AY356" i="1" s="1"/>
  <c r="AT357" i="1"/>
  <c r="AU357" i="1"/>
  <c r="AV357" i="1" a="1"/>
  <c r="AV357" i="1" s="1"/>
  <c r="AW357" i="1" a="1"/>
  <c r="AW357" i="1" s="1"/>
  <c r="AX357" i="1" a="1"/>
  <c r="AX357" i="1" s="1"/>
  <c r="AY357" i="1" a="1"/>
  <c r="AY357" i="1" s="1"/>
  <c r="AG358" i="1"/>
  <c r="AG359" i="1" s="1"/>
  <c r="AT358" i="1"/>
  <c r="AU358" i="1"/>
  <c r="AV358" i="1" a="1"/>
  <c r="AV358" i="1" s="1"/>
  <c r="AW358" i="1" a="1"/>
  <c r="AW358" i="1" s="1"/>
  <c r="AX358" i="1" a="1"/>
  <c r="AX358" i="1" s="1"/>
  <c r="AY358" i="1" a="1"/>
  <c r="AY358" i="1" s="1"/>
  <c r="AT359" i="1"/>
  <c r="AU359" i="1"/>
  <c r="AV359" i="1" a="1"/>
  <c r="AV359" i="1" s="1"/>
  <c r="AW359" i="1" a="1"/>
  <c r="AW359" i="1" s="1"/>
  <c r="AX359" i="1" a="1"/>
  <c r="AX359" i="1" s="1"/>
  <c r="AY359" i="1" a="1"/>
  <c r="AY359" i="1" s="1"/>
  <c r="AE360" i="1"/>
  <c r="AG360" i="1"/>
  <c r="AE361" i="1" s="1"/>
  <c r="AE362" i="1" s="1"/>
  <c r="AT360" i="1"/>
  <c r="AU360" i="1"/>
  <c r="AV360" i="1" a="1"/>
  <c r="AV360" i="1" s="1"/>
  <c r="AW360" i="1" a="1"/>
  <c r="AW360" i="1" s="1"/>
  <c r="AX360" i="1" a="1"/>
  <c r="AX360" i="1" s="1"/>
  <c r="AY360" i="1" a="1"/>
  <c r="AY360" i="1" s="1"/>
  <c r="AG361" i="1"/>
  <c r="AG362" i="1" s="1"/>
  <c r="AE363" i="1" s="1"/>
  <c r="AE364" i="1" s="1"/>
  <c r="AT361" i="1"/>
  <c r="AU361" i="1"/>
  <c r="AV361" i="1" a="1"/>
  <c r="AV361" i="1" s="1"/>
  <c r="AW361" i="1" a="1"/>
  <c r="AW361" i="1" s="1"/>
  <c r="AX361" i="1" a="1"/>
  <c r="AX361" i="1" s="1"/>
  <c r="AY361" i="1" a="1"/>
  <c r="AY361" i="1" s="1"/>
  <c r="AT362" i="1"/>
  <c r="AU362" i="1"/>
  <c r="AV362" i="1" a="1"/>
  <c r="AV362" i="1" s="1"/>
  <c r="AW362" i="1" a="1"/>
  <c r="AW362" i="1" s="1"/>
  <c r="AX362" i="1" a="1"/>
  <c r="AX362" i="1" s="1"/>
  <c r="AY362" i="1" a="1"/>
  <c r="AY362" i="1" s="1"/>
  <c r="AG363" i="1"/>
  <c r="AT363" i="1"/>
  <c r="AU363" i="1"/>
  <c r="AV363" i="1" a="1"/>
  <c r="AV363" i="1" s="1"/>
  <c r="AW363" i="1" a="1"/>
  <c r="AW363" i="1" s="1"/>
  <c r="AX363" i="1" a="1"/>
  <c r="AX363" i="1" s="1"/>
  <c r="AY363" i="1" a="1"/>
  <c r="AY363" i="1" s="1"/>
  <c r="AG364" i="1"/>
  <c r="AE365" i="1" s="1"/>
  <c r="AT364" i="1"/>
  <c r="AU364" i="1"/>
  <c r="AV364" i="1" a="1"/>
  <c r="AV364" i="1" s="1"/>
  <c r="AW364" i="1" a="1"/>
  <c r="AW364" i="1" s="1"/>
  <c r="AX364" i="1" a="1"/>
  <c r="AX364" i="1" s="1"/>
  <c r="AY364" i="1" a="1"/>
  <c r="AY364" i="1" s="1"/>
  <c r="AF365" i="1"/>
  <c r="AF366" i="1" s="1"/>
  <c r="AF367" i="1" s="1"/>
  <c r="AF368" i="1" s="1"/>
  <c r="AF369" i="1" s="1"/>
  <c r="AF370" i="1" s="1"/>
  <c r="BI370" i="1" s="1"/>
  <c r="AG365" i="1"/>
  <c r="AT365" i="1"/>
  <c r="AU365" i="1"/>
  <c r="AY365" i="1" a="1"/>
  <c r="AY365" i="1" s="1"/>
  <c r="AE366" i="1"/>
  <c r="AE367" i="1" s="1"/>
  <c r="AE368" i="1" s="1"/>
  <c r="AE369" i="1" s="1"/>
  <c r="AE370" i="1" s="1"/>
  <c r="AE371" i="1" s="1"/>
  <c r="AE372" i="1" s="1"/>
  <c r="AG366" i="1"/>
  <c r="AT366" i="1"/>
  <c r="AU366" i="1"/>
  <c r="AG367" i="1"/>
  <c r="AT367" i="1"/>
  <c r="AU367" i="1"/>
  <c r="AV367" i="1" a="1"/>
  <c r="AV367" i="1" s="1"/>
  <c r="AY367" i="1" a="1"/>
  <c r="AY367" i="1" s="1"/>
  <c r="AG368" i="1"/>
  <c r="AT368" i="1"/>
  <c r="AU368" i="1"/>
  <c r="AG369" i="1"/>
  <c r="AG370" i="1" s="1"/>
  <c r="AT369" i="1"/>
  <c r="AU369" i="1"/>
  <c r="AT370" i="1"/>
  <c r="AU370" i="1"/>
  <c r="AF371" i="1"/>
  <c r="AF372" i="1" s="1"/>
  <c r="BK372" i="1" s="1"/>
  <c r="AG371" i="1"/>
  <c r="AT371" i="1"/>
  <c r="AU371" i="1"/>
  <c r="AG372" i="1"/>
  <c r="AE373" i="1" s="1"/>
  <c r="AE374" i="1" s="1"/>
  <c r="AT372" i="1"/>
  <c r="AU372" i="1"/>
  <c r="AF373" i="1"/>
  <c r="AF374" i="1" s="1"/>
  <c r="AF375" i="1" s="1"/>
  <c r="AF376" i="1" s="1"/>
  <c r="BI376" i="1" s="1"/>
  <c r="AG373" i="1"/>
  <c r="AT373" i="1"/>
  <c r="AU373" i="1"/>
  <c r="AV373" i="1" a="1"/>
  <c r="AV373" i="1" s="1"/>
  <c r="AW373" i="1" a="1"/>
  <c r="AW373" i="1" s="1"/>
  <c r="AX373" i="1" a="1"/>
  <c r="AX373" i="1" s="1"/>
  <c r="AY373" i="1" a="1"/>
  <c r="AY373" i="1" s="1"/>
  <c r="AG374" i="1"/>
  <c r="AG375" i="1" s="1"/>
  <c r="AG376" i="1" s="1"/>
  <c r="AE377" i="1" s="1"/>
  <c r="AE378" i="1" s="1"/>
  <c r="AE379" i="1" s="1"/>
  <c r="AT374" i="1"/>
  <c r="AU374" i="1"/>
  <c r="AV374" i="1" a="1"/>
  <c r="AV374" i="1" s="1"/>
  <c r="AW374" i="1" a="1"/>
  <c r="AW374" i="1" s="1"/>
  <c r="AX374" i="1" a="1"/>
  <c r="AX374" i="1" s="1"/>
  <c r="AY374" i="1" a="1"/>
  <c r="AY374" i="1" s="1"/>
  <c r="AE375" i="1"/>
  <c r="AE376" i="1" s="1"/>
  <c r="AT375" i="1"/>
  <c r="AU375" i="1"/>
  <c r="AV375" i="1" a="1"/>
  <c r="AV375" i="1" s="1"/>
  <c r="AW375" i="1" a="1"/>
  <c r="AW375" i="1" s="1"/>
  <c r="AX375" i="1" a="1"/>
  <c r="AX375" i="1" s="1"/>
  <c r="AY375" i="1" a="1"/>
  <c r="AY375" i="1" s="1"/>
  <c r="AT376" i="1"/>
  <c r="AU376" i="1"/>
  <c r="AV376" i="1" a="1"/>
  <c r="AV376" i="1" s="1"/>
  <c r="AW376" i="1" a="1"/>
  <c r="AW376" i="1" s="1"/>
  <c r="AX376" i="1" a="1"/>
  <c r="AX376" i="1" s="1"/>
  <c r="AY376" i="1" a="1"/>
  <c r="AY376" i="1" s="1"/>
  <c r="AF377" i="1"/>
  <c r="BI377" i="1" s="1"/>
  <c r="AG377" i="1"/>
  <c r="AG378" i="1" s="1"/>
  <c r="AG379" i="1" s="1"/>
  <c r="AT377" i="1"/>
  <c r="AU377" i="1"/>
  <c r="AV377" i="1" a="1"/>
  <c r="AV377" i="1" s="1"/>
  <c r="AW377" i="1" a="1"/>
  <c r="AW377" i="1" s="1"/>
  <c r="AX377" i="1" a="1"/>
  <c r="AX377" i="1" s="1"/>
  <c r="AY377" i="1" a="1"/>
  <c r="AY377" i="1" s="1"/>
  <c r="AT378" i="1"/>
  <c r="AU378" i="1"/>
  <c r="AV378" i="1" a="1"/>
  <c r="AV378" i="1" s="1"/>
  <c r="AW378" i="1" a="1"/>
  <c r="AW378" i="1" s="1"/>
  <c r="AX378" i="1" a="1"/>
  <c r="AX378" i="1" s="1"/>
  <c r="AY378" i="1" a="1"/>
  <c r="AY378" i="1" s="1"/>
  <c r="AT379" i="1"/>
  <c r="AU379" i="1"/>
  <c r="AV379" i="1" a="1"/>
  <c r="AV379" i="1" s="1"/>
  <c r="AW379" i="1" a="1"/>
  <c r="AW379" i="1" s="1"/>
  <c r="AX379" i="1" a="1"/>
  <c r="AX379" i="1" s="1"/>
  <c r="AY379" i="1" a="1"/>
  <c r="AY379" i="1" s="1"/>
  <c r="AE380" i="1"/>
  <c r="AE381" i="1" s="1"/>
  <c r="AG380" i="1"/>
  <c r="AG381" i="1" s="1"/>
  <c r="AE382" i="1" s="1"/>
  <c r="AE383" i="1" s="1"/>
  <c r="AT380" i="1"/>
  <c r="AU380" i="1"/>
  <c r="AV380" i="1" a="1"/>
  <c r="AV380" i="1" s="1"/>
  <c r="AW380" i="1" a="1"/>
  <c r="AW380" i="1" s="1"/>
  <c r="AX380" i="1" a="1"/>
  <c r="AX380" i="1" s="1"/>
  <c r="AY380" i="1" a="1"/>
  <c r="AY380" i="1" s="1"/>
  <c r="AT381" i="1"/>
  <c r="AU381" i="1"/>
  <c r="AV381" i="1" a="1"/>
  <c r="AV381" i="1" s="1"/>
  <c r="AW381" i="1" a="1"/>
  <c r="AW381" i="1" s="1"/>
  <c r="AX381" i="1" a="1"/>
  <c r="AX381" i="1" s="1"/>
  <c r="AY381" i="1" a="1"/>
  <c r="AY381" i="1" s="1"/>
  <c r="AF382" i="1"/>
  <c r="AF383" i="1" s="1"/>
  <c r="AF384" i="1" s="1"/>
  <c r="BI384" i="1" s="1"/>
  <c r="AG382" i="1"/>
  <c r="AT382" i="1"/>
  <c r="AU382" i="1"/>
  <c r="AY382" i="1" a="1"/>
  <c r="AY382" i="1" s="1"/>
  <c r="AG383" i="1"/>
  <c r="AT383" i="1"/>
  <c r="AU383" i="1"/>
  <c r="AY383" i="1" a="1"/>
  <c r="AY383" i="1" s="1"/>
  <c r="AE384" i="1"/>
  <c r="AE385" i="1" s="1"/>
  <c r="AE386" i="1" s="1"/>
  <c r="AE387" i="1" s="1"/>
  <c r="AG384" i="1"/>
  <c r="AT384" i="1"/>
  <c r="AU384" i="1"/>
  <c r="AV384" i="1" a="1"/>
  <c r="AV384" i="1" s="1"/>
  <c r="AX384" i="1" a="1"/>
  <c r="AX384" i="1" s="1"/>
  <c r="AG385" i="1"/>
  <c r="AT385" i="1"/>
  <c r="AU385" i="1"/>
  <c r="AG386" i="1"/>
  <c r="AT386" i="1"/>
  <c r="AU386" i="1"/>
  <c r="AG387" i="1"/>
  <c r="AT387" i="1"/>
  <c r="AU387" i="1"/>
  <c r="AE388" i="1"/>
  <c r="AG388" i="1"/>
  <c r="AT388" i="1"/>
  <c r="AU388" i="1"/>
  <c r="AV388" i="1" a="1"/>
  <c r="AV388" i="1" s="1"/>
  <c r="AW388" i="1" a="1"/>
  <c r="AW388" i="1" s="1"/>
  <c r="AX388" i="1" a="1"/>
  <c r="AX388" i="1" s="1"/>
  <c r="AY388" i="1" a="1"/>
  <c r="AY388" i="1" s="1"/>
  <c r="AE389" i="1"/>
  <c r="AF389" i="1"/>
  <c r="BI389" i="1" s="1"/>
  <c r="AG389" i="1"/>
  <c r="AT389" i="1"/>
  <c r="AU389" i="1"/>
  <c r="AV389" i="1" a="1"/>
  <c r="AV389" i="1" s="1"/>
  <c r="AW389" i="1" a="1"/>
  <c r="AW389" i="1" s="1"/>
  <c r="AX389" i="1" a="1"/>
  <c r="AX389" i="1" s="1"/>
  <c r="AY389" i="1" a="1"/>
  <c r="AY389" i="1" s="1"/>
  <c r="AE390" i="1"/>
  <c r="AG390" i="1"/>
  <c r="AE391" i="1" s="1"/>
  <c r="AE392" i="1" s="1"/>
  <c r="AE393" i="1" s="1"/>
  <c r="AT390" i="1"/>
  <c r="AU390" i="1"/>
  <c r="AV390" i="1" a="1"/>
  <c r="AV390" i="1" s="1"/>
  <c r="AW390" i="1" a="1"/>
  <c r="AW390" i="1" s="1"/>
  <c r="AX390" i="1" a="1"/>
  <c r="AX390" i="1" s="1"/>
  <c r="AY390" i="1" a="1"/>
  <c r="AY390" i="1" s="1"/>
  <c r="AF391" i="1"/>
  <c r="BI391" i="1" s="1"/>
  <c r="AG391" i="1"/>
  <c r="AT391" i="1"/>
  <c r="AU391" i="1"/>
  <c r="AV391" i="1" a="1"/>
  <c r="AV391" i="1" s="1"/>
  <c r="AW391" i="1" a="1"/>
  <c r="AW391" i="1" s="1"/>
  <c r="AX391" i="1" a="1"/>
  <c r="AX391" i="1" s="1"/>
  <c r="AY391" i="1" a="1"/>
  <c r="AY391" i="1" s="1"/>
  <c r="AF392" i="1"/>
  <c r="AF393" i="1" s="1"/>
  <c r="BI393" i="1" s="1"/>
  <c r="AG392" i="1"/>
  <c r="AT392" i="1"/>
  <c r="AU392" i="1"/>
  <c r="AV392" i="1" a="1"/>
  <c r="AV392" i="1" s="1"/>
  <c r="AW392" i="1" a="1"/>
  <c r="AW392" i="1" s="1"/>
  <c r="AX392" i="1" a="1"/>
  <c r="AX392" i="1" s="1"/>
  <c r="AY392" i="1" a="1"/>
  <c r="AY392" i="1" s="1"/>
  <c r="AG393" i="1"/>
  <c r="AT393" i="1"/>
  <c r="AU393" i="1"/>
  <c r="AV393" i="1" a="1"/>
  <c r="AV393" i="1" s="1"/>
  <c r="AW393" i="1" a="1"/>
  <c r="AW393" i="1" s="1"/>
  <c r="AX393" i="1" a="1"/>
  <c r="AX393" i="1" s="1"/>
  <c r="AY393" i="1" a="1"/>
  <c r="AY393" i="1" s="1"/>
  <c r="AE394" i="1"/>
  <c r="AF394" i="1"/>
  <c r="BI394" i="1" s="1"/>
  <c r="AG394" i="1"/>
  <c r="AT394" i="1"/>
  <c r="AU394" i="1"/>
  <c r="AV394" i="1" a="1"/>
  <c r="AV394" i="1" s="1"/>
  <c r="AW394" i="1" a="1"/>
  <c r="AW394" i="1" s="1"/>
  <c r="AX394" i="1" a="1"/>
  <c r="AX394" i="1" s="1"/>
  <c r="AY394" i="1" a="1"/>
  <c r="AY394" i="1" s="1"/>
  <c r="AE395" i="1"/>
  <c r="AG395" i="1"/>
  <c r="AE396" i="1" s="1"/>
  <c r="AT395" i="1"/>
  <c r="AU395" i="1"/>
  <c r="AV395" i="1" a="1"/>
  <c r="AV395" i="1" s="1"/>
  <c r="AW395" i="1" a="1"/>
  <c r="AW395" i="1" s="1"/>
  <c r="AX395" i="1" a="1"/>
  <c r="AX395" i="1" s="1"/>
  <c r="AY395" i="1" a="1"/>
  <c r="AY395" i="1" s="1"/>
  <c r="AF396" i="1"/>
  <c r="AF397" i="1" s="1"/>
  <c r="AG396" i="1"/>
  <c r="AG397" i="1" s="1"/>
  <c r="AG398" i="1" s="1"/>
  <c r="AT396" i="1"/>
  <c r="AU396" i="1"/>
  <c r="AY396" i="1" a="1"/>
  <c r="AY396" i="1" s="1"/>
  <c r="AE397" i="1"/>
  <c r="AE398" i="1" s="1"/>
  <c r="AE399" i="1" s="1"/>
  <c r="AE400" i="1" s="1"/>
  <c r="AE401" i="1" s="1"/>
  <c r="AT397" i="1"/>
  <c r="AU397" i="1"/>
  <c r="AY397" i="1" a="1"/>
  <c r="AY397" i="1" s="1"/>
  <c r="AT398" i="1"/>
  <c r="AU398" i="1"/>
  <c r="AV398" i="1" a="1"/>
  <c r="AV398" i="1" s="1"/>
  <c r="AX398" i="1" a="1"/>
  <c r="AX398" i="1" s="1"/>
  <c r="AG399" i="1"/>
  <c r="AT399" i="1"/>
  <c r="AU399" i="1"/>
  <c r="AG400" i="1"/>
  <c r="AT400" i="1"/>
  <c r="AU400" i="1"/>
  <c r="AG401" i="1"/>
  <c r="AT401" i="1"/>
  <c r="AU401" i="1"/>
  <c r="AE402" i="1"/>
  <c r="AF402" i="1"/>
  <c r="BI402" i="1" s="1"/>
  <c r="AG402" i="1"/>
  <c r="AT402" i="1"/>
  <c r="AU402" i="1"/>
  <c r="AV402" i="1" a="1"/>
  <c r="AV402" i="1" s="1"/>
  <c r="AW402" i="1" a="1"/>
  <c r="AW402" i="1" s="1"/>
  <c r="AX402" i="1" a="1"/>
  <c r="AX402" i="1" s="1"/>
  <c r="AY402" i="1" a="1"/>
  <c r="AY402" i="1" s="1"/>
  <c r="AE403" i="1"/>
  <c r="AF403" i="1"/>
  <c r="BI403" i="1" s="1"/>
  <c r="AG403" i="1"/>
  <c r="AT403" i="1"/>
  <c r="AU403" i="1"/>
  <c r="AV403" i="1" a="1"/>
  <c r="AV403" i="1" s="1"/>
  <c r="AW403" i="1" a="1"/>
  <c r="AW403" i="1" s="1"/>
  <c r="AX403" i="1" a="1"/>
  <c r="AX403" i="1" s="1"/>
  <c r="AY403" i="1" a="1"/>
  <c r="AY403" i="1" s="1"/>
  <c r="AE404" i="1"/>
  <c r="AF404" i="1"/>
  <c r="BI404" i="1" s="1"/>
  <c r="AG404" i="1"/>
  <c r="BR404" i="1"/>
  <c r="BQ404" i="1" s="1"/>
  <c r="AT404" i="1"/>
  <c r="AU404" i="1"/>
  <c r="AV404" i="1" a="1"/>
  <c r="AV404" i="1" s="1"/>
  <c r="AW404" i="1" a="1"/>
  <c r="AW404" i="1" s="1"/>
  <c r="AX404" i="1" a="1"/>
  <c r="AX404" i="1" s="1"/>
  <c r="AY404" i="1" a="1"/>
  <c r="AY404" i="1" s="1"/>
  <c r="AE405" i="1"/>
  <c r="AF405" i="1"/>
  <c r="BI405" i="1" s="1"/>
  <c r="AG405" i="1"/>
  <c r="AE406" i="1" s="1"/>
  <c r="AE407" i="1" s="1"/>
  <c r="AE408" i="1" s="1"/>
  <c r="AE409" i="1" s="1"/>
  <c r="AE410" i="1" s="1"/>
  <c r="AE411" i="1" s="1"/>
  <c r="BR405" i="1"/>
  <c r="BQ405" i="1" s="1"/>
  <c r="AT405" i="1"/>
  <c r="AU405" i="1"/>
  <c r="AV405" i="1" a="1"/>
  <c r="AV405" i="1" s="1"/>
  <c r="AW405" i="1" a="1"/>
  <c r="AW405" i="1" s="1"/>
  <c r="AX405" i="1" a="1"/>
  <c r="AX405" i="1" s="1"/>
  <c r="AY405" i="1" a="1"/>
  <c r="AY405" i="1" s="1"/>
  <c r="AF406" i="1"/>
  <c r="BI406" i="1" s="1"/>
  <c r="AG406" i="1"/>
  <c r="AT406" i="1"/>
  <c r="AU406" i="1"/>
  <c r="AV406" i="1" a="1"/>
  <c r="AV406" i="1" s="1"/>
  <c r="AX406" i="1" a="1"/>
  <c r="AX406" i="1" s="1"/>
  <c r="AG407" i="1"/>
  <c r="AT407" i="1"/>
  <c r="AU407" i="1"/>
  <c r="AG408" i="1"/>
  <c r="AT408" i="1"/>
  <c r="AU408" i="1"/>
  <c r="AG409" i="1"/>
  <c r="AT409" i="1"/>
  <c r="AU409" i="1"/>
  <c r="AG410" i="1"/>
  <c r="AT410" i="1"/>
  <c r="AU410" i="1"/>
  <c r="AG411" i="1"/>
  <c r="AT411" i="1"/>
  <c r="AU411" i="1"/>
  <c r="AD412" i="1"/>
  <c r="BJ412" i="1" s="1"/>
  <c r="AE412" i="1"/>
  <c r="AF412" i="1"/>
  <c r="AD413" i="1" s="1"/>
  <c r="AG412" i="1"/>
  <c r="BR412" i="1"/>
  <c r="BQ412" i="1" s="1"/>
  <c r="AT412" i="1"/>
  <c r="AU412" i="1"/>
  <c r="AV412" i="1" a="1"/>
  <c r="AV412" i="1" s="1"/>
  <c r="AW412" i="1" a="1"/>
  <c r="AW412" i="1" s="1"/>
  <c r="AX412" i="1" a="1"/>
  <c r="AX412" i="1" s="1"/>
  <c r="AY412" i="1" a="1"/>
  <c r="AY412" i="1" s="1"/>
  <c r="AE413" i="1"/>
  <c r="AF413" i="1"/>
  <c r="AD414" i="1" s="1"/>
  <c r="AG413" i="1"/>
  <c r="AT413" i="1"/>
  <c r="AU413" i="1"/>
  <c r="AV413" i="1" a="1"/>
  <c r="AV413" i="1" s="1"/>
  <c r="AW413" i="1" a="1"/>
  <c r="AW413" i="1" s="1"/>
  <c r="AX413" i="1" a="1"/>
  <c r="AX413" i="1" s="1"/>
  <c r="AY413" i="1" a="1"/>
  <c r="AY413" i="1" s="1"/>
  <c r="AE414" i="1"/>
  <c r="AG414" i="1"/>
  <c r="AT414" i="1"/>
  <c r="AU414" i="1"/>
  <c r="AV414" i="1" a="1"/>
  <c r="AV414" i="1" s="1"/>
  <c r="AW414" i="1" a="1"/>
  <c r="AW414" i="1" s="1"/>
  <c r="AX414" i="1" a="1"/>
  <c r="AX414" i="1" s="1"/>
  <c r="AY414" i="1" a="1"/>
  <c r="AY414" i="1" s="1"/>
  <c r="AE415" i="1"/>
  <c r="AG415" i="1"/>
  <c r="AT415" i="1"/>
  <c r="AU415" i="1"/>
  <c r="AV415" i="1" a="1"/>
  <c r="AV415" i="1" s="1"/>
  <c r="AW415" i="1" a="1"/>
  <c r="AW415" i="1" s="1"/>
  <c r="AX415" i="1" a="1"/>
  <c r="AX415" i="1" s="1"/>
  <c r="AY415" i="1" a="1"/>
  <c r="AY415" i="1" s="1"/>
  <c r="AE416" i="1"/>
  <c r="AE417" i="1" s="1"/>
  <c r="AG416" i="1"/>
  <c r="AG417" i="1" s="1"/>
  <c r="AG418" i="1" s="1"/>
  <c r="AG419" i="1" s="1"/>
  <c r="AT416" i="1"/>
  <c r="AU416" i="1"/>
  <c r="AV416" i="1" a="1"/>
  <c r="AV416" i="1" s="1"/>
  <c r="AW416" i="1" a="1"/>
  <c r="AW416" i="1" s="1"/>
  <c r="AX416" i="1" a="1"/>
  <c r="AX416" i="1" s="1"/>
  <c r="AY416" i="1" a="1"/>
  <c r="AY416" i="1" s="1"/>
  <c r="AT417" i="1"/>
  <c r="AU417" i="1"/>
  <c r="AV417" i="1" a="1"/>
  <c r="AV417" i="1" s="1"/>
  <c r="AW417" i="1" a="1"/>
  <c r="AW417" i="1" s="1"/>
  <c r="AX417" i="1" a="1"/>
  <c r="AX417" i="1" s="1"/>
  <c r="AY417" i="1" a="1"/>
  <c r="AY417" i="1" s="1"/>
  <c r="AE418" i="1"/>
  <c r="AE419" i="1" s="1"/>
  <c r="AT418" i="1"/>
  <c r="AU418" i="1"/>
  <c r="AV418" i="1" a="1"/>
  <c r="AV418" i="1" s="1"/>
  <c r="AW418" i="1" a="1"/>
  <c r="AW418" i="1" s="1"/>
  <c r="AX418" i="1" a="1"/>
  <c r="AX418" i="1" s="1"/>
  <c r="AY418" i="1" a="1"/>
  <c r="AY418" i="1" s="1"/>
  <c r="AT419" i="1"/>
  <c r="AU419" i="1"/>
  <c r="AV419" i="1" a="1"/>
  <c r="AV419" i="1" s="1"/>
  <c r="AW419" i="1" a="1"/>
  <c r="AW419" i="1" s="1"/>
  <c r="AX419" i="1" a="1"/>
  <c r="AX419" i="1" s="1"/>
  <c r="AY419" i="1" a="1"/>
  <c r="AY419" i="1" s="1"/>
  <c r="AE420" i="1"/>
  <c r="AF420" i="1"/>
  <c r="AF421" i="1" s="1"/>
  <c r="BI421" i="1" s="1"/>
  <c r="AG420" i="1"/>
  <c r="AT420" i="1"/>
  <c r="AU420" i="1"/>
  <c r="AV420" i="1" a="1"/>
  <c r="AV420" i="1" s="1"/>
  <c r="AW420" i="1" a="1"/>
  <c r="AW420" i="1" s="1"/>
  <c r="AX420" i="1" a="1"/>
  <c r="AX420" i="1" s="1"/>
  <c r="AY420" i="1" a="1"/>
  <c r="AY420" i="1" s="1"/>
  <c r="AE421" i="1"/>
  <c r="AG421" i="1"/>
  <c r="AT421" i="1"/>
  <c r="AU421" i="1"/>
  <c r="AV421" i="1" a="1"/>
  <c r="AV421" i="1" s="1"/>
  <c r="AW421" i="1" a="1"/>
  <c r="AW421" i="1" s="1"/>
  <c r="AX421" i="1" a="1"/>
  <c r="AX421" i="1" s="1"/>
  <c r="AY421" i="1" a="1"/>
  <c r="AY421" i="1" s="1"/>
  <c r="AE422" i="1"/>
  <c r="AE423" i="1" s="1"/>
  <c r="AG422" i="1"/>
  <c r="AG423" i="1" s="1"/>
  <c r="AE424" i="1" s="1"/>
  <c r="AE425" i="1" s="1"/>
  <c r="AE426" i="1" s="1"/>
  <c r="AE427" i="1" s="1"/>
  <c r="AE428" i="1" s="1"/>
  <c r="AT422" i="1"/>
  <c r="AU422" i="1"/>
  <c r="AV422" i="1" a="1"/>
  <c r="AV422" i="1" s="1"/>
  <c r="AW422" i="1" a="1"/>
  <c r="AW422" i="1" s="1"/>
  <c r="AX422" i="1" a="1"/>
  <c r="AX422" i="1" s="1"/>
  <c r="AY422" i="1" a="1"/>
  <c r="AY422" i="1" s="1"/>
  <c r="AT423" i="1"/>
  <c r="AU423" i="1"/>
  <c r="AV423" i="1" a="1"/>
  <c r="AV423" i="1" s="1"/>
  <c r="AW423" i="1" a="1"/>
  <c r="AW423" i="1" s="1"/>
  <c r="AX423" i="1" a="1"/>
  <c r="AX423" i="1" s="1"/>
  <c r="AY423" i="1" a="1"/>
  <c r="AY423" i="1" s="1"/>
  <c r="AF424" i="1"/>
  <c r="AF425" i="1" s="1"/>
  <c r="AF426" i="1" s="1"/>
  <c r="BI426" i="1" s="1"/>
  <c r="AG424" i="1"/>
  <c r="AT424" i="1"/>
  <c r="AU424" i="1"/>
  <c r="AY424" i="1" a="1"/>
  <c r="AY424" i="1" s="1"/>
  <c r="AG425" i="1"/>
  <c r="AT425" i="1"/>
  <c r="AU425" i="1"/>
  <c r="AG426" i="1"/>
  <c r="AT426" i="1"/>
  <c r="AU426" i="1"/>
  <c r="AY426" i="1" a="1"/>
  <c r="AY426" i="1" s="1"/>
  <c r="AF427" i="1"/>
  <c r="AF428" i="1" s="1"/>
  <c r="AF429" i="1" s="1"/>
  <c r="AF430" i="1" s="1"/>
  <c r="BI430" i="1" s="1"/>
  <c r="AG427" i="1"/>
  <c r="AG428" i="1" s="1"/>
  <c r="AG429" i="1" s="1"/>
  <c r="AT427" i="1"/>
  <c r="AU427" i="1"/>
  <c r="AT428" i="1"/>
  <c r="AU428" i="1"/>
  <c r="AE429" i="1"/>
  <c r="AE430" i="1" s="1"/>
  <c r="AT429" i="1"/>
  <c r="AU429" i="1"/>
  <c r="AG430" i="1"/>
  <c r="AT430" i="1"/>
  <c r="AU430" i="1"/>
  <c r="AE431" i="1"/>
  <c r="AE432" i="1" s="1"/>
  <c r="AG431" i="1"/>
  <c r="AG432" i="1" s="1"/>
  <c r="AE433" i="1" s="1"/>
  <c r="AE434" i="1" s="1"/>
  <c r="AT431" i="1"/>
  <c r="AU431" i="1"/>
  <c r="AV431" i="1" a="1"/>
  <c r="AV431" i="1" s="1"/>
  <c r="AW431" i="1" a="1"/>
  <c r="AW431" i="1" s="1"/>
  <c r="AX431" i="1" a="1"/>
  <c r="AX431" i="1" s="1"/>
  <c r="AY431" i="1" a="1"/>
  <c r="AY431" i="1" s="1"/>
  <c r="AT432" i="1"/>
  <c r="AU432" i="1"/>
  <c r="AV432" i="1" a="1"/>
  <c r="AV432" i="1" s="1"/>
  <c r="AW432" i="1" a="1"/>
  <c r="AW432" i="1" s="1"/>
  <c r="AX432" i="1" a="1"/>
  <c r="AX432" i="1" s="1"/>
  <c r="AY432" i="1" a="1"/>
  <c r="AY432" i="1" s="1"/>
  <c r="AF433" i="1"/>
  <c r="AF434" i="1" s="1"/>
  <c r="AF435" i="1" s="1"/>
  <c r="BI435" i="1" s="1"/>
  <c r="AG433" i="1"/>
  <c r="AT433" i="1"/>
  <c r="AU433" i="1"/>
  <c r="AV433" i="1" a="1"/>
  <c r="AV433" i="1" s="1"/>
  <c r="AW433" i="1" a="1"/>
  <c r="AW433" i="1" s="1"/>
  <c r="AX433" i="1" a="1"/>
  <c r="AX433" i="1" s="1"/>
  <c r="AY433" i="1" a="1"/>
  <c r="AY433" i="1" s="1"/>
  <c r="AG434" i="1"/>
  <c r="AT434" i="1"/>
  <c r="AU434" i="1"/>
  <c r="AV434" i="1" a="1"/>
  <c r="AV434" i="1" s="1"/>
  <c r="AW434" i="1" a="1"/>
  <c r="AW434" i="1" s="1"/>
  <c r="AX434" i="1" a="1"/>
  <c r="AX434" i="1" s="1"/>
  <c r="AY434" i="1" a="1"/>
  <c r="AY434" i="1" s="1"/>
  <c r="AE435" i="1"/>
  <c r="AG435" i="1"/>
  <c r="AT435" i="1"/>
  <c r="AU435" i="1"/>
  <c r="AV435" i="1" a="1"/>
  <c r="AV435" i="1" s="1"/>
  <c r="AW435" i="1" a="1"/>
  <c r="AW435" i="1" s="1"/>
  <c r="AX435" i="1" a="1"/>
  <c r="AX435" i="1" s="1"/>
  <c r="AY435" i="1" a="1"/>
  <c r="AY435" i="1" s="1"/>
  <c r="AG436" i="1"/>
  <c r="AT436" i="1"/>
  <c r="AU436" i="1"/>
  <c r="AV436" i="1" a="1"/>
  <c r="AV436" i="1" s="1"/>
  <c r="AW436" i="1" a="1"/>
  <c r="AW436" i="1" s="1"/>
  <c r="AX436" i="1" a="1"/>
  <c r="AX436" i="1" s="1"/>
  <c r="AY436" i="1" a="1"/>
  <c r="AY436" i="1" s="1"/>
  <c r="AE437" i="1"/>
  <c r="AE438" i="1" s="1"/>
  <c r="AG437" i="1"/>
  <c r="AT437" i="1"/>
  <c r="AU437" i="1"/>
  <c r="AV437" i="1" a="1"/>
  <c r="AV437" i="1" s="1"/>
  <c r="AW437" i="1" a="1"/>
  <c r="AW437" i="1" s="1"/>
  <c r="AX437" i="1" a="1"/>
  <c r="AX437" i="1" s="1"/>
  <c r="AY437" i="1" a="1"/>
  <c r="AY437" i="1" s="1"/>
  <c r="AG438" i="1"/>
  <c r="AT438" i="1"/>
  <c r="AU438" i="1"/>
  <c r="AV438" i="1" a="1"/>
  <c r="AV438" i="1" s="1"/>
  <c r="AW438" i="1" a="1"/>
  <c r="AW438" i="1" s="1"/>
  <c r="AX438" i="1" a="1"/>
  <c r="AX438" i="1" s="1"/>
  <c r="AY438" i="1" a="1"/>
  <c r="AY438" i="1" s="1"/>
  <c r="AE439" i="1"/>
  <c r="AG439" i="1"/>
  <c r="AT439" i="1"/>
  <c r="AU439" i="1"/>
  <c r="AV439" i="1" a="1"/>
  <c r="AV439" i="1" s="1"/>
  <c r="AW439" i="1" a="1"/>
  <c r="AW439" i="1" s="1"/>
  <c r="AX439" i="1" a="1"/>
  <c r="AX439" i="1" s="1"/>
  <c r="AY439" i="1" a="1"/>
  <c r="AY439" i="1" s="1"/>
  <c r="AE440" i="1"/>
  <c r="AE441" i="1" s="1"/>
  <c r="AG440" i="1"/>
  <c r="AT440" i="1"/>
  <c r="AU440" i="1"/>
  <c r="AV440" i="1" a="1"/>
  <c r="AV440" i="1" s="1"/>
  <c r="AW440" i="1" a="1"/>
  <c r="AW440" i="1" s="1"/>
  <c r="AX440" i="1" a="1"/>
  <c r="AX440" i="1" s="1"/>
  <c r="AY440" i="1" a="1"/>
  <c r="AY440" i="1" s="1"/>
  <c r="AG441" i="1"/>
  <c r="AT441" i="1"/>
  <c r="AU441" i="1"/>
  <c r="AV441" i="1" a="1"/>
  <c r="AV441" i="1" s="1"/>
  <c r="AW441" i="1" a="1"/>
  <c r="AW441" i="1" s="1"/>
  <c r="AX441" i="1" a="1"/>
  <c r="AX441" i="1" s="1"/>
  <c r="AY441" i="1" a="1"/>
  <c r="AY441" i="1" s="1"/>
  <c r="AE442" i="1"/>
  <c r="AE443" i="1" s="1"/>
  <c r="AG442" i="1"/>
  <c r="AG443" i="1" s="1"/>
  <c r="AE444" i="1" s="1"/>
  <c r="AE445" i="1" s="1"/>
  <c r="AE446" i="1" s="1"/>
  <c r="AE447" i="1" s="1"/>
  <c r="AE448" i="1" s="1"/>
  <c r="AE449" i="1" s="1"/>
  <c r="AT442" i="1"/>
  <c r="AU442" i="1"/>
  <c r="AV442" i="1" a="1"/>
  <c r="AV442" i="1" s="1"/>
  <c r="AW442" i="1" a="1"/>
  <c r="AW442" i="1" s="1"/>
  <c r="AX442" i="1" a="1"/>
  <c r="AX442" i="1" s="1"/>
  <c r="AY442" i="1" a="1"/>
  <c r="AY442" i="1" s="1"/>
  <c r="AT443" i="1"/>
  <c r="AU443" i="1"/>
  <c r="AV443" i="1" a="1"/>
  <c r="AV443" i="1" s="1"/>
  <c r="AW443" i="1" a="1"/>
  <c r="AW443" i="1" s="1"/>
  <c r="AX443" i="1" a="1"/>
  <c r="AX443" i="1" s="1"/>
  <c r="AY443" i="1" a="1"/>
  <c r="AY443" i="1" s="1"/>
  <c r="AF444" i="1"/>
  <c r="BI444" i="1" s="1"/>
  <c r="AG444" i="1"/>
  <c r="AT444" i="1"/>
  <c r="AU444" i="1"/>
  <c r="AY444" i="1" a="1"/>
  <c r="AY444" i="1" s="1"/>
  <c r="AF445" i="1"/>
  <c r="AF446" i="1" s="1"/>
  <c r="AG445" i="1"/>
  <c r="AT445" i="1"/>
  <c r="AU445" i="1"/>
  <c r="AG446" i="1"/>
  <c r="AT446" i="1"/>
  <c r="AU446" i="1"/>
  <c r="AY446" i="1" a="1"/>
  <c r="AY446" i="1" s="1"/>
  <c r="AG447" i="1"/>
  <c r="AG448" i="1" s="1"/>
  <c r="AT447" i="1"/>
  <c r="AU447" i="1"/>
  <c r="AT448" i="1"/>
  <c r="AU448" i="1"/>
  <c r="AG449" i="1"/>
  <c r="AT449" i="1"/>
  <c r="AU449" i="1"/>
  <c r="AE450" i="1"/>
  <c r="AG450" i="1"/>
  <c r="AV450" i="1" a="1"/>
  <c r="AV450" i="1" s="1"/>
  <c r="AY451" i="1" a="1"/>
  <c r="AY451" i="1" s="1"/>
  <c r="AV452" i="1" a="1"/>
  <c r="AV452" i="1" s="1"/>
  <c r="AX452" i="1" a="1"/>
  <c r="AX452" i="1" s="1"/>
  <c r="AY452" i="1" a="1"/>
  <c r="AY452" i="1" s="1"/>
  <c r="AY453" i="1" a="1"/>
  <c r="AY453" i="1" s="1"/>
  <c r="AY454" i="1" a="1"/>
  <c r="AY454" i="1" s="1"/>
  <c r="AY455" i="1" a="1"/>
  <c r="AY455" i="1" s="1"/>
  <c r="AY456" i="1" a="1"/>
  <c r="AY456" i="1" s="1"/>
  <c r="AY457" i="1" a="1"/>
  <c r="AY457" i="1" s="1"/>
  <c r="AY458" i="1" a="1"/>
  <c r="AY458" i="1" s="1"/>
  <c r="AE459" i="1"/>
  <c r="AG459" i="1"/>
  <c r="AV459" i="1" a="1"/>
  <c r="AV459" i="1" s="1"/>
  <c r="AG460" i="1"/>
  <c r="AV460" i="1" a="1"/>
  <c r="AV460" i="1" s="1"/>
  <c r="AW460" i="1" a="1"/>
  <c r="AW460" i="1" s="1"/>
  <c r="AV464" i="1" a="1"/>
  <c r="AV464" i="1" s="1"/>
  <c r="AX464" i="1" a="1"/>
  <c r="AX464" i="1" s="1"/>
  <c r="AY464" i="1" a="1"/>
  <c r="AY464" i="1" s="1"/>
  <c r="AV466" i="1" a="1"/>
  <c r="AV466" i="1" s="1"/>
  <c r="AY466" i="1" a="1"/>
  <c r="AY466" i="1" s="1"/>
  <c r="AE473" i="1"/>
  <c r="AG473" i="1"/>
  <c r="AV473" i="1" a="1"/>
  <c r="AV473" i="1" s="1"/>
  <c r="AX473" i="1" a="1"/>
  <c r="AX473" i="1" s="1"/>
  <c r="AY473" i="1" a="1"/>
  <c r="AY473" i="1" s="1"/>
  <c r="AY474" i="1" a="1"/>
  <c r="AY474" i="1" s="1"/>
  <c r="AY475" i="1" a="1"/>
  <c r="AY475" i="1" s="1"/>
  <c r="AY476" i="1" a="1"/>
  <c r="AY476" i="1" s="1"/>
  <c r="AE479" i="1"/>
  <c r="AG479" i="1"/>
  <c r="AV479" i="1" a="1"/>
  <c r="AV479" i="1" s="1"/>
  <c r="AX479" i="1" a="1"/>
  <c r="AX479" i="1" s="1"/>
  <c r="AG480" i="1"/>
  <c r="AG481" i="1"/>
  <c r="AY481" i="1" a="1"/>
  <c r="AY481" i="1" s="1"/>
  <c r="AY482" i="1" a="1"/>
  <c r="AY482" i="1" s="1"/>
  <c r="AG483" i="1"/>
  <c r="AG484" i="1"/>
  <c r="AV484" i="1" a="1"/>
  <c r="AV484" i="1" s="1"/>
  <c r="AX484" i="1" a="1"/>
  <c r="AX484" i="1" s="1"/>
  <c r="AY484" i="1" a="1"/>
  <c r="AY484" i="1" s="1"/>
  <c r="AY485" i="1" a="1"/>
  <c r="AY485" i="1" s="1"/>
  <c r="AY486" i="1" a="1"/>
  <c r="AY486" i="1" s="1"/>
  <c r="AV487" i="1" a="1"/>
  <c r="AV487" i="1" s="1"/>
  <c r="AY487" i="1" a="1"/>
  <c r="AY487" i="1" s="1"/>
  <c r="AV488" i="1" a="1"/>
  <c r="AV488" i="1" s="1"/>
  <c r="AD489" i="1"/>
  <c r="AE489" i="1"/>
  <c r="AF489" i="1"/>
  <c r="AG489" i="1"/>
  <c r="AV489" i="1" a="1"/>
  <c r="AV489" i="1" s="1"/>
  <c r="AX489" i="1" a="1"/>
  <c r="AX489" i="1" s="1"/>
  <c r="AV491" i="1" a="1"/>
  <c r="AV491" i="1" s="1"/>
  <c r="AX491" i="1" a="1"/>
  <c r="AX491" i="1" s="1"/>
  <c r="AY491" i="1" a="1"/>
  <c r="AY491" i="1" s="1"/>
  <c r="AY493" i="1" a="1"/>
  <c r="AY493" i="1" s="1"/>
  <c r="AE494" i="1"/>
  <c r="AG494" i="1"/>
  <c r="AY494" i="1" a="1"/>
  <c r="AY494" i="1" s="1"/>
  <c r="AY495" i="1" a="1"/>
  <c r="AY495" i="1" s="1"/>
  <c r="AV496" i="1" a="1"/>
  <c r="AV496" i="1" s="1"/>
  <c r="AX496" i="1" a="1"/>
  <c r="AX496" i="1" s="1"/>
  <c r="AY496" i="1" a="1"/>
  <c r="AY496" i="1" s="1"/>
  <c r="AV497" i="1" a="1"/>
  <c r="AV497" i="1" s="1"/>
  <c r="AX497" i="1" a="1"/>
  <c r="AX497" i="1" s="1"/>
  <c r="AY497" i="1" a="1"/>
  <c r="AY497" i="1" s="1"/>
  <c r="AG498" i="1"/>
  <c r="AY498" i="1" a="1"/>
  <c r="AY498" i="1" s="1"/>
  <c r="AY499" i="1" a="1"/>
  <c r="AY499" i="1" s="1"/>
  <c r="AY500" i="1" a="1"/>
  <c r="AY500" i="1" s="1"/>
  <c r="AY502" i="1" a="1"/>
  <c r="AY502" i="1" s="1"/>
  <c r="AE503" i="1"/>
  <c r="AG504" i="1"/>
  <c r="AE507" i="1"/>
  <c r="AG507" i="1"/>
  <c r="AV507" i="1" a="1"/>
  <c r="AV507" i="1" s="1"/>
  <c r="AX507" i="1" a="1"/>
  <c r="AX507" i="1" s="1"/>
  <c r="AY507" i="1" a="1"/>
  <c r="AY507" i="1" s="1"/>
  <c r="AY508" i="1" a="1"/>
  <c r="AY508" i="1" s="1"/>
  <c r="AY509" i="1" a="1"/>
  <c r="AY509" i="1" s="1"/>
  <c r="AY510" i="1" a="1"/>
  <c r="AY510" i="1" s="1"/>
  <c r="AV512" i="1" a="1"/>
  <c r="AV512" i="1" s="1"/>
  <c r="AX512" i="1" a="1"/>
  <c r="AX512" i="1" s="1"/>
  <c r="AV513" i="1" a="1"/>
  <c r="AV513" i="1" s="1"/>
  <c r="AX513" i="1" a="1"/>
  <c r="AX513" i="1" s="1"/>
  <c r="AY513" i="1" a="1"/>
  <c r="AY513" i="1" s="1"/>
  <c r="AE518" i="1"/>
  <c r="AG518" i="1"/>
  <c r="AV518" i="1" a="1"/>
  <c r="AV518" i="1" s="1"/>
  <c r="AX518" i="1" a="1"/>
  <c r="AX518" i="1" s="1"/>
  <c r="AG519" i="1"/>
  <c r="AG522" i="1"/>
  <c r="AE530" i="1"/>
  <c r="AG530" i="1"/>
  <c r="AV530" i="1" a="1"/>
  <c r="AV530" i="1" s="1"/>
  <c r="AX530" i="1" a="1"/>
  <c r="AX530" i="1" s="1"/>
  <c r="AY531" i="1" a="1"/>
  <c r="AY531" i="1" s="1"/>
  <c r="AV533" i="1" a="1"/>
  <c r="AV533" i="1" s="1"/>
  <c r="AY533" i="1" a="1"/>
  <c r="AY533" i="1" s="1"/>
  <c r="AG534" i="1"/>
  <c r="AY534" i="1" a="1"/>
  <c r="AY534" i="1" s="1"/>
  <c r="AY536" i="1" a="1"/>
  <c r="AY536" i="1" s="1"/>
  <c r="AG537" i="1"/>
  <c r="AE545" i="1"/>
  <c r="AF545" i="1"/>
  <c r="AG545" i="1"/>
  <c r="AV545" i="1" a="1"/>
  <c r="AV545" i="1" s="1"/>
  <c r="AX545" i="1" a="1"/>
  <c r="AX545" i="1" s="1"/>
  <c r="AV549" i="1" a="1"/>
  <c r="AV549" i="1" s="1"/>
  <c r="AD553" i="1"/>
  <c r="AE553" i="1"/>
  <c r="AG553" i="1"/>
  <c r="AY553" i="1" a="1"/>
  <c r="AY553" i="1" s="1"/>
  <c r="AY554" i="1" a="1"/>
  <c r="AY554" i="1" s="1"/>
  <c r="AY555" i="1" a="1"/>
  <c r="AY555" i="1" s="1"/>
  <c r="AV557" i="1" a="1"/>
  <c r="AV557" i="1" s="1"/>
  <c r="AY557" i="1" a="1"/>
  <c r="AY557" i="1" s="1"/>
  <c r="AV558" i="1" a="1"/>
  <c r="AV558" i="1" s="1"/>
  <c r="AE559" i="1"/>
  <c r="AG559" i="1"/>
  <c r="AV559" i="1" a="1"/>
  <c r="AV559" i="1" s="1"/>
  <c r="AX559" i="1" a="1"/>
  <c r="AX559" i="1" s="1"/>
  <c r="AV561" i="1" a="1"/>
  <c r="AV561" i="1" s="1"/>
  <c r="AX561" i="1" a="1"/>
  <c r="AX561" i="1" s="1"/>
  <c r="AE562" i="1"/>
  <c r="AE564" i="1"/>
  <c r="AG564" i="1"/>
  <c r="AV564" i="1" a="1"/>
  <c r="AV564" i="1" s="1"/>
  <c r="AX564" i="1" a="1"/>
  <c r="AX564" i="1" s="1"/>
  <c r="AE567" i="1"/>
  <c r="AG567" i="1"/>
  <c r="AY567" i="1" a="1"/>
  <c r="AY567" i="1" s="1"/>
  <c r="AY568" i="1" a="1"/>
  <c r="AY568" i="1" s="1"/>
  <c r="AE569" i="1"/>
  <c r="AG573" i="1"/>
  <c r="AV573" i="1" a="1"/>
  <c r="AV573" i="1" s="1"/>
  <c r="AY575" i="1" a="1"/>
  <c r="AY575" i="1" s="1"/>
  <c r="AY577" i="1" a="1"/>
  <c r="AY577" i="1" s="1"/>
  <c r="AV578" i="1" a="1"/>
  <c r="AV578" i="1" s="1"/>
  <c r="AE579" i="1"/>
  <c r="AV579" i="1" a="1"/>
  <c r="AV579" i="1" s="1"/>
  <c r="AX579" i="1" a="1"/>
  <c r="AX579" i="1" s="1"/>
  <c r="AV580" i="1" a="1"/>
  <c r="AV580" i="1" s="1"/>
  <c r="AX580" i="1" a="1"/>
  <c r="AX580" i="1" s="1"/>
  <c r="AE582" i="1"/>
  <c r="AG582" i="1"/>
  <c r="AY583" i="1" a="1"/>
  <c r="AY583" i="1" s="1"/>
  <c r="AV585" i="1" a="1"/>
  <c r="AV585" i="1" s="1"/>
  <c r="AY585" i="1" a="1"/>
  <c r="AY585" i="1" s="1"/>
  <c r="AV586" i="1" a="1"/>
  <c r="AV586" i="1" s="1"/>
  <c r="AE591" i="1"/>
  <c r="AG591" i="1"/>
  <c r="AV591" i="1" a="1"/>
  <c r="AV591" i="1" s="1"/>
  <c r="AX591" i="1" a="1"/>
  <c r="AX591" i="1" s="1"/>
  <c r="AV593" i="1" a="1"/>
  <c r="AV593" i="1" s="1"/>
  <c r="AE596" i="1"/>
  <c r="AV596" i="1" a="1"/>
  <c r="AV596" i="1" s="1"/>
  <c r="AX596" i="1" a="1"/>
  <c r="AX596" i="1" s="1"/>
  <c r="AY596" i="1" a="1"/>
  <c r="AY596" i="1" s="1"/>
  <c r="AV597" i="1" a="1"/>
  <c r="AV597" i="1" s="1"/>
  <c r="AX597" i="1" a="1"/>
  <c r="AX597" i="1" s="1"/>
  <c r="AY597" i="1" a="1"/>
  <c r="AY597" i="1" s="1"/>
  <c r="AV598" i="1" a="1"/>
  <c r="AV598" i="1" s="1"/>
  <c r="AX598" i="1" a="1"/>
  <c r="AX598" i="1" s="1"/>
  <c r="AE599" i="1"/>
  <c r="AV600" i="1" a="1"/>
  <c r="AV600" i="1" s="1"/>
  <c r="AW600" i="1" a="1"/>
  <c r="AW600" i="1" s="1"/>
  <c r="AX600" i="1" a="1"/>
  <c r="AX600" i="1" s="1"/>
  <c r="AY600" i="1" a="1"/>
  <c r="AY600" i="1" s="1"/>
  <c r="AV601" i="1" a="1"/>
  <c r="AV601" i="1" s="1"/>
  <c r="AY601" i="1" a="1"/>
  <c r="AY601" i="1" s="1"/>
  <c r="AV602" i="1" a="1"/>
  <c r="AV602" i="1" s="1"/>
  <c r="AX602" i="1" a="1"/>
  <c r="AX602" i="1" s="1"/>
  <c r="AY602" i="1" a="1"/>
  <c r="AY602" i="1" s="1"/>
  <c r="AV603" i="1" a="1"/>
  <c r="AV603" i="1" s="1"/>
  <c r="AX603" i="1" a="1"/>
  <c r="AX603" i="1" s="1"/>
  <c r="AY603" i="1" a="1"/>
  <c r="AY603" i="1" s="1"/>
  <c r="AE604" i="1"/>
  <c r="AG604" i="1"/>
  <c r="AV604" i="1" a="1"/>
  <c r="AV604" i="1" s="1"/>
  <c r="AX604" i="1" a="1"/>
  <c r="AX604" i="1" s="1"/>
  <c r="AE607" i="1"/>
  <c r="AV607" i="1" a="1"/>
  <c r="AV607" i="1" s="1"/>
  <c r="AX607" i="1" a="1"/>
  <c r="AX607" i="1" s="1"/>
  <c r="AV609" i="1" a="1"/>
  <c r="AV609" i="1" s="1"/>
  <c r="AX609" i="1" a="1"/>
  <c r="AX609" i="1" s="1"/>
  <c r="AY609" i="1" a="1"/>
  <c r="AY609" i="1" s="1"/>
  <c r="AV611" i="1" a="1"/>
  <c r="AV611" i="1" s="1"/>
  <c r="AY611" i="1" a="1"/>
  <c r="AY611" i="1" s="1"/>
  <c r="AE612" i="1"/>
  <c r="AG612" i="1"/>
  <c r="AV612" i="1" a="1"/>
  <c r="AV612" i="1" s="1"/>
  <c r="AY612" i="1" a="1"/>
  <c r="AY612" i="1" s="1"/>
  <c r="AY613" i="1" a="1"/>
  <c r="AY613" i="1" s="1"/>
  <c r="AY614" i="1" a="1"/>
  <c r="AY614" i="1" s="1"/>
  <c r="AY616" i="1" a="1"/>
  <c r="AY616" i="1" s="1"/>
  <c r="AE617" i="1"/>
  <c r="AG617" i="1"/>
  <c r="AV617" i="1" a="1"/>
  <c r="AV617" i="1" s="1"/>
  <c r="AX617" i="1" a="1"/>
  <c r="AX617" i="1" s="1"/>
  <c r="AY619" i="1" a="1"/>
  <c r="AY619" i="1" s="1"/>
  <c r="AV620" i="1" a="1"/>
  <c r="AV620" i="1" s="1"/>
  <c r="AW620" i="1" a="1"/>
  <c r="AW620" i="1" s="1"/>
  <c r="AY620" i="1" a="1"/>
  <c r="AY620" i="1" s="1"/>
  <c r="AE621" i="1"/>
  <c r="AV621" i="1" a="1"/>
  <c r="AV621" i="1" s="1"/>
  <c r="AX621" i="1" a="1"/>
  <c r="AX621" i="1" s="1"/>
  <c r="AY621" i="1" a="1"/>
  <c r="AY621" i="1" s="1"/>
  <c r="AY622" i="1" a="1"/>
  <c r="AY622" i="1" s="1"/>
  <c r="AV623" i="1" a="1"/>
  <c r="AV623" i="1" s="1"/>
  <c r="AX623" i="1" a="1"/>
  <c r="AX623" i="1" s="1"/>
  <c r="AY623" i="1" a="1"/>
  <c r="AY623" i="1" s="1"/>
  <c r="AY625" i="1" a="1"/>
  <c r="AY625" i="1" s="1"/>
  <c r="AD626" i="1"/>
  <c r="AE626" i="1"/>
  <c r="AF626" i="1"/>
  <c r="AG626" i="1"/>
  <c r="AY626" i="1" a="1"/>
  <c r="AY626" i="1" s="1"/>
  <c r="AV627" i="1" a="1"/>
  <c r="AV627" i="1" s="1"/>
  <c r="AY627" i="1" a="1"/>
  <c r="AY627" i="1" s="1"/>
  <c r="AY628" i="1" a="1"/>
  <c r="AY628" i="1" s="1"/>
  <c r="AV630" i="1" a="1"/>
  <c r="AV630" i="1" s="1"/>
  <c r="AY630" i="1" a="1"/>
  <c r="AY630" i="1" s="1"/>
  <c r="AE631" i="1"/>
  <c r="AG631" i="1"/>
  <c r="AV633" i="1" a="1"/>
  <c r="AV633" i="1" s="1"/>
  <c r="AX633" i="1" a="1"/>
  <c r="AX633" i="1" s="1"/>
  <c r="AV634" i="1" a="1"/>
  <c r="AV634" i="1" s="1"/>
  <c r="AE638" i="1"/>
  <c r="AG638" i="1"/>
  <c r="AY639" i="1" a="1"/>
  <c r="AY639" i="1" s="1"/>
  <c r="AY641" i="1" a="1"/>
  <c r="AY641" i="1" s="1"/>
  <c r="AE642" i="1"/>
  <c r="AG642" i="1"/>
  <c r="AV643" i="1" a="1"/>
  <c r="AV643" i="1" s="1"/>
  <c r="AX643" i="1" a="1"/>
  <c r="AX643" i="1" s="1"/>
  <c r="AV645" i="1" a="1"/>
  <c r="AV645" i="1" s="1"/>
  <c r="AE653" i="1"/>
  <c r="AG653" i="1"/>
  <c r="AY653" i="1" a="1"/>
  <c r="AY653" i="1" s="1"/>
  <c r="AY654" i="1" a="1"/>
  <c r="AY654" i="1" s="1"/>
  <c r="AY655" i="1" a="1"/>
  <c r="AY655" i="1" s="1"/>
  <c r="AV657" i="1" a="1"/>
  <c r="AV657" i="1" s="1"/>
  <c r="AY657" i="1" a="1"/>
  <c r="AY657" i="1" s="1"/>
  <c r="AE658" i="1"/>
  <c r="AG658" i="1"/>
  <c r="AY660" i="1" a="1"/>
  <c r="AY660" i="1" s="1"/>
  <c r="AV661" i="1" a="1"/>
  <c r="AV661" i="1" s="1"/>
  <c r="AY661" i="1" a="1"/>
  <c r="AY661" i="1" s="1"/>
  <c r="AE664" i="1"/>
  <c r="AE669" i="1"/>
  <c r="AV669" i="1" a="1"/>
  <c r="AV669" i="1" s="1"/>
  <c r="AX669" i="1" a="1"/>
  <c r="AX669" i="1" s="1"/>
  <c r="AG670" i="1"/>
  <c r="AY670" i="1" a="1"/>
  <c r="AY670" i="1" s="1"/>
  <c r="AY671" i="1" a="1"/>
  <c r="AY671" i="1" s="1"/>
  <c r="AV673" i="1" a="1"/>
  <c r="AV673" i="1" s="1"/>
  <c r="AV676" i="1" a="1"/>
  <c r="AV676" i="1" s="1"/>
  <c r="AX676" i="1" a="1"/>
  <c r="AX676" i="1" s="1"/>
  <c r="AV677" i="1" a="1"/>
  <c r="AV677" i="1" s="1"/>
  <c r="AW677" i="1" a="1"/>
  <c r="AW677" i="1" s="1"/>
  <c r="AX677" i="1" a="1"/>
  <c r="AX677" i="1" s="1"/>
  <c r="AE678" i="1"/>
  <c r="AG679" i="1"/>
  <c r="AY680" i="1" a="1"/>
  <c r="AY680" i="1" s="1"/>
  <c r="AV681" i="1" a="1"/>
  <c r="AV681" i="1" s="1"/>
  <c r="AV682" i="1" a="1"/>
  <c r="AV682" i="1" s="1"/>
  <c r="AY682" i="1" a="1"/>
  <c r="AY682" i="1" s="1"/>
  <c r="AG686" i="1"/>
  <c r="AG687" i="1"/>
  <c r="AG688" i="1"/>
  <c r="AG689" i="1"/>
  <c r="AV689" i="1" a="1"/>
  <c r="AV689" i="1" s="1"/>
  <c r="AX689" i="1" a="1"/>
  <c r="AX689" i="1" s="1"/>
  <c r="AY689" i="1" a="1"/>
  <c r="AY689" i="1" s="1"/>
  <c r="AY690" i="1" a="1"/>
  <c r="AY690" i="1" s="1"/>
  <c r="AG691" i="1"/>
  <c r="AY691" i="1" a="1"/>
  <c r="AY691" i="1" s="1"/>
  <c r="AV692" i="1" a="1"/>
  <c r="AV692" i="1" s="1"/>
  <c r="AY692" i="1" a="1"/>
  <c r="AY692" i="1" s="1"/>
  <c r="AY693" i="1" a="1"/>
  <c r="AY693" i="1" s="1"/>
  <c r="AV694" i="1" a="1"/>
  <c r="AV694" i="1" s="1"/>
  <c r="AX694" i="1" a="1"/>
  <c r="AX694" i="1" s="1"/>
  <c r="AY694" i="1" a="1"/>
  <c r="AY694" i="1" s="1"/>
  <c r="AY696" i="1" a="1"/>
  <c r="AY696" i="1" s="1"/>
  <c r="AE697" i="1"/>
  <c r="AG697" i="1"/>
  <c r="AD699" i="1"/>
  <c r="AE699" i="1"/>
  <c r="AV699" i="1" a="1"/>
  <c r="AV699" i="1" s="1"/>
  <c r="AX699" i="1" a="1"/>
  <c r="AX699" i="1" s="1"/>
  <c r="AY699" i="1" a="1"/>
  <c r="AY699" i="1" s="1"/>
  <c r="AY700" i="1" a="1"/>
  <c r="AY700" i="1" s="1"/>
  <c r="AV701" i="1" a="1"/>
  <c r="AV701" i="1" s="1"/>
  <c r="AY701" i="1" a="1"/>
  <c r="AY701" i="1" s="1"/>
  <c r="AY702" i="1" a="1"/>
  <c r="AY702" i="1" s="1"/>
  <c r="AE703" i="1"/>
  <c r="AG703" i="1"/>
  <c r="AV703" i="1" a="1"/>
  <c r="AV703" i="1" s="1"/>
  <c r="AX703" i="1" a="1"/>
  <c r="AX703" i="1" s="1"/>
  <c r="AV705" i="1" a="1"/>
  <c r="AV705" i="1" s="1"/>
  <c r="AE709" i="1"/>
  <c r="AV709" i="1" a="1"/>
  <c r="AV709" i="1" s="1"/>
  <c r="AX709" i="1" a="1"/>
  <c r="AX709" i="1" s="1"/>
  <c r="AE711" i="1"/>
  <c r="AG711" i="1"/>
  <c r="AH5" i="1"/>
  <c r="AH6" i="1"/>
  <c r="AH9" i="1"/>
  <c r="AH10" i="1"/>
  <c r="AH11" i="1"/>
  <c r="AH12" i="1"/>
  <c r="AH13" i="1"/>
  <c r="AH14" i="1"/>
  <c r="AH15" i="1"/>
  <c r="X3" i="1" a="1"/>
  <c r="X3" i="1" s="1"/>
  <c r="X4" i="1" a="1"/>
  <c r="X4" i="1" s="1"/>
  <c r="X5" i="1" a="1"/>
  <c r="X5" i="1"/>
  <c r="X6" i="1" a="1"/>
  <c r="X6" i="1" s="1"/>
  <c r="X7" i="1" a="1"/>
  <c r="X7" i="1" s="1"/>
  <c r="X8" i="1" a="1"/>
  <c r="X8" i="1"/>
  <c r="X9" i="1" a="1"/>
  <c r="X9" i="1"/>
  <c r="X10" i="1" a="1"/>
  <c r="X10" i="1"/>
  <c r="X11" i="1" a="1"/>
  <c r="X11" i="1" s="1"/>
  <c r="X12" i="1" a="1"/>
  <c r="X12" i="1" s="1"/>
  <c r="X13" i="1" a="1"/>
  <c r="X13" i="1"/>
  <c r="X14" i="1" a="1"/>
  <c r="X14" i="1" s="1"/>
  <c r="X15" i="1" a="1"/>
  <c r="X15" i="1" s="1"/>
  <c r="X16" i="1" a="1"/>
  <c r="X16" i="1"/>
  <c r="X17" i="1" a="1"/>
  <c r="X17" i="1"/>
  <c r="X18" i="1" a="1"/>
  <c r="X18" i="1"/>
  <c r="X19" i="1" a="1"/>
  <c r="X19" i="1" s="1"/>
  <c r="X20" i="1" a="1"/>
  <c r="X20" i="1" s="1"/>
  <c r="X21" i="1" a="1"/>
  <c r="X21" i="1"/>
  <c r="X22" i="1" a="1"/>
  <c r="X22" i="1" s="1"/>
  <c r="X23" i="1" a="1"/>
  <c r="X23" i="1" s="1"/>
  <c r="X30" i="1" a="1"/>
  <c r="X30" i="1" s="1"/>
  <c r="X31" i="1" a="1"/>
  <c r="X31" i="1" s="1"/>
  <c r="X32" i="1" a="1"/>
  <c r="X32" i="1"/>
  <c r="X33" i="1" a="1"/>
  <c r="X33" i="1"/>
  <c r="X34" i="1" a="1"/>
  <c r="X34" i="1" s="1"/>
  <c r="X35" i="1" a="1"/>
  <c r="X35" i="1" s="1"/>
  <c r="X36" i="1" a="1"/>
  <c r="X36" i="1"/>
  <c r="X37" i="1" a="1"/>
  <c r="X37" i="1"/>
  <c r="X38" i="1" a="1"/>
  <c r="X38" i="1" s="1"/>
  <c r="X39" i="1" a="1"/>
  <c r="X39" i="1" s="1"/>
  <c r="X40" i="1" a="1"/>
  <c r="X40" i="1"/>
  <c r="X41" i="1" a="1"/>
  <c r="X41" i="1" s="1"/>
  <c r="X42" i="1" a="1"/>
  <c r="X42" i="1"/>
  <c r="X43" i="1" a="1"/>
  <c r="X43" i="1" s="1"/>
  <c r="X44" i="1" a="1"/>
  <c r="X44" i="1" s="1"/>
  <c r="X45" i="1" a="1"/>
  <c r="X45" i="1"/>
  <c r="X46" i="1" a="1"/>
  <c r="X46" i="1" s="1"/>
  <c r="X47" i="1" a="1"/>
  <c r="X47" i="1" s="1"/>
  <c r="X48" i="1" a="1"/>
  <c r="X48" i="1"/>
  <c r="X49" i="1" a="1"/>
  <c r="X49" i="1" s="1"/>
  <c r="X50" i="1" a="1"/>
  <c r="X50" i="1" s="1"/>
  <c r="X51" i="1" a="1"/>
  <c r="X51" i="1"/>
  <c r="X52" i="1" a="1"/>
  <c r="X52" i="1" s="1"/>
  <c r="X53" i="1" a="1"/>
  <c r="X53" i="1" s="1"/>
  <c r="X54" i="1" a="1"/>
  <c r="X54" i="1" s="1"/>
  <c r="X55" i="1" a="1"/>
  <c r="X55" i="1" s="1"/>
  <c r="X56" i="1" a="1"/>
  <c r="X56" i="1"/>
  <c r="X57" i="1" a="1"/>
  <c r="X57" i="1"/>
  <c r="X58" i="1" a="1"/>
  <c r="X58" i="1" s="1"/>
  <c r="X59" i="1" a="1"/>
  <c r="X59" i="1" s="1"/>
  <c r="X60" i="1" a="1"/>
  <c r="X60" i="1"/>
  <c r="X61" i="1" a="1"/>
  <c r="X61" i="1" s="1"/>
  <c r="X62" i="1" a="1"/>
  <c r="X62" i="1" s="1"/>
  <c r="X63" i="1" a="1"/>
  <c r="X63" i="1" s="1"/>
  <c r="X64" i="1" a="1"/>
  <c r="X64" i="1"/>
  <c r="X65" i="1" a="1"/>
  <c r="X65" i="1"/>
  <c r="X66" i="1" a="1"/>
  <c r="X66" i="1"/>
  <c r="X67" i="1" a="1"/>
  <c r="X67" i="1" s="1"/>
  <c r="X68" i="1" a="1"/>
  <c r="X68" i="1" s="1"/>
  <c r="X69" i="1" a="1"/>
  <c r="X69" i="1"/>
  <c r="X70" i="1" a="1"/>
  <c r="X70" i="1" s="1"/>
  <c r="X71" i="1" a="1"/>
  <c r="X71" i="1" s="1"/>
  <c r="X72" i="1" a="1"/>
  <c r="X72" i="1"/>
  <c r="X73" i="1" a="1"/>
  <c r="X73" i="1"/>
  <c r="X74" i="1" a="1"/>
  <c r="X74" i="1"/>
  <c r="X75" i="1" a="1"/>
  <c r="X75" i="1"/>
  <c r="X76" i="1" a="1"/>
  <c r="X76" i="1" s="1"/>
  <c r="X77" i="1" a="1"/>
  <c r="X77" i="1" s="1"/>
  <c r="X78" i="1" a="1"/>
  <c r="X78" i="1" s="1"/>
  <c r="X79" i="1" a="1"/>
  <c r="X79" i="1" s="1"/>
  <c r="X80" i="1" a="1"/>
  <c r="X80" i="1" s="1"/>
  <c r="X81" i="1" a="1"/>
  <c r="X81" i="1" s="1"/>
  <c r="X82" i="1" a="1"/>
  <c r="X82" i="1"/>
  <c r="X83" i="1" a="1"/>
  <c r="X83" i="1"/>
  <c r="X84" i="1" a="1"/>
  <c r="X84" i="1"/>
  <c r="X85" i="1" a="1"/>
  <c r="X85" i="1" s="1"/>
  <c r="X86" i="1" a="1"/>
  <c r="X86" i="1" s="1"/>
  <c r="X87" i="1" a="1"/>
  <c r="X87" i="1" s="1"/>
  <c r="X88" i="1" a="1"/>
  <c r="X88" i="1"/>
  <c r="X89" i="1" a="1"/>
  <c r="X89" i="1" s="1"/>
  <c r="X90" i="1" a="1"/>
  <c r="X90" i="1" s="1"/>
  <c r="X91" i="1" a="1"/>
  <c r="X91" i="1"/>
  <c r="X92" i="1" a="1"/>
  <c r="X92" i="1"/>
  <c r="X93" i="1" a="1"/>
  <c r="X93" i="1"/>
  <c r="X94" i="1" a="1"/>
  <c r="X94" i="1" s="1"/>
  <c r="X95" i="1" a="1"/>
  <c r="X95" i="1" s="1"/>
  <c r="X96" i="1" a="1"/>
  <c r="X96" i="1" s="1"/>
  <c r="X97" i="1" a="1"/>
  <c r="X97" i="1"/>
  <c r="X98" i="1" a="1"/>
  <c r="X98" i="1" s="1"/>
  <c r="X99" i="1" a="1"/>
  <c r="X99" i="1" s="1"/>
  <c r="X100" i="1" a="1"/>
  <c r="X100" i="1"/>
  <c r="X101" i="1" a="1"/>
  <c r="X101" i="1"/>
  <c r="X102" i="1" a="1"/>
  <c r="X102" i="1" s="1"/>
  <c r="X103" i="1" a="1"/>
  <c r="X103" i="1" s="1"/>
  <c r="X104" i="1" a="1"/>
  <c r="X104" i="1"/>
  <c r="X105" i="1" a="1"/>
  <c r="X105" i="1" s="1"/>
  <c r="X106" i="1" a="1"/>
  <c r="X106" i="1"/>
  <c r="X107" i="1" a="1"/>
  <c r="X107" i="1" s="1"/>
  <c r="X108" i="1" a="1"/>
  <c r="X108" i="1" s="1"/>
  <c r="X109" i="1" a="1"/>
  <c r="X109" i="1"/>
  <c r="X110" i="1" a="1"/>
  <c r="X110" i="1" s="1"/>
  <c r="X111" i="1" a="1"/>
  <c r="X111" i="1" s="1"/>
  <c r="X112" i="1" a="1"/>
  <c r="X112" i="1"/>
  <c r="X113" i="1" a="1"/>
  <c r="X113" i="1"/>
  <c r="X114" i="1" a="1"/>
  <c r="X114" i="1" s="1"/>
  <c r="X115" i="1" a="1"/>
  <c r="X115" i="1"/>
  <c r="X116" i="1" a="1"/>
  <c r="X116" i="1" s="1"/>
  <c r="X117" i="1" a="1"/>
  <c r="X117" i="1" s="1"/>
  <c r="X118" i="1" a="1"/>
  <c r="X118" i="1" s="1"/>
  <c r="X119" i="1" a="1"/>
  <c r="X119" i="1" s="1"/>
  <c r="X120" i="1" a="1"/>
  <c r="X120" i="1"/>
  <c r="X121" i="1" a="1"/>
  <c r="X121" i="1"/>
  <c r="X122" i="1" a="1"/>
  <c r="X122" i="1" s="1"/>
  <c r="X123" i="1" a="1"/>
  <c r="X123" i="1" s="1"/>
  <c r="X124" i="1" a="1"/>
  <c r="X124" i="1"/>
  <c r="X125" i="1" a="1"/>
  <c r="X125" i="1" s="1"/>
  <c r="X126" i="1" a="1"/>
  <c r="X126" i="1" s="1"/>
  <c r="X127" i="1" a="1"/>
  <c r="X127" i="1" s="1"/>
  <c r="X128" i="1" a="1"/>
  <c r="X128" i="1"/>
  <c r="X129" i="1" a="1"/>
  <c r="X129" i="1"/>
  <c r="X130" i="1" a="1"/>
  <c r="X130" i="1"/>
  <c r="X131" i="1" a="1"/>
  <c r="X131" i="1" s="1"/>
  <c r="X132" i="1" a="1"/>
  <c r="X132" i="1" s="1"/>
  <c r="X133" i="1" a="1"/>
  <c r="X133" i="1"/>
  <c r="X134" i="1" a="1"/>
  <c r="X134" i="1" s="1"/>
  <c r="X135" i="1" a="1"/>
  <c r="X135" i="1" s="1"/>
  <c r="X136" i="1" a="1"/>
  <c r="X136" i="1" s="1"/>
  <c r="X137" i="1" a="1"/>
  <c r="X137" i="1"/>
  <c r="X138" i="1" a="1"/>
  <c r="X138" i="1"/>
  <c r="X139" i="1" a="1"/>
  <c r="X139" i="1"/>
  <c r="X140" i="1" a="1"/>
  <c r="X140" i="1" s="1"/>
  <c r="X141" i="1" a="1"/>
  <c r="X141" i="1" s="1"/>
  <c r="X142" i="1" a="1"/>
  <c r="X142" i="1" s="1"/>
  <c r="X143" i="1" a="1"/>
  <c r="X143" i="1" s="1"/>
  <c r="X144" i="1" a="1"/>
  <c r="X144" i="1" s="1"/>
  <c r="X145" i="1" a="1"/>
  <c r="X145" i="1" s="1"/>
  <c r="X146" i="1" a="1"/>
  <c r="X146" i="1"/>
  <c r="X147" i="1" a="1"/>
  <c r="X147" i="1"/>
  <c r="X148" i="1" a="1"/>
  <c r="X148" i="1"/>
  <c r="X149" i="1" a="1"/>
  <c r="X149" i="1" s="1"/>
  <c r="X150" i="1" a="1"/>
  <c r="X150" i="1" s="1"/>
  <c r="X151" i="1" a="1"/>
  <c r="X151" i="1" s="1"/>
  <c r="X152" i="1" a="1"/>
  <c r="X152" i="1"/>
  <c r="X153" i="1" a="1"/>
  <c r="X153" i="1" s="1"/>
  <c r="X154" i="1" a="1"/>
  <c r="X154" i="1" s="1"/>
  <c r="X155" i="1" a="1"/>
  <c r="X155" i="1"/>
  <c r="X156" i="1" a="1"/>
  <c r="X156" i="1"/>
  <c r="X157" i="1" a="1"/>
  <c r="X157" i="1"/>
  <c r="X158" i="1" a="1"/>
  <c r="X158" i="1" s="1"/>
  <c r="X159" i="1" a="1"/>
  <c r="X159" i="1" s="1"/>
  <c r="X160" i="1" a="1"/>
  <c r="X160" i="1" s="1"/>
  <c r="X161" i="1" a="1"/>
  <c r="X161" i="1"/>
  <c r="X162" i="1" a="1"/>
  <c r="X162" i="1" s="1"/>
  <c r="X163" i="1" a="1"/>
  <c r="X163" i="1" s="1"/>
  <c r="X164" i="1" a="1"/>
  <c r="X164" i="1"/>
  <c r="X165" i="1" a="1"/>
  <c r="X165" i="1"/>
  <c r="X166" i="1" a="1"/>
  <c r="X166" i="1" s="1"/>
  <c r="X167" i="1" a="1"/>
  <c r="X167" i="1" s="1"/>
  <c r="X168" i="1" a="1"/>
  <c r="X168" i="1" s="1"/>
  <c r="X169" i="1" a="1"/>
  <c r="X169" i="1" s="1"/>
  <c r="X170" i="1" a="1"/>
  <c r="X170" i="1"/>
  <c r="X171" i="1" a="1"/>
  <c r="X171" i="1" s="1"/>
  <c r="X172" i="1" a="1"/>
  <c r="X172" i="1" s="1"/>
  <c r="X173" i="1" a="1"/>
  <c r="X173" i="1"/>
  <c r="X174" i="1" a="1"/>
  <c r="X174" i="1" s="1"/>
  <c r="X175" i="1" a="1"/>
  <c r="X175" i="1" s="1"/>
  <c r="X176" i="1" a="1"/>
  <c r="X176" i="1"/>
  <c r="X177" i="1" a="1"/>
  <c r="X177" i="1" s="1"/>
  <c r="X178" i="1" a="1"/>
  <c r="X178" i="1" s="1"/>
  <c r="X179" i="1" a="1"/>
  <c r="X179" i="1"/>
  <c r="X180" i="1" a="1"/>
  <c r="X180" i="1" s="1"/>
  <c r="X181" i="1" a="1"/>
  <c r="X181" i="1" s="1"/>
  <c r="X182" i="1" a="1"/>
  <c r="X182" i="1" s="1"/>
  <c r="X183" i="1" a="1"/>
  <c r="X183" i="1" s="1"/>
  <c r="X184" i="1" a="1"/>
  <c r="X184" i="1"/>
  <c r="X185" i="1" a="1"/>
  <c r="X185" i="1"/>
  <c r="X186" i="1" a="1"/>
  <c r="X186" i="1" s="1"/>
  <c r="X187" i="1" a="1"/>
  <c r="X187" i="1" s="1"/>
  <c r="X188" i="1" a="1"/>
  <c r="X188" i="1"/>
  <c r="X189" i="1" a="1"/>
  <c r="X189" i="1" s="1"/>
  <c r="X190" i="1" a="1"/>
  <c r="X190" i="1" s="1"/>
  <c r="X191" i="1" a="1"/>
  <c r="X191" i="1" s="1"/>
  <c r="X192" i="1" a="1"/>
  <c r="X192" i="1"/>
  <c r="X193" i="1" a="1"/>
  <c r="X193" i="1"/>
  <c r="X194" i="1" a="1"/>
  <c r="X194" i="1"/>
  <c r="X195" i="1" a="1"/>
  <c r="X195" i="1" s="1"/>
  <c r="X196" i="1" a="1"/>
  <c r="X196" i="1" s="1"/>
  <c r="X197" i="1" a="1"/>
  <c r="X197" i="1"/>
  <c r="X198" i="1" a="1"/>
  <c r="X198" i="1" s="1"/>
  <c r="X199" i="1" a="1"/>
  <c r="X199" i="1" s="1"/>
  <c r="X200" i="1" a="1"/>
  <c r="X200" i="1" s="1"/>
  <c r="X201" i="1" a="1"/>
  <c r="X201" i="1"/>
  <c r="X202" i="1" a="1"/>
  <c r="X202" i="1"/>
  <c r="X203" i="1" a="1"/>
  <c r="X203" i="1"/>
  <c r="X204" i="1" a="1"/>
  <c r="X204" i="1" s="1"/>
  <c r="X205" i="1" a="1"/>
  <c r="X205" i="1" s="1"/>
  <c r="X206" i="1" a="1"/>
  <c r="X206" i="1" s="1"/>
  <c r="X207" i="1" a="1"/>
  <c r="X207" i="1" s="1"/>
  <c r="X208" i="1" a="1"/>
  <c r="X208" i="1" s="1"/>
  <c r="X209" i="1" a="1"/>
  <c r="X209" i="1" s="1"/>
  <c r="X210" i="1" a="1"/>
  <c r="X210" i="1"/>
  <c r="X211" i="1" a="1"/>
  <c r="X211" i="1"/>
  <c r="X212" i="1" a="1"/>
  <c r="X212" i="1"/>
  <c r="X213" i="1" a="1"/>
  <c r="X213" i="1" s="1"/>
  <c r="X214" i="1" a="1"/>
  <c r="X214" i="1" s="1"/>
  <c r="X215" i="1" a="1"/>
  <c r="X215" i="1" s="1"/>
  <c r="X216" i="1" a="1"/>
  <c r="X216" i="1"/>
  <c r="X217" i="1" a="1"/>
  <c r="X217" i="1" s="1"/>
  <c r="X218" i="1" a="1"/>
  <c r="X218" i="1" s="1"/>
  <c r="X219" i="1" a="1"/>
  <c r="X219" i="1"/>
  <c r="X220" i="1" a="1"/>
  <c r="X220" i="1"/>
  <c r="X221" i="1" a="1"/>
  <c r="X221" i="1"/>
  <c r="X222" i="1" a="1"/>
  <c r="X222" i="1" s="1"/>
  <c r="X223" i="1" a="1"/>
  <c r="X223" i="1" s="1"/>
  <c r="X224" i="1" a="1"/>
  <c r="X224" i="1" s="1"/>
  <c r="X225" i="1" a="1"/>
  <c r="X225" i="1"/>
  <c r="X226" i="1" a="1"/>
  <c r="X226" i="1" s="1"/>
  <c r="X227" i="1" a="1"/>
  <c r="X227" i="1" s="1"/>
  <c r="X228" i="1" a="1"/>
  <c r="X228" i="1"/>
  <c r="X229" i="1" a="1"/>
  <c r="X229" i="1"/>
  <c r="X230" i="1" a="1"/>
  <c r="X230" i="1" s="1"/>
  <c r="X231" i="1" a="1"/>
  <c r="X231" i="1" s="1"/>
  <c r="X232" i="1" a="1"/>
  <c r="X232" i="1" s="1"/>
  <c r="X233" i="1" a="1"/>
  <c r="X233" i="1" s="1"/>
  <c r="X234" i="1" a="1"/>
  <c r="X234" i="1"/>
  <c r="X235" i="1" a="1"/>
  <c r="X235" i="1" s="1"/>
  <c r="X236" i="1" a="1"/>
  <c r="X236" i="1" s="1"/>
  <c r="X237" i="1" a="1"/>
  <c r="X237" i="1"/>
  <c r="X238" i="1" a="1"/>
  <c r="X238" i="1" s="1"/>
  <c r="X239" i="1" a="1"/>
  <c r="X239" i="1" s="1"/>
  <c r="X240" i="1" a="1"/>
  <c r="X240" i="1"/>
  <c r="X241" i="1" a="1"/>
  <c r="X241" i="1" s="1"/>
  <c r="X242" i="1" a="1"/>
  <c r="X242" i="1" s="1"/>
  <c r="X243" i="1" a="1"/>
  <c r="X243" i="1"/>
  <c r="X244" i="1" a="1"/>
  <c r="X244" i="1" s="1"/>
  <c r="X245" i="1" a="1"/>
  <c r="X245" i="1" s="1"/>
  <c r="X246" i="1" a="1"/>
  <c r="X246" i="1" s="1"/>
  <c r="X247" i="1" a="1"/>
  <c r="X247" i="1" s="1"/>
  <c r="X248" i="1" a="1"/>
  <c r="X248" i="1"/>
  <c r="X249" i="1" a="1"/>
  <c r="X249" i="1"/>
  <c r="X250" i="1" a="1"/>
  <c r="X250" i="1" s="1"/>
  <c r="X251" i="1" a="1"/>
  <c r="X251" i="1" s="1"/>
  <c r="X252" i="1" a="1"/>
  <c r="X252" i="1"/>
  <c r="X253" i="1" a="1"/>
  <c r="X253" i="1" s="1"/>
  <c r="X254" i="1" a="1"/>
  <c r="X254" i="1" s="1"/>
  <c r="X255" i="1" a="1"/>
  <c r="X255" i="1" s="1"/>
  <c r="X256" i="1" a="1"/>
  <c r="X256" i="1"/>
  <c r="X257" i="1" a="1"/>
  <c r="X257" i="1"/>
  <c r="X258" i="1" a="1"/>
  <c r="X258" i="1"/>
  <c r="X259" i="1" a="1"/>
  <c r="X259" i="1" s="1"/>
  <c r="X260" i="1" a="1"/>
  <c r="X260" i="1" s="1"/>
  <c r="X261" i="1" a="1"/>
  <c r="X261" i="1"/>
  <c r="X262" i="1" a="1"/>
  <c r="X262" i="1" s="1"/>
  <c r="X263" i="1" a="1"/>
  <c r="X263" i="1" s="1"/>
  <c r="X264" i="1" a="1"/>
  <c r="X264" i="1" s="1"/>
  <c r="X265" i="1" a="1"/>
  <c r="X265" i="1"/>
  <c r="X266" i="1" a="1"/>
  <c r="X266" i="1"/>
  <c r="X267" i="1" a="1"/>
  <c r="X267" i="1"/>
  <c r="X268" i="1" a="1"/>
  <c r="X268" i="1" s="1"/>
  <c r="X269" i="1" a="1"/>
  <c r="X269" i="1" s="1"/>
  <c r="X270" i="1" a="1"/>
  <c r="X270" i="1" s="1"/>
  <c r="X271" i="1" a="1"/>
  <c r="X271" i="1" s="1"/>
  <c r="X272" i="1" a="1"/>
  <c r="X272" i="1" s="1"/>
  <c r="X273" i="1" a="1"/>
  <c r="X273" i="1" s="1"/>
  <c r="X274" i="1" a="1"/>
  <c r="X274" i="1"/>
  <c r="X275" i="1" a="1"/>
  <c r="X275" i="1"/>
  <c r="X276" i="1" a="1"/>
  <c r="X276" i="1"/>
  <c r="X277" i="1" a="1"/>
  <c r="X277" i="1" s="1"/>
  <c r="X278" i="1" a="1"/>
  <c r="X278" i="1" s="1"/>
  <c r="X279" i="1" a="1"/>
  <c r="X279" i="1" s="1"/>
  <c r="X280" i="1" a="1"/>
  <c r="X280" i="1"/>
  <c r="X281" i="1" a="1"/>
  <c r="X281" i="1" s="1"/>
  <c r="X282" i="1" a="1"/>
  <c r="X282" i="1" s="1"/>
  <c r="X283" i="1" a="1"/>
  <c r="X283" i="1"/>
  <c r="X284" i="1" a="1"/>
  <c r="X284" i="1"/>
  <c r="X285" i="1" a="1"/>
  <c r="X285" i="1"/>
  <c r="X286" i="1" a="1"/>
  <c r="X286" i="1" s="1"/>
  <c r="X287" i="1" a="1"/>
  <c r="X287" i="1" s="1"/>
  <c r="X288" i="1" a="1"/>
  <c r="X288" i="1" s="1"/>
  <c r="X289" i="1" a="1"/>
  <c r="X289" i="1"/>
  <c r="X290" i="1" a="1"/>
  <c r="X290" i="1" s="1"/>
  <c r="X291" i="1" a="1"/>
  <c r="X291" i="1" s="1"/>
  <c r="X292" i="1" a="1"/>
  <c r="X292" i="1"/>
  <c r="X293" i="1" a="1"/>
  <c r="X293" i="1"/>
  <c r="X294" i="1" a="1"/>
  <c r="X294" i="1" s="1"/>
  <c r="X295" i="1" a="1"/>
  <c r="X295" i="1" s="1"/>
  <c r="X296" i="1" a="1"/>
  <c r="X296" i="1" s="1"/>
  <c r="X297" i="1" a="1"/>
  <c r="X297" i="1" s="1"/>
  <c r="X298" i="1" a="1"/>
  <c r="X298" i="1"/>
  <c r="X299" i="1" a="1"/>
  <c r="X299" i="1" s="1"/>
  <c r="X300" i="1" a="1"/>
  <c r="X300" i="1" s="1"/>
  <c r="X301" i="1" a="1"/>
  <c r="X301" i="1"/>
  <c r="X302" i="1" a="1"/>
  <c r="X302" i="1" s="1"/>
  <c r="X303" i="1" a="1"/>
  <c r="X303" i="1" s="1"/>
  <c r="X304" i="1" a="1"/>
  <c r="X304" i="1"/>
  <c r="X305" i="1" a="1"/>
  <c r="X305" i="1" s="1"/>
  <c r="X306" i="1" a="1"/>
  <c r="X306" i="1" s="1"/>
  <c r="X307" i="1" a="1"/>
  <c r="X307" i="1"/>
  <c r="X308" i="1" a="1"/>
  <c r="X308" i="1" s="1"/>
  <c r="X309" i="1" a="1"/>
  <c r="X309" i="1" s="1"/>
  <c r="X310" i="1" a="1"/>
  <c r="X310" i="1" s="1"/>
  <c r="X311" i="1" a="1"/>
  <c r="X311" i="1" s="1"/>
  <c r="X312" i="1" a="1"/>
  <c r="X312" i="1"/>
  <c r="X313" i="1" a="1"/>
  <c r="X313" i="1"/>
  <c r="X314" i="1" a="1"/>
  <c r="X314" i="1" s="1"/>
  <c r="X315" i="1" a="1"/>
  <c r="X315" i="1" s="1"/>
  <c r="X316" i="1" a="1"/>
  <c r="X316" i="1"/>
  <c r="X317" i="1" a="1"/>
  <c r="X317" i="1" s="1"/>
  <c r="X318" i="1" a="1"/>
  <c r="X318" i="1" s="1"/>
  <c r="X319" i="1" a="1"/>
  <c r="X319" i="1" s="1"/>
  <c r="X320" i="1" a="1"/>
  <c r="X320" i="1"/>
  <c r="X321" i="1" a="1"/>
  <c r="X321" i="1"/>
  <c r="X322" i="1" a="1"/>
  <c r="X322" i="1"/>
  <c r="X323" i="1" a="1"/>
  <c r="X323" i="1" s="1"/>
  <c r="X324" i="1" a="1"/>
  <c r="X324" i="1" s="1"/>
  <c r="X325" i="1" a="1"/>
  <c r="X325" i="1"/>
  <c r="X326" i="1" a="1"/>
  <c r="X326" i="1" s="1"/>
  <c r="X327" i="1" a="1"/>
  <c r="X327" i="1" s="1"/>
  <c r="X328" i="1" a="1"/>
  <c r="X328" i="1" s="1"/>
  <c r="X329" i="1" a="1"/>
  <c r="X329" i="1"/>
  <c r="X330" i="1" a="1"/>
  <c r="X330" i="1"/>
  <c r="X331" i="1" a="1"/>
  <c r="X331" i="1"/>
  <c r="X332" i="1" a="1"/>
  <c r="X332" i="1" s="1"/>
  <c r="X333" i="1" a="1"/>
  <c r="X333" i="1" s="1"/>
  <c r="X334" i="1" a="1"/>
  <c r="X334" i="1" s="1"/>
  <c r="X335" i="1" a="1"/>
  <c r="X335" i="1" s="1"/>
  <c r="X336" i="1" a="1"/>
  <c r="X336" i="1" s="1"/>
  <c r="X337" i="1" a="1"/>
  <c r="X337" i="1" s="1"/>
  <c r="X338" i="1" a="1"/>
  <c r="X338" i="1"/>
  <c r="X339" i="1" a="1"/>
  <c r="X339" i="1"/>
  <c r="X340" i="1" a="1"/>
  <c r="X340" i="1"/>
  <c r="X341" i="1" a="1"/>
  <c r="X341" i="1" s="1"/>
  <c r="X342" i="1" a="1"/>
  <c r="X342" i="1" s="1"/>
  <c r="X343" i="1" a="1"/>
  <c r="X343" i="1" s="1"/>
  <c r="X344" i="1" a="1"/>
  <c r="X344" i="1"/>
  <c r="X345" i="1" a="1"/>
  <c r="X345" i="1" s="1"/>
  <c r="X346" i="1" a="1"/>
  <c r="X346" i="1" s="1"/>
  <c r="X347" i="1" a="1"/>
  <c r="X347" i="1"/>
  <c r="X348" i="1" a="1"/>
  <c r="X348" i="1"/>
  <c r="X349" i="1" a="1"/>
  <c r="X349" i="1"/>
  <c r="X350" i="1" a="1"/>
  <c r="X350" i="1" s="1"/>
  <c r="X351" i="1" a="1"/>
  <c r="X351" i="1" s="1"/>
  <c r="X352" i="1" a="1"/>
  <c r="X352" i="1" s="1"/>
  <c r="X353" i="1" a="1"/>
  <c r="X353" i="1"/>
  <c r="X354" i="1" a="1"/>
  <c r="X354" i="1" s="1"/>
  <c r="X355" i="1" a="1"/>
  <c r="X355" i="1" s="1"/>
  <c r="X356" i="1" a="1"/>
  <c r="X356" i="1"/>
  <c r="X357" i="1" a="1"/>
  <c r="X357" i="1"/>
  <c r="X358" i="1" a="1"/>
  <c r="X358" i="1" s="1"/>
  <c r="X359" i="1" a="1"/>
  <c r="X359" i="1" s="1"/>
  <c r="X360" i="1" a="1"/>
  <c r="X360" i="1" s="1"/>
  <c r="X361" i="1" a="1"/>
  <c r="X361" i="1" s="1"/>
  <c r="X362" i="1" a="1"/>
  <c r="X362" i="1"/>
  <c r="X363" i="1" a="1"/>
  <c r="X363" i="1" s="1"/>
  <c r="X364" i="1" a="1"/>
  <c r="X364" i="1" s="1"/>
  <c r="X365" i="1" a="1"/>
  <c r="X365" i="1"/>
  <c r="X366" i="1" a="1"/>
  <c r="X366" i="1" s="1"/>
  <c r="X367" i="1" a="1"/>
  <c r="X367" i="1" s="1"/>
  <c r="X368" i="1" a="1"/>
  <c r="X368" i="1"/>
  <c r="X369" i="1" a="1"/>
  <c r="X369" i="1" s="1"/>
  <c r="X370" i="1" a="1"/>
  <c r="X370" i="1" s="1"/>
  <c r="X371" i="1" a="1"/>
  <c r="X371" i="1"/>
  <c r="X372" i="1" a="1"/>
  <c r="X372" i="1" s="1"/>
  <c r="X373" i="1" a="1"/>
  <c r="X373" i="1" s="1"/>
  <c r="X374" i="1" a="1"/>
  <c r="X374" i="1" s="1"/>
  <c r="X375" i="1" a="1"/>
  <c r="X375" i="1" s="1"/>
  <c r="X376" i="1" a="1"/>
  <c r="X376" i="1"/>
  <c r="X377" i="1" a="1"/>
  <c r="X377" i="1"/>
  <c r="X378" i="1" a="1"/>
  <c r="X378" i="1" s="1"/>
  <c r="X379" i="1" a="1"/>
  <c r="X379" i="1" s="1"/>
  <c r="X380" i="1" a="1"/>
  <c r="X380" i="1"/>
  <c r="X381" i="1" a="1"/>
  <c r="X381" i="1" s="1"/>
  <c r="X382" i="1" a="1"/>
  <c r="X382" i="1" s="1"/>
  <c r="X383" i="1" a="1"/>
  <c r="X383" i="1" s="1"/>
  <c r="X384" i="1" a="1"/>
  <c r="X384" i="1"/>
  <c r="X385" i="1" a="1"/>
  <c r="X385" i="1"/>
  <c r="X386" i="1" a="1"/>
  <c r="X386" i="1"/>
  <c r="X387" i="1" a="1"/>
  <c r="X387" i="1" s="1"/>
  <c r="X388" i="1" a="1"/>
  <c r="X388" i="1" s="1"/>
  <c r="X389" i="1" a="1"/>
  <c r="X389" i="1"/>
  <c r="X390" i="1" a="1"/>
  <c r="X390" i="1" s="1"/>
  <c r="X391" i="1" a="1"/>
  <c r="X391" i="1" s="1"/>
  <c r="X392" i="1" a="1"/>
  <c r="X392" i="1" s="1"/>
  <c r="X393" i="1" a="1"/>
  <c r="X393" i="1"/>
  <c r="X394" i="1" a="1"/>
  <c r="X394" i="1"/>
  <c r="X395" i="1" a="1"/>
  <c r="X395" i="1"/>
  <c r="X396" i="1" a="1"/>
  <c r="X396" i="1" s="1"/>
  <c r="X397" i="1" a="1"/>
  <c r="X397" i="1" s="1"/>
  <c r="X398" i="1" a="1"/>
  <c r="X398" i="1" s="1"/>
  <c r="X399" i="1" a="1"/>
  <c r="X399" i="1" s="1"/>
  <c r="X400" i="1" a="1"/>
  <c r="X400" i="1" s="1"/>
  <c r="X401" i="1" a="1"/>
  <c r="X401" i="1" s="1"/>
  <c r="X402" i="1" a="1"/>
  <c r="X402" i="1"/>
  <c r="X403" i="1" a="1"/>
  <c r="X403" i="1"/>
  <c r="X404" i="1" a="1"/>
  <c r="X404" i="1"/>
  <c r="X405" i="1" a="1"/>
  <c r="X405" i="1" s="1"/>
  <c r="X406" i="1" a="1"/>
  <c r="X406" i="1" s="1"/>
  <c r="X407" i="1" a="1"/>
  <c r="X407" i="1" s="1"/>
  <c r="X408" i="1" a="1"/>
  <c r="X408" i="1"/>
  <c r="X409" i="1" a="1"/>
  <c r="X409" i="1" s="1"/>
  <c r="X410" i="1" a="1"/>
  <c r="X410" i="1" s="1"/>
  <c r="X411" i="1" a="1"/>
  <c r="X411" i="1"/>
  <c r="X412" i="1" a="1"/>
  <c r="X412" i="1"/>
  <c r="X413" i="1" a="1"/>
  <c r="X413" i="1"/>
  <c r="X414" i="1" a="1"/>
  <c r="X414" i="1" s="1"/>
  <c r="X415" i="1" a="1"/>
  <c r="X415" i="1" s="1"/>
  <c r="X416" i="1" a="1"/>
  <c r="X416" i="1" s="1"/>
  <c r="X417" i="1" a="1"/>
  <c r="X417" i="1"/>
  <c r="X418" i="1" a="1"/>
  <c r="X418" i="1" s="1"/>
  <c r="X419" i="1" a="1"/>
  <c r="X419" i="1" s="1"/>
  <c r="X420" i="1" a="1"/>
  <c r="X420" i="1"/>
  <c r="X421" i="1" a="1"/>
  <c r="X421" i="1"/>
  <c r="X422" i="1" a="1"/>
  <c r="X422" i="1" s="1"/>
  <c r="X423" i="1" a="1"/>
  <c r="X423" i="1" s="1"/>
  <c r="X424" i="1" a="1"/>
  <c r="X424" i="1" s="1"/>
  <c r="X425" i="1" a="1"/>
  <c r="X425" i="1" s="1"/>
  <c r="X426" i="1" a="1"/>
  <c r="X426" i="1"/>
  <c r="X427" i="1" a="1"/>
  <c r="X427" i="1" s="1"/>
  <c r="X428" i="1" a="1"/>
  <c r="X428" i="1" s="1"/>
  <c r="X429" i="1" a="1"/>
  <c r="X429" i="1"/>
  <c r="X430" i="1" a="1"/>
  <c r="X430" i="1" s="1"/>
  <c r="X431" i="1" a="1"/>
  <c r="X431" i="1" s="1"/>
  <c r="X432" i="1" a="1"/>
  <c r="X432" i="1"/>
  <c r="X433" i="1" a="1"/>
  <c r="X433" i="1" s="1"/>
  <c r="X434" i="1" a="1"/>
  <c r="X434" i="1" s="1"/>
  <c r="X435" i="1" a="1"/>
  <c r="X435" i="1"/>
  <c r="X436" i="1" a="1"/>
  <c r="X436" i="1" s="1"/>
  <c r="X437" i="1" a="1"/>
  <c r="X437" i="1" s="1"/>
  <c r="X438" i="1" a="1"/>
  <c r="X438" i="1" s="1"/>
  <c r="X439" i="1" a="1"/>
  <c r="X439" i="1" s="1"/>
  <c r="X440" i="1" a="1"/>
  <c r="X440" i="1"/>
  <c r="X441" i="1" a="1"/>
  <c r="X441" i="1"/>
  <c r="X442" i="1" a="1"/>
  <c r="X442" i="1" s="1"/>
  <c r="X443" i="1" a="1"/>
  <c r="X443" i="1" s="1"/>
  <c r="X444" i="1" a="1"/>
  <c r="X444" i="1"/>
  <c r="X445" i="1" a="1"/>
  <c r="X445" i="1" s="1"/>
  <c r="X446" i="1" a="1"/>
  <c r="X446" i="1" s="1"/>
  <c r="X447" i="1" a="1"/>
  <c r="X447" i="1" s="1"/>
  <c r="X448" i="1" a="1"/>
  <c r="X448" i="1"/>
  <c r="X449" i="1" a="1"/>
  <c r="X449" i="1"/>
  <c r="X450" i="1" a="1"/>
  <c r="X450" i="1" s="1"/>
  <c r="W450" i="1" s="1" a="1"/>
  <c r="W450" i="1" s="1"/>
  <c r="X451" i="1" a="1"/>
  <c r="X451" i="1" s="1"/>
  <c r="W451" i="1" s="1" a="1"/>
  <c r="W451" i="1" s="1"/>
  <c r="X452" i="1" a="1"/>
  <c r="X452" i="1" s="1"/>
  <c r="W452" i="1" s="1" a="1"/>
  <c r="W452" i="1" s="1"/>
  <c r="X453" i="1" a="1"/>
  <c r="X453" i="1" s="1"/>
  <c r="W453" i="1" s="1" a="1"/>
  <c r="W453" i="1" s="1"/>
  <c r="X454" i="1" a="1"/>
  <c r="X454" i="1" s="1"/>
  <c r="W454" i="1" s="1" a="1"/>
  <c r="W454" i="1" s="1"/>
  <c r="X455" i="1" a="1"/>
  <c r="X455" i="1" s="1"/>
  <c r="W455" i="1" s="1" a="1"/>
  <c r="W455" i="1" s="1"/>
  <c r="X456" i="1" a="1"/>
  <c r="X456" i="1" s="1"/>
  <c r="W456" i="1" s="1" a="1"/>
  <c r="W456" i="1" s="1"/>
  <c r="X457" i="1" a="1"/>
  <c r="X457" i="1" s="1"/>
  <c r="W457" i="1" s="1" a="1"/>
  <c r="W457" i="1" s="1"/>
  <c r="X459" i="1" a="1"/>
  <c r="X459" i="1" s="1"/>
  <c r="W459" i="1" s="1" a="1"/>
  <c r="W459" i="1" s="1"/>
  <c r="X460" i="1" a="1"/>
  <c r="X460" i="1" s="1"/>
  <c r="W460" i="1" s="1" a="1"/>
  <c r="W460" i="1" s="1"/>
  <c r="X461" i="1" a="1"/>
  <c r="X461" i="1" s="1"/>
  <c r="W461" i="1" s="1" a="1"/>
  <c r="W461" i="1" s="1"/>
  <c r="X462" i="1" a="1"/>
  <c r="X462" i="1" s="1"/>
  <c r="W462" i="1" s="1" a="1"/>
  <c r="W462" i="1" s="1"/>
  <c r="X463" i="1" a="1"/>
  <c r="X463" i="1" s="1"/>
  <c r="W463" i="1" s="1" a="1"/>
  <c r="W463" i="1" s="1"/>
  <c r="X464" i="1" a="1"/>
  <c r="X464" i="1" s="1"/>
  <c r="W464" i="1" s="1" a="1"/>
  <c r="W464" i="1" s="1"/>
  <c r="X465" i="1" a="1"/>
  <c r="X465" i="1" s="1"/>
  <c r="W465" i="1" s="1" a="1"/>
  <c r="W465" i="1" s="1"/>
  <c r="X466" i="1" a="1"/>
  <c r="X466" i="1" s="1"/>
  <c r="W466" i="1" s="1" a="1"/>
  <c r="W466" i="1" s="1"/>
  <c r="X473" i="1" a="1"/>
  <c r="X473" i="1" s="1"/>
  <c r="W473" i="1" s="1" a="1"/>
  <c r="W473" i="1" s="1"/>
  <c r="X474" i="1" a="1"/>
  <c r="X474" i="1" s="1"/>
  <c r="W474" i="1" s="1" a="1"/>
  <c r="W474" i="1" s="1"/>
  <c r="X475" i="1" a="1"/>
  <c r="X475" i="1" s="1"/>
  <c r="W475" i="1" s="1" a="1"/>
  <c r="W475" i="1" s="1"/>
  <c r="X476" i="1" a="1"/>
  <c r="X476" i="1" s="1"/>
  <c r="W476" i="1" s="1" a="1"/>
  <c r="W476" i="1" s="1"/>
  <c r="X479" i="1" a="1"/>
  <c r="X479" i="1" s="1"/>
  <c r="W479" i="1" s="1" a="1"/>
  <c r="W479" i="1" s="1"/>
  <c r="X480" i="1" a="1"/>
  <c r="X480" i="1" s="1"/>
  <c r="W480" i="1" s="1" a="1"/>
  <c r="W480" i="1" s="1"/>
  <c r="X481" i="1" a="1"/>
  <c r="X481" i="1" s="1"/>
  <c r="W481" i="1" s="1" a="1"/>
  <c r="W481" i="1" s="1"/>
  <c r="X482" i="1" a="1"/>
  <c r="X482" i="1" s="1"/>
  <c r="W482" i="1" s="1" a="1"/>
  <c r="W482" i="1" s="1"/>
  <c r="X483" i="1" a="1"/>
  <c r="X483" i="1" s="1"/>
  <c r="W483" i="1" s="1" a="1"/>
  <c r="W483" i="1" s="1"/>
  <c r="X484" i="1" a="1"/>
  <c r="X484" i="1" s="1"/>
  <c r="W484" i="1" s="1" a="1"/>
  <c r="W484" i="1" s="1"/>
  <c r="X485" i="1" a="1"/>
  <c r="X485" i="1" s="1"/>
  <c r="W485" i="1" s="1" a="1"/>
  <c r="W485" i="1" s="1"/>
  <c r="X486" i="1" a="1"/>
  <c r="X486" i="1" s="1"/>
  <c r="W486" i="1" s="1" a="1"/>
  <c r="W486" i="1" s="1"/>
  <c r="X487" i="1" a="1"/>
  <c r="X487" i="1" s="1"/>
  <c r="W487" i="1" s="1" a="1"/>
  <c r="W487" i="1" s="1"/>
  <c r="X488" i="1" a="1"/>
  <c r="X488" i="1" s="1"/>
  <c r="W488" i="1" s="1" a="1"/>
  <c r="W488" i="1" s="1"/>
  <c r="X489" i="1" a="1"/>
  <c r="X489" i="1" s="1"/>
  <c r="W489" i="1" s="1" a="1"/>
  <c r="W489" i="1" s="1"/>
  <c r="X490" i="1" a="1"/>
  <c r="X490" i="1" s="1"/>
  <c r="W490" i="1" s="1" a="1"/>
  <c r="W490" i="1" s="1"/>
  <c r="X491" i="1" a="1"/>
  <c r="X491" i="1" s="1"/>
  <c r="W491" i="1" s="1" a="1"/>
  <c r="W491" i="1" s="1"/>
  <c r="X492" i="1" a="1"/>
  <c r="X492" i="1" s="1"/>
  <c r="W492" i="1" s="1" a="1"/>
  <c r="W492" i="1" s="1"/>
  <c r="X493" i="1" a="1"/>
  <c r="X493" i="1" s="1"/>
  <c r="W493" i="1" s="1" a="1"/>
  <c r="W493" i="1" s="1"/>
  <c r="X494" i="1" a="1"/>
  <c r="X494" i="1" s="1"/>
  <c r="W494" i="1" s="1" a="1"/>
  <c r="W494" i="1" s="1"/>
  <c r="X495" i="1" a="1"/>
  <c r="X495" i="1" s="1"/>
  <c r="W495" i="1" s="1" a="1"/>
  <c r="W495" i="1" s="1"/>
  <c r="X496" i="1" a="1"/>
  <c r="X496" i="1" s="1"/>
  <c r="W496" i="1" s="1" a="1"/>
  <c r="W496" i="1" s="1"/>
  <c r="X497" i="1" a="1"/>
  <c r="X497" i="1" s="1"/>
  <c r="W497" i="1" s="1" a="1"/>
  <c r="W497" i="1" s="1"/>
  <c r="X498" i="1" a="1"/>
  <c r="X498" i="1" s="1"/>
  <c r="W498" i="1" s="1" a="1"/>
  <c r="W498" i="1" s="1"/>
  <c r="X499" i="1" a="1"/>
  <c r="X499" i="1" s="1"/>
  <c r="W499" i="1" s="1" a="1"/>
  <c r="W499" i="1" s="1"/>
  <c r="X500" i="1" a="1"/>
  <c r="X500" i="1" s="1"/>
  <c r="W500" i="1" s="1" a="1"/>
  <c r="W500" i="1" s="1"/>
  <c r="X501" i="1" a="1"/>
  <c r="X501" i="1" s="1"/>
  <c r="W501" i="1" s="1" a="1"/>
  <c r="W501" i="1" s="1"/>
  <c r="X502" i="1" a="1"/>
  <c r="X502" i="1" s="1"/>
  <c r="W502" i="1" s="1" a="1"/>
  <c r="W502" i="1" s="1"/>
  <c r="X503" i="1" a="1"/>
  <c r="X503" i="1" s="1"/>
  <c r="W503" i="1" s="1" a="1"/>
  <c r="W503" i="1" s="1"/>
  <c r="X504" i="1" a="1"/>
  <c r="X504" i="1" s="1"/>
  <c r="W504" i="1" s="1" a="1"/>
  <c r="W504" i="1" s="1"/>
  <c r="X505" i="1" a="1"/>
  <c r="X505" i="1" s="1"/>
  <c r="W505" i="1" s="1" a="1"/>
  <c r="W505" i="1" s="1"/>
  <c r="X506" i="1" a="1"/>
  <c r="X506" i="1" s="1"/>
  <c r="W506" i="1" s="1" a="1"/>
  <c r="W506" i="1" s="1"/>
  <c r="X507" i="1" a="1"/>
  <c r="X507" i="1" s="1"/>
  <c r="W507" i="1" s="1" a="1"/>
  <c r="W507" i="1" s="1"/>
  <c r="X508" i="1" a="1"/>
  <c r="X508" i="1" s="1"/>
  <c r="W508" i="1" s="1" a="1"/>
  <c r="W508" i="1" s="1"/>
  <c r="X509" i="1" a="1"/>
  <c r="X509" i="1" s="1"/>
  <c r="W509" i="1" s="1" a="1"/>
  <c r="W509" i="1" s="1"/>
  <c r="X510" i="1" a="1"/>
  <c r="X510" i="1" s="1"/>
  <c r="W510" i="1" s="1" a="1"/>
  <c r="W510" i="1" s="1"/>
  <c r="X511" i="1" a="1"/>
  <c r="X511" i="1" s="1"/>
  <c r="W511" i="1" s="1" a="1"/>
  <c r="W511" i="1" s="1"/>
  <c r="X512" i="1" a="1"/>
  <c r="X512" i="1" s="1"/>
  <c r="W512" i="1" s="1" a="1"/>
  <c r="W512" i="1" s="1"/>
  <c r="X513" i="1" a="1"/>
  <c r="X513" i="1" s="1"/>
  <c r="W513" i="1" s="1" a="1"/>
  <c r="W513" i="1" s="1"/>
  <c r="X518" i="1" a="1"/>
  <c r="X518" i="1" s="1"/>
  <c r="W518" i="1" s="1" a="1"/>
  <c r="W518" i="1" s="1"/>
  <c r="X519" i="1" a="1"/>
  <c r="X519" i="1" s="1"/>
  <c r="W519" i="1" s="1" a="1"/>
  <c r="W519" i="1" s="1"/>
  <c r="X520" i="1" a="1"/>
  <c r="X520" i="1" s="1"/>
  <c r="W520" i="1" s="1" a="1"/>
  <c r="W520" i="1" s="1"/>
  <c r="X521" i="1" a="1"/>
  <c r="X521" i="1" s="1"/>
  <c r="W521" i="1" s="1" a="1"/>
  <c r="W521" i="1" s="1"/>
  <c r="X522" i="1" a="1"/>
  <c r="X522" i="1" s="1"/>
  <c r="W522" i="1" s="1" a="1"/>
  <c r="W522" i="1" s="1"/>
  <c r="X523" i="1" a="1"/>
  <c r="X523" i="1" s="1"/>
  <c r="W523" i="1" s="1" a="1"/>
  <c r="W523" i="1" s="1"/>
  <c r="X524" i="1" a="1"/>
  <c r="X524" i="1" s="1"/>
  <c r="W524" i="1" s="1" a="1"/>
  <c r="W524" i="1" s="1"/>
  <c r="X525" i="1" a="1"/>
  <c r="X525" i="1" s="1"/>
  <c r="W525" i="1" s="1" a="1"/>
  <c r="W525" i="1" s="1"/>
  <c r="X526" i="1" a="1"/>
  <c r="X526" i="1" s="1"/>
  <c r="W526" i="1" s="1" a="1"/>
  <c r="W526" i="1" s="1"/>
  <c r="X527" i="1" a="1"/>
  <c r="X527" i="1" s="1"/>
  <c r="W527" i="1" s="1" a="1"/>
  <c r="W527" i="1" s="1"/>
  <c r="X528" i="1" a="1"/>
  <c r="X528" i="1" s="1"/>
  <c r="W528" i="1" s="1" a="1"/>
  <c r="W528" i="1" s="1"/>
  <c r="X529" i="1" a="1"/>
  <c r="X529" i="1" s="1"/>
  <c r="W529" i="1" s="1" a="1"/>
  <c r="W529" i="1" s="1"/>
  <c r="X530" i="1" a="1"/>
  <c r="X530" i="1" s="1"/>
  <c r="W530" i="1" s="1" a="1"/>
  <c r="W530" i="1" s="1"/>
  <c r="X531" i="1" a="1"/>
  <c r="X531" i="1" s="1"/>
  <c r="W531" i="1" s="1" a="1"/>
  <c r="W531" i="1" s="1"/>
  <c r="X532" i="1" a="1"/>
  <c r="X532" i="1" s="1"/>
  <c r="W532" i="1" s="1" a="1"/>
  <c r="W532" i="1" s="1"/>
  <c r="X533" i="1" a="1"/>
  <c r="X533" i="1" s="1"/>
  <c r="W533" i="1" s="1" a="1"/>
  <c r="W533" i="1" s="1"/>
  <c r="X534" i="1" a="1"/>
  <c r="X534" i="1" s="1"/>
  <c r="W534" i="1" s="1" a="1"/>
  <c r="W534" i="1" s="1"/>
  <c r="X535" i="1" a="1"/>
  <c r="X535" i="1" s="1"/>
  <c r="W535" i="1" s="1" a="1"/>
  <c r="W535" i="1" s="1"/>
  <c r="X536" i="1" a="1"/>
  <c r="X536" i="1" s="1"/>
  <c r="W536" i="1" s="1" a="1"/>
  <c r="W536" i="1" s="1"/>
  <c r="X537" i="1" a="1"/>
  <c r="X537" i="1" s="1"/>
  <c r="W537" i="1" s="1" a="1"/>
  <c r="W537" i="1" s="1"/>
  <c r="X538" i="1" a="1"/>
  <c r="X538" i="1" s="1"/>
  <c r="W538" i="1" s="1" a="1"/>
  <c r="W538" i="1" s="1"/>
  <c r="X539" i="1" a="1"/>
  <c r="X539" i="1" s="1"/>
  <c r="W539" i="1" s="1" a="1"/>
  <c r="W539" i="1" s="1"/>
  <c r="X540" i="1" a="1"/>
  <c r="X540" i="1" s="1"/>
  <c r="W540" i="1" s="1" a="1"/>
  <c r="W540" i="1" s="1"/>
  <c r="X541" i="1" a="1"/>
  <c r="X541" i="1" s="1"/>
  <c r="W541" i="1" s="1" a="1"/>
  <c r="W541" i="1" s="1"/>
  <c r="X542" i="1" a="1"/>
  <c r="X542" i="1" s="1"/>
  <c r="W542" i="1" s="1" a="1"/>
  <c r="W542" i="1" s="1"/>
  <c r="X543" i="1" a="1"/>
  <c r="X543" i="1" s="1"/>
  <c r="W543" i="1" s="1" a="1"/>
  <c r="W543" i="1" s="1"/>
  <c r="X544" i="1" a="1"/>
  <c r="X544" i="1" s="1"/>
  <c r="W544" i="1" s="1" a="1"/>
  <c r="W544" i="1" s="1"/>
  <c r="X545" i="1" a="1"/>
  <c r="X545" i="1" s="1"/>
  <c r="W545" i="1" s="1" a="1"/>
  <c r="W545" i="1" s="1"/>
  <c r="X546" i="1" a="1"/>
  <c r="X546" i="1" s="1"/>
  <c r="W546" i="1" s="1" a="1"/>
  <c r="W546" i="1" s="1"/>
  <c r="X547" i="1" a="1"/>
  <c r="X547" i="1" s="1"/>
  <c r="W547" i="1" s="1" a="1"/>
  <c r="W547" i="1" s="1"/>
  <c r="X548" i="1" a="1"/>
  <c r="X548" i="1" s="1"/>
  <c r="W548" i="1" s="1" a="1"/>
  <c r="W548" i="1" s="1"/>
  <c r="X549" i="1" a="1"/>
  <c r="X549" i="1" s="1"/>
  <c r="W549" i="1" s="1" a="1"/>
  <c r="W549" i="1" s="1"/>
  <c r="X553" i="1" a="1"/>
  <c r="X553" i="1" s="1"/>
  <c r="W553" i="1" s="1" a="1"/>
  <c r="W553" i="1" s="1"/>
  <c r="X554" i="1" a="1"/>
  <c r="X554" i="1" s="1"/>
  <c r="W554" i="1" s="1" a="1"/>
  <c r="W554" i="1" s="1"/>
  <c r="X555" i="1" a="1"/>
  <c r="X555" i="1" s="1"/>
  <c r="W555" i="1" s="1" a="1"/>
  <c r="W555" i="1" s="1"/>
  <c r="X556" i="1" a="1"/>
  <c r="X556" i="1" s="1"/>
  <c r="W556" i="1" s="1" a="1"/>
  <c r="W556" i="1" s="1"/>
  <c r="X557" i="1" a="1"/>
  <c r="X557" i="1" s="1"/>
  <c r="W557" i="1" s="1" a="1"/>
  <c r="W557" i="1" s="1"/>
  <c r="X558" i="1" a="1"/>
  <c r="X558" i="1" s="1"/>
  <c r="W558" i="1" s="1" a="1"/>
  <c r="W558" i="1" s="1"/>
  <c r="X559" i="1" a="1"/>
  <c r="X559" i="1" s="1"/>
  <c r="W559" i="1" s="1" a="1"/>
  <c r="W559" i="1" s="1"/>
  <c r="X560" i="1" a="1"/>
  <c r="X560" i="1" s="1"/>
  <c r="W560" i="1" s="1" a="1"/>
  <c r="W560" i="1" s="1"/>
  <c r="X561" i="1" a="1"/>
  <c r="X561" i="1" s="1"/>
  <c r="W561" i="1" s="1" a="1"/>
  <c r="W561" i="1" s="1"/>
  <c r="X562" i="1" a="1"/>
  <c r="X562" i="1" s="1"/>
  <c r="W562" i="1" s="1" a="1"/>
  <c r="W562" i="1" s="1"/>
  <c r="X564" i="1" a="1"/>
  <c r="X564" i="1" s="1"/>
  <c r="W564" i="1" s="1" a="1"/>
  <c r="W564" i="1" s="1"/>
  <c r="X565" i="1" a="1"/>
  <c r="X565" i="1" s="1"/>
  <c r="W565" i="1" s="1" a="1"/>
  <c r="W565" i="1" s="1"/>
  <c r="X566" i="1" a="1"/>
  <c r="X566" i="1" s="1"/>
  <c r="W566" i="1" s="1" a="1"/>
  <c r="W566" i="1" s="1"/>
  <c r="X567" i="1" a="1"/>
  <c r="X567" i="1" s="1"/>
  <c r="W567" i="1" s="1" a="1"/>
  <c r="W567" i="1" s="1"/>
  <c r="X568" i="1" a="1"/>
  <c r="X568" i="1" s="1"/>
  <c r="W568" i="1" s="1" a="1"/>
  <c r="W568" i="1" s="1"/>
  <c r="X569" i="1" a="1"/>
  <c r="X569" i="1" s="1"/>
  <c r="W569" i="1" s="1" a="1"/>
  <c r="W569" i="1" s="1"/>
  <c r="X570" i="1" a="1"/>
  <c r="X570" i="1" s="1"/>
  <c r="W570" i="1" s="1" a="1"/>
  <c r="W570" i="1" s="1"/>
  <c r="X573" i="1" a="1"/>
  <c r="X573" i="1" s="1"/>
  <c r="W573" i="1" s="1" a="1"/>
  <c r="W573" i="1" s="1"/>
  <c r="X574" i="1" a="1"/>
  <c r="X574" i="1" s="1"/>
  <c r="W574" i="1" s="1" a="1"/>
  <c r="W574" i="1" s="1"/>
  <c r="X575" i="1" a="1"/>
  <c r="X575" i="1" s="1"/>
  <c r="W575" i="1" s="1" a="1"/>
  <c r="W575" i="1" s="1"/>
  <c r="X576" i="1" a="1"/>
  <c r="X576" i="1" s="1"/>
  <c r="W576" i="1" s="1" a="1"/>
  <c r="W576" i="1" s="1"/>
  <c r="X577" i="1" a="1"/>
  <c r="X577" i="1" s="1"/>
  <c r="W577" i="1" s="1" a="1"/>
  <c r="W577" i="1" s="1"/>
  <c r="X578" i="1" a="1"/>
  <c r="X578" i="1" s="1"/>
  <c r="W578" i="1" s="1" a="1"/>
  <c r="W578" i="1" s="1"/>
  <c r="X579" i="1" a="1"/>
  <c r="X579" i="1" s="1"/>
  <c r="W579" i="1" s="1" a="1"/>
  <c r="W579" i="1" s="1"/>
  <c r="X580" i="1" a="1"/>
  <c r="X580" i="1" s="1"/>
  <c r="W580" i="1" s="1" a="1"/>
  <c r="W580" i="1" s="1"/>
  <c r="X581" i="1" a="1"/>
  <c r="X581" i="1" s="1"/>
  <c r="W581" i="1" s="1" a="1"/>
  <c r="W581" i="1" s="1"/>
  <c r="X582" i="1" a="1"/>
  <c r="X582" i="1" s="1"/>
  <c r="W582" i="1" s="1" a="1"/>
  <c r="W582" i="1" s="1"/>
  <c r="X583" i="1" a="1"/>
  <c r="X583" i="1" s="1"/>
  <c r="W583" i="1" s="1" a="1"/>
  <c r="W583" i="1" s="1"/>
  <c r="X584" i="1" a="1"/>
  <c r="X584" i="1" s="1"/>
  <c r="W584" i="1" s="1" a="1"/>
  <c r="W584" i="1" s="1"/>
  <c r="X585" i="1" a="1"/>
  <c r="X585" i="1" s="1"/>
  <c r="W585" i="1" s="1" a="1"/>
  <c r="W585" i="1" s="1"/>
  <c r="X586" i="1" a="1"/>
  <c r="X586" i="1" s="1"/>
  <c r="W586" i="1" s="1" a="1"/>
  <c r="W586" i="1" s="1"/>
  <c r="X591" i="1" a="1"/>
  <c r="X591" i="1" s="1"/>
  <c r="W591" i="1" s="1" a="1"/>
  <c r="W591" i="1" s="1"/>
  <c r="X592" i="1" a="1"/>
  <c r="X592" i="1" s="1"/>
  <c r="W592" i="1" s="1" a="1"/>
  <c r="W592" i="1" s="1"/>
  <c r="X593" i="1" a="1"/>
  <c r="X593" i="1" s="1"/>
  <c r="W593" i="1" s="1" a="1"/>
  <c r="W593" i="1" s="1"/>
  <c r="X596" i="1" a="1"/>
  <c r="X596" i="1" s="1"/>
  <c r="W596" i="1" s="1" a="1"/>
  <c r="W596" i="1" s="1"/>
  <c r="X597" i="1" a="1"/>
  <c r="X597" i="1" s="1"/>
  <c r="W597" i="1" s="1" a="1"/>
  <c r="W597" i="1" s="1"/>
  <c r="X598" i="1" a="1"/>
  <c r="X598" i="1" s="1"/>
  <c r="W598" i="1" s="1" a="1"/>
  <c r="W598" i="1" s="1"/>
  <c r="X599" i="1" a="1"/>
  <c r="X599" i="1" s="1"/>
  <c r="W599" i="1" s="1" a="1"/>
  <c r="W599" i="1" s="1"/>
  <c r="X600" i="1" a="1"/>
  <c r="X600" i="1" s="1"/>
  <c r="W600" i="1" s="1" a="1"/>
  <c r="W600" i="1" s="1"/>
  <c r="X601" i="1" a="1"/>
  <c r="X601" i="1" s="1"/>
  <c r="W601" i="1" s="1" a="1"/>
  <c r="W601" i="1" s="1"/>
  <c r="X602" i="1" a="1"/>
  <c r="X602" i="1" s="1"/>
  <c r="W602" i="1" s="1" a="1"/>
  <c r="W602" i="1" s="1"/>
  <c r="X603" i="1" a="1"/>
  <c r="X603" i="1" s="1"/>
  <c r="W603" i="1" s="1" a="1"/>
  <c r="W603" i="1" s="1"/>
  <c r="X604" i="1" a="1"/>
  <c r="X604" i="1" s="1"/>
  <c r="W604" i="1" s="1" a="1"/>
  <c r="W604" i="1" s="1"/>
  <c r="X605" i="1" a="1"/>
  <c r="X605" i="1" s="1"/>
  <c r="W605" i="1" s="1" a="1"/>
  <c r="W605" i="1" s="1"/>
  <c r="X606" i="1" a="1"/>
  <c r="X606" i="1" s="1"/>
  <c r="W606" i="1" s="1" a="1"/>
  <c r="W606" i="1" s="1"/>
  <c r="X607" i="1" a="1"/>
  <c r="X607" i="1" s="1"/>
  <c r="W607" i="1" s="1" a="1"/>
  <c r="W607" i="1" s="1"/>
  <c r="X608" i="1" a="1"/>
  <c r="X608" i="1" s="1"/>
  <c r="W608" i="1" s="1" a="1"/>
  <c r="W608" i="1" s="1"/>
  <c r="X609" i="1" a="1"/>
  <c r="X609" i="1" s="1"/>
  <c r="W609" i="1" s="1" a="1"/>
  <c r="W609" i="1" s="1"/>
  <c r="X610" i="1" a="1"/>
  <c r="X610" i="1" s="1"/>
  <c r="W610" i="1" s="1" a="1"/>
  <c r="W610" i="1" s="1"/>
  <c r="X611" i="1" a="1"/>
  <c r="X611" i="1" s="1"/>
  <c r="W611" i="1" s="1" a="1"/>
  <c r="W611" i="1" s="1"/>
  <c r="X612" i="1" a="1"/>
  <c r="X612" i="1" s="1"/>
  <c r="W612" i="1" s="1" a="1"/>
  <c r="W612" i="1" s="1"/>
  <c r="X613" i="1" a="1"/>
  <c r="X613" i="1" s="1"/>
  <c r="W613" i="1" s="1" a="1"/>
  <c r="W613" i="1" s="1"/>
  <c r="X614" i="1" a="1"/>
  <c r="X614" i="1" s="1"/>
  <c r="W614" i="1" s="1" a="1"/>
  <c r="W614" i="1" s="1"/>
  <c r="X615" i="1" a="1"/>
  <c r="X615" i="1" s="1"/>
  <c r="W615" i="1" s="1" a="1"/>
  <c r="W615" i="1" s="1"/>
  <c r="X616" i="1" a="1"/>
  <c r="X616" i="1" s="1"/>
  <c r="W616" i="1" s="1" a="1"/>
  <c r="W616" i="1" s="1"/>
  <c r="X617" i="1" a="1"/>
  <c r="X617" i="1" s="1"/>
  <c r="W617" i="1" s="1" a="1"/>
  <c r="W617" i="1" s="1"/>
  <c r="X618" i="1" a="1"/>
  <c r="X618" i="1" s="1"/>
  <c r="W618" i="1" s="1" a="1"/>
  <c r="W618" i="1" s="1"/>
  <c r="X619" i="1" a="1"/>
  <c r="X619" i="1" s="1"/>
  <c r="W619" i="1" s="1" a="1"/>
  <c r="W619" i="1" s="1"/>
  <c r="X620" i="1" a="1"/>
  <c r="X620" i="1" s="1"/>
  <c r="W620" i="1" s="1" a="1"/>
  <c r="W620" i="1" s="1"/>
  <c r="X621" i="1" a="1"/>
  <c r="X621" i="1" s="1"/>
  <c r="W621" i="1" s="1" a="1"/>
  <c r="W621" i="1" s="1"/>
  <c r="X622" i="1" a="1"/>
  <c r="X622" i="1" s="1"/>
  <c r="W622" i="1" s="1" a="1"/>
  <c r="W622" i="1" s="1"/>
  <c r="X623" i="1" a="1"/>
  <c r="X623" i="1" s="1"/>
  <c r="W623" i="1" s="1" a="1"/>
  <c r="W623" i="1" s="1"/>
  <c r="X624" i="1" a="1"/>
  <c r="X624" i="1" s="1"/>
  <c r="W624" i="1" s="1" a="1"/>
  <c r="W624" i="1" s="1"/>
  <c r="X625" i="1" a="1"/>
  <c r="X625" i="1" s="1"/>
  <c r="W625" i="1" s="1" a="1"/>
  <c r="W625" i="1" s="1"/>
  <c r="X626" i="1" a="1"/>
  <c r="X626" i="1" s="1"/>
  <c r="W626" i="1" s="1" a="1"/>
  <c r="W626" i="1" s="1"/>
  <c r="X627" i="1" a="1"/>
  <c r="X627" i="1"/>
  <c r="W627" i="1" s="1" a="1"/>
  <c r="W627" i="1" s="1"/>
  <c r="X628" i="1" a="1"/>
  <c r="X628" i="1" s="1"/>
  <c r="W628" i="1" s="1" a="1"/>
  <c r="W628" i="1" s="1"/>
  <c r="X629" i="1" a="1"/>
  <c r="X629" i="1" s="1"/>
  <c r="W629" i="1" s="1" a="1"/>
  <c r="W629" i="1" s="1"/>
  <c r="X630" i="1" a="1"/>
  <c r="X630" i="1" s="1"/>
  <c r="W630" i="1" s="1" a="1"/>
  <c r="W630" i="1" s="1"/>
  <c r="X631" i="1" a="1"/>
  <c r="X631" i="1" s="1"/>
  <c r="W631" i="1" s="1" a="1"/>
  <c r="W631" i="1" s="1"/>
  <c r="X632" i="1" a="1"/>
  <c r="X632" i="1" s="1"/>
  <c r="W632" i="1" s="1" a="1"/>
  <c r="W632" i="1" s="1"/>
  <c r="X633" i="1" a="1"/>
  <c r="X633" i="1" s="1"/>
  <c r="W633" i="1" s="1" a="1"/>
  <c r="W633" i="1" s="1"/>
  <c r="X634" i="1" a="1"/>
  <c r="X634" i="1" s="1"/>
  <c r="W634" i="1" s="1" a="1"/>
  <c r="W634" i="1" s="1"/>
  <c r="X638" i="1" a="1"/>
  <c r="X638" i="1" s="1"/>
  <c r="W638" i="1" s="1" a="1"/>
  <c r="W638" i="1" s="1"/>
  <c r="X639" i="1" a="1"/>
  <c r="X639" i="1" s="1"/>
  <c r="W639" i="1" s="1" a="1"/>
  <c r="W639" i="1" s="1"/>
  <c r="X640" i="1" a="1"/>
  <c r="X640" i="1" s="1"/>
  <c r="W640" i="1" s="1" a="1"/>
  <c r="W640" i="1" s="1"/>
  <c r="X641" i="1" a="1"/>
  <c r="X641" i="1" s="1"/>
  <c r="W641" i="1" s="1" a="1"/>
  <c r="W641" i="1" s="1"/>
  <c r="X642" i="1" a="1"/>
  <c r="X642" i="1" s="1"/>
  <c r="W642" i="1" s="1" a="1"/>
  <c r="W642" i="1" s="1"/>
  <c r="X643" i="1" a="1"/>
  <c r="X643" i="1" s="1"/>
  <c r="W643" i="1" s="1" a="1"/>
  <c r="W643" i="1" s="1"/>
  <c r="X644" i="1" a="1"/>
  <c r="X644" i="1" s="1"/>
  <c r="W644" i="1" s="1" a="1"/>
  <c r="W644" i="1" s="1"/>
  <c r="X645" i="1" a="1"/>
  <c r="X645" i="1" s="1"/>
  <c r="W645" i="1" s="1" a="1"/>
  <c r="W645" i="1" s="1"/>
  <c r="X646" i="1" a="1"/>
  <c r="X646" i="1" s="1"/>
  <c r="W646" i="1" s="1" a="1"/>
  <c r="W646" i="1" s="1"/>
  <c r="X647" i="1" a="1"/>
  <c r="X647" i="1" s="1"/>
  <c r="W647" i="1" s="1" a="1"/>
  <c r="W647" i="1" s="1"/>
  <c r="X648" i="1" a="1"/>
  <c r="X648" i="1" s="1"/>
  <c r="W648" i="1" s="1" a="1"/>
  <c r="W648" i="1" s="1"/>
  <c r="X649" i="1" a="1"/>
  <c r="X649" i="1" s="1"/>
  <c r="W649" i="1" s="1" a="1"/>
  <c r="W649" i="1" s="1"/>
  <c r="X650" i="1" a="1"/>
  <c r="X650" i="1" s="1"/>
  <c r="W650" i="1" s="1" a="1"/>
  <c r="W650" i="1" s="1"/>
  <c r="X651" i="1" a="1"/>
  <c r="X651" i="1" s="1"/>
  <c r="W651" i="1" s="1" a="1"/>
  <c r="W651" i="1" s="1"/>
  <c r="X653" i="1" a="1"/>
  <c r="X653" i="1" s="1"/>
  <c r="W653" i="1" s="1" a="1"/>
  <c r="W653" i="1" s="1"/>
  <c r="X654" i="1" a="1"/>
  <c r="X654" i="1" s="1"/>
  <c r="W654" i="1" s="1" a="1"/>
  <c r="W654" i="1" s="1"/>
  <c r="X655" i="1" a="1"/>
  <c r="X655" i="1" s="1"/>
  <c r="W655" i="1" s="1" a="1"/>
  <c r="W655" i="1" s="1"/>
  <c r="X656" i="1" a="1"/>
  <c r="X656" i="1" s="1"/>
  <c r="W656" i="1" s="1" a="1"/>
  <c r="W656" i="1" s="1"/>
  <c r="X657" i="1" a="1"/>
  <c r="X657" i="1" s="1"/>
  <c r="W657" i="1" s="1" a="1"/>
  <c r="W657" i="1" s="1"/>
  <c r="X658" i="1" a="1"/>
  <c r="X658" i="1" s="1"/>
  <c r="W658" i="1" s="1" a="1"/>
  <c r="W658" i="1" s="1"/>
  <c r="X659" i="1" a="1"/>
  <c r="X659" i="1" s="1"/>
  <c r="W659" i="1" s="1" a="1"/>
  <c r="W659" i="1" s="1"/>
  <c r="X660" i="1" a="1"/>
  <c r="X660" i="1" s="1"/>
  <c r="W660" i="1" s="1" a="1"/>
  <c r="W660" i="1" s="1"/>
  <c r="X661" i="1" a="1"/>
  <c r="X661" i="1" s="1"/>
  <c r="W661" i="1" s="1" a="1"/>
  <c r="W661" i="1" s="1"/>
  <c r="X664" i="1" a="1"/>
  <c r="X664" i="1" s="1"/>
  <c r="W664" i="1" s="1" a="1"/>
  <c r="W664" i="1" s="1"/>
  <c r="X665" i="1" a="1"/>
  <c r="X665" i="1" s="1"/>
  <c r="W665" i="1" s="1" a="1"/>
  <c r="W665" i="1" s="1"/>
  <c r="X666" i="1" a="1"/>
  <c r="X666" i="1" s="1"/>
  <c r="W666" i="1" s="1" a="1"/>
  <c r="W666" i="1" s="1"/>
  <c r="X669" i="1" a="1"/>
  <c r="X669" i="1" s="1"/>
  <c r="W669" i="1" s="1" a="1"/>
  <c r="W669" i="1" s="1"/>
  <c r="X670" i="1" a="1"/>
  <c r="X670" i="1" s="1"/>
  <c r="W670" i="1" s="1" a="1"/>
  <c r="W670" i="1" s="1"/>
  <c r="X671" i="1" a="1"/>
  <c r="X671" i="1" s="1"/>
  <c r="W671" i="1" s="1" a="1"/>
  <c r="W671" i="1" s="1"/>
  <c r="X672" i="1" a="1"/>
  <c r="X672" i="1" s="1"/>
  <c r="W672" i="1" s="1" a="1"/>
  <c r="W672" i="1" s="1"/>
  <c r="X673" i="1" a="1"/>
  <c r="X673" i="1" s="1"/>
  <c r="W673" i="1" s="1" a="1"/>
  <c r="W673" i="1" s="1"/>
  <c r="X676" i="1" a="1"/>
  <c r="X676" i="1" s="1"/>
  <c r="W676" i="1" s="1" a="1"/>
  <c r="W676" i="1" s="1"/>
  <c r="X677" i="1" a="1"/>
  <c r="X677" i="1" s="1"/>
  <c r="W677" i="1" s="1" a="1"/>
  <c r="W677" i="1" s="1"/>
  <c r="X678" i="1" a="1"/>
  <c r="X678" i="1" s="1"/>
  <c r="W678" i="1" s="1" a="1"/>
  <c r="W678" i="1" s="1"/>
  <c r="X679" i="1" a="1"/>
  <c r="X679" i="1" s="1"/>
  <c r="W679" i="1" s="1" a="1"/>
  <c r="W679" i="1" s="1"/>
  <c r="X680" i="1" a="1"/>
  <c r="X680" i="1" s="1"/>
  <c r="W680" i="1" s="1" a="1"/>
  <c r="W680" i="1" s="1"/>
  <c r="X681" i="1" a="1"/>
  <c r="X681" i="1" s="1"/>
  <c r="W681" i="1" s="1" a="1"/>
  <c r="W681" i="1" s="1"/>
  <c r="X682" i="1" a="1"/>
  <c r="X682" i="1" s="1"/>
  <c r="W682" i="1" s="1" a="1"/>
  <c r="W682" i="1" s="1"/>
  <c r="X686" i="1" a="1"/>
  <c r="X686" i="1" s="1"/>
  <c r="W686" i="1" s="1" a="1"/>
  <c r="W686" i="1" s="1"/>
  <c r="X687" i="1" a="1"/>
  <c r="X687" i="1" s="1"/>
  <c r="W687" i="1" s="1" a="1"/>
  <c r="W687" i="1" s="1"/>
  <c r="X688" i="1" a="1"/>
  <c r="X688" i="1" s="1"/>
  <c r="W688" i="1" s="1" a="1"/>
  <c r="W688" i="1" s="1"/>
  <c r="X689" i="1" a="1"/>
  <c r="X689" i="1" s="1"/>
  <c r="W689" i="1" s="1" a="1"/>
  <c r="W689" i="1" s="1"/>
  <c r="X690" i="1" a="1"/>
  <c r="X690" i="1" s="1"/>
  <c r="W690" i="1" s="1" a="1"/>
  <c r="W690" i="1" s="1"/>
  <c r="X691" i="1" a="1"/>
  <c r="X691" i="1" s="1"/>
  <c r="W691" i="1" s="1" a="1"/>
  <c r="W691" i="1" s="1"/>
  <c r="X692" i="1" a="1"/>
  <c r="X692" i="1" s="1"/>
  <c r="W692" i="1" s="1" a="1"/>
  <c r="W692" i="1" s="1"/>
  <c r="X693" i="1" a="1"/>
  <c r="X693" i="1" s="1"/>
  <c r="W693" i="1" s="1" a="1"/>
  <c r="W693" i="1" s="1"/>
  <c r="X694" i="1" a="1"/>
  <c r="X694" i="1" s="1"/>
  <c r="W694" i="1" s="1" a="1"/>
  <c r="W694" i="1" s="1"/>
  <c r="X695" i="1" a="1"/>
  <c r="X695" i="1" s="1"/>
  <c r="W695" i="1" s="1" a="1"/>
  <c r="W695" i="1" s="1"/>
  <c r="X696" i="1" a="1"/>
  <c r="X696" i="1" s="1"/>
  <c r="W696" i="1" s="1" a="1"/>
  <c r="W696" i="1" s="1"/>
  <c r="X697" i="1" a="1"/>
  <c r="X697" i="1" s="1"/>
  <c r="W697" i="1" s="1" a="1"/>
  <c r="W697" i="1" s="1"/>
  <c r="X698" i="1" a="1"/>
  <c r="X698" i="1" s="1"/>
  <c r="W698" i="1" s="1" a="1"/>
  <c r="W698" i="1" s="1"/>
  <c r="X699" i="1" a="1"/>
  <c r="X699" i="1" s="1"/>
  <c r="W699" i="1" s="1" a="1"/>
  <c r="W699" i="1" s="1"/>
  <c r="X700" i="1" a="1"/>
  <c r="X700" i="1" s="1"/>
  <c r="W700" i="1" s="1" a="1"/>
  <c r="W700" i="1" s="1"/>
  <c r="X701" i="1" a="1"/>
  <c r="X701" i="1" s="1"/>
  <c r="W701" i="1" s="1" a="1"/>
  <c r="W701" i="1" s="1"/>
  <c r="X702" i="1" a="1"/>
  <c r="X702" i="1" s="1"/>
  <c r="W702" i="1" s="1" a="1"/>
  <c r="W702" i="1" s="1"/>
  <c r="X703" i="1" a="1"/>
  <c r="X703" i="1" s="1"/>
  <c r="W703" i="1" s="1" a="1"/>
  <c r="W703" i="1" s="1"/>
  <c r="X704" i="1" a="1"/>
  <c r="X704" i="1" s="1"/>
  <c r="W704" i="1" s="1" a="1"/>
  <c r="W704" i="1" s="1"/>
  <c r="X705" i="1" a="1"/>
  <c r="X705" i="1"/>
  <c r="W705" i="1" s="1" a="1"/>
  <c r="W705" i="1" s="1"/>
  <c r="X706" i="1" a="1"/>
  <c r="X706" i="1" s="1"/>
  <c r="W706" i="1" s="1" a="1"/>
  <c r="W706" i="1" s="1"/>
  <c r="X707" i="1" a="1"/>
  <c r="X707" i="1" s="1"/>
  <c r="W707" i="1" s="1" a="1"/>
  <c r="W707" i="1" s="1"/>
  <c r="X708" i="1" a="1"/>
  <c r="X708" i="1" s="1"/>
  <c r="W708" i="1" s="1" a="1"/>
  <c r="W708" i="1" s="1"/>
  <c r="X709" i="1" a="1"/>
  <c r="X709" i="1" s="1"/>
  <c r="W709" i="1" s="1" a="1"/>
  <c r="W709" i="1" s="1"/>
  <c r="X710" i="1" a="1"/>
  <c r="X710" i="1" s="1"/>
  <c r="W710" i="1" s="1" a="1"/>
  <c r="W710" i="1" s="1"/>
  <c r="X711" i="1" a="1"/>
  <c r="X711" i="1" s="1"/>
  <c r="W711" i="1" s="1" a="1"/>
  <c r="W711" i="1" s="1"/>
  <c r="X712" i="1" a="1"/>
  <c r="X712" i="1" s="1"/>
  <c r="W712" i="1" s="1" a="1"/>
  <c r="W712" i="1" s="1"/>
  <c r="X713" i="1" a="1"/>
  <c r="X713" i="1" s="1"/>
  <c r="W713" i="1" s="1" a="1"/>
  <c r="W713" i="1" s="1"/>
  <c r="X714" i="1" a="1"/>
  <c r="X714" i="1" s="1"/>
  <c r="W714" i="1" s="1" a="1"/>
  <c r="W714" i="1" s="1"/>
  <c r="X715" i="1" a="1"/>
  <c r="X715" i="1" s="1"/>
  <c r="W715" i="1" s="1" a="1"/>
  <c r="W715" i="1" s="1"/>
  <c r="X716" i="1" a="1"/>
  <c r="X716" i="1" s="1"/>
  <c r="W716" i="1" s="1" a="1"/>
  <c r="W716" i="1" s="1"/>
  <c r="X721" i="1" a="1"/>
  <c r="X721" i="1" s="1"/>
  <c r="W721" i="1" s="1" a="1"/>
  <c r="W721" i="1" s="1"/>
  <c r="X722" i="1" a="1"/>
  <c r="X722" i="1" s="1"/>
  <c r="W722" i="1" s="1" a="1"/>
  <c r="W722" i="1" s="1"/>
  <c r="X723" i="1" a="1"/>
  <c r="X723" i="1" s="1"/>
  <c r="W723" i="1" s="1" a="1"/>
  <c r="W723" i="1" s="1"/>
  <c r="X724" i="1" a="1"/>
  <c r="X724" i="1" s="1"/>
  <c r="W724" i="1" s="1" a="1"/>
  <c r="W724" i="1" s="1"/>
  <c r="X725" i="1" a="1"/>
  <c r="X725" i="1" s="1"/>
  <c r="W725" i="1" s="1" a="1"/>
  <c r="W725" i="1" s="1"/>
  <c r="X726" i="1" a="1"/>
  <c r="X726" i="1" s="1"/>
  <c r="W726" i="1" s="1" a="1"/>
  <c r="W726" i="1" s="1"/>
  <c r="X727" i="1" a="1"/>
  <c r="X727" i="1" s="1"/>
  <c r="W727" i="1" s="1" a="1"/>
  <c r="W727" i="1" s="1"/>
  <c r="X728" i="1" a="1"/>
  <c r="X728" i="1" s="1"/>
  <c r="W728" i="1" s="1" a="1"/>
  <c r="W728" i="1" s="1"/>
  <c r="X729" i="1" a="1"/>
  <c r="X729" i="1" s="1"/>
  <c r="W729" i="1" s="1" a="1"/>
  <c r="W729" i="1" s="1"/>
  <c r="X730" i="1" a="1"/>
  <c r="X730" i="1" s="1"/>
  <c r="W730" i="1" s="1" a="1"/>
  <c r="W730" i="1" s="1"/>
  <c r="X731" i="1" a="1"/>
  <c r="X731" i="1"/>
  <c r="W731" i="1" s="1" a="1"/>
  <c r="W731" i="1" s="1"/>
  <c r="X732" i="1" a="1"/>
  <c r="X732" i="1" s="1"/>
  <c r="W732" i="1" s="1" a="1"/>
  <c r="W732" i="1" s="1"/>
  <c r="X24" i="1" a="1"/>
  <c r="X24" i="1"/>
  <c r="X25" i="1" a="1"/>
  <c r="X25" i="1"/>
  <c r="X26" i="1" a="1"/>
  <c r="X26" i="1"/>
  <c r="X27" i="1" a="1"/>
  <c r="X27" i="1"/>
  <c r="X28" i="1" a="1"/>
  <c r="X28" i="1" s="1"/>
  <c r="X29" i="1" a="1"/>
  <c r="X29" i="1" s="1"/>
  <c r="N715" i="1"/>
  <c r="B4" i="8"/>
  <c r="B5" i="8" s="1"/>
  <c r="B6" i="8" s="1"/>
  <c r="B7" i="8" s="1"/>
  <c r="B8" i="8" s="1"/>
  <c r="B9" i="8" s="1"/>
  <c r="B10" i="8" s="1"/>
  <c r="B11" i="8" s="1"/>
  <c r="B12" i="8" s="1"/>
  <c r="B13" i="8" s="1"/>
  <c r="B14" i="8" s="1"/>
  <c r="B15" i="8" s="1"/>
  <c r="B16" i="8" s="1"/>
  <c r="B17" i="8" s="1"/>
  <c r="B18" i="8" s="1"/>
  <c r="B19" i="8" s="1"/>
  <c r="B20" i="8" s="1"/>
  <c r="B21" i="8" s="1"/>
  <c r="B22" i="8" s="1"/>
  <c r="B23" i="8" s="1"/>
  <c r="B24" i="8" s="1"/>
  <c r="B25" i="8" s="1"/>
  <c r="B26" i="8" s="1"/>
  <c r="B27" i="8" s="1"/>
  <c r="B28" i="8" s="1"/>
  <c r="B29" i="8" s="1"/>
  <c r="B30" i="8" s="1"/>
  <c r="B31" i="8" s="1"/>
  <c r="B32" i="8" s="1"/>
  <c r="B33" i="8" s="1"/>
  <c r="B34" i="8" s="1"/>
  <c r="B35" i="8" s="1"/>
  <c r="B36" i="8" s="1"/>
  <c r="B37" i="8" s="1"/>
  <c r="B38" i="8" s="1"/>
  <c r="B39" i="8" s="1"/>
  <c r="B40" i="8" s="1"/>
  <c r="B41" i="8" s="1"/>
  <c r="B42" i="8" s="1"/>
  <c r="B43" i="8" s="1"/>
  <c r="B44" i="8" s="1"/>
  <c r="B45" i="8" s="1"/>
  <c r="B46" i="8" s="1"/>
  <c r="B47" i="8" s="1"/>
  <c r="B48" i="8" s="1"/>
  <c r="B49" i="8" s="1"/>
  <c r="B50" i="8" s="1"/>
  <c r="B51" i="8" s="1"/>
  <c r="B52" i="8" s="1"/>
  <c r="B53" i="8" s="1"/>
  <c r="B54" i="8" s="1"/>
  <c r="B55" i="8" s="1"/>
  <c r="B56" i="8" s="1"/>
  <c r="B57" i="8" s="1"/>
  <c r="B58" i="8" s="1"/>
  <c r="B59" i="8" s="1"/>
  <c r="B60" i="8" s="1"/>
  <c r="B61" i="8" s="1"/>
  <c r="B62" i="8" s="1"/>
  <c r="B63" i="8" s="1"/>
  <c r="B64" i="8" s="1"/>
  <c r="B65" i="8" s="1"/>
  <c r="B66" i="8" s="1"/>
  <c r="B67" i="8" s="1"/>
  <c r="B68" i="8" s="1"/>
  <c r="B69" i="8" s="1"/>
  <c r="B70" i="8" s="1"/>
  <c r="B71" i="8" s="1"/>
  <c r="B72" i="8" s="1"/>
  <c r="B73" i="8" s="1"/>
  <c r="B74" i="8" s="1"/>
  <c r="B75" i="8" s="1"/>
  <c r="B76" i="8" s="1"/>
  <c r="B77" i="8" s="1"/>
  <c r="B78" i="8" s="1"/>
  <c r="B79" i="8" s="1"/>
  <c r="B3" i="8"/>
  <c r="S3" i="1"/>
  <c r="AK666" i="1" l="1"/>
  <c r="AL666" i="1"/>
  <c r="AN649" i="1"/>
  <c r="AK649" i="1"/>
  <c r="AO649" i="1" s="1"/>
  <c r="AK578" i="1"/>
  <c r="AL578" i="1"/>
  <c r="AN706" i="1"/>
  <c r="AK661" i="1"/>
  <c r="AL661" i="1"/>
  <c r="AN664" i="1"/>
  <c r="AK664" i="1"/>
  <c r="AK704" i="1"/>
  <c r="AL704" i="1"/>
  <c r="AK681" i="1"/>
  <c r="AL681" i="1"/>
  <c r="AK728" i="1"/>
  <c r="AL728" i="1"/>
  <c r="AK730" i="1"/>
  <c r="AL730" i="1"/>
  <c r="AN691" i="1"/>
  <c r="AN665" i="1"/>
  <c r="AK665" i="1"/>
  <c r="AL645" i="1"/>
  <c r="AK645" i="1"/>
  <c r="AN694" i="1"/>
  <c r="AL618" i="1"/>
  <c r="AK618" i="1"/>
  <c r="AK712" i="1"/>
  <c r="AL712" i="1"/>
  <c r="AK657" i="1"/>
  <c r="AL657" i="1"/>
  <c r="AN643" i="1"/>
  <c r="AK643" i="1"/>
  <c r="AO643" i="1" s="1"/>
  <c r="AL700" i="1"/>
  <c r="AK700" i="1"/>
  <c r="AK568" i="1"/>
  <c r="AL568" i="1"/>
  <c r="AN677" i="1"/>
  <c r="AK677" i="1"/>
  <c r="AN672" i="1"/>
  <c r="AK672" i="1"/>
  <c r="AN724" i="1"/>
  <c r="AK710" i="1"/>
  <c r="AL710" i="1"/>
  <c r="AK708" i="1"/>
  <c r="AL708" i="1"/>
  <c r="AN626" i="1"/>
  <c r="AK626" i="1"/>
  <c r="AO626" i="1" s="1"/>
  <c r="AK722" i="1"/>
  <c r="AL722" i="1"/>
  <c r="AN670" i="1"/>
  <c r="AK670" i="1"/>
  <c r="AN653" i="1"/>
  <c r="AK653" i="1"/>
  <c r="AO653" i="1" s="1"/>
  <c r="AN628" i="1"/>
  <c r="AK628" i="1"/>
  <c r="AN562" i="1"/>
  <c r="AK562" i="1"/>
  <c r="AO562" i="1" s="1"/>
  <c r="AK512" i="1"/>
  <c r="AL512" i="1"/>
  <c r="AK499" i="1"/>
  <c r="AL499" i="1"/>
  <c r="AK485" i="1"/>
  <c r="AL485" i="1"/>
  <c r="AK650" i="1"/>
  <c r="AL650" i="1"/>
  <c r="AN604" i="1"/>
  <c r="AK604" i="1"/>
  <c r="AN545" i="1"/>
  <c r="AK545" i="1"/>
  <c r="AO545" i="1" s="1"/>
  <c r="AN617" i="1"/>
  <c r="AK617" i="1"/>
  <c r="AO617" i="1" s="1"/>
  <c r="AK603" i="1"/>
  <c r="AL603" i="1"/>
  <c r="AK577" i="1"/>
  <c r="AL577" i="1"/>
  <c r="AK723" i="1"/>
  <c r="AL723" i="1"/>
  <c r="AK640" i="1"/>
  <c r="AL640" i="1"/>
  <c r="AN591" i="1"/>
  <c r="AK591" i="1"/>
  <c r="AN639" i="1"/>
  <c r="AK639" i="1"/>
  <c r="AO639" i="1" s="1"/>
  <c r="AK627" i="1"/>
  <c r="AL627" i="1"/>
  <c r="AN560" i="1"/>
  <c r="AK560" i="1"/>
  <c r="AO560" i="1" s="1"/>
  <c r="AK543" i="1"/>
  <c r="AL543" i="1"/>
  <c r="AN703" i="1"/>
  <c r="AN699" i="1"/>
  <c r="AN680" i="1"/>
  <c r="AK680" i="1"/>
  <c r="AO680" i="1" s="1"/>
  <c r="AN660" i="1"/>
  <c r="AK660" i="1"/>
  <c r="AN638" i="1"/>
  <c r="AK638" i="1"/>
  <c r="AO638" i="1" s="1"/>
  <c r="AL602" i="1"/>
  <c r="AN602" i="1"/>
  <c r="AN559" i="1"/>
  <c r="AK559" i="1"/>
  <c r="AO559" i="1" s="1"/>
  <c r="AK542" i="1"/>
  <c r="AL542" i="1"/>
  <c r="AN721" i="1"/>
  <c r="AN709" i="1"/>
  <c r="AK690" i="1"/>
  <c r="AL690" i="1"/>
  <c r="AK671" i="1"/>
  <c r="AL671" i="1"/>
  <c r="AL648" i="1"/>
  <c r="AK648" i="1"/>
  <c r="AL615" i="1"/>
  <c r="AK615" i="1"/>
  <c r="AN614" i="1"/>
  <c r="AK614" i="1"/>
  <c r="AO614" i="1" s="1"/>
  <c r="AN541" i="1"/>
  <c r="AK541" i="1"/>
  <c r="AK714" i="1"/>
  <c r="AL714" i="1"/>
  <c r="AK727" i="1"/>
  <c r="AL727" i="1"/>
  <c r="AN689" i="1"/>
  <c r="AK689" i="1"/>
  <c r="AK659" i="1"/>
  <c r="AL659" i="1"/>
  <c r="AK647" i="1"/>
  <c r="AL647" i="1"/>
  <c r="AK613" i="1"/>
  <c r="AL613" i="1"/>
  <c r="AL600" i="1"/>
  <c r="AN600" i="1"/>
  <c r="AK574" i="1"/>
  <c r="AL574" i="1"/>
  <c r="AK557" i="1"/>
  <c r="AL557" i="1"/>
  <c r="AK540" i="1"/>
  <c r="AL540" i="1"/>
  <c r="AN729" i="1"/>
  <c r="AK716" i="1"/>
  <c r="AL716" i="1"/>
  <c r="AK707" i="1"/>
  <c r="AL707" i="1"/>
  <c r="AN646" i="1"/>
  <c r="AK646" i="1"/>
  <c r="AO646" i="1" s="1"/>
  <c r="AK625" i="1"/>
  <c r="AL625" i="1"/>
  <c r="AK585" i="1"/>
  <c r="AL585" i="1"/>
  <c r="AN573" i="1"/>
  <c r="AK573" i="1"/>
  <c r="AO573" i="1" s="1"/>
  <c r="AK556" i="1"/>
  <c r="AL556" i="1"/>
  <c r="AK539" i="1"/>
  <c r="AL539" i="1"/>
  <c r="AN459" i="1"/>
  <c r="AK459" i="1"/>
  <c r="AN642" i="1"/>
  <c r="AK642" i="1"/>
  <c r="AN726" i="1"/>
  <c r="AN679" i="1"/>
  <c r="AK679" i="1"/>
  <c r="AO679" i="1" s="1"/>
  <c r="AN669" i="1"/>
  <c r="AK669" i="1"/>
  <c r="AO669" i="1" s="1"/>
  <c r="AK715" i="1"/>
  <c r="AL715" i="1"/>
  <c r="AN688" i="1"/>
  <c r="AK688" i="1"/>
  <c r="AN612" i="1"/>
  <c r="AK612" i="1"/>
  <c r="AO612" i="1" s="1"/>
  <c r="AN599" i="1"/>
  <c r="AK599" i="1"/>
  <c r="AN555" i="1"/>
  <c r="AK555" i="1"/>
  <c r="AO555" i="1" s="1"/>
  <c r="AN711" i="1"/>
  <c r="AN698" i="1"/>
  <c r="AN678" i="1"/>
  <c r="AK678" i="1"/>
  <c r="AO678" i="1" s="1"/>
  <c r="AK725" i="1"/>
  <c r="AL725" i="1"/>
  <c r="AN697" i="1"/>
  <c r="AN658" i="1"/>
  <c r="AK658" i="1"/>
  <c r="AK634" i="1"/>
  <c r="AL634" i="1"/>
  <c r="AL611" i="1"/>
  <c r="AK611" i="1"/>
  <c r="AL570" i="1"/>
  <c r="AK570" i="1"/>
  <c r="AK554" i="1"/>
  <c r="AL554" i="1"/>
  <c r="AK523" i="1"/>
  <c r="AL523" i="1"/>
  <c r="AK696" i="1"/>
  <c r="AL696" i="1"/>
  <c r="AN687" i="1"/>
  <c r="AK687" i="1"/>
  <c r="AO687" i="1" s="1"/>
  <c r="AL633" i="1"/>
  <c r="AK633" i="1"/>
  <c r="AN623" i="1"/>
  <c r="AK623" i="1"/>
  <c r="AK610" i="1"/>
  <c r="AL610" i="1"/>
  <c r="AK597" i="1"/>
  <c r="AL597" i="1"/>
  <c r="AN569" i="1"/>
  <c r="AK569" i="1"/>
  <c r="AO569" i="1" s="1"/>
  <c r="AK536" i="1"/>
  <c r="AL536" i="1"/>
  <c r="AK476" i="1"/>
  <c r="AL476" i="1"/>
  <c r="AN686" i="1"/>
  <c r="AK686" i="1"/>
  <c r="AO686" i="1" s="1"/>
  <c r="AL622" i="1"/>
  <c r="AK622" i="1"/>
  <c r="AN609" i="1"/>
  <c r="AK609" i="1"/>
  <c r="AO609" i="1" s="1"/>
  <c r="AN596" i="1"/>
  <c r="AK596" i="1"/>
  <c r="AO596" i="1" s="1"/>
  <c r="AN582" i="1"/>
  <c r="AK582" i="1"/>
  <c r="AN553" i="1"/>
  <c r="AK553" i="1"/>
  <c r="AO553" i="1" s="1"/>
  <c r="AN522" i="1"/>
  <c r="AK522" i="1"/>
  <c r="AO522" i="1" s="1"/>
  <c r="AK705" i="1"/>
  <c r="AL705" i="1"/>
  <c r="AK644" i="1"/>
  <c r="AL644" i="1"/>
  <c r="AN731" i="1"/>
  <c r="AK731" i="1"/>
  <c r="AK695" i="1"/>
  <c r="AL695" i="1"/>
  <c r="AK608" i="1"/>
  <c r="AL608" i="1"/>
  <c r="AK581" i="1"/>
  <c r="AL581" i="1"/>
  <c r="AK549" i="1"/>
  <c r="AL549" i="1"/>
  <c r="AK521" i="1"/>
  <c r="AL521" i="1"/>
  <c r="AK490" i="1"/>
  <c r="AL490" i="1"/>
  <c r="AN676" i="1"/>
  <c r="AK676" i="1"/>
  <c r="AO676" i="1" s="1"/>
  <c r="AN632" i="1"/>
  <c r="AK632" i="1"/>
  <c r="AO632" i="1" s="1"/>
  <c r="AN713" i="1"/>
  <c r="AN655" i="1"/>
  <c r="AK655" i="1"/>
  <c r="AO655" i="1" s="1"/>
  <c r="AN631" i="1"/>
  <c r="AK631" i="1"/>
  <c r="AO631" i="1" s="1"/>
  <c r="AN621" i="1"/>
  <c r="AK621" i="1"/>
  <c r="AN607" i="1"/>
  <c r="AK607" i="1"/>
  <c r="AO607" i="1" s="1"/>
  <c r="AN567" i="1"/>
  <c r="AK567" i="1"/>
  <c r="AO567" i="1" s="1"/>
  <c r="AK533" i="1"/>
  <c r="AL533" i="1"/>
  <c r="AN520" i="1"/>
  <c r="AK520" i="1"/>
  <c r="AN453" i="1"/>
  <c r="AK453" i="1"/>
  <c r="AO453" i="1" s="1"/>
  <c r="AK656" i="1"/>
  <c r="AL656" i="1"/>
  <c r="AL654" i="1"/>
  <c r="AK654" i="1"/>
  <c r="AK630" i="1"/>
  <c r="AL630" i="1"/>
  <c r="AK620" i="1"/>
  <c r="AL620" i="1"/>
  <c r="AN606" i="1"/>
  <c r="AK606" i="1"/>
  <c r="AO606" i="1" s="1"/>
  <c r="AN580" i="1"/>
  <c r="AK580" i="1"/>
  <c r="AK548" i="1"/>
  <c r="AL548" i="1"/>
  <c r="AK532" i="1"/>
  <c r="AL532" i="1"/>
  <c r="AK732" i="1"/>
  <c r="AL732" i="1"/>
  <c r="AK629" i="1"/>
  <c r="AL629" i="1"/>
  <c r="AN619" i="1"/>
  <c r="AK619" i="1"/>
  <c r="AO619" i="1" s="1"/>
  <c r="AN605" i="1"/>
  <c r="AK605" i="1"/>
  <c r="AO605" i="1" s="1"/>
  <c r="AN579" i="1"/>
  <c r="AK579" i="1"/>
  <c r="AO579" i="1" s="1"/>
  <c r="AN565" i="1"/>
  <c r="AK565" i="1"/>
  <c r="AO565" i="1" s="1"/>
  <c r="AN547" i="1"/>
  <c r="AK547" i="1"/>
  <c r="AO547" i="1" s="1"/>
  <c r="AN531" i="1"/>
  <c r="AK531" i="1"/>
  <c r="AO531" i="1" s="1"/>
  <c r="AK693" i="1"/>
  <c r="AL693" i="1"/>
  <c r="AK702" i="1"/>
  <c r="AL702" i="1"/>
  <c r="AK682" i="1"/>
  <c r="AL682" i="1"/>
  <c r="AK673" i="1"/>
  <c r="AL673" i="1"/>
  <c r="AK651" i="1"/>
  <c r="AL651" i="1"/>
  <c r="AK641" i="1"/>
  <c r="AL641" i="1"/>
  <c r="AN592" i="1"/>
  <c r="AK592" i="1"/>
  <c r="AK513" i="1"/>
  <c r="AL513" i="1"/>
  <c r="AN583" i="1"/>
  <c r="AK583" i="1"/>
  <c r="AO583" i="1" s="1"/>
  <c r="AK524" i="1"/>
  <c r="AL524" i="1"/>
  <c r="AK502" i="1"/>
  <c r="AL502" i="1"/>
  <c r="AK455" i="1"/>
  <c r="AL455" i="1" s="1"/>
  <c r="AK501" i="1"/>
  <c r="AL501" i="1"/>
  <c r="AN489" i="1"/>
  <c r="AK489" i="1"/>
  <c r="AK466" i="1"/>
  <c r="AL466" i="1"/>
  <c r="AK454" i="1"/>
  <c r="AL454" i="1"/>
  <c r="AL558" i="1"/>
  <c r="AK558" i="1"/>
  <c r="AK546" i="1"/>
  <c r="AL546" i="1"/>
  <c r="AK535" i="1"/>
  <c r="AL535" i="1"/>
  <c r="AN500" i="1"/>
  <c r="AK500" i="1"/>
  <c r="AO500" i="1" s="1"/>
  <c r="AK488" i="1"/>
  <c r="AL488" i="1"/>
  <c r="AK616" i="1"/>
  <c r="AL616" i="1"/>
  <c r="AK593" i="1"/>
  <c r="AL593" i="1"/>
  <c r="AN534" i="1"/>
  <c r="AK534" i="1"/>
  <c r="AO534" i="1" s="1"/>
  <c r="AK487" i="1"/>
  <c r="AL487" i="1"/>
  <c r="AK465" i="1"/>
  <c r="AL465" i="1"/>
  <c r="AK511" i="1"/>
  <c r="AL511" i="1"/>
  <c r="AN486" i="1"/>
  <c r="AK486" i="1"/>
  <c r="AO486" i="1" s="1"/>
  <c r="AN475" i="1"/>
  <c r="AK475" i="1"/>
  <c r="AN464" i="1"/>
  <c r="AK464" i="1"/>
  <c r="AO464" i="1" s="1"/>
  <c r="AK452" i="1"/>
  <c r="AL452" i="1"/>
  <c r="AN544" i="1"/>
  <c r="AK544" i="1"/>
  <c r="AO544" i="1" s="1"/>
  <c r="AN510" i="1"/>
  <c r="AK510" i="1"/>
  <c r="AO510" i="1" s="1"/>
  <c r="AN498" i="1"/>
  <c r="AK498" i="1"/>
  <c r="AO498" i="1" s="1"/>
  <c r="AK463" i="1"/>
  <c r="AL463" i="1"/>
  <c r="AK451" i="1"/>
  <c r="AL451" i="1" s="1"/>
  <c r="AK509" i="1"/>
  <c r="AL509" i="1"/>
  <c r="AK497" i="1"/>
  <c r="AL497" i="1"/>
  <c r="AL474" i="1"/>
  <c r="AK474" i="1"/>
  <c r="AN462" i="1"/>
  <c r="AK462" i="1"/>
  <c r="AO462" i="1" s="1"/>
  <c r="AK450" i="1"/>
  <c r="AL508" i="1"/>
  <c r="AK508" i="1"/>
  <c r="AN496" i="1"/>
  <c r="AK496" i="1"/>
  <c r="AO496" i="1" s="1"/>
  <c r="AN484" i="1"/>
  <c r="AK484" i="1"/>
  <c r="AO484" i="1" s="1"/>
  <c r="AN473" i="1"/>
  <c r="AK473" i="1"/>
  <c r="AO473" i="1" s="1"/>
  <c r="AK461" i="1"/>
  <c r="AL461" i="1"/>
  <c r="AK624" i="1"/>
  <c r="AL624" i="1"/>
  <c r="AK601" i="1"/>
  <c r="AL601" i="1"/>
  <c r="AK566" i="1"/>
  <c r="AL566" i="1"/>
  <c r="AN519" i="1"/>
  <c r="AK519" i="1"/>
  <c r="AN460" i="1"/>
  <c r="AK460" i="1"/>
  <c r="AO460" i="1" s="1"/>
  <c r="AL530" i="1"/>
  <c r="AN530" i="1"/>
  <c r="AN518" i="1"/>
  <c r="AK518" i="1"/>
  <c r="AO518" i="1" s="1"/>
  <c r="AN507" i="1"/>
  <c r="AK507" i="1"/>
  <c r="AK495" i="1"/>
  <c r="AL495" i="1"/>
  <c r="AN483" i="1"/>
  <c r="AK483" i="1"/>
  <c r="AO483" i="1" s="1"/>
  <c r="AK576" i="1"/>
  <c r="AL576" i="1"/>
  <c r="AN564" i="1"/>
  <c r="AK564" i="1"/>
  <c r="AO564" i="1" s="1"/>
  <c r="AK506" i="1"/>
  <c r="AL506" i="1"/>
  <c r="AN494" i="1"/>
  <c r="AK494" i="1"/>
  <c r="AO494" i="1" s="1"/>
  <c r="AK482" i="1"/>
  <c r="AL482" i="1"/>
  <c r="AK586" i="1"/>
  <c r="AL586" i="1"/>
  <c r="AN529" i="1"/>
  <c r="AK529" i="1"/>
  <c r="AO529" i="1" s="1"/>
  <c r="AN505" i="1"/>
  <c r="AK505" i="1"/>
  <c r="AO505" i="1" s="1"/>
  <c r="AK493" i="1"/>
  <c r="AL493" i="1"/>
  <c r="AN481" i="1"/>
  <c r="AK481" i="1"/>
  <c r="AO481" i="1" s="1"/>
  <c r="AN701" i="1"/>
  <c r="AL692" i="1"/>
  <c r="AK692" i="1"/>
  <c r="AN598" i="1"/>
  <c r="AK598" i="1"/>
  <c r="AO598" i="1" s="1"/>
  <c r="AN575" i="1"/>
  <c r="AK575" i="1"/>
  <c r="AK528" i="1"/>
  <c r="AL528" i="1"/>
  <c r="AN527" i="1"/>
  <c r="AK527" i="1"/>
  <c r="AO527" i="1" s="1"/>
  <c r="AN504" i="1"/>
  <c r="AK504" i="1"/>
  <c r="AO504" i="1" s="1"/>
  <c r="AK492" i="1"/>
  <c r="AL492" i="1"/>
  <c r="AN480" i="1"/>
  <c r="AK480" i="1"/>
  <c r="AO480" i="1" s="1"/>
  <c r="AK457" i="1"/>
  <c r="AL457" i="1"/>
  <c r="AN561" i="1"/>
  <c r="AK561" i="1"/>
  <c r="AO561" i="1" s="1"/>
  <c r="AN538" i="1"/>
  <c r="AK538" i="1"/>
  <c r="AO538" i="1" s="1"/>
  <c r="AL526" i="1"/>
  <c r="AK526" i="1"/>
  <c r="AN491" i="1"/>
  <c r="AK491" i="1"/>
  <c r="AO491" i="1" s="1"/>
  <c r="AN479" i="1"/>
  <c r="AK479" i="1"/>
  <c r="AO479" i="1" s="1"/>
  <c r="AK584" i="1"/>
  <c r="AL584" i="1"/>
  <c r="AN537" i="1"/>
  <c r="AK537" i="1"/>
  <c r="AN525" i="1"/>
  <c r="AK525" i="1"/>
  <c r="AO525" i="1" s="1"/>
  <c r="AN503" i="1"/>
  <c r="AK503" i="1"/>
  <c r="AK456" i="1"/>
  <c r="AL456" i="1"/>
  <c r="BJ489" i="1"/>
  <c r="BI446" i="1"/>
  <c r="AF447" i="1"/>
  <c r="BI397" i="1"/>
  <c r="AF398" i="1"/>
  <c r="AF317" i="1"/>
  <c r="BI316" i="1"/>
  <c r="AF260" i="1"/>
  <c r="BI260" i="1" s="1"/>
  <c r="BI259" i="1"/>
  <c r="BJ413" i="1"/>
  <c r="BN413" i="1"/>
  <c r="BO413" i="1" s="1"/>
  <c r="BP413" i="1" s="1"/>
  <c r="BI341" i="1"/>
  <c r="BJ414" i="1"/>
  <c r="AF414" i="1"/>
  <c r="AD415" i="1"/>
  <c r="BI425" i="1"/>
  <c r="BI336" i="1"/>
  <c r="BI268" i="1"/>
  <c r="BI382" i="1"/>
  <c r="BK334" i="1"/>
  <c r="BJ271" i="1"/>
  <c r="BN269" i="1"/>
  <c r="BO269" i="1" s="1"/>
  <c r="BJ266" i="1"/>
  <c r="BN412" i="1"/>
  <c r="BO412" i="1" s="1"/>
  <c r="BP412" i="1" s="1"/>
  <c r="BI396" i="1"/>
  <c r="BJ334" i="1"/>
  <c r="BI427" i="1"/>
  <c r="BI371" i="1"/>
  <c r="BI357" i="1"/>
  <c r="BI346" i="1"/>
  <c r="BN335" i="1"/>
  <c r="BO335" i="1" s="1"/>
  <c r="BP335" i="1" s="1"/>
  <c r="BI334" i="1"/>
  <c r="BK269" i="1"/>
  <c r="BN265" i="1"/>
  <c r="BO265" i="1" s="1"/>
  <c r="AF385" i="1"/>
  <c r="AF275" i="1"/>
  <c r="BI275" i="1" s="1"/>
  <c r="BI368" i="1"/>
  <c r="BN337" i="1"/>
  <c r="BO337" i="1" s="1"/>
  <c r="BP337" i="1" s="1"/>
  <c r="BJ269" i="1"/>
  <c r="AF331" i="1"/>
  <c r="BN489" i="1"/>
  <c r="BO489" i="1" s="1"/>
  <c r="BK412" i="1"/>
  <c r="BI373" i="1"/>
  <c r="BI351" i="1"/>
  <c r="BK335" i="1"/>
  <c r="BI307" i="1"/>
  <c r="BI283" i="1"/>
  <c r="BI269" i="1"/>
  <c r="BI258" i="1"/>
  <c r="BI420" i="1"/>
  <c r="BI365" i="1"/>
  <c r="BK337" i="1"/>
  <c r="BJ335" i="1"/>
  <c r="BK265" i="1"/>
  <c r="BK263" i="1"/>
  <c r="AF407" i="1"/>
  <c r="AF256" i="1"/>
  <c r="BI256" i="1" s="1"/>
  <c r="BI424" i="1"/>
  <c r="BI412" i="1"/>
  <c r="BI356" i="1"/>
  <c r="BI335" i="1"/>
  <c r="BI315" i="1"/>
  <c r="BN270" i="1"/>
  <c r="BO270" i="1" s="1"/>
  <c r="BJ265" i="1"/>
  <c r="AF390" i="1"/>
  <c r="BI390" i="1" s="1"/>
  <c r="AF309" i="1"/>
  <c r="BK489" i="1"/>
  <c r="BI429" i="1"/>
  <c r="BI296" i="1"/>
  <c r="BI265" i="1"/>
  <c r="AF338" i="1"/>
  <c r="BK413" i="1"/>
  <c r="BI392" i="1"/>
  <c r="BI375" i="1"/>
  <c r="BI348" i="1"/>
  <c r="BK270" i="1"/>
  <c r="AF395" i="1"/>
  <c r="BI395" i="1" s="1"/>
  <c r="AF324" i="1"/>
  <c r="BI489" i="1"/>
  <c r="BI434" i="1"/>
  <c r="BI345" i="1"/>
  <c r="BI342" i="1"/>
  <c r="BN338" i="1"/>
  <c r="BO338" i="1" s="1"/>
  <c r="BI298" i="1"/>
  <c r="BI293" i="1"/>
  <c r="BJ270" i="1"/>
  <c r="BI413" i="1"/>
  <c r="BI367" i="1"/>
  <c r="BI350" i="1"/>
  <c r="BK333" i="1"/>
  <c r="BI282" i="1"/>
  <c r="BI270" i="1"/>
  <c r="BN268" i="1"/>
  <c r="BO268" i="1" s="1"/>
  <c r="BP268" i="1" s="1"/>
  <c r="BN264" i="1"/>
  <c r="BO264" i="1" s="1"/>
  <c r="BP264" i="1" s="1"/>
  <c r="BK262" i="1"/>
  <c r="BI445" i="1"/>
  <c r="BN414" i="1"/>
  <c r="BO414" i="1" s="1"/>
  <c r="BI383" i="1"/>
  <c r="BI340" i="1"/>
  <c r="BN336" i="1"/>
  <c r="BO336" i="1" s="1"/>
  <c r="BI428" i="1"/>
  <c r="BI300" i="1"/>
  <c r="BI369" i="1"/>
  <c r="BI358" i="1"/>
  <c r="BI347" i="1"/>
  <c r="BI344" i="1"/>
  <c r="BK336" i="1"/>
  <c r="BI295" i="1"/>
  <c r="BI290" i="1"/>
  <c r="BK268" i="1"/>
  <c r="BJ264" i="1"/>
  <c r="BK264" i="1" s="1"/>
  <c r="AF378" i="1"/>
  <c r="BI433" i="1"/>
  <c r="BI374" i="1"/>
  <c r="BI366" i="1"/>
  <c r="BJ336" i="1"/>
  <c r="BN334" i="1"/>
  <c r="BO334" i="1" s="1"/>
  <c r="AS441" i="1"/>
  <c r="BT441" i="1"/>
  <c r="BS441" i="1" s="1"/>
  <c r="Y444" i="1" a="1"/>
  <c r="Y444" i="1" s="1"/>
  <c r="AH444" i="1" s="1"/>
  <c r="Y433" i="1" a="1"/>
  <c r="Y433" i="1" s="1"/>
  <c r="AH433" i="1" s="1"/>
  <c r="AS433" i="1" s="1"/>
  <c r="Y426" i="1" a="1"/>
  <c r="Y426" i="1" s="1"/>
  <c r="AH426" i="1" s="1"/>
  <c r="AS426" i="1" s="1"/>
  <c r="Y422" i="1" a="1"/>
  <c r="Y422" i="1" s="1"/>
  <c r="AH422" i="1" s="1"/>
  <c r="Y421" i="1" a="1"/>
  <c r="Y421" i="1" s="1"/>
  <c r="AH421" i="1" s="1"/>
  <c r="Y420" i="1" a="1"/>
  <c r="Y420" i="1" s="1"/>
  <c r="AH420" i="1" s="1"/>
  <c r="Y417" i="1" a="1"/>
  <c r="Y417" i="1" s="1"/>
  <c r="AH417" i="1" s="1"/>
  <c r="Y416" i="1" a="1"/>
  <c r="Y416" i="1" s="1"/>
  <c r="AH416" i="1" s="1"/>
  <c r="Y403" i="1" a="1"/>
  <c r="Y403" i="1" s="1"/>
  <c r="AH403" i="1" s="1"/>
  <c r="Y402" i="1" a="1"/>
  <c r="Y402" i="1" s="1"/>
  <c r="AH402" i="1" s="1"/>
  <c r="Y399" i="1" a="1"/>
  <c r="Y399" i="1" s="1"/>
  <c r="AH399" i="1" s="1"/>
  <c r="AS399" i="1" s="1"/>
  <c r="Y398" i="1" a="1"/>
  <c r="Y398" i="1" s="1"/>
  <c r="AH398" i="1" s="1"/>
  <c r="AS398" i="1" s="1"/>
  <c r="Y396" i="1" a="1"/>
  <c r="Y396" i="1" s="1"/>
  <c r="AH396" i="1" s="1"/>
  <c r="Y391" i="1" a="1"/>
  <c r="Y391" i="1" s="1"/>
  <c r="AH391" i="1" s="1"/>
  <c r="Y388" i="1" a="1"/>
  <c r="Y388" i="1" s="1"/>
  <c r="AH388" i="1" s="1"/>
  <c r="Y382" i="1" a="1"/>
  <c r="Y382" i="1" s="1"/>
  <c r="AH382" i="1" s="1"/>
  <c r="Y381" i="1" a="1"/>
  <c r="Y381" i="1" s="1"/>
  <c r="AH381" i="1" s="1"/>
  <c r="AS381" i="1" s="1"/>
  <c r="Y380" i="1" a="1"/>
  <c r="Y380" i="1" s="1"/>
  <c r="AH380" i="1" s="1"/>
  <c r="Y377" i="1" a="1"/>
  <c r="Y377" i="1" s="1"/>
  <c r="AH377" i="1" s="1"/>
  <c r="AS377" i="1" s="1"/>
  <c r="Y360" i="1" a="1"/>
  <c r="Y360" i="1" s="1"/>
  <c r="AH360" i="1" s="1"/>
  <c r="Y350" i="1" a="1"/>
  <c r="Y350" i="1" s="1"/>
  <c r="AH350" i="1" s="1"/>
  <c r="AS350" i="1" s="1"/>
  <c r="Y339" i="1" a="1"/>
  <c r="Y339" i="1" s="1"/>
  <c r="AH339" i="1" s="1"/>
  <c r="Y338" i="1" a="1"/>
  <c r="Y338" i="1" s="1"/>
  <c r="AH338" i="1" s="1"/>
  <c r="Y329" i="1" a="1"/>
  <c r="Y329" i="1" s="1"/>
  <c r="AH329" i="1" s="1"/>
  <c r="AS329" i="1" s="1"/>
  <c r="Y327" i="1" a="1"/>
  <c r="Y327" i="1" s="1"/>
  <c r="AH327" i="1" s="1"/>
  <c r="Y322" i="1" a="1"/>
  <c r="Y322" i="1" s="1"/>
  <c r="AH322" i="1" s="1"/>
  <c r="Y315" i="1" a="1"/>
  <c r="Y315" i="1" s="1"/>
  <c r="AH315" i="1" s="1"/>
  <c r="AS315" i="1" s="1"/>
  <c r="Y311" i="1" a="1"/>
  <c r="Y311" i="1" s="1"/>
  <c r="AH311" i="1" s="1"/>
  <c r="AS311" i="1" s="1"/>
  <c r="Y306" i="1" a="1"/>
  <c r="Y306" i="1" s="1"/>
  <c r="AH306" i="1" s="1"/>
  <c r="Y304" i="1" a="1"/>
  <c r="Y304" i="1" s="1"/>
  <c r="AH304" i="1" s="1"/>
  <c r="Y301" i="1" a="1"/>
  <c r="Y301" i="1" s="1"/>
  <c r="AH301" i="1" s="1"/>
  <c r="Y300" i="1" a="1"/>
  <c r="Y300" i="1" s="1"/>
  <c r="AH300" i="1" s="1"/>
  <c r="Y295" i="1" a="1"/>
  <c r="Y295" i="1" s="1"/>
  <c r="AH295" i="1" s="1"/>
  <c r="AS295" i="1" s="1"/>
  <c r="Y294" i="1" a="1"/>
  <c r="Y294" i="1" s="1"/>
  <c r="AH294" i="1" s="1"/>
  <c r="AS294" i="1" s="1"/>
  <c r="Y293" i="1" a="1"/>
  <c r="Y293" i="1" s="1"/>
  <c r="AH293" i="1" s="1"/>
  <c r="Y291" i="1" a="1"/>
  <c r="Y291" i="1" s="1"/>
  <c r="AH291" i="1" s="1"/>
  <c r="Y285" i="1" a="1"/>
  <c r="Y285" i="1" s="1"/>
  <c r="AH285" i="1" s="1"/>
  <c r="AS285" i="1" s="1"/>
  <c r="Y282" i="1" a="1"/>
  <c r="Y282" i="1" s="1"/>
  <c r="AH282" i="1" s="1"/>
  <c r="Y280" i="1" a="1"/>
  <c r="Y280" i="1" s="1"/>
  <c r="AH280" i="1" s="1"/>
  <c r="Y271" i="1" a="1"/>
  <c r="Y271" i="1" s="1"/>
  <c r="AH271" i="1" s="1"/>
  <c r="Y269" i="1" a="1"/>
  <c r="Y269" i="1" s="1"/>
  <c r="AH269" i="1" s="1"/>
  <c r="Y268" i="1" a="1"/>
  <c r="Y268" i="1" s="1"/>
  <c r="AH268" i="1" s="1"/>
  <c r="AS268" i="1" s="1"/>
  <c r="Y265" i="1" a="1"/>
  <c r="Y265" i="1" s="1"/>
  <c r="AH265" i="1" s="1"/>
  <c r="AS265" i="1" s="1"/>
  <c r="Y263" i="1" a="1"/>
  <c r="Y263" i="1" s="1"/>
  <c r="AH263" i="1" s="1"/>
  <c r="Y262" i="1" a="1"/>
  <c r="Y262" i="1" s="1"/>
  <c r="AH262" i="1" s="1"/>
  <c r="Y259" i="1" a="1"/>
  <c r="Y259" i="1" s="1"/>
  <c r="AH259" i="1" s="1"/>
  <c r="AS259" i="1" s="1"/>
  <c r="Y256" i="1" a="1"/>
  <c r="Y256" i="1" s="1"/>
  <c r="AH256" i="1" s="1"/>
  <c r="AS256" i="1" s="1"/>
  <c r="Y243" i="1" a="1"/>
  <c r="Y243" i="1" s="1"/>
  <c r="AH243" i="1" s="1"/>
  <c r="AS243" i="1" s="1"/>
  <c r="Y242" i="1" a="1"/>
  <c r="Y242" i="1" s="1"/>
  <c r="AH242" i="1" s="1"/>
  <c r="Y240" i="1" a="1"/>
  <c r="Y240" i="1" s="1"/>
  <c r="AH240" i="1" s="1"/>
  <c r="Y239" i="1" a="1"/>
  <c r="Y239" i="1" s="1"/>
  <c r="AH239" i="1" s="1"/>
  <c r="Y234" i="1" a="1"/>
  <c r="Y234" i="1" s="1"/>
  <c r="AH234" i="1" s="1"/>
  <c r="Y232" i="1" a="1"/>
  <c r="Y232" i="1" s="1"/>
  <c r="AH232" i="1" s="1"/>
  <c r="Y229" i="1" a="1"/>
  <c r="Y229" i="1" s="1"/>
  <c r="AH229" i="1" s="1"/>
  <c r="Y227" i="1" a="1"/>
  <c r="Y227" i="1" s="1"/>
  <c r="AH227" i="1" s="1"/>
  <c r="AS227" i="1" s="1"/>
  <c r="Y225" i="1" a="1"/>
  <c r="Y225" i="1" s="1"/>
  <c r="AH225" i="1" s="1"/>
  <c r="Y221" i="1" a="1"/>
  <c r="Y221" i="1" s="1"/>
  <c r="AH221" i="1" s="1"/>
  <c r="AS221" i="1" s="1"/>
  <c r="Y220" i="1" a="1"/>
  <c r="Y220" i="1" s="1"/>
  <c r="AH220" i="1" s="1"/>
  <c r="AS220" i="1" s="1"/>
  <c r="Y215" i="1" a="1"/>
  <c r="Y215" i="1" s="1"/>
  <c r="AH215" i="1" s="1"/>
  <c r="AS215" i="1" s="1"/>
  <c r="Y214" i="1" a="1"/>
  <c r="Y214" i="1" s="1"/>
  <c r="AH214" i="1" s="1"/>
  <c r="Y212" i="1" a="1"/>
  <c r="Y212" i="1" s="1"/>
  <c r="AH212" i="1" s="1"/>
  <c r="AS212" i="1" s="1"/>
  <c r="Y205" i="1" a="1"/>
  <c r="Y205" i="1" s="1"/>
  <c r="AH205" i="1" s="1"/>
  <c r="AS205" i="1" s="1"/>
  <c r="Y191" i="1" a="1"/>
  <c r="Y191" i="1" s="1"/>
  <c r="AH191" i="1" s="1"/>
  <c r="Y187" i="1" a="1"/>
  <c r="Y187" i="1" s="1"/>
  <c r="AH187" i="1" s="1"/>
  <c r="AS187" i="1" s="1"/>
  <c r="Y186" i="1" a="1"/>
  <c r="Y186" i="1" s="1"/>
  <c r="AH186" i="1" s="1"/>
  <c r="AS186" i="1" s="1"/>
  <c r="Y184" i="1" a="1"/>
  <c r="Y184" i="1" s="1"/>
  <c r="AH184" i="1" s="1"/>
  <c r="Y168" i="1" a="1"/>
  <c r="Y168" i="1" s="1"/>
  <c r="AH168" i="1" s="1"/>
  <c r="Y165" i="1" a="1"/>
  <c r="Y165" i="1" s="1"/>
  <c r="AH165" i="1" s="1"/>
  <c r="AS165" i="1" s="1"/>
  <c r="Y164" i="1" a="1"/>
  <c r="Y164" i="1" s="1"/>
  <c r="AH164" i="1" s="1"/>
  <c r="Y161" i="1" a="1"/>
  <c r="Y161" i="1" s="1"/>
  <c r="AH161" i="1" s="1"/>
  <c r="AS161" i="1" s="1"/>
  <c r="Y160" i="1" a="1"/>
  <c r="Y160" i="1" s="1"/>
  <c r="AH160" i="1" s="1"/>
  <c r="AS160" i="1" s="1"/>
  <c r="Y156" i="1" a="1"/>
  <c r="Y156" i="1" s="1"/>
  <c r="AH156" i="1" s="1"/>
  <c r="AS156" i="1" s="1"/>
  <c r="Y145" i="1" a="1"/>
  <c r="Y145" i="1" s="1"/>
  <c r="AH145" i="1" s="1"/>
  <c r="Y140" i="1" a="1"/>
  <c r="Y140" i="1" s="1"/>
  <c r="AH140" i="1" s="1"/>
  <c r="Y134" i="1" a="1"/>
  <c r="Y134" i="1" s="1"/>
  <c r="AH134" i="1" s="1"/>
  <c r="Y124" i="1" a="1"/>
  <c r="Y124" i="1" s="1"/>
  <c r="AH124" i="1" s="1"/>
  <c r="Y123" i="1" a="1"/>
  <c r="Y123" i="1" s="1"/>
  <c r="AH123" i="1" s="1"/>
  <c r="Y122" i="1" a="1"/>
  <c r="Y122" i="1" s="1"/>
  <c r="AH122" i="1" s="1"/>
  <c r="Y119" i="1" a="1"/>
  <c r="Y119" i="1" s="1"/>
  <c r="AH119" i="1" s="1"/>
  <c r="Y118" i="1" a="1"/>
  <c r="Y118" i="1" s="1"/>
  <c r="AH118" i="1" s="1"/>
  <c r="Y114" i="1" a="1"/>
  <c r="Y114" i="1" s="1"/>
  <c r="AH114" i="1" s="1"/>
  <c r="Y108" i="1" a="1"/>
  <c r="Y108" i="1" s="1"/>
  <c r="AH108" i="1" s="1"/>
  <c r="Y107" i="1" a="1"/>
  <c r="Y107" i="1" s="1"/>
  <c r="AH107" i="1" s="1"/>
  <c r="Y102" i="1" a="1"/>
  <c r="Y102" i="1" s="1"/>
  <c r="AH102" i="1" s="1"/>
  <c r="AS102" i="1" s="1"/>
  <c r="Y98" i="1" a="1"/>
  <c r="Y98" i="1" s="1"/>
  <c r="AH98" i="1" s="1"/>
  <c r="Y86" i="1" a="1"/>
  <c r="Y86" i="1" s="1"/>
  <c r="AH86" i="1" s="1"/>
  <c r="Y85" i="1" a="1"/>
  <c r="Y85" i="1" s="1"/>
  <c r="AH85" i="1" s="1"/>
  <c r="Y83" i="1" a="1"/>
  <c r="Y83" i="1" s="1"/>
  <c r="AH83" i="1" s="1"/>
  <c r="Y76" i="1" a="1"/>
  <c r="Y76" i="1" s="1"/>
  <c r="AH76" i="1" s="1"/>
  <c r="Y75" i="1" a="1"/>
  <c r="Y75" i="1" s="1"/>
  <c r="AH75" i="1" s="1"/>
  <c r="Y66" i="1" a="1"/>
  <c r="Y66" i="1" s="1"/>
  <c r="AH66" i="1" s="1"/>
  <c r="Y65" i="1" a="1"/>
  <c r="Y65" i="1" s="1"/>
  <c r="AH65" i="1" s="1"/>
  <c r="Y64" i="1" a="1"/>
  <c r="Y64" i="1" s="1"/>
  <c r="AH64" i="1" s="1"/>
  <c r="Y60" i="1" a="1"/>
  <c r="Y60" i="1" s="1"/>
  <c r="AH60" i="1" s="1"/>
  <c r="Y58" i="1" a="1"/>
  <c r="Y58" i="1" s="1"/>
  <c r="AH58" i="1" s="1"/>
  <c r="Y57" i="1" a="1"/>
  <c r="Y57" i="1" s="1"/>
  <c r="AH57" i="1" s="1"/>
  <c r="Y44" i="1" a="1"/>
  <c r="Y44" i="1" s="1"/>
  <c r="AH44" i="1" s="1"/>
  <c r="Y43" i="1" a="1"/>
  <c r="Y43" i="1" s="1"/>
  <c r="AH43" i="1" s="1"/>
  <c r="Y42" i="1" a="1"/>
  <c r="Y42" i="1" s="1"/>
  <c r="AH42" i="1" s="1"/>
  <c r="Y38" i="1" a="1"/>
  <c r="Y38" i="1" s="1"/>
  <c r="AH38" i="1" s="1"/>
  <c r="Y36" i="1" a="1"/>
  <c r="Y36" i="1" s="1"/>
  <c r="AH36" i="1" s="1"/>
  <c r="Y34" i="1" a="1"/>
  <c r="Y34" i="1" s="1"/>
  <c r="AH34" i="1" s="1"/>
  <c r="Y28" i="1" a="1"/>
  <c r="Y28" i="1" s="1"/>
  <c r="AH28" i="1" s="1"/>
  <c r="AM26" i="1"/>
  <c r="AO26" i="1"/>
  <c r="AL26" i="1"/>
  <c r="AP26" i="1" s="1"/>
  <c r="Y436" i="1" a="1"/>
  <c r="Y436" i="1" s="1"/>
  <c r="AH436" i="1" s="1"/>
  <c r="AS436" i="1" s="1"/>
  <c r="Y175" i="1" a="1"/>
  <c r="Y175" i="1" s="1"/>
  <c r="AH175" i="1" s="1"/>
  <c r="AS175" i="1" s="1"/>
  <c r="Y116" i="1" a="1"/>
  <c r="Y116" i="1" s="1"/>
  <c r="AH116" i="1" s="1"/>
  <c r="AS116" i="1" s="1"/>
  <c r="Y445" i="1" a="1"/>
  <c r="Y445" i="1" s="1"/>
  <c r="AH445" i="1" s="1"/>
  <c r="AS445" i="1" s="1"/>
  <c r="Y286" i="1" a="1"/>
  <c r="Y286" i="1" s="1"/>
  <c r="AH286" i="1" s="1"/>
  <c r="AS286" i="1" s="1"/>
  <c r="Y216" i="1" a="1"/>
  <c r="Y216" i="1" s="1"/>
  <c r="AH216" i="1" s="1"/>
  <c r="AS216" i="1" s="1"/>
  <c r="Y425" i="1" a="1"/>
  <c r="Y425" i="1" s="1"/>
  <c r="AH425" i="1" s="1"/>
  <c r="AS425" i="1" s="1"/>
  <c r="Y414" i="1" a="1"/>
  <c r="Y414" i="1" s="1"/>
  <c r="AH414" i="1" s="1"/>
  <c r="AS414" i="1" s="1"/>
  <c r="Y353" i="1" a="1"/>
  <c r="Y353" i="1" s="1"/>
  <c r="AH353" i="1" s="1"/>
  <c r="AS353" i="1" s="1"/>
  <c r="Y437" i="1" a="1"/>
  <c r="Y437" i="1" s="1"/>
  <c r="AH437" i="1" s="1"/>
  <c r="AS437" i="1" s="1"/>
  <c r="Y431" i="1" a="1"/>
  <c r="Y431" i="1" s="1"/>
  <c r="AH431" i="1" s="1"/>
  <c r="AS431" i="1" s="1"/>
  <c r="Y394" i="1" a="1"/>
  <c r="Y394" i="1" s="1"/>
  <c r="AH394" i="1" s="1"/>
  <c r="AS394" i="1" s="1"/>
  <c r="Y424" i="1" a="1"/>
  <c r="Y424" i="1" s="1"/>
  <c r="AH424" i="1" s="1"/>
  <c r="AS424" i="1" s="1"/>
  <c r="Y406" i="1" a="1"/>
  <c r="Y406" i="1" s="1"/>
  <c r="AH406" i="1" s="1"/>
  <c r="AS406" i="1" s="1"/>
  <c r="Y368" i="1" a="1"/>
  <c r="Y368" i="1" s="1"/>
  <c r="AH368" i="1" s="1"/>
  <c r="AS368" i="1" s="1"/>
  <c r="Y442" i="1" a="1"/>
  <c r="Y442" i="1" s="1"/>
  <c r="AH442" i="1" s="1"/>
  <c r="AS442" i="1" s="1"/>
  <c r="Y413" i="1" a="1"/>
  <c r="Y413" i="1" s="1"/>
  <c r="AH413" i="1" s="1"/>
  <c r="AS413" i="1" s="1"/>
  <c r="Y373" i="1" a="1"/>
  <c r="Y373" i="1" s="1"/>
  <c r="AH373" i="1" s="1"/>
  <c r="AS373" i="1" s="1"/>
  <c r="Y355" i="1" a="1"/>
  <c r="Y355" i="1" s="1"/>
  <c r="AH355" i="1" s="1"/>
  <c r="AS355" i="1" s="1"/>
  <c r="Y323" i="1" a="1"/>
  <c r="Y323" i="1" s="1"/>
  <c r="AH323" i="1" s="1"/>
  <c r="AS323" i="1" s="1"/>
  <c r="Y276" i="1" a="1"/>
  <c r="Y276" i="1" s="1"/>
  <c r="AH276" i="1" s="1"/>
  <c r="AS276" i="1" s="1"/>
  <c r="Y328" i="1" a="1"/>
  <c r="Y328" i="1" s="1"/>
  <c r="AH328" i="1" s="1"/>
  <c r="AS328" i="1" s="1"/>
  <c r="Y364" i="1" a="1"/>
  <c r="Y364" i="1" s="1"/>
  <c r="AH364" i="1" s="1"/>
  <c r="AS364" i="1" s="1"/>
  <c r="Y335" i="1" a="1"/>
  <c r="Y335" i="1" s="1"/>
  <c r="AH335" i="1" s="1"/>
  <c r="AS335" i="1" s="1"/>
  <c r="Y303" i="1" a="1"/>
  <c r="Y303" i="1" s="1"/>
  <c r="AH303" i="1" s="1"/>
  <c r="AS303" i="1" s="1"/>
  <c r="Y354" i="1" a="1"/>
  <c r="Y354" i="1" s="1"/>
  <c r="AH354" i="1" s="1"/>
  <c r="AS354" i="1" s="1"/>
  <c r="Y367" i="1" a="1"/>
  <c r="Y367" i="1" s="1"/>
  <c r="AH367" i="1" s="1"/>
  <c r="AS367" i="1" s="1"/>
  <c r="Y274" i="1" a="1"/>
  <c r="Y274" i="1" s="1"/>
  <c r="AH274" i="1" s="1"/>
  <c r="AS274" i="1" s="1"/>
  <c r="Y365" i="1" a="1"/>
  <c r="Y365" i="1" s="1"/>
  <c r="AH365" i="1" s="1"/>
  <c r="AS365" i="1" s="1"/>
  <c r="Y237" i="1" a="1"/>
  <c r="Y237" i="1" s="1"/>
  <c r="AH237" i="1" s="1"/>
  <c r="AS237" i="1" s="1"/>
  <c r="Y206" i="1" a="1"/>
  <c r="Y206" i="1" s="1"/>
  <c r="AH206" i="1" s="1"/>
  <c r="AS206" i="1" s="1"/>
  <c r="Y147" i="1" a="1"/>
  <c r="Y147" i="1" s="1"/>
  <c r="AH147" i="1" s="1"/>
  <c r="AS147" i="1" s="1"/>
  <c r="Y189" i="1" a="1"/>
  <c r="Y189" i="1" s="1"/>
  <c r="AH189" i="1" s="1"/>
  <c r="AS189" i="1" s="1"/>
  <c r="Y170" i="1" a="1"/>
  <c r="Y170" i="1" s="1"/>
  <c r="AH170" i="1" s="1"/>
  <c r="AS170" i="1" s="1"/>
  <c r="Y144" i="1" a="1"/>
  <c r="Y144" i="1" s="1"/>
  <c r="AH144" i="1" s="1"/>
  <c r="AS144" i="1" s="1"/>
  <c r="Y211" i="1" a="1"/>
  <c r="Y211" i="1" s="1"/>
  <c r="AH211" i="1" s="1"/>
  <c r="AS211" i="1" s="1"/>
  <c r="Y245" i="1" a="1"/>
  <c r="Y245" i="1" s="1"/>
  <c r="AH245" i="1" s="1"/>
  <c r="AS245" i="1" s="1"/>
  <c r="Y208" i="1" a="1"/>
  <c r="Y208" i="1" s="1"/>
  <c r="AH208" i="1" s="1"/>
  <c r="AS208" i="1" s="1"/>
  <c r="Y87" i="1" a="1"/>
  <c r="Y87" i="1" s="1"/>
  <c r="AH87" i="1" s="1"/>
  <c r="AS87" i="1" s="1"/>
  <c r="Y287" i="1" a="1"/>
  <c r="Y287" i="1" s="1"/>
  <c r="AH287" i="1" s="1"/>
  <c r="AS287" i="1" s="1"/>
  <c r="Y213" i="1" a="1"/>
  <c r="Y213" i="1" s="1"/>
  <c r="AH213" i="1" s="1"/>
  <c r="AS213" i="1" s="1"/>
  <c r="Y92" i="1" a="1"/>
  <c r="Y92" i="1" s="1"/>
  <c r="AH92" i="1" s="1"/>
  <c r="AS92" i="1" s="1"/>
  <c r="Y130" i="1" a="1"/>
  <c r="Y130" i="1" s="1"/>
  <c r="AH130" i="1" s="1"/>
  <c r="AS130" i="1" s="1"/>
  <c r="Y290" i="1" a="1"/>
  <c r="Y290" i="1" s="1"/>
  <c r="AH290" i="1" s="1"/>
  <c r="AS290" i="1" s="1"/>
  <c r="Y223" i="1" a="1"/>
  <c r="Y223" i="1" s="1"/>
  <c r="AH223" i="1" s="1"/>
  <c r="AS223" i="1" s="1"/>
  <c r="Y195" i="1" a="1"/>
  <c r="Y195" i="1" s="1"/>
  <c r="AH195" i="1" s="1"/>
  <c r="AS195" i="1" s="1"/>
  <c r="Y166" i="1" a="1"/>
  <c r="Y166" i="1" s="1"/>
  <c r="AH166" i="1" s="1"/>
  <c r="AS166" i="1" s="1"/>
  <c r="Y62" i="1" a="1"/>
  <c r="Y62" i="1" s="1"/>
  <c r="AH62" i="1" s="1"/>
  <c r="AS62" i="1" s="1"/>
  <c r="Y40" i="1" a="1"/>
  <c r="Y40" i="1" s="1"/>
  <c r="AH40" i="1" s="1"/>
  <c r="AS40" i="1" s="1"/>
  <c r="Y138" i="1" a="1"/>
  <c r="Y138" i="1" s="1"/>
  <c r="AH138" i="1" s="1"/>
  <c r="AS138" i="1" s="1"/>
  <c r="Y183" i="1" a="1"/>
  <c r="Y183" i="1" s="1"/>
  <c r="AH183" i="1" s="1"/>
  <c r="AS183" i="1" s="1"/>
  <c r="Y222" i="1" a="1"/>
  <c r="Y222" i="1" s="1"/>
  <c r="AH222" i="1" s="1"/>
  <c r="AS222" i="1" s="1"/>
  <c r="Y99" i="1" a="1"/>
  <c r="Y99" i="1" s="1"/>
  <c r="AH99" i="1" s="1"/>
  <c r="AS99" i="1" s="1"/>
  <c r="Y50" i="1" a="1"/>
  <c r="Y50" i="1" s="1"/>
  <c r="AH50" i="1" s="1"/>
  <c r="AS50" i="1" s="1"/>
  <c r="Y163" i="1" a="1"/>
  <c r="Y163" i="1" s="1"/>
  <c r="AH163" i="1" s="1"/>
  <c r="AS163" i="1" s="1"/>
  <c r="Y128" i="1" a="1"/>
  <c r="Y128" i="1" s="1"/>
  <c r="AH128" i="1" s="1"/>
  <c r="AS128" i="1" s="1"/>
  <c r="Y192" i="1" a="1"/>
  <c r="Y192" i="1" s="1"/>
  <c r="AH192" i="1" s="1"/>
  <c r="AS192" i="1" s="1"/>
  <c r="Y146" i="1" a="1"/>
  <c r="Y146" i="1" s="1"/>
  <c r="AH146" i="1" s="1"/>
  <c r="AS146" i="1" s="1"/>
  <c r="Y82" i="1" a="1"/>
  <c r="Y82" i="1" s="1"/>
  <c r="AH82" i="1" s="1"/>
  <c r="AS82" i="1" s="1"/>
  <c r="Y35" i="1" a="1"/>
  <c r="Y35" i="1" s="1"/>
  <c r="AH35" i="1" s="1"/>
  <c r="AS35" i="1" s="1"/>
  <c r="Y55" i="1" a="1"/>
  <c r="Y55" i="1" s="1"/>
  <c r="AH55" i="1" s="1"/>
  <c r="AS55" i="1" s="1"/>
  <c r="Y142" i="1" a="1"/>
  <c r="Y142" i="1" s="1"/>
  <c r="AH142" i="1" s="1"/>
  <c r="AS142" i="1" s="1"/>
  <c r="Y46" i="1" a="1"/>
  <c r="Y46" i="1" s="1"/>
  <c r="AH46" i="1" s="1"/>
  <c r="AS46" i="1" s="1"/>
  <c r="Y109" i="1" a="1"/>
  <c r="Y109" i="1" s="1"/>
  <c r="AH109" i="1" s="1"/>
  <c r="AS109" i="1" s="1"/>
  <c r="Y81" i="1" a="1"/>
  <c r="Y81" i="1" s="1"/>
  <c r="AH81" i="1" s="1"/>
  <c r="AS81" i="1" s="1"/>
  <c r="Y49" i="1" a="1"/>
  <c r="Y49" i="1" s="1"/>
  <c r="AH49" i="1" s="1"/>
  <c r="AS49" i="1" s="1"/>
  <c r="Y84" i="1" a="1"/>
  <c r="Y84" i="1" s="1"/>
  <c r="AH84" i="1" s="1"/>
  <c r="AS84" i="1" s="1"/>
  <c r="Y120" i="1" a="1"/>
  <c r="Y120" i="1" s="1"/>
  <c r="AH120" i="1" s="1"/>
  <c r="AS120" i="1" s="1"/>
  <c r="Y110" i="1" a="1"/>
  <c r="Y110" i="1" s="1"/>
  <c r="AH110" i="1" s="1"/>
  <c r="AS110" i="1" s="1"/>
  <c r="Y157" i="1" a="1"/>
  <c r="Y157" i="1" s="1"/>
  <c r="AH157" i="1" s="1"/>
  <c r="AS157" i="1" s="1"/>
  <c r="Y45" i="1" a="1"/>
  <c r="Y45" i="1" s="1"/>
  <c r="AH45" i="1" s="1"/>
  <c r="AS45" i="1" s="1"/>
  <c r="BR114" i="1"/>
  <c r="BQ114" i="1" s="1"/>
  <c r="BR97" i="1"/>
  <c r="BQ97" i="1" s="1"/>
  <c r="BR339" i="1"/>
  <c r="BQ339" i="1" s="1"/>
  <c r="BR188" i="1"/>
  <c r="BQ188" i="1" s="1"/>
  <c r="BR132" i="1"/>
  <c r="BQ132" i="1" s="1"/>
  <c r="BR117" i="1"/>
  <c r="BQ117" i="1" s="1"/>
  <c r="BR135" i="1"/>
  <c r="BQ135" i="1" s="1"/>
  <c r="BJ699" i="1"/>
  <c r="BN699" i="1"/>
  <c r="BO699" i="1" s="1"/>
  <c r="BI626" i="1"/>
  <c r="BK626" i="1"/>
  <c r="BN626" i="1"/>
  <c r="BO626" i="1" s="1"/>
  <c r="BJ626" i="1"/>
  <c r="BR444" i="1"/>
  <c r="BQ444" i="1" s="1"/>
  <c r="BR441" i="1"/>
  <c r="BQ441" i="1" s="1"/>
  <c r="BR440" i="1"/>
  <c r="BQ440" i="1" s="1"/>
  <c r="BR423" i="1"/>
  <c r="BQ423" i="1" s="1"/>
  <c r="BR422" i="1"/>
  <c r="BQ422" i="1" s="1"/>
  <c r="BR420" i="1"/>
  <c r="BQ420" i="1" s="1"/>
  <c r="BR416" i="1"/>
  <c r="BQ416" i="1" s="1"/>
  <c r="BR403" i="1"/>
  <c r="BQ403" i="1" s="1"/>
  <c r="BR391" i="1"/>
  <c r="BQ391" i="1"/>
  <c r="BR388" i="1"/>
  <c r="BQ388" i="1"/>
  <c r="BR363" i="1"/>
  <c r="BQ363" i="1" s="1"/>
  <c r="BR360" i="1"/>
  <c r="BQ360" i="1" s="1"/>
  <c r="BQ342" i="1"/>
  <c r="BR342" i="1"/>
  <c r="BR334" i="1"/>
  <c r="BQ334" i="1" s="1"/>
  <c r="BR333" i="1"/>
  <c r="BQ333" i="1" s="1"/>
  <c r="BR330" i="1"/>
  <c r="BQ330" i="1"/>
  <c r="BR327" i="1"/>
  <c r="BQ327" i="1" s="1"/>
  <c r="BR305" i="1"/>
  <c r="BQ305" i="1" s="1"/>
  <c r="BR301" i="1"/>
  <c r="BQ301" i="1" s="1"/>
  <c r="BR300" i="1"/>
  <c r="BQ300" i="1"/>
  <c r="BR293" i="1"/>
  <c r="BQ293" i="1" s="1"/>
  <c r="BR292" i="1"/>
  <c r="BQ292" i="1" s="1"/>
  <c r="BR282" i="1"/>
  <c r="BQ282" i="1" s="1"/>
  <c r="BR280" i="1"/>
  <c r="BQ280" i="1"/>
  <c r="BR273" i="1"/>
  <c r="BQ273" i="1"/>
  <c r="BR272" i="1"/>
  <c r="BQ272" i="1"/>
  <c r="BR271" i="1"/>
  <c r="BQ271" i="1" s="1"/>
  <c r="BR269" i="1"/>
  <c r="BQ269" i="1" s="1"/>
  <c r="BR263" i="1"/>
  <c r="BQ263" i="1" s="1"/>
  <c r="BR262" i="1"/>
  <c r="BQ262" i="1" s="1"/>
  <c r="BR261" i="1"/>
  <c r="BQ261" i="1" s="1"/>
  <c r="BR258" i="1"/>
  <c r="BQ258" i="1" s="1"/>
  <c r="BR255" i="1"/>
  <c r="BQ255" i="1" s="1"/>
  <c r="BR242" i="1"/>
  <c r="BQ242" i="1" s="1"/>
  <c r="BR234" i="1"/>
  <c r="BQ234" i="1" s="1"/>
  <c r="BR232" i="1"/>
  <c r="BQ232" i="1" s="1"/>
  <c r="BR229" i="1"/>
  <c r="BQ229" i="1" s="1"/>
  <c r="BR225" i="1"/>
  <c r="BQ225" i="1" s="1"/>
  <c r="BR210" i="1"/>
  <c r="BQ210" i="1" s="1"/>
  <c r="BR204" i="1"/>
  <c r="BQ204" i="1" s="1"/>
  <c r="BR193" i="1"/>
  <c r="BQ193" i="1" s="1"/>
  <c r="BR191" i="1"/>
  <c r="BQ191" i="1" s="1"/>
  <c r="BR169" i="1"/>
  <c r="BQ169" i="1" s="1"/>
  <c r="BR164" i="1"/>
  <c r="BQ164" i="1" s="1"/>
  <c r="BR140" i="1"/>
  <c r="BQ140" i="1" s="1"/>
  <c r="BR134" i="1"/>
  <c r="BQ134" i="1" s="1"/>
  <c r="BR127" i="1"/>
  <c r="BQ127" i="1" s="1"/>
  <c r="BR122" i="1"/>
  <c r="BQ122" i="1" s="1"/>
  <c r="BR118" i="1"/>
  <c r="BQ118" i="1" s="1"/>
  <c r="BR107" i="1"/>
  <c r="BQ107" i="1" s="1"/>
  <c r="BR103" i="1"/>
  <c r="BQ103" i="1" s="1"/>
  <c r="BR101" i="1"/>
  <c r="BQ101" i="1" s="1"/>
  <c r="BR98" i="1"/>
  <c r="BQ98" i="1" s="1"/>
  <c r="BR91" i="1"/>
  <c r="BQ91" i="1" s="1"/>
  <c r="BR90" i="1"/>
  <c r="BQ90" i="1"/>
  <c r="BR86" i="1"/>
  <c r="BQ86" i="1" s="1"/>
  <c r="BR83" i="1"/>
  <c r="BQ83" i="1"/>
  <c r="BR66" i="1"/>
  <c r="BQ66" i="1" s="1"/>
  <c r="BR64" i="1"/>
  <c r="BQ64" i="1" s="1"/>
  <c r="BR59" i="1"/>
  <c r="BQ59" i="1" s="1"/>
  <c r="BR58" i="1"/>
  <c r="BQ58" i="1" s="1"/>
  <c r="BR57" i="1"/>
  <c r="BQ57" i="1" s="1"/>
  <c r="BR39" i="1"/>
  <c r="BQ39" i="1"/>
  <c r="BR37" i="1"/>
  <c r="BQ37" i="1" s="1"/>
  <c r="BR34" i="1"/>
  <c r="BQ34" i="1" s="1"/>
  <c r="BR28" i="1"/>
  <c r="BQ28" i="1" s="1"/>
  <c r="BR19" i="1"/>
  <c r="BQ19" i="1" s="1"/>
  <c r="AS19" i="1"/>
  <c r="AS18" i="1"/>
  <c r="BR18" i="1"/>
  <c r="BQ18" i="1" s="1"/>
  <c r="BR41" i="1"/>
  <c r="BQ41" i="1"/>
  <c r="BR44" i="1"/>
  <c r="BQ44" i="1" s="1"/>
  <c r="BR25" i="1"/>
  <c r="BQ25" i="1" s="1"/>
  <c r="BR20" i="1"/>
  <c r="BQ20" i="1"/>
  <c r="AS20" i="1"/>
  <c r="BR43" i="1"/>
  <c r="BQ43" i="1" s="1"/>
  <c r="BR155" i="1"/>
  <c r="BQ155" i="1" s="1"/>
  <c r="BR65" i="1"/>
  <c r="BQ65" i="1" s="1"/>
  <c r="AS17" i="1"/>
  <c r="BR42" i="1"/>
  <c r="AS25" i="1"/>
  <c r="AS24" i="1"/>
  <c r="BR22" i="1"/>
  <c r="BQ22" i="1" s="1"/>
  <c r="BR38" i="1"/>
  <c r="BQ38" i="1" s="1"/>
  <c r="BT16" i="1"/>
  <c r="BR439" i="1"/>
  <c r="BQ439" i="1" s="1"/>
  <c r="BQ42" i="1"/>
  <c r="BJ553" i="1"/>
  <c r="BN553" i="1"/>
  <c r="BO553" i="1" s="1"/>
  <c r="BK545" i="1"/>
  <c r="BK266" i="1"/>
  <c r="BP266" i="1"/>
  <c r="BP194" i="1"/>
  <c r="BP193" i="1"/>
  <c r="BP162" i="1"/>
  <c r="AS14" i="1"/>
  <c r="BQ14" i="1"/>
  <c r="BR14" i="1"/>
  <c r="BT14" i="1"/>
  <c r="BQ12" i="1"/>
  <c r="BR12" i="1"/>
  <c r="BT11" i="1"/>
  <c r="BT9" i="1"/>
  <c r="BR6" i="1"/>
  <c r="BQ6" i="1" s="1"/>
  <c r="BK148" i="1"/>
  <c r="BK146" i="1"/>
  <c r="BK145" i="1"/>
  <c r="BK82" i="1"/>
  <c r="BP90" i="1"/>
  <c r="BP87" i="1"/>
  <c r="BP83" i="1"/>
  <c r="BB24" i="1"/>
  <c r="BP97" i="1"/>
  <c r="BT17" i="1"/>
  <c r="BP24" i="1"/>
  <c r="BP14" i="1"/>
  <c r="BP13" i="1"/>
  <c r="BS5" i="1"/>
  <c r="AS15" i="1"/>
  <c r="BT15" i="1"/>
  <c r="BR16" i="1"/>
  <c r="BQ16" i="1" s="1"/>
  <c r="BR15" i="1"/>
  <c r="BQ15" i="1" s="1"/>
  <c r="AS13" i="1"/>
  <c r="BR13" i="1"/>
  <c r="BQ13" i="1" s="1"/>
  <c r="BT13" i="1"/>
  <c r="AS12" i="1"/>
  <c r="BT12" i="1"/>
  <c r="AS11" i="1"/>
  <c r="BR11" i="1"/>
  <c r="BQ11" i="1" s="1"/>
  <c r="AS10" i="1"/>
  <c r="BR10" i="1"/>
  <c r="BQ10" i="1" s="1"/>
  <c r="BT10" i="1"/>
  <c r="AS9" i="1"/>
  <c r="BR9" i="1"/>
  <c r="BQ9" i="1" s="1"/>
  <c r="AS6" i="1"/>
  <c r="BT6" i="1"/>
  <c r="AS5" i="1"/>
  <c r="BR5" i="1"/>
  <c r="BQ5" i="1" s="1"/>
  <c r="BT5" i="1"/>
  <c r="BT20" i="1"/>
  <c r="BT18" i="1"/>
  <c r="BC19" i="1"/>
  <c r="BA6" i="1"/>
  <c r="AE436" i="1"/>
  <c r="AD272" i="1"/>
  <c r="AF271" i="1"/>
  <c r="AD267" i="1"/>
  <c r="AE292" i="1"/>
  <c r="AD165" i="1"/>
  <c r="AF164" i="1"/>
  <c r="BI164" i="1" s="1"/>
  <c r="BP164" i="1" s="1"/>
  <c r="AD204" i="1"/>
  <c r="AE188" i="1"/>
  <c r="AD100" i="1"/>
  <c r="AF99" i="1"/>
  <c r="AF28" i="1"/>
  <c r="AK24" i="1"/>
  <c r="AI25" i="1"/>
  <c r="AO21" i="1"/>
  <c r="AO22" i="1" s="1"/>
  <c r="AO15" i="1"/>
  <c r="AO16" i="1" s="1"/>
  <c r="AN8" i="1"/>
  <c r="AM7" i="1"/>
  <c r="AR25" i="1"/>
  <c r="AK6" i="1"/>
  <c r="AI7" i="1"/>
  <c r="AI8" i="1" s="1"/>
  <c r="J13" i="1"/>
  <c r="AG3" i="1"/>
  <c r="M29" i="8"/>
  <c r="C4" i="8"/>
  <c r="D4" i="8"/>
  <c r="C5" i="8"/>
  <c r="D5" i="8"/>
  <c r="C6" i="8"/>
  <c r="D6" i="8"/>
  <c r="C7" i="8"/>
  <c r="D7" i="8"/>
  <c r="C8" i="8"/>
  <c r="D8" i="8"/>
  <c r="C9" i="8"/>
  <c r="D9" i="8"/>
  <c r="C10" i="8"/>
  <c r="D10" i="8"/>
  <c r="C11" i="8"/>
  <c r="D11" i="8"/>
  <c r="C12" i="8"/>
  <c r="D12" i="8"/>
  <c r="C13" i="8"/>
  <c r="D13" i="8"/>
  <c r="C14" i="8"/>
  <c r="D14" i="8"/>
  <c r="C15" i="8"/>
  <c r="D15" i="8"/>
  <c r="C16" i="8"/>
  <c r="D16" i="8"/>
  <c r="C17" i="8"/>
  <c r="D17" i="8"/>
  <c r="C18" i="8"/>
  <c r="D18" i="8"/>
  <c r="C19" i="8"/>
  <c r="D19" i="8"/>
  <c r="C20" i="8"/>
  <c r="D20" i="8"/>
  <c r="C21" i="8"/>
  <c r="D21" i="8"/>
  <c r="C22" i="8"/>
  <c r="D22" i="8"/>
  <c r="C23" i="8"/>
  <c r="D23" i="8"/>
  <c r="C24" i="8"/>
  <c r="D24" i="8"/>
  <c r="C25" i="8"/>
  <c r="D25" i="8"/>
  <c r="C26" i="8"/>
  <c r="D26" i="8"/>
  <c r="C27" i="8"/>
  <c r="D27" i="8"/>
  <c r="L27" i="8" s="1"/>
  <c r="C28" i="8"/>
  <c r="D28" i="8"/>
  <c r="C29" i="8"/>
  <c r="D29" i="8"/>
  <c r="C30" i="8"/>
  <c r="D30" i="8"/>
  <c r="M30" i="8" s="1"/>
  <c r="C31" i="8"/>
  <c r="D31" i="8"/>
  <c r="M31" i="8" s="1"/>
  <c r="C32" i="8"/>
  <c r="D32" i="8"/>
  <c r="C33" i="8"/>
  <c r="D33" i="8"/>
  <c r="C34" i="8"/>
  <c r="D34" i="8"/>
  <c r="C35" i="8"/>
  <c r="D35" i="8"/>
  <c r="C36" i="8"/>
  <c r="D36" i="8"/>
  <c r="C38" i="8"/>
  <c r="D38" i="8"/>
  <c r="L38" i="8" s="1"/>
  <c r="C39" i="8"/>
  <c r="D39" i="8"/>
  <c r="C40" i="8"/>
  <c r="D40" i="8"/>
  <c r="C41" i="8"/>
  <c r="D41" i="8"/>
  <c r="C42" i="8"/>
  <c r="D42" i="8"/>
  <c r="C43" i="8"/>
  <c r="D43" i="8"/>
  <c r="C44" i="8"/>
  <c r="D44" i="8"/>
  <c r="C45" i="8"/>
  <c r="D45" i="8"/>
  <c r="C46" i="8"/>
  <c r="D46" i="8"/>
  <c r="C47" i="8"/>
  <c r="D47" i="8"/>
  <c r="C48" i="8"/>
  <c r="D48" i="8"/>
  <c r="C49" i="8"/>
  <c r="D49" i="8"/>
  <c r="C50" i="8"/>
  <c r="D50" i="8"/>
  <c r="C51" i="8"/>
  <c r="D51" i="8"/>
  <c r="C52" i="8"/>
  <c r="D52" i="8"/>
  <c r="C53" i="8"/>
  <c r="D53" i="8"/>
  <c r="C54" i="8"/>
  <c r="D54" i="8"/>
  <c r="C55" i="8"/>
  <c r="D55" i="8"/>
  <c r="C56" i="8"/>
  <c r="D56" i="8"/>
  <c r="C57" i="8"/>
  <c r="D57" i="8"/>
  <c r="C58" i="8"/>
  <c r="D58" i="8"/>
  <c r="C59" i="8"/>
  <c r="D59" i="8"/>
  <c r="C61" i="8"/>
  <c r="D61" i="8"/>
  <c r="C62" i="8"/>
  <c r="D62" i="8"/>
  <c r="C63" i="8"/>
  <c r="D63" i="8"/>
  <c r="C64" i="8"/>
  <c r="D64" i="8"/>
  <c r="C65" i="8"/>
  <c r="D65" i="8"/>
  <c r="C66" i="8"/>
  <c r="D66" i="8"/>
  <c r="C67" i="8"/>
  <c r="D67" i="8"/>
  <c r="C68" i="8"/>
  <c r="D68" i="8"/>
  <c r="C69" i="8"/>
  <c r="D69" i="8"/>
  <c r="C70" i="8"/>
  <c r="D70" i="8"/>
  <c r="C71" i="8"/>
  <c r="D71" i="8"/>
  <c r="C72" i="8"/>
  <c r="D72" i="8"/>
  <c r="C73" i="8"/>
  <c r="D73" i="8"/>
  <c r="S73" i="8" s="1"/>
  <c r="C74" i="8"/>
  <c r="D74" i="8"/>
  <c r="C75" i="8"/>
  <c r="D75" i="8"/>
  <c r="C76" i="8"/>
  <c r="D76" i="8"/>
  <c r="C77" i="8"/>
  <c r="D77" i="8"/>
  <c r="C78" i="8"/>
  <c r="D78" i="8"/>
  <c r="C79" i="8"/>
  <c r="D79" i="8"/>
  <c r="D3" i="8"/>
  <c r="C3" i="8"/>
  <c r="A4" i="1"/>
  <c r="S4" i="1" s="1"/>
  <c r="BA3" i="11" a="1"/>
  <c r="BA3" i="11" s="1"/>
  <c r="AL646" i="1" l="1"/>
  <c r="AP646" i="1" s="1"/>
  <c r="AL617" i="1"/>
  <c r="AP617" i="1" s="1"/>
  <c r="AL547" i="1"/>
  <c r="AP547" i="1" s="1"/>
  <c r="AL619" i="1"/>
  <c r="AP619" i="1" s="1"/>
  <c r="AL527" i="1"/>
  <c r="AP527" i="1" s="1"/>
  <c r="AL531" i="1"/>
  <c r="AP531" i="1" s="1"/>
  <c r="AL562" i="1"/>
  <c r="AP562" i="1" s="1"/>
  <c r="AL639" i="1"/>
  <c r="AP639" i="1" s="1"/>
  <c r="AL643" i="1"/>
  <c r="AP643" i="1" s="1"/>
  <c r="AL583" i="1"/>
  <c r="AP583" i="1" s="1"/>
  <c r="AL483" i="1"/>
  <c r="AP483" i="1" s="1"/>
  <c r="AL534" i="1"/>
  <c r="AP534" i="1" s="1"/>
  <c r="AL679" i="1"/>
  <c r="AP679" i="1" s="1"/>
  <c r="AL606" i="1"/>
  <c r="AP606" i="1" s="1"/>
  <c r="AL612" i="1"/>
  <c r="AP612" i="1" s="1"/>
  <c r="AL676" i="1"/>
  <c r="AP676" i="1" s="1"/>
  <c r="AL638" i="1"/>
  <c r="AP638" i="1" s="1"/>
  <c r="AL545" i="1"/>
  <c r="AP545" i="1" s="1"/>
  <c r="AL607" i="1"/>
  <c r="AP607" i="1" s="1"/>
  <c r="AL544" i="1"/>
  <c r="AP544" i="1" s="1"/>
  <c r="AL480" i="1"/>
  <c r="AP480" i="1" s="1"/>
  <c r="AL453" i="1"/>
  <c r="AP453" i="1" s="1"/>
  <c r="AL565" i="1"/>
  <c r="AP565" i="1" s="1"/>
  <c r="AL614" i="1"/>
  <c r="AP614" i="1" s="1"/>
  <c r="AL481" i="1"/>
  <c r="AP481" i="1" s="1"/>
  <c r="AL609" i="1"/>
  <c r="AP609" i="1" s="1"/>
  <c r="AL559" i="1"/>
  <c r="AP559" i="1" s="1"/>
  <c r="AR724" i="1"/>
  <c r="AM724" i="1"/>
  <c r="AM621" i="1"/>
  <c r="AR621" i="1"/>
  <c r="AL660" i="1"/>
  <c r="AP660" i="1" s="1"/>
  <c r="AO660" i="1"/>
  <c r="AO582" i="1"/>
  <c r="AL582" i="1"/>
  <c r="AP582" i="1" s="1"/>
  <c r="AM709" i="1"/>
  <c r="AR709" i="1"/>
  <c r="AM653" i="1"/>
  <c r="AR653" i="1"/>
  <c r="AL580" i="1"/>
  <c r="AP580" i="1" s="1"/>
  <c r="AO580" i="1"/>
  <c r="AO575" i="1"/>
  <c r="AL575" i="1"/>
  <c r="AP575" i="1" s="1"/>
  <c r="AR541" i="1"/>
  <c r="AM541" i="1"/>
  <c r="AQ541" i="1" s="1"/>
  <c r="AR525" i="1"/>
  <c r="AM525" i="1"/>
  <c r="AR605" i="1"/>
  <c r="AM605" i="1"/>
  <c r="AR480" i="1"/>
  <c r="AM480" i="1"/>
  <c r="AM560" i="1"/>
  <c r="AQ560" i="1" s="1"/>
  <c r="AR560" i="1"/>
  <c r="AM503" i="1"/>
  <c r="AR503" i="1"/>
  <c r="AM518" i="1"/>
  <c r="AR518" i="1"/>
  <c r="AL496" i="1"/>
  <c r="AP496" i="1" s="1"/>
  <c r="AM579" i="1"/>
  <c r="AR579" i="1"/>
  <c r="AM686" i="1"/>
  <c r="AR686" i="1"/>
  <c r="AL623" i="1"/>
  <c r="AP623" i="1" s="1"/>
  <c r="AO623" i="1"/>
  <c r="AM688" i="1"/>
  <c r="AR688" i="1"/>
  <c r="AR646" i="1"/>
  <c r="AM646" i="1"/>
  <c r="AR628" i="1"/>
  <c r="AM628" i="1"/>
  <c r="AM643" i="1"/>
  <c r="AR643" i="1"/>
  <c r="AL665" i="1"/>
  <c r="AP665" i="1" s="1"/>
  <c r="AO665" i="1"/>
  <c r="AL664" i="1"/>
  <c r="AP664" i="1" s="1"/>
  <c r="AO664" i="1"/>
  <c r="AL525" i="1"/>
  <c r="AP525" i="1" s="1"/>
  <c r="AM491" i="1"/>
  <c r="AR491" i="1"/>
  <c r="AM530" i="1"/>
  <c r="AR530" i="1"/>
  <c r="AM510" i="1"/>
  <c r="AR510" i="1"/>
  <c r="AR486" i="1"/>
  <c r="AM486" i="1"/>
  <c r="AL592" i="1"/>
  <c r="AP592" i="1" s="1"/>
  <c r="AO592" i="1"/>
  <c r="AL605" i="1"/>
  <c r="AP605" i="1" s="1"/>
  <c r="AM607" i="1"/>
  <c r="AR607" i="1"/>
  <c r="AM676" i="1"/>
  <c r="AR676" i="1"/>
  <c r="AR553" i="1"/>
  <c r="AM553" i="1"/>
  <c r="AQ553" i="1" s="1"/>
  <c r="AR623" i="1"/>
  <c r="AM623" i="1"/>
  <c r="AR678" i="1"/>
  <c r="AM678" i="1"/>
  <c r="AM600" i="1"/>
  <c r="AR600" i="1"/>
  <c r="AL653" i="1"/>
  <c r="AP653" i="1" s="1"/>
  <c r="AM665" i="1"/>
  <c r="AR665" i="1"/>
  <c r="AM664" i="1"/>
  <c r="AR664" i="1"/>
  <c r="AR496" i="1"/>
  <c r="AM496" i="1"/>
  <c r="AM592" i="1"/>
  <c r="AQ592" i="1" s="1"/>
  <c r="AR592" i="1"/>
  <c r="AL621" i="1"/>
  <c r="AP621" i="1" s="1"/>
  <c r="AO621" i="1"/>
  <c r="AM698" i="1"/>
  <c r="AR698" i="1"/>
  <c r="AL541" i="1"/>
  <c r="AP541" i="1" s="1"/>
  <c r="AO541" i="1"/>
  <c r="AM638" i="1"/>
  <c r="AR638" i="1"/>
  <c r="AL560" i="1"/>
  <c r="AP560" i="1" s="1"/>
  <c r="AM691" i="1"/>
  <c r="AR691" i="1"/>
  <c r="AL537" i="1"/>
  <c r="AP537" i="1" s="1"/>
  <c r="AO537" i="1"/>
  <c r="AM575" i="1"/>
  <c r="AQ575" i="1" s="1"/>
  <c r="AR575" i="1"/>
  <c r="AM481" i="1"/>
  <c r="AR481" i="1"/>
  <c r="AM544" i="1"/>
  <c r="AR544" i="1"/>
  <c r="AR580" i="1"/>
  <c r="AM580" i="1"/>
  <c r="AQ580" i="1" s="1"/>
  <c r="AL731" i="1"/>
  <c r="AP731" i="1" s="1"/>
  <c r="AO731" i="1"/>
  <c r="AM582" i="1"/>
  <c r="AR582" i="1"/>
  <c r="AM660" i="1"/>
  <c r="AR660" i="1"/>
  <c r="AL670" i="1"/>
  <c r="AP670" i="1" s="1"/>
  <c r="AO670" i="1"/>
  <c r="AL672" i="1"/>
  <c r="AP672" i="1" s="1"/>
  <c r="AO672" i="1"/>
  <c r="AR537" i="1"/>
  <c r="AM537" i="1"/>
  <c r="AL538" i="1"/>
  <c r="AP538" i="1" s="1"/>
  <c r="AL598" i="1"/>
  <c r="AP598" i="1" s="1"/>
  <c r="AL460" i="1"/>
  <c r="AP460" i="1" s="1"/>
  <c r="AL631" i="1"/>
  <c r="AP631" i="1" s="1"/>
  <c r="AR731" i="1"/>
  <c r="AM731" i="1"/>
  <c r="AL596" i="1"/>
  <c r="AP596" i="1" s="1"/>
  <c r="AL687" i="1"/>
  <c r="AP687" i="1" s="1"/>
  <c r="AL669" i="1"/>
  <c r="AP669" i="1" s="1"/>
  <c r="AL573" i="1"/>
  <c r="AP573" i="1" s="1"/>
  <c r="AM721" i="1"/>
  <c r="AR721" i="1"/>
  <c r="AL680" i="1"/>
  <c r="AP680" i="1" s="1"/>
  <c r="AR670" i="1"/>
  <c r="AM670" i="1"/>
  <c r="AM672" i="1"/>
  <c r="AR672" i="1"/>
  <c r="AM706" i="1"/>
  <c r="AR706" i="1"/>
  <c r="AL504" i="1"/>
  <c r="AP504" i="1" s="1"/>
  <c r="AM619" i="1"/>
  <c r="AQ619" i="1" s="1"/>
  <c r="AR619" i="1"/>
  <c r="AM453" i="1"/>
  <c r="AR453" i="1"/>
  <c r="AM631" i="1"/>
  <c r="AR631" i="1"/>
  <c r="AM711" i="1"/>
  <c r="AR711" i="1"/>
  <c r="AM669" i="1"/>
  <c r="AR669" i="1"/>
  <c r="AR729" i="1"/>
  <c r="AM729" i="1"/>
  <c r="AM614" i="1"/>
  <c r="AR614" i="1"/>
  <c r="AL677" i="1"/>
  <c r="AP677" i="1" s="1"/>
  <c r="AO677" i="1"/>
  <c r="AR538" i="1"/>
  <c r="AM538" i="1"/>
  <c r="AR598" i="1"/>
  <c r="AM598" i="1"/>
  <c r="AR460" i="1"/>
  <c r="AM460" i="1"/>
  <c r="AM531" i="1"/>
  <c r="AR531" i="1"/>
  <c r="AR606" i="1"/>
  <c r="AM606" i="1"/>
  <c r="AL520" i="1"/>
  <c r="AP520" i="1" s="1"/>
  <c r="AO520" i="1"/>
  <c r="AL655" i="1"/>
  <c r="AP655" i="1" s="1"/>
  <c r="AR596" i="1"/>
  <c r="AM596" i="1"/>
  <c r="AL569" i="1"/>
  <c r="AP569" i="1" s="1"/>
  <c r="AM687" i="1"/>
  <c r="AR687" i="1"/>
  <c r="AL555" i="1"/>
  <c r="AP555" i="1" s="1"/>
  <c r="AR573" i="1"/>
  <c r="AM573" i="1"/>
  <c r="AM680" i="1"/>
  <c r="AR680" i="1"/>
  <c r="AM677" i="1"/>
  <c r="AR677" i="1"/>
  <c r="AL561" i="1"/>
  <c r="AP561" i="1" s="1"/>
  <c r="AM504" i="1"/>
  <c r="AR504" i="1"/>
  <c r="AL505" i="1"/>
  <c r="AP505" i="1" s="1"/>
  <c r="AL494" i="1"/>
  <c r="AP494" i="1" s="1"/>
  <c r="AR483" i="1"/>
  <c r="AM483" i="1"/>
  <c r="AL519" i="1"/>
  <c r="AP519" i="1" s="1"/>
  <c r="AO519" i="1"/>
  <c r="AM520" i="1"/>
  <c r="AQ520" i="1" s="1"/>
  <c r="AR520" i="1"/>
  <c r="AL658" i="1"/>
  <c r="AP658" i="1" s="1"/>
  <c r="AO658" i="1"/>
  <c r="AR519" i="1"/>
  <c r="AM519" i="1"/>
  <c r="AL450" i="1"/>
  <c r="AM655" i="1"/>
  <c r="AR655" i="1"/>
  <c r="AM569" i="1"/>
  <c r="AR569" i="1"/>
  <c r="AM658" i="1"/>
  <c r="AQ658" i="1" s="1"/>
  <c r="AR658" i="1"/>
  <c r="AM555" i="1"/>
  <c r="AQ555" i="1" s="1"/>
  <c r="AR555" i="1"/>
  <c r="AM679" i="1"/>
  <c r="AR679" i="1"/>
  <c r="AR699" i="1"/>
  <c r="AM699" i="1"/>
  <c r="AM639" i="1"/>
  <c r="AR639" i="1"/>
  <c r="AL626" i="1"/>
  <c r="AP626" i="1" s="1"/>
  <c r="AR561" i="1"/>
  <c r="AM561" i="1"/>
  <c r="AM505" i="1"/>
  <c r="AR505" i="1"/>
  <c r="AR494" i="1"/>
  <c r="AM494" i="1"/>
  <c r="AL473" i="1"/>
  <c r="AP473" i="1" s="1"/>
  <c r="AL462" i="1"/>
  <c r="AP462" i="1" s="1"/>
  <c r="AL464" i="1"/>
  <c r="AP464" i="1" s="1"/>
  <c r="AM547" i="1"/>
  <c r="AQ547" i="1" s="1"/>
  <c r="AR547" i="1"/>
  <c r="AR713" i="1"/>
  <c r="AM713" i="1"/>
  <c r="AR609" i="1"/>
  <c r="AM609" i="1"/>
  <c r="AR697" i="1"/>
  <c r="AM697" i="1"/>
  <c r="AL599" i="1"/>
  <c r="AP599" i="1" s="1"/>
  <c r="AO599" i="1"/>
  <c r="AM726" i="1"/>
  <c r="AR726" i="1"/>
  <c r="AL591" i="1"/>
  <c r="AP591" i="1" s="1"/>
  <c r="AO591" i="1"/>
  <c r="AR617" i="1"/>
  <c r="AM617" i="1"/>
  <c r="AL649" i="1"/>
  <c r="AP649" i="1" s="1"/>
  <c r="AM527" i="1"/>
  <c r="AR527" i="1"/>
  <c r="AM599" i="1"/>
  <c r="AR599" i="1"/>
  <c r="AM591" i="1"/>
  <c r="AR591" i="1"/>
  <c r="AM626" i="1"/>
  <c r="AR626" i="1"/>
  <c r="AR694" i="1"/>
  <c r="AM694" i="1"/>
  <c r="AL479" i="1"/>
  <c r="AP479" i="1" s="1"/>
  <c r="AM701" i="1"/>
  <c r="AR701" i="1"/>
  <c r="AL529" i="1"/>
  <c r="AP529" i="1" s="1"/>
  <c r="AL507" i="1"/>
  <c r="AP507" i="1" s="1"/>
  <c r="AO507" i="1"/>
  <c r="AR473" i="1"/>
  <c r="AM473" i="1"/>
  <c r="AR462" i="1"/>
  <c r="AM462" i="1"/>
  <c r="AQ462" i="1" s="1"/>
  <c r="AL498" i="1"/>
  <c r="AP498" i="1" s="1"/>
  <c r="AM464" i="1"/>
  <c r="AR464" i="1"/>
  <c r="AL567" i="1"/>
  <c r="AP567" i="1" s="1"/>
  <c r="AL632" i="1"/>
  <c r="AP632" i="1" s="1"/>
  <c r="AL522" i="1"/>
  <c r="AP522" i="1" s="1"/>
  <c r="AL642" i="1"/>
  <c r="AP642" i="1" s="1"/>
  <c r="AO642" i="1"/>
  <c r="AL689" i="1"/>
  <c r="AP689" i="1" s="1"/>
  <c r="AO689" i="1"/>
  <c r="AM559" i="1"/>
  <c r="AR559" i="1"/>
  <c r="AR703" i="1"/>
  <c r="AM703" i="1"/>
  <c r="AM649" i="1"/>
  <c r="AR649" i="1"/>
  <c r="AR529" i="1"/>
  <c r="AM529" i="1"/>
  <c r="AQ529" i="1" s="1"/>
  <c r="AL564" i="1"/>
  <c r="AP564" i="1" s="1"/>
  <c r="AM507" i="1"/>
  <c r="AQ507" i="1" s="1"/>
  <c r="AR507" i="1"/>
  <c r="AL475" i="1"/>
  <c r="AP475" i="1" s="1"/>
  <c r="AO475" i="1"/>
  <c r="AM534" i="1"/>
  <c r="AR534" i="1"/>
  <c r="AL500" i="1"/>
  <c r="AP500" i="1" s="1"/>
  <c r="AM583" i="1"/>
  <c r="AR583" i="1"/>
  <c r="AM565" i="1"/>
  <c r="AR565" i="1"/>
  <c r="AR642" i="1"/>
  <c r="AM642" i="1"/>
  <c r="AM689" i="1"/>
  <c r="AR689" i="1"/>
  <c r="AR545" i="1"/>
  <c r="AM545" i="1"/>
  <c r="AM479" i="1"/>
  <c r="AR479" i="1"/>
  <c r="AL518" i="1"/>
  <c r="AP518" i="1" s="1"/>
  <c r="AL484" i="1"/>
  <c r="AP484" i="1" s="1"/>
  <c r="AM498" i="1"/>
  <c r="AR498" i="1"/>
  <c r="AM475" i="1"/>
  <c r="AR475" i="1"/>
  <c r="AM500" i="1"/>
  <c r="AR500" i="1"/>
  <c r="AL489" i="1"/>
  <c r="AP489" i="1" s="1"/>
  <c r="AO489" i="1"/>
  <c r="AM567" i="1"/>
  <c r="AR567" i="1"/>
  <c r="AM632" i="1"/>
  <c r="AR632" i="1"/>
  <c r="AM522" i="1"/>
  <c r="AQ522" i="1" s="1"/>
  <c r="AR522" i="1"/>
  <c r="AL686" i="1"/>
  <c r="AP686" i="1" s="1"/>
  <c r="AR612" i="1"/>
  <c r="AM612" i="1"/>
  <c r="AL459" i="1"/>
  <c r="AP459" i="1" s="1"/>
  <c r="AO459" i="1"/>
  <c r="AR602" i="1"/>
  <c r="AM602" i="1"/>
  <c r="AQ602" i="1" s="1"/>
  <c r="AL604" i="1"/>
  <c r="AP604" i="1" s="1"/>
  <c r="AO604" i="1"/>
  <c r="AM562" i="1"/>
  <c r="AR562" i="1"/>
  <c r="AL503" i="1"/>
  <c r="AP503" i="1" s="1"/>
  <c r="AO503" i="1"/>
  <c r="AL491" i="1"/>
  <c r="AP491" i="1" s="1"/>
  <c r="AM564" i="1"/>
  <c r="AQ564" i="1" s="1"/>
  <c r="AR564" i="1"/>
  <c r="AM484" i="1"/>
  <c r="AR484" i="1"/>
  <c r="AL510" i="1"/>
  <c r="AP510" i="1" s="1"/>
  <c r="AL486" i="1"/>
  <c r="AP486" i="1" s="1"/>
  <c r="AM489" i="1"/>
  <c r="AQ489" i="1" s="1"/>
  <c r="AR489" i="1"/>
  <c r="AL579" i="1"/>
  <c r="AP579" i="1" s="1"/>
  <c r="AL553" i="1"/>
  <c r="AP553" i="1" s="1"/>
  <c r="AL678" i="1"/>
  <c r="AP678" i="1" s="1"/>
  <c r="AL688" i="1"/>
  <c r="AP688" i="1" s="1"/>
  <c r="AO688" i="1"/>
  <c r="AR459" i="1"/>
  <c r="AM459" i="1"/>
  <c r="AM604" i="1"/>
  <c r="AR604" i="1"/>
  <c r="AL628" i="1"/>
  <c r="AP628" i="1" s="1"/>
  <c r="AO628" i="1"/>
  <c r="BI338" i="1"/>
  <c r="BK338" i="1"/>
  <c r="AD339" i="1"/>
  <c r="BP338" i="1"/>
  <c r="BP489" i="1"/>
  <c r="BP334" i="1"/>
  <c r="AF325" i="1"/>
  <c r="BI324" i="1"/>
  <c r="AF310" i="1"/>
  <c r="BI310" i="1" s="1"/>
  <c r="BI309" i="1"/>
  <c r="AF332" i="1"/>
  <c r="BI332" i="1" s="1"/>
  <c r="BI331" i="1"/>
  <c r="AF318" i="1"/>
  <c r="BI317" i="1"/>
  <c r="BP336" i="1"/>
  <c r="BI398" i="1"/>
  <c r="AF399" i="1"/>
  <c r="BP270" i="1"/>
  <c r="BP626" i="1"/>
  <c r="AF379" i="1"/>
  <c r="BI379" i="1" s="1"/>
  <c r="BI378" i="1"/>
  <c r="BJ415" i="1"/>
  <c r="BN415" i="1"/>
  <c r="BO415" i="1" s="1"/>
  <c r="AF448" i="1"/>
  <c r="BI447" i="1"/>
  <c r="AF408" i="1"/>
  <c r="BI407" i="1"/>
  <c r="BP414" i="1"/>
  <c r="BK414" i="1"/>
  <c r="AF415" i="1"/>
  <c r="BI414" i="1"/>
  <c r="AF386" i="1"/>
  <c r="BI385" i="1"/>
  <c r="BP265" i="1"/>
  <c r="BP269" i="1"/>
  <c r="AS58" i="1"/>
  <c r="BT58" i="1"/>
  <c r="BS58" i="1" s="1"/>
  <c r="AS119" i="1"/>
  <c r="BR119" i="1"/>
  <c r="BQ119" i="1" s="1"/>
  <c r="BT119" i="1"/>
  <c r="BS119" i="1" s="1"/>
  <c r="AS191" i="1"/>
  <c r="BT191" i="1"/>
  <c r="BS191" i="1" s="1"/>
  <c r="AS301" i="1"/>
  <c r="BT301" i="1"/>
  <c r="BS301" i="1" s="1"/>
  <c r="AS388" i="1"/>
  <c r="BT388" i="1"/>
  <c r="BS388" i="1" s="1"/>
  <c r="AS60" i="1"/>
  <c r="BR60" i="1"/>
  <c r="BQ60" i="1" s="1"/>
  <c r="BT60" i="1"/>
  <c r="BS60" i="1" s="1"/>
  <c r="AS122" i="1"/>
  <c r="BT122" i="1"/>
  <c r="BS122" i="1" s="1"/>
  <c r="AS304" i="1"/>
  <c r="BR304" i="1"/>
  <c r="BQ304" i="1" s="1"/>
  <c r="BT304" i="1"/>
  <c r="BS304" i="1" s="1"/>
  <c r="AS391" i="1"/>
  <c r="BT391" i="1"/>
  <c r="BS391" i="1" s="1"/>
  <c r="AS64" i="1"/>
  <c r="BT64" i="1"/>
  <c r="BS64" i="1" s="1"/>
  <c r="AS123" i="1"/>
  <c r="BT123" i="1"/>
  <c r="BS123" i="1" s="1"/>
  <c r="BR123" i="1"/>
  <c r="BQ123" i="1" s="1"/>
  <c r="AS262" i="1"/>
  <c r="BT262" i="1"/>
  <c r="BS262" i="1" s="1"/>
  <c r="AS306" i="1"/>
  <c r="BR306" i="1"/>
  <c r="BQ306" i="1" s="1"/>
  <c r="BT306" i="1"/>
  <c r="BS306" i="1" s="1"/>
  <c r="AS396" i="1"/>
  <c r="BT396" i="1"/>
  <c r="BR396" i="1"/>
  <c r="BQ396" i="1" s="1"/>
  <c r="AS65" i="1"/>
  <c r="BT65" i="1"/>
  <c r="BS65" i="1" s="1"/>
  <c r="AS124" i="1"/>
  <c r="BT124" i="1"/>
  <c r="BS124" i="1" s="1"/>
  <c r="BR124" i="1"/>
  <c r="BQ124" i="1" s="1"/>
  <c r="AS214" i="1"/>
  <c r="BR214" i="1"/>
  <c r="BQ214" i="1" s="1"/>
  <c r="BT214" i="1"/>
  <c r="BS214" i="1" s="1"/>
  <c r="AS263" i="1"/>
  <c r="BT263" i="1"/>
  <c r="BS263" i="1" s="1"/>
  <c r="AS66" i="1"/>
  <c r="BT66" i="1"/>
  <c r="AS134" i="1"/>
  <c r="BT134" i="1"/>
  <c r="BS134" i="1" s="1"/>
  <c r="AS75" i="1"/>
  <c r="BR75" i="1"/>
  <c r="BQ75" i="1" s="1"/>
  <c r="BT75" i="1"/>
  <c r="BS75" i="1" s="1"/>
  <c r="AS140" i="1"/>
  <c r="BT140" i="1"/>
  <c r="BS140" i="1" s="1"/>
  <c r="AS322" i="1"/>
  <c r="BT322" i="1"/>
  <c r="BS322" i="1" s="1"/>
  <c r="BR322" i="1"/>
  <c r="BQ322" i="1" s="1"/>
  <c r="AS402" i="1"/>
  <c r="BT402" i="1"/>
  <c r="BS402" i="1" s="1"/>
  <c r="BR402" i="1"/>
  <c r="BQ402" i="1" s="1"/>
  <c r="AS76" i="1"/>
  <c r="BT76" i="1"/>
  <c r="BR76" i="1"/>
  <c r="BQ76" i="1" s="1"/>
  <c r="AS145" i="1"/>
  <c r="BT145" i="1"/>
  <c r="BR145" i="1"/>
  <c r="BQ145" i="1" s="1"/>
  <c r="AS269" i="1"/>
  <c r="BT269" i="1"/>
  <c r="BS269" i="1" s="1"/>
  <c r="AS327" i="1"/>
  <c r="BT327" i="1"/>
  <c r="BS327" i="1" s="1"/>
  <c r="AS403" i="1"/>
  <c r="BT403" i="1"/>
  <c r="BS403" i="1" s="1"/>
  <c r="AS83" i="1"/>
  <c r="BT83" i="1"/>
  <c r="BS83" i="1" s="1"/>
  <c r="AS225" i="1"/>
  <c r="BT225" i="1"/>
  <c r="BS225" i="1" s="1"/>
  <c r="AS271" i="1"/>
  <c r="BT271" i="1"/>
  <c r="BS271" i="1" s="1"/>
  <c r="AS416" i="1"/>
  <c r="BT416" i="1"/>
  <c r="BS416" i="1" s="1"/>
  <c r="AS28" i="1"/>
  <c r="BT28" i="1"/>
  <c r="BS28" i="1" s="1"/>
  <c r="AS85" i="1"/>
  <c r="BT85" i="1"/>
  <c r="BS85" i="1" s="1"/>
  <c r="AS280" i="1"/>
  <c r="BT280" i="1"/>
  <c r="BS280" i="1" s="1"/>
  <c r="BR281" i="1"/>
  <c r="BQ281" i="1" s="1"/>
  <c r="AS338" i="1"/>
  <c r="BT338" i="1"/>
  <c r="BS338" i="1" s="1"/>
  <c r="BR338" i="1"/>
  <c r="BQ338" i="1" s="1"/>
  <c r="AS417" i="1"/>
  <c r="BR417" i="1"/>
  <c r="BQ417" i="1" s="1"/>
  <c r="BT417" i="1"/>
  <c r="BS417" i="1" s="1"/>
  <c r="AS34" i="1"/>
  <c r="BT34" i="1"/>
  <c r="BS34" i="1" s="1"/>
  <c r="AS86" i="1"/>
  <c r="BT86" i="1"/>
  <c r="AS229" i="1"/>
  <c r="BT229" i="1"/>
  <c r="BS229" i="1" s="1"/>
  <c r="AS282" i="1"/>
  <c r="BT282" i="1"/>
  <c r="BS282" i="1" s="1"/>
  <c r="AS339" i="1"/>
  <c r="BT339" i="1"/>
  <c r="BS339" i="1" s="1"/>
  <c r="AS420" i="1"/>
  <c r="BT420" i="1"/>
  <c r="BS420" i="1" s="1"/>
  <c r="AS36" i="1"/>
  <c r="BT36" i="1"/>
  <c r="BS36" i="1" s="1"/>
  <c r="BR36" i="1"/>
  <c r="BQ36" i="1" s="1"/>
  <c r="AS98" i="1"/>
  <c r="BT98" i="1"/>
  <c r="BS98" i="1" s="1"/>
  <c r="AS164" i="1"/>
  <c r="BT164" i="1"/>
  <c r="BS164" i="1" s="1"/>
  <c r="AS232" i="1"/>
  <c r="BT232" i="1"/>
  <c r="BS232" i="1" s="1"/>
  <c r="AS421" i="1"/>
  <c r="BT421" i="1"/>
  <c r="BS421" i="1" s="1"/>
  <c r="BR421" i="1"/>
  <c r="BQ421" i="1" s="1"/>
  <c r="AS38" i="1"/>
  <c r="BT38" i="1"/>
  <c r="BS38" i="1" s="1"/>
  <c r="AS234" i="1"/>
  <c r="BT234" i="1"/>
  <c r="BS234" i="1" s="1"/>
  <c r="AS291" i="1"/>
  <c r="BT291" i="1"/>
  <c r="BS291" i="1" s="1"/>
  <c r="AS360" i="1"/>
  <c r="BT360" i="1"/>
  <c r="BS360" i="1" s="1"/>
  <c r="AS422" i="1"/>
  <c r="BT422" i="1"/>
  <c r="BS422" i="1" s="1"/>
  <c r="AS42" i="1"/>
  <c r="BT42" i="1"/>
  <c r="BS42" i="1" s="1"/>
  <c r="AS107" i="1"/>
  <c r="BT107" i="1"/>
  <c r="BS107" i="1" s="1"/>
  <c r="AS168" i="1"/>
  <c r="BR168" i="1"/>
  <c r="BQ168" i="1" s="1"/>
  <c r="BT168" i="1"/>
  <c r="BS168" i="1" s="1"/>
  <c r="AS239" i="1"/>
  <c r="BR239" i="1"/>
  <c r="BQ239" i="1" s="1"/>
  <c r="BT239" i="1"/>
  <c r="BS239" i="1" s="1"/>
  <c r="AS293" i="1"/>
  <c r="BT293" i="1"/>
  <c r="AS43" i="1"/>
  <c r="BT43" i="1"/>
  <c r="BS43" i="1" s="1"/>
  <c r="AS108" i="1"/>
  <c r="BT108" i="1"/>
  <c r="BS108" i="1" s="1"/>
  <c r="BR108" i="1"/>
  <c r="BQ108" i="1" s="1"/>
  <c r="AS184" i="1"/>
  <c r="BT184" i="1"/>
  <c r="BR185" i="1"/>
  <c r="BQ185" i="1" s="1"/>
  <c r="BR184" i="1"/>
  <c r="BQ184" i="1" s="1"/>
  <c r="AS240" i="1"/>
  <c r="BR240" i="1"/>
  <c r="BQ240" i="1" s="1"/>
  <c r="BT240" i="1"/>
  <c r="BS240" i="1" s="1"/>
  <c r="AS380" i="1"/>
  <c r="BT380" i="1"/>
  <c r="BS380" i="1" s="1"/>
  <c r="BR380" i="1"/>
  <c r="BQ380" i="1" s="1"/>
  <c r="AS44" i="1"/>
  <c r="BT44" i="1"/>
  <c r="BS44" i="1" s="1"/>
  <c r="AS114" i="1"/>
  <c r="BT114" i="1"/>
  <c r="BS114" i="1" s="1"/>
  <c r="AS242" i="1"/>
  <c r="BT242" i="1"/>
  <c r="BS242" i="1" s="1"/>
  <c r="AS444" i="1"/>
  <c r="BT444" i="1"/>
  <c r="AS57" i="1"/>
  <c r="BT57" i="1"/>
  <c r="BS57" i="1" s="1"/>
  <c r="AS118" i="1"/>
  <c r="BT118" i="1"/>
  <c r="BS118" i="1" s="1"/>
  <c r="AS300" i="1"/>
  <c r="BT300" i="1"/>
  <c r="BS300" i="1" s="1"/>
  <c r="AS382" i="1"/>
  <c r="BR382" i="1"/>
  <c r="BQ382" i="1" s="1"/>
  <c r="BT382" i="1"/>
  <c r="Y29" i="1" a="1"/>
  <c r="Y29" i="1" s="1"/>
  <c r="AH29" i="1" s="1"/>
  <c r="AS29" i="1" s="1"/>
  <c r="Y136" i="1" a="1"/>
  <c r="Y136" i="1" s="1"/>
  <c r="AH136" i="1" s="1"/>
  <c r="AS136" i="1" s="1"/>
  <c r="Y32" i="1" a="1"/>
  <c r="Y32" i="1" s="1"/>
  <c r="AH32" i="1" s="1"/>
  <c r="AS32" i="1" s="1"/>
  <c r="Y67" i="1" a="1"/>
  <c r="Y67" i="1" s="1"/>
  <c r="AH67" i="1" s="1"/>
  <c r="AS67" i="1" s="1"/>
  <c r="Y194" i="1" a="1"/>
  <c r="Y194" i="1" s="1"/>
  <c r="AH194" i="1" s="1"/>
  <c r="AS194" i="1" s="1"/>
  <c r="Y219" i="1" a="1"/>
  <c r="Y219" i="1" s="1"/>
  <c r="AH219" i="1" s="1"/>
  <c r="AS219" i="1" s="1"/>
  <c r="Y235" i="1" a="1"/>
  <c r="Y235" i="1" s="1"/>
  <c r="AH235" i="1" s="1"/>
  <c r="AS235" i="1" s="1"/>
  <c r="Y104" i="1" a="1"/>
  <c r="Y104" i="1" s="1"/>
  <c r="AH104" i="1" s="1"/>
  <c r="AS104" i="1" s="1"/>
  <c r="Y236" i="1" a="1"/>
  <c r="Y236" i="1" s="1"/>
  <c r="AH236" i="1" s="1"/>
  <c r="AS236" i="1" s="1"/>
  <c r="Y288" i="1" a="1"/>
  <c r="Y288" i="1" s="1"/>
  <c r="AH288" i="1" s="1"/>
  <c r="AS288" i="1" s="1"/>
  <c r="Y307" i="1" a="1"/>
  <c r="Y307" i="1" s="1"/>
  <c r="AH307" i="1" s="1"/>
  <c r="AS307" i="1" s="1"/>
  <c r="Y162" i="1" a="1"/>
  <c r="Y162" i="1" s="1"/>
  <c r="AH162" i="1" s="1"/>
  <c r="AS162" i="1" s="1"/>
  <c r="Y312" i="1" a="1"/>
  <c r="Y312" i="1" s="1"/>
  <c r="AH312" i="1" s="1"/>
  <c r="AS312" i="1" s="1"/>
  <c r="Y173" i="1" a="1"/>
  <c r="Y173" i="1" s="1"/>
  <c r="AH173" i="1" s="1"/>
  <c r="AS173" i="1" s="1"/>
  <c r="Y228" i="1" a="1"/>
  <c r="Y228" i="1" s="1"/>
  <c r="AH228" i="1" s="1"/>
  <c r="AS228" i="1" s="1"/>
  <c r="Y309" i="1" a="1"/>
  <c r="Y309" i="1" s="1"/>
  <c r="AH309" i="1" s="1"/>
  <c r="AS309" i="1" s="1"/>
  <c r="Y277" i="1" a="1"/>
  <c r="Y277" i="1" s="1"/>
  <c r="AH277" i="1" s="1"/>
  <c r="AS277" i="1" s="1"/>
  <c r="Y151" i="1" a="1"/>
  <c r="Y151" i="1" s="1"/>
  <c r="AH151" i="1" s="1"/>
  <c r="AS151" i="1" s="1"/>
  <c r="Y244" i="1" a="1"/>
  <c r="Y244" i="1" s="1"/>
  <c r="AH244" i="1" s="1"/>
  <c r="AS244" i="1" s="1"/>
  <c r="Y257" i="1" a="1"/>
  <c r="Y257" i="1" s="1"/>
  <c r="AH257" i="1" s="1"/>
  <c r="AS257" i="1" s="1"/>
  <c r="Y298" i="1" a="1"/>
  <c r="Y298" i="1" s="1"/>
  <c r="AH298" i="1" s="1"/>
  <c r="AS298" i="1" s="1"/>
  <c r="Y296" i="1" a="1"/>
  <c r="Y296" i="1" s="1"/>
  <c r="AH296" i="1" s="1"/>
  <c r="AS296" i="1" s="1"/>
  <c r="Y397" i="1" a="1"/>
  <c r="Y397" i="1" s="1"/>
  <c r="AH397" i="1" s="1"/>
  <c r="AS397" i="1" s="1"/>
  <c r="Y283" i="1" a="1"/>
  <c r="Y283" i="1" s="1"/>
  <c r="AH283" i="1" s="1"/>
  <c r="AS283" i="1" s="1"/>
  <c r="Y389" i="1" a="1"/>
  <c r="Y389" i="1" s="1"/>
  <c r="AH389" i="1" s="1"/>
  <c r="AS389" i="1" s="1"/>
  <c r="Y224" i="1" a="1"/>
  <c r="Y224" i="1" s="1"/>
  <c r="AH224" i="1" s="1"/>
  <c r="AS224" i="1" s="1"/>
  <c r="Y226" i="1" a="1"/>
  <c r="Y226" i="1" s="1"/>
  <c r="AH226" i="1" s="1"/>
  <c r="AS226" i="1" s="1"/>
  <c r="Y395" i="1" a="1"/>
  <c r="Y395" i="1" s="1"/>
  <c r="AH395" i="1" s="1"/>
  <c r="AS395" i="1" s="1"/>
  <c r="Y390" i="1" a="1"/>
  <c r="Y390" i="1" s="1"/>
  <c r="AH390" i="1" s="1"/>
  <c r="AS390" i="1" s="1"/>
  <c r="Y383" i="1" a="1"/>
  <c r="Y383" i="1" s="1"/>
  <c r="AH383" i="1" s="1"/>
  <c r="AS383" i="1" s="1"/>
  <c r="Y310" i="1" a="1"/>
  <c r="Y310" i="1" s="1"/>
  <c r="AH310" i="1" s="1"/>
  <c r="AS310" i="1" s="1"/>
  <c r="Y378" i="1" a="1"/>
  <c r="Y378" i="1" s="1"/>
  <c r="AH378" i="1" s="1"/>
  <c r="AS378" i="1" s="1"/>
  <c r="Y361" i="1" a="1"/>
  <c r="Y361" i="1" s="1"/>
  <c r="AH361" i="1" s="1"/>
  <c r="AS361" i="1" s="1"/>
  <c r="Y316" i="1" a="1"/>
  <c r="Y316" i="1" s="1"/>
  <c r="AH316" i="1" s="1"/>
  <c r="AS316" i="1" s="1"/>
  <c r="Y434" i="1" a="1"/>
  <c r="Y434" i="1" s="1"/>
  <c r="AH434" i="1" s="1"/>
  <c r="AS434" i="1" s="1"/>
  <c r="Y547" i="1" a="1"/>
  <c r="Y547" i="1" s="1"/>
  <c r="AH547" i="1" s="1"/>
  <c r="AS547" i="1" s="1"/>
  <c r="Y357" i="1" a="1"/>
  <c r="Y357" i="1" s="1"/>
  <c r="AH357" i="1" s="1"/>
  <c r="AS357" i="1" s="1"/>
  <c r="Y553" i="1" a="1"/>
  <c r="Y553" i="1" s="1"/>
  <c r="AH553" i="1" s="1"/>
  <c r="Y560" i="1" a="1"/>
  <c r="Y560" i="1" s="1"/>
  <c r="AH560" i="1" s="1"/>
  <c r="AS560" i="1" s="1"/>
  <c r="Y619" i="1" a="1"/>
  <c r="Y619" i="1" s="1"/>
  <c r="AH619" i="1" s="1"/>
  <c r="Y520" i="1" a="1"/>
  <c r="Y520" i="1" s="1"/>
  <c r="AH520" i="1" s="1"/>
  <c r="AS520" i="1" s="1"/>
  <c r="Y522" i="1" a="1"/>
  <c r="Y522" i="1" s="1"/>
  <c r="AH522" i="1" s="1"/>
  <c r="BT522" i="1" s="1"/>
  <c r="Y555" i="1" a="1"/>
  <c r="Y555" i="1" s="1"/>
  <c r="AH555" i="1" s="1"/>
  <c r="BT555" i="1" s="1"/>
  <c r="Y289" i="1" a="1"/>
  <c r="Y289" i="1" s="1"/>
  <c r="AH289" i="1" s="1"/>
  <c r="AS289" i="1" s="1"/>
  <c r="Y462" i="1" a="1"/>
  <c r="Y462" i="1" s="1"/>
  <c r="AH462" i="1" s="1"/>
  <c r="AS462" i="1" s="1"/>
  <c r="Y592" i="1" a="1"/>
  <c r="Y592" i="1" s="1"/>
  <c r="AH592" i="1" s="1"/>
  <c r="BT592" i="1" s="1"/>
  <c r="Y489" i="1" a="1"/>
  <c r="Y489" i="1" s="1"/>
  <c r="AH489" i="1" s="1"/>
  <c r="AS489" i="1" s="1"/>
  <c r="Y33" i="1" a="1"/>
  <c r="Y33" i="1" s="1"/>
  <c r="AH33" i="1" s="1"/>
  <c r="AS33" i="1" s="1"/>
  <c r="Y337" i="1" a="1"/>
  <c r="Y337" i="1" s="1"/>
  <c r="AH337" i="1" s="1"/>
  <c r="AS337" i="1" s="1"/>
  <c r="Y343" i="1" a="1"/>
  <c r="Y343" i="1" s="1"/>
  <c r="AH343" i="1" s="1"/>
  <c r="AS343" i="1" s="1"/>
  <c r="Y418" i="1" a="1"/>
  <c r="Y418" i="1" s="1"/>
  <c r="AH418" i="1" s="1"/>
  <c r="AS418" i="1" s="1"/>
  <c r="Y507" i="1" a="1"/>
  <c r="Y507" i="1" s="1"/>
  <c r="AH507" i="1" s="1"/>
  <c r="Y541" i="1" a="1"/>
  <c r="Y541" i="1" s="1"/>
  <c r="AH541" i="1" s="1"/>
  <c r="AS541" i="1" s="1"/>
  <c r="Y564" i="1" a="1"/>
  <c r="Y564" i="1" s="1"/>
  <c r="AH564" i="1" s="1"/>
  <c r="Y575" i="1" a="1"/>
  <c r="Y575" i="1" s="1"/>
  <c r="AH575" i="1" s="1"/>
  <c r="Y580" i="1" a="1"/>
  <c r="Y580" i="1" s="1"/>
  <c r="AH580" i="1" s="1"/>
  <c r="Y602" i="1" a="1"/>
  <c r="Y602" i="1" s="1"/>
  <c r="AH602" i="1" s="1"/>
  <c r="Y658" i="1" a="1"/>
  <c r="Y658" i="1" s="1"/>
  <c r="AH658" i="1" s="1"/>
  <c r="BT658" i="1" s="1"/>
  <c r="BT303" i="1"/>
  <c r="BS303" i="1" s="1"/>
  <c r="BT128" i="1"/>
  <c r="BS128" i="1" s="1"/>
  <c r="BT208" i="1"/>
  <c r="BS208" i="1" s="1"/>
  <c r="BT355" i="1"/>
  <c r="BS355" i="1" s="1"/>
  <c r="BT437" i="1"/>
  <c r="BS437" i="1" s="1"/>
  <c r="BT116" i="1"/>
  <c r="BS116" i="1" s="1"/>
  <c r="Y27" i="1" a="1"/>
  <c r="Y27" i="1" s="1"/>
  <c r="AH27" i="1" s="1"/>
  <c r="AS27" i="1" s="1"/>
  <c r="BT120" i="1"/>
  <c r="BS120" i="1" s="1"/>
  <c r="BT109" i="1"/>
  <c r="BS109" i="1" s="1"/>
  <c r="BT82" i="1"/>
  <c r="BS82" i="1" s="1"/>
  <c r="BT144" i="1"/>
  <c r="BS144" i="1" s="1"/>
  <c r="BT373" i="1"/>
  <c r="BS373" i="1" s="1"/>
  <c r="BT175" i="1"/>
  <c r="BS175" i="1" s="1"/>
  <c r="BT40" i="1"/>
  <c r="BS40" i="1" s="1"/>
  <c r="BT245" i="1"/>
  <c r="BS245" i="1" s="1"/>
  <c r="BT442" i="1"/>
  <c r="BS442" i="1" s="1"/>
  <c r="BT364" i="1"/>
  <c r="BS364" i="1" s="1"/>
  <c r="BT413" i="1"/>
  <c r="BS413" i="1" s="1"/>
  <c r="BT142" i="1"/>
  <c r="BS142" i="1" s="1"/>
  <c r="BT414" i="1"/>
  <c r="BS414" i="1" s="1"/>
  <c r="BT286" i="1"/>
  <c r="BS286" i="1" s="1"/>
  <c r="BT55" i="1"/>
  <c r="BS55" i="1" s="1"/>
  <c r="BT166" i="1"/>
  <c r="BS166" i="1" s="1"/>
  <c r="BT92" i="1"/>
  <c r="BS92" i="1" s="1"/>
  <c r="BT328" i="1"/>
  <c r="BS328" i="1" s="1"/>
  <c r="BT183" i="1"/>
  <c r="BS183" i="1" s="1"/>
  <c r="BT211" i="1"/>
  <c r="BS211" i="1" s="1"/>
  <c r="BT130" i="1"/>
  <c r="BS130" i="1" s="1"/>
  <c r="BT213" i="1"/>
  <c r="BS213" i="1" s="1"/>
  <c r="BT431" i="1"/>
  <c r="BS431" i="1" s="1"/>
  <c r="BT216" i="1"/>
  <c r="BS216" i="1" s="1"/>
  <c r="BT147" i="1"/>
  <c r="BS147" i="1" s="1"/>
  <c r="BT274" i="1"/>
  <c r="BS274" i="1" s="1"/>
  <c r="BT276" i="1"/>
  <c r="BS276" i="1" s="1"/>
  <c r="BT50" i="1"/>
  <c r="BS50" i="1" s="1"/>
  <c r="BT406" i="1"/>
  <c r="BS406" i="1" s="1"/>
  <c r="BT436" i="1"/>
  <c r="BS436" i="1" s="1"/>
  <c r="BT110" i="1"/>
  <c r="BS110" i="1" s="1"/>
  <c r="BT138" i="1"/>
  <c r="BS138" i="1" s="1"/>
  <c r="BT62" i="1"/>
  <c r="BS62" i="1" s="1"/>
  <c r="BT170" i="1"/>
  <c r="BS170" i="1" s="1"/>
  <c r="BT323" i="1"/>
  <c r="BS323" i="1" s="1"/>
  <c r="BT445" i="1"/>
  <c r="BS445" i="1" s="1"/>
  <c r="Y26" i="1" a="1"/>
  <c r="Y26" i="1" s="1"/>
  <c r="AH26" i="1" s="1"/>
  <c r="AQ26" i="1"/>
  <c r="BT189" i="1"/>
  <c r="BS189" i="1" s="1"/>
  <c r="BT237" i="1"/>
  <c r="BS237" i="1" s="1"/>
  <c r="BT335" i="1"/>
  <c r="BS335" i="1" s="1"/>
  <c r="BT99" i="1"/>
  <c r="BS99" i="1" s="1"/>
  <c r="BT195" i="1"/>
  <c r="BS195" i="1" s="1"/>
  <c r="BT353" i="1"/>
  <c r="BS353" i="1" s="1"/>
  <c r="BT368" i="1"/>
  <c r="BS368" i="1" s="1"/>
  <c r="BT46" i="1"/>
  <c r="BS46" i="1" s="1"/>
  <c r="BT163" i="1"/>
  <c r="BS163" i="1" s="1"/>
  <c r="BT87" i="1"/>
  <c r="BS87" i="1" s="1"/>
  <c r="BT206" i="1"/>
  <c r="BS206" i="1" s="1"/>
  <c r="Y125" i="1" a="1"/>
  <c r="Y125" i="1" s="1"/>
  <c r="AH125" i="1" s="1"/>
  <c r="AS125" i="1" s="1"/>
  <c r="Y141" i="1" a="1"/>
  <c r="Y141" i="1" s="1"/>
  <c r="AH141" i="1" s="1"/>
  <c r="AS141" i="1" s="1"/>
  <c r="Y121" i="1" a="1"/>
  <c r="Y121" i="1" s="1"/>
  <c r="AH121" i="1" s="1"/>
  <c r="AS121" i="1" s="1"/>
  <c r="Y77" i="1" a="1"/>
  <c r="Y77" i="1" s="1"/>
  <c r="AH77" i="1" s="1"/>
  <c r="AS77" i="1" s="1"/>
  <c r="Y61" i="1" a="1"/>
  <c r="Y61" i="1" s="1"/>
  <c r="AH61" i="1" s="1"/>
  <c r="AS61" i="1" s="1"/>
  <c r="Y56" i="1" a="1"/>
  <c r="Y56" i="1" s="1"/>
  <c r="AH56" i="1" s="1"/>
  <c r="AS56" i="1" s="1"/>
  <c r="Y143" i="1" a="1"/>
  <c r="Y143" i="1" s="1"/>
  <c r="AH143" i="1" s="1"/>
  <c r="AS143" i="1" s="1"/>
  <c r="BT35" i="1"/>
  <c r="BS35" i="1" s="1"/>
  <c r="Y139" i="1" a="1"/>
  <c r="Y139" i="1" s="1"/>
  <c r="AH139" i="1" s="1"/>
  <c r="AS139" i="1" s="1"/>
  <c r="Y167" i="1" a="1"/>
  <c r="Y167" i="1" s="1"/>
  <c r="AH167" i="1" s="1"/>
  <c r="AS167" i="1" s="1"/>
  <c r="Y230" i="1" a="1"/>
  <c r="Y230" i="1" s="1"/>
  <c r="AH230" i="1" s="1"/>
  <c r="AS230" i="1" s="1"/>
  <c r="Y241" i="1" a="1"/>
  <c r="Y241" i="1" s="1"/>
  <c r="AH241" i="1" s="1"/>
  <c r="AS241" i="1" s="1"/>
  <c r="Y196" i="1" a="1"/>
  <c r="Y196" i="1" s="1"/>
  <c r="AH196" i="1" s="1"/>
  <c r="AS196" i="1" s="1"/>
  <c r="Y174" i="1" a="1"/>
  <c r="Y174" i="1" s="1"/>
  <c r="AH174" i="1" s="1"/>
  <c r="AS174" i="1" s="1"/>
  <c r="Y88" i="1" a="1"/>
  <c r="Y88" i="1" s="1"/>
  <c r="AH88" i="1" s="1"/>
  <c r="AS88" i="1" s="1"/>
  <c r="Y209" i="1" a="1"/>
  <c r="Y209" i="1" s="1"/>
  <c r="AH209" i="1" s="1"/>
  <c r="AS209" i="1" s="1"/>
  <c r="Y246" i="1" a="1"/>
  <c r="Y246" i="1" s="1"/>
  <c r="AH246" i="1" s="1"/>
  <c r="AS246" i="1" s="1"/>
  <c r="Y190" i="1" a="1"/>
  <c r="Y190" i="1" s="1"/>
  <c r="AH190" i="1" s="1"/>
  <c r="AS190" i="1" s="1"/>
  <c r="Y148" i="1" a="1"/>
  <c r="Y148" i="1" s="1"/>
  <c r="AH148" i="1" s="1"/>
  <c r="AS148" i="1" s="1"/>
  <c r="Y152" i="1" a="1"/>
  <c r="Y152" i="1" s="1"/>
  <c r="AH152" i="1" s="1"/>
  <c r="AS152" i="1" s="1"/>
  <c r="Y238" i="1" a="1"/>
  <c r="Y238" i="1" s="1"/>
  <c r="AH238" i="1" s="1"/>
  <c r="AS238" i="1" s="1"/>
  <c r="Y336" i="1" a="1"/>
  <c r="Y336" i="1" s="1"/>
  <c r="AH336" i="1" s="1"/>
  <c r="AS336" i="1" s="1"/>
  <c r="Y324" i="1" a="1"/>
  <c r="Y324" i="1" s="1"/>
  <c r="AH324" i="1" s="1"/>
  <c r="AS324" i="1" s="1"/>
  <c r="Y443" i="1" a="1"/>
  <c r="Y443" i="1" s="1"/>
  <c r="AH443" i="1" s="1"/>
  <c r="AS443" i="1" s="1"/>
  <c r="Y392" i="1" a="1"/>
  <c r="Y392" i="1" s="1"/>
  <c r="AH392" i="1" s="1"/>
  <c r="AS392" i="1" s="1"/>
  <c r="Y217" i="1" a="1"/>
  <c r="Y217" i="1" s="1"/>
  <c r="AH217" i="1" s="1"/>
  <c r="AS217" i="1" s="1"/>
  <c r="Y415" i="1" a="1"/>
  <c r="Y415" i="1" s="1"/>
  <c r="AH415" i="1" s="1"/>
  <c r="AS415" i="1" s="1"/>
  <c r="Y340" i="1" a="1"/>
  <c r="Y340" i="1" s="1"/>
  <c r="AH340" i="1" s="1"/>
  <c r="AS340" i="1" s="1"/>
  <c r="Y176" i="1" a="1"/>
  <c r="Y176" i="1" s="1"/>
  <c r="AH176" i="1" s="1"/>
  <c r="AS176" i="1" s="1"/>
  <c r="BT32" i="1"/>
  <c r="BS32" i="1" s="1"/>
  <c r="BT67" i="1"/>
  <c r="BS67" i="1" s="1"/>
  <c r="BT29" i="1"/>
  <c r="BS29" i="1" s="1"/>
  <c r="BT33" i="1"/>
  <c r="BS33" i="1" s="1"/>
  <c r="BT136" i="1"/>
  <c r="BS136" i="1" s="1"/>
  <c r="BT156" i="1"/>
  <c r="BS156" i="1" s="1"/>
  <c r="BT161" i="1"/>
  <c r="BS161" i="1" s="1"/>
  <c r="BT159" i="1"/>
  <c r="BS159" i="1" s="1"/>
  <c r="BT165" i="1"/>
  <c r="BS165" i="1" s="1"/>
  <c r="BT173" i="1"/>
  <c r="BS173" i="1" s="1"/>
  <c r="BT186" i="1"/>
  <c r="BS186" i="1" s="1"/>
  <c r="BT194" i="1"/>
  <c r="BS194" i="1" s="1"/>
  <c r="BT212" i="1"/>
  <c r="BS212" i="1" s="1"/>
  <c r="BT226" i="1"/>
  <c r="BS226" i="1" s="1"/>
  <c r="BT205" i="1"/>
  <c r="BS205" i="1" s="1"/>
  <c r="BT227" i="1"/>
  <c r="BS227" i="1" s="1"/>
  <c r="BT235" i="1"/>
  <c r="BS235" i="1" s="1"/>
  <c r="BT219" i="1"/>
  <c r="BS219" i="1" s="1"/>
  <c r="BT259" i="1"/>
  <c r="BS259" i="1" s="1"/>
  <c r="BT288" i="1"/>
  <c r="BS288" i="1" s="1"/>
  <c r="BT224" i="1"/>
  <c r="BS224" i="1" s="1"/>
  <c r="BT270" i="1"/>
  <c r="BS270" i="1" s="1"/>
  <c r="BT279" i="1"/>
  <c r="BS279" i="1" s="1"/>
  <c r="BT228" i="1"/>
  <c r="BS228" i="1" s="1"/>
  <c r="BT243" i="1"/>
  <c r="BS243" i="1" s="1"/>
  <c r="BT264" i="1"/>
  <c r="BS264" i="1" s="1"/>
  <c r="BT277" i="1"/>
  <c r="BS277" i="1" s="1"/>
  <c r="BT283" i="1"/>
  <c r="BS283" i="1" s="1"/>
  <c r="BT268" i="1"/>
  <c r="BS268" i="1" s="1"/>
  <c r="BT294" i="1"/>
  <c r="BS294" i="1" s="1"/>
  <c r="BT311" i="1"/>
  <c r="BS311" i="1" s="1"/>
  <c r="BT329" i="1"/>
  <c r="BS329" i="1" s="1"/>
  <c r="BT315" i="1"/>
  <c r="BS315" i="1" s="1"/>
  <c r="BT285" i="1"/>
  <c r="BS285" i="1" s="1"/>
  <c r="BT257" i="1"/>
  <c r="BS257" i="1" s="1"/>
  <c r="BT302" i="1"/>
  <c r="BS302" i="1" s="1"/>
  <c r="BT312" i="1"/>
  <c r="BS312" i="1" s="1"/>
  <c r="BT260" i="1"/>
  <c r="BS260" i="1" s="1"/>
  <c r="BT295" i="1"/>
  <c r="BS295" i="1" s="1"/>
  <c r="BT307" i="1"/>
  <c r="BT289" i="1"/>
  <c r="BS289" i="1" s="1"/>
  <c r="BT298" i="1"/>
  <c r="BS298" i="1" s="1"/>
  <c r="BT351" i="1"/>
  <c r="BS351" i="1" s="1"/>
  <c r="BT350" i="1"/>
  <c r="BS350" i="1" s="1"/>
  <c r="BT361" i="1"/>
  <c r="BS361" i="1" s="1"/>
  <c r="BT356" i="1"/>
  <c r="BS356" i="1" s="1"/>
  <c r="BT377" i="1"/>
  <c r="BS377" i="1" s="1"/>
  <c r="BT383" i="1"/>
  <c r="BS383" i="1" s="1"/>
  <c r="BT389" i="1"/>
  <c r="BS389" i="1" s="1"/>
  <c r="BT418" i="1"/>
  <c r="BS418" i="1" s="1"/>
  <c r="BT426" i="1"/>
  <c r="BS426" i="1" s="1"/>
  <c r="BT434" i="1"/>
  <c r="BS434" i="1" s="1"/>
  <c r="AQ7" i="1"/>
  <c r="Y7" i="1" a="1"/>
  <c r="Y7" i="1" s="1"/>
  <c r="AH7" i="1" s="1"/>
  <c r="BT366" i="1"/>
  <c r="BS366" i="1" s="1"/>
  <c r="BT433" i="1"/>
  <c r="BS433" i="1" s="1"/>
  <c r="BJ204" i="1"/>
  <c r="BN204" i="1"/>
  <c r="BO204" i="1" s="1"/>
  <c r="BP204" i="1" s="1"/>
  <c r="BJ165" i="1"/>
  <c r="BN165" i="1"/>
  <c r="BO165" i="1" s="1"/>
  <c r="BN267" i="1"/>
  <c r="BO267" i="1" s="1"/>
  <c r="BP267" i="1" s="1"/>
  <c r="BJ267" i="1"/>
  <c r="AF272" i="1"/>
  <c r="BK271" i="1"/>
  <c r="BI271" i="1"/>
  <c r="BP271" i="1" s="1"/>
  <c r="BN272" i="1"/>
  <c r="BO272" i="1" s="1"/>
  <c r="BJ272" i="1"/>
  <c r="AF29" i="1"/>
  <c r="BI28" i="1"/>
  <c r="BP28" i="1" s="1"/>
  <c r="BK28" i="1"/>
  <c r="BT151" i="1"/>
  <c r="BS151" i="1" s="1"/>
  <c r="AF100" i="1"/>
  <c r="BI99" i="1"/>
  <c r="BP99" i="1" s="1"/>
  <c r="BK99" i="1"/>
  <c r="BN100" i="1"/>
  <c r="BO100" i="1" s="1"/>
  <c r="BJ100" i="1"/>
  <c r="AF165" i="1"/>
  <c r="BK164" i="1"/>
  <c r="BS6" i="1"/>
  <c r="BA7" i="1"/>
  <c r="BC20" i="1"/>
  <c r="BC21" i="1" s="1"/>
  <c r="BC22" i="1" s="1"/>
  <c r="BT19" i="1"/>
  <c r="BT21" i="1"/>
  <c r="BB25" i="1"/>
  <c r="AD205" i="1"/>
  <c r="AF204" i="1"/>
  <c r="BI204" i="1" s="1"/>
  <c r="AL6" i="1"/>
  <c r="AP6" i="1" s="1"/>
  <c r="AP7" i="1" s="1"/>
  <c r="AP8" i="1" s="1"/>
  <c r="AO6" i="1"/>
  <c r="AO7" i="1" s="1"/>
  <c r="AO8" i="1" s="1"/>
  <c r="AM8" i="1"/>
  <c r="AR8" i="1"/>
  <c r="AL24" i="1"/>
  <c r="AP24" i="1" s="1"/>
  <c r="AP25" i="1" s="1"/>
  <c r="AO24" i="1"/>
  <c r="AO25" i="1" s="1"/>
  <c r="AG4" i="1"/>
  <c r="J6" i="1"/>
  <c r="J7" i="1"/>
  <c r="J8" i="1"/>
  <c r="J9" i="1"/>
  <c r="J16" i="1"/>
  <c r="J17" i="1"/>
  <c r="J18" i="1"/>
  <c r="J20" i="1"/>
  <c r="J21" i="1"/>
  <c r="J22" i="1"/>
  <c r="J25" i="1"/>
  <c r="J27" i="1"/>
  <c r="J29" i="1"/>
  <c r="J30" i="1"/>
  <c r="J32" i="1"/>
  <c r="J33" i="1"/>
  <c r="J37" i="1"/>
  <c r="J39" i="1"/>
  <c r="J40" i="1"/>
  <c r="J42" i="1"/>
  <c r="J43" i="1"/>
  <c r="J45" i="1"/>
  <c r="J46" i="1"/>
  <c r="J47" i="1"/>
  <c r="J48" i="1"/>
  <c r="J50" i="1"/>
  <c r="J51" i="1"/>
  <c r="J54" i="1"/>
  <c r="J56" i="1"/>
  <c r="J58" i="1"/>
  <c r="J60" i="1"/>
  <c r="J61" i="1"/>
  <c r="J62" i="1"/>
  <c r="J63" i="1"/>
  <c r="J65" i="1"/>
  <c r="J67" i="1"/>
  <c r="J68" i="1"/>
  <c r="J69" i="1"/>
  <c r="J71" i="1"/>
  <c r="J72" i="1"/>
  <c r="J73" i="1"/>
  <c r="J80" i="1"/>
  <c r="J82" i="1"/>
  <c r="J84" i="1"/>
  <c r="J85" i="1"/>
  <c r="J86" i="1"/>
  <c r="J87" i="1"/>
  <c r="J88" i="1"/>
  <c r="J89" i="1"/>
  <c r="J92" i="1"/>
  <c r="J94" i="1"/>
  <c r="J96" i="1"/>
  <c r="J100" i="1"/>
  <c r="J102" i="1"/>
  <c r="J104" i="1"/>
  <c r="J105" i="1"/>
  <c r="J106" i="1"/>
  <c r="J109" i="1"/>
  <c r="J111" i="1"/>
  <c r="J113" i="1"/>
  <c r="J118" i="1"/>
  <c r="J120" i="1"/>
  <c r="J121" i="1"/>
  <c r="J123" i="1"/>
  <c r="J125" i="1"/>
  <c r="J126" i="1"/>
  <c r="J130" i="1"/>
  <c r="J131" i="1"/>
  <c r="J133" i="1"/>
  <c r="J135" i="1"/>
  <c r="J136" i="1"/>
  <c r="J137" i="1"/>
  <c r="J139" i="1"/>
  <c r="J141" i="1"/>
  <c r="J143" i="1"/>
  <c r="J146" i="1"/>
  <c r="J147" i="1"/>
  <c r="J148" i="1"/>
  <c r="J149" i="1"/>
  <c r="J150" i="1"/>
  <c r="J152" i="1"/>
  <c r="J154" i="1"/>
  <c r="J156" i="1"/>
  <c r="J158" i="1"/>
  <c r="J160" i="1"/>
  <c r="J161" i="1"/>
  <c r="J162" i="1"/>
  <c r="J164" i="1"/>
  <c r="J165" i="1"/>
  <c r="J167" i="1"/>
  <c r="J171" i="1"/>
  <c r="J172" i="1"/>
  <c r="J174" i="1"/>
  <c r="J176" i="1"/>
  <c r="J177" i="1"/>
  <c r="J178" i="1"/>
  <c r="J180" i="1"/>
  <c r="J181" i="1"/>
  <c r="J182" i="1"/>
  <c r="J185" i="1"/>
  <c r="J187" i="1"/>
  <c r="J189" i="1"/>
  <c r="J195" i="1"/>
  <c r="J196" i="1"/>
  <c r="J197" i="1"/>
  <c r="J198" i="1"/>
  <c r="J199" i="1"/>
  <c r="J200" i="1"/>
  <c r="J201" i="1"/>
  <c r="J202" i="1"/>
  <c r="J203" i="1"/>
  <c r="J205" i="1"/>
  <c r="J206" i="1"/>
  <c r="J207" i="1"/>
  <c r="J209" i="1"/>
  <c r="J211" i="1"/>
  <c r="J215" i="1"/>
  <c r="J217" i="1"/>
  <c r="J218" i="1"/>
  <c r="J220" i="1"/>
  <c r="J221" i="1"/>
  <c r="J223" i="1"/>
  <c r="J224" i="1"/>
  <c r="J226" i="1"/>
  <c r="J228" i="1"/>
  <c r="J230" i="1"/>
  <c r="J231" i="1"/>
  <c r="J233" i="1"/>
  <c r="J235" i="1"/>
  <c r="J236" i="1"/>
  <c r="J238" i="1"/>
  <c r="J240" i="1"/>
  <c r="J241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6" i="1"/>
  <c r="J259" i="1"/>
  <c r="J260" i="1"/>
  <c r="J262" i="1"/>
  <c r="J263" i="1"/>
  <c r="J265" i="1"/>
  <c r="J266" i="1"/>
  <c r="J269" i="1"/>
  <c r="J271" i="1"/>
  <c r="J272" i="1"/>
  <c r="J274" i="1"/>
  <c r="J275" i="1"/>
  <c r="J278" i="1"/>
  <c r="J281" i="1"/>
  <c r="J283" i="1"/>
  <c r="J284" i="1"/>
  <c r="J285" i="1"/>
  <c r="J287" i="1"/>
  <c r="J288" i="1"/>
  <c r="J289" i="1"/>
  <c r="J291" i="1"/>
  <c r="J293" i="1"/>
  <c r="J294" i="1"/>
  <c r="J295" i="1"/>
  <c r="J296" i="1"/>
  <c r="J297" i="1"/>
  <c r="J299" i="1"/>
  <c r="J301" i="1"/>
  <c r="J303" i="1"/>
  <c r="J305" i="1"/>
  <c r="J306" i="1"/>
  <c r="J308" i="1"/>
  <c r="J309" i="1"/>
  <c r="J310" i="1"/>
  <c r="J312" i="1"/>
  <c r="J313" i="1"/>
  <c r="J314" i="1"/>
  <c r="J315" i="1"/>
  <c r="J316" i="1"/>
  <c r="J317" i="1"/>
  <c r="J318" i="1"/>
  <c r="J319" i="1"/>
  <c r="J320" i="1"/>
  <c r="J321" i="1"/>
  <c r="J324" i="1"/>
  <c r="J325" i="1"/>
  <c r="J326" i="1"/>
  <c r="J328" i="1"/>
  <c r="J331" i="1"/>
  <c r="J332" i="1"/>
  <c r="J335" i="1"/>
  <c r="J336" i="1"/>
  <c r="J337" i="1"/>
  <c r="J340" i="1"/>
  <c r="J341" i="1"/>
  <c r="J343" i="1"/>
  <c r="J344" i="1"/>
  <c r="J345" i="1"/>
  <c r="J347" i="1"/>
  <c r="J348" i="1"/>
  <c r="J349" i="1"/>
  <c r="J351" i="1"/>
  <c r="J352" i="1"/>
  <c r="J354" i="1"/>
  <c r="J355" i="1"/>
  <c r="J357" i="1"/>
  <c r="J358" i="1"/>
  <c r="J359" i="1"/>
  <c r="J361" i="1"/>
  <c r="J362" i="1"/>
  <c r="J364" i="1"/>
  <c r="J365" i="1"/>
  <c r="J366" i="1"/>
  <c r="J367" i="1"/>
  <c r="J368" i="1"/>
  <c r="J369" i="1"/>
  <c r="J370" i="1"/>
  <c r="J371" i="1"/>
  <c r="J372" i="1"/>
  <c r="J374" i="1"/>
  <c r="J375" i="1"/>
  <c r="J376" i="1"/>
  <c r="J378" i="1"/>
  <c r="J379" i="1"/>
  <c r="J381" i="1"/>
  <c r="J383" i="1"/>
  <c r="J384" i="1"/>
  <c r="J385" i="1"/>
  <c r="J386" i="1"/>
  <c r="J387" i="1"/>
  <c r="J390" i="1"/>
  <c r="J392" i="1"/>
  <c r="J393" i="1"/>
  <c r="J395" i="1"/>
  <c r="J397" i="1"/>
  <c r="J398" i="1"/>
  <c r="J399" i="1"/>
  <c r="J400" i="1"/>
  <c r="J401" i="1"/>
  <c r="J407" i="1"/>
  <c r="J408" i="1"/>
  <c r="J409" i="1"/>
  <c r="J410" i="1"/>
  <c r="J411" i="1"/>
  <c r="J415" i="1"/>
  <c r="J416" i="1"/>
  <c r="J417" i="1"/>
  <c r="J418" i="1"/>
  <c r="J419" i="1"/>
  <c r="J421" i="1"/>
  <c r="J423" i="1"/>
  <c r="J424" i="1"/>
  <c r="J425" i="1"/>
  <c r="J426" i="1"/>
  <c r="J427" i="1"/>
  <c r="J428" i="1"/>
  <c r="J429" i="1"/>
  <c r="J430" i="1"/>
  <c r="J432" i="1"/>
  <c r="J434" i="1"/>
  <c r="J435" i="1"/>
  <c r="J437" i="1"/>
  <c r="J438" i="1"/>
  <c r="J440" i="1"/>
  <c r="J441" i="1"/>
  <c r="J443" i="1"/>
  <c r="J445" i="1"/>
  <c r="J446" i="1"/>
  <c r="J448" i="1"/>
  <c r="J449" i="1"/>
  <c r="J452" i="1"/>
  <c r="J454" i="1"/>
  <c r="J456" i="1"/>
  <c r="J458" i="1"/>
  <c r="J461" i="1"/>
  <c r="J463" i="1"/>
  <c r="J465" i="1"/>
  <c r="J466" i="1"/>
  <c r="J467" i="1"/>
  <c r="J468" i="1"/>
  <c r="J469" i="1"/>
  <c r="J471" i="1"/>
  <c r="J472" i="1"/>
  <c r="J474" i="1"/>
  <c r="J475" i="1"/>
  <c r="J476" i="1"/>
  <c r="J478" i="1"/>
  <c r="J482" i="1"/>
  <c r="J484" i="1"/>
  <c r="J485" i="1"/>
  <c r="J487" i="1"/>
  <c r="J488" i="1"/>
  <c r="J490" i="1"/>
  <c r="J492" i="1"/>
  <c r="J493" i="1"/>
  <c r="J497" i="1"/>
  <c r="J499" i="1"/>
  <c r="J501" i="1"/>
  <c r="J502" i="1"/>
  <c r="J506" i="1"/>
  <c r="J508" i="1"/>
  <c r="J509" i="1"/>
  <c r="J511" i="1"/>
  <c r="J512" i="1"/>
  <c r="J513" i="1"/>
  <c r="J515" i="1"/>
  <c r="J516" i="1"/>
  <c r="J517" i="1"/>
  <c r="J521" i="1"/>
  <c r="J523" i="1"/>
  <c r="J524" i="1"/>
  <c r="J525" i="1"/>
  <c r="J526" i="1"/>
  <c r="J527" i="1"/>
  <c r="J528" i="1"/>
  <c r="J529" i="1"/>
  <c r="J530" i="1"/>
  <c r="J532" i="1"/>
  <c r="J533" i="1"/>
  <c r="J535" i="1"/>
  <c r="J536" i="1"/>
  <c r="J538" i="1"/>
  <c r="J539" i="1"/>
  <c r="J540" i="1"/>
  <c r="J541" i="1"/>
  <c r="J542" i="1"/>
  <c r="J543" i="1"/>
  <c r="J544" i="1"/>
  <c r="J546" i="1"/>
  <c r="J548" i="1"/>
  <c r="J549" i="1"/>
  <c r="J551" i="1"/>
  <c r="J552" i="1"/>
  <c r="J554" i="1"/>
  <c r="J556" i="1"/>
  <c r="J557" i="1"/>
  <c r="J558" i="1"/>
  <c r="J566" i="1"/>
  <c r="J568" i="1"/>
  <c r="J570" i="1"/>
  <c r="J572" i="1"/>
  <c r="J574" i="1"/>
  <c r="J576" i="1"/>
  <c r="J577" i="1"/>
  <c r="J578" i="1"/>
  <c r="J581" i="1"/>
  <c r="J584" i="1"/>
  <c r="J585" i="1"/>
  <c r="J586" i="1"/>
  <c r="J588" i="1"/>
  <c r="J589" i="1"/>
  <c r="J590" i="1"/>
  <c r="J592" i="1"/>
  <c r="J593" i="1"/>
  <c r="J594" i="1"/>
  <c r="J595" i="1"/>
  <c r="J597" i="1"/>
  <c r="J600" i="1"/>
  <c r="J601" i="1"/>
  <c r="J602" i="1"/>
  <c r="J603" i="1"/>
  <c r="J608" i="1"/>
  <c r="J610" i="1"/>
  <c r="J611" i="1"/>
  <c r="J613" i="1"/>
  <c r="J615" i="1"/>
  <c r="J616" i="1"/>
  <c r="J617" i="1"/>
  <c r="J618" i="1"/>
  <c r="J619" i="1"/>
  <c r="J620" i="1"/>
  <c r="J622" i="1"/>
  <c r="J624" i="1"/>
  <c r="J625" i="1"/>
  <c r="J627" i="1"/>
  <c r="J629" i="1"/>
  <c r="J630" i="1"/>
  <c r="J633" i="1"/>
  <c r="J634" i="1"/>
  <c r="J636" i="1"/>
  <c r="J637" i="1"/>
  <c r="J640" i="1"/>
  <c r="J641" i="1"/>
  <c r="J644" i="1"/>
  <c r="J645" i="1"/>
  <c r="J646" i="1"/>
  <c r="J647" i="1"/>
  <c r="J648" i="1"/>
  <c r="J650" i="1"/>
  <c r="J651" i="1"/>
  <c r="J652" i="1"/>
  <c r="J654" i="1"/>
  <c r="J657" i="1"/>
  <c r="J658" i="1"/>
  <c r="J659" i="1"/>
  <c r="J660" i="1"/>
  <c r="J661" i="1"/>
  <c r="J663" i="1"/>
  <c r="J666" i="1"/>
  <c r="J667" i="1"/>
  <c r="J668" i="1"/>
  <c r="J670" i="1"/>
  <c r="J671" i="1"/>
  <c r="J672" i="1"/>
  <c r="J673" i="1"/>
  <c r="J675" i="1"/>
  <c r="J681" i="1"/>
  <c r="J682" i="1"/>
  <c r="J684" i="1"/>
  <c r="J685" i="1"/>
  <c r="J687" i="1"/>
  <c r="J689" i="1"/>
  <c r="J690" i="1"/>
  <c r="J692" i="1"/>
  <c r="J693" i="1"/>
  <c r="J695" i="1"/>
  <c r="J696" i="1"/>
  <c r="J700" i="1"/>
  <c r="J702" i="1"/>
  <c r="J704" i="1"/>
  <c r="J705" i="1"/>
  <c r="J707" i="1"/>
  <c r="J708" i="1"/>
  <c r="J710" i="1"/>
  <c r="J712" i="1"/>
  <c r="J714" i="1"/>
  <c r="J715" i="1"/>
  <c r="J716" i="1"/>
  <c r="J718" i="1"/>
  <c r="J719" i="1"/>
  <c r="J720" i="1"/>
  <c r="J722" i="1"/>
  <c r="J723" i="1"/>
  <c r="J725" i="1"/>
  <c r="J727" i="1"/>
  <c r="J728" i="1"/>
  <c r="J730" i="1"/>
  <c r="J732" i="1"/>
  <c r="J733" i="1"/>
  <c r="J734" i="1"/>
  <c r="J736" i="1"/>
  <c r="J738" i="1"/>
  <c r="V5" i="8"/>
  <c r="V6" i="8" s="1"/>
  <c r="V7" i="8" s="1"/>
  <c r="V8" i="8" s="1"/>
  <c r="V9" i="8" s="1"/>
  <c r="V10" i="8" s="1"/>
  <c r="V11" i="8" s="1"/>
  <c r="V12" i="8" s="1"/>
  <c r="V13" i="8" s="1"/>
  <c r="V14" i="8" s="1"/>
  <c r="V15" i="8" s="1"/>
  <c r="V16" i="8" s="1"/>
  <c r="V17" i="8" s="1"/>
  <c r="V18" i="8" s="1"/>
  <c r="V19" i="8" s="1"/>
  <c r="V20" i="8" s="1"/>
  <c r="V21" i="8" s="1"/>
  <c r="V22" i="8" s="1"/>
  <c r="V23" i="8" s="1"/>
  <c r="V24" i="8" s="1"/>
  <c r="V25" i="8" s="1"/>
  <c r="V26" i="8" s="1"/>
  <c r="V27" i="8" s="1"/>
  <c r="V28" i="8" s="1"/>
  <c r="V29" i="8" s="1"/>
  <c r="V30" i="8" s="1"/>
  <c r="V31" i="8" s="1"/>
  <c r="V32" i="8" s="1"/>
  <c r="V33" i="8" s="1"/>
  <c r="V34" i="8" s="1"/>
  <c r="V35" i="8" s="1"/>
  <c r="V38" i="8" s="1"/>
  <c r="V39" i="8" s="1"/>
  <c r="V40" i="8" s="1"/>
  <c r="V41" i="8" s="1"/>
  <c r="V42" i="8" s="1"/>
  <c r="V43" i="8" s="1"/>
  <c r="V44" i="8" s="1"/>
  <c r="V45" i="8" s="1"/>
  <c r="V46" i="8" s="1"/>
  <c r="V47" i="8" s="1"/>
  <c r="V48" i="8" s="1"/>
  <c r="V49" i="8" s="1"/>
  <c r="V50" i="8" s="1"/>
  <c r="V51" i="8" s="1"/>
  <c r="V52" i="8" s="1"/>
  <c r="V53" i="8" s="1"/>
  <c r="V54" i="8" s="1"/>
  <c r="V55" i="8" s="1"/>
  <c r="V56" i="8" s="1"/>
  <c r="V57" i="8" s="1"/>
  <c r="V58" i="8" s="1"/>
  <c r="V61" i="8" s="1"/>
  <c r="V62" i="8" s="1"/>
  <c r="V63" i="8" s="1"/>
  <c r="V64" i="8" s="1"/>
  <c r="V65" i="8" s="1"/>
  <c r="V66" i="8" s="1"/>
  <c r="V67" i="8" s="1"/>
  <c r="V68" i="8" s="1"/>
  <c r="V69" i="8" s="1"/>
  <c r="V70" i="8" s="1"/>
  <c r="V71" i="8" s="1"/>
  <c r="V72" i="8" s="1"/>
  <c r="V73" i="8" s="1"/>
  <c r="V74" i="8" s="1"/>
  <c r="V75" i="8" s="1"/>
  <c r="V76" i="8" s="1"/>
  <c r="V77" i="8" s="1"/>
  <c r="V78" i="8" s="1"/>
  <c r="R3" i="8"/>
  <c r="S4" i="8"/>
  <c r="T4" i="8"/>
  <c r="I3" i="8"/>
  <c r="J3" i="8"/>
  <c r="L3" i="8"/>
  <c r="M3" i="8"/>
  <c r="P5" i="8"/>
  <c r="Q5" i="8"/>
  <c r="R5" i="8"/>
  <c r="S5" i="8"/>
  <c r="T5" i="8"/>
  <c r="P6" i="8"/>
  <c r="Q6" i="8"/>
  <c r="R6" i="8"/>
  <c r="S6" i="8"/>
  <c r="P7" i="8"/>
  <c r="Q7" i="8"/>
  <c r="R7" i="8"/>
  <c r="S7" i="8"/>
  <c r="T7" i="8"/>
  <c r="Q8" i="8"/>
  <c r="R8" i="8"/>
  <c r="T8" i="8"/>
  <c r="P9" i="8"/>
  <c r="Q9" i="8"/>
  <c r="R9" i="8"/>
  <c r="S9" i="8"/>
  <c r="T9" i="8"/>
  <c r="P10" i="8"/>
  <c r="S10" i="8"/>
  <c r="T10" i="8"/>
  <c r="P11" i="8"/>
  <c r="Q11" i="8"/>
  <c r="R11" i="8"/>
  <c r="S11" i="8"/>
  <c r="Q12" i="8"/>
  <c r="R12" i="8"/>
  <c r="T12" i="8"/>
  <c r="P13" i="8"/>
  <c r="Q13" i="8"/>
  <c r="R13" i="8"/>
  <c r="S13" i="8"/>
  <c r="T13" i="8"/>
  <c r="P14" i="8"/>
  <c r="S14" i="8"/>
  <c r="T14" i="8"/>
  <c r="P15" i="8"/>
  <c r="Q15" i="8"/>
  <c r="R15" i="8"/>
  <c r="S15" i="8"/>
  <c r="P16" i="8"/>
  <c r="Q16" i="8"/>
  <c r="R16" i="8"/>
  <c r="S16" i="8"/>
  <c r="T16" i="8"/>
  <c r="P17" i="8"/>
  <c r="Q17" i="8"/>
  <c r="R17" i="8"/>
  <c r="T17" i="8"/>
  <c r="P18" i="8"/>
  <c r="Q18" i="8"/>
  <c r="R18" i="8"/>
  <c r="S18" i="8"/>
  <c r="T18" i="8"/>
  <c r="S19" i="8"/>
  <c r="T19" i="8"/>
  <c r="P20" i="8"/>
  <c r="Q20" i="8"/>
  <c r="R20" i="8"/>
  <c r="S20" i="8"/>
  <c r="T20" i="8"/>
  <c r="P21" i="8"/>
  <c r="Q21" i="8"/>
  <c r="R21" i="8"/>
  <c r="T21" i="8"/>
  <c r="P22" i="8"/>
  <c r="Q22" i="8"/>
  <c r="R22" i="8"/>
  <c r="S22" i="8"/>
  <c r="P23" i="8"/>
  <c r="Q23" i="8"/>
  <c r="S23" i="8"/>
  <c r="T23" i="8"/>
  <c r="P24" i="8"/>
  <c r="Q24" i="8"/>
  <c r="R24" i="8"/>
  <c r="S24" i="8"/>
  <c r="T24" i="8"/>
  <c r="P25" i="8"/>
  <c r="Q25" i="8"/>
  <c r="R25" i="8"/>
  <c r="S25" i="8"/>
  <c r="T25" i="8"/>
  <c r="R26" i="8"/>
  <c r="S26" i="8"/>
  <c r="T26" i="8"/>
  <c r="P27" i="8"/>
  <c r="Q27" i="8"/>
  <c r="R27" i="8"/>
  <c r="T27" i="8"/>
  <c r="P28" i="8"/>
  <c r="Q28" i="8"/>
  <c r="R28" i="8"/>
  <c r="S28" i="8"/>
  <c r="P29" i="8"/>
  <c r="Q29" i="8"/>
  <c r="R29" i="8"/>
  <c r="S29" i="8"/>
  <c r="T29" i="8"/>
  <c r="Q30" i="8"/>
  <c r="S30" i="8"/>
  <c r="T30" i="8"/>
  <c r="P31" i="8"/>
  <c r="R31" i="8"/>
  <c r="S31" i="8"/>
  <c r="P32" i="8"/>
  <c r="Q32" i="8"/>
  <c r="R32" i="8"/>
  <c r="P33" i="8"/>
  <c r="Q33" i="8"/>
  <c r="S33" i="8"/>
  <c r="T33" i="8"/>
  <c r="P34" i="8"/>
  <c r="R34" i="8"/>
  <c r="S34" i="8"/>
  <c r="T34" i="8"/>
  <c r="P35" i="8"/>
  <c r="Q35" i="8"/>
  <c r="R35" i="8"/>
  <c r="P38" i="8"/>
  <c r="Q38" i="8"/>
  <c r="R38" i="8"/>
  <c r="S38" i="8"/>
  <c r="T38" i="8"/>
  <c r="P40" i="8"/>
  <c r="R40" i="8"/>
  <c r="S40" i="8"/>
  <c r="T40" i="8"/>
  <c r="P41" i="8"/>
  <c r="Q41" i="8"/>
  <c r="S41" i="8"/>
  <c r="T41" i="8"/>
  <c r="P43" i="8"/>
  <c r="Q43" i="8"/>
  <c r="S43" i="8"/>
  <c r="T43" i="8"/>
  <c r="P44" i="8"/>
  <c r="Q44" i="8"/>
  <c r="R44" i="8"/>
  <c r="S44" i="8"/>
  <c r="T44" i="8"/>
  <c r="Q45" i="8"/>
  <c r="R45" i="8"/>
  <c r="S46" i="8"/>
  <c r="T46" i="8"/>
  <c r="P47" i="8"/>
  <c r="Q47" i="8"/>
  <c r="R47" i="8"/>
  <c r="S48" i="8"/>
  <c r="T48" i="8"/>
  <c r="P49" i="8"/>
  <c r="Q49" i="8"/>
  <c r="R49" i="8"/>
  <c r="S49" i="8"/>
  <c r="T49" i="8"/>
  <c r="P50" i="8"/>
  <c r="Q50" i="8"/>
  <c r="R50" i="8"/>
  <c r="S50" i="8"/>
  <c r="T50" i="8"/>
  <c r="P51" i="8"/>
  <c r="Q51" i="8"/>
  <c r="R51" i="8"/>
  <c r="S52" i="8"/>
  <c r="T52" i="8"/>
  <c r="P53" i="8"/>
  <c r="Q53" i="8"/>
  <c r="R53" i="8"/>
  <c r="S53" i="8"/>
  <c r="T53" i="8"/>
  <c r="P54" i="8"/>
  <c r="Q54" i="8"/>
  <c r="R54" i="8"/>
  <c r="S54" i="8"/>
  <c r="T54" i="8"/>
  <c r="P55" i="8"/>
  <c r="R55" i="8"/>
  <c r="S55" i="8"/>
  <c r="T55" i="8"/>
  <c r="P56" i="8"/>
  <c r="Q56" i="8"/>
  <c r="R56" i="8"/>
  <c r="S56" i="8"/>
  <c r="T56" i="8"/>
  <c r="P57" i="8"/>
  <c r="Q57" i="8"/>
  <c r="S57" i="8"/>
  <c r="T57" i="8"/>
  <c r="Q58" i="8"/>
  <c r="R58" i="8"/>
  <c r="Q61" i="8"/>
  <c r="R61" i="8"/>
  <c r="P62" i="8"/>
  <c r="S62" i="8"/>
  <c r="T62" i="8"/>
  <c r="P63" i="8"/>
  <c r="Q63" i="8"/>
  <c r="R63" i="8"/>
  <c r="S63" i="8"/>
  <c r="T63" i="8"/>
  <c r="Q64" i="8"/>
  <c r="R64" i="8"/>
  <c r="P65" i="8"/>
  <c r="Q65" i="8"/>
  <c r="R65" i="8"/>
  <c r="S65" i="8"/>
  <c r="T65" i="8"/>
  <c r="P66" i="8"/>
  <c r="S66" i="8"/>
  <c r="T66" i="8"/>
  <c r="Q67" i="8"/>
  <c r="R67" i="8"/>
  <c r="P68" i="8"/>
  <c r="Q68" i="8"/>
  <c r="R68" i="8"/>
  <c r="S68" i="8"/>
  <c r="S69" i="8" s="1"/>
  <c r="T68" i="8"/>
  <c r="P69" i="8"/>
  <c r="Q69" i="8"/>
  <c r="R69" i="8"/>
  <c r="T69" i="8"/>
  <c r="P70" i="8"/>
  <c r="Q70" i="8"/>
  <c r="S70" i="8"/>
  <c r="T70" i="8"/>
  <c r="P71" i="8"/>
  <c r="Q71" i="8"/>
  <c r="R71" i="8"/>
  <c r="S71" i="8"/>
  <c r="T71" i="8"/>
  <c r="R72" i="8"/>
  <c r="P73" i="8"/>
  <c r="T73" i="8"/>
  <c r="R74" i="8"/>
  <c r="P75" i="8"/>
  <c r="S75" i="8"/>
  <c r="T75" i="8"/>
  <c r="P76" i="8"/>
  <c r="Q76" i="8"/>
  <c r="R76" i="8"/>
  <c r="S76" i="8"/>
  <c r="T76" i="8"/>
  <c r="P77" i="8"/>
  <c r="Q77" i="8"/>
  <c r="R77" i="8"/>
  <c r="T77" i="8"/>
  <c r="S78" i="8"/>
  <c r="Q4" i="8"/>
  <c r="K5" i="8"/>
  <c r="M5" i="8"/>
  <c r="I6" i="8"/>
  <c r="J6" i="8"/>
  <c r="K6" i="8"/>
  <c r="L6" i="8"/>
  <c r="M6" i="8"/>
  <c r="I7" i="8"/>
  <c r="J7" i="8"/>
  <c r="J8" i="8"/>
  <c r="K8" i="8"/>
  <c r="L8" i="8"/>
  <c r="M8" i="8"/>
  <c r="J9" i="8"/>
  <c r="K9" i="8"/>
  <c r="L9" i="8"/>
  <c r="M9" i="8"/>
  <c r="I10" i="8"/>
  <c r="K10" i="8"/>
  <c r="I11" i="8"/>
  <c r="J11" i="8"/>
  <c r="K11" i="8"/>
  <c r="L11" i="8"/>
  <c r="L12" i="8" s="1"/>
  <c r="M11" i="8"/>
  <c r="I12" i="8"/>
  <c r="J12" i="8"/>
  <c r="J13" i="8" s="1"/>
  <c r="K12" i="8"/>
  <c r="M12" i="8"/>
  <c r="I13" i="8"/>
  <c r="I14" i="8"/>
  <c r="K14" i="8"/>
  <c r="L14" i="8"/>
  <c r="M14" i="8"/>
  <c r="I15" i="8"/>
  <c r="J15" i="8"/>
  <c r="K15" i="8"/>
  <c r="L15" i="8"/>
  <c r="M15" i="8"/>
  <c r="J16" i="8"/>
  <c r="K16" i="8"/>
  <c r="L16" i="8"/>
  <c r="M16" i="8"/>
  <c r="I17" i="8"/>
  <c r="J17" i="8"/>
  <c r="K17" i="8"/>
  <c r="L17" i="8"/>
  <c r="M17" i="8"/>
  <c r="I18" i="8"/>
  <c r="J18" i="8"/>
  <c r="K18" i="8"/>
  <c r="I19" i="8"/>
  <c r="L19" i="8"/>
  <c r="M19" i="8"/>
  <c r="I20" i="8"/>
  <c r="J20" i="8"/>
  <c r="K20" i="8"/>
  <c r="I21" i="8"/>
  <c r="K21" i="8"/>
  <c r="L21" i="8"/>
  <c r="M21" i="8"/>
  <c r="I22" i="8"/>
  <c r="J22" i="8"/>
  <c r="K22" i="8"/>
  <c r="L22" i="8"/>
  <c r="M22" i="8"/>
  <c r="I23" i="8"/>
  <c r="J23" i="8"/>
  <c r="K23" i="8"/>
  <c r="L23" i="8"/>
  <c r="M23" i="8"/>
  <c r="I24" i="8"/>
  <c r="J24" i="8"/>
  <c r="L24" i="8"/>
  <c r="M24" i="8"/>
  <c r="J25" i="8"/>
  <c r="K25" i="8"/>
  <c r="L25" i="8"/>
  <c r="M25" i="8"/>
  <c r="I26" i="8"/>
  <c r="J26" i="8"/>
  <c r="K26" i="8"/>
  <c r="I27" i="8"/>
  <c r="J27" i="8"/>
  <c r="K27" i="8"/>
  <c r="M27" i="8"/>
  <c r="I28" i="8"/>
  <c r="L28" i="8"/>
  <c r="M28" i="8"/>
  <c r="I29" i="8"/>
  <c r="J29" i="8"/>
  <c r="K29" i="8"/>
  <c r="I30" i="8"/>
  <c r="J30" i="8"/>
  <c r="K30" i="8"/>
  <c r="L30" i="8"/>
  <c r="I31" i="8"/>
  <c r="J31" i="8"/>
  <c r="K31" i="8"/>
  <c r="L31" i="8"/>
  <c r="L32" i="8"/>
  <c r="K33" i="8"/>
  <c r="M33" i="8"/>
  <c r="I34" i="8"/>
  <c r="J34" i="8"/>
  <c r="K34" i="8"/>
  <c r="L34" i="8"/>
  <c r="M34" i="8"/>
  <c r="I35" i="8"/>
  <c r="J35" i="8"/>
  <c r="J38" i="8"/>
  <c r="K38" i="8"/>
  <c r="M38" i="8"/>
  <c r="I40" i="8"/>
  <c r="J40" i="8"/>
  <c r="K40" i="8"/>
  <c r="L40" i="8"/>
  <c r="M40" i="8"/>
  <c r="I41" i="8"/>
  <c r="J42" i="8"/>
  <c r="K42" i="8"/>
  <c r="I43" i="8"/>
  <c r="J43" i="8"/>
  <c r="K43" i="8"/>
  <c r="L43" i="8"/>
  <c r="M43" i="8"/>
  <c r="I44" i="8"/>
  <c r="L44" i="8"/>
  <c r="M44" i="8"/>
  <c r="I45" i="8"/>
  <c r="J45" i="8"/>
  <c r="K45" i="8"/>
  <c r="J47" i="8"/>
  <c r="K47" i="8"/>
  <c r="I48" i="8"/>
  <c r="J48" i="8"/>
  <c r="K48" i="8"/>
  <c r="L48" i="8"/>
  <c r="M48" i="8"/>
  <c r="I49" i="8"/>
  <c r="L49" i="8"/>
  <c r="M49" i="8"/>
  <c r="I50" i="8"/>
  <c r="J50" i="8"/>
  <c r="I51" i="8"/>
  <c r="J51" i="8"/>
  <c r="K51" i="8"/>
  <c r="L51" i="8"/>
  <c r="M51" i="8"/>
  <c r="K52" i="8"/>
  <c r="L52" i="8"/>
  <c r="M52" i="8"/>
  <c r="I53" i="8"/>
  <c r="J53" i="8"/>
  <c r="K53" i="8"/>
  <c r="L53" i="8"/>
  <c r="J54" i="8"/>
  <c r="K54" i="8"/>
  <c r="L54" i="8"/>
  <c r="M54" i="8"/>
  <c r="I55" i="8"/>
  <c r="J55" i="8"/>
  <c r="K55" i="8"/>
  <c r="M55" i="8"/>
  <c r="I56" i="8"/>
  <c r="J56" i="8"/>
  <c r="L56" i="8"/>
  <c r="M56" i="8"/>
  <c r="I57" i="8"/>
  <c r="J57" i="8"/>
  <c r="K57" i="8"/>
  <c r="L57" i="8"/>
  <c r="M57" i="8"/>
  <c r="I58" i="8"/>
  <c r="K58" i="8"/>
  <c r="L58" i="8"/>
  <c r="M58" i="8"/>
  <c r="J61" i="8"/>
  <c r="K61" i="8"/>
  <c r="L61" i="8"/>
  <c r="M61" i="8"/>
  <c r="I62" i="8"/>
  <c r="L62" i="8"/>
  <c r="M62" i="8"/>
  <c r="I63" i="8"/>
  <c r="J63" i="8"/>
  <c r="K63" i="8"/>
  <c r="J64" i="8"/>
  <c r="K64" i="8"/>
  <c r="L64" i="8"/>
  <c r="M64" i="8"/>
  <c r="I65" i="8"/>
  <c r="J65" i="8"/>
  <c r="L65" i="8"/>
  <c r="M65" i="8"/>
  <c r="I66" i="8"/>
  <c r="K66" i="8"/>
  <c r="I67" i="8"/>
  <c r="J67" i="8"/>
  <c r="K67" i="8"/>
  <c r="L67" i="8"/>
  <c r="M67" i="8"/>
  <c r="I68" i="8"/>
  <c r="I69" i="8" s="1"/>
  <c r="J68" i="8"/>
  <c r="K68" i="8"/>
  <c r="M68" i="8"/>
  <c r="K69" i="8"/>
  <c r="L69" i="8"/>
  <c r="I70" i="8"/>
  <c r="J70" i="8"/>
  <c r="L70" i="8"/>
  <c r="M70" i="8"/>
  <c r="J71" i="8"/>
  <c r="K71" i="8"/>
  <c r="L71" i="8"/>
  <c r="M71" i="8"/>
  <c r="I72" i="8"/>
  <c r="J72" i="8"/>
  <c r="K72" i="8"/>
  <c r="L72" i="8"/>
  <c r="M72" i="8"/>
  <c r="I73" i="8"/>
  <c r="J74" i="8"/>
  <c r="K74" i="8"/>
  <c r="L74" i="8"/>
  <c r="M74" i="8"/>
  <c r="I75" i="8"/>
  <c r="J75" i="8"/>
  <c r="K75" i="8"/>
  <c r="I76" i="8"/>
  <c r="L76" i="8"/>
  <c r="M76" i="8"/>
  <c r="J77" i="8"/>
  <c r="K77" i="8"/>
  <c r="L77" i="8"/>
  <c r="M77" i="8"/>
  <c r="I78" i="8"/>
  <c r="J4" i="8"/>
  <c r="K4" i="8"/>
  <c r="L4" i="8"/>
  <c r="N4" i="8"/>
  <c r="AZ3" i="8"/>
  <c r="BA3" i="8" s="1"/>
  <c r="AZ4" i="8"/>
  <c r="BA4" i="8" s="1"/>
  <c r="BB4" i="8" s="1"/>
  <c r="AZ2" i="8"/>
  <c r="AH2" i="1"/>
  <c r="AK2" i="1"/>
  <c r="AL2" i="1"/>
  <c r="AJ3" i="1"/>
  <c r="AI3" i="1"/>
  <c r="BL4" i="1"/>
  <c r="BL3" i="1"/>
  <c r="AT3" i="8"/>
  <c r="AT4" i="8" s="1"/>
  <c r="AG4" i="8"/>
  <c r="AH4" i="8"/>
  <c r="AM4" i="8"/>
  <c r="BT520" i="1" l="1"/>
  <c r="BT489" i="1"/>
  <c r="BT462" i="1"/>
  <c r="AQ604" i="1"/>
  <c r="Y604" i="1" a="1"/>
  <c r="Y604" i="1" s="1"/>
  <c r="AH604" i="1" s="1"/>
  <c r="AQ459" i="1"/>
  <c r="Y459" i="1" a="1"/>
  <c r="Y459" i="1" s="1"/>
  <c r="AH459" i="1" s="1"/>
  <c r="AS459" i="1" s="1"/>
  <c r="AQ484" i="1"/>
  <c r="Y484" i="1" a="1"/>
  <c r="Y484" i="1" s="1"/>
  <c r="AH484" i="1" s="1"/>
  <c r="AS484" i="1" s="1"/>
  <c r="AQ562" i="1"/>
  <c r="Y562" i="1" a="1"/>
  <c r="Y562" i="1" s="1"/>
  <c r="AH562" i="1" s="1"/>
  <c r="AQ612" i="1"/>
  <c r="Y612" i="1" a="1"/>
  <c r="Y612" i="1" s="1"/>
  <c r="AH612" i="1" s="1"/>
  <c r="AQ632" i="1"/>
  <c r="Y632" i="1" a="1"/>
  <c r="Y632" i="1" s="1"/>
  <c r="AH632" i="1" s="1"/>
  <c r="AQ567" i="1"/>
  <c r="Y567" i="1" a="1"/>
  <c r="Y567" i="1" s="1"/>
  <c r="AH567" i="1" s="1"/>
  <c r="AQ500" i="1"/>
  <c r="Y500" i="1" a="1"/>
  <c r="Y500" i="1" s="1"/>
  <c r="AH500" i="1" s="1"/>
  <c r="AS500" i="1" s="1"/>
  <c r="AQ475" i="1"/>
  <c r="Y475" i="1" a="1"/>
  <c r="Y475" i="1" s="1"/>
  <c r="AH475" i="1" s="1"/>
  <c r="AS475" i="1" s="1"/>
  <c r="AQ498" i="1"/>
  <c r="Y498" i="1" a="1"/>
  <c r="Y498" i="1" s="1"/>
  <c r="AH498" i="1" s="1"/>
  <c r="AQ479" i="1"/>
  <c r="Y479" i="1" a="1"/>
  <c r="Y479" i="1" s="1"/>
  <c r="AH479" i="1" s="1"/>
  <c r="AS479" i="1" s="1"/>
  <c r="AQ545" i="1"/>
  <c r="Y545" i="1" a="1"/>
  <c r="Y545" i="1" s="1"/>
  <c r="AH545" i="1" s="1"/>
  <c r="AS545" i="1" s="1"/>
  <c r="AQ689" i="1"/>
  <c r="Y689" i="1" a="1"/>
  <c r="Y689" i="1" s="1"/>
  <c r="AH689" i="1" s="1"/>
  <c r="AS689" i="1" s="1"/>
  <c r="AQ642" i="1"/>
  <c r="Y642" i="1" a="1"/>
  <c r="Y642" i="1" s="1"/>
  <c r="AH642" i="1" s="1"/>
  <c r="AQ565" i="1"/>
  <c r="Y565" i="1" a="1"/>
  <c r="Y565" i="1" s="1"/>
  <c r="AH565" i="1" s="1"/>
  <c r="AS565" i="1" s="1"/>
  <c r="AQ583" i="1"/>
  <c r="Y583" i="1" a="1"/>
  <c r="Y583" i="1" s="1"/>
  <c r="AH583" i="1" s="1"/>
  <c r="AQ534" i="1"/>
  <c r="Y534" i="1" a="1"/>
  <c r="Y534" i="1" s="1"/>
  <c r="AH534" i="1" s="1"/>
  <c r="AS534" i="1" s="1"/>
  <c r="AQ649" i="1"/>
  <c r="Y649" i="1" a="1"/>
  <c r="Y649" i="1" s="1"/>
  <c r="AH649" i="1" s="1"/>
  <c r="AS649" i="1" s="1"/>
  <c r="AQ703" i="1"/>
  <c r="Y703" i="1" a="1"/>
  <c r="Y703" i="1" s="1"/>
  <c r="AH703" i="1" s="1"/>
  <c r="AQ559" i="1"/>
  <c r="Y559" i="1" a="1"/>
  <c r="Y559" i="1" s="1"/>
  <c r="AH559" i="1" s="1"/>
  <c r="AS559" i="1" s="1"/>
  <c r="AQ464" i="1"/>
  <c r="Y464" i="1" a="1"/>
  <c r="Y464" i="1" s="1"/>
  <c r="AH464" i="1" s="1"/>
  <c r="AS464" i="1" s="1"/>
  <c r="AQ473" i="1"/>
  <c r="Y473" i="1" a="1"/>
  <c r="Y473" i="1" s="1"/>
  <c r="AH473" i="1" s="1"/>
  <c r="AS473" i="1" s="1"/>
  <c r="AQ701" i="1"/>
  <c r="Y701" i="1" a="1"/>
  <c r="Y701" i="1" s="1"/>
  <c r="AH701" i="1" s="1"/>
  <c r="AS701" i="1" s="1"/>
  <c r="AQ694" i="1"/>
  <c r="Y694" i="1" a="1"/>
  <c r="Y694" i="1" s="1"/>
  <c r="AH694" i="1" s="1"/>
  <c r="AS694" i="1" s="1"/>
  <c r="AQ626" i="1"/>
  <c r="Y626" i="1" a="1"/>
  <c r="Y626" i="1" s="1"/>
  <c r="AH626" i="1" s="1"/>
  <c r="Y591" i="1" a="1"/>
  <c r="Y591" i="1" s="1"/>
  <c r="AH591" i="1" s="1"/>
  <c r="AQ591" i="1"/>
  <c r="BT591" i="1" s="1"/>
  <c r="AQ599" i="1"/>
  <c r="Y599" i="1" a="1"/>
  <c r="Y599" i="1" s="1"/>
  <c r="AH599" i="1" s="1"/>
  <c r="AS599" i="1" s="1"/>
  <c r="AQ527" i="1"/>
  <c r="Y527" i="1" a="1"/>
  <c r="Y527" i="1" s="1"/>
  <c r="AH527" i="1" s="1"/>
  <c r="AS527" i="1" s="1"/>
  <c r="AQ617" i="1"/>
  <c r="Y617" i="1" a="1"/>
  <c r="Y617" i="1" s="1"/>
  <c r="AH617" i="1" s="1"/>
  <c r="AS617" i="1" s="1"/>
  <c r="Y726" i="1" a="1"/>
  <c r="Y726" i="1" s="1"/>
  <c r="AH726" i="1" s="1"/>
  <c r="AQ726" i="1"/>
  <c r="BT726" i="1" s="1"/>
  <c r="AQ697" i="1"/>
  <c r="Y697" i="1" a="1"/>
  <c r="Y697" i="1" s="1"/>
  <c r="AH697" i="1" s="1"/>
  <c r="AQ609" i="1"/>
  <c r="Y609" i="1" a="1"/>
  <c r="Y609" i="1" s="1"/>
  <c r="AH609" i="1" s="1"/>
  <c r="AS609" i="1" s="1"/>
  <c r="Y713" i="1" a="1"/>
  <c r="Y713" i="1" s="1"/>
  <c r="AH713" i="1" s="1"/>
  <c r="AQ713" i="1"/>
  <c r="BT713" i="1" s="1"/>
  <c r="AQ494" i="1"/>
  <c r="Y494" i="1" a="1"/>
  <c r="Y494" i="1" s="1"/>
  <c r="AH494" i="1" s="1"/>
  <c r="AQ505" i="1"/>
  <c r="Y505" i="1" a="1"/>
  <c r="Y505" i="1" s="1"/>
  <c r="AH505" i="1" s="1"/>
  <c r="AQ561" i="1"/>
  <c r="Y561" i="1" a="1"/>
  <c r="Y561" i="1" s="1"/>
  <c r="AH561" i="1" s="1"/>
  <c r="AS561" i="1" s="1"/>
  <c r="AQ639" i="1"/>
  <c r="Y639" i="1" a="1"/>
  <c r="Y639" i="1" s="1"/>
  <c r="AH639" i="1" s="1"/>
  <c r="AS639" i="1" s="1"/>
  <c r="Y699" i="1" a="1"/>
  <c r="Y699" i="1" s="1"/>
  <c r="AH699" i="1" s="1"/>
  <c r="AS699" i="1" s="1"/>
  <c r="AQ699" i="1"/>
  <c r="BT699" i="1" s="1"/>
  <c r="AQ679" i="1"/>
  <c r="Y679" i="1" a="1"/>
  <c r="Y679" i="1" s="1"/>
  <c r="AH679" i="1" s="1"/>
  <c r="AQ569" i="1"/>
  <c r="Y569" i="1" a="1"/>
  <c r="Y569" i="1" s="1"/>
  <c r="AH569" i="1" s="1"/>
  <c r="AS569" i="1" s="1"/>
  <c r="AQ655" i="1"/>
  <c r="Y655" i="1" a="1"/>
  <c r="Y655" i="1" s="1"/>
  <c r="AH655" i="1" s="1"/>
  <c r="AQ519" i="1"/>
  <c r="Y519" i="1" a="1"/>
  <c r="Y519" i="1" s="1"/>
  <c r="AH519" i="1" s="1"/>
  <c r="AS519" i="1" s="1"/>
  <c r="AQ483" i="1"/>
  <c r="Y483" i="1" a="1"/>
  <c r="Y483" i="1" s="1"/>
  <c r="AH483" i="1" s="1"/>
  <c r="AQ504" i="1"/>
  <c r="Y504" i="1" a="1"/>
  <c r="Y504" i="1" s="1"/>
  <c r="AH504" i="1" s="1"/>
  <c r="AQ677" i="1"/>
  <c r="Y677" i="1" a="1"/>
  <c r="Y677" i="1" s="1"/>
  <c r="AH677" i="1" s="1"/>
  <c r="AS677" i="1" s="1"/>
  <c r="AQ680" i="1"/>
  <c r="Y680" i="1" a="1"/>
  <c r="Y680" i="1" s="1"/>
  <c r="AH680" i="1" s="1"/>
  <c r="AS680" i="1" s="1"/>
  <c r="AQ573" i="1"/>
  <c r="Y573" i="1" a="1"/>
  <c r="Y573" i="1" s="1"/>
  <c r="AH573" i="1" s="1"/>
  <c r="AQ687" i="1"/>
  <c r="Y687" i="1" a="1"/>
  <c r="Y687" i="1" s="1"/>
  <c r="AH687" i="1" s="1"/>
  <c r="Y596" i="1" a="1"/>
  <c r="Y596" i="1" s="1"/>
  <c r="AH596" i="1" s="1"/>
  <c r="AS596" i="1" s="1"/>
  <c r="AQ596" i="1"/>
  <c r="BT596" i="1" s="1"/>
  <c r="AQ606" i="1"/>
  <c r="Y606" i="1" a="1"/>
  <c r="Y606" i="1" s="1"/>
  <c r="AH606" i="1" s="1"/>
  <c r="AQ531" i="1"/>
  <c r="Y531" i="1" a="1"/>
  <c r="Y531" i="1" s="1"/>
  <c r="AH531" i="1" s="1"/>
  <c r="AS531" i="1" s="1"/>
  <c r="AQ460" i="1"/>
  <c r="Y460" i="1" a="1"/>
  <c r="Y460" i="1" s="1"/>
  <c r="AH460" i="1" s="1"/>
  <c r="AS460" i="1" s="1"/>
  <c r="AQ598" i="1"/>
  <c r="Y598" i="1" a="1"/>
  <c r="Y598" i="1" s="1"/>
  <c r="AH598" i="1" s="1"/>
  <c r="AS598" i="1" s="1"/>
  <c r="AQ538" i="1"/>
  <c r="Y538" i="1" a="1"/>
  <c r="Y538" i="1" s="1"/>
  <c r="AH538" i="1" s="1"/>
  <c r="AS538" i="1" s="1"/>
  <c r="AQ614" i="1"/>
  <c r="Y614" i="1" a="1"/>
  <c r="Y614" i="1" s="1"/>
  <c r="AH614" i="1" s="1"/>
  <c r="AS614" i="1" s="1"/>
  <c r="AQ729" i="1"/>
  <c r="Y729" i="1" a="1"/>
  <c r="Y729" i="1" s="1"/>
  <c r="AH729" i="1" s="1"/>
  <c r="AQ669" i="1"/>
  <c r="Y669" i="1" a="1"/>
  <c r="Y669" i="1" s="1"/>
  <c r="AH669" i="1" s="1"/>
  <c r="AS669" i="1" s="1"/>
  <c r="AQ711" i="1"/>
  <c r="Y711" i="1" a="1"/>
  <c r="Y711" i="1" s="1"/>
  <c r="AH711" i="1" s="1"/>
  <c r="Y631" i="1" a="1"/>
  <c r="Y631" i="1" s="1"/>
  <c r="AH631" i="1" s="1"/>
  <c r="AQ631" i="1"/>
  <c r="BT631" i="1" s="1"/>
  <c r="AQ453" i="1"/>
  <c r="Y453" i="1" a="1"/>
  <c r="Y453" i="1" s="1"/>
  <c r="AH453" i="1" s="1"/>
  <c r="AS453" i="1" s="1"/>
  <c r="AQ706" i="1"/>
  <c r="Y706" i="1" a="1"/>
  <c r="Y706" i="1" s="1"/>
  <c r="AH706" i="1" s="1"/>
  <c r="AS706" i="1" s="1"/>
  <c r="AQ672" i="1"/>
  <c r="Y672" i="1" a="1"/>
  <c r="Y672" i="1" s="1"/>
  <c r="AH672" i="1" s="1"/>
  <c r="AS672" i="1" s="1"/>
  <c r="AQ670" i="1"/>
  <c r="Y670" i="1" a="1"/>
  <c r="Y670" i="1" s="1"/>
  <c r="AH670" i="1" s="1"/>
  <c r="AS670" i="1" s="1"/>
  <c r="AQ721" i="1"/>
  <c r="Y721" i="1" a="1"/>
  <c r="Y721" i="1" s="1"/>
  <c r="AH721" i="1" s="1"/>
  <c r="Y731" i="1" a="1"/>
  <c r="Y731" i="1" s="1"/>
  <c r="AH731" i="1" s="1"/>
  <c r="AS731" i="1" s="1"/>
  <c r="AQ731" i="1"/>
  <c r="BT731" i="1" s="1"/>
  <c r="AQ537" i="1"/>
  <c r="Y537" i="1" a="1"/>
  <c r="Y537" i="1" s="1"/>
  <c r="AH537" i="1" s="1"/>
  <c r="AQ660" i="1"/>
  <c r="Y660" i="1" a="1"/>
  <c r="Y660" i="1" s="1"/>
  <c r="AH660" i="1" s="1"/>
  <c r="AS660" i="1" s="1"/>
  <c r="AQ582" i="1"/>
  <c r="Y582" i="1" a="1"/>
  <c r="Y582" i="1" s="1"/>
  <c r="AH582" i="1" s="1"/>
  <c r="AQ544" i="1"/>
  <c r="Y544" i="1" a="1"/>
  <c r="Y544" i="1" s="1"/>
  <c r="AH544" i="1" s="1"/>
  <c r="AS544" i="1" s="1"/>
  <c r="AQ481" i="1"/>
  <c r="Y481" i="1" a="1"/>
  <c r="Y481" i="1" s="1"/>
  <c r="AH481" i="1" s="1"/>
  <c r="AS481" i="1" s="1"/>
  <c r="AQ691" i="1"/>
  <c r="Y691" i="1" a="1"/>
  <c r="Y691" i="1" s="1"/>
  <c r="AH691" i="1" s="1"/>
  <c r="AQ638" i="1"/>
  <c r="Y638" i="1" a="1"/>
  <c r="Y638" i="1" s="1"/>
  <c r="AH638" i="1" s="1"/>
  <c r="AS638" i="1" s="1"/>
  <c r="AQ698" i="1"/>
  <c r="Y698" i="1" a="1"/>
  <c r="Y698" i="1" s="1"/>
  <c r="AH698" i="1" s="1"/>
  <c r="AS698" i="1" s="1"/>
  <c r="AQ496" i="1"/>
  <c r="Y496" i="1" a="1"/>
  <c r="Y496" i="1" s="1"/>
  <c r="AH496" i="1" s="1"/>
  <c r="AS496" i="1" s="1"/>
  <c r="AQ664" i="1"/>
  <c r="Y664" i="1" a="1"/>
  <c r="Y664" i="1" s="1"/>
  <c r="AH664" i="1" s="1"/>
  <c r="AQ665" i="1"/>
  <c r="Y665" i="1" a="1"/>
  <c r="Y665" i="1" s="1"/>
  <c r="AH665" i="1" s="1"/>
  <c r="AS665" i="1" s="1"/>
  <c r="AQ600" i="1"/>
  <c r="Y600" i="1" a="1"/>
  <c r="Y600" i="1" s="1"/>
  <c r="AH600" i="1" s="1"/>
  <c r="AS600" i="1" s="1"/>
  <c r="AQ678" i="1"/>
  <c r="Y678" i="1" a="1"/>
  <c r="Y678" i="1" s="1"/>
  <c r="AH678" i="1" s="1"/>
  <c r="AS678" i="1" s="1"/>
  <c r="AQ623" i="1"/>
  <c r="Y623" i="1" a="1"/>
  <c r="Y623" i="1" s="1"/>
  <c r="AH623" i="1" s="1"/>
  <c r="AQ676" i="1"/>
  <c r="Y676" i="1" a="1"/>
  <c r="Y676" i="1" s="1"/>
  <c r="AH676" i="1" s="1"/>
  <c r="AQ607" i="1"/>
  <c r="Y607" i="1" a="1"/>
  <c r="Y607" i="1" s="1"/>
  <c r="AH607" i="1" s="1"/>
  <c r="AS607" i="1" s="1"/>
  <c r="AQ486" i="1"/>
  <c r="Y486" i="1" a="1"/>
  <c r="Y486" i="1" s="1"/>
  <c r="AH486" i="1" s="1"/>
  <c r="AS486" i="1" s="1"/>
  <c r="AQ510" i="1"/>
  <c r="Y510" i="1" a="1"/>
  <c r="Y510" i="1" s="1"/>
  <c r="AH510" i="1" s="1"/>
  <c r="AS510" i="1" s="1"/>
  <c r="AQ530" i="1"/>
  <c r="Y530" i="1" a="1"/>
  <c r="Y530" i="1" s="1"/>
  <c r="AH530" i="1" s="1"/>
  <c r="AS530" i="1" s="1"/>
  <c r="AQ491" i="1"/>
  <c r="Y491" i="1" a="1"/>
  <c r="Y491" i="1" s="1"/>
  <c r="AH491" i="1" s="1"/>
  <c r="AS491" i="1" s="1"/>
  <c r="AQ643" i="1"/>
  <c r="Y643" i="1" a="1"/>
  <c r="Y643" i="1" s="1"/>
  <c r="AH643" i="1" s="1"/>
  <c r="AS643" i="1" s="1"/>
  <c r="AQ628" i="1"/>
  <c r="Y628" i="1" a="1"/>
  <c r="Y628" i="1" s="1"/>
  <c r="AH628" i="1" s="1"/>
  <c r="AS628" i="1" s="1"/>
  <c r="Y646" i="1" a="1"/>
  <c r="Y646" i="1" s="1"/>
  <c r="AH646" i="1" s="1"/>
  <c r="AS646" i="1" s="1"/>
  <c r="AQ646" i="1"/>
  <c r="BT646" i="1" s="1"/>
  <c r="AQ688" i="1"/>
  <c r="Y688" i="1" a="1"/>
  <c r="Y688" i="1" s="1"/>
  <c r="AH688" i="1" s="1"/>
  <c r="AQ686" i="1"/>
  <c r="Y686" i="1" a="1"/>
  <c r="Y686" i="1" s="1"/>
  <c r="AH686" i="1" s="1"/>
  <c r="AQ579" i="1"/>
  <c r="Y579" i="1" a="1"/>
  <c r="Y579" i="1" s="1"/>
  <c r="AH579" i="1" s="1"/>
  <c r="AS579" i="1" s="1"/>
  <c r="AQ518" i="1"/>
  <c r="Y518" i="1" a="1"/>
  <c r="Y518" i="1" s="1"/>
  <c r="AH518" i="1" s="1"/>
  <c r="AS518" i="1" s="1"/>
  <c r="AQ503" i="1"/>
  <c r="Y503" i="1" a="1"/>
  <c r="Y503" i="1" s="1"/>
  <c r="AH503" i="1" s="1"/>
  <c r="AS503" i="1" s="1"/>
  <c r="AQ480" i="1"/>
  <c r="Y480" i="1" a="1"/>
  <c r="Y480" i="1" s="1"/>
  <c r="AH480" i="1" s="1"/>
  <c r="AQ605" i="1"/>
  <c r="Y605" i="1" a="1"/>
  <c r="Y605" i="1" s="1"/>
  <c r="AH605" i="1" s="1"/>
  <c r="AS605" i="1" s="1"/>
  <c r="AQ525" i="1"/>
  <c r="Y525" i="1" a="1"/>
  <c r="Y525" i="1" s="1"/>
  <c r="AH525" i="1" s="1"/>
  <c r="AQ653" i="1"/>
  <c r="Y653" i="1" a="1"/>
  <c r="Y653" i="1" s="1"/>
  <c r="AH653" i="1" s="1"/>
  <c r="AQ709" i="1"/>
  <c r="Y709" i="1" a="1"/>
  <c r="Y709" i="1" s="1"/>
  <c r="AH709" i="1" s="1"/>
  <c r="AS709" i="1" s="1"/>
  <c r="AQ621" i="1"/>
  <c r="Y621" i="1" a="1"/>
  <c r="Y621" i="1" s="1"/>
  <c r="AH621" i="1" s="1"/>
  <c r="AS621" i="1" s="1"/>
  <c r="Y724" i="1" a="1"/>
  <c r="Y724" i="1" s="1"/>
  <c r="AH724" i="1" s="1"/>
  <c r="AS724" i="1" s="1"/>
  <c r="AQ724" i="1"/>
  <c r="BT724" i="1" s="1"/>
  <c r="BI399" i="1"/>
  <c r="AF400" i="1"/>
  <c r="AF387" i="1"/>
  <c r="BI387" i="1" s="1"/>
  <c r="BI386" i="1"/>
  <c r="AF409" i="1"/>
  <c r="BI408" i="1"/>
  <c r="BI448" i="1"/>
  <c r="AF449" i="1"/>
  <c r="BI449" i="1" s="1"/>
  <c r="BP415" i="1"/>
  <c r="AD340" i="1"/>
  <c r="BJ339" i="1"/>
  <c r="BK339" i="1" s="1"/>
  <c r="BN339" i="1"/>
  <c r="BO339" i="1" s="1"/>
  <c r="BP339" i="1" s="1"/>
  <c r="AF319" i="1"/>
  <c r="BI318" i="1"/>
  <c r="AD416" i="1"/>
  <c r="BI415" i="1"/>
  <c r="BK415" i="1"/>
  <c r="AF326" i="1"/>
  <c r="BI326" i="1" s="1"/>
  <c r="BI325" i="1"/>
  <c r="AS658" i="1"/>
  <c r="BT547" i="1"/>
  <c r="BS66" i="1"/>
  <c r="AS602" i="1"/>
  <c r="BS293" i="1"/>
  <c r="AS580" i="1"/>
  <c r="AS619" i="1"/>
  <c r="BT580" i="1"/>
  <c r="BT619" i="1"/>
  <c r="AS575" i="1"/>
  <c r="BS444" i="1"/>
  <c r="BT575" i="1"/>
  <c r="BT560" i="1"/>
  <c r="BS396" i="1"/>
  <c r="BS145" i="1"/>
  <c r="BT602" i="1"/>
  <c r="BS382" i="1"/>
  <c r="BS86" i="1"/>
  <c r="AS564" i="1"/>
  <c r="AS592" i="1"/>
  <c r="BT553" i="1"/>
  <c r="BS184" i="1"/>
  <c r="BT564" i="1"/>
  <c r="BS76" i="1"/>
  <c r="BS307" i="1"/>
  <c r="BT541" i="1"/>
  <c r="AS507" i="1"/>
  <c r="BT507" i="1"/>
  <c r="AS555" i="1"/>
  <c r="AS522" i="1"/>
  <c r="Y429" i="1" a="1"/>
  <c r="Y429" i="1" s="1"/>
  <c r="AH429" i="1" s="1"/>
  <c r="AS429" i="1" s="1"/>
  <c r="Y419" i="1" a="1"/>
  <c r="Y419" i="1" s="1"/>
  <c r="AH419" i="1" s="1"/>
  <c r="AS419" i="1" s="1"/>
  <c r="Y344" i="1" a="1"/>
  <c r="Y344" i="1" s="1"/>
  <c r="AH344" i="1" s="1"/>
  <c r="AS344" i="1" s="1"/>
  <c r="Y446" i="1" a="1"/>
  <c r="Y446" i="1" s="1"/>
  <c r="AH446" i="1" s="1"/>
  <c r="AS446" i="1" s="1"/>
  <c r="Y447" i="1" a="1"/>
  <c r="Y447" i="1" s="1"/>
  <c r="AH447" i="1" s="1"/>
  <c r="AS447" i="1" s="1"/>
  <c r="Y435" i="1" a="1"/>
  <c r="Y435" i="1" s="1"/>
  <c r="AH435" i="1" s="1"/>
  <c r="AS435" i="1" s="1"/>
  <c r="Y358" i="1" a="1"/>
  <c r="Y358" i="1" s="1"/>
  <c r="AH358" i="1" s="1"/>
  <c r="AS358" i="1" s="1"/>
  <c r="Y317" i="1" a="1"/>
  <c r="Y317" i="1" s="1"/>
  <c r="AH317" i="1" s="1"/>
  <c r="AS317" i="1" s="1"/>
  <c r="Y379" i="1" a="1"/>
  <c r="Y379" i="1" s="1"/>
  <c r="AH379" i="1" s="1"/>
  <c r="AS379" i="1" s="1"/>
  <c r="Y362" i="1" a="1"/>
  <c r="Y362" i="1" s="1"/>
  <c r="AH362" i="1" s="1"/>
  <c r="AS362" i="1" s="1"/>
  <c r="Y384" i="1" a="1"/>
  <c r="Y384" i="1" s="1"/>
  <c r="AH384" i="1" s="1"/>
  <c r="AS384" i="1" s="1"/>
  <c r="Y427" i="1" a="1"/>
  <c r="Y427" i="1" s="1"/>
  <c r="AH427" i="1" s="1"/>
  <c r="AS427" i="1" s="1"/>
  <c r="BT438" i="1"/>
  <c r="Y438" i="1" a="1"/>
  <c r="Y438" i="1" s="1"/>
  <c r="AH438" i="1" s="1"/>
  <c r="AS438" i="1" s="1"/>
  <c r="Y432" i="1" a="1"/>
  <c r="Y432" i="1" s="1"/>
  <c r="AH432" i="1" s="1"/>
  <c r="Y407" i="1" a="1"/>
  <c r="Y407" i="1" s="1"/>
  <c r="AH407" i="1" s="1"/>
  <c r="AS407" i="1" s="1"/>
  <c r="BT369" i="1"/>
  <c r="BS369" i="1" s="1"/>
  <c r="Y369" i="1" a="1"/>
  <c r="Y369" i="1" s="1"/>
  <c r="AH369" i="1" s="1"/>
  <c r="AS369" i="1" s="1"/>
  <c r="Y400" i="1" a="1"/>
  <c r="Y400" i="1" s="1"/>
  <c r="AH400" i="1" s="1"/>
  <c r="AS400" i="1" s="1"/>
  <c r="Y331" i="1" a="1"/>
  <c r="Y331" i="1" s="1"/>
  <c r="AH331" i="1" s="1"/>
  <c r="BT374" i="1"/>
  <c r="BS374" i="1" s="1"/>
  <c r="Y374" i="1" a="1"/>
  <c r="Y374" i="1" s="1"/>
  <c r="AH374" i="1" s="1"/>
  <c r="AS374" i="1" s="1"/>
  <c r="Y284" i="1" a="1"/>
  <c r="Y284" i="1" s="1"/>
  <c r="AH284" i="1" s="1"/>
  <c r="AS284" i="1" s="1"/>
  <c r="Y297" i="1" a="1"/>
  <c r="Y297" i="1" s="1"/>
  <c r="AH297" i="1" s="1"/>
  <c r="AS297" i="1" s="1"/>
  <c r="Y299" i="1" a="1"/>
  <c r="Y299" i="1" s="1"/>
  <c r="AH299" i="1" s="1"/>
  <c r="AS299" i="1" s="1"/>
  <c r="Y352" i="1" a="1"/>
  <c r="Y352" i="1" s="1"/>
  <c r="AH352" i="1" s="1"/>
  <c r="AS352" i="1" s="1"/>
  <c r="Y275" i="1" a="1"/>
  <c r="Y275" i="1" s="1"/>
  <c r="AH275" i="1" s="1"/>
  <c r="AS275" i="1" s="1"/>
  <c r="Y207" i="1" a="1"/>
  <c r="Y207" i="1" s="1"/>
  <c r="AH207" i="1" s="1"/>
  <c r="Y171" i="1" a="1"/>
  <c r="Y171" i="1" s="1"/>
  <c r="AH171" i="1" s="1"/>
  <c r="Y278" i="1" a="1"/>
  <c r="Y278" i="1" s="1"/>
  <c r="AH278" i="1" s="1"/>
  <c r="AS278" i="1" s="1"/>
  <c r="Y93" i="1" a="1"/>
  <c r="Y93" i="1" s="1"/>
  <c r="AH93" i="1" s="1"/>
  <c r="AS93" i="1" s="1"/>
  <c r="Y131" i="1" a="1"/>
  <c r="Y131" i="1" s="1"/>
  <c r="AH131" i="1" s="1"/>
  <c r="AS131" i="1" s="1"/>
  <c r="Y266" i="1" a="1"/>
  <c r="Y266" i="1" s="1"/>
  <c r="AH266" i="1" s="1"/>
  <c r="AS266" i="1" s="1"/>
  <c r="Y233" i="1" a="1"/>
  <c r="Y233" i="1" s="1"/>
  <c r="AH233" i="1" s="1"/>
  <c r="Y63" i="1" a="1"/>
  <c r="Y63" i="1" s="1"/>
  <c r="AH63" i="1" s="1"/>
  <c r="AS63" i="1" s="1"/>
  <c r="Y105" i="1" a="1"/>
  <c r="Y105" i="1" s="1"/>
  <c r="AH105" i="1" s="1"/>
  <c r="AS105" i="1" s="1"/>
  <c r="Y100" i="1" a="1"/>
  <c r="Y100" i="1" s="1"/>
  <c r="AH100" i="1" s="1"/>
  <c r="AS100" i="1" s="1"/>
  <c r="Y51" i="1" a="1"/>
  <c r="Y51" i="1" s="1"/>
  <c r="AH51" i="1" s="1"/>
  <c r="AS51" i="1" s="1"/>
  <c r="Y47" i="1" a="1"/>
  <c r="Y47" i="1" s="1"/>
  <c r="AH47" i="1" s="1"/>
  <c r="AS47" i="1" s="1"/>
  <c r="Y137" i="1" a="1"/>
  <c r="Y137" i="1" s="1"/>
  <c r="AH137" i="1" s="1"/>
  <c r="BR137" i="1" s="1"/>
  <c r="BQ137" i="1" s="1"/>
  <c r="BT68" i="1"/>
  <c r="Y68" i="1" a="1"/>
  <c r="Y68" i="1" s="1"/>
  <c r="AH68" i="1" s="1"/>
  <c r="AS68" i="1" s="1"/>
  <c r="Y111" i="1" a="1"/>
  <c r="Y111" i="1" s="1"/>
  <c r="AH111" i="1" s="1"/>
  <c r="AS111" i="1" s="1"/>
  <c r="Y30" i="1" a="1"/>
  <c r="Y30" i="1" s="1"/>
  <c r="AH30" i="1" s="1"/>
  <c r="AS30" i="1" s="1"/>
  <c r="Y428" i="1" a="1"/>
  <c r="Y428" i="1" s="1"/>
  <c r="AH428" i="1" s="1"/>
  <c r="AS428" i="1" s="1"/>
  <c r="BR307" i="1"/>
  <c r="BQ307" i="1" s="1"/>
  <c r="BR434" i="1"/>
  <c r="BQ434" i="1" s="1"/>
  <c r="BR350" i="1"/>
  <c r="BQ350" i="1" s="1"/>
  <c r="BR366" i="1"/>
  <c r="BQ366" i="1" s="1"/>
  <c r="BR205" i="1"/>
  <c r="BQ205" i="1" s="1"/>
  <c r="BT77" i="1"/>
  <c r="BS77" i="1" s="1"/>
  <c r="BR389" i="1"/>
  <c r="BQ389" i="1" s="1"/>
  <c r="BR268" i="1"/>
  <c r="BQ268" i="1" s="1"/>
  <c r="BR224" i="1"/>
  <c r="BQ224" i="1" s="1"/>
  <c r="BT167" i="1"/>
  <c r="BS167" i="1" s="1"/>
  <c r="BT174" i="1"/>
  <c r="BS174" i="1" s="1"/>
  <c r="BR257" i="1"/>
  <c r="BQ257" i="1" s="1"/>
  <c r="AS7" i="1"/>
  <c r="BR7" i="1"/>
  <c r="BQ7" i="1" s="1"/>
  <c r="BR438" i="1"/>
  <c r="BQ438" i="1" s="1"/>
  <c r="BR335" i="1"/>
  <c r="BQ335" i="1" s="1"/>
  <c r="BR361" i="1"/>
  <c r="BQ361" i="1"/>
  <c r="BR81" i="1"/>
  <c r="BQ81" i="1" s="1"/>
  <c r="BR226" i="1"/>
  <c r="BQ226" i="1" s="1"/>
  <c r="BR170" i="1"/>
  <c r="BQ170" i="1"/>
  <c r="BT81" i="1"/>
  <c r="BS81" i="1" s="1"/>
  <c r="BT190" i="1"/>
  <c r="BS190" i="1" s="1"/>
  <c r="BT139" i="1"/>
  <c r="BS139" i="1" s="1"/>
  <c r="BR295" i="1"/>
  <c r="BQ295" i="1" s="1"/>
  <c r="BR259" i="1"/>
  <c r="BQ259" i="1" s="1"/>
  <c r="BR173" i="1"/>
  <c r="BQ173" i="1" s="1"/>
  <c r="BT238" i="1"/>
  <c r="BS238" i="1" s="1"/>
  <c r="BT246" i="1"/>
  <c r="BS246" i="1" s="1"/>
  <c r="BT425" i="1"/>
  <c r="BS425" i="1" s="1"/>
  <c r="BR189" i="1"/>
  <c r="BQ189" i="1" s="1"/>
  <c r="BR62" i="1"/>
  <c r="BQ62" i="1" s="1"/>
  <c r="BR216" i="1"/>
  <c r="BQ216" i="1" s="1"/>
  <c r="BR146" i="1"/>
  <c r="BQ146" i="1" s="1"/>
  <c r="BQ414" i="1"/>
  <c r="BR414" i="1"/>
  <c r="BR175" i="1"/>
  <c r="BQ175" i="1" s="1"/>
  <c r="BT424" i="1"/>
  <c r="BS424" i="1" s="1"/>
  <c r="BR283" i="1"/>
  <c r="BQ283" i="1" s="1"/>
  <c r="BT121" i="1"/>
  <c r="BS121" i="1" s="1"/>
  <c r="BR383" i="1"/>
  <c r="BQ383" i="1" s="1"/>
  <c r="BR315" i="1"/>
  <c r="BQ315" i="1" s="1"/>
  <c r="BR368" i="1"/>
  <c r="BQ368" i="1" s="1"/>
  <c r="BR353" i="1"/>
  <c r="BQ353" i="1" s="1"/>
  <c r="BR157" i="1"/>
  <c r="BQ157" i="1" s="1"/>
  <c r="BT146" i="1"/>
  <c r="BS146" i="1" s="1"/>
  <c r="BR183" i="1"/>
  <c r="BQ183" i="1" s="1"/>
  <c r="BR245" i="1"/>
  <c r="BQ245" i="1" s="1"/>
  <c r="BR116" i="1"/>
  <c r="BQ116" i="1" s="1"/>
  <c r="BR303" i="1"/>
  <c r="BQ303" i="1" s="1"/>
  <c r="BR237" i="1"/>
  <c r="BQ237" i="1"/>
  <c r="BR432" i="1"/>
  <c r="BQ432" i="1" s="1"/>
  <c r="BR277" i="1"/>
  <c r="BQ277" i="1" s="1"/>
  <c r="BR212" i="1"/>
  <c r="BQ212" i="1" s="1"/>
  <c r="BA8" i="1"/>
  <c r="BT324" i="1"/>
  <c r="BS324" i="1" s="1"/>
  <c r="BT56" i="1"/>
  <c r="BS56" i="1" s="1"/>
  <c r="BR377" i="1"/>
  <c r="BQ377" i="1" s="1"/>
  <c r="BR260" i="1"/>
  <c r="BQ260" i="1" s="1"/>
  <c r="BR329" i="1"/>
  <c r="BQ329" i="1" s="1"/>
  <c r="BR264" i="1"/>
  <c r="BQ264" i="1" s="1"/>
  <c r="BR219" i="1"/>
  <c r="BQ219" i="1" s="1"/>
  <c r="BR151" i="1"/>
  <c r="BQ151" i="1" s="1"/>
  <c r="BT415" i="1"/>
  <c r="BS415" i="1" s="1"/>
  <c r="BT152" i="1"/>
  <c r="BS152" i="1" s="1"/>
  <c r="BR394" i="1"/>
  <c r="BQ394" i="1" s="1"/>
  <c r="BT157" i="1"/>
  <c r="BS157" i="1" s="1"/>
  <c r="BR431" i="1"/>
  <c r="BQ431" i="1" s="1"/>
  <c r="BR354" i="1"/>
  <c r="BQ354" i="1" s="1"/>
  <c r="BR373" i="1"/>
  <c r="BQ373" i="1" s="1"/>
  <c r="BT196" i="1"/>
  <c r="BS196" i="1" s="1"/>
  <c r="BT394" i="1"/>
  <c r="BS394" i="1" s="1"/>
  <c r="BR26" i="1"/>
  <c r="BQ26" i="1" s="1"/>
  <c r="AS26" i="1"/>
  <c r="BR286" i="1"/>
  <c r="BQ286" i="1" s="1"/>
  <c r="BT354" i="1"/>
  <c r="BS354" i="1" s="1"/>
  <c r="BR40" i="1"/>
  <c r="BQ40" i="1" s="1"/>
  <c r="BR437" i="1"/>
  <c r="BQ437" i="1"/>
  <c r="BR136" i="1"/>
  <c r="BQ136" i="1" s="1"/>
  <c r="BR374" i="1"/>
  <c r="BQ374" i="1" s="1"/>
  <c r="BR351" i="1"/>
  <c r="BQ351" i="1" s="1"/>
  <c r="BR243" i="1"/>
  <c r="BQ243" i="1" s="1"/>
  <c r="BR207" i="1"/>
  <c r="BQ207" i="1" s="1"/>
  <c r="BR194" i="1"/>
  <c r="BQ194" i="1" s="1"/>
  <c r="BR165" i="1"/>
  <c r="BQ165" i="1" s="1"/>
  <c r="BT176" i="1"/>
  <c r="BS176" i="1" s="1"/>
  <c r="BT209" i="1"/>
  <c r="BS209" i="1" s="1"/>
  <c r="BR206" i="1"/>
  <c r="BQ206" i="1" s="1"/>
  <c r="BR287" i="1"/>
  <c r="BQ287" i="1" s="1"/>
  <c r="BR276" i="1"/>
  <c r="BQ276" i="1" s="1"/>
  <c r="BR213" i="1"/>
  <c r="BQ213" i="1" s="1"/>
  <c r="BR328" i="1"/>
  <c r="BQ328" i="1" s="1"/>
  <c r="BR142" i="1"/>
  <c r="BQ142" i="1" s="1"/>
  <c r="BR144" i="1"/>
  <c r="BQ144" i="1" s="1"/>
  <c r="BT340" i="1"/>
  <c r="BS340" i="1" s="1"/>
  <c r="BT217" i="1"/>
  <c r="BS217" i="1" s="1"/>
  <c r="BT241" i="1"/>
  <c r="BS241" i="1" s="1"/>
  <c r="BT141" i="1"/>
  <c r="BS141" i="1" s="1"/>
  <c r="BT287" i="1"/>
  <c r="BS287" i="1" s="1"/>
  <c r="BR291" i="1"/>
  <c r="BQ291" i="1" s="1"/>
  <c r="BR290" i="1"/>
  <c r="BQ290" i="1" s="1"/>
  <c r="BR355" i="1"/>
  <c r="BQ355" i="1" s="1"/>
  <c r="BR426" i="1"/>
  <c r="BQ426" i="1" s="1"/>
  <c r="BR233" i="1"/>
  <c r="BQ233" i="1" s="1"/>
  <c r="BR186" i="1"/>
  <c r="BQ186" i="1" s="1"/>
  <c r="BR87" i="1"/>
  <c r="BQ87" i="1" s="1"/>
  <c r="BR223" i="1"/>
  <c r="BQ223" i="1" s="1"/>
  <c r="BR367" i="1"/>
  <c r="BQ367" i="1" s="1"/>
  <c r="BR130" i="1"/>
  <c r="BQ130" i="1" s="1"/>
  <c r="BQ365" i="1"/>
  <c r="BR365" i="1"/>
  <c r="BT290" i="1"/>
  <c r="BS290" i="1" s="1"/>
  <c r="BR82" i="1"/>
  <c r="BQ82" i="1" s="1"/>
  <c r="BR312" i="1"/>
  <c r="BQ312" i="1" s="1"/>
  <c r="BR228" i="1"/>
  <c r="BQ228" i="1" s="1"/>
  <c r="BR159" i="1"/>
  <c r="BQ159" i="1" s="1"/>
  <c r="BT392" i="1"/>
  <c r="BS392" i="1" s="1"/>
  <c r="BT88" i="1"/>
  <c r="BS88" i="1" s="1"/>
  <c r="BR195" i="1"/>
  <c r="BQ195" i="1" s="1"/>
  <c r="BT148" i="1"/>
  <c r="BS148" i="1" s="1"/>
  <c r="BT61" i="1"/>
  <c r="BS61" i="1" s="1"/>
  <c r="BT125" i="1"/>
  <c r="BS125" i="1" s="1"/>
  <c r="BT223" i="1"/>
  <c r="BS223" i="1" s="1"/>
  <c r="BT367" i="1"/>
  <c r="BS367" i="1" s="1"/>
  <c r="BT365" i="1"/>
  <c r="BS365" i="1" s="1"/>
  <c r="BR45" i="1"/>
  <c r="BQ45" i="1" s="1"/>
  <c r="BR208" i="1"/>
  <c r="BQ208" i="1" s="1"/>
  <c r="BR302" i="1"/>
  <c r="BQ302" i="1" s="1"/>
  <c r="BR161" i="1"/>
  <c r="BQ161" i="1" s="1"/>
  <c r="BR163" i="1"/>
  <c r="BQ163" i="1" s="1"/>
  <c r="BR99" i="1"/>
  <c r="BQ99" i="1" s="1"/>
  <c r="BR436" i="1"/>
  <c r="BQ436" i="1" s="1"/>
  <c r="BR274" i="1"/>
  <c r="BQ274" i="1" s="1"/>
  <c r="BR92" i="1"/>
  <c r="BQ92" i="1" s="1"/>
  <c r="BT45" i="1"/>
  <c r="BS45" i="1" s="1"/>
  <c r="BR109" i="1"/>
  <c r="BQ109" i="1" s="1"/>
  <c r="BR356" i="1"/>
  <c r="BQ356" i="1" s="1"/>
  <c r="BR235" i="1"/>
  <c r="BQ235" i="1" s="1"/>
  <c r="BR222" i="1"/>
  <c r="BQ222" i="1" s="1"/>
  <c r="BR298" i="1"/>
  <c r="BQ298" i="1" s="1"/>
  <c r="BR35" i="1"/>
  <c r="BQ35" i="1" s="1"/>
  <c r="BR294" i="1"/>
  <c r="BQ294" i="1" s="1"/>
  <c r="BR227" i="1"/>
  <c r="BQ227" i="1" s="1"/>
  <c r="BR156" i="1"/>
  <c r="BQ156" i="1" s="1"/>
  <c r="BR147" i="1"/>
  <c r="BQ147" i="1" s="1"/>
  <c r="BR166" i="1"/>
  <c r="BQ166" i="1" s="1"/>
  <c r="BR413" i="1"/>
  <c r="BQ413" i="1" s="1"/>
  <c r="BR120" i="1"/>
  <c r="BQ120" i="1" s="1"/>
  <c r="BT222" i="1"/>
  <c r="BS222" i="1" s="1"/>
  <c r="BT7" i="1"/>
  <c r="BS7" i="1" s="1"/>
  <c r="BR418" i="1"/>
  <c r="BQ418" i="1" s="1"/>
  <c r="BR279" i="1"/>
  <c r="BQ279" i="1" s="1"/>
  <c r="BT230" i="1"/>
  <c r="BS230" i="1" s="1"/>
  <c r="BR49" i="1"/>
  <c r="BQ49" i="1"/>
  <c r="BR289" i="1"/>
  <c r="BQ289" i="1" s="1"/>
  <c r="BR270" i="1"/>
  <c r="BQ270" i="1" s="1"/>
  <c r="BT49" i="1"/>
  <c r="BS49" i="1" s="1"/>
  <c r="BR46" i="1"/>
  <c r="BQ46" i="1" s="1"/>
  <c r="BR445" i="1"/>
  <c r="BQ445" i="1" s="1"/>
  <c r="BR433" i="1"/>
  <c r="BQ433" i="1" s="1"/>
  <c r="BT443" i="1"/>
  <c r="BS443" i="1" s="1"/>
  <c r="BT143" i="1"/>
  <c r="BS143" i="1" s="1"/>
  <c r="BR138" i="1"/>
  <c r="BQ138" i="1" s="1"/>
  <c r="BR128" i="1"/>
  <c r="BQ128" i="1" s="1"/>
  <c r="BR323" i="1"/>
  <c r="BQ323" i="1" s="1"/>
  <c r="BR192" i="1"/>
  <c r="BQ192" i="1" s="1"/>
  <c r="BR55" i="1"/>
  <c r="BQ55" i="1" s="1"/>
  <c r="BR364" i="1"/>
  <c r="BQ364" i="1" s="1"/>
  <c r="BR406" i="1"/>
  <c r="BQ406" i="1" s="1"/>
  <c r="BT192" i="1"/>
  <c r="BS192" i="1" s="1"/>
  <c r="BR288" i="1"/>
  <c r="BQ288" i="1" s="1"/>
  <c r="BR211" i="1"/>
  <c r="BQ211" i="1" s="1"/>
  <c r="BR85" i="1"/>
  <c r="BQ85" i="1" s="1"/>
  <c r="BR84" i="1"/>
  <c r="BQ84" i="1" s="1"/>
  <c r="BQ285" i="1"/>
  <c r="BR285" i="1"/>
  <c r="BR425" i="1"/>
  <c r="BQ425" i="1" s="1"/>
  <c r="BR110" i="1"/>
  <c r="BQ110" i="1" s="1"/>
  <c r="BR50" i="1"/>
  <c r="BQ50" i="1" s="1"/>
  <c r="BT84" i="1"/>
  <c r="BS84" i="1" s="1"/>
  <c r="BR442" i="1"/>
  <c r="BQ442" i="1" s="1"/>
  <c r="BR424" i="1"/>
  <c r="BQ424" i="1" s="1"/>
  <c r="Y177" i="1" a="1"/>
  <c r="Y177" i="1" s="1"/>
  <c r="AH177" i="1" s="1"/>
  <c r="AS177" i="1" s="1"/>
  <c r="Y529" i="1" a="1"/>
  <c r="Y529" i="1" s="1"/>
  <c r="AH529" i="1" s="1"/>
  <c r="AS529" i="1" s="1"/>
  <c r="Y341" i="1" a="1"/>
  <c r="Y341" i="1" s="1"/>
  <c r="AH341" i="1" s="1"/>
  <c r="AS341" i="1" s="1"/>
  <c r="Y408" i="1" a="1"/>
  <c r="Y408" i="1" s="1"/>
  <c r="AH408" i="1" s="1"/>
  <c r="AS408" i="1" s="1"/>
  <c r="Y370" i="1" a="1"/>
  <c r="Y370" i="1" s="1"/>
  <c r="AH370" i="1" s="1"/>
  <c r="AS370" i="1" s="1"/>
  <c r="Y393" i="1" a="1"/>
  <c r="Y393" i="1" s="1"/>
  <c r="AH393" i="1" s="1"/>
  <c r="AS393" i="1" s="1"/>
  <c r="Y332" i="1" a="1"/>
  <c r="Y332" i="1" s="1"/>
  <c r="AH332" i="1" s="1"/>
  <c r="AS332" i="1" s="1"/>
  <c r="Y325" i="1" a="1"/>
  <c r="Y325" i="1" s="1"/>
  <c r="AH325" i="1" s="1"/>
  <c r="AS325" i="1" s="1"/>
  <c r="Y149" i="1" a="1"/>
  <c r="Y149" i="1" s="1"/>
  <c r="AH149" i="1" s="1"/>
  <c r="AS149" i="1" s="1"/>
  <c r="Y247" i="1" a="1"/>
  <c r="Y247" i="1" s="1"/>
  <c r="AH247" i="1" s="1"/>
  <c r="AS247" i="1" s="1"/>
  <c r="Y89" i="1" a="1"/>
  <c r="Y89" i="1" s="1"/>
  <c r="AH89" i="1" s="1"/>
  <c r="AS89" i="1" s="1"/>
  <c r="Y197" i="1" a="1"/>
  <c r="Y197" i="1" s="1"/>
  <c r="AH197" i="1" s="1"/>
  <c r="AS197" i="1" s="1"/>
  <c r="Y231" i="1" a="1"/>
  <c r="Y231" i="1" s="1"/>
  <c r="AH231" i="1" s="1"/>
  <c r="AS231" i="1" s="1"/>
  <c r="Y69" i="1" a="1"/>
  <c r="Y69" i="1" s="1"/>
  <c r="AH69" i="1" s="1"/>
  <c r="AS69" i="1" s="1"/>
  <c r="Y78" i="1" a="1"/>
  <c r="Y78" i="1" s="1"/>
  <c r="AH78" i="1" s="1"/>
  <c r="AS78" i="1" s="1"/>
  <c r="Y126" i="1" a="1"/>
  <c r="Y126" i="1" s="1"/>
  <c r="AH126" i="1" s="1"/>
  <c r="AS126" i="1" s="1"/>
  <c r="BR311" i="1"/>
  <c r="BQ311" i="1" s="1"/>
  <c r="BR29" i="1"/>
  <c r="BQ29" i="1" s="1"/>
  <c r="BT357" i="1"/>
  <c r="BS357" i="1" s="1"/>
  <c r="BT435" i="1"/>
  <c r="BS435" i="1" s="1"/>
  <c r="BT427" i="1"/>
  <c r="BS427" i="1" s="1"/>
  <c r="BR33" i="1"/>
  <c r="BQ33" i="1"/>
  <c r="BR67" i="1"/>
  <c r="BQ67" i="1" s="1"/>
  <c r="BR32" i="1"/>
  <c r="BQ32" i="1" s="1"/>
  <c r="BT30" i="1"/>
  <c r="BS30" i="1" s="1"/>
  <c r="BT160" i="1"/>
  <c r="BS160" i="1" s="1"/>
  <c r="BT104" i="1"/>
  <c r="BT102" i="1"/>
  <c r="BS102" i="1" s="1"/>
  <c r="BT93" i="1"/>
  <c r="BS93" i="1" s="1"/>
  <c r="BT111" i="1"/>
  <c r="BS111" i="1" s="1"/>
  <c r="BT100" i="1"/>
  <c r="BS100" i="1" s="1"/>
  <c r="BT63" i="1"/>
  <c r="BS63" i="1" s="1"/>
  <c r="BT378" i="1"/>
  <c r="BS378" i="1" s="1"/>
  <c r="BT362" i="1"/>
  <c r="BS362" i="1" s="1"/>
  <c r="BT352" i="1"/>
  <c r="BS352" i="1" s="1"/>
  <c r="BT296" i="1"/>
  <c r="BS296" i="1" s="1"/>
  <c r="BT308" i="1"/>
  <c r="BT313" i="1"/>
  <c r="BS313" i="1" s="1"/>
  <c r="BT337" i="1"/>
  <c r="BS337" i="1" s="1"/>
  <c r="BT343" i="1"/>
  <c r="BS343" i="1" s="1"/>
  <c r="BT316" i="1"/>
  <c r="BS316" i="1" s="1"/>
  <c r="BT265" i="1"/>
  <c r="BS265" i="1" s="1"/>
  <c r="BT284" i="1"/>
  <c r="BS284" i="1" s="1"/>
  <c r="BT244" i="1"/>
  <c r="BS244" i="1" s="1"/>
  <c r="BT278" i="1"/>
  <c r="BS278" i="1" s="1"/>
  <c r="BT256" i="1"/>
  <c r="BS256" i="1" s="1"/>
  <c r="BT275" i="1"/>
  <c r="BS275" i="1" s="1"/>
  <c r="BT220" i="1"/>
  <c r="BS220" i="1" s="1"/>
  <c r="BT236" i="1"/>
  <c r="BS236" i="1" s="1"/>
  <c r="BT187" i="1"/>
  <c r="BS187" i="1" s="1"/>
  <c r="BT215" i="1"/>
  <c r="BS215" i="1" s="1"/>
  <c r="BT162" i="1"/>
  <c r="BS162" i="1" s="1"/>
  <c r="BT158" i="1"/>
  <c r="BS158" i="1" s="1"/>
  <c r="BT419" i="1"/>
  <c r="BS419" i="1" s="1"/>
  <c r="BT446" i="1"/>
  <c r="BS446" i="1" s="1"/>
  <c r="BT397" i="1"/>
  <c r="BS397" i="1" s="1"/>
  <c r="BT395" i="1"/>
  <c r="BS395" i="1" s="1"/>
  <c r="BT390" i="1"/>
  <c r="BS390" i="1" s="1"/>
  <c r="BT384" i="1"/>
  <c r="BS384" i="1" s="1"/>
  <c r="BT379" i="1"/>
  <c r="BS379" i="1" s="1"/>
  <c r="BT381" i="1"/>
  <c r="BS381" i="1" s="1"/>
  <c r="AQ8" i="1"/>
  <c r="Y8" i="1" a="1"/>
  <c r="Y8" i="1" s="1"/>
  <c r="AH8" i="1" s="1"/>
  <c r="BN205" i="1"/>
  <c r="BO205" i="1" s="1"/>
  <c r="BJ205" i="1"/>
  <c r="AD166" i="1"/>
  <c r="BN166" i="1" s="1"/>
  <c r="BO166" i="1" s="1"/>
  <c r="BP166" i="1" s="1"/>
  <c r="BK165" i="1"/>
  <c r="BI165" i="1"/>
  <c r="BP165" i="1" s="1"/>
  <c r="AD273" i="1"/>
  <c r="BK272" i="1"/>
  <c r="BI272" i="1"/>
  <c r="BP272" i="1" s="1"/>
  <c r="BK267" i="1"/>
  <c r="AF205" i="1"/>
  <c r="BK204" i="1"/>
  <c r="BT25" i="1"/>
  <c r="BB26" i="1"/>
  <c r="BB27" i="1" s="1"/>
  <c r="BB28" i="1" s="1"/>
  <c r="BB29" i="1" s="1"/>
  <c r="BB30" i="1" s="1"/>
  <c r="BB31" i="1" s="1"/>
  <c r="BB32" i="1" s="1"/>
  <c r="BB33" i="1" s="1"/>
  <c r="BB34" i="1" s="1"/>
  <c r="BB35" i="1" s="1"/>
  <c r="BB36" i="1" s="1"/>
  <c r="BB37" i="1" s="1"/>
  <c r="BB38" i="1" s="1"/>
  <c r="BB39" i="1" s="1"/>
  <c r="BB40" i="1" s="1"/>
  <c r="BB41" i="1" s="1"/>
  <c r="BB42" i="1" s="1"/>
  <c r="BB43" i="1" s="1"/>
  <c r="BB44" i="1" s="1"/>
  <c r="BB45" i="1" s="1"/>
  <c r="BB46" i="1" s="1"/>
  <c r="BB47" i="1" s="1"/>
  <c r="BB48" i="1" s="1"/>
  <c r="BB49" i="1" s="1"/>
  <c r="BB50" i="1" s="1"/>
  <c r="BB51" i="1" s="1"/>
  <c r="BB52" i="1" s="1"/>
  <c r="BB53" i="1" s="1"/>
  <c r="BB54" i="1" s="1"/>
  <c r="BB55" i="1" s="1"/>
  <c r="BB56" i="1" s="1"/>
  <c r="BB57" i="1" s="1"/>
  <c r="BB58" i="1" s="1"/>
  <c r="BB59" i="1" s="1"/>
  <c r="BB60" i="1" s="1"/>
  <c r="BB61" i="1" s="1"/>
  <c r="BB62" i="1" s="1"/>
  <c r="BB63" i="1" s="1"/>
  <c r="BB64" i="1" s="1"/>
  <c r="BB65" i="1" s="1"/>
  <c r="BB66" i="1" s="1"/>
  <c r="BB67" i="1" s="1"/>
  <c r="BB68" i="1" s="1"/>
  <c r="BB69" i="1" s="1"/>
  <c r="BB70" i="1" s="1"/>
  <c r="BB71" i="1" s="1"/>
  <c r="BB72" i="1" s="1"/>
  <c r="BB73" i="1" s="1"/>
  <c r="BB74" i="1" s="1"/>
  <c r="BB75" i="1" s="1"/>
  <c r="BB76" i="1" s="1"/>
  <c r="BB77" i="1" s="1"/>
  <c r="BB78" i="1" s="1"/>
  <c r="BB79" i="1" s="1"/>
  <c r="BB80" i="1" s="1"/>
  <c r="BB81" i="1" s="1"/>
  <c r="BB82" i="1" s="1"/>
  <c r="BB83" i="1" s="1"/>
  <c r="BB84" i="1" s="1"/>
  <c r="BB85" i="1" s="1"/>
  <c r="BB86" i="1" s="1"/>
  <c r="BB87" i="1" s="1"/>
  <c r="BB88" i="1" s="1"/>
  <c r="BB89" i="1" s="1"/>
  <c r="BB90" i="1" s="1"/>
  <c r="BB91" i="1" s="1"/>
  <c r="BB92" i="1" s="1"/>
  <c r="BB93" i="1" s="1"/>
  <c r="BB94" i="1" s="1"/>
  <c r="BB95" i="1" s="1"/>
  <c r="BB96" i="1" s="1"/>
  <c r="BB97" i="1" s="1"/>
  <c r="BB98" i="1" s="1"/>
  <c r="BB99" i="1" s="1"/>
  <c r="BB100" i="1" s="1"/>
  <c r="BB101" i="1" s="1"/>
  <c r="BB102" i="1" s="1"/>
  <c r="BB103" i="1" s="1"/>
  <c r="BB104" i="1" s="1"/>
  <c r="BB105" i="1" s="1"/>
  <c r="BB106" i="1" s="1"/>
  <c r="BB107" i="1" s="1"/>
  <c r="BB108" i="1" s="1"/>
  <c r="BB109" i="1" s="1"/>
  <c r="BB110" i="1" s="1"/>
  <c r="BB111" i="1" s="1"/>
  <c r="BB112" i="1" s="1"/>
  <c r="BB113" i="1" s="1"/>
  <c r="BB114" i="1" s="1"/>
  <c r="BB115" i="1" s="1"/>
  <c r="BB116" i="1" s="1"/>
  <c r="BB117" i="1" s="1"/>
  <c r="BB118" i="1" s="1"/>
  <c r="BB119" i="1" s="1"/>
  <c r="BB120" i="1" s="1"/>
  <c r="BB121" i="1" s="1"/>
  <c r="BB122" i="1" s="1"/>
  <c r="BB123" i="1" s="1"/>
  <c r="BB124" i="1" s="1"/>
  <c r="BB125" i="1" s="1"/>
  <c r="BB126" i="1" s="1"/>
  <c r="BB127" i="1" s="1"/>
  <c r="BB128" i="1" s="1"/>
  <c r="BB129" i="1" s="1"/>
  <c r="BB130" i="1" s="1"/>
  <c r="BB131" i="1" s="1"/>
  <c r="BB132" i="1" s="1"/>
  <c r="BB133" i="1" s="1"/>
  <c r="BB134" i="1" s="1"/>
  <c r="BB135" i="1" s="1"/>
  <c r="BB136" i="1" s="1"/>
  <c r="BB137" i="1" s="1"/>
  <c r="BB138" i="1" s="1"/>
  <c r="BB139" i="1" s="1"/>
  <c r="BB140" i="1" s="1"/>
  <c r="BB141" i="1" s="1"/>
  <c r="BB142" i="1" s="1"/>
  <c r="BB143" i="1" s="1"/>
  <c r="BB144" i="1" s="1"/>
  <c r="BB145" i="1" s="1"/>
  <c r="BB146" i="1" s="1"/>
  <c r="BB147" i="1" s="1"/>
  <c r="BB148" i="1" s="1"/>
  <c r="BB149" i="1" s="1"/>
  <c r="BB150" i="1" s="1"/>
  <c r="BB151" i="1" s="1"/>
  <c r="BB152" i="1" s="1"/>
  <c r="BB153" i="1" s="1"/>
  <c r="BB154" i="1" s="1"/>
  <c r="BB155" i="1" s="1"/>
  <c r="BB156" i="1" s="1"/>
  <c r="BB157" i="1" s="1"/>
  <c r="BB158" i="1" s="1"/>
  <c r="BB159" i="1" s="1"/>
  <c r="BB160" i="1" s="1"/>
  <c r="BB161" i="1" s="1"/>
  <c r="BB162" i="1" s="1"/>
  <c r="BB163" i="1" s="1"/>
  <c r="BB164" i="1" s="1"/>
  <c r="BB165" i="1" s="1"/>
  <c r="BB166" i="1" s="1"/>
  <c r="BB167" i="1" s="1"/>
  <c r="BB168" i="1" s="1"/>
  <c r="BB169" i="1" s="1"/>
  <c r="BB170" i="1" s="1"/>
  <c r="BB171" i="1" s="1"/>
  <c r="BB172" i="1" s="1"/>
  <c r="BB173" i="1" s="1"/>
  <c r="BB174" i="1" s="1"/>
  <c r="BB175" i="1" s="1"/>
  <c r="BB176" i="1" s="1"/>
  <c r="BB177" i="1" s="1"/>
  <c r="BB178" i="1" s="1"/>
  <c r="BB179" i="1" s="1"/>
  <c r="BB180" i="1" s="1"/>
  <c r="BB181" i="1" s="1"/>
  <c r="BB182" i="1" s="1"/>
  <c r="BB183" i="1" s="1"/>
  <c r="BB184" i="1" s="1"/>
  <c r="BB185" i="1" s="1"/>
  <c r="BB186" i="1" s="1"/>
  <c r="BB187" i="1" s="1"/>
  <c r="BB188" i="1" s="1"/>
  <c r="BB189" i="1" s="1"/>
  <c r="BB190" i="1" s="1"/>
  <c r="BB191" i="1" s="1"/>
  <c r="BB192" i="1" s="1"/>
  <c r="BB193" i="1" s="1"/>
  <c r="BB194" i="1" s="1"/>
  <c r="BB195" i="1" s="1"/>
  <c r="BB196" i="1" s="1"/>
  <c r="BB197" i="1" s="1"/>
  <c r="BB198" i="1" s="1"/>
  <c r="BB199" i="1" s="1"/>
  <c r="BB200" i="1" s="1"/>
  <c r="BB201" i="1" s="1"/>
  <c r="BB202" i="1" s="1"/>
  <c r="BB203" i="1" s="1"/>
  <c r="BB204" i="1" s="1"/>
  <c r="BB205" i="1" s="1"/>
  <c r="BB206" i="1" s="1"/>
  <c r="BB207" i="1" s="1"/>
  <c r="BB208" i="1" s="1"/>
  <c r="BB209" i="1" s="1"/>
  <c r="BB210" i="1" s="1"/>
  <c r="BB211" i="1" s="1"/>
  <c r="BB212" i="1" s="1"/>
  <c r="BB213" i="1" s="1"/>
  <c r="BB214" i="1" s="1"/>
  <c r="BB215" i="1" s="1"/>
  <c r="BB216" i="1" s="1"/>
  <c r="BB217" i="1" s="1"/>
  <c r="BB218" i="1" s="1"/>
  <c r="BB219" i="1" s="1"/>
  <c r="BB220" i="1" s="1"/>
  <c r="BB221" i="1" s="1"/>
  <c r="BB222" i="1" s="1"/>
  <c r="BB223" i="1" s="1"/>
  <c r="BB224" i="1" s="1"/>
  <c r="BB225" i="1" s="1"/>
  <c r="BB226" i="1" s="1"/>
  <c r="BB227" i="1" s="1"/>
  <c r="BB228" i="1" s="1"/>
  <c r="BB229" i="1" s="1"/>
  <c r="BB230" i="1" s="1"/>
  <c r="BB231" i="1" s="1"/>
  <c r="BB232" i="1" s="1"/>
  <c r="BB233" i="1" s="1"/>
  <c r="BB234" i="1" s="1"/>
  <c r="BB235" i="1" s="1"/>
  <c r="BB236" i="1" s="1"/>
  <c r="BB237" i="1" s="1"/>
  <c r="BB238" i="1" s="1"/>
  <c r="BB239" i="1" s="1"/>
  <c r="BB240" i="1" s="1"/>
  <c r="BB241" i="1" s="1"/>
  <c r="BB242" i="1" s="1"/>
  <c r="BB243" i="1" s="1"/>
  <c r="BB244" i="1" s="1"/>
  <c r="BB245" i="1" s="1"/>
  <c r="BB246" i="1" s="1"/>
  <c r="BB247" i="1" s="1"/>
  <c r="BB248" i="1" s="1"/>
  <c r="BB249" i="1" s="1"/>
  <c r="BB250" i="1" s="1"/>
  <c r="BB251" i="1" s="1"/>
  <c r="BB252" i="1" s="1"/>
  <c r="BB253" i="1" s="1"/>
  <c r="BB254" i="1" s="1"/>
  <c r="BB255" i="1" s="1"/>
  <c r="BB256" i="1" s="1"/>
  <c r="BB257" i="1" s="1"/>
  <c r="BB258" i="1" s="1"/>
  <c r="BB259" i="1" s="1"/>
  <c r="BB260" i="1" s="1"/>
  <c r="BB261" i="1" s="1"/>
  <c r="BB262" i="1" s="1"/>
  <c r="BB263" i="1" s="1"/>
  <c r="BB264" i="1" s="1"/>
  <c r="BB265" i="1" s="1"/>
  <c r="BB266" i="1" s="1"/>
  <c r="BB267" i="1" s="1"/>
  <c r="BB268" i="1" s="1"/>
  <c r="BB269" i="1" s="1"/>
  <c r="BB270" i="1" s="1"/>
  <c r="BB271" i="1" s="1"/>
  <c r="BB272" i="1" s="1"/>
  <c r="BB273" i="1" s="1"/>
  <c r="BB274" i="1" s="1"/>
  <c r="BB275" i="1" s="1"/>
  <c r="BB276" i="1" s="1"/>
  <c r="BB277" i="1" s="1"/>
  <c r="BB278" i="1" s="1"/>
  <c r="BB279" i="1" s="1"/>
  <c r="BB280" i="1" s="1"/>
  <c r="BB281" i="1" s="1"/>
  <c r="BB282" i="1" s="1"/>
  <c r="BB283" i="1" s="1"/>
  <c r="BB284" i="1" s="1"/>
  <c r="BB285" i="1" s="1"/>
  <c r="BB286" i="1" s="1"/>
  <c r="BB287" i="1" s="1"/>
  <c r="BB288" i="1" s="1"/>
  <c r="BB289" i="1" s="1"/>
  <c r="BB290" i="1" s="1"/>
  <c r="BB291" i="1" s="1"/>
  <c r="BB292" i="1" s="1"/>
  <c r="BB293" i="1" s="1"/>
  <c r="BB294" i="1" s="1"/>
  <c r="BB295" i="1" s="1"/>
  <c r="BB296" i="1" s="1"/>
  <c r="BB297" i="1" s="1"/>
  <c r="BB298" i="1" s="1"/>
  <c r="BB299" i="1" s="1"/>
  <c r="BB300" i="1" s="1"/>
  <c r="BB301" i="1" s="1"/>
  <c r="BB302" i="1" s="1"/>
  <c r="BB303" i="1" s="1"/>
  <c r="BB304" i="1" s="1"/>
  <c r="BB305" i="1" s="1"/>
  <c r="BB306" i="1" s="1"/>
  <c r="BB307" i="1" s="1"/>
  <c r="BB308" i="1" s="1"/>
  <c r="BB309" i="1" s="1"/>
  <c r="BB310" i="1" s="1"/>
  <c r="BB311" i="1" s="1"/>
  <c r="BB312" i="1" s="1"/>
  <c r="BB313" i="1" s="1"/>
  <c r="BB314" i="1" s="1"/>
  <c r="BB315" i="1" s="1"/>
  <c r="BB316" i="1" s="1"/>
  <c r="BB317" i="1" s="1"/>
  <c r="BB318" i="1" s="1"/>
  <c r="BB319" i="1" s="1"/>
  <c r="BB320" i="1" s="1"/>
  <c r="BB321" i="1" s="1"/>
  <c r="BB322" i="1" s="1"/>
  <c r="BB323" i="1" s="1"/>
  <c r="BB324" i="1" s="1"/>
  <c r="BB325" i="1" s="1"/>
  <c r="BB326" i="1" s="1"/>
  <c r="BB327" i="1" s="1"/>
  <c r="BB328" i="1" s="1"/>
  <c r="BB329" i="1" s="1"/>
  <c r="BB330" i="1" s="1"/>
  <c r="BB331" i="1" s="1"/>
  <c r="BB332" i="1" s="1"/>
  <c r="BB333" i="1" s="1"/>
  <c r="BB334" i="1" s="1"/>
  <c r="BB335" i="1" s="1"/>
  <c r="BB336" i="1" s="1"/>
  <c r="BB337" i="1" s="1"/>
  <c r="BB338" i="1" s="1"/>
  <c r="BB339" i="1" s="1"/>
  <c r="BB340" i="1" s="1"/>
  <c r="BB341" i="1" s="1"/>
  <c r="BB342" i="1" s="1"/>
  <c r="BB343" i="1" s="1"/>
  <c r="BB344" i="1" s="1"/>
  <c r="BB345" i="1" s="1"/>
  <c r="BB346" i="1" s="1"/>
  <c r="BB347" i="1" s="1"/>
  <c r="BB348" i="1" s="1"/>
  <c r="BB349" i="1" s="1"/>
  <c r="BB350" i="1" s="1"/>
  <c r="BB351" i="1" s="1"/>
  <c r="BB352" i="1" s="1"/>
  <c r="BB353" i="1" s="1"/>
  <c r="BB354" i="1" s="1"/>
  <c r="BB355" i="1" s="1"/>
  <c r="BB356" i="1" s="1"/>
  <c r="BB357" i="1" s="1"/>
  <c r="BB358" i="1" s="1"/>
  <c r="BB359" i="1" s="1"/>
  <c r="BB360" i="1" s="1"/>
  <c r="BB361" i="1" s="1"/>
  <c r="BB362" i="1" s="1"/>
  <c r="BB363" i="1" s="1"/>
  <c r="BB364" i="1" s="1"/>
  <c r="BB365" i="1" s="1"/>
  <c r="BB366" i="1" s="1"/>
  <c r="BB367" i="1" s="1"/>
  <c r="BB368" i="1" s="1"/>
  <c r="BB369" i="1" s="1"/>
  <c r="BB370" i="1" s="1"/>
  <c r="BB371" i="1" s="1"/>
  <c r="BB372" i="1" s="1"/>
  <c r="BB373" i="1" s="1"/>
  <c r="BB374" i="1" s="1"/>
  <c r="BB375" i="1" s="1"/>
  <c r="BB376" i="1" s="1"/>
  <c r="BB377" i="1" s="1"/>
  <c r="BB378" i="1" s="1"/>
  <c r="BB379" i="1" s="1"/>
  <c r="BB380" i="1" s="1"/>
  <c r="BB381" i="1" s="1"/>
  <c r="BB382" i="1" s="1"/>
  <c r="BB383" i="1" s="1"/>
  <c r="BB384" i="1" s="1"/>
  <c r="BB385" i="1" s="1"/>
  <c r="BB386" i="1" s="1"/>
  <c r="BB387" i="1" s="1"/>
  <c r="BB388" i="1" s="1"/>
  <c r="BB389" i="1" s="1"/>
  <c r="BB390" i="1" s="1"/>
  <c r="BB391" i="1" s="1"/>
  <c r="BB392" i="1" s="1"/>
  <c r="BB393" i="1" s="1"/>
  <c r="BB394" i="1" s="1"/>
  <c r="BB395" i="1" s="1"/>
  <c r="BB396" i="1" s="1"/>
  <c r="BB397" i="1" s="1"/>
  <c r="BB398" i="1" s="1"/>
  <c r="BB399" i="1" s="1"/>
  <c r="BB400" i="1" s="1"/>
  <c r="BB401" i="1" s="1"/>
  <c r="BB402" i="1" s="1"/>
  <c r="BB403" i="1" s="1"/>
  <c r="BB404" i="1" s="1"/>
  <c r="BB405" i="1" s="1"/>
  <c r="BB406" i="1" s="1"/>
  <c r="BB407" i="1" s="1"/>
  <c r="BB408" i="1" s="1"/>
  <c r="BB409" i="1" s="1"/>
  <c r="BB410" i="1" s="1"/>
  <c r="BB411" i="1" s="1"/>
  <c r="BB412" i="1" s="1"/>
  <c r="BB413" i="1" s="1"/>
  <c r="BB414" i="1" s="1"/>
  <c r="BB415" i="1" s="1"/>
  <c r="BB416" i="1" s="1"/>
  <c r="BB417" i="1" s="1"/>
  <c r="BB418" i="1" s="1"/>
  <c r="BB419" i="1" s="1"/>
  <c r="BB420" i="1" s="1"/>
  <c r="BB421" i="1" s="1"/>
  <c r="BB422" i="1" s="1"/>
  <c r="BB423" i="1" s="1"/>
  <c r="BB424" i="1" s="1"/>
  <c r="BB425" i="1" s="1"/>
  <c r="BB426" i="1" s="1"/>
  <c r="BB427" i="1" s="1"/>
  <c r="BB428" i="1" s="1"/>
  <c r="BB429" i="1" s="1"/>
  <c r="BB430" i="1" s="1"/>
  <c r="BB431" i="1" s="1"/>
  <c r="BB432" i="1" s="1"/>
  <c r="BB433" i="1" s="1"/>
  <c r="BB434" i="1" s="1"/>
  <c r="BB435" i="1" s="1"/>
  <c r="BB436" i="1" s="1"/>
  <c r="BB437" i="1" s="1"/>
  <c r="BB438" i="1" s="1"/>
  <c r="BB439" i="1" s="1"/>
  <c r="BB440" i="1" s="1"/>
  <c r="BB441" i="1" s="1"/>
  <c r="BB442" i="1" s="1"/>
  <c r="BB443" i="1" s="1"/>
  <c r="BB444" i="1" s="1"/>
  <c r="BB445" i="1" s="1"/>
  <c r="BB446" i="1" s="1"/>
  <c r="BB447" i="1" s="1"/>
  <c r="BB448" i="1" s="1"/>
  <c r="BB449" i="1" s="1"/>
  <c r="BB450" i="1" s="1"/>
  <c r="BB451" i="1" s="1"/>
  <c r="BB452" i="1" s="1"/>
  <c r="BB453" i="1" s="1"/>
  <c r="BB454" i="1" s="1"/>
  <c r="BB455" i="1" s="1"/>
  <c r="BB456" i="1" s="1"/>
  <c r="BB457" i="1" s="1"/>
  <c r="BB458" i="1" s="1"/>
  <c r="BB459" i="1" s="1"/>
  <c r="BB460" i="1" s="1"/>
  <c r="BB461" i="1" s="1"/>
  <c r="BB462" i="1" s="1"/>
  <c r="BB463" i="1" s="1"/>
  <c r="BB464" i="1" s="1"/>
  <c r="BB465" i="1" s="1"/>
  <c r="BB466" i="1" s="1"/>
  <c r="BB467" i="1" s="1"/>
  <c r="BB468" i="1" s="1"/>
  <c r="BB469" i="1" s="1"/>
  <c r="BB470" i="1" s="1"/>
  <c r="BB471" i="1" s="1"/>
  <c r="BB472" i="1" s="1"/>
  <c r="BB473" i="1" s="1"/>
  <c r="BB474" i="1" s="1"/>
  <c r="BB475" i="1" s="1"/>
  <c r="BB476" i="1" s="1"/>
  <c r="BB477" i="1" s="1"/>
  <c r="BB478" i="1" s="1"/>
  <c r="BB479" i="1" s="1"/>
  <c r="BB480" i="1" s="1"/>
  <c r="BB481" i="1" s="1"/>
  <c r="BB482" i="1" s="1"/>
  <c r="BB483" i="1" s="1"/>
  <c r="BB484" i="1" s="1"/>
  <c r="BB485" i="1" s="1"/>
  <c r="BB486" i="1" s="1"/>
  <c r="BB487" i="1" s="1"/>
  <c r="BB488" i="1" s="1"/>
  <c r="BB489" i="1" s="1"/>
  <c r="BB490" i="1" s="1"/>
  <c r="BB491" i="1" s="1"/>
  <c r="BB492" i="1" s="1"/>
  <c r="BB493" i="1" s="1"/>
  <c r="BB494" i="1" s="1"/>
  <c r="BB495" i="1" s="1"/>
  <c r="BB496" i="1" s="1"/>
  <c r="BB497" i="1" s="1"/>
  <c r="BB498" i="1" s="1"/>
  <c r="BB499" i="1" s="1"/>
  <c r="BB500" i="1" s="1"/>
  <c r="BB501" i="1" s="1"/>
  <c r="BB502" i="1" s="1"/>
  <c r="BB503" i="1" s="1"/>
  <c r="BB504" i="1" s="1"/>
  <c r="BB505" i="1" s="1"/>
  <c r="BB506" i="1" s="1"/>
  <c r="BB507" i="1" s="1"/>
  <c r="BB508" i="1" s="1"/>
  <c r="BB509" i="1" s="1"/>
  <c r="BB510" i="1" s="1"/>
  <c r="BB511" i="1" s="1"/>
  <c r="BB512" i="1" s="1"/>
  <c r="BB513" i="1" s="1"/>
  <c r="BB514" i="1" s="1"/>
  <c r="BB515" i="1" s="1"/>
  <c r="BB516" i="1" s="1"/>
  <c r="BB517" i="1" s="1"/>
  <c r="BB518" i="1" s="1"/>
  <c r="BB519" i="1" s="1"/>
  <c r="BB520" i="1" s="1"/>
  <c r="BB521" i="1" s="1"/>
  <c r="BB522" i="1" s="1"/>
  <c r="BB523" i="1" s="1"/>
  <c r="BB524" i="1" s="1"/>
  <c r="BB525" i="1" s="1"/>
  <c r="BB526" i="1" s="1"/>
  <c r="BB527" i="1" s="1"/>
  <c r="BB528" i="1" s="1"/>
  <c r="BB529" i="1" s="1"/>
  <c r="BB530" i="1" s="1"/>
  <c r="BB531" i="1" s="1"/>
  <c r="BB532" i="1" s="1"/>
  <c r="BB533" i="1" s="1"/>
  <c r="BB534" i="1" s="1"/>
  <c r="BB535" i="1" s="1"/>
  <c r="BB536" i="1" s="1"/>
  <c r="BB537" i="1" s="1"/>
  <c r="BB538" i="1" s="1"/>
  <c r="BB539" i="1" s="1"/>
  <c r="BB540" i="1" s="1"/>
  <c r="BB541" i="1" s="1"/>
  <c r="BB542" i="1" s="1"/>
  <c r="BB543" i="1" s="1"/>
  <c r="BB544" i="1" s="1"/>
  <c r="BB545" i="1" s="1"/>
  <c r="BB546" i="1" s="1"/>
  <c r="BB547" i="1" s="1"/>
  <c r="BB548" i="1" s="1"/>
  <c r="BB549" i="1" s="1"/>
  <c r="BB550" i="1" s="1"/>
  <c r="BB551" i="1" s="1"/>
  <c r="BB552" i="1" s="1"/>
  <c r="BB553" i="1" s="1"/>
  <c r="BB554" i="1" s="1"/>
  <c r="BB555" i="1" s="1"/>
  <c r="BB556" i="1" s="1"/>
  <c r="BB557" i="1" s="1"/>
  <c r="BB558" i="1" s="1"/>
  <c r="BB559" i="1" s="1"/>
  <c r="BB560" i="1" s="1"/>
  <c r="BB561" i="1" s="1"/>
  <c r="BB562" i="1" s="1"/>
  <c r="BB563" i="1" s="1"/>
  <c r="BB564" i="1" s="1"/>
  <c r="BB565" i="1" s="1"/>
  <c r="BB566" i="1" s="1"/>
  <c r="BB567" i="1" s="1"/>
  <c r="BB568" i="1" s="1"/>
  <c r="BB569" i="1" s="1"/>
  <c r="BB570" i="1" s="1"/>
  <c r="BB571" i="1" s="1"/>
  <c r="BB572" i="1" s="1"/>
  <c r="BB573" i="1" s="1"/>
  <c r="BB574" i="1" s="1"/>
  <c r="BB575" i="1" s="1"/>
  <c r="BB576" i="1" s="1"/>
  <c r="BB577" i="1" s="1"/>
  <c r="BB578" i="1" s="1"/>
  <c r="BB579" i="1" s="1"/>
  <c r="BB580" i="1" s="1"/>
  <c r="BB581" i="1" s="1"/>
  <c r="BB582" i="1" s="1"/>
  <c r="BB583" i="1" s="1"/>
  <c r="BB584" i="1" s="1"/>
  <c r="BB585" i="1" s="1"/>
  <c r="BB586" i="1" s="1"/>
  <c r="BB587" i="1" s="1"/>
  <c r="BB588" i="1" s="1"/>
  <c r="BB589" i="1" s="1"/>
  <c r="BB590" i="1" s="1"/>
  <c r="BB591" i="1" s="1"/>
  <c r="BB592" i="1" s="1"/>
  <c r="BB593" i="1" s="1"/>
  <c r="BB594" i="1" s="1"/>
  <c r="BB595" i="1" s="1"/>
  <c r="BB596" i="1" s="1"/>
  <c r="BB597" i="1" s="1"/>
  <c r="BB598" i="1" s="1"/>
  <c r="BB599" i="1" s="1"/>
  <c r="BB600" i="1" s="1"/>
  <c r="BB601" i="1" s="1"/>
  <c r="BB602" i="1" s="1"/>
  <c r="BB603" i="1" s="1"/>
  <c r="BB604" i="1" s="1"/>
  <c r="BB605" i="1" s="1"/>
  <c r="BB606" i="1" s="1"/>
  <c r="BB607" i="1" s="1"/>
  <c r="BB608" i="1" s="1"/>
  <c r="BB609" i="1" s="1"/>
  <c r="BB610" i="1" s="1"/>
  <c r="BB611" i="1" s="1"/>
  <c r="BB612" i="1" s="1"/>
  <c r="BB613" i="1" s="1"/>
  <c r="BB614" i="1" s="1"/>
  <c r="BB615" i="1" s="1"/>
  <c r="BB616" i="1" s="1"/>
  <c r="BB617" i="1" s="1"/>
  <c r="BB618" i="1" s="1"/>
  <c r="BB619" i="1" s="1"/>
  <c r="BB620" i="1" s="1"/>
  <c r="BB621" i="1" s="1"/>
  <c r="BB622" i="1" s="1"/>
  <c r="BB623" i="1" s="1"/>
  <c r="BB624" i="1" s="1"/>
  <c r="BB625" i="1" s="1"/>
  <c r="BB626" i="1" s="1"/>
  <c r="BB627" i="1" s="1"/>
  <c r="BB628" i="1" s="1"/>
  <c r="BB629" i="1" s="1"/>
  <c r="BB630" i="1" s="1"/>
  <c r="BB631" i="1" s="1"/>
  <c r="BB632" i="1" s="1"/>
  <c r="BB633" i="1" s="1"/>
  <c r="BB634" i="1" s="1"/>
  <c r="BB635" i="1" s="1"/>
  <c r="BB636" i="1" s="1"/>
  <c r="BB637" i="1" s="1"/>
  <c r="BB638" i="1" s="1"/>
  <c r="BB639" i="1" s="1"/>
  <c r="BB640" i="1" s="1"/>
  <c r="BB641" i="1" s="1"/>
  <c r="BB642" i="1" s="1"/>
  <c r="BB643" i="1" s="1"/>
  <c r="BB644" i="1" s="1"/>
  <c r="BB645" i="1" s="1"/>
  <c r="BB646" i="1" s="1"/>
  <c r="BB647" i="1" s="1"/>
  <c r="BB648" i="1" s="1"/>
  <c r="BB649" i="1" s="1"/>
  <c r="BB650" i="1" s="1"/>
  <c r="BB651" i="1" s="1"/>
  <c r="BB652" i="1" s="1"/>
  <c r="BB653" i="1" s="1"/>
  <c r="BB654" i="1" s="1"/>
  <c r="BB655" i="1" s="1"/>
  <c r="BB656" i="1" s="1"/>
  <c r="BB657" i="1" s="1"/>
  <c r="BB658" i="1" s="1"/>
  <c r="BB659" i="1" s="1"/>
  <c r="BB660" i="1" s="1"/>
  <c r="BB661" i="1" s="1"/>
  <c r="BB662" i="1" s="1"/>
  <c r="BB663" i="1" s="1"/>
  <c r="BB664" i="1" s="1"/>
  <c r="BB665" i="1" s="1"/>
  <c r="BB666" i="1" s="1"/>
  <c r="BB667" i="1" s="1"/>
  <c r="BB668" i="1" s="1"/>
  <c r="BB669" i="1" s="1"/>
  <c r="BB670" i="1" s="1"/>
  <c r="BB671" i="1" s="1"/>
  <c r="BB672" i="1" s="1"/>
  <c r="BB673" i="1" s="1"/>
  <c r="BB674" i="1" s="1"/>
  <c r="BB675" i="1" s="1"/>
  <c r="BB676" i="1" s="1"/>
  <c r="BB677" i="1" s="1"/>
  <c r="BB678" i="1" s="1"/>
  <c r="BB679" i="1" s="1"/>
  <c r="BB680" i="1" s="1"/>
  <c r="BB681" i="1" s="1"/>
  <c r="BB682" i="1" s="1"/>
  <c r="BB683" i="1" s="1"/>
  <c r="BB684" i="1" s="1"/>
  <c r="BB685" i="1" s="1"/>
  <c r="BB686" i="1" s="1"/>
  <c r="BB687" i="1" s="1"/>
  <c r="BB688" i="1" s="1"/>
  <c r="BB689" i="1" s="1"/>
  <c r="BB690" i="1" s="1"/>
  <c r="BB691" i="1" s="1"/>
  <c r="BB692" i="1" s="1"/>
  <c r="BB693" i="1" s="1"/>
  <c r="BB694" i="1" s="1"/>
  <c r="BB695" i="1" s="1"/>
  <c r="BB696" i="1" s="1"/>
  <c r="BB697" i="1" s="1"/>
  <c r="BB698" i="1" s="1"/>
  <c r="BB699" i="1" s="1"/>
  <c r="BB700" i="1" s="1"/>
  <c r="BB701" i="1" s="1"/>
  <c r="BB702" i="1" s="1"/>
  <c r="BB703" i="1" s="1"/>
  <c r="BB704" i="1" s="1"/>
  <c r="BB705" i="1" s="1"/>
  <c r="BB706" i="1" s="1"/>
  <c r="BB707" i="1" s="1"/>
  <c r="BB708" i="1" s="1"/>
  <c r="BB709" i="1" s="1"/>
  <c r="BB710" i="1" s="1"/>
  <c r="BB711" i="1" s="1"/>
  <c r="BB712" i="1" s="1"/>
  <c r="BB713" i="1" s="1"/>
  <c r="BB714" i="1" s="1"/>
  <c r="BB715" i="1" s="1"/>
  <c r="BB716" i="1" s="1"/>
  <c r="BB717" i="1" s="1"/>
  <c r="BB718" i="1" s="1"/>
  <c r="BB719" i="1" s="1"/>
  <c r="BB720" i="1" s="1"/>
  <c r="BB721" i="1" s="1"/>
  <c r="BB722" i="1" s="1"/>
  <c r="BB723" i="1" s="1"/>
  <c r="BB724" i="1" s="1"/>
  <c r="BB725" i="1" s="1"/>
  <c r="BB726" i="1" s="1"/>
  <c r="BB727" i="1" s="1"/>
  <c r="BB728" i="1" s="1"/>
  <c r="BB729" i="1" s="1"/>
  <c r="BB730" i="1" s="1"/>
  <c r="BB731" i="1" s="1"/>
  <c r="BB732" i="1" s="1"/>
  <c r="BB733" i="1" s="1"/>
  <c r="BB734" i="1" s="1"/>
  <c r="BB735" i="1" s="1"/>
  <c r="BB736" i="1" s="1"/>
  <c r="BB737" i="1" s="1"/>
  <c r="BB738" i="1" s="1"/>
  <c r="BC23" i="1"/>
  <c r="BT22" i="1"/>
  <c r="AD167" i="1"/>
  <c r="BJ166" i="1"/>
  <c r="AD101" i="1"/>
  <c r="BK100" i="1"/>
  <c r="BI100" i="1"/>
  <c r="BP100" i="1" s="1"/>
  <c r="AF30" i="1"/>
  <c r="BI29" i="1"/>
  <c r="BP29" i="1" s="1"/>
  <c r="BK29" i="1"/>
  <c r="AI4" i="8"/>
  <c r="BC4" i="8" s="1"/>
  <c r="A5" i="1"/>
  <c r="S5" i="1" s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77" i="1"/>
  <c r="A78" i="1"/>
  <c r="A79" i="1"/>
  <c r="A80" i="1"/>
  <c r="A81" i="1"/>
  <c r="A82" i="1"/>
  <c r="A83" i="1"/>
  <c r="A84" i="1"/>
  <c r="A85" i="1"/>
  <c r="A86" i="1"/>
  <c r="A87" i="1"/>
  <c r="A88" i="1"/>
  <c r="A89" i="1"/>
  <c r="A90" i="1"/>
  <c r="A91" i="1"/>
  <c r="A92" i="1"/>
  <c r="A93" i="1"/>
  <c r="A94" i="1"/>
  <c r="A95" i="1"/>
  <c r="A96" i="1"/>
  <c r="A97" i="1"/>
  <c r="A98" i="1"/>
  <c r="A99" i="1"/>
  <c r="A100" i="1"/>
  <c r="A101" i="1"/>
  <c r="A102" i="1"/>
  <c r="A103" i="1"/>
  <c r="A104" i="1"/>
  <c r="A105" i="1"/>
  <c r="A106" i="1"/>
  <c r="A107" i="1"/>
  <c r="A108" i="1"/>
  <c r="A109" i="1"/>
  <c r="A110" i="1"/>
  <c r="A111" i="1"/>
  <c r="A112" i="1"/>
  <c r="A113" i="1"/>
  <c r="A114" i="1"/>
  <c r="A115" i="1"/>
  <c r="A116" i="1"/>
  <c r="A117" i="1"/>
  <c r="A118" i="1"/>
  <c r="A119" i="1"/>
  <c r="A120" i="1"/>
  <c r="A121" i="1"/>
  <c r="A122" i="1"/>
  <c r="A123" i="1"/>
  <c r="A124" i="1"/>
  <c r="A125" i="1"/>
  <c r="A126" i="1"/>
  <c r="A127" i="1"/>
  <c r="A128" i="1"/>
  <c r="A129" i="1"/>
  <c r="A130" i="1"/>
  <c r="A131" i="1"/>
  <c r="A132" i="1"/>
  <c r="A133" i="1"/>
  <c r="A134" i="1"/>
  <c r="A135" i="1"/>
  <c r="A136" i="1"/>
  <c r="A137" i="1"/>
  <c r="A138" i="1"/>
  <c r="A139" i="1"/>
  <c r="A140" i="1"/>
  <c r="A141" i="1"/>
  <c r="A142" i="1"/>
  <c r="A143" i="1"/>
  <c r="A144" i="1"/>
  <c r="A145" i="1"/>
  <c r="A146" i="1"/>
  <c r="A147" i="1"/>
  <c r="A148" i="1"/>
  <c r="A149" i="1"/>
  <c r="A150" i="1"/>
  <c r="A151" i="1"/>
  <c r="A152" i="1"/>
  <c r="A153" i="1"/>
  <c r="A154" i="1"/>
  <c r="A155" i="1"/>
  <c r="A156" i="1"/>
  <c r="A157" i="1"/>
  <c r="A158" i="1"/>
  <c r="A159" i="1"/>
  <c r="A160" i="1"/>
  <c r="A161" i="1"/>
  <c r="A162" i="1"/>
  <c r="A163" i="1"/>
  <c r="A164" i="1"/>
  <c r="A165" i="1"/>
  <c r="A166" i="1"/>
  <c r="A167" i="1"/>
  <c r="A168" i="1"/>
  <c r="A169" i="1"/>
  <c r="A170" i="1"/>
  <c r="A171" i="1"/>
  <c r="A172" i="1"/>
  <c r="A173" i="1"/>
  <c r="A174" i="1"/>
  <c r="A175" i="1"/>
  <c r="A176" i="1"/>
  <c r="A177" i="1"/>
  <c r="A178" i="1"/>
  <c r="A179" i="1"/>
  <c r="A180" i="1"/>
  <c r="A181" i="1"/>
  <c r="A182" i="1"/>
  <c r="A183" i="1"/>
  <c r="A184" i="1"/>
  <c r="A185" i="1"/>
  <c r="A186" i="1"/>
  <c r="A187" i="1"/>
  <c r="A188" i="1"/>
  <c r="A189" i="1"/>
  <c r="A190" i="1"/>
  <c r="A191" i="1"/>
  <c r="A192" i="1"/>
  <c r="A193" i="1"/>
  <c r="A194" i="1"/>
  <c r="A195" i="1"/>
  <c r="A196" i="1"/>
  <c r="A197" i="1"/>
  <c r="A198" i="1"/>
  <c r="A199" i="1"/>
  <c r="A200" i="1"/>
  <c r="A201" i="1"/>
  <c r="A202" i="1"/>
  <c r="A203" i="1"/>
  <c r="A204" i="1"/>
  <c r="A205" i="1"/>
  <c r="A206" i="1"/>
  <c r="A207" i="1"/>
  <c r="A208" i="1"/>
  <c r="A209" i="1"/>
  <c r="A210" i="1"/>
  <c r="A211" i="1"/>
  <c r="A212" i="1"/>
  <c r="A213" i="1"/>
  <c r="A214" i="1"/>
  <c r="A215" i="1"/>
  <c r="A216" i="1"/>
  <c r="A217" i="1"/>
  <c r="A218" i="1"/>
  <c r="A219" i="1"/>
  <c r="A220" i="1"/>
  <c r="A221" i="1"/>
  <c r="A222" i="1"/>
  <c r="A223" i="1"/>
  <c r="A224" i="1"/>
  <c r="A225" i="1"/>
  <c r="A226" i="1"/>
  <c r="A227" i="1"/>
  <c r="A228" i="1"/>
  <c r="A229" i="1"/>
  <c r="A230" i="1"/>
  <c r="A231" i="1"/>
  <c r="A232" i="1"/>
  <c r="A233" i="1"/>
  <c r="A234" i="1"/>
  <c r="A235" i="1"/>
  <c r="A236" i="1"/>
  <c r="A237" i="1"/>
  <c r="A238" i="1"/>
  <c r="A239" i="1"/>
  <c r="A240" i="1"/>
  <c r="A241" i="1"/>
  <c r="A242" i="1"/>
  <c r="A243" i="1"/>
  <c r="A244" i="1"/>
  <c r="A245" i="1"/>
  <c r="A246" i="1"/>
  <c r="A247" i="1"/>
  <c r="A248" i="1"/>
  <c r="A249" i="1"/>
  <c r="A250" i="1"/>
  <c r="A251" i="1"/>
  <c r="A252" i="1"/>
  <c r="A253" i="1"/>
  <c r="A254" i="1"/>
  <c r="A255" i="1"/>
  <c r="A256" i="1"/>
  <c r="A257" i="1"/>
  <c r="A258" i="1"/>
  <c r="A259" i="1"/>
  <c r="A260" i="1"/>
  <c r="A261" i="1"/>
  <c r="A262" i="1"/>
  <c r="A263" i="1"/>
  <c r="A264" i="1"/>
  <c r="A265" i="1"/>
  <c r="A266" i="1"/>
  <c r="A267" i="1"/>
  <c r="A268" i="1"/>
  <c r="A269" i="1"/>
  <c r="A270" i="1"/>
  <c r="A271" i="1"/>
  <c r="A272" i="1"/>
  <c r="A273" i="1"/>
  <c r="A274" i="1"/>
  <c r="A275" i="1"/>
  <c r="A276" i="1"/>
  <c r="A277" i="1"/>
  <c r="A278" i="1"/>
  <c r="A279" i="1"/>
  <c r="A280" i="1"/>
  <c r="A281" i="1"/>
  <c r="A282" i="1"/>
  <c r="A283" i="1"/>
  <c r="A284" i="1"/>
  <c r="A285" i="1"/>
  <c r="A286" i="1"/>
  <c r="A287" i="1"/>
  <c r="A288" i="1"/>
  <c r="A289" i="1"/>
  <c r="A290" i="1"/>
  <c r="A291" i="1"/>
  <c r="A292" i="1"/>
  <c r="A293" i="1"/>
  <c r="A294" i="1"/>
  <c r="A295" i="1"/>
  <c r="A296" i="1"/>
  <c r="A297" i="1"/>
  <c r="A298" i="1"/>
  <c r="A299" i="1"/>
  <c r="A300" i="1"/>
  <c r="A301" i="1"/>
  <c r="A302" i="1"/>
  <c r="A303" i="1"/>
  <c r="A304" i="1"/>
  <c r="A305" i="1"/>
  <c r="A306" i="1"/>
  <c r="A307" i="1"/>
  <c r="A308" i="1"/>
  <c r="A309" i="1"/>
  <c r="A310" i="1"/>
  <c r="A311" i="1"/>
  <c r="A312" i="1"/>
  <c r="A313" i="1"/>
  <c r="A314" i="1"/>
  <c r="A315" i="1"/>
  <c r="A316" i="1"/>
  <c r="A317" i="1"/>
  <c r="A318" i="1"/>
  <c r="A319" i="1"/>
  <c r="A320" i="1"/>
  <c r="A321" i="1"/>
  <c r="A322" i="1"/>
  <c r="A323" i="1"/>
  <c r="A324" i="1"/>
  <c r="A325" i="1"/>
  <c r="A326" i="1"/>
  <c r="A327" i="1"/>
  <c r="A328" i="1"/>
  <c r="A329" i="1"/>
  <c r="A330" i="1"/>
  <c r="A331" i="1"/>
  <c r="A332" i="1"/>
  <c r="A333" i="1"/>
  <c r="A334" i="1"/>
  <c r="A335" i="1"/>
  <c r="A336" i="1"/>
  <c r="A337" i="1"/>
  <c r="A338" i="1"/>
  <c r="A339" i="1"/>
  <c r="A340" i="1"/>
  <c r="A341" i="1"/>
  <c r="A342" i="1"/>
  <c r="A343" i="1"/>
  <c r="A344" i="1"/>
  <c r="A345" i="1"/>
  <c r="A346" i="1"/>
  <c r="A347" i="1"/>
  <c r="A348" i="1"/>
  <c r="A349" i="1"/>
  <c r="A350" i="1"/>
  <c r="A351" i="1"/>
  <c r="A352" i="1"/>
  <c r="A353" i="1"/>
  <c r="A354" i="1"/>
  <c r="A355" i="1"/>
  <c r="A356" i="1"/>
  <c r="A357" i="1"/>
  <c r="A358" i="1"/>
  <c r="A359" i="1"/>
  <c r="A360" i="1"/>
  <c r="A361" i="1"/>
  <c r="A362" i="1"/>
  <c r="A363" i="1"/>
  <c r="A364" i="1"/>
  <c r="A365" i="1"/>
  <c r="A366" i="1"/>
  <c r="A367" i="1"/>
  <c r="A368" i="1"/>
  <c r="A369" i="1"/>
  <c r="A370" i="1"/>
  <c r="A371" i="1"/>
  <c r="A372" i="1"/>
  <c r="A373" i="1"/>
  <c r="A374" i="1"/>
  <c r="A375" i="1"/>
  <c r="A376" i="1"/>
  <c r="A377" i="1"/>
  <c r="A378" i="1"/>
  <c r="A379" i="1"/>
  <c r="A380" i="1"/>
  <c r="A381" i="1"/>
  <c r="A382" i="1"/>
  <c r="A383" i="1"/>
  <c r="A384" i="1"/>
  <c r="A385" i="1"/>
  <c r="A386" i="1"/>
  <c r="A387" i="1"/>
  <c r="A388" i="1"/>
  <c r="A389" i="1"/>
  <c r="A390" i="1"/>
  <c r="A391" i="1"/>
  <c r="A392" i="1"/>
  <c r="A393" i="1"/>
  <c r="A394" i="1"/>
  <c r="A395" i="1"/>
  <c r="A396" i="1"/>
  <c r="A397" i="1"/>
  <c r="A398" i="1"/>
  <c r="A399" i="1"/>
  <c r="A400" i="1"/>
  <c r="A401" i="1"/>
  <c r="A402" i="1"/>
  <c r="A403" i="1"/>
  <c r="A404" i="1"/>
  <c r="A405" i="1"/>
  <c r="A406" i="1"/>
  <c r="A407" i="1"/>
  <c r="A408" i="1"/>
  <c r="A409" i="1"/>
  <c r="A410" i="1"/>
  <c r="A411" i="1"/>
  <c r="A412" i="1"/>
  <c r="A413" i="1"/>
  <c r="A414" i="1"/>
  <c r="A415" i="1"/>
  <c r="A416" i="1"/>
  <c r="A417" i="1"/>
  <c r="A418" i="1"/>
  <c r="A419" i="1"/>
  <c r="A420" i="1"/>
  <c r="A421" i="1"/>
  <c r="A422" i="1"/>
  <c r="A423" i="1"/>
  <c r="A424" i="1"/>
  <c r="A425" i="1"/>
  <c r="A426" i="1"/>
  <c r="A427" i="1"/>
  <c r="A428" i="1"/>
  <c r="A429" i="1"/>
  <c r="A430" i="1"/>
  <c r="A431" i="1"/>
  <c r="A432" i="1"/>
  <c r="A433" i="1"/>
  <c r="A434" i="1"/>
  <c r="A435" i="1"/>
  <c r="A436" i="1"/>
  <c r="A437" i="1"/>
  <c r="A438" i="1"/>
  <c r="A439" i="1"/>
  <c r="A440" i="1"/>
  <c r="A441" i="1"/>
  <c r="A442" i="1"/>
  <c r="A443" i="1"/>
  <c r="A444" i="1"/>
  <c r="A445" i="1"/>
  <c r="A446" i="1"/>
  <c r="A447" i="1"/>
  <c r="A448" i="1"/>
  <c r="A449" i="1"/>
  <c r="A450" i="1"/>
  <c r="A451" i="1"/>
  <c r="A452" i="1"/>
  <c r="A453" i="1"/>
  <c r="A454" i="1"/>
  <c r="A455" i="1"/>
  <c r="A456" i="1"/>
  <c r="A457" i="1"/>
  <c r="A458" i="1"/>
  <c r="A459" i="1"/>
  <c r="A460" i="1"/>
  <c r="A461" i="1"/>
  <c r="A462" i="1"/>
  <c r="A463" i="1"/>
  <c r="A464" i="1"/>
  <c r="A465" i="1"/>
  <c r="A466" i="1"/>
  <c r="A467" i="1"/>
  <c r="A468" i="1"/>
  <c r="A469" i="1"/>
  <c r="A470" i="1"/>
  <c r="A471" i="1"/>
  <c r="A472" i="1"/>
  <c r="A473" i="1"/>
  <c r="A474" i="1"/>
  <c r="A475" i="1"/>
  <c r="A476" i="1"/>
  <c r="A477" i="1"/>
  <c r="A478" i="1"/>
  <c r="A479" i="1"/>
  <c r="A480" i="1"/>
  <c r="A481" i="1"/>
  <c r="A482" i="1"/>
  <c r="A483" i="1"/>
  <c r="A484" i="1"/>
  <c r="A485" i="1"/>
  <c r="A486" i="1"/>
  <c r="A487" i="1"/>
  <c r="A488" i="1"/>
  <c r="A489" i="1"/>
  <c r="A490" i="1"/>
  <c r="A491" i="1"/>
  <c r="A492" i="1"/>
  <c r="A493" i="1"/>
  <c r="A494" i="1"/>
  <c r="A495" i="1"/>
  <c r="A496" i="1"/>
  <c r="A497" i="1"/>
  <c r="A498" i="1"/>
  <c r="A499" i="1"/>
  <c r="A500" i="1"/>
  <c r="A501" i="1"/>
  <c r="A502" i="1"/>
  <c r="A503" i="1"/>
  <c r="A504" i="1"/>
  <c r="A505" i="1"/>
  <c r="A506" i="1"/>
  <c r="A507" i="1"/>
  <c r="A508" i="1"/>
  <c r="A509" i="1"/>
  <c r="A510" i="1"/>
  <c r="A511" i="1"/>
  <c r="A512" i="1"/>
  <c r="A513" i="1"/>
  <c r="A514" i="1"/>
  <c r="A515" i="1"/>
  <c r="A516" i="1"/>
  <c r="A517" i="1"/>
  <c r="A518" i="1"/>
  <c r="A519" i="1"/>
  <c r="A520" i="1"/>
  <c r="A521" i="1"/>
  <c r="A522" i="1"/>
  <c r="A523" i="1"/>
  <c r="A524" i="1"/>
  <c r="A525" i="1"/>
  <c r="A526" i="1"/>
  <c r="A527" i="1"/>
  <c r="A528" i="1"/>
  <c r="A529" i="1"/>
  <c r="A530" i="1"/>
  <c r="A531" i="1"/>
  <c r="A532" i="1"/>
  <c r="A533" i="1"/>
  <c r="A534" i="1"/>
  <c r="A535" i="1"/>
  <c r="A536" i="1"/>
  <c r="A537" i="1"/>
  <c r="A538" i="1"/>
  <c r="A539" i="1"/>
  <c r="A540" i="1"/>
  <c r="A541" i="1"/>
  <c r="A542" i="1"/>
  <c r="A543" i="1"/>
  <c r="A544" i="1"/>
  <c r="A545" i="1"/>
  <c r="A546" i="1"/>
  <c r="A547" i="1"/>
  <c r="A548" i="1"/>
  <c r="A549" i="1"/>
  <c r="A550" i="1"/>
  <c r="A551" i="1"/>
  <c r="A552" i="1"/>
  <c r="A553" i="1"/>
  <c r="A554" i="1"/>
  <c r="A555" i="1"/>
  <c r="A556" i="1"/>
  <c r="A557" i="1"/>
  <c r="A558" i="1"/>
  <c r="A559" i="1"/>
  <c r="A560" i="1"/>
  <c r="A561" i="1"/>
  <c r="A562" i="1"/>
  <c r="A563" i="1"/>
  <c r="A564" i="1"/>
  <c r="A565" i="1"/>
  <c r="A566" i="1"/>
  <c r="A567" i="1"/>
  <c r="A568" i="1"/>
  <c r="A569" i="1"/>
  <c r="A570" i="1"/>
  <c r="A571" i="1"/>
  <c r="A572" i="1"/>
  <c r="A573" i="1"/>
  <c r="A574" i="1"/>
  <c r="A575" i="1"/>
  <c r="A576" i="1"/>
  <c r="A577" i="1"/>
  <c r="A578" i="1"/>
  <c r="A579" i="1"/>
  <c r="A580" i="1"/>
  <c r="A581" i="1"/>
  <c r="A582" i="1"/>
  <c r="A583" i="1"/>
  <c r="A584" i="1"/>
  <c r="A585" i="1"/>
  <c r="A586" i="1"/>
  <c r="A587" i="1"/>
  <c r="A588" i="1"/>
  <c r="A589" i="1"/>
  <c r="A590" i="1"/>
  <c r="A591" i="1"/>
  <c r="A592" i="1"/>
  <c r="A593" i="1"/>
  <c r="A594" i="1"/>
  <c r="A595" i="1"/>
  <c r="A596" i="1"/>
  <c r="A597" i="1"/>
  <c r="A598" i="1"/>
  <c r="A599" i="1"/>
  <c r="A600" i="1"/>
  <c r="A601" i="1"/>
  <c r="A602" i="1"/>
  <c r="A603" i="1"/>
  <c r="A604" i="1"/>
  <c r="A605" i="1"/>
  <c r="A606" i="1"/>
  <c r="A607" i="1"/>
  <c r="A608" i="1"/>
  <c r="A609" i="1"/>
  <c r="A610" i="1"/>
  <c r="A611" i="1"/>
  <c r="A612" i="1"/>
  <c r="A613" i="1"/>
  <c r="A614" i="1"/>
  <c r="A615" i="1"/>
  <c r="A616" i="1"/>
  <c r="A617" i="1"/>
  <c r="A618" i="1"/>
  <c r="A619" i="1"/>
  <c r="A620" i="1"/>
  <c r="A621" i="1"/>
  <c r="A622" i="1"/>
  <c r="A623" i="1"/>
  <c r="A624" i="1"/>
  <c r="A625" i="1"/>
  <c r="A626" i="1"/>
  <c r="A627" i="1"/>
  <c r="A628" i="1"/>
  <c r="A629" i="1"/>
  <c r="A630" i="1"/>
  <c r="A631" i="1"/>
  <c r="A632" i="1"/>
  <c r="A633" i="1"/>
  <c r="A634" i="1"/>
  <c r="A635" i="1"/>
  <c r="A636" i="1"/>
  <c r="A637" i="1"/>
  <c r="A638" i="1"/>
  <c r="A639" i="1"/>
  <c r="A640" i="1"/>
  <c r="A641" i="1"/>
  <c r="A642" i="1"/>
  <c r="A643" i="1"/>
  <c r="A646" i="1"/>
  <c r="A647" i="1"/>
  <c r="A648" i="1"/>
  <c r="A649" i="1"/>
  <c r="A650" i="1"/>
  <c r="A651" i="1"/>
  <c r="A652" i="1"/>
  <c r="A653" i="1"/>
  <c r="A654" i="1"/>
  <c r="A655" i="1"/>
  <c r="A656" i="1"/>
  <c r="A657" i="1"/>
  <c r="A658" i="1"/>
  <c r="A659" i="1"/>
  <c r="A660" i="1"/>
  <c r="A661" i="1"/>
  <c r="A662" i="1"/>
  <c r="A663" i="1"/>
  <c r="A664" i="1"/>
  <c r="A665" i="1"/>
  <c r="A666" i="1"/>
  <c r="A667" i="1"/>
  <c r="A668" i="1"/>
  <c r="A669" i="1"/>
  <c r="A670" i="1"/>
  <c r="A671" i="1"/>
  <c r="A672" i="1"/>
  <c r="A673" i="1"/>
  <c r="A674" i="1"/>
  <c r="A675" i="1"/>
  <c r="A676" i="1"/>
  <c r="A677" i="1"/>
  <c r="A678" i="1"/>
  <c r="A679" i="1"/>
  <c r="A680" i="1"/>
  <c r="A681" i="1"/>
  <c r="A682" i="1"/>
  <c r="A683" i="1"/>
  <c r="A684" i="1"/>
  <c r="A685" i="1"/>
  <c r="A686" i="1"/>
  <c r="A687" i="1"/>
  <c r="A688" i="1"/>
  <c r="A689" i="1"/>
  <c r="A690" i="1"/>
  <c r="A691" i="1"/>
  <c r="A692" i="1"/>
  <c r="A693" i="1"/>
  <c r="A694" i="1"/>
  <c r="A695" i="1"/>
  <c r="A696" i="1"/>
  <c r="A697" i="1"/>
  <c r="A698" i="1"/>
  <c r="A699" i="1"/>
  <c r="A700" i="1"/>
  <c r="A701" i="1"/>
  <c r="A702" i="1"/>
  <c r="A703" i="1"/>
  <c r="A704" i="1"/>
  <c r="A705" i="1"/>
  <c r="A706" i="1"/>
  <c r="A707" i="1"/>
  <c r="A708" i="1"/>
  <c r="A709" i="1"/>
  <c r="A710" i="1"/>
  <c r="A711" i="1"/>
  <c r="A712" i="1"/>
  <c r="A713" i="1"/>
  <c r="A714" i="1"/>
  <c r="A715" i="1"/>
  <c r="A716" i="1"/>
  <c r="A717" i="1"/>
  <c r="A718" i="1"/>
  <c r="A719" i="1"/>
  <c r="A720" i="1"/>
  <c r="A721" i="1"/>
  <c r="A722" i="1"/>
  <c r="A723" i="1"/>
  <c r="A724" i="1"/>
  <c r="A725" i="1"/>
  <c r="A726" i="1"/>
  <c r="A727" i="1"/>
  <c r="A728" i="1"/>
  <c r="A729" i="1"/>
  <c r="A730" i="1"/>
  <c r="A731" i="1"/>
  <c r="A732" i="1"/>
  <c r="A733" i="1"/>
  <c r="A734" i="1"/>
  <c r="A735" i="1"/>
  <c r="A736" i="1"/>
  <c r="A737" i="1"/>
  <c r="A738" i="1"/>
  <c r="BT496" i="1" l="1"/>
  <c r="BS496" i="1" s="1"/>
  <c r="BT605" i="1"/>
  <c r="BS605" i="1" s="1"/>
  <c r="BT628" i="1"/>
  <c r="BS628" i="1" s="1"/>
  <c r="BT623" i="1"/>
  <c r="BS623" i="1" s="1"/>
  <c r="BT691" i="1"/>
  <c r="BS691" i="1" s="1"/>
  <c r="BT670" i="1"/>
  <c r="BS670" i="1" s="1"/>
  <c r="BT614" i="1"/>
  <c r="BS614" i="1" s="1"/>
  <c r="BT573" i="1"/>
  <c r="BS573" i="1" s="1"/>
  <c r="BT679" i="1"/>
  <c r="BS679" i="1" s="1"/>
  <c r="BT697" i="1"/>
  <c r="BS697" i="1" s="1"/>
  <c r="BT701" i="1"/>
  <c r="BS701" i="1" s="1"/>
  <c r="BT565" i="1"/>
  <c r="BS565" i="1" s="1"/>
  <c r="BT567" i="1"/>
  <c r="BS567" i="1" s="1"/>
  <c r="BT480" i="1"/>
  <c r="BS480" i="1" s="1"/>
  <c r="BT643" i="1"/>
  <c r="BS643" i="1" s="1"/>
  <c r="BT678" i="1"/>
  <c r="BS678" i="1" s="1"/>
  <c r="BT481" i="1"/>
  <c r="BS481" i="1" s="1"/>
  <c r="BT672" i="1"/>
  <c r="BS672" i="1" s="1"/>
  <c r="BT538" i="1"/>
  <c r="BS538" i="1" s="1"/>
  <c r="BT680" i="1"/>
  <c r="BS680" i="1" s="1"/>
  <c r="BT473" i="1"/>
  <c r="BS473" i="1" s="1"/>
  <c r="BT642" i="1"/>
  <c r="BS642" i="1" s="1"/>
  <c r="BT632" i="1"/>
  <c r="BS632" i="1" s="1"/>
  <c r="BT503" i="1"/>
  <c r="BS503" i="1" s="1"/>
  <c r="BT491" i="1"/>
  <c r="BS491" i="1" s="1"/>
  <c r="BT600" i="1"/>
  <c r="BS600" i="1" s="1"/>
  <c r="BT706" i="1"/>
  <c r="BS706" i="1" s="1"/>
  <c r="BT598" i="1"/>
  <c r="BS598" i="1" s="1"/>
  <c r="BT677" i="1"/>
  <c r="BS677" i="1" s="1"/>
  <c r="BT639" i="1"/>
  <c r="BS639" i="1" s="1"/>
  <c r="BT617" i="1"/>
  <c r="BS617" i="1" s="1"/>
  <c r="BT464" i="1"/>
  <c r="BT689" i="1"/>
  <c r="BS689" i="1" s="1"/>
  <c r="BT612" i="1"/>
  <c r="BS612" i="1" s="1"/>
  <c r="BT518" i="1"/>
  <c r="BS518" i="1" s="1"/>
  <c r="BT530" i="1"/>
  <c r="BS530" i="1" s="1"/>
  <c r="BT665" i="1"/>
  <c r="BS665" i="1" s="1"/>
  <c r="BT582" i="1"/>
  <c r="BS582" i="1" s="1"/>
  <c r="BT460" i="1"/>
  <c r="BT504" i="1"/>
  <c r="BS504" i="1" s="1"/>
  <c r="BT561" i="1"/>
  <c r="BS561" i="1" s="1"/>
  <c r="BT527" i="1"/>
  <c r="BS527" i="1" s="1"/>
  <c r="BT559" i="1"/>
  <c r="BS559" i="1" s="1"/>
  <c r="BT545" i="1"/>
  <c r="BS545" i="1" s="1"/>
  <c r="BT562" i="1"/>
  <c r="BS562" i="1" s="1"/>
  <c r="BT621" i="1"/>
  <c r="BS621" i="1" s="1"/>
  <c r="BT579" i="1"/>
  <c r="BS579" i="1" s="1"/>
  <c r="BT510" i="1"/>
  <c r="BS510" i="1" s="1"/>
  <c r="BT664" i="1"/>
  <c r="BS664" i="1" s="1"/>
  <c r="BT660" i="1"/>
  <c r="BS660" i="1" s="1"/>
  <c r="BT531" i="1"/>
  <c r="BS531" i="1" s="1"/>
  <c r="BT483" i="1"/>
  <c r="BS483" i="1" s="1"/>
  <c r="BT505" i="1"/>
  <c r="BS505" i="1" s="1"/>
  <c r="BT599" i="1"/>
  <c r="BS599" i="1" s="1"/>
  <c r="BT703" i="1"/>
  <c r="BS703" i="1" s="1"/>
  <c r="BT479" i="1"/>
  <c r="BS479" i="1" s="1"/>
  <c r="BT484" i="1"/>
  <c r="BS484" i="1" s="1"/>
  <c r="BT709" i="1"/>
  <c r="BS709" i="1" s="1"/>
  <c r="BT686" i="1"/>
  <c r="BS686" i="1" s="1"/>
  <c r="BT486" i="1"/>
  <c r="BS486" i="1" s="1"/>
  <c r="BT537" i="1"/>
  <c r="BS537" i="1" s="1"/>
  <c r="BT711" i="1"/>
  <c r="BS711" i="1" s="1"/>
  <c r="BT606" i="1"/>
  <c r="BS606" i="1" s="1"/>
  <c r="BT519" i="1"/>
  <c r="BS519" i="1" s="1"/>
  <c r="BT494" i="1"/>
  <c r="BS494" i="1" s="1"/>
  <c r="BT649" i="1"/>
  <c r="BS649" i="1" s="1"/>
  <c r="BT498" i="1"/>
  <c r="BS498" i="1" s="1"/>
  <c r="BT459" i="1"/>
  <c r="BT653" i="1"/>
  <c r="BS653" i="1" s="1"/>
  <c r="BT688" i="1"/>
  <c r="BS688" i="1" s="1"/>
  <c r="BT607" i="1"/>
  <c r="BS607" i="1" s="1"/>
  <c r="BT698" i="1"/>
  <c r="BS698" i="1" s="1"/>
  <c r="BT669" i="1"/>
  <c r="BS669" i="1" s="1"/>
  <c r="BT655" i="1"/>
  <c r="BS655" i="1" s="1"/>
  <c r="BT626" i="1"/>
  <c r="BS626" i="1" s="1"/>
  <c r="BT534" i="1"/>
  <c r="BS534" i="1" s="1"/>
  <c r="BT475" i="1"/>
  <c r="BS475" i="1" s="1"/>
  <c r="BT604" i="1"/>
  <c r="BS604" i="1" s="1"/>
  <c r="BT525" i="1"/>
  <c r="BS525" i="1" s="1"/>
  <c r="BT676" i="1"/>
  <c r="BS676" i="1" s="1"/>
  <c r="BT638" i="1"/>
  <c r="BS638" i="1" s="1"/>
  <c r="BT721" i="1"/>
  <c r="BS721" i="1" s="1"/>
  <c r="BT729" i="1"/>
  <c r="BS729" i="1" s="1"/>
  <c r="BT687" i="1"/>
  <c r="BS687" i="1" s="1"/>
  <c r="BT569" i="1"/>
  <c r="BS569" i="1" s="1"/>
  <c r="BT609" i="1"/>
  <c r="BS609" i="1" s="1"/>
  <c r="BT694" i="1"/>
  <c r="BS694" i="1" s="1"/>
  <c r="BT583" i="1"/>
  <c r="BS583" i="1" s="1"/>
  <c r="BT500" i="1"/>
  <c r="BS500" i="1" s="1"/>
  <c r="AS653" i="1"/>
  <c r="AS623" i="1"/>
  <c r="AS664" i="1"/>
  <c r="AS606" i="1"/>
  <c r="AS687" i="1"/>
  <c r="AS655" i="1"/>
  <c r="AS505" i="1"/>
  <c r="AS703" i="1"/>
  <c r="AS632" i="1"/>
  <c r="AS525" i="1"/>
  <c r="AS676" i="1"/>
  <c r="AS721" i="1"/>
  <c r="AS729" i="1"/>
  <c r="AS713" i="1"/>
  <c r="AS726" i="1"/>
  <c r="AS591" i="1"/>
  <c r="AS583" i="1"/>
  <c r="AS562" i="1"/>
  <c r="AS604" i="1"/>
  <c r="AF320" i="1"/>
  <c r="BI319" i="1"/>
  <c r="AD341" i="1"/>
  <c r="BJ340" i="1"/>
  <c r="BK340" i="1" s="1"/>
  <c r="BN340" i="1"/>
  <c r="BO340" i="1" s="1"/>
  <c r="BP340" i="1" s="1"/>
  <c r="AF410" i="1"/>
  <c r="BI409" i="1"/>
  <c r="AD417" i="1"/>
  <c r="BJ416" i="1"/>
  <c r="BN416" i="1"/>
  <c r="BO416" i="1" s="1"/>
  <c r="AF416" i="1"/>
  <c r="AF401" i="1"/>
  <c r="BI401" i="1" s="1"/>
  <c r="BI400" i="1"/>
  <c r="BT299" i="1"/>
  <c r="BS299" i="1" s="1"/>
  <c r="BR299" i="1"/>
  <c r="BQ299" i="1" s="1"/>
  <c r="BT51" i="1"/>
  <c r="AS233" i="1"/>
  <c r="BT233" i="1"/>
  <c r="BS233" i="1" s="1"/>
  <c r="AS331" i="1"/>
  <c r="BT331" i="1"/>
  <c r="BS331" i="1" s="1"/>
  <c r="BR51" i="1"/>
  <c r="BT131" i="1"/>
  <c r="BS131" i="1" s="1"/>
  <c r="BS308" i="1"/>
  <c r="BR331" i="1"/>
  <c r="BQ331" i="1" s="1"/>
  <c r="BT407" i="1"/>
  <c r="BS104" i="1"/>
  <c r="BR369" i="1"/>
  <c r="BQ369" i="1" s="1"/>
  <c r="AS171" i="1"/>
  <c r="BT171" i="1"/>
  <c r="BS171" i="1" s="1"/>
  <c r="AS432" i="1"/>
  <c r="BT432" i="1"/>
  <c r="BS432" i="1" s="1"/>
  <c r="AS207" i="1"/>
  <c r="BT207" i="1"/>
  <c r="BS207" i="1" s="1"/>
  <c r="BT47" i="1"/>
  <c r="BS47" i="1" s="1"/>
  <c r="BS68" i="1"/>
  <c r="AS137" i="1"/>
  <c r="BT137" i="1"/>
  <c r="BS137" i="1" s="1"/>
  <c r="Y112" i="1" a="1"/>
  <c r="Y112" i="1" s="1"/>
  <c r="AH112" i="1" s="1"/>
  <c r="AS112" i="1" s="1"/>
  <c r="Y48" i="1" a="1"/>
  <c r="Y48" i="1" s="1"/>
  <c r="AH48" i="1" s="1"/>
  <c r="AS48" i="1" s="1"/>
  <c r="BT52" i="1"/>
  <c r="BS52" i="1" s="1"/>
  <c r="Y52" i="1" a="1"/>
  <c r="Y52" i="1" s="1"/>
  <c r="AH52" i="1" s="1"/>
  <c r="AS52" i="1" s="1"/>
  <c r="Y106" i="1" a="1"/>
  <c r="Y106" i="1" s="1"/>
  <c r="AH106" i="1" s="1"/>
  <c r="AS106" i="1" s="1"/>
  <c r="Y94" i="1" a="1"/>
  <c r="Y94" i="1" s="1"/>
  <c r="AH94" i="1" s="1"/>
  <c r="AS94" i="1" s="1"/>
  <c r="Y172" i="1" a="1"/>
  <c r="Y172" i="1" s="1"/>
  <c r="AH172" i="1" s="1"/>
  <c r="Y153" i="1" a="1"/>
  <c r="Y153" i="1" s="1"/>
  <c r="AH153" i="1" s="1"/>
  <c r="Y375" i="1" a="1"/>
  <c r="Y375" i="1" s="1"/>
  <c r="AH375" i="1" s="1"/>
  <c r="Y401" i="1" a="1"/>
  <c r="Y401" i="1" s="1"/>
  <c r="AH401" i="1" s="1"/>
  <c r="AS401" i="1" s="1"/>
  <c r="Y218" i="1" a="1"/>
  <c r="Y218" i="1" s="1"/>
  <c r="AH218" i="1" s="1"/>
  <c r="AS218" i="1" s="1"/>
  <c r="Y385" i="1" a="1"/>
  <c r="Y385" i="1" s="1"/>
  <c r="AH385" i="1" s="1"/>
  <c r="AS385" i="1" s="1"/>
  <c r="Y318" i="1" a="1"/>
  <c r="Y318" i="1" s="1"/>
  <c r="AH318" i="1" s="1"/>
  <c r="AS318" i="1" s="1"/>
  <c r="Y359" i="1" a="1"/>
  <c r="Y359" i="1" s="1"/>
  <c r="AH359" i="1" s="1"/>
  <c r="AS359" i="1" s="1"/>
  <c r="Y345" i="1" a="1"/>
  <c r="Y345" i="1" s="1"/>
  <c r="AH345" i="1" s="1"/>
  <c r="AS345" i="1" s="1"/>
  <c r="Y430" i="1" a="1"/>
  <c r="Y430" i="1" s="1"/>
  <c r="AH430" i="1" s="1"/>
  <c r="AS430" i="1" s="1"/>
  <c r="BR379" i="1"/>
  <c r="BQ379" i="1" s="1"/>
  <c r="BR244" i="1"/>
  <c r="BQ244" i="1" s="1"/>
  <c r="BR397" i="1"/>
  <c r="BQ397" i="1" s="1"/>
  <c r="BR427" i="1"/>
  <c r="BQ427" i="1" s="1"/>
  <c r="BR220" i="1"/>
  <c r="BQ220" i="1" s="1"/>
  <c r="BT126" i="1"/>
  <c r="BS126" i="1" s="1"/>
  <c r="BR121" i="1"/>
  <c r="BQ121" i="1" s="1"/>
  <c r="BT393" i="1"/>
  <c r="BS393" i="1" s="1"/>
  <c r="BR384" i="1"/>
  <c r="BQ384" i="1" s="1"/>
  <c r="BR296" i="1"/>
  <c r="BQ296" i="1" s="1"/>
  <c r="BR158" i="1"/>
  <c r="BQ158" i="1" s="1"/>
  <c r="BR352" i="1"/>
  <c r="BQ352" i="1" s="1"/>
  <c r="BR392" i="1"/>
  <c r="BQ392" i="1" s="1"/>
  <c r="BR415" i="1"/>
  <c r="BQ415" i="1" s="1"/>
  <c r="BR190" i="1"/>
  <c r="BQ190" i="1" s="1"/>
  <c r="BR284" i="1"/>
  <c r="BQ284" i="1" s="1"/>
  <c r="BR390" i="1"/>
  <c r="BQ390" i="1" s="1"/>
  <c r="BR236" i="1"/>
  <c r="BQ236" i="1" s="1"/>
  <c r="BR265" i="1"/>
  <c r="BQ265" i="1" s="1"/>
  <c r="BR102" i="1"/>
  <c r="BQ102" i="1" s="1"/>
  <c r="BQ51" i="1"/>
  <c r="BT149" i="1"/>
  <c r="BS149" i="1" s="1"/>
  <c r="BT341" i="1"/>
  <c r="BS341" i="1" s="1"/>
  <c r="BR357" i="1"/>
  <c r="BQ357" i="1" s="1"/>
  <c r="BT231" i="1"/>
  <c r="BS231" i="1" s="1"/>
  <c r="BR125" i="1"/>
  <c r="BQ125" i="1" s="1"/>
  <c r="BR246" i="1"/>
  <c r="BQ246" i="1" s="1"/>
  <c r="BR336" i="1"/>
  <c r="BQ336" i="1" s="1"/>
  <c r="BQ308" i="1"/>
  <c r="BR308" i="1"/>
  <c r="BR111" i="1"/>
  <c r="BQ111" i="1" s="1"/>
  <c r="BT247" i="1"/>
  <c r="BS247" i="1" s="1"/>
  <c r="BN273" i="1"/>
  <c r="BO273" i="1" s="1"/>
  <c r="BP273" i="1" s="1"/>
  <c r="BJ273" i="1"/>
  <c r="AD274" i="1"/>
  <c r="BQ435" i="1"/>
  <c r="BR435" i="1"/>
  <c r="BC24" i="1"/>
  <c r="BT23" i="1"/>
  <c r="BA9" i="1"/>
  <c r="BT336" i="1"/>
  <c r="BS336" i="1" s="1"/>
  <c r="BR395" i="1"/>
  <c r="BQ395" i="1" s="1"/>
  <c r="BR162" i="1"/>
  <c r="BQ162" i="1" s="1"/>
  <c r="BR316" i="1"/>
  <c r="BQ316" i="1" s="1"/>
  <c r="BR362" i="1"/>
  <c r="BQ362" i="1" s="1"/>
  <c r="BT197" i="1"/>
  <c r="BS197" i="1" s="1"/>
  <c r="BT370" i="1"/>
  <c r="BS370" i="1" s="1"/>
  <c r="BR61" i="1"/>
  <c r="BQ61" i="1" s="1"/>
  <c r="BR238" i="1"/>
  <c r="BQ238" i="1" s="1"/>
  <c r="BT26" i="1"/>
  <c r="BR343" i="1"/>
  <c r="BQ343" i="1" s="1"/>
  <c r="BR104" i="1"/>
  <c r="BQ104" i="1" s="1"/>
  <c r="BR407" i="1"/>
  <c r="BQ407" i="1"/>
  <c r="BR148" i="1"/>
  <c r="BQ148" i="1" s="1"/>
  <c r="BR141" i="1"/>
  <c r="BQ141" i="1" s="1"/>
  <c r="BR77" i="1"/>
  <c r="BQ77" i="1" s="1"/>
  <c r="BT8" i="1"/>
  <c r="BS8" i="1" s="1"/>
  <c r="BQ446" i="1"/>
  <c r="BR446" i="1"/>
  <c r="BR275" i="1"/>
  <c r="BQ275" i="1" s="1"/>
  <c r="BR337" i="1"/>
  <c r="BQ337" i="1" s="1"/>
  <c r="BR378" i="1"/>
  <c r="BQ378" i="1" s="1"/>
  <c r="BT69" i="1"/>
  <c r="BS69" i="1" s="1"/>
  <c r="BT408" i="1"/>
  <c r="BS408" i="1" s="1"/>
  <c r="BR209" i="1"/>
  <c r="BQ209" i="1" s="1"/>
  <c r="BT78" i="1"/>
  <c r="BS78" i="1" s="1"/>
  <c r="BT529" i="1"/>
  <c r="BS529" i="1" s="1"/>
  <c r="BR443" i="1"/>
  <c r="BQ443" i="1" s="1"/>
  <c r="BQ241" i="1"/>
  <c r="BR241" i="1"/>
  <c r="BR196" i="1"/>
  <c r="BQ196" i="1" s="1"/>
  <c r="BR143" i="1"/>
  <c r="BQ143" i="1" s="1"/>
  <c r="AS8" i="1"/>
  <c r="BR8" i="1"/>
  <c r="BQ8" i="1" s="1"/>
  <c r="BT325" i="1"/>
  <c r="BS325" i="1" s="1"/>
  <c r="BT177" i="1"/>
  <c r="BS177" i="1" s="1"/>
  <c r="BR381" i="1"/>
  <c r="BQ381" i="1" s="1"/>
  <c r="BR419" i="1"/>
  <c r="BQ419" i="1" s="1"/>
  <c r="BR215" i="1"/>
  <c r="BQ215" i="1"/>
  <c r="BR256" i="1"/>
  <c r="BQ256" i="1" s="1"/>
  <c r="BR313" i="1"/>
  <c r="BQ313" i="1" s="1"/>
  <c r="BR160" i="1"/>
  <c r="BQ160" i="1" s="1"/>
  <c r="BT89" i="1"/>
  <c r="BS89" i="1" s="1"/>
  <c r="BR230" i="1"/>
  <c r="BQ230" i="1" s="1"/>
  <c r="BR217" i="1"/>
  <c r="BQ217" i="1" s="1"/>
  <c r="BR56" i="1"/>
  <c r="BQ56" i="1" s="1"/>
  <c r="BR172" i="1"/>
  <c r="BQ172" i="1" s="1"/>
  <c r="BR375" i="1"/>
  <c r="BQ375" i="1" s="1"/>
  <c r="BR278" i="1"/>
  <c r="BQ278" i="1" s="1"/>
  <c r="BR100" i="1"/>
  <c r="BQ100" i="1" s="1"/>
  <c r="BR174" i="1"/>
  <c r="BQ174" i="1" s="1"/>
  <c r="BT332" i="1"/>
  <c r="BS332" i="1" s="1"/>
  <c r="BR27" i="1"/>
  <c r="BQ27" i="1" s="1"/>
  <c r="BR68" i="1"/>
  <c r="BQ68" i="1" s="1"/>
  <c r="BR340" i="1"/>
  <c r="BQ340" i="1" s="1"/>
  <c r="BR176" i="1"/>
  <c r="BQ176" i="1" s="1"/>
  <c r="BR324" i="1"/>
  <c r="BQ324" i="1" s="1"/>
  <c r="BR171" i="1"/>
  <c r="BQ171" i="1" s="1"/>
  <c r="BR167" i="1"/>
  <c r="BQ167" i="1" s="1"/>
  <c r="BR131" i="1"/>
  <c r="BQ131" i="1" s="1"/>
  <c r="BR88" i="1"/>
  <c r="BQ88" i="1" s="1"/>
  <c r="BR152" i="1"/>
  <c r="BQ152" i="1" s="1"/>
  <c r="BR139" i="1"/>
  <c r="BQ139" i="1" s="1"/>
  <c r="Y79" i="1" a="1"/>
  <c r="Y79" i="1" s="1"/>
  <c r="AH79" i="1" s="1"/>
  <c r="AS79" i="1" s="1"/>
  <c r="Y70" i="1" a="1"/>
  <c r="Y70" i="1" s="1"/>
  <c r="AH70" i="1" s="1"/>
  <c r="AS70" i="1" s="1"/>
  <c r="Y53" i="1" a="1"/>
  <c r="Y53" i="1" s="1"/>
  <c r="AH53" i="1" s="1"/>
  <c r="AS53" i="1" s="1"/>
  <c r="Y198" i="1" a="1"/>
  <c r="Y198" i="1" s="1"/>
  <c r="AH198" i="1" s="1"/>
  <c r="AS198" i="1" s="1"/>
  <c r="Y248" i="1" a="1"/>
  <c r="Y248" i="1" s="1"/>
  <c r="AH248" i="1" s="1"/>
  <c r="AS248" i="1" s="1"/>
  <c r="Y150" i="1" a="1"/>
  <c r="Y150" i="1" s="1"/>
  <c r="AH150" i="1" s="1"/>
  <c r="AS150" i="1" s="1"/>
  <c r="Y326" i="1" a="1"/>
  <c r="Y326" i="1" s="1"/>
  <c r="AH326" i="1" s="1"/>
  <c r="AS326" i="1" s="1"/>
  <c r="Y371" i="1" a="1"/>
  <c r="Y371" i="1" s="1"/>
  <c r="AH371" i="1" s="1"/>
  <c r="AS371" i="1" s="1"/>
  <c r="Y409" i="1" a="1"/>
  <c r="Y409" i="1" s="1"/>
  <c r="AH409" i="1" s="1"/>
  <c r="AS409" i="1" s="1"/>
  <c r="Y178" i="1" a="1"/>
  <c r="Y178" i="1" s="1"/>
  <c r="AH178" i="1" s="1"/>
  <c r="AS178" i="1" s="1"/>
  <c r="BR187" i="1"/>
  <c r="BQ187" i="1" s="1"/>
  <c r="BR63" i="1"/>
  <c r="BQ63" i="1" s="1"/>
  <c r="BR47" i="1"/>
  <c r="BQ47" i="1" s="1"/>
  <c r="BR30" i="1"/>
  <c r="BQ30" i="1"/>
  <c r="BR52" i="1"/>
  <c r="BQ52" i="1" s="1"/>
  <c r="BT48" i="1"/>
  <c r="BS48" i="1" s="1"/>
  <c r="BT112" i="1"/>
  <c r="BS112" i="1" s="1"/>
  <c r="BT94" i="1"/>
  <c r="BS94" i="1" s="1"/>
  <c r="BT105" i="1"/>
  <c r="BS105" i="1" s="1"/>
  <c r="BT221" i="1"/>
  <c r="BS221" i="1" s="1"/>
  <c r="BT266" i="1"/>
  <c r="BS266" i="1" s="1"/>
  <c r="BT317" i="1"/>
  <c r="BS317" i="1" s="1"/>
  <c r="BT344" i="1"/>
  <c r="BS344" i="1" s="1"/>
  <c r="BT314" i="1"/>
  <c r="BS314" i="1" s="1"/>
  <c r="BT309" i="1"/>
  <c r="BS309" i="1" s="1"/>
  <c r="BT297" i="1"/>
  <c r="BS297" i="1" s="1"/>
  <c r="BT358" i="1"/>
  <c r="BS358" i="1" s="1"/>
  <c r="BT385" i="1"/>
  <c r="BS385" i="1" s="1"/>
  <c r="BT398" i="1"/>
  <c r="BS398" i="1" s="1"/>
  <c r="BT447" i="1"/>
  <c r="BS447" i="1" s="1"/>
  <c r="BT428" i="1"/>
  <c r="BS428" i="1" s="1"/>
  <c r="BT453" i="1"/>
  <c r="BK166" i="1"/>
  <c r="AD168" i="1"/>
  <c r="BN167" i="1"/>
  <c r="BO167" i="1" s="1"/>
  <c r="BP167" i="1" s="1"/>
  <c r="BJ167" i="1"/>
  <c r="AD206" i="1"/>
  <c r="BI205" i="1"/>
  <c r="BP205" i="1" s="1"/>
  <c r="BK205" i="1"/>
  <c r="AD31" i="1"/>
  <c r="BI30" i="1"/>
  <c r="BP30" i="1" s="1"/>
  <c r="BK30" i="1"/>
  <c r="AD102" i="1"/>
  <c r="AD103" i="1" s="1"/>
  <c r="BJ101" i="1"/>
  <c r="BN101" i="1"/>
  <c r="BO101" i="1" s="1"/>
  <c r="BP101" i="1" s="1"/>
  <c r="S6" i="1"/>
  <c r="AC4" i="11"/>
  <c r="AC5" i="11"/>
  <c r="AC6" i="11"/>
  <c r="AC7" i="11"/>
  <c r="AC8" i="11"/>
  <c r="AC9" i="11"/>
  <c r="AC10" i="11"/>
  <c r="AC11" i="11"/>
  <c r="AC12" i="11"/>
  <c r="AC13" i="11"/>
  <c r="AC14" i="11"/>
  <c r="AC15" i="11"/>
  <c r="AC16" i="11"/>
  <c r="AC17" i="11"/>
  <c r="AC18" i="11"/>
  <c r="AC19" i="11"/>
  <c r="AC20" i="11"/>
  <c r="AC21" i="11"/>
  <c r="AC22" i="11"/>
  <c r="AC23" i="11"/>
  <c r="AC24" i="11"/>
  <c r="AC25" i="11"/>
  <c r="AC26" i="11"/>
  <c r="AC27" i="11"/>
  <c r="AC28" i="11"/>
  <c r="AC29" i="11"/>
  <c r="AC3" i="11"/>
  <c r="D44" i="11" a="1"/>
  <c r="D44" i="11" s="1"/>
  <c r="C44" i="11" a="1"/>
  <c r="C44" i="11" s="1"/>
  <c r="AE3" i="1"/>
  <c r="AD3" i="1"/>
  <c r="AU2" i="1"/>
  <c r="AT2" i="1"/>
  <c r="AY2" i="1" a="1"/>
  <c r="AY2" i="1" s="1"/>
  <c r="AX2" i="1" a="1"/>
  <c r="AX2" i="1" s="1"/>
  <c r="AW2" i="1" a="1"/>
  <c r="AW2" i="1" s="1"/>
  <c r="AV2" i="1" a="1"/>
  <c r="AV2" i="1" s="1"/>
  <c r="N5" i="1"/>
  <c r="Q5" i="1"/>
  <c r="Q6" i="1"/>
  <c r="N7" i="1"/>
  <c r="Q7" i="1"/>
  <c r="N8" i="1"/>
  <c r="Q8" i="1"/>
  <c r="N9" i="1"/>
  <c r="Q9" i="1"/>
  <c r="Q10" i="1"/>
  <c r="N11" i="1"/>
  <c r="Q11" i="1"/>
  <c r="N12" i="1"/>
  <c r="Q12" i="1" s="1"/>
  <c r="N13" i="1"/>
  <c r="Q13" i="1"/>
  <c r="Q14" i="1"/>
  <c r="N15" i="1"/>
  <c r="Q15" i="1" s="1"/>
  <c r="N16" i="1"/>
  <c r="Q16" i="1"/>
  <c r="N17" i="1"/>
  <c r="Q17" i="1"/>
  <c r="N18" i="1"/>
  <c r="Q18" i="1"/>
  <c r="N19" i="1"/>
  <c r="Q19" i="1"/>
  <c r="N20" i="1"/>
  <c r="Q20" i="1"/>
  <c r="N21" i="1"/>
  <c r="Q21" i="1"/>
  <c r="N22" i="1"/>
  <c r="Q22" i="1"/>
  <c r="Q23" i="1"/>
  <c r="N24" i="1"/>
  <c r="Q24" i="1" s="1"/>
  <c r="N25" i="1"/>
  <c r="Q25" i="1" s="1"/>
  <c r="N26" i="1"/>
  <c r="Q26" i="1"/>
  <c r="N27" i="1"/>
  <c r="Q27" i="1"/>
  <c r="Q28" i="1"/>
  <c r="N29" i="1"/>
  <c r="Q29" i="1" s="1"/>
  <c r="N30" i="1"/>
  <c r="Q30" i="1"/>
  <c r="Q31" i="1"/>
  <c r="N32" i="1"/>
  <c r="Q32" i="1"/>
  <c r="N33" i="1"/>
  <c r="Q33" i="1" s="1"/>
  <c r="N34" i="1"/>
  <c r="Q34" i="1" s="1"/>
  <c r="N35" i="1"/>
  <c r="Q35" i="1"/>
  <c r="Q36" i="1"/>
  <c r="N37" i="1"/>
  <c r="Q37" i="1"/>
  <c r="N38" i="1"/>
  <c r="Q38" i="1"/>
  <c r="N39" i="1"/>
  <c r="Q39" i="1"/>
  <c r="N40" i="1"/>
  <c r="Q40" i="1"/>
  <c r="N41" i="1"/>
  <c r="Q41" i="1"/>
  <c r="N42" i="1"/>
  <c r="Q42" i="1"/>
  <c r="N43" i="1"/>
  <c r="Q43" i="1"/>
  <c r="N44" i="1"/>
  <c r="Q44" i="1"/>
  <c r="N45" i="1"/>
  <c r="Q45" i="1" s="1"/>
  <c r="N46" i="1"/>
  <c r="Q46" i="1"/>
  <c r="N47" i="1"/>
  <c r="Q47" i="1" s="1"/>
  <c r="N48" i="1"/>
  <c r="Q48" i="1"/>
  <c r="N49" i="1"/>
  <c r="Q49" i="1"/>
  <c r="N50" i="1"/>
  <c r="Q50" i="1"/>
  <c r="N51" i="1"/>
  <c r="Q51" i="1" s="1"/>
  <c r="N52" i="1"/>
  <c r="Q52" i="1"/>
  <c r="N53" i="1"/>
  <c r="Q53" i="1"/>
  <c r="N54" i="1"/>
  <c r="Q54" i="1"/>
  <c r="Q55" i="1"/>
  <c r="N56" i="1"/>
  <c r="Q56" i="1"/>
  <c r="N57" i="1"/>
  <c r="Q57" i="1"/>
  <c r="N58" i="1"/>
  <c r="Q58" i="1"/>
  <c r="Q59" i="1"/>
  <c r="N60" i="1"/>
  <c r="Q60" i="1" s="1"/>
  <c r="N61" i="1"/>
  <c r="Q61" i="1"/>
  <c r="N62" i="1"/>
  <c r="Q62" i="1"/>
  <c r="N63" i="1"/>
  <c r="Q63" i="1" s="1"/>
  <c r="Q64" i="1"/>
  <c r="N65" i="1"/>
  <c r="Q65" i="1"/>
  <c r="N66" i="1"/>
  <c r="Q66" i="1" s="1"/>
  <c r="N67" i="1"/>
  <c r="Q67" i="1"/>
  <c r="N68" i="1"/>
  <c r="Q68" i="1"/>
  <c r="N69" i="1"/>
  <c r="Q69" i="1"/>
  <c r="N70" i="1"/>
  <c r="Q70" i="1"/>
  <c r="N71" i="1"/>
  <c r="Q71" i="1"/>
  <c r="N72" i="1"/>
  <c r="Q72" i="1"/>
  <c r="N73" i="1"/>
  <c r="Q73" i="1"/>
  <c r="Q74" i="1"/>
  <c r="N75" i="1"/>
  <c r="Q75" i="1"/>
  <c r="N76" i="1"/>
  <c r="Q76" i="1"/>
  <c r="N77" i="1"/>
  <c r="Q77" i="1"/>
  <c r="N78" i="1"/>
  <c r="Q78" i="1"/>
  <c r="N79" i="1"/>
  <c r="Q79" i="1"/>
  <c r="N80" i="1"/>
  <c r="Q80" i="1"/>
  <c r="N81" i="1"/>
  <c r="Q81" i="1"/>
  <c r="N82" i="1"/>
  <c r="Q82" i="1"/>
  <c r="N83" i="1"/>
  <c r="Q83" i="1"/>
  <c r="N84" i="1"/>
  <c r="Q84" i="1"/>
  <c r="N85" i="1"/>
  <c r="Q85" i="1"/>
  <c r="N86" i="1"/>
  <c r="Q86" i="1"/>
  <c r="N87" i="1"/>
  <c r="Q87" i="1"/>
  <c r="N88" i="1"/>
  <c r="Q88" i="1"/>
  <c r="N89" i="1"/>
  <c r="Q89" i="1"/>
  <c r="Q90" i="1"/>
  <c r="N91" i="1"/>
  <c r="Q91" i="1"/>
  <c r="N92" i="1"/>
  <c r="Q92" i="1"/>
  <c r="N93" i="1"/>
  <c r="Q93" i="1"/>
  <c r="N94" i="1"/>
  <c r="Q94" i="1"/>
  <c r="N95" i="1"/>
  <c r="Q95" i="1"/>
  <c r="N96" i="1"/>
  <c r="Q96" i="1"/>
  <c r="Q97" i="1"/>
  <c r="N98" i="1"/>
  <c r="Q98" i="1" s="1"/>
  <c r="N100" i="1"/>
  <c r="Q100" i="1"/>
  <c r="N101" i="1"/>
  <c r="Q101" i="1"/>
  <c r="N102" i="1"/>
  <c r="Q102" i="1"/>
  <c r="Q103" i="1"/>
  <c r="N104" i="1"/>
  <c r="Q104" i="1" s="1"/>
  <c r="N105" i="1"/>
  <c r="Q105" i="1"/>
  <c r="N106" i="1"/>
  <c r="Q106" i="1"/>
  <c r="Q107" i="1"/>
  <c r="N108" i="1"/>
  <c r="Q108" i="1"/>
  <c r="N109" i="1"/>
  <c r="Q109" i="1"/>
  <c r="N110" i="1"/>
  <c r="Q110" i="1" s="1"/>
  <c r="N111" i="1"/>
  <c r="Q111" i="1"/>
  <c r="N112" i="1"/>
  <c r="Q112" i="1"/>
  <c r="N113" i="1"/>
  <c r="Q113" i="1"/>
  <c r="Q114" i="1"/>
  <c r="N115" i="1"/>
  <c r="Q115" i="1" s="1"/>
  <c r="Q116" i="1"/>
  <c r="N117" i="1"/>
  <c r="Q117" i="1" s="1"/>
  <c r="N118" i="1"/>
  <c r="Q118" i="1"/>
  <c r="N119" i="1"/>
  <c r="Q119" i="1"/>
  <c r="N120" i="1"/>
  <c r="Q120" i="1" s="1"/>
  <c r="N121" i="1"/>
  <c r="Q121" i="1"/>
  <c r="N122" i="1"/>
  <c r="Q122" i="1"/>
  <c r="N123" i="1"/>
  <c r="Q123" i="1"/>
  <c r="N124" i="1"/>
  <c r="Q124" i="1"/>
  <c r="N125" i="1"/>
  <c r="Q125" i="1"/>
  <c r="N126" i="1"/>
  <c r="Q126" i="1"/>
  <c r="N127" i="1"/>
  <c r="Q127" i="1"/>
  <c r="N128" i="1"/>
  <c r="Q128" i="1" s="1"/>
  <c r="N129" i="1"/>
  <c r="Q129" i="1"/>
  <c r="N130" i="1"/>
  <c r="Q130" i="1"/>
  <c r="N131" i="1"/>
  <c r="Q131" i="1"/>
  <c r="N132" i="1"/>
  <c r="Q132" i="1"/>
  <c r="N133" i="1"/>
  <c r="Q133" i="1"/>
  <c r="N134" i="1"/>
  <c r="Q134" i="1"/>
  <c r="N135" i="1"/>
  <c r="Q135" i="1"/>
  <c r="N136" i="1"/>
  <c r="Q136" i="1"/>
  <c r="N137" i="1"/>
  <c r="Q137" i="1" s="1"/>
  <c r="Q138" i="1"/>
  <c r="N139" i="1"/>
  <c r="N140" i="1"/>
  <c r="Q140" i="1"/>
  <c r="N141" i="1"/>
  <c r="Q141" i="1"/>
  <c r="Q142" i="1"/>
  <c r="N143" i="1"/>
  <c r="Q143" i="1"/>
  <c r="N144" i="1"/>
  <c r="Q144" i="1"/>
  <c r="N145" i="1"/>
  <c r="Q145" i="1" s="1"/>
  <c r="N146" i="1"/>
  <c r="Q146" i="1"/>
  <c r="N147" i="1"/>
  <c r="Q147" i="1" s="1"/>
  <c r="N148" i="1"/>
  <c r="Q148" i="1"/>
  <c r="N149" i="1"/>
  <c r="Q149" i="1"/>
  <c r="N150" i="1"/>
  <c r="Q150" i="1"/>
  <c r="Q151" i="1"/>
  <c r="N152" i="1"/>
  <c r="Q152" i="1" s="1"/>
  <c r="N153" i="1"/>
  <c r="Q153" i="1"/>
  <c r="N154" i="1"/>
  <c r="Q154" i="1"/>
  <c r="Q155" i="1"/>
  <c r="N156" i="1"/>
  <c r="Q156" i="1"/>
  <c r="N157" i="1"/>
  <c r="Q157" i="1"/>
  <c r="N158" i="1"/>
  <c r="Q158" i="1"/>
  <c r="N159" i="1"/>
  <c r="Q159" i="1"/>
  <c r="N160" i="1"/>
  <c r="Q160" i="1"/>
  <c r="N161" i="1"/>
  <c r="Q161" i="1"/>
  <c r="N162" i="1"/>
  <c r="Q162" i="1"/>
  <c r="N163" i="1"/>
  <c r="Q163" i="1"/>
  <c r="N164" i="1"/>
  <c r="Q164" i="1" s="1"/>
  <c r="N165" i="1"/>
  <c r="Q165" i="1"/>
  <c r="N166" i="1"/>
  <c r="Q166" i="1"/>
  <c r="N167" i="1"/>
  <c r="Q167" i="1"/>
  <c r="N168" i="1"/>
  <c r="Q168" i="1"/>
  <c r="N169" i="1"/>
  <c r="Q169" i="1"/>
  <c r="N170" i="1"/>
  <c r="Q170" i="1"/>
  <c r="N171" i="1"/>
  <c r="Q171" i="1"/>
  <c r="N172" i="1"/>
  <c r="Q172" i="1"/>
  <c r="N173" i="1"/>
  <c r="Q173" i="1"/>
  <c r="N174" i="1"/>
  <c r="Q174" i="1"/>
  <c r="N175" i="1"/>
  <c r="Q175" i="1"/>
  <c r="N176" i="1"/>
  <c r="Q176" i="1"/>
  <c r="N177" i="1"/>
  <c r="Q177" i="1" s="1"/>
  <c r="N178" i="1"/>
  <c r="Q178" i="1"/>
  <c r="N179" i="1"/>
  <c r="Q179" i="1"/>
  <c r="N180" i="1"/>
  <c r="Q180" i="1"/>
  <c r="N181" i="1"/>
  <c r="Q181" i="1"/>
  <c r="N182" i="1"/>
  <c r="Q182" i="1"/>
  <c r="Q183" i="1"/>
  <c r="N184" i="1"/>
  <c r="Q184" i="1"/>
  <c r="N185" i="1"/>
  <c r="Q185" i="1"/>
  <c r="N186" i="1"/>
  <c r="Q186" i="1"/>
  <c r="N187" i="1"/>
  <c r="Q187" i="1"/>
  <c r="Q188" i="1"/>
  <c r="N189" i="1"/>
  <c r="Q189" i="1" s="1"/>
  <c r="N190" i="1"/>
  <c r="Q190" i="1"/>
  <c r="Q191" i="1"/>
  <c r="Q192" i="1"/>
  <c r="N193" i="1"/>
  <c r="Q193" i="1"/>
  <c r="Q194" i="1"/>
  <c r="N195" i="1"/>
  <c r="Q195" i="1"/>
  <c r="N196" i="1"/>
  <c r="Q196" i="1"/>
  <c r="N197" i="1"/>
  <c r="N198" i="1"/>
  <c r="Q198" i="1"/>
  <c r="N199" i="1"/>
  <c r="Q199" i="1"/>
  <c r="N200" i="1"/>
  <c r="Q200" i="1"/>
  <c r="N201" i="1"/>
  <c r="Q201" i="1"/>
  <c r="N202" i="1"/>
  <c r="Q202" i="1"/>
  <c r="N203" i="1"/>
  <c r="Q203" i="1"/>
  <c r="N204" i="1"/>
  <c r="Q204" i="1"/>
  <c r="N205" i="1"/>
  <c r="Q205" i="1"/>
  <c r="N206" i="1"/>
  <c r="Q206" i="1" s="1"/>
  <c r="N207" i="1"/>
  <c r="Q207" i="1" s="1"/>
  <c r="N208" i="1"/>
  <c r="Q208" i="1" s="1"/>
  <c r="N209" i="1"/>
  <c r="Q209" i="1"/>
  <c r="N210" i="1"/>
  <c r="Q210" i="1"/>
  <c r="N211" i="1"/>
  <c r="Q211" i="1"/>
  <c r="N212" i="1"/>
  <c r="Q212" i="1"/>
  <c r="N213" i="1"/>
  <c r="Q213" i="1"/>
  <c r="N214" i="1"/>
  <c r="Q214" i="1" s="1"/>
  <c r="N215" i="1"/>
  <c r="Q215" i="1"/>
  <c r="N216" i="1"/>
  <c r="Q216" i="1" s="1"/>
  <c r="N217" i="1"/>
  <c r="Q217" i="1"/>
  <c r="N218" i="1"/>
  <c r="Q218" i="1"/>
  <c r="N219" i="1"/>
  <c r="Q219" i="1"/>
  <c r="N220" i="1"/>
  <c r="Q220" i="1"/>
  <c r="N221" i="1"/>
  <c r="Q221" i="1"/>
  <c r="N222" i="1"/>
  <c r="Q222" i="1"/>
  <c r="N223" i="1"/>
  <c r="Q223" i="1"/>
  <c r="N224" i="1"/>
  <c r="Q224" i="1"/>
  <c r="Q225" i="1"/>
  <c r="N226" i="1"/>
  <c r="Q226" i="1"/>
  <c r="Q227" i="1"/>
  <c r="N228" i="1"/>
  <c r="Q228" i="1"/>
  <c r="N229" i="1"/>
  <c r="Q229" i="1"/>
  <c r="N230" i="1"/>
  <c r="Q230" i="1"/>
  <c r="N231" i="1"/>
  <c r="Q231" i="1" s="1"/>
  <c r="N232" i="1"/>
  <c r="Q232" i="1"/>
  <c r="N233" i="1"/>
  <c r="Q233" i="1"/>
  <c r="N234" i="1"/>
  <c r="Q234" i="1" s="1"/>
  <c r="N235" i="1"/>
  <c r="Q235" i="1"/>
  <c r="N236" i="1"/>
  <c r="Q236" i="1"/>
  <c r="N237" i="1"/>
  <c r="Q237" i="1"/>
  <c r="N238" i="1"/>
  <c r="Q238" i="1"/>
  <c r="N239" i="1"/>
  <c r="Q239" i="1" s="1"/>
  <c r="N240" i="1"/>
  <c r="Q240" i="1"/>
  <c r="N241" i="1"/>
  <c r="Q241" i="1" s="1"/>
  <c r="N242" i="1"/>
  <c r="Q242" i="1"/>
  <c r="N243" i="1"/>
  <c r="Q243" i="1" s="1"/>
  <c r="N244" i="1"/>
  <c r="Q244" i="1" s="1"/>
  <c r="N245" i="1"/>
  <c r="Q245" i="1"/>
  <c r="N246" i="1"/>
  <c r="Q246" i="1"/>
  <c r="N247" i="1"/>
  <c r="Q247" i="1" s="1"/>
  <c r="N248" i="1"/>
  <c r="Q248" i="1" s="1"/>
  <c r="N249" i="1"/>
  <c r="Q249" i="1"/>
  <c r="N250" i="1"/>
  <c r="Q250" i="1"/>
  <c r="N251" i="1"/>
  <c r="Q251" i="1"/>
  <c r="N252" i="1"/>
  <c r="Q252" i="1"/>
  <c r="N253" i="1"/>
  <c r="Q253" i="1"/>
  <c r="N254" i="1"/>
  <c r="Q254" i="1"/>
  <c r="N255" i="1"/>
  <c r="Q255" i="1"/>
  <c r="N256" i="1"/>
  <c r="Q256" i="1"/>
  <c r="N257" i="1"/>
  <c r="Q257" i="1"/>
  <c r="N258" i="1"/>
  <c r="Q258" i="1"/>
  <c r="N259" i="1"/>
  <c r="Q259" i="1"/>
  <c r="N260" i="1"/>
  <c r="Q260" i="1"/>
  <c r="N261" i="1"/>
  <c r="Q261" i="1"/>
  <c r="N262" i="1"/>
  <c r="Q262" i="1" s="1"/>
  <c r="N263" i="1"/>
  <c r="Q263" i="1"/>
  <c r="N264" i="1"/>
  <c r="Q264" i="1"/>
  <c r="N265" i="1"/>
  <c r="Q265" i="1"/>
  <c r="N266" i="1"/>
  <c r="Q266" i="1" s="1"/>
  <c r="N267" i="1"/>
  <c r="Q267" i="1"/>
  <c r="Q268" i="1"/>
  <c r="AX268" i="1" s="1" a="1"/>
  <c r="AX268" i="1" s="1"/>
  <c r="N269" i="1"/>
  <c r="Q269" i="1"/>
  <c r="N270" i="1"/>
  <c r="Q270" i="1"/>
  <c r="Q271" i="1"/>
  <c r="N272" i="1"/>
  <c r="Q272" i="1"/>
  <c r="N273" i="1"/>
  <c r="Q273" i="1"/>
  <c r="N274" i="1"/>
  <c r="Q274" i="1"/>
  <c r="N275" i="1"/>
  <c r="Q275" i="1" s="1"/>
  <c r="Q276" i="1"/>
  <c r="Q277" i="1"/>
  <c r="N278" i="1"/>
  <c r="Q278" i="1" s="1"/>
  <c r="N279" i="1"/>
  <c r="Q279" i="1"/>
  <c r="N280" i="1"/>
  <c r="Q280" i="1"/>
  <c r="N281" i="1"/>
  <c r="Q281" i="1"/>
  <c r="N282" i="1"/>
  <c r="Q282" i="1"/>
  <c r="N283" i="1"/>
  <c r="Q283" i="1"/>
  <c r="N284" i="1"/>
  <c r="Q284" i="1"/>
  <c r="N285" i="1"/>
  <c r="Q285" i="1"/>
  <c r="N286" i="1"/>
  <c r="Q286" i="1"/>
  <c r="N287" i="1"/>
  <c r="Q287" i="1"/>
  <c r="N288" i="1"/>
  <c r="Q288" i="1"/>
  <c r="N289" i="1"/>
  <c r="Q289" i="1"/>
  <c r="N290" i="1"/>
  <c r="Q290" i="1"/>
  <c r="N291" i="1"/>
  <c r="Q291" i="1"/>
  <c r="N292" i="1"/>
  <c r="Q292" i="1"/>
  <c r="N293" i="1"/>
  <c r="Q293" i="1"/>
  <c r="N294" i="1"/>
  <c r="Q294" i="1"/>
  <c r="N295" i="1"/>
  <c r="Q295" i="1"/>
  <c r="N296" i="1"/>
  <c r="Q296" i="1"/>
  <c r="N297" i="1"/>
  <c r="Q297" i="1"/>
  <c r="Q298" i="1"/>
  <c r="N299" i="1"/>
  <c r="Q299" i="1"/>
  <c r="N300" i="1"/>
  <c r="Q300" i="1"/>
  <c r="N301" i="1"/>
  <c r="Q301" i="1"/>
  <c r="N302" i="1"/>
  <c r="Q302" i="1"/>
  <c r="N303" i="1"/>
  <c r="Q303" i="1"/>
  <c r="N304" i="1"/>
  <c r="Q304" i="1"/>
  <c r="Q305" i="1"/>
  <c r="N306" i="1"/>
  <c r="Q306" i="1"/>
  <c r="Q307" i="1"/>
  <c r="N308" i="1"/>
  <c r="Q308" i="1" s="1"/>
  <c r="N309" i="1"/>
  <c r="Q309" i="1"/>
  <c r="N310" i="1"/>
  <c r="Q310" i="1"/>
  <c r="N311" i="1"/>
  <c r="Q311" i="1"/>
  <c r="N312" i="1"/>
  <c r="Q312" i="1"/>
  <c r="N313" i="1"/>
  <c r="Q313" i="1"/>
  <c r="N314" i="1"/>
  <c r="Q314" i="1"/>
  <c r="N315" i="1"/>
  <c r="Q315" i="1"/>
  <c r="N316" i="1"/>
  <c r="Q316" i="1"/>
  <c r="N317" i="1"/>
  <c r="Q317" i="1"/>
  <c r="N318" i="1"/>
  <c r="Q318" i="1"/>
  <c r="N319" i="1"/>
  <c r="Q319" i="1"/>
  <c r="N320" i="1"/>
  <c r="Q320" i="1"/>
  <c r="N321" i="1"/>
  <c r="Q321" i="1"/>
  <c r="N322" i="1"/>
  <c r="Q322" i="1"/>
  <c r="N323" i="1"/>
  <c r="Q323" i="1"/>
  <c r="N324" i="1"/>
  <c r="Q324" i="1"/>
  <c r="N325" i="1"/>
  <c r="Q325" i="1" s="1"/>
  <c r="N326" i="1"/>
  <c r="Q326" i="1"/>
  <c r="Q327" i="1"/>
  <c r="N328" i="1"/>
  <c r="Q328" i="1"/>
  <c r="N329" i="1"/>
  <c r="Q329" i="1"/>
  <c r="N330" i="1"/>
  <c r="Q330" i="1"/>
  <c r="N331" i="1"/>
  <c r="Q331" i="1"/>
  <c r="N332" i="1"/>
  <c r="Q332" i="1" s="1"/>
  <c r="N333" i="1"/>
  <c r="Q333" i="1"/>
  <c r="N334" i="1"/>
  <c r="Q334" i="1"/>
  <c r="N335" i="1"/>
  <c r="Q335" i="1"/>
  <c r="N336" i="1"/>
  <c r="Q336" i="1"/>
  <c r="N337" i="1"/>
  <c r="Q337" i="1" s="1"/>
  <c r="N338" i="1"/>
  <c r="Q338" i="1"/>
  <c r="N339" i="1"/>
  <c r="Q339" i="1"/>
  <c r="N340" i="1"/>
  <c r="Q340" i="1"/>
  <c r="N341" i="1"/>
  <c r="Q341" i="1"/>
  <c r="N342" i="1"/>
  <c r="Q342" i="1"/>
  <c r="N343" i="1"/>
  <c r="Q343" i="1"/>
  <c r="N344" i="1"/>
  <c r="Q344" i="1"/>
  <c r="N345" i="1"/>
  <c r="Q345" i="1" s="1"/>
  <c r="N346" i="1"/>
  <c r="Q346" i="1"/>
  <c r="N347" i="1"/>
  <c r="Q347" i="1"/>
  <c r="N348" i="1"/>
  <c r="Q348" i="1"/>
  <c r="N349" i="1"/>
  <c r="Q349" i="1"/>
  <c r="N350" i="1"/>
  <c r="Q350" i="1"/>
  <c r="N351" i="1"/>
  <c r="Q351" i="1"/>
  <c r="N352" i="1"/>
  <c r="Q352" i="1"/>
  <c r="Q353" i="1"/>
  <c r="Q354" i="1"/>
  <c r="N355" i="1"/>
  <c r="Q355" i="1"/>
  <c r="N356" i="1"/>
  <c r="Q356" i="1"/>
  <c r="N357" i="1"/>
  <c r="Q357" i="1"/>
  <c r="N358" i="1"/>
  <c r="Q358" i="1" s="1"/>
  <c r="N359" i="1"/>
  <c r="Q359" i="1"/>
  <c r="N360" i="1"/>
  <c r="Q360" i="1"/>
  <c r="N361" i="1"/>
  <c r="Q361" i="1"/>
  <c r="N362" i="1"/>
  <c r="Q362" i="1" s="1"/>
  <c r="N363" i="1"/>
  <c r="Q363" i="1"/>
  <c r="N364" i="1"/>
  <c r="Q364" i="1"/>
  <c r="N365" i="1"/>
  <c r="Q365" i="1"/>
  <c r="N366" i="1"/>
  <c r="Q366" i="1"/>
  <c r="N367" i="1"/>
  <c r="Q367" i="1" s="1"/>
  <c r="N368" i="1"/>
  <c r="Q368" i="1"/>
  <c r="N369" i="1"/>
  <c r="Q369" i="1"/>
  <c r="N370" i="1"/>
  <c r="Q370" i="1"/>
  <c r="N371" i="1"/>
  <c r="Q371" i="1"/>
  <c r="N372" i="1"/>
  <c r="Q372" i="1"/>
  <c r="N373" i="1"/>
  <c r="Q373" i="1"/>
  <c r="N374" i="1"/>
  <c r="Q374" i="1"/>
  <c r="N375" i="1"/>
  <c r="Q375" i="1"/>
  <c r="N376" i="1"/>
  <c r="Q376" i="1"/>
  <c r="N377" i="1"/>
  <c r="Q377" i="1"/>
  <c r="N378" i="1"/>
  <c r="Q378" i="1"/>
  <c r="N379" i="1"/>
  <c r="Q379" i="1"/>
  <c r="N380" i="1"/>
  <c r="Q380" i="1"/>
  <c r="N381" i="1"/>
  <c r="Q381" i="1"/>
  <c r="Q382" i="1"/>
  <c r="N383" i="1"/>
  <c r="Q383" i="1"/>
  <c r="N384" i="1"/>
  <c r="Q384" i="1" s="1"/>
  <c r="N385" i="1"/>
  <c r="Q385" i="1"/>
  <c r="N386" i="1"/>
  <c r="Q386" i="1"/>
  <c r="N387" i="1"/>
  <c r="Q387" i="1"/>
  <c r="N388" i="1"/>
  <c r="Q388" i="1"/>
  <c r="N389" i="1"/>
  <c r="Q389" i="1"/>
  <c r="N390" i="1"/>
  <c r="Q390" i="1"/>
  <c r="N391" i="1"/>
  <c r="Q391" i="1"/>
  <c r="N392" i="1"/>
  <c r="Q392" i="1"/>
  <c r="N393" i="1"/>
  <c r="Q393" i="1" s="1"/>
  <c r="Q394" i="1"/>
  <c r="N395" i="1"/>
  <c r="Q395" i="1"/>
  <c r="N396" i="1"/>
  <c r="Q396" i="1"/>
  <c r="N397" i="1"/>
  <c r="Q397" i="1"/>
  <c r="N398" i="1"/>
  <c r="N399" i="1"/>
  <c r="Q399" i="1"/>
  <c r="N400" i="1"/>
  <c r="Q400" i="1"/>
  <c r="N401" i="1"/>
  <c r="Q401" i="1"/>
  <c r="Q402" i="1"/>
  <c r="N403" i="1"/>
  <c r="Q403" i="1" s="1"/>
  <c r="Q404" i="1"/>
  <c r="N405" i="1"/>
  <c r="Q405" i="1"/>
  <c r="N406" i="1"/>
  <c r="Q406" i="1"/>
  <c r="N407" i="1"/>
  <c r="Q407" i="1"/>
  <c r="N408" i="1"/>
  <c r="Q408" i="1"/>
  <c r="N409" i="1"/>
  <c r="Q409" i="1"/>
  <c r="N410" i="1"/>
  <c r="Q410" i="1"/>
  <c r="N411" i="1"/>
  <c r="Q411" i="1"/>
  <c r="Q412" i="1"/>
  <c r="N413" i="1"/>
  <c r="Q413" i="1"/>
  <c r="N414" i="1"/>
  <c r="Q414" i="1"/>
  <c r="N415" i="1"/>
  <c r="Q415" i="1"/>
  <c r="N416" i="1"/>
  <c r="Q416" i="1"/>
  <c r="N417" i="1"/>
  <c r="Q417" i="1"/>
  <c r="N418" i="1"/>
  <c r="Q418" i="1"/>
  <c r="N419" i="1"/>
  <c r="Q419" i="1"/>
  <c r="N420" i="1"/>
  <c r="Q420" i="1"/>
  <c r="N421" i="1"/>
  <c r="Q421" i="1"/>
  <c r="N422" i="1"/>
  <c r="Q422" i="1"/>
  <c r="N423" i="1"/>
  <c r="Q423" i="1"/>
  <c r="N424" i="1"/>
  <c r="Q424" i="1"/>
  <c r="N425" i="1"/>
  <c r="Q425" i="1"/>
  <c r="N426" i="1"/>
  <c r="Q426" i="1"/>
  <c r="N427" i="1"/>
  <c r="Q427" i="1"/>
  <c r="N428" i="1"/>
  <c r="Q428" i="1"/>
  <c r="N429" i="1"/>
  <c r="Q429" i="1"/>
  <c r="N430" i="1"/>
  <c r="Q430" i="1"/>
  <c r="N432" i="1"/>
  <c r="N433" i="1"/>
  <c r="Q433" i="1"/>
  <c r="N434" i="1"/>
  <c r="Q434" i="1"/>
  <c r="N435" i="1"/>
  <c r="Q435" i="1" s="1"/>
  <c r="N436" i="1"/>
  <c r="Q436" i="1"/>
  <c r="N437" i="1"/>
  <c r="Q437" i="1" s="1"/>
  <c r="N438" i="1"/>
  <c r="Q438" i="1" s="1"/>
  <c r="N439" i="1"/>
  <c r="Q439" i="1"/>
  <c r="N440" i="1"/>
  <c r="Q440" i="1"/>
  <c r="N441" i="1"/>
  <c r="Q441" i="1"/>
  <c r="N442" i="1"/>
  <c r="Q442" i="1" s="1"/>
  <c r="N443" i="1"/>
  <c r="Q443" i="1"/>
  <c r="N444" i="1"/>
  <c r="Q444" i="1"/>
  <c r="N445" i="1"/>
  <c r="Q445" i="1"/>
  <c r="N446" i="1"/>
  <c r="Q446" i="1"/>
  <c r="N447" i="1"/>
  <c r="Q447" i="1"/>
  <c r="N448" i="1"/>
  <c r="Q448" i="1"/>
  <c r="N449" i="1"/>
  <c r="Q449" i="1"/>
  <c r="N450" i="1"/>
  <c r="Q450" i="1" s="1"/>
  <c r="N451" i="1"/>
  <c r="Q451" i="1"/>
  <c r="N452" i="1"/>
  <c r="Q452" i="1" s="1"/>
  <c r="N453" i="1"/>
  <c r="Q453" i="1"/>
  <c r="N454" i="1"/>
  <c r="Q454" i="1"/>
  <c r="N455" i="1"/>
  <c r="Q455" i="1"/>
  <c r="N456" i="1"/>
  <c r="Q456" i="1"/>
  <c r="N457" i="1"/>
  <c r="Q457" i="1"/>
  <c r="N458" i="1"/>
  <c r="Q458" i="1"/>
  <c r="N459" i="1"/>
  <c r="Q459" i="1"/>
  <c r="N460" i="1"/>
  <c r="Q460" i="1" s="1"/>
  <c r="N461" i="1"/>
  <c r="Q461" i="1"/>
  <c r="N462" i="1"/>
  <c r="Q462" i="1"/>
  <c r="N463" i="1"/>
  <c r="Q463" i="1"/>
  <c r="N464" i="1"/>
  <c r="Q464" i="1"/>
  <c r="N465" i="1"/>
  <c r="Q465" i="1"/>
  <c r="N466" i="1"/>
  <c r="Q466" i="1" s="1"/>
  <c r="N467" i="1"/>
  <c r="Q467" i="1"/>
  <c r="N468" i="1"/>
  <c r="Q468" i="1"/>
  <c r="N469" i="1"/>
  <c r="Q469" i="1"/>
  <c r="N470" i="1"/>
  <c r="Q470" i="1"/>
  <c r="N471" i="1"/>
  <c r="Q471" i="1"/>
  <c r="N472" i="1"/>
  <c r="Q472" i="1"/>
  <c r="Q473" i="1"/>
  <c r="N474" i="1"/>
  <c r="Q474" i="1"/>
  <c r="N475" i="1"/>
  <c r="Q475" i="1"/>
  <c r="N476" i="1"/>
  <c r="Q476" i="1"/>
  <c r="N477" i="1"/>
  <c r="Q477" i="1"/>
  <c r="N478" i="1"/>
  <c r="Q478" i="1"/>
  <c r="Q479" i="1"/>
  <c r="N480" i="1"/>
  <c r="Q480" i="1"/>
  <c r="N481" i="1"/>
  <c r="Q481" i="1"/>
  <c r="N482" i="1"/>
  <c r="Q482" i="1"/>
  <c r="N483" i="1"/>
  <c r="Q483" i="1"/>
  <c r="N484" i="1"/>
  <c r="Q484" i="1"/>
  <c r="N485" i="1"/>
  <c r="Q485" i="1"/>
  <c r="N486" i="1"/>
  <c r="Q486" i="1"/>
  <c r="N487" i="1"/>
  <c r="Q487" i="1" s="1"/>
  <c r="N488" i="1"/>
  <c r="Q488" i="1" s="1"/>
  <c r="Q489" i="1"/>
  <c r="N490" i="1"/>
  <c r="Q490" i="1"/>
  <c r="Q491" i="1"/>
  <c r="N492" i="1"/>
  <c r="Q492" i="1"/>
  <c r="N493" i="1"/>
  <c r="Q493" i="1"/>
  <c r="N494" i="1"/>
  <c r="Q494" i="1"/>
  <c r="N495" i="1"/>
  <c r="Q495" i="1"/>
  <c r="N496" i="1"/>
  <c r="N497" i="1"/>
  <c r="Q497" i="1"/>
  <c r="N498" i="1"/>
  <c r="Q498" i="1"/>
  <c r="N499" i="1"/>
  <c r="Q499" i="1"/>
  <c r="N500" i="1"/>
  <c r="Q500" i="1"/>
  <c r="N501" i="1"/>
  <c r="Q501" i="1"/>
  <c r="N502" i="1"/>
  <c r="Q502" i="1"/>
  <c r="Q503" i="1"/>
  <c r="N504" i="1"/>
  <c r="Q504" i="1"/>
  <c r="N505" i="1"/>
  <c r="Q505" i="1"/>
  <c r="N506" i="1"/>
  <c r="Q506" i="1"/>
  <c r="Q507" i="1"/>
  <c r="Q508" i="1"/>
  <c r="N509" i="1"/>
  <c r="Q509" i="1"/>
  <c r="N510" i="1"/>
  <c r="Q510" i="1"/>
  <c r="N511" i="1"/>
  <c r="Q511" i="1"/>
  <c r="N512" i="1"/>
  <c r="N513" i="1"/>
  <c r="N514" i="1"/>
  <c r="Q514" i="1"/>
  <c r="N515" i="1"/>
  <c r="Q515" i="1"/>
  <c r="N516" i="1"/>
  <c r="Q516" i="1"/>
  <c r="N517" i="1"/>
  <c r="Q517" i="1"/>
  <c r="Q518" i="1"/>
  <c r="N519" i="1"/>
  <c r="Q519" i="1"/>
  <c r="N520" i="1"/>
  <c r="Q520" i="1"/>
  <c r="N521" i="1"/>
  <c r="Q521" i="1"/>
  <c r="N522" i="1"/>
  <c r="Q522" i="1"/>
  <c r="N523" i="1"/>
  <c r="Q523" i="1"/>
  <c r="N524" i="1"/>
  <c r="Q524" i="1"/>
  <c r="N525" i="1"/>
  <c r="Q525" i="1"/>
  <c r="N526" i="1"/>
  <c r="Q526" i="1"/>
  <c r="N527" i="1"/>
  <c r="Q527" i="1"/>
  <c r="N528" i="1"/>
  <c r="Q528" i="1"/>
  <c r="N529" i="1"/>
  <c r="Q529" i="1"/>
  <c r="Q530" i="1"/>
  <c r="N531" i="1"/>
  <c r="Q531" i="1"/>
  <c r="N532" i="1"/>
  <c r="Q532" i="1"/>
  <c r="N533" i="1"/>
  <c r="Q533" i="1" s="1"/>
  <c r="N534" i="1"/>
  <c r="Q534" i="1"/>
  <c r="N535" i="1"/>
  <c r="Q535" i="1"/>
  <c r="N536" i="1"/>
  <c r="Q536" i="1"/>
  <c r="N537" i="1"/>
  <c r="Q537" i="1"/>
  <c r="N538" i="1"/>
  <c r="Q538" i="1"/>
  <c r="N539" i="1"/>
  <c r="Q539" i="1"/>
  <c r="N540" i="1"/>
  <c r="Q540" i="1"/>
  <c r="N541" i="1"/>
  <c r="Q541" i="1"/>
  <c r="N542" i="1"/>
  <c r="Q542" i="1"/>
  <c r="N543" i="1"/>
  <c r="Q543" i="1"/>
  <c r="N544" i="1"/>
  <c r="Q544" i="1"/>
  <c r="Q545" i="1"/>
  <c r="N546" i="1"/>
  <c r="Q546" i="1"/>
  <c r="N547" i="1"/>
  <c r="Q547" i="1"/>
  <c r="N548" i="1"/>
  <c r="Q548" i="1"/>
  <c r="N549" i="1"/>
  <c r="Q549" i="1"/>
  <c r="N550" i="1"/>
  <c r="Q550" i="1"/>
  <c r="N551" i="1"/>
  <c r="Q551" i="1"/>
  <c r="N552" i="1"/>
  <c r="Q552" i="1"/>
  <c r="N553" i="1"/>
  <c r="Q553" i="1"/>
  <c r="N554" i="1"/>
  <c r="Q554" i="1"/>
  <c r="N555" i="1"/>
  <c r="Q555" i="1"/>
  <c r="N556" i="1"/>
  <c r="Q556" i="1"/>
  <c r="N557" i="1"/>
  <c r="Q557" i="1"/>
  <c r="N558" i="1"/>
  <c r="Q558" i="1" s="1"/>
  <c r="Q559" i="1"/>
  <c r="N560" i="1"/>
  <c r="Q560" i="1"/>
  <c r="Q561" i="1"/>
  <c r="N562" i="1"/>
  <c r="Q562" i="1"/>
  <c r="N563" i="1"/>
  <c r="Q563" i="1"/>
  <c r="Q564" i="1"/>
  <c r="N565" i="1"/>
  <c r="Q565" i="1"/>
  <c r="N566" i="1"/>
  <c r="Q566" i="1"/>
  <c r="N567" i="1"/>
  <c r="Q567" i="1"/>
  <c r="N568" i="1"/>
  <c r="Q568" i="1"/>
  <c r="N569" i="1"/>
  <c r="Q569" i="1"/>
  <c r="N570" i="1"/>
  <c r="Q570" i="1"/>
  <c r="N571" i="1"/>
  <c r="Q571" i="1"/>
  <c r="N572" i="1"/>
  <c r="Q572" i="1"/>
  <c r="N573" i="1"/>
  <c r="Q573" i="1" s="1"/>
  <c r="N574" i="1"/>
  <c r="Q574" i="1"/>
  <c r="N575" i="1"/>
  <c r="Q575" i="1"/>
  <c r="N576" i="1"/>
  <c r="Q576" i="1"/>
  <c r="N577" i="1"/>
  <c r="Q577" i="1"/>
  <c r="N578" i="1"/>
  <c r="Q578" i="1"/>
  <c r="Q579" i="1"/>
  <c r="N580" i="1"/>
  <c r="Q580" i="1" s="1"/>
  <c r="N581" i="1"/>
  <c r="Q581" i="1"/>
  <c r="N582" i="1"/>
  <c r="Q582" i="1"/>
  <c r="N583" i="1"/>
  <c r="Q583" i="1"/>
  <c r="N584" i="1"/>
  <c r="Q584" i="1"/>
  <c r="N585" i="1"/>
  <c r="Q585" i="1" s="1"/>
  <c r="N586" i="1"/>
  <c r="Q586" i="1"/>
  <c r="N587" i="1"/>
  <c r="Q587" i="1"/>
  <c r="N588" i="1"/>
  <c r="Q588" i="1"/>
  <c r="N589" i="1"/>
  <c r="Q589" i="1"/>
  <c r="N590" i="1"/>
  <c r="Q590" i="1"/>
  <c r="Q591" i="1"/>
  <c r="N592" i="1"/>
  <c r="Q592" i="1"/>
  <c r="N593" i="1"/>
  <c r="Q593" i="1"/>
  <c r="N594" i="1"/>
  <c r="Q594" i="1"/>
  <c r="N595" i="1"/>
  <c r="Q595" i="1"/>
  <c r="Q596" i="1"/>
  <c r="N597" i="1"/>
  <c r="N598" i="1"/>
  <c r="Q598" i="1" s="1"/>
  <c r="N599" i="1"/>
  <c r="Q599" i="1"/>
  <c r="Q600" i="1"/>
  <c r="N601" i="1"/>
  <c r="Q601" i="1" s="1"/>
  <c r="Q602" i="1"/>
  <c r="N603" i="1"/>
  <c r="Q603" i="1" s="1"/>
  <c r="Q604" i="1"/>
  <c r="N605" i="1"/>
  <c r="Q605" i="1"/>
  <c r="N606" i="1"/>
  <c r="Q606" i="1"/>
  <c r="Q607" i="1"/>
  <c r="N608" i="1"/>
  <c r="Q608" i="1"/>
  <c r="N609" i="1"/>
  <c r="Q609" i="1" s="1"/>
  <c r="N610" i="1"/>
  <c r="Q610" i="1"/>
  <c r="N611" i="1"/>
  <c r="Q611" i="1" s="1"/>
  <c r="N612" i="1"/>
  <c r="Q612" i="1" s="1"/>
  <c r="N613" i="1"/>
  <c r="Q613" i="1"/>
  <c r="N614" i="1"/>
  <c r="Q614" i="1"/>
  <c r="N615" i="1"/>
  <c r="Q615" i="1"/>
  <c r="N616" i="1"/>
  <c r="Q616" i="1"/>
  <c r="N617" i="1"/>
  <c r="Q617" i="1"/>
  <c r="N618" i="1"/>
  <c r="Q618" i="1"/>
  <c r="N619" i="1"/>
  <c r="Q619" i="1"/>
  <c r="N620" i="1"/>
  <c r="Q620" i="1" s="1"/>
  <c r="Q621" i="1"/>
  <c r="N622" i="1"/>
  <c r="Q622" i="1"/>
  <c r="N623" i="1"/>
  <c r="Q623" i="1" s="1"/>
  <c r="N624" i="1"/>
  <c r="Q624" i="1"/>
  <c r="N625" i="1"/>
  <c r="Q625" i="1"/>
  <c r="N626" i="1"/>
  <c r="Q626" i="1"/>
  <c r="N627" i="1"/>
  <c r="Q627" i="1"/>
  <c r="N628" i="1"/>
  <c r="Q628" i="1"/>
  <c r="N629" i="1"/>
  <c r="Q629" i="1"/>
  <c r="N630" i="1"/>
  <c r="Q630" i="1" s="1"/>
  <c r="N631" i="1"/>
  <c r="Q631" i="1"/>
  <c r="N632" i="1"/>
  <c r="Q632" i="1"/>
  <c r="N633" i="1"/>
  <c r="Q633" i="1"/>
  <c r="N634" i="1"/>
  <c r="Q634" i="1"/>
  <c r="N635" i="1"/>
  <c r="Q635" i="1"/>
  <c r="N636" i="1"/>
  <c r="Q636" i="1"/>
  <c r="N637" i="1"/>
  <c r="Q637" i="1"/>
  <c r="Q638" i="1"/>
  <c r="N639" i="1"/>
  <c r="Q639" i="1"/>
  <c r="N640" i="1"/>
  <c r="Q640" i="1"/>
  <c r="N641" i="1"/>
  <c r="Q641" i="1"/>
  <c r="N642" i="1"/>
  <c r="Q642" i="1"/>
  <c r="N643" i="1"/>
  <c r="Q643" i="1" s="1"/>
  <c r="N644" i="1"/>
  <c r="Q644" i="1"/>
  <c r="N645" i="1"/>
  <c r="Q645" i="1" s="1"/>
  <c r="N646" i="1"/>
  <c r="Q646" i="1"/>
  <c r="N647" i="1"/>
  <c r="Q647" i="1"/>
  <c r="N648" i="1"/>
  <c r="Q648" i="1"/>
  <c r="N649" i="1"/>
  <c r="Q649" i="1"/>
  <c r="N650" i="1"/>
  <c r="Q650" i="1"/>
  <c r="N651" i="1"/>
  <c r="Q651" i="1"/>
  <c r="N652" i="1"/>
  <c r="Q652" i="1"/>
  <c r="N653" i="1"/>
  <c r="Q653" i="1"/>
  <c r="N654" i="1"/>
  <c r="Q654" i="1"/>
  <c r="N655" i="1"/>
  <c r="Q655" i="1"/>
  <c r="N656" i="1"/>
  <c r="Q656" i="1"/>
  <c r="N657" i="1"/>
  <c r="Q657" i="1"/>
  <c r="Q658" i="1"/>
  <c r="N659" i="1"/>
  <c r="Q659" i="1"/>
  <c r="N660" i="1"/>
  <c r="Q660" i="1"/>
  <c r="N661" i="1"/>
  <c r="Q661" i="1" s="1"/>
  <c r="N662" i="1"/>
  <c r="Q662" i="1"/>
  <c r="N663" i="1"/>
  <c r="Q663" i="1"/>
  <c r="N664" i="1"/>
  <c r="Q664" i="1"/>
  <c r="N665" i="1"/>
  <c r="Q665" i="1"/>
  <c r="N666" i="1"/>
  <c r="Q666" i="1"/>
  <c r="N667" i="1"/>
  <c r="Q667" i="1"/>
  <c r="N668" i="1"/>
  <c r="Q668" i="1"/>
  <c r="Q669" i="1"/>
  <c r="Q670" i="1"/>
  <c r="N671" i="1"/>
  <c r="Q671" i="1"/>
  <c r="N672" i="1"/>
  <c r="Q672" i="1"/>
  <c r="N673" i="1"/>
  <c r="Q673" i="1" s="1"/>
  <c r="N674" i="1"/>
  <c r="Q674" i="1"/>
  <c r="N675" i="1"/>
  <c r="Q675" i="1"/>
  <c r="Q676" i="1"/>
  <c r="N677" i="1"/>
  <c r="Q677" i="1" s="1"/>
  <c r="Q678" i="1"/>
  <c r="N679" i="1"/>
  <c r="Q679" i="1"/>
  <c r="N680" i="1"/>
  <c r="Q680" i="1"/>
  <c r="N681" i="1"/>
  <c r="Q681" i="1" s="1"/>
  <c r="N682" i="1"/>
  <c r="Q682" i="1" s="1"/>
  <c r="N683" i="1"/>
  <c r="Q683" i="1"/>
  <c r="N684" i="1"/>
  <c r="Q684" i="1"/>
  <c r="N685" i="1"/>
  <c r="Q685" i="1"/>
  <c r="N686" i="1"/>
  <c r="Q686" i="1"/>
  <c r="N687" i="1"/>
  <c r="Q687" i="1"/>
  <c r="N688" i="1"/>
  <c r="Q688" i="1"/>
  <c r="N689" i="1"/>
  <c r="Q689" i="1" s="1"/>
  <c r="N690" i="1"/>
  <c r="Q690" i="1"/>
  <c r="N691" i="1"/>
  <c r="Q691" i="1"/>
  <c r="N692" i="1"/>
  <c r="Q692" i="1"/>
  <c r="N693" i="1"/>
  <c r="Q693" i="1"/>
  <c r="N694" i="1"/>
  <c r="Q694" i="1"/>
  <c r="N695" i="1"/>
  <c r="Q695" i="1"/>
  <c r="N696" i="1"/>
  <c r="Q696" i="1"/>
  <c r="N697" i="1"/>
  <c r="Q697" i="1"/>
  <c r="N698" i="1"/>
  <c r="Q698" i="1"/>
  <c r="Q699" i="1"/>
  <c r="N700" i="1"/>
  <c r="Q700" i="1"/>
  <c r="N701" i="1"/>
  <c r="Q701" i="1" s="1"/>
  <c r="N702" i="1"/>
  <c r="Q702" i="1"/>
  <c r="Q703" i="1"/>
  <c r="N704" i="1"/>
  <c r="Q704" i="1"/>
  <c r="N705" i="1"/>
  <c r="Q705" i="1"/>
  <c r="N706" i="1"/>
  <c r="Q706" i="1"/>
  <c r="N707" i="1"/>
  <c r="Q707" i="1"/>
  <c r="N708" i="1"/>
  <c r="Q708" i="1"/>
  <c r="N709" i="1"/>
  <c r="Q709" i="1"/>
  <c r="N710" i="1"/>
  <c r="Q710" i="1"/>
  <c r="N711" i="1"/>
  <c r="Q711" i="1"/>
  <c r="N712" i="1"/>
  <c r="Q712" i="1"/>
  <c r="N713" i="1"/>
  <c r="Q713" i="1"/>
  <c r="N714" i="1"/>
  <c r="Q714" i="1"/>
  <c r="Q715" i="1"/>
  <c r="N716" i="1"/>
  <c r="Q716" i="1"/>
  <c r="N717" i="1"/>
  <c r="Q717" i="1"/>
  <c r="N718" i="1"/>
  <c r="Q718" i="1"/>
  <c r="N719" i="1"/>
  <c r="Q719" i="1"/>
  <c r="N720" i="1"/>
  <c r="Q720" i="1"/>
  <c r="N721" i="1"/>
  <c r="Q721" i="1"/>
  <c r="N722" i="1"/>
  <c r="Q722" i="1"/>
  <c r="N723" i="1"/>
  <c r="Q723" i="1"/>
  <c r="Q724" i="1"/>
  <c r="N725" i="1"/>
  <c r="Q725" i="1"/>
  <c r="N726" i="1"/>
  <c r="Q726" i="1"/>
  <c r="N727" i="1"/>
  <c r="Q727" i="1"/>
  <c r="N728" i="1"/>
  <c r="Q728" i="1"/>
  <c r="N729" i="1"/>
  <c r="Q729" i="1"/>
  <c r="N730" i="1"/>
  <c r="Q730" i="1"/>
  <c r="N731" i="1"/>
  <c r="Q731" i="1"/>
  <c r="N732" i="1"/>
  <c r="Q732" i="1"/>
  <c r="N733" i="1"/>
  <c r="Q733" i="1"/>
  <c r="N734" i="1"/>
  <c r="Q734" i="1"/>
  <c r="N735" i="1"/>
  <c r="Q735" i="1"/>
  <c r="N736" i="1"/>
  <c r="Q736" i="1"/>
  <c r="N737" i="1"/>
  <c r="Q737" i="1"/>
  <c r="N738" i="1"/>
  <c r="Q738" i="1"/>
  <c r="Q3" i="1"/>
  <c r="Q4" i="1"/>
  <c r="N3" i="1"/>
  <c r="N4" i="1"/>
  <c r="AE2" i="8"/>
  <c r="AE3" i="8" s="1"/>
  <c r="AE4" i="8" s="1"/>
  <c r="AF2" i="8"/>
  <c r="AF3" i="8" s="1"/>
  <c r="AF4" i="8" s="1"/>
  <c r="AD2" i="8"/>
  <c r="AD3" i="8" s="1"/>
  <c r="AD4" i="8" s="1"/>
  <c r="O3" i="8"/>
  <c r="AL3" i="8" s="1"/>
  <c r="V3" i="8"/>
  <c r="X3" i="8"/>
  <c r="Z3" i="8"/>
  <c r="AH3" i="8"/>
  <c r="AU3" i="8"/>
  <c r="AU4" i="8" s="1"/>
  <c r="BB3" i="1"/>
  <c r="BB4" i="1" s="1"/>
  <c r="BC3" i="1"/>
  <c r="BC4" i="1" s="1"/>
  <c r="BA3" i="1"/>
  <c r="BA4" i="1" s="1"/>
  <c r="AD418" i="1" l="1"/>
  <c r="BJ417" i="1"/>
  <c r="BN417" i="1"/>
  <c r="BO417" i="1" s="1"/>
  <c r="BJ341" i="1"/>
  <c r="BK341" i="1" s="1"/>
  <c r="AD342" i="1"/>
  <c r="BN341" i="1"/>
  <c r="BO341" i="1" s="1"/>
  <c r="BP341" i="1" s="1"/>
  <c r="AF417" i="1"/>
  <c r="BI416" i="1"/>
  <c r="BP416" i="1" s="1"/>
  <c r="BK416" i="1"/>
  <c r="AF411" i="1"/>
  <c r="BI411" i="1" s="1"/>
  <c r="BI410" i="1"/>
  <c r="AF321" i="1"/>
  <c r="BI321" i="1" s="1"/>
  <c r="BI320" i="1"/>
  <c r="AS153" i="1"/>
  <c r="BT153" i="1"/>
  <c r="AS172" i="1"/>
  <c r="BT172" i="1"/>
  <c r="BS172" i="1" s="1"/>
  <c r="BS407" i="1"/>
  <c r="BS51" i="1"/>
  <c r="BT218" i="1"/>
  <c r="BS218" i="1" s="1"/>
  <c r="AS375" i="1"/>
  <c r="BT375" i="1"/>
  <c r="BS375" i="1" s="1"/>
  <c r="Y346" i="1" a="1"/>
  <c r="Y346" i="1" s="1"/>
  <c r="AH346" i="1" s="1"/>
  <c r="AS346" i="1" s="1"/>
  <c r="Y448" i="1" a="1"/>
  <c r="Y448" i="1" s="1"/>
  <c r="AH448" i="1" s="1"/>
  <c r="AS448" i="1" s="1"/>
  <c r="Y319" i="1" a="1"/>
  <c r="Y319" i="1" s="1"/>
  <c r="AH319" i="1" s="1"/>
  <c r="AS319" i="1" s="1"/>
  <c r="Y386" i="1" a="1"/>
  <c r="Y386" i="1" s="1"/>
  <c r="AH386" i="1" s="1"/>
  <c r="AS386" i="1" s="1"/>
  <c r="Y154" i="1" a="1"/>
  <c r="Y154" i="1" s="1"/>
  <c r="AH154" i="1" s="1"/>
  <c r="Y95" i="1" a="1"/>
  <c r="Y95" i="1" s="1"/>
  <c r="AH95" i="1" s="1"/>
  <c r="AS95" i="1" s="1"/>
  <c r="Y113" i="1" a="1"/>
  <c r="Y113" i="1" s="1"/>
  <c r="AH113" i="1" s="1"/>
  <c r="AS113" i="1" s="1"/>
  <c r="Y376" i="1" a="1"/>
  <c r="Y376" i="1" s="1"/>
  <c r="AH376" i="1" s="1"/>
  <c r="AS376" i="1" s="1"/>
  <c r="BR149" i="1"/>
  <c r="BQ149" i="1" s="1"/>
  <c r="BR344" i="1"/>
  <c r="BQ344" i="1" s="1"/>
  <c r="BR332" i="1"/>
  <c r="BQ332" i="1" s="1"/>
  <c r="BR398" i="1"/>
  <c r="BQ398" i="1" s="1"/>
  <c r="BR266" i="1"/>
  <c r="BQ266" i="1" s="1"/>
  <c r="BR94" i="1"/>
  <c r="BQ94" i="1" s="1"/>
  <c r="BR93" i="1"/>
  <c r="BQ93" i="1" s="1"/>
  <c r="BT371" i="1"/>
  <c r="BS371" i="1" s="1"/>
  <c r="BT198" i="1"/>
  <c r="BS198" i="1" s="1"/>
  <c r="BN31" i="1"/>
  <c r="BO31" i="1" s="1"/>
  <c r="BP31" i="1" s="1"/>
  <c r="AD32" i="1"/>
  <c r="BJ31" i="1"/>
  <c r="BR447" i="1"/>
  <c r="BQ447" i="1" s="1"/>
  <c r="AD207" i="1"/>
  <c r="AF206" i="1"/>
  <c r="BR221" i="1"/>
  <c r="BQ221" i="1" s="1"/>
  <c r="BS9" i="1"/>
  <c r="BA10" i="1"/>
  <c r="AD275" i="1"/>
  <c r="BN274" i="1"/>
  <c r="BO274" i="1" s="1"/>
  <c r="BP274" i="1" s="1"/>
  <c r="BJ274" i="1"/>
  <c r="BR385" i="1"/>
  <c r="BQ385" i="1" s="1"/>
  <c r="BK273" i="1"/>
  <c r="BK167" i="1"/>
  <c r="BR358" i="1"/>
  <c r="BQ358" i="1" s="1"/>
  <c r="BT326" i="1"/>
  <c r="BS326" i="1" s="1"/>
  <c r="BR231" i="1"/>
  <c r="BQ231" i="1" s="1"/>
  <c r="BR89" i="1"/>
  <c r="BQ89" i="1" s="1"/>
  <c r="BR177" i="1"/>
  <c r="BQ177" i="1" s="1"/>
  <c r="BR247" i="1"/>
  <c r="BQ247" i="1" s="1"/>
  <c r="BR428" i="1"/>
  <c r="BQ428" i="1" s="1"/>
  <c r="BR309" i="1"/>
  <c r="BQ309" i="1" s="1"/>
  <c r="BR105" i="1"/>
  <c r="BQ105" i="1" s="1"/>
  <c r="BT53" i="1"/>
  <c r="BS53" i="1" s="1"/>
  <c r="BR325" i="1"/>
  <c r="BQ325" i="1" s="1"/>
  <c r="BR78" i="1"/>
  <c r="BQ78" i="1" s="1"/>
  <c r="BR370" i="1"/>
  <c r="BQ370" i="1" s="1"/>
  <c r="BT409" i="1"/>
  <c r="BS409" i="1" s="1"/>
  <c r="BR153" i="1"/>
  <c r="BQ153" i="1" s="1"/>
  <c r="BR112" i="1"/>
  <c r="BQ112" i="1" s="1"/>
  <c r="BR297" i="1"/>
  <c r="BQ297" i="1" s="1"/>
  <c r="BT544" i="1"/>
  <c r="BS544" i="1" s="1"/>
  <c r="BT70" i="1"/>
  <c r="BS70" i="1" s="1"/>
  <c r="BT150" i="1"/>
  <c r="BS150" i="1" s="1"/>
  <c r="BT79" i="1"/>
  <c r="BS79" i="1" s="1"/>
  <c r="BT248" i="1"/>
  <c r="BS248" i="1" s="1"/>
  <c r="BJ103" i="1"/>
  <c r="AD104" i="1"/>
  <c r="BN103" i="1"/>
  <c r="BO103" i="1" s="1"/>
  <c r="BP103" i="1" s="1"/>
  <c r="BR314" i="1"/>
  <c r="BQ314" i="1" s="1"/>
  <c r="BR408" i="1"/>
  <c r="BQ408" i="1" s="1"/>
  <c r="BT178" i="1"/>
  <c r="BS178" i="1" s="1"/>
  <c r="BR197" i="1"/>
  <c r="BQ197" i="1" s="1"/>
  <c r="BR69" i="1"/>
  <c r="BQ69" i="1" s="1"/>
  <c r="BR218" i="1"/>
  <c r="BQ218" i="1" s="1"/>
  <c r="BR393" i="1"/>
  <c r="BQ393" i="1" s="1"/>
  <c r="BR126" i="1"/>
  <c r="BQ126" i="1" s="1"/>
  <c r="BR341" i="1"/>
  <c r="BQ341" i="1" s="1"/>
  <c r="BC25" i="1"/>
  <c r="BC26" i="1" s="1"/>
  <c r="BC27" i="1" s="1"/>
  <c r="BT24" i="1"/>
  <c r="Y179" i="1" a="1"/>
  <c r="Y179" i="1" s="1"/>
  <c r="AH179" i="1" s="1"/>
  <c r="AS179" i="1" s="1"/>
  <c r="Y410" i="1" a="1"/>
  <c r="Y410" i="1" s="1"/>
  <c r="AH410" i="1" s="1"/>
  <c r="AS410" i="1" s="1"/>
  <c r="Y372" i="1" a="1"/>
  <c r="Y372" i="1" s="1"/>
  <c r="AH372" i="1" s="1"/>
  <c r="AS372" i="1" s="1"/>
  <c r="Y249" i="1" a="1"/>
  <c r="Y249" i="1" s="1"/>
  <c r="AH249" i="1" s="1"/>
  <c r="AS249" i="1" s="1"/>
  <c r="Y199" i="1" a="1"/>
  <c r="Y199" i="1" s="1"/>
  <c r="AH199" i="1" s="1"/>
  <c r="AS199" i="1" s="1"/>
  <c r="Y54" i="1" a="1"/>
  <c r="Y54" i="1" s="1"/>
  <c r="AH54" i="1" s="1"/>
  <c r="AS54" i="1" s="1"/>
  <c r="Y71" i="1" a="1"/>
  <c r="Y71" i="1" s="1"/>
  <c r="AH71" i="1" s="1"/>
  <c r="AS71" i="1" s="1"/>
  <c r="Y80" i="1" a="1"/>
  <c r="Y80" i="1" s="1"/>
  <c r="AH80" i="1" s="1"/>
  <c r="AS80" i="1" s="1"/>
  <c r="BT345" i="1"/>
  <c r="BS345" i="1" s="1"/>
  <c r="BR48" i="1"/>
  <c r="BQ48" i="1" s="1"/>
  <c r="BT106" i="1"/>
  <c r="BS106" i="1" s="1"/>
  <c r="BT95" i="1"/>
  <c r="BS95" i="1" s="1"/>
  <c r="BT113" i="1"/>
  <c r="BT359" i="1"/>
  <c r="BS359" i="1" s="1"/>
  <c r="BT310" i="1"/>
  <c r="BS310" i="1" s="1"/>
  <c r="BT318" i="1"/>
  <c r="BS318" i="1" s="1"/>
  <c r="BT429" i="1"/>
  <c r="BS429" i="1" s="1"/>
  <c r="BS448" i="1"/>
  <c r="BT399" i="1"/>
  <c r="BS399" i="1" s="1"/>
  <c r="BT386" i="1"/>
  <c r="BS386" i="1" s="1"/>
  <c r="BJ206" i="1"/>
  <c r="BN206" i="1"/>
  <c r="BO206" i="1" s="1"/>
  <c r="AD169" i="1"/>
  <c r="BN168" i="1"/>
  <c r="BO168" i="1" s="1"/>
  <c r="BP168" i="1" s="1"/>
  <c r="BJ168" i="1"/>
  <c r="BK101" i="1"/>
  <c r="BJ102" i="1"/>
  <c r="BN102" i="1"/>
  <c r="BO102" i="1" s="1"/>
  <c r="BP102" i="1" s="1"/>
  <c r="S7" i="1"/>
  <c r="T3" i="1"/>
  <c r="O4" i="8"/>
  <c r="AM3" i="8"/>
  <c r="V4" i="8"/>
  <c r="AZ3" i="11" a="1"/>
  <c r="AZ3" i="11" s="1"/>
  <c r="AX3" i="11" a="1"/>
  <c r="AX3" i="11" s="1"/>
  <c r="AY3" i="11" a="1"/>
  <c r="AY3" i="11" s="1"/>
  <c r="BB3" i="11" a="1"/>
  <c r="BB3" i="11" s="1"/>
  <c r="BC3" i="11" a="1"/>
  <c r="BC3" i="11" s="1"/>
  <c r="BJ342" i="1" l="1"/>
  <c r="BK342" i="1" s="1"/>
  <c r="AD343" i="1"/>
  <c r="BN342" i="1"/>
  <c r="BO342" i="1" s="1"/>
  <c r="BP342" i="1" s="1"/>
  <c r="BK417" i="1"/>
  <c r="AF418" i="1"/>
  <c r="BI417" i="1"/>
  <c r="BP417" i="1" s="1"/>
  <c r="AD419" i="1"/>
  <c r="BJ418" i="1"/>
  <c r="BN418" i="1"/>
  <c r="BO418" i="1" s="1"/>
  <c r="AS154" i="1"/>
  <c r="BT154" i="1"/>
  <c r="BS113" i="1"/>
  <c r="BT376" i="1"/>
  <c r="BS376" i="1" s="1"/>
  <c r="BS153" i="1"/>
  <c r="Y96" i="1" a="1"/>
  <c r="Y96" i="1" s="1"/>
  <c r="AH96" i="1" s="1"/>
  <c r="AS96" i="1" s="1"/>
  <c r="Y387" i="1" a="1"/>
  <c r="Y387" i="1" s="1"/>
  <c r="AH387" i="1" s="1"/>
  <c r="AS387" i="1" s="1"/>
  <c r="Y320" i="1" a="1"/>
  <c r="Y320" i="1" s="1"/>
  <c r="AH320" i="1" s="1"/>
  <c r="AS320" i="1" s="1"/>
  <c r="Y449" i="1" a="1"/>
  <c r="Y449" i="1" s="1"/>
  <c r="AH449" i="1" s="1"/>
  <c r="AS449" i="1" s="1"/>
  <c r="Y347" i="1" a="1"/>
  <c r="Y347" i="1" s="1"/>
  <c r="AH347" i="1" s="1"/>
  <c r="AS347" i="1" s="1"/>
  <c r="BR376" i="1"/>
  <c r="BQ376" i="1" s="1"/>
  <c r="BR318" i="1"/>
  <c r="BQ318" i="1" s="1"/>
  <c r="BR178" i="1"/>
  <c r="BQ178" i="1" s="1"/>
  <c r="AD105" i="1"/>
  <c r="BN104" i="1"/>
  <c r="BO104" i="1" s="1"/>
  <c r="BP104" i="1" s="1"/>
  <c r="BJ104" i="1"/>
  <c r="BR53" i="1"/>
  <c r="BQ53" i="1" s="1"/>
  <c r="BR386" i="1"/>
  <c r="BQ386" i="1" s="1"/>
  <c r="BT71" i="1"/>
  <c r="BS71" i="1" s="1"/>
  <c r="BR399" i="1"/>
  <c r="BQ399" i="1" s="1"/>
  <c r="BR448" i="1"/>
  <c r="BQ448" i="1" s="1"/>
  <c r="BQ310" i="1"/>
  <c r="BR310" i="1"/>
  <c r="BT54" i="1"/>
  <c r="BS54" i="1" s="1"/>
  <c r="BK103" i="1"/>
  <c r="BR198" i="1"/>
  <c r="BQ198" i="1" s="1"/>
  <c r="BT199" i="1"/>
  <c r="BS199" i="1" s="1"/>
  <c r="BR248" i="1"/>
  <c r="BQ248" i="1" s="1"/>
  <c r="BR409" i="1"/>
  <c r="BQ409" i="1"/>
  <c r="BR326" i="1"/>
  <c r="BQ326" i="1" s="1"/>
  <c r="BK31" i="1"/>
  <c r="BR429" i="1"/>
  <c r="BQ429" i="1" s="1"/>
  <c r="BR359" i="1"/>
  <c r="BQ359" i="1"/>
  <c r="BR345" i="1"/>
  <c r="BQ345" i="1" s="1"/>
  <c r="BJ32" i="1"/>
  <c r="BN32" i="1"/>
  <c r="BO32" i="1" s="1"/>
  <c r="BP32" i="1" s="1"/>
  <c r="AD33" i="1"/>
  <c r="BR371" i="1"/>
  <c r="BQ371" i="1" s="1"/>
  <c r="BR79" i="1"/>
  <c r="BQ79" i="1" s="1"/>
  <c r="BK274" i="1"/>
  <c r="BR113" i="1"/>
  <c r="BQ113" i="1" s="1"/>
  <c r="BR150" i="1"/>
  <c r="BQ150" i="1" s="1"/>
  <c r="AD276" i="1"/>
  <c r="BN275" i="1"/>
  <c r="BO275" i="1" s="1"/>
  <c r="BP275" i="1" s="1"/>
  <c r="BJ275" i="1"/>
  <c r="BR95" i="1"/>
  <c r="BQ95" i="1" s="1"/>
  <c r="BR154" i="1"/>
  <c r="BQ154" i="1" s="1"/>
  <c r="BS10" i="1"/>
  <c r="BA11" i="1"/>
  <c r="BR70" i="1"/>
  <c r="BQ70" i="1" s="1"/>
  <c r="BI206" i="1"/>
  <c r="BP206" i="1" s="1"/>
  <c r="BK206" i="1"/>
  <c r="AF207" i="1"/>
  <c r="BR106" i="1"/>
  <c r="BQ106" i="1" s="1"/>
  <c r="BT249" i="1"/>
  <c r="BS249" i="1" s="1"/>
  <c r="BR317" i="1"/>
  <c r="BQ317" i="1" s="1"/>
  <c r="BT80" i="1"/>
  <c r="BS80" i="1" s="1"/>
  <c r="BT372" i="1"/>
  <c r="BS372" i="1" s="1"/>
  <c r="BC28" i="1"/>
  <c r="BC29" i="1" s="1"/>
  <c r="BC30" i="1" s="1"/>
  <c r="BC31" i="1" s="1"/>
  <c r="BC32" i="1" s="1"/>
  <c r="BC33" i="1" s="1"/>
  <c r="BC34" i="1" s="1"/>
  <c r="BC35" i="1" s="1"/>
  <c r="BC36" i="1" s="1"/>
  <c r="BC37" i="1" s="1"/>
  <c r="BC38" i="1" s="1"/>
  <c r="BC39" i="1" s="1"/>
  <c r="BC40" i="1" s="1"/>
  <c r="BC41" i="1" s="1"/>
  <c r="BC42" i="1" s="1"/>
  <c r="BC43" i="1" s="1"/>
  <c r="BC44" i="1" s="1"/>
  <c r="BC45" i="1" s="1"/>
  <c r="BC46" i="1" s="1"/>
  <c r="BC47" i="1" s="1"/>
  <c r="BC48" i="1" s="1"/>
  <c r="BC49" i="1" s="1"/>
  <c r="BC50" i="1" s="1"/>
  <c r="BC51" i="1" s="1"/>
  <c r="BC52" i="1" s="1"/>
  <c r="BC53" i="1" s="1"/>
  <c r="BC54" i="1" s="1"/>
  <c r="BC55" i="1" s="1"/>
  <c r="BC56" i="1" s="1"/>
  <c r="BC57" i="1" s="1"/>
  <c r="BC58" i="1" s="1"/>
  <c r="BC59" i="1" s="1"/>
  <c r="BC60" i="1" s="1"/>
  <c r="BC61" i="1" s="1"/>
  <c r="BC62" i="1" s="1"/>
  <c r="BC63" i="1" s="1"/>
  <c r="BC64" i="1" s="1"/>
  <c r="BC65" i="1" s="1"/>
  <c r="BC66" i="1" s="1"/>
  <c r="BC67" i="1" s="1"/>
  <c r="BC68" i="1" s="1"/>
  <c r="BC69" i="1" s="1"/>
  <c r="BC70" i="1" s="1"/>
  <c r="BC71" i="1" s="1"/>
  <c r="BC72" i="1" s="1"/>
  <c r="BC73" i="1" s="1"/>
  <c r="BC74" i="1" s="1"/>
  <c r="BC75" i="1" s="1"/>
  <c r="BC76" i="1" s="1"/>
  <c r="BC77" i="1" s="1"/>
  <c r="BC78" i="1" s="1"/>
  <c r="BC79" i="1" s="1"/>
  <c r="BC80" i="1" s="1"/>
  <c r="BC81" i="1" s="1"/>
  <c r="BC82" i="1" s="1"/>
  <c r="BC83" i="1" s="1"/>
  <c r="BC84" i="1" s="1"/>
  <c r="BC85" i="1" s="1"/>
  <c r="BC86" i="1" s="1"/>
  <c r="BC87" i="1" s="1"/>
  <c r="BC88" i="1" s="1"/>
  <c r="BC89" i="1" s="1"/>
  <c r="BC90" i="1" s="1"/>
  <c r="BC91" i="1" s="1"/>
  <c r="BC92" i="1" s="1"/>
  <c r="BC93" i="1" s="1"/>
  <c r="BC94" i="1" s="1"/>
  <c r="BC95" i="1" s="1"/>
  <c r="BC96" i="1" s="1"/>
  <c r="BC97" i="1" s="1"/>
  <c r="BC98" i="1" s="1"/>
  <c r="BC99" i="1" s="1"/>
  <c r="BC100" i="1" s="1"/>
  <c r="BC101" i="1" s="1"/>
  <c r="BC102" i="1" s="1"/>
  <c r="BC103" i="1" s="1"/>
  <c r="BC104" i="1" s="1"/>
  <c r="BC105" i="1" s="1"/>
  <c r="BC106" i="1" s="1"/>
  <c r="BC107" i="1" s="1"/>
  <c r="BC108" i="1" s="1"/>
  <c r="BC109" i="1" s="1"/>
  <c r="BC110" i="1" s="1"/>
  <c r="BC111" i="1" s="1"/>
  <c r="BC112" i="1" s="1"/>
  <c r="BC113" i="1" s="1"/>
  <c r="BC114" i="1" s="1"/>
  <c r="BC115" i="1" s="1"/>
  <c r="BC116" i="1" s="1"/>
  <c r="BC117" i="1" s="1"/>
  <c r="BC118" i="1" s="1"/>
  <c r="BC119" i="1" s="1"/>
  <c r="BC120" i="1" s="1"/>
  <c r="BC121" i="1" s="1"/>
  <c r="BC122" i="1" s="1"/>
  <c r="BC123" i="1" s="1"/>
  <c r="BC124" i="1" s="1"/>
  <c r="BC125" i="1" s="1"/>
  <c r="BC126" i="1" s="1"/>
  <c r="BC127" i="1" s="1"/>
  <c r="BC128" i="1" s="1"/>
  <c r="BC129" i="1" s="1"/>
  <c r="BC130" i="1" s="1"/>
  <c r="BC131" i="1" s="1"/>
  <c r="BC132" i="1" s="1"/>
  <c r="BC133" i="1" s="1"/>
  <c r="BC134" i="1" s="1"/>
  <c r="BC135" i="1" s="1"/>
  <c r="BC136" i="1" s="1"/>
  <c r="BC137" i="1" s="1"/>
  <c r="BC138" i="1" s="1"/>
  <c r="BC139" i="1" s="1"/>
  <c r="BC140" i="1" s="1"/>
  <c r="BC141" i="1" s="1"/>
  <c r="BC142" i="1" s="1"/>
  <c r="BC143" i="1" s="1"/>
  <c r="BC144" i="1" s="1"/>
  <c r="BC145" i="1" s="1"/>
  <c r="BC146" i="1" s="1"/>
  <c r="BC147" i="1" s="1"/>
  <c r="BC148" i="1" s="1"/>
  <c r="BC149" i="1" s="1"/>
  <c r="BC150" i="1" s="1"/>
  <c r="BC151" i="1" s="1"/>
  <c r="BC152" i="1" s="1"/>
  <c r="BC153" i="1" s="1"/>
  <c r="BC154" i="1" s="1"/>
  <c r="BC155" i="1" s="1"/>
  <c r="BC156" i="1" s="1"/>
  <c r="BC157" i="1" s="1"/>
  <c r="BC158" i="1" s="1"/>
  <c r="BC159" i="1" s="1"/>
  <c r="BC160" i="1" s="1"/>
  <c r="BC161" i="1" s="1"/>
  <c r="BC162" i="1" s="1"/>
  <c r="BC163" i="1" s="1"/>
  <c r="BC164" i="1" s="1"/>
  <c r="BC165" i="1" s="1"/>
  <c r="BC166" i="1" s="1"/>
  <c r="BC167" i="1" s="1"/>
  <c r="BC168" i="1" s="1"/>
  <c r="BC169" i="1" s="1"/>
  <c r="BC170" i="1" s="1"/>
  <c r="BC171" i="1" s="1"/>
  <c r="BC172" i="1" s="1"/>
  <c r="BC173" i="1" s="1"/>
  <c r="BC174" i="1" s="1"/>
  <c r="BC175" i="1" s="1"/>
  <c r="BC176" i="1" s="1"/>
  <c r="BC177" i="1" s="1"/>
  <c r="BC178" i="1" s="1"/>
  <c r="BC179" i="1" s="1"/>
  <c r="BC180" i="1" s="1"/>
  <c r="BC181" i="1" s="1"/>
  <c r="BC182" i="1" s="1"/>
  <c r="BC183" i="1" s="1"/>
  <c r="BC184" i="1" s="1"/>
  <c r="BC185" i="1" s="1"/>
  <c r="BC186" i="1" s="1"/>
  <c r="BC187" i="1" s="1"/>
  <c r="BC188" i="1" s="1"/>
  <c r="BC189" i="1" s="1"/>
  <c r="BC190" i="1" s="1"/>
  <c r="BC191" i="1" s="1"/>
  <c r="BC192" i="1" s="1"/>
  <c r="BC193" i="1" s="1"/>
  <c r="BC194" i="1" s="1"/>
  <c r="BC195" i="1" s="1"/>
  <c r="BC196" i="1" s="1"/>
  <c r="BC197" i="1" s="1"/>
  <c r="BC198" i="1" s="1"/>
  <c r="BC199" i="1" s="1"/>
  <c r="BC200" i="1" s="1"/>
  <c r="BC201" i="1" s="1"/>
  <c r="BC202" i="1" s="1"/>
  <c r="BC203" i="1" s="1"/>
  <c r="BC204" i="1" s="1"/>
  <c r="BC205" i="1" s="1"/>
  <c r="BC206" i="1" s="1"/>
  <c r="BC207" i="1" s="1"/>
  <c r="BC208" i="1" s="1"/>
  <c r="BC209" i="1" s="1"/>
  <c r="BC210" i="1" s="1"/>
  <c r="BC211" i="1" s="1"/>
  <c r="BC212" i="1" s="1"/>
  <c r="BC213" i="1" s="1"/>
  <c r="BC214" i="1" s="1"/>
  <c r="BC215" i="1" s="1"/>
  <c r="BC216" i="1" s="1"/>
  <c r="BC217" i="1" s="1"/>
  <c r="BC218" i="1" s="1"/>
  <c r="BC219" i="1" s="1"/>
  <c r="BC220" i="1" s="1"/>
  <c r="BC221" i="1" s="1"/>
  <c r="BC222" i="1" s="1"/>
  <c r="BC223" i="1" s="1"/>
  <c r="BC224" i="1" s="1"/>
  <c r="BC225" i="1" s="1"/>
  <c r="BC226" i="1" s="1"/>
  <c r="BC227" i="1" s="1"/>
  <c r="BC228" i="1" s="1"/>
  <c r="BC229" i="1" s="1"/>
  <c r="BC230" i="1" s="1"/>
  <c r="BC231" i="1" s="1"/>
  <c r="BC232" i="1" s="1"/>
  <c r="BC233" i="1" s="1"/>
  <c r="BC234" i="1" s="1"/>
  <c r="BC235" i="1" s="1"/>
  <c r="BC236" i="1" s="1"/>
  <c r="BC237" i="1" s="1"/>
  <c r="BC238" i="1" s="1"/>
  <c r="BC239" i="1" s="1"/>
  <c r="BC240" i="1" s="1"/>
  <c r="BC241" i="1" s="1"/>
  <c r="BC242" i="1" s="1"/>
  <c r="BC243" i="1" s="1"/>
  <c r="BC244" i="1" s="1"/>
  <c r="BC245" i="1" s="1"/>
  <c r="BC246" i="1" s="1"/>
  <c r="BC247" i="1" s="1"/>
  <c r="BC248" i="1" s="1"/>
  <c r="BC249" i="1" s="1"/>
  <c r="BC250" i="1" s="1"/>
  <c r="BC251" i="1" s="1"/>
  <c r="BC252" i="1" s="1"/>
  <c r="BC253" i="1" s="1"/>
  <c r="BC254" i="1" s="1"/>
  <c r="BC255" i="1" s="1"/>
  <c r="BC256" i="1" s="1"/>
  <c r="BC257" i="1" s="1"/>
  <c r="BC258" i="1" s="1"/>
  <c r="BC259" i="1" s="1"/>
  <c r="BC260" i="1" s="1"/>
  <c r="BC261" i="1" s="1"/>
  <c r="BC262" i="1" s="1"/>
  <c r="BC263" i="1" s="1"/>
  <c r="BC264" i="1" s="1"/>
  <c r="BC265" i="1" s="1"/>
  <c r="BC266" i="1" s="1"/>
  <c r="BC267" i="1" s="1"/>
  <c r="BC268" i="1" s="1"/>
  <c r="BC269" i="1" s="1"/>
  <c r="BC270" i="1" s="1"/>
  <c r="BC271" i="1" s="1"/>
  <c r="BC272" i="1" s="1"/>
  <c r="BC273" i="1" s="1"/>
  <c r="BC274" i="1" s="1"/>
  <c r="BC275" i="1" s="1"/>
  <c r="BC276" i="1" s="1"/>
  <c r="BC277" i="1" s="1"/>
  <c r="BC278" i="1" s="1"/>
  <c r="BC279" i="1" s="1"/>
  <c r="BC280" i="1" s="1"/>
  <c r="BC281" i="1" s="1"/>
  <c r="BC282" i="1" s="1"/>
  <c r="BC283" i="1" s="1"/>
  <c r="BC284" i="1" s="1"/>
  <c r="BC285" i="1" s="1"/>
  <c r="BC286" i="1" s="1"/>
  <c r="BC287" i="1" s="1"/>
  <c r="BC288" i="1" s="1"/>
  <c r="BC289" i="1" s="1"/>
  <c r="BC290" i="1" s="1"/>
  <c r="BC291" i="1" s="1"/>
  <c r="BC292" i="1" s="1"/>
  <c r="BC293" i="1" s="1"/>
  <c r="BC294" i="1" s="1"/>
  <c r="BC295" i="1" s="1"/>
  <c r="BC296" i="1" s="1"/>
  <c r="BC297" i="1" s="1"/>
  <c r="BC298" i="1" s="1"/>
  <c r="BC299" i="1" s="1"/>
  <c r="BC300" i="1" s="1"/>
  <c r="BC301" i="1" s="1"/>
  <c r="BC302" i="1" s="1"/>
  <c r="BC303" i="1" s="1"/>
  <c r="BC304" i="1" s="1"/>
  <c r="BC305" i="1" s="1"/>
  <c r="BC306" i="1" s="1"/>
  <c r="BC307" i="1" s="1"/>
  <c r="BC308" i="1" s="1"/>
  <c r="BC309" i="1" s="1"/>
  <c r="BC310" i="1" s="1"/>
  <c r="BC311" i="1" s="1"/>
  <c r="BC312" i="1" s="1"/>
  <c r="BC313" i="1" s="1"/>
  <c r="BC314" i="1" s="1"/>
  <c r="BC315" i="1" s="1"/>
  <c r="BC316" i="1" s="1"/>
  <c r="BC317" i="1" s="1"/>
  <c r="BC318" i="1" s="1"/>
  <c r="BC319" i="1" s="1"/>
  <c r="BC320" i="1" s="1"/>
  <c r="BC321" i="1" s="1"/>
  <c r="BC322" i="1" s="1"/>
  <c r="BC323" i="1" s="1"/>
  <c r="BC324" i="1" s="1"/>
  <c r="BC325" i="1" s="1"/>
  <c r="BC326" i="1" s="1"/>
  <c r="BC327" i="1" s="1"/>
  <c r="BC328" i="1" s="1"/>
  <c r="BC329" i="1" s="1"/>
  <c r="BC330" i="1" s="1"/>
  <c r="BC331" i="1" s="1"/>
  <c r="BC332" i="1" s="1"/>
  <c r="BC333" i="1" s="1"/>
  <c r="BC334" i="1" s="1"/>
  <c r="BC335" i="1" s="1"/>
  <c r="BC336" i="1" s="1"/>
  <c r="BC337" i="1" s="1"/>
  <c r="BC338" i="1" s="1"/>
  <c r="BC339" i="1" s="1"/>
  <c r="BC340" i="1" s="1"/>
  <c r="BC341" i="1" s="1"/>
  <c r="BC342" i="1" s="1"/>
  <c r="BC343" i="1" s="1"/>
  <c r="BC344" i="1" s="1"/>
  <c r="BC345" i="1" s="1"/>
  <c r="BC346" i="1" s="1"/>
  <c r="BC347" i="1" s="1"/>
  <c r="BC348" i="1" s="1"/>
  <c r="BC349" i="1" s="1"/>
  <c r="BC350" i="1" s="1"/>
  <c r="BC351" i="1" s="1"/>
  <c r="BC352" i="1" s="1"/>
  <c r="BC353" i="1" s="1"/>
  <c r="BC354" i="1" s="1"/>
  <c r="BC355" i="1" s="1"/>
  <c r="BC356" i="1" s="1"/>
  <c r="BC357" i="1" s="1"/>
  <c r="BC358" i="1" s="1"/>
  <c r="BC359" i="1" s="1"/>
  <c r="BC360" i="1" s="1"/>
  <c r="BC361" i="1" s="1"/>
  <c r="BC362" i="1" s="1"/>
  <c r="BC363" i="1" s="1"/>
  <c r="BC364" i="1" s="1"/>
  <c r="BC365" i="1" s="1"/>
  <c r="BC366" i="1" s="1"/>
  <c r="BC367" i="1" s="1"/>
  <c r="BC368" i="1" s="1"/>
  <c r="BC369" i="1" s="1"/>
  <c r="BC370" i="1" s="1"/>
  <c r="BC371" i="1" s="1"/>
  <c r="BC372" i="1" s="1"/>
  <c r="BC373" i="1" s="1"/>
  <c r="BC374" i="1" s="1"/>
  <c r="BC375" i="1" s="1"/>
  <c r="BC376" i="1" s="1"/>
  <c r="BC377" i="1" s="1"/>
  <c r="BC378" i="1" s="1"/>
  <c r="BC379" i="1" s="1"/>
  <c r="BC380" i="1" s="1"/>
  <c r="BC381" i="1" s="1"/>
  <c r="BC382" i="1" s="1"/>
  <c r="BC383" i="1" s="1"/>
  <c r="BC384" i="1" s="1"/>
  <c r="BC385" i="1" s="1"/>
  <c r="BC386" i="1" s="1"/>
  <c r="BC387" i="1" s="1"/>
  <c r="BC388" i="1" s="1"/>
  <c r="BC389" i="1" s="1"/>
  <c r="BC390" i="1" s="1"/>
  <c r="BC391" i="1" s="1"/>
  <c r="BC392" i="1" s="1"/>
  <c r="BC393" i="1" s="1"/>
  <c r="BC394" i="1" s="1"/>
  <c r="BC395" i="1" s="1"/>
  <c r="BC396" i="1" s="1"/>
  <c r="BC397" i="1" s="1"/>
  <c r="BC398" i="1" s="1"/>
  <c r="BC399" i="1" s="1"/>
  <c r="BC400" i="1" s="1"/>
  <c r="BC401" i="1" s="1"/>
  <c r="BC402" i="1" s="1"/>
  <c r="BC403" i="1" s="1"/>
  <c r="BC404" i="1" s="1"/>
  <c r="BC405" i="1" s="1"/>
  <c r="BC406" i="1" s="1"/>
  <c r="BC407" i="1" s="1"/>
  <c r="BC408" i="1" s="1"/>
  <c r="BC409" i="1" s="1"/>
  <c r="BC410" i="1" s="1"/>
  <c r="BC411" i="1" s="1"/>
  <c r="BC412" i="1" s="1"/>
  <c r="BC413" i="1" s="1"/>
  <c r="BC414" i="1" s="1"/>
  <c r="BC415" i="1" s="1"/>
  <c r="BC416" i="1" s="1"/>
  <c r="BC417" i="1" s="1"/>
  <c r="BC418" i="1" s="1"/>
  <c r="BC419" i="1" s="1"/>
  <c r="BC420" i="1" s="1"/>
  <c r="BC421" i="1" s="1"/>
  <c r="BC422" i="1" s="1"/>
  <c r="BC423" i="1" s="1"/>
  <c r="BC424" i="1" s="1"/>
  <c r="BC425" i="1" s="1"/>
  <c r="BC426" i="1" s="1"/>
  <c r="BC427" i="1" s="1"/>
  <c r="BC428" i="1" s="1"/>
  <c r="BC429" i="1" s="1"/>
  <c r="BC430" i="1" s="1"/>
  <c r="BC431" i="1" s="1"/>
  <c r="BC432" i="1" s="1"/>
  <c r="BC433" i="1" s="1"/>
  <c r="BC434" i="1" s="1"/>
  <c r="BC435" i="1" s="1"/>
  <c r="BC436" i="1" s="1"/>
  <c r="BC437" i="1" s="1"/>
  <c r="BC438" i="1" s="1"/>
  <c r="BC439" i="1" s="1"/>
  <c r="BC440" i="1" s="1"/>
  <c r="BC441" i="1" s="1"/>
  <c r="BC442" i="1" s="1"/>
  <c r="BC443" i="1" s="1"/>
  <c r="BC444" i="1" s="1"/>
  <c r="BC445" i="1" s="1"/>
  <c r="BC446" i="1" s="1"/>
  <c r="BC447" i="1" s="1"/>
  <c r="BC448" i="1" s="1"/>
  <c r="BC449" i="1" s="1"/>
  <c r="BC450" i="1" s="1"/>
  <c r="BC451" i="1" s="1"/>
  <c r="BC452" i="1" s="1"/>
  <c r="BC453" i="1" s="1"/>
  <c r="BC454" i="1" s="1"/>
  <c r="BC455" i="1" s="1"/>
  <c r="BC456" i="1" s="1"/>
  <c r="BC457" i="1" s="1"/>
  <c r="BC458" i="1" s="1"/>
  <c r="BC459" i="1" s="1"/>
  <c r="BC460" i="1" s="1"/>
  <c r="BC461" i="1" s="1"/>
  <c r="BC462" i="1" s="1"/>
  <c r="BC463" i="1" s="1"/>
  <c r="BC464" i="1" s="1"/>
  <c r="BC465" i="1" s="1"/>
  <c r="BC466" i="1" s="1"/>
  <c r="BC467" i="1" s="1"/>
  <c r="BC468" i="1" s="1"/>
  <c r="BC469" i="1" s="1"/>
  <c r="BC470" i="1" s="1"/>
  <c r="BC471" i="1" s="1"/>
  <c r="BC472" i="1" s="1"/>
  <c r="BC473" i="1" s="1"/>
  <c r="BC474" i="1" s="1"/>
  <c r="BC475" i="1" s="1"/>
  <c r="BC476" i="1" s="1"/>
  <c r="BC477" i="1" s="1"/>
  <c r="BC478" i="1" s="1"/>
  <c r="BC479" i="1" s="1"/>
  <c r="BC480" i="1" s="1"/>
  <c r="BC481" i="1" s="1"/>
  <c r="BC482" i="1" s="1"/>
  <c r="BC483" i="1" s="1"/>
  <c r="BC484" i="1" s="1"/>
  <c r="BC485" i="1" s="1"/>
  <c r="BC486" i="1" s="1"/>
  <c r="BC487" i="1" s="1"/>
  <c r="BC488" i="1" s="1"/>
  <c r="BC489" i="1" s="1"/>
  <c r="BC490" i="1" s="1"/>
  <c r="BC491" i="1" s="1"/>
  <c r="BC492" i="1" s="1"/>
  <c r="BC493" i="1" s="1"/>
  <c r="BC494" i="1" s="1"/>
  <c r="BC495" i="1" s="1"/>
  <c r="BC496" i="1" s="1"/>
  <c r="BC497" i="1" s="1"/>
  <c r="BC498" i="1" s="1"/>
  <c r="BC499" i="1" s="1"/>
  <c r="BC500" i="1" s="1"/>
  <c r="BC501" i="1" s="1"/>
  <c r="BC502" i="1" s="1"/>
  <c r="BC503" i="1" s="1"/>
  <c r="BC504" i="1" s="1"/>
  <c r="BC505" i="1" s="1"/>
  <c r="BC506" i="1" s="1"/>
  <c r="BC507" i="1" s="1"/>
  <c r="BC508" i="1" s="1"/>
  <c r="BC509" i="1" s="1"/>
  <c r="BC510" i="1" s="1"/>
  <c r="BC511" i="1" s="1"/>
  <c r="BC512" i="1" s="1"/>
  <c r="BC513" i="1" s="1"/>
  <c r="BC514" i="1" s="1"/>
  <c r="BC515" i="1" s="1"/>
  <c r="BC516" i="1" s="1"/>
  <c r="BC517" i="1" s="1"/>
  <c r="BC518" i="1" s="1"/>
  <c r="BC519" i="1" s="1"/>
  <c r="BC520" i="1" s="1"/>
  <c r="BC521" i="1" s="1"/>
  <c r="BC522" i="1" s="1"/>
  <c r="BC523" i="1" s="1"/>
  <c r="BC524" i="1" s="1"/>
  <c r="BC525" i="1" s="1"/>
  <c r="BC526" i="1" s="1"/>
  <c r="BC527" i="1" s="1"/>
  <c r="BC528" i="1" s="1"/>
  <c r="BC529" i="1" s="1"/>
  <c r="BC530" i="1" s="1"/>
  <c r="BC531" i="1" s="1"/>
  <c r="BC532" i="1" s="1"/>
  <c r="BC533" i="1" s="1"/>
  <c r="BC534" i="1" s="1"/>
  <c r="BC535" i="1" s="1"/>
  <c r="BC536" i="1" s="1"/>
  <c r="BC537" i="1" s="1"/>
  <c r="BC538" i="1" s="1"/>
  <c r="BC539" i="1" s="1"/>
  <c r="BC540" i="1" s="1"/>
  <c r="BC541" i="1" s="1"/>
  <c r="BC542" i="1" s="1"/>
  <c r="BC543" i="1" s="1"/>
  <c r="BC544" i="1" s="1"/>
  <c r="BC545" i="1" s="1"/>
  <c r="BC546" i="1" s="1"/>
  <c r="BC547" i="1" s="1"/>
  <c r="BC548" i="1" s="1"/>
  <c r="BC549" i="1" s="1"/>
  <c r="BC550" i="1" s="1"/>
  <c r="BC551" i="1" s="1"/>
  <c r="BC552" i="1" s="1"/>
  <c r="BC553" i="1" s="1"/>
  <c r="BC554" i="1" s="1"/>
  <c r="BC555" i="1" s="1"/>
  <c r="BC556" i="1" s="1"/>
  <c r="BC557" i="1" s="1"/>
  <c r="BC558" i="1" s="1"/>
  <c r="BC559" i="1" s="1"/>
  <c r="BC560" i="1" s="1"/>
  <c r="BC561" i="1" s="1"/>
  <c r="BC562" i="1" s="1"/>
  <c r="BC563" i="1" s="1"/>
  <c r="BC564" i="1" s="1"/>
  <c r="BC565" i="1" s="1"/>
  <c r="BC566" i="1" s="1"/>
  <c r="BC567" i="1" s="1"/>
  <c r="BC568" i="1" s="1"/>
  <c r="BC569" i="1" s="1"/>
  <c r="BC570" i="1" s="1"/>
  <c r="BC571" i="1" s="1"/>
  <c r="BC572" i="1" s="1"/>
  <c r="BC573" i="1" s="1"/>
  <c r="BC574" i="1" s="1"/>
  <c r="BC575" i="1" s="1"/>
  <c r="BC576" i="1" s="1"/>
  <c r="BC577" i="1" s="1"/>
  <c r="BC578" i="1" s="1"/>
  <c r="BC579" i="1" s="1"/>
  <c r="BC580" i="1" s="1"/>
  <c r="BC581" i="1" s="1"/>
  <c r="BC582" i="1" s="1"/>
  <c r="BC583" i="1" s="1"/>
  <c r="BC584" i="1" s="1"/>
  <c r="BC585" i="1" s="1"/>
  <c r="BC586" i="1" s="1"/>
  <c r="BC587" i="1" s="1"/>
  <c r="BC588" i="1" s="1"/>
  <c r="BC589" i="1" s="1"/>
  <c r="BC590" i="1" s="1"/>
  <c r="BC591" i="1" s="1"/>
  <c r="BC592" i="1" s="1"/>
  <c r="BC593" i="1" s="1"/>
  <c r="BC594" i="1" s="1"/>
  <c r="BC595" i="1" s="1"/>
  <c r="BC596" i="1" s="1"/>
  <c r="BC597" i="1" s="1"/>
  <c r="BC598" i="1" s="1"/>
  <c r="BC599" i="1" s="1"/>
  <c r="BC600" i="1" s="1"/>
  <c r="BC601" i="1" s="1"/>
  <c r="BC602" i="1" s="1"/>
  <c r="BC603" i="1" s="1"/>
  <c r="BC604" i="1" s="1"/>
  <c r="BC605" i="1" s="1"/>
  <c r="BC606" i="1" s="1"/>
  <c r="BC607" i="1" s="1"/>
  <c r="BC608" i="1" s="1"/>
  <c r="BC609" i="1" s="1"/>
  <c r="BC610" i="1" s="1"/>
  <c r="BC611" i="1" s="1"/>
  <c r="BC612" i="1" s="1"/>
  <c r="BC613" i="1" s="1"/>
  <c r="BC614" i="1" s="1"/>
  <c r="BC615" i="1" s="1"/>
  <c r="BC616" i="1" s="1"/>
  <c r="BC617" i="1" s="1"/>
  <c r="BC618" i="1" s="1"/>
  <c r="BC619" i="1" s="1"/>
  <c r="BC620" i="1" s="1"/>
  <c r="BC621" i="1" s="1"/>
  <c r="BC622" i="1" s="1"/>
  <c r="BC623" i="1" s="1"/>
  <c r="BC624" i="1" s="1"/>
  <c r="BC625" i="1" s="1"/>
  <c r="BC626" i="1" s="1"/>
  <c r="BC627" i="1" s="1"/>
  <c r="BC628" i="1" s="1"/>
  <c r="BC629" i="1" s="1"/>
  <c r="BC630" i="1" s="1"/>
  <c r="BC631" i="1" s="1"/>
  <c r="BC632" i="1" s="1"/>
  <c r="BC633" i="1" s="1"/>
  <c r="BC634" i="1" s="1"/>
  <c r="BC635" i="1" s="1"/>
  <c r="BC636" i="1" s="1"/>
  <c r="BC637" i="1" s="1"/>
  <c r="BC638" i="1" s="1"/>
  <c r="BC639" i="1" s="1"/>
  <c r="BC640" i="1" s="1"/>
  <c r="BC641" i="1" s="1"/>
  <c r="BC642" i="1" s="1"/>
  <c r="BC643" i="1" s="1"/>
  <c r="BC644" i="1" s="1"/>
  <c r="BC645" i="1" s="1"/>
  <c r="BC646" i="1" s="1"/>
  <c r="BC647" i="1" s="1"/>
  <c r="BC648" i="1" s="1"/>
  <c r="BC649" i="1" s="1"/>
  <c r="BC650" i="1" s="1"/>
  <c r="BC651" i="1" s="1"/>
  <c r="BC652" i="1" s="1"/>
  <c r="BC653" i="1" s="1"/>
  <c r="BC654" i="1" s="1"/>
  <c r="BC655" i="1" s="1"/>
  <c r="BC656" i="1" s="1"/>
  <c r="BC657" i="1" s="1"/>
  <c r="BC658" i="1" s="1"/>
  <c r="BC659" i="1" s="1"/>
  <c r="BC660" i="1" s="1"/>
  <c r="BC661" i="1" s="1"/>
  <c r="BC662" i="1" s="1"/>
  <c r="BC663" i="1" s="1"/>
  <c r="BC664" i="1" s="1"/>
  <c r="BC665" i="1" s="1"/>
  <c r="BC666" i="1" s="1"/>
  <c r="BC667" i="1" s="1"/>
  <c r="BC668" i="1" s="1"/>
  <c r="BC669" i="1" s="1"/>
  <c r="BC670" i="1" s="1"/>
  <c r="BC671" i="1" s="1"/>
  <c r="BC672" i="1" s="1"/>
  <c r="BC673" i="1" s="1"/>
  <c r="BC674" i="1" s="1"/>
  <c r="BC675" i="1" s="1"/>
  <c r="BC676" i="1" s="1"/>
  <c r="BC677" i="1" s="1"/>
  <c r="BC678" i="1" s="1"/>
  <c r="BC679" i="1" s="1"/>
  <c r="BC680" i="1" s="1"/>
  <c r="BC681" i="1" s="1"/>
  <c r="BC682" i="1" s="1"/>
  <c r="BC683" i="1" s="1"/>
  <c r="BC684" i="1" s="1"/>
  <c r="BC685" i="1" s="1"/>
  <c r="BC686" i="1" s="1"/>
  <c r="BC687" i="1" s="1"/>
  <c r="BC688" i="1" s="1"/>
  <c r="BC689" i="1" s="1"/>
  <c r="BC690" i="1" s="1"/>
  <c r="BC691" i="1" s="1"/>
  <c r="BC692" i="1" s="1"/>
  <c r="BC693" i="1" s="1"/>
  <c r="BC694" i="1" s="1"/>
  <c r="BC695" i="1" s="1"/>
  <c r="BC696" i="1" s="1"/>
  <c r="BC697" i="1" s="1"/>
  <c r="BC698" i="1" s="1"/>
  <c r="BC699" i="1" s="1"/>
  <c r="BC700" i="1" s="1"/>
  <c r="BC701" i="1" s="1"/>
  <c r="BC702" i="1" s="1"/>
  <c r="BC703" i="1" s="1"/>
  <c r="BC704" i="1" s="1"/>
  <c r="BC705" i="1" s="1"/>
  <c r="BC706" i="1" s="1"/>
  <c r="BC707" i="1" s="1"/>
  <c r="BC708" i="1" s="1"/>
  <c r="BC709" i="1" s="1"/>
  <c r="BC710" i="1" s="1"/>
  <c r="BC711" i="1" s="1"/>
  <c r="BC712" i="1" s="1"/>
  <c r="BC713" i="1" s="1"/>
  <c r="BC714" i="1" s="1"/>
  <c r="BC715" i="1" s="1"/>
  <c r="BC716" i="1" s="1"/>
  <c r="BC717" i="1" s="1"/>
  <c r="BC718" i="1" s="1"/>
  <c r="BC719" i="1" s="1"/>
  <c r="BC720" i="1" s="1"/>
  <c r="BC721" i="1" s="1"/>
  <c r="BC722" i="1" s="1"/>
  <c r="BC723" i="1" s="1"/>
  <c r="BC724" i="1" s="1"/>
  <c r="BC725" i="1" s="1"/>
  <c r="BC726" i="1" s="1"/>
  <c r="BC727" i="1" s="1"/>
  <c r="BC728" i="1" s="1"/>
  <c r="BC729" i="1" s="1"/>
  <c r="BC730" i="1" s="1"/>
  <c r="BC731" i="1" s="1"/>
  <c r="BC732" i="1" s="1"/>
  <c r="BC733" i="1" s="1"/>
  <c r="BC734" i="1" s="1"/>
  <c r="BC735" i="1" s="1"/>
  <c r="BC736" i="1" s="1"/>
  <c r="BC737" i="1" s="1"/>
  <c r="BC738" i="1" s="1"/>
  <c r="BT27" i="1"/>
  <c r="BN169" i="1"/>
  <c r="BO169" i="1" s="1"/>
  <c r="AF169" i="1"/>
  <c r="BJ169" i="1"/>
  <c r="BJ207" i="1"/>
  <c r="BN207" i="1"/>
  <c r="BO207" i="1" s="1"/>
  <c r="BT410" i="1"/>
  <c r="BS410" i="1" s="1"/>
  <c r="BT179" i="1"/>
  <c r="BS179" i="1" s="1"/>
  <c r="Y72" i="1" a="1"/>
  <c r="Y72" i="1" s="1"/>
  <c r="AH72" i="1" s="1"/>
  <c r="AS72" i="1" s="1"/>
  <c r="Y200" i="1" a="1"/>
  <c r="Y200" i="1" s="1"/>
  <c r="AH200" i="1" s="1"/>
  <c r="AS200" i="1" s="1"/>
  <c r="Y250" i="1" a="1"/>
  <c r="Y250" i="1" s="1"/>
  <c r="AH250" i="1" s="1"/>
  <c r="AS250" i="1" s="1"/>
  <c r="Y411" i="1" a="1"/>
  <c r="Y411" i="1" s="1"/>
  <c r="AH411" i="1" s="1"/>
  <c r="AS411" i="1" s="1"/>
  <c r="Y180" i="1" a="1"/>
  <c r="Y180" i="1" s="1"/>
  <c r="AH180" i="1" s="1"/>
  <c r="AS180" i="1" s="1"/>
  <c r="BT96" i="1"/>
  <c r="BT319" i="1"/>
  <c r="BS319" i="1" s="1"/>
  <c r="BT346" i="1"/>
  <c r="BS346" i="1" s="1"/>
  <c r="BT387" i="1"/>
  <c r="BS387" i="1" s="1"/>
  <c r="BT400" i="1"/>
  <c r="BS400" i="1" s="1"/>
  <c r="BS449" i="1"/>
  <c r="BT430" i="1"/>
  <c r="BS430" i="1" s="1"/>
  <c r="BK168" i="1"/>
  <c r="BK102" i="1"/>
  <c r="S8" i="1"/>
  <c r="AA7" i="1"/>
  <c r="S9" i="1"/>
  <c r="AA5" i="1"/>
  <c r="AA6" i="1"/>
  <c r="AL4" i="8"/>
  <c r="O5" i="8"/>
  <c r="O6" i="8" s="1"/>
  <c r="O7" i="8" s="1"/>
  <c r="O8" i="8" s="1"/>
  <c r="O9" i="8" s="1"/>
  <c r="O10" i="8" s="1"/>
  <c r="O11" i="8" s="1"/>
  <c r="O12" i="8" s="1"/>
  <c r="O13" i="8" s="1"/>
  <c r="O14" i="8" s="1"/>
  <c r="O15" i="8" s="1"/>
  <c r="O16" i="8" s="1"/>
  <c r="O17" i="8" s="1"/>
  <c r="O18" i="8" s="1"/>
  <c r="O19" i="8" s="1"/>
  <c r="O20" i="8" s="1"/>
  <c r="O21" i="8" s="1"/>
  <c r="O22" i="8" s="1"/>
  <c r="O23" i="8" s="1"/>
  <c r="O24" i="8" s="1"/>
  <c r="O25" i="8" s="1"/>
  <c r="O26" i="8" s="1"/>
  <c r="O27" i="8" s="1"/>
  <c r="O28" i="8" s="1"/>
  <c r="O29" i="8" s="1"/>
  <c r="O30" i="8" s="1"/>
  <c r="O31" i="8" s="1"/>
  <c r="O32" i="8" s="1"/>
  <c r="O33" i="8" s="1"/>
  <c r="O34" i="8" s="1"/>
  <c r="O35" i="8" s="1"/>
  <c r="O38" i="8" s="1"/>
  <c r="O39" i="8" s="1"/>
  <c r="O40" i="8" s="1"/>
  <c r="O41" i="8" s="1"/>
  <c r="O42" i="8" s="1"/>
  <c r="O43" i="8" s="1"/>
  <c r="O44" i="8" s="1"/>
  <c r="O45" i="8" s="1"/>
  <c r="O46" i="8" s="1"/>
  <c r="O47" i="8" s="1"/>
  <c r="O48" i="8" s="1"/>
  <c r="O49" i="8" s="1"/>
  <c r="O50" i="8" s="1"/>
  <c r="O51" i="8" s="1"/>
  <c r="O52" i="8" s="1"/>
  <c r="O53" i="8" s="1"/>
  <c r="O54" i="8" s="1"/>
  <c r="O55" i="8" s="1"/>
  <c r="O56" i="8" s="1"/>
  <c r="O57" i="8" s="1"/>
  <c r="O58" i="8" s="1"/>
  <c r="O61" i="8" s="1"/>
  <c r="O62" i="8" s="1"/>
  <c r="O63" i="8" s="1"/>
  <c r="O64" i="8" s="1"/>
  <c r="O65" i="8" s="1"/>
  <c r="O66" i="8" s="1"/>
  <c r="O67" i="8" s="1"/>
  <c r="O68" i="8" s="1"/>
  <c r="O69" i="8" s="1"/>
  <c r="O70" i="8" s="1"/>
  <c r="O71" i="8" s="1"/>
  <c r="O72" i="8" s="1"/>
  <c r="O73" i="8" s="1"/>
  <c r="O74" i="8" s="1"/>
  <c r="O75" i="8" s="1"/>
  <c r="O76" i="8" s="1"/>
  <c r="O77" i="8" s="1"/>
  <c r="O78" i="8" s="1"/>
  <c r="AV3" i="1" a="1"/>
  <c r="AV3" i="1" s="1"/>
  <c r="U3" i="1"/>
  <c r="AT3" i="1" s="1"/>
  <c r="V3" i="1"/>
  <c r="AU3" i="1" s="1"/>
  <c r="AW3" i="1" a="1"/>
  <c r="AW3" i="1" s="1"/>
  <c r="T4" i="1"/>
  <c r="T5" i="1" s="1"/>
  <c r="AX3" i="1" a="1"/>
  <c r="AX3" i="1" s="1"/>
  <c r="AY3" i="1" a="1"/>
  <c r="AY3" i="1" s="1"/>
  <c r="AF419" i="1" l="1"/>
  <c r="BI418" i="1"/>
  <c r="BP418" i="1" s="1"/>
  <c r="BK418" i="1"/>
  <c r="BJ343" i="1"/>
  <c r="BK343" i="1" s="1"/>
  <c r="AD344" i="1"/>
  <c r="BN343" i="1"/>
  <c r="BO343" i="1" s="1"/>
  <c r="BP343" i="1" s="1"/>
  <c r="BJ419" i="1"/>
  <c r="BN419" i="1"/>
  <c r="BO419" i="1" s="1"/>
  <c r="BS96" i="1"/>
  <c r="BS154" i="1"/>
  <c r="Y348" i="1" a="1"/>
  <c r="Y348" i="1" s="1"/>
  <c r="AH348" i="1" s="1"/>
  <c r="AS348" i="1" s="1"/>
  <c r="Y321" i="1" a="1"/>
  <c r="Y321" i="1" s="1"/>
  <c r="AH321" i="1" s="1"/>
  <c r="AS321" i="1" s="1"/>
  <c r="BR199" i="1"/>
  <c r="BQ199" i="1" s="1"/>
  <c r="BR346" i="1"/>
  <c r="BQ346" i="1" s="1"/>
  <c r="BT180" i="1"/>
  <c r="BS180" i="1" s="1"/>
  <c r="BR179" i="1"/>
  <c r="BQ179" i="1" s="1"/>
  <c r="AD170" i="1"/>
  <c r="BI169" i="1"/>
  <c r="BK169" i="1"/>
  <c r="AD34" i="1"/>
  <c r="BN33" i="1"/>
  <c r="BO33" i="1" s="1"/>
  <c r="BP33" i="1" s="1"/>
  <c r="BJ33" i="1"/>
  <c r="BR410" i="1"/>
  <c r="BQ410" i="1"/>
  <c r="BR249" i="1"/>
  <c r="BQ249" i="1" s="1"/>
  <c r="BR71" i="1"/>
  <c r="BQ71" i="1" s="1"/>
  <c r="BK104" i="1"/>
  <c r="BN276" i="1"/>
  <c r="BO276" i="1" s="1"/>
  <c r="BJ276" i="1"/>
  <c r="AF276" i="1"/>
  <c r="BR319" i="1"/>
  <c r="BQ319" i="1" s="1"/>
  <c r="BP169" i="1"/>
  <c r="BR430" i="1"/>
  <c r="BQ430" i="1" s="1"/>
  <c r="BR96" i="1"/>
  <c r="BQ96" i="1" s="1"/>
  <c r="BT250" i="1"/>
  <c r="BS250" i="1" s="1"/>
  <c r="BK32" i="1"/>
  <c r="BR372" i="1"/>
  <c r="BQ372" i="1" s="1"/>
  <c r="AD106" i="1"/>
  <c r="BJ105" i="1"/>
  <c r="BN105" i="1"/>
  <c r="BO105" i="1" s="1"/>
  <c r="BP105" i="1" s="1"/>
  <c r="BT200" i="1"/>
  <c r="BS200" i="1" s="1"/>
  <c r="BR80" i="1"/>
  <c r="BQ80" i="1" s="1"/>
  <c r="BI207" i="1"/>
  <c r="BP207" i="1" s="1"/>
  <c r="AD208" i="1"/>
  <c r="BK207" i="1"/>
  <c r="BR54" i="1"/>
  <c r="BQ54" i="1" s="1"/>
  <c r="BT411" i="1"/>
  <c r="BS411" i="1" s="1"/>
  <c r="BR449" i="1"/>
  <c r="BQ449" i="1" s="1"/>
  <c r="BT72" i="1"/>
  <c r="BS11" i="1"/>
  <c r="BA12" i="1"/>
  <c r="BR400" i="1"/>
  <c r="BQ400" i="1" s="1"/>
  <c r="BR387" i="1"/>
  <c r="BQ387" i="1" s="1"/>
  <c r="BK275" i="1"/>
  <c r="Y181" i="1" a="1"/>
  <c r="Y181" i="1" s="1"/>
  <c r="AH181" i="1" s="1"/>
  <c r="AS181" i="1" s="1"/>
  <c r="Y251" i="1" a="1"/>
  <c r="Y251" i="1" s="1"/>
  <c r="AH251" i="1" s="1"/>
  <c r="AS251" i="1" s="1"/>
  <c r="Y201" i="1" a="1"/>
  <c r="Y201" i="1" s="1"/>
  <c r="AH201" i="1" s="1"/>
  <c r="AS201" i="1" s="1"/>
  <c r="Y73" i="1" a="1"/>
  <c r="Y73" i="1" s="1"/>
  <c r="AH73" i="1" s="1"/>
  <c r="AS73" i="1" s="1"/>
  <c r="BT347" i="1"/>
  <c r="BS347" i="1" s="1"/>
  <c r="BT320" i="1"/>
  <c r="BS320" i="1" s="1"/>
  <c r="BT401" i="1"/>
  <c r="BS401" i="1" s="1"/>
  <c r="AA9" i="1"/>
  <c r="AA8" i="1"/>
  <c r="S10" i="1"/>
  <c r="AB5" i="1"/>
  <c r="AC5" i="1" s="1"/>
  <c r="T6" i="1"/>
  <c r="U5" i="1"/>
  <c r="V5" i="1"/>
  <c r="AW4" i="1" a="1"/>
  <c r="AW4" i="1" s="1"/>
  <c r="AY4" i="1" a="1"/>
  <c r="AY4" i="1" s="1"/>
  <c r="AX4" i="1" a="1"/>
  <c r="AX4" i="1" s="1"/>
  <c r="AV4" i="1" a="1"/>
  <c r="AV4" i="1" s="1"/>
  <c r="U4" i="1"/>
  <c r="AT4" i="1" s="1"/>
  <c r="V4" i="1"/>
  <c r="AU4" i="1" s="1"/>
  <c r="AD345" i="1" l="1"/>
  <c r="BJ344" i="1"/>
  <c r="BK344" i="1" s="1"/>
  <c r="BN344" i="1"/>
  <c r="BO344" i="1" s="1"/>
  <c r="BP344" i="1" s="1"/>
  <c r="AD420" i="1"/>
  <c r="BK419" i="1"/>
  <c r="BI419" i="1"/>
  <c r="BP419" i="1"/>
  <c r="BS72" i="1"/>
  <c r="Y349" i="1" a="1"/>
  <c r="Y349" i="1" s="1"/>
  <c r="AH349" i="1" s="1"/>
  <c r="AS349" i="1" s="1"/>
  <c r="BR401" i="1"/>
  <c r="BQ401" i="1" s="1"/>
  <c r="BT181" i="1"/>
  <c r="BS181" i="1" s="1"/>
  <c r="BT251" i="1"/>
  <c r="BS251" i="1" s="1"/>
  <c r="BA13" i="1"/>
  <c r="BS12" i="1"/>
  <c r="BR411" i="1"/>
  <c r="BQ411" i="1" s="1"/>
  <c r="BR200" i="1"/>
  <c r="BQ200" i="1" s="1"/>
  <c r="BR320" i="1"/>
  <c r="BQ320" i="1" s="1"/>
  <c r="BR347" i="1"/>
  <c r="BQ347" i="1" s="1"/>
  <c r="BT73" i="1"/>
  <c r="BR180" i="1"/>
  <c r="BQ180" i="1" s="1"/>
  <c r="BR72" i="1"/>
  <c r="BQ72" i="1" s="1"/>
  <c r="AD171" i="1"/>
  <c r="BN170" i="1"/>
  <c r="BO170" i="1" s="1"/>
  <c r="BP170" i="1" s="1"/>
  <c r="BJ170" i="1"/>
  <c r="BK105" i="1"/>
  <c r="AD107" i="1"/>
  <c r="BJ106" i="1"/>
  <c r="BN106" i="1"/>
  <c r="BO106" i="1" s="1"/>
  <c r="BP106" i="1" s="1"/>
  <c r="AD277" i="1"/>
  <c r="BI276" i="1"/>
  <c r="BK276" i="1"/>
  <c r="BK33" i="1"/>
  <c r="BR250" i="1"/>
  <c r="BQ250" i="1" s="1"/>
  <c r="BP276" i="1"/>
  <c r="AD35" i="1"/>
  <c r="BN34" i="1"/>
  <c r="BO34" i="1" s="1"/>
  <c r="BP34" i="1" s="1"/>
  <c r="BJ34" i="1"/>
  <c r="BT201" i="1"/>
  <c r="BS201" i="1" s="1"/>
  <c r="AD209" i="1"/>
  <c r="AF208" i="1"/>
  <c r="BN208" i="1"/>
  <c r="BO208" i="1" s="1"/>
  <c r="BJ208" i="1"/>
  <c r="Y202" i="1" a="1"/>
  <c r="Y202" i="1" s="1"/>
  <c r="AH202" i="1" s="1"/>
  <c r="AS202" i="1" s="1"/>
  <c r="Y252" i="1" a="1"/>
  <c r="Y252" i="1" s="1"/>
  <c r="AH252" i="1" s="1"/>
  <c r="AS252" i="1" s="1"/>
  <c r="Y182" i="1" a="1"/>
  <c r="Y182" i="1" s="1"/>
  <c r="AH182" i="1" s="1"/>
  <c r="AS182" i="1" s="1"/>
  <c r="BT321" i="1"/>
  <c r="BS321" i="1" s="1"/>
  <c r="BT348" i="1"/>
  <c r="BS348" i="1" s="1"/>
  <c r="S11" i="1"/>
  <c r="AA10" i="1"/>
  <c r="S12" i="1"/>
  <c r="AB6" i="1"/>
  <c r="AC6" i="1" s="1"/>
  <c r="T7" i="1"/>
  <c r="U6" i="1"/>
  <c r="V6" i="1"/>
  <c r="AD421" i="1" l="1"/>
  <c r="BJ420" i="1"/>
  <c r="BK420" i="1" s="1"/>
  <c r="BN420" i="1"/>
  <c r="BO420" i="1" s="1"/>
  <c r="BP420" i="1" s="1"/>
  <c r="AD346" i="1"/>
  <c r="BJ345" i="1"/>
  <c r="BK345" i="1" s="1"/>
  <c r="BN345" i="1"/>
  <c r="BO345" i="1" s="1"/>
  <c r="BP345" i="1" s="1"/>
  <c r="BS73" i="1"/>
  <c r="BR73" i="1"/>
  <c r="BQ73" i="1" s="1"/>
  <c r="BT252" i="1"/>
  <c r="BS252" i="1" s="1"/>
  <c r="BS13" i="1"/>
  <c r="BA14" i="1"/>
  <c r="BT202" i="1"/>
  <c r="BS202" i="1" s="1"/>
  <c r="BR251" i="1"/>
  <c r="BQ251" i="1" s="1"/>
  <c r="BK170" i="1"/>
  <c r="AD278" i="1"/>
  <c r="BJ277" i="1"/>
  <c r="BN277" i="1"/>
  <c r="BO277" i="1" s="1"/>
  <c r="BP277" i="1" s="1"/>
  <c r="BN209" i="1"/>
  <c r="BO209" i="1" s="1"/>
  <c r="BJ209" i="1"/>
  <c r="BR201" i="1"/>
  <c r="BQ201" i="1" s="1"/>
  <c r="BK34" i="1"/>
  <c r="BK208" i="1"/>
  <c r="AF209" i="1"/>
  <c r="BI208" i="1"/>
  <c r="BP208" i="1" s="1"/>
  <c r="BN171" i="1"/>
  <c r="BO171" i="1" s="1"/>
  <c r="BP171" i="1" s="1"/>
  <c r="AD172" i="1"/>
  <c r="BJ171" i="1"/>
  <c r="BR181" i="1"/>
  <c r="BQ181" i="1" s="1"/>
  <c r="BR348" i="1"/>
  <c r="BQ348" i="1" s="1"/>
  <c r="BT182" i="1"/>
  <c r="BR321" i="1"/>
  <c r="BQ321" i="1" s="1"/>
  <c r="BK106" i="1"/>
  <c r="AD36" i="1"/>
  <c r="BN35" i="1"/>
  <c r="BO35" i="1" s="1"/>
  <c r="BP35" i="1" s="1"/>
  <c r="BJ35" i="1"/>
  <c r="BJ107" i="1"/>
  <c r="AF107" i="1"/>
  <c r="BN107" i="1"/>
  <c r="BO107" i="1" s="1"/>
  <c r="Y253" i="1" a="1"/>
  <c r="Y253" i="1" s="1"/>
  <c r="AH253" i="1" s="1"/>
  <c r="Y203" i="1" a="1"/>
  <c r="Y203" i="1" s="1"/>
  <c r="AH203" i="1" s="1"/>
  <c r="AS203" i="1" s="1"/>
  <c r="BT349" i="1"/>
  <c r="BS349" i="1" s="1"/>
  <c r="AA11" i="1"/>
  <c r="S13" i="1"/>
  <c r="AA12" i="1"/>
  <c r="AB7" i="1"/>
  <c r="AC7" i="1" s="1"/>
  <c r="V7" i="1"/>
  <c r="T8" i="1"/>
  <c r="U7" i="1"/>
  <c r="AG2" i="8"/>
  <c r="AA4" i="1"/>
  <c r="AB4" i="1"/>
  <c r="AC4" i="1" s="1"/>
  <c r="BQ2" i="4" a="1"/>
  <c r="BQ2" i="4" s="1"/>
  <c r="BE3" i="1"/>
  <c r="BE4" i="1" s="1"/>
  <c r="AB3" i="1"/>
  <c r="AA3" i="1"/>
  <c r="AZ3" i="1"/>
  <c r="AZ4" i="1" s="1"/>
  <c r="AA2" i="1"/>
  <c r="BG3" i="1"/>
  <c r="BG4" i="1" s="1"/>
  <c r="AB2" i="1"/>
  <c r="AC2" i="1" s="1"/>
  <c r="AD347" i="1" l="1"/>
  <c r="BN346" i="1"/>
  <c r="BO346" i="1" s="1"/>
  <c r="BP346" i="1" s="1"/>
  <c r="BJ346" i="1"/>
  <c r="BK346" i="1" s="1"/>
  <c r="BJ421" i="1"/>
  <c r="BK421" i="1" s="1"/>
  <c r="BN421" i="1"/>
  <c r="BO421" i="1" s="1"/>
  <c r="BP421" i="1" s="1"/>
  <c r="AD422" i="1"/>
  <c r="BS182" i="1"/>
  <c r="BR182" i="1"/>
  <c r="BQ182" i="1" s="1"/>
  <c r="BT203" i="1"/>
  <c r="BR349" i="1"/>
  <c r="BQ349" i="1" s="1"/>
  <c r="BT253" i="1"/>
  <c r="BS253" i="1" s="1"/>
  <c r="AD108" i="1"/>
  <c r="BK107" i="1"/>
  <c r="BI107" i="1"/>
  <c r="BP107" i="1" s="1"/>
  <c r="BK171" i="1"/>
  <c r="BR202" i="1"/>
  <c r="BQ202" i="1" s="1"/>
  <c r="BK35" i="1"/>
  <c r="BJ172" i="1"/>
  <c r="BN172" i="1"/>
  <c r="BO172" i="1" s="1"/>
  <c r="BP172" i="1" s="1"/>
  <c r="AD173" i="1"/>
  <c r="BK277" i="1"/>
  <c r="AD279" i="1"/>
  <c r="BN278" i="1"/>
  <c r="BO278" i="1" s="1"/>
  <c r="BP278" i="1" s="1"/>
  <c r="BJ278" i="1"/>
  <c r="BN36" i="1"/>
  <c r="BO36" i="1" s="1"/>
  <c r="BP36" i="1" s="1"/>
  <c r="AD37" i="1"/>
  <c r="BJ36" i="1"/>
  <c r="BS14" i="1"/>
  <c r="BA15" i="1"/>
  <c r="AD210" i="1"/>
  <c r="BI209" i="1"/>
  <c r="BP209" i="1" s="1"/>
  <c r="BK209" i="1"/>
  <c r="BR252" i="1"/>
  <c r="BQ252" i="1" s="1"/>
  <c r="Y254" i="1" a="1"/>
  <c r="Y254" i="1" s="1"/>
  <c r="AH254" i="1" s="1"/>
  <c r="S15" i="1"/>
  <c r="S16" i="1" s="1"/>
  <c r="S14" i="1"/>
  <c r="AA14" i="1" s="1"/>
  <c r="AA15" i="1"/>
  <c r="AA13" i="1"/>
  <c r="U8" i="1"/>
  <c r="V8" i="1"/>
  <c r="AB8" i="1"/>
  <c r="AC8" i="1" s="1"/>
  <c r="T9" i="1"/>
  <c r="AI2" i="1"/>
  <c r="AJ2" i="1"/>
  <c r="AP2" i="1"/>
  <c r="AN2" i="1"/>
  <c r="AO2" i="1"/>
  <c r="I4" i="8"/>
  <c r="AJ4" i="8" s="1"/>
  <c r="P4" i="8"/>
  <c r="AK4" i="8" s="1"/>
  <c r="BN422" i="1" l="1"/>
  <c r="BO422" i="1" s="1"/>
  <c r="BJ422" i="1"/>
  <c r="AD423" i="1"/>
  <c r="AF422" i="1"/>
  <c r="BJ347" i="1"/>
  <c r="BK347" i="1" s="1"/>
  <c r="BN347" i="1"/>
  <c r="BO347" i="1" s="1"/>
  <c r="BP347" i="1" s="1"/>
  <c r="AD348" i="1"/>
  <c r="BS203" i="1"/>
  <c r="BR203" i="1"/>
  <c r="BQ203" i="1" s="1"/>
  <c r="BN173" i="1"/>
  <c r="BO173" i="1" s="1"/>
  <c r="BP173" i="1" s="1"/>
  <c r="BJ173" i="1"/>
  <c r="AD174" i="1"/>
  <c r="BK172" i="1"/>
  <c r="BS15" i="1"/>
  <c r="BA16" i="1"/>
  <c r="BN108" i="1"/>
  <c r="BO108" i="1" s="1"/>
  <c r="BP108" i="1" s="1"/>
  <c r="BJ108" i="1"/>
  <c r="AD109" i="1"/>
  <c r="BR253" i="1"/>
  <c r="BQ253" i="1" s="1"/>
  <c r="BK278" i="1"/>
  <c r="BN279" i="1"/>
  <c r="BO279" i="1" s="1"/>
  <c r="BJ279" i="1"/>
  <c r="AF279" i="1"/>
  <c r="BJ37" i="1"/>
  <c r="AD38" i="1"/>
  <c r="BN37" i="1"/>
  <c r="BO37" i="1" s="1"/>
  <c r="BP37" i="1" s="1"/>
  <c r="BT254" i="1"/>
  <c r="BK36" i="1"/>
  <c r="BN210" i="1"/>
  <c r="BO210" i="1" s="1"/>
  <c r="BP210" i="1" s="1"/>
  <c r="AD211" i="1"/>
  <c r="BJ210" i="1"/>
  <c r="AA16" i="1"/>
  <c r="S17" i="1"/>
  <c r="AB9" i="1"/>
  <c r="AC9" i="1" s="1"/>
  <c r="U9" i="1"/>
  <c r="V9" i="1"/>
  <c r="T10" i="1"/>
  <c r="AS4" i="8"/>
  <c r="AO4" i="8"/>
  <c r="AN4" i="8"/>
  <c r="AP4" i="8" s="1"/>
  <c r="AX4" i="8" s="1"/>
  <c r="AW4" i="8" s="1"/>
  <c r="AR2" i="1"/>
  <c r="AM2" i="1"/>
  <c r="AQ2" i="1" s="1"/>
  <c r="BN348" i="1" l="1"/>
  <c r="BO348" i="1" s="1"/>
  <c r="BP348" i="1" s="1"/>
  <c r="AD349" i="1"/>
  <c r="BJ348" i="1"/>
  <c r="BK348" i="1" s="1"/>
  <c r="AF423" i="1"/>
  <c r="BI422" i="1"/>
  <c r="BP422" i="1" s="1"/>
  <c r="BK422" i="1"/>
  <c r="BJ423" i="1"/>
  <c r="BN423" i="1"/>
  <c r="BO423" i="1" s="1"/>
  <c r="BS254" i="1"/>
  <c r="AD175" i="1"/>
  <c r="BJ174" i="1"/>
  <c r="BN174" i="1"/>
  <c r="BO174" i="1" s="1"/>
  <c r="BP174" i="1" s="1"/>
  <c r="BN38" i="1"/>
  <c r="BO38" i="1" s="1"/>
  <c r="BP38" i="1" s="1"/>
  <c r="AD39" i="1"/>
  <c r="BJ38" i="1"/>
  <c r="BK37" i="1"/>
  <c r="AD110" i="1"/>
  <c r="BJ109" i="1"/>
  <c r="BN109" i="1"/>
  <c r="BO109" i="1" s="1"/>
  <c r="BP109" i="1" s="1"/>
  <c r="BK210" i="1"/>
  <c r="BK108" i="1"/>
  <c r="AD280" i="1"/>
  <c r="BI279" i="1"/>
  <c r="BP279" i="1" s="1"/>
  <c r="BK279" i="1"/>
  <c r="BK173" i="1"/>
  <c r="AD212" i="1"/>
  <c r="BJ211" i="1"/>
  <c r="BN211" i="1"/>
  <c r="BO211" i="1" s="1"/>
  <c r="BP211" i="1" s="1"/>
  <c r="BR254" i="1"/>
  <c r="BQ254" i="1" s="1"/>
  <c r="BA17" i="1"/>
  <c r="BS16" i="1"/>
  <c r="S18" i="1"/>
  <c r="AA17" i="1"/>
  <c r="AB10" i="1"/>
  <c r="AC10" i="1" s="1"/>
  <c r="U10" i="1"/>
  <c r="T11" i="1"/>
  <c r="V10" i="1"/>
  <c r="AR4" i="8"/>
  <c r="AV4" i="8"/>
  <c r="AY4" i="8" s="1"/>
  <c r="AQ4" i="8"/>
  <c r="AC3" i="1"/>
  <c r="BK423" i="1" l="1"/>
  <c r="BI423" i="1"/>
  <c r="BP423" i="1" s="1"/>
  <c r="AD424" i="1"/>
  <c r="AD350" i="1"/>
  <c r="BJ349" i="1"/>
  <c r="BK349" i="1" s="1"/>
  <c r="BN349" i="1"/>
  <c r="BO349" i="1" s="1"/>
  <c r="BP349" i="1" s="1"/>
  <c r="BJ110" i="1"/>
  <c r="AD111" i="1"/>
  <c r="BN110" i="1"/>
  <c r="BO110" i="1" s="1"/>
  <c r="BP110" i="1" s="1"/>
  <c r="BK38" i="1"/>
  <c r="BA18" i="1"/>
  <c r="BS17" i="1"/>
  <c r="BK211" i="1"/>
  <c r="BN39" i="1"/>
  <c r="BO39" i="1" s="1"/>
  <c r="BP39" i="1" s="1"/>
  <c r="BJ39" i="1"/>
  <c r="AD40" i="1"/>
  <c r="BN280" i="1"/>
  <c r="BO280" i="1" s="1"/>
  <c r="BP280" i="1" s="1"/>
  <c r="AD281" i="1"/>
  <c r="BJ280" i="1"/>
  <c r="BN212" i="1"/>
  <c r="BO212" i="1" s="1"/>
  <c r="BJ212" i="1"/>
  <c r="AF212" i="1"/>
  <c r="BK174" i="1"/>
  <c r="BJ175" i="1"/>
  <c r="AD176" i="1"/>
  <c r="BN175" i="1"/>
  <c r="BO175" i="1" s="1"/>
  <c r="BP175" i="1" s="1"/>
  <c r="BK109" i="1"/>
  <c r="S19" i="1"/>
  <c r="AA18" i="1"/>
  <c r="AB11" i="1"/>
  <c r="AC11" i="1" s="1"/>
  <c r="T12" i="1"/>
  <c r="U11" i="1"/>
  <c r="V11" i="1"/>
  <c r="AI4" i="1"/>
  <c r="AJ4" i="1"/>
  <c r="AF3" i="1"/>
  <c r="AD4" i="1"/>
  <c r="AE4" i="1"/>
  <c r="BT2" i="1"/>
  <c r="BS2" i="1" s="1"/>
  <c r="A5" i="8"/>
  <c r="A6" i="8" s="1"/>
  <c r="A7" i="8" s="1"/>
  <c r="A8" i="8" s="1"/>
  <c r="A9" i="8" s="1"/>
  <c r="A10" i="8" s="1"/>
  <c r="A11" i="8" s="1"/>
  <c r="A12" i="8" s="1"/>
  <c r="A13" i="8" s="1"/>
  <c r="A14" i="8" s="1"/>
  <c r="A15" i="8" s="1"/>
  <c r="A16" i="8" s="1"/>
  <c r="A17" i="8" s="1"/>
  <c r="A18" i="8" s="1"/>
  <c r="A19" i="8" s="1"/>
  <c r="A20" i="8" s="1"/>
  <c r="A21" i="8" s="1"/>
  <c r="A22" i="8" s="1"/>
  <c r="A23" i="8" s="1"/>
  <c r="A24" i="8" s="1"/>
  <c r="A25" i="8" s="1"/>
  <c r="A26" i="8" s="1"/>
  <c r="A27" i="8" s="1"/>
  <c r="A28" i="8" s="1"/>
  <c r="A29" i="8" s="1"/>
  <c r="A30" i="8" s="1"/>
  <c r="A31" i="8" s="1"/>
  <c r="A32" i="8" s="1"/>
  <c r="A33" i="8" s="1"/>
  <c r="A34" i="8" s="1"/>
  <c r="A35" i="8" s="1"/>
  <c r="A36" i="8" s="1"/>
  <c r="A37" i="8" s="1"/>
  <c r="A38" i="8" s="1"/>
  <c r="A39" i="8" s="1"/>
  <c r="A40" i="8" s="1"/>
  <c r="A41" i="8" s="1"/>
  <c r="A42" i="8" s="1"/>
  <c r="A43" i="8" s="1"/>
  <c r="A44" i="8" s="1"/>
  <c r="A45" i="8" s="1"/>
  <c r="A46" i="8" s="1"/>
  <c r="A47" i="8" s="1"/>
  <c r="A48" i="8" s="1"/>
  <c r="A49" i="8" s="1"/>
  <c r="A50" i="8" s="1"/>
  <c r="A51" i="8" s="1"/>
  <c r="A52" i="8" s="1"/>
  <c r="A53" i="8" s="1"/>
  <c r="A54" i="8" s="1"/>
  <c r="A55" i="8" s="1"/>
  <c r="A56" i="8" s="1"/>
  <c r="A57" i="8" s="1"/>
  <c r="A58" i="8" s="1"/>
  <c r="A59" i="8" s="1"/>
  <c r="A60" i="8" s="1"/>
  <c r="A61" i="8" s="1"/>
  <c r="A62" i="8" s="1"/>
  <c r="A63" i="8" s="1"/>
  <c r="A64" i="8" s="1"/>
  <c r="A65" i="8" s="1"/>
  <c r="A66" i="8" s="1"/>
  <c r="A67" i="8" s="1"/>
  <c r="A68" i="8" s="1"/>
  <c r="A69" i="8" s="1"/>
  <c r="A70" i="8" s="1"/>
  <c r="A71" i="8" s="1"/>
  <c r="A72" i="8" s="1"/>
  <c r="A73" i="8" s="1"/>
  <c r="A74" i="8" s="1"/>
  <c r="A75" i="8" s="1"/>
  <c r="A76" i="8" s="1"/>
  <c r="A77" i="8" s="1"/>
  <c r="A78" i="8" s="1"/>
  <c r="A79" i="8" s="1"/>
  <c r="BN350" i="1" l="1"/>
  <c r="BO350" i="1" s="1"/>
  <c r="BP350" i="1" s="1"/>
  <c r="BJ350" i="1"/>
  <c r="BK350" i="1" s="1"/>
  <c r="AD351" i="1"/>
  <c r="BJ424" i="1"/>
  <c r="BK424" i="1" s="1"/>
  <c r="AD425" i="1"/>
  <c r="BN424" i="1"/>
  <c r="BO424" i="1" s="1"/>
  <c r="BP424" i="1" s="1"/>
  <c r="BK39" i="1"/>
  <c r="BJ40" i="1"/>
  <c r="AD41" i="1"/>
  <c r="BN40" i="1"/>
  <c r="BO40" i="1" s="1"/>
  <c r="BP40" i="1" s="1"/>
  <c r="BJ176" i="1"/>
  <c r="BN176" i="1"/>
  <c r="BO176" i="1" s="1"/>
  <c r="BP176" i="1" s="1"/>
  <c r="AD177" i="1"/>
  <c r="BK175" i="1"/>
  <c r="AD213" i="1"/>
  <c r="BK212" i="1"/>
  <c r="BI212" i="1"/>
  <c r="BP212" i="1" s="1"/>
  <c r="BA19" i="1"/>
  <c r="BS18" i="1"/>
  <c r="BN111" i="1"/>
  <c r="BO111" i="1" s="1"/>
  <c r="BP111" i="1" s="1"/>
  <c r="AD112" i="1"/>
  <c r="BJ111" i="1"/>
  <c r="BK280" i="1"/>
  <c r="AD282" i="1"/>
  <c r="BJ281" i="1"/>
  <c r="BN281" i="1"/>
  <c r="BO281" i="1" s="1"/>
  <c r="BP281" i="1" s="1"/>
  <c r="BK110" i="1"/>
  <c r="S20" i="1"/>
  <c r="AA19" i="1"/>
  <c r="AB12" i="1"/>
  <c r="AC12" i="1" s="1"/>
  <c r="V12" i="1"/>
  <c r="U12" i="1"/>
  <c r="T13" i="1"/>
  <c r="AF4" i="1"/>
  <c r="BJ4" i="1"/>
  <c r="AK3" i="8"/>
  <c r="AG3" i="8"/>
  <c r="BJ425" i="1" l="1"/>
  <c r="BK425" i="1" s="1"/>
  <c r="AD426" i="1"/>
  <c r="BN425" i="1"/>
  <c r="BO425" i="1" s="1"/>
  <c r="BP425" i="1" s="1"/>
  <c r="AD352" i="1"/>
  <c r="BJ351" i="1"/>
  <c r="BK351" i="1" s="1"/>
  <c r="BN351" i="1"/>
  <c r="BO351" i="1" s="1"/>
  <c r="BP351" i="1" s="1"/>
  <c r="AD214" i="1"/>
  <c r="BJ213" i="1"/>
  <c r="BN213" i="1"/>
  <c r="BO213" i="1" s="1"/>
  <c r="BP213" i="1" s="1"/>
  <c r="BN177" i="1"/>
  <c r="BO177" i="1" s="1"/>
  <c r="BP177" i="1" s="1"/>
  <c r="AD178" i="1"/>
  <c r="BJ177" i="1"/>
  <c r="BK111" i="1"/>
  <c r="BJ112" i="1"/>
  <c r="AD113" i="1"/>
  <c r="BN112" i="1"/>
  <c r="BO112" i="1" s="1"/>
  <c r="BP112" i="1" s="1"/>
  <c r="BK176" i="1"/>
  <c r="AF41" i="1"/>
  <c r="AD42" i="1"/>
  <c r="BJ41" i="1"/>
  <c r="BN41" i="1"/>
  <c r="BO41" i="1" s="1"/>
  <c r="BK281" i="1"/>
  <c r="BN282" i="1"/>
  <c r="BO282" i="1" s="1"/>
  <c r="BP282" i="1" s="1"/>
  <c r="BJ282" i="1"/>
  <c r="AD283" i="1"/>
  <c r="BK40" i="1"/>
  <c r="BA20" i="1"/>
  <c r="BS19" i="1"/>
  <c r="AA20" i="1"/>
  <c r="S21" i="1"/>
  <c r="V13" i="1"/>
  <c r="U13" i="1"/>
  <c r="AB13" i="1"/>
  <c r="AC13" i="1" s="1"/>
  <c r="T14" i="1"/>
  <c r="BI4" i="1"/>
  <c r="BK4" i="1"/>
  <c r="AJ3" i="8"/>
  <c r="AO3" i="8" s="1"/>
  <c r="AV3" i="8" s="1"/>
  <c r="AY3" i="8" s="1"/>
  <c r="AI3" i="8"/>
  <c r="AF2" i="1"/>
  <c r="AG2" i="1"/>
  <c r="Z3" i="1"/>
  <c r="BF3" i="1"/>
  <c r="BF4" i="1" s="1"/>
  <c r="BD2" i="1"/>
  <c r="AS2" i="1" s="1"/>
  <c r="BO2" i="1"/>
  <c r="BP2" i="1" s="1"/>
  <c r="BJ352" i="1" l="1"/>
  <c r="BK352" i="1" s="1"/>
  <c r="AD353" i="1"/>
  <c r="BN352" i="1"/>
  <c r="BO352" i="1" s="1"/>
  <c r="BP352" i="1" s="1"/>
  <c r="BN426" i="1"/>
  <c r="BO426" i="1" s="1"/>
  <c r="BP426" i="1" s="1"/>
  <c r="AD427" i="1"/>
  <c r="BJ426" i="1"/>
  <c r="BK426" i="1" s="1"/>
  <c r="AD284" i="1"/>
  <c r="BN283" i="1"/>
  <c r="BO283" i="1" s="1"/>
  <c r="BP283" i="1" s="1"/>
  <c r="BJ283" i="1"/>
  <c r="BK282" i="1"/>
  <c r="BK177" i="1"/>
  <c r="BN178" i="1"/>
  <c r="BO178" i="1" s="1"/>
  <c r="BP178" i="1" s="1"/>
  <c r="BJ178" i="1"/>
  <c r="AD179" i="1"/>
  <c r="AD114" i="1"/>
  <c r="BN113" i="1"/>
  <c r="BO113" i="1" s="1"/>
  <c r="BP113" i="1" s="1"/>
  <c r="BJ113" i="1"/>
  <c r="BK112" i="1"/>
  <c r="BA21" i="1"/>
  <c r="BS20" i="1"/>
  <c r="BJ42" i="1"/>
  <c r="BN42" i="1"/>
  <c r="BO42" i="1" s="1"/>
  <c r="AF42" i="1"/>
  <c r="BI41" i="1"/>
  <c r="BP41" i="1" s="1"/>
  <c r="BK41" i="1"/>
  <c r="BK213" i="1"/>
  <c r="AD215" i="1"/>
  <c r="BJ214" i="1"/>
  <c r="BN214" i="1"/>
  <c r="BO214" i="1" s="1"/>
  <c r="BP214" i="1" s="1"/>
  <c r="S22" i="1"/>
  <c r="AA21" i="1"/>
  <c r="AB14" i="1"/>
  <c r="AC14" i="1" s="1"/>
  <c r="U14" i="1"/>
  <c r="T15" i="1"/>
  <c r="V14" i="1"/>
  <c r="AS3" i="8"/>
  <c r="AN3" i="8"/>
  <c r="AP3" i="8" s="1"/>
  <c r="AX3" i="8" s="1"/>
  <c r="AW3" i="8" s="1"/>
  <c r="AQ3" i="8"/>
  <c r="Z4" i="1"/>
  <c r="Z5" i="1" s="1"/>
  <c r="Z6" i="1" s="1"/>
  <c r="Z7" i="1" s="1"/>
  <c r="Z8" i="1" s="1"/>
  <c r="Z9" i="1" s="1"/>
  <c r="Z10" i="1" s="1"/>
  <c r="Z11" i="1" s="1"/>
  <c r="Z12" i="1" s="1"/>
  <c r="Z13" i="1" s="1"/>
  <c r="Z14" i="1" s="1"/>
  <c r="Z15" i="1" s="1"/>
  <c r="Z16" i="1" s="1"/>
  <c r="Z17" i="1" s="1"/>
  <c r="Z18" i="1" s="1"/>
  <c r="Z19" i="1" s="1"/>
  <c r="Z20" i="1" s="1"/>
  <c r="Z21" i="1" s="1"/>
  <c r="Z22" i="1" s="1"/>
  <c r="Z23" i="1" s="1"/>
  <c r="Z24" i="1" s="1"/>
  <c r="Z25" i="1" s="1"/>
  <c r="Z26" i="1" s="1"/>
  <c r="Z27" i="1" s="1"/>
  <c r="Z28" i="1" s="1"/>
  <c r="Z29" i="1" s="1"/>
  <c r="Z30" i="1" s="1"/>
  <c r="Z31" i="1" s="1"/>
  <c r="Z32" i="1" s="1"/>
  <c r="Z33" i="1" s="1"/>
  <c r="Z34" i="1" s="1"/>
  <c r="Z35" i="1" s="1"/>
  <c r="Z36" i="1" s="1"/>
  <c r="Z37" i="1" s="1"/>
  <c r="Z38" i="1" s="1"/>
  <c r="Z39" i="1" s="1"/>
  <c r="Z40" i="1" s="1"/>
  <c r="Z41" i="1" s="1"/>
  <c r="Z42" i="1" s="1"/>
  <c r="Z43" i="1" s="1"/>
  <c r="Z44" i="1" s="1"/>
  <c r="Z45" i="1" s="1"/>
  <c r="Z46" i="1" s="1"/>
  <c r="Z47" i="1" s="1"/>
  <c r="Z48" i="1" s="1"/>
  <c r="Z49" i="1" s="1"/>
  <c r="Z50" i="1" s="1"/>
  <c r="Z51" i="1" s="1"/>
  <c r="Z52" i="1" s="1"/>
  <c r="Z53" i="1" s="1"/>
  <c r="Z54" i="1" s="1"/>
  <c r="Z55" i="1" s="1"/>
  <c r="Z56" i="1" s="1"/>
  <c r="Z57" i="1" s="1"/>
  <c r="Z58" i="1" s="1"/>
  <c r="Z59" i="1" s="1"/>
  <c r="Z60" i="1" s="1"/>
  <c r="Z61" i="1" s="1"/>
  <c r="Z62" i="1" s="1"/>
  <c r="Z63" i="1" s="1"/>
  <c r="Z64" i="1" s="1"/>
  <c r="Z65" i="1" s="1"/>
  <c r="Z66" i="1" s="1"/>
  <c r="Z67" i="1" s="1"/>
  <c r="Z68" i="1" s="1"/>
  <c r="Z69" i="1" s="1"/>
  <c r="Z70" i="1" s="1"/>
  <c r="Z71" i="1" s="1"/>
  <c r="Z72" i="1" s="1"/>
  <c r="Z73" i="1" s="1"/>
  <c r="Z74" i="1" s="1"/>
  <c r="Z75" i="1" s="1"/>
  <c r="Z76" i="1" s="1"/>
  <c r="Z77" i="1" s="1"/>
  <c r="Z78" i="1" s="1"/>
  <c r="Z79" i="1" s="1"/>
  <c r="Z80" i="1" s="1"/>
  <c r="Z81" i="1" s="1"/>
  <c r="Z82" i="1" s="1"/>
  <c r="Z83" i="1" s="1"/>
  <c r="Z84" i="1" s="1"/>
  <c r="Z85" i="1" s="1"/>
  <c r="Z86" i="1" s="1"/>
  <c r="Z87" i="1" s="1"/>
  <c r="Z88" i="1" s="1"/>
  <c r="Z89" i="1" s="1"/>
  <c r="Z90" i="1" s="1"/>
  <c r="Z91" i="1" s="1"/>
  <c r="Z92" i="1" s="1"/>
  <c r="Z93" i="1" s="1"/>
  <c r="Z94" i="1" s="1"/>
  <c r="Z95" i="1" s="1"/>
  <c r="Z96" i="1" s="1"/>
  <c r="Z97" i="1" s="1"/>
  <c r="Z98" i="1" s="1"/>
  <c r="Z99" i="1" s="1"/>
  <c r="Z100" i="1" s="1"/>
  <c r="Z101" i="1" s="1"/>
  <c r="Z102" i="1" s="1"/>
  <c r="Z103" i="1" s="1"/>
  <c r="Z104" i="1" s="1"/>
  <c r="Z105" i="1" s="1"/>
  <c r="Z106" i="1" s="1"/>
  <c r="Z107" i="1" s="1"/>
  <c r="Z108" i="1" s="1"/>
  <c r="Z109" i="1" s="1"/>
  <c r="Z110" i="1" s="1"/>
  <c r="Z111" i="1" s="1"/>
  <c r="Z112" i="1" s="1"/>
  <c r="Z113" i="1" s="1"/>
  <c r="Z114" i="1" s="1"/>
  <c r="Z115" i="1" s="1"/>
  <c r="Z116" i="1" s="1"/>
  <c r="Z117" i="1" s="1"/>
  <c r="Z118" i="1" s="1"/>
  <c r="Z119" i="1" s="1"/>
  <c r="Z120" i="1" s="1"/>
  <c r="Z121" i="1" s="1"/>
  <c r="Z122" i="1" s="1"/>
  <c r="Z123" i="1" s="1"/>
  <c r="Z124" i="1" s="1"/>
  <c r="Z125" i="1" s="1"/>
  <c r="Z126" i="1" s="1"/>
  <c r="Z127" i="1" s="1"/>
  <c r="Z128" i="1" s="1"/>
  <c r="Z129" i="1" s="1"/>
  <c r="Z130" i="1" s="1"/>
  <c r="Z131" i="1" s="1"/>
  <c r="Z132" i="1" s="1"/>
  <c r="Z133" i="1" s="1"/>
  <c r="Z134" i="1" s="1"/>
  <c r="Z135" i="1" s="1"/>
  <c r="Z136" i="1" s="1"/>
  <c r="Z137" i="1" s="1"/>
  <c r="Z138" i="1" s="1"/>
  <c r="Z139" i="1" s="1"/>
  <c r="Z140" i="1" s="1"/>
  <c r="Z141" i="1" s="1"/>
  <c r="Z142" i="1" s="1"/>
  <c r="Z143" i="1" s="1"/>
  <c r="Z144" i="1" s="1"/>
  <c r="Z145" i="1" s="1"/>
  <c r="Z146" i="1" s="1"/>
  <c r="Z147" i="1" s="1"/>
  <c r="Z148" i="1" s="1"/>
  <c r="Z149" i="1" s="1"/>
  <c r="Z150" i="1" s="1"/>
  <c r="Z151" i="1" s="1"/>
  <c r="Z152" i="1" s="1"/>
  <c r="Z153" i="1" s="1"/>
  <c r="Z154" i="1" s="1"/>
  <c r="Z155" i="1" s="1"/>
  <c r="Z156" i="1" s="1"/>
  <c r="Z157" i="1" s="1"/>
  <c r="Z158" i="1" s="1"/>
  <c r="Z159" i="1" s="1"/>
  <c r="Z160" i="1" s="1"/>
  <c r="Z161" i="1" s="1"/>
  <c r="Z162" i="1" s="1"/>
  <c r="Z163" i="1" s="1"/>
  <c r="Z164" i="1" s="1"/>
  <c r="Z165" i="1" s="1"/>
  <c r="Z166" i="1" s="1"/>
  <c r="Z167" i="1" s="1"/>
  <c r="Z168" i="1" s="1"/>
  <c r="Z169" i="1" s="1"/>
  <c r="Z170" i="1" s="1"/>
  <c r="Z171" i="1" s="1"/>
  <c r="Z172" i="1" s="1"/>
  <c r="Z173" i="1" s="1"/>
  <c r="Z174" i="1" s="1"/>
  <c r="Z175" i="1" s="1"/>
  <c r="Z176" i="1" s="1"/>
  <c r="Z177" i="1" s="1"/>
  <c r="Z178" i="1" s="1"/>
  <c r="Z179" i="1" s="1"/>
  <c r="Z180" i="1" s="1"/>
  <c r="Z181" i="1" s="1"/>
  <c r="Z182" i="1" s="1"/>
  <c r="Z183" i="1" s="1"/>
  <c r="Z184" i="1" s="1"/>
  <c r="Z185" i="1" s="1"/>
  <c r="Z186" i="1" s="1"/>
  <c r="Z187" i="1" s="1"/>
  <c r="Z188" i="1" s="1"/>
  <c r="Z189" i="1" s="1"/>
  <c r="Z190" i="1" s="1"/>
  <c r="Z191" i="1" s="1"/>
  <c r="Z192" i="1" s="1"/>
  <c r="Z193" i="1" s="1"/>
  <c r="Z194" i="1" s="1"/>
  <c r="Z195" i="1" s="1"/>
  <c r="Z196" i="1" s="1"/>
  <c r="Z197" i="1" s="1"/>
  <c r="Z198" i="1" s="1"/>
  <c r="Z199" i="1" s="1"/>
  <c r="Z200" i="1" s="1"/>
  <c r="Z201" i="1" s="1"/>
  <c r="Z202" i="1" s="1"/>
  <c r="Z203" i="1" s="1"/>
  <c r="Z204" i="1" s="1"/>
  <c r="Z205" i="1" s="1"/>
  <c r="Z206" i="1" s="1"/>
  <c r="Z207" i="1" s="1"/>
  <c r="Z208" i="1" s="1"/>
  <c r="Z209" i="1" s="1"/>
  <c r="Z210" i="1" s="1"/>
  <c r="Z211" i="1" s="1"/>
  <c r="Z212" i="1" s="1"/>
  <c r="Z213" i="1" s="1"/>
  <c r="Z214" i="1" s="1"/>
  <c r="Z215" i="1" s="1"/>
  <c r="Z216" i="1" s="1"/>
  <c r="Z217" i="1" s="1"/>
  <c r="Z218" i="1" s="1"/>
  <c r="Z219" i="1" s="1"/>
  <c r="Z220" i="1" s="1"/>
  <c r="Z221" i="1" s="1"/>
  <c r="Z222" i="1" s="1"/>
  <c r="Z223" i="1" s="1"/>
  <c r="Z224" i="1" s="1"/>
  <c r="Z225" i="1" s="1"/>
  <c r="Z226" i="1" s="1"/>
  <c r="Z227" i="1" s="1"/>
  <c r="Z228" i="1" s="1"/>
  <c r="Z229" i="1" s="1"/>
  <c r="Z230" i="1" s="1"/>
  <c r="Z231" i="1" s="1"/>
  <c r="Z232" i="1" s="1"/>
  <c r="Z233" i="1" s="1"/>
  <c r="Z234" i="1" s="1"/>
  <c r="Z235" i="1" s="1"/>
  <c r="Z236" i="1" s="1"/>
  <c r="Z237" i="1" s="1"/>
  <c r="Z238" i="1" s="1"/>
  <c r="Z239" i="1" s="1"/>
  <c r="Z240" i="1" s="1"/>
  <c r="Z241" i="1" s="1"/>
  <c r="Z242" i="1" s="1"/>
  <c r="Z243" i="1" s="1"/>
  <c r="Z244" i="1" s="1"/>
  <c r="Z245" i="1" s="1"/>
  <c r="Z246" i="1" s="1"/>
  <c r="Z247" i="1" s="1"/>
  <c r="Z248" i="1" s="1"/>
  <c r="Z249" i="1" s="1"/>
  <c r="Z250" i="1" s="1"/>
  <c r="Z251" i="1" s="1"/>
  <c r="Z252" i="1" s="1"/>
  <c r="Z253" i="1" s="1"/>
  <c r="Z254" i="1" s="1"/>
  <c r="Z255" i="1" s="1"/>
  <c r="Z256" i="1" s="1"/>
  <c r="Z257" i="1" s="1"/>
  <c r="Z258" i="1" s="1"/>
  <c r="Z259" i="1" s="1"/>
  <c r="Z260" i="1" s="1"/>
  <c r="Z261" i="1" s="1"/>
  <c r="Z262" i="1" s="1"/>
  <c r="Z263" i="1" s="1"/>
  <c r="Z264" i="1" s="1"/>
  <c r="Z265" i="1" s="1"/>
  <c r="Z266" i="1" s="1"/>
  <c r="Z267" i="1" s="1"/>
  <c r="Z268" i="1" s="1"/>
  <c r="Z269" i="1" s="1"/>
  <c r="Z270" i="1" s="1"/>
  <c r="Z271" i="1" s="1"/>
  <c r="Z272" i="1" s="1"/>
  <c r="Z273" i="1" s="1"/>
  <c r="Z274" i="1" s="1"/>
  <c r="Z275" i="1" s="1"/>
  <c r="Z276" i="1" s="1"/>
  <c r="Z277" i="1" s="1"/>
  <c r="Z278" i="1" s="1"/>
  <c r="Z279" i="1" s="1"/>
  <c r="Z280" i="1" s="1"/>
  <c r="Z281" i="1" s="1"/>
  <c r="Z282" i="1" s="1"/>
  <c r="Z283" i="1" s="1"/>
  <c r="Z284" i="1" s="1"/>
  <c r="Z285" i="1" s="1"/>
  <c r="Z286" i="1" s="1"/>
  <c r="Z287" i="1" s="1"/>
  <c r="Z288" i="1" s="1"/>
  <c r="Z289" i="1" s="1"/>
  <c r="Z290" i="1" s="1"/>
  <c r="Z291" i="1" s="1"/>
  <c r="Z292" i="1" s="1"/>
  <c r="Z293" i="1" s="1"/>
  <c r="Z294" i="1" s="1"/>
  <c r="Z295" i="1" s="1"/>
  <c r="Z296" i="1" s="1"/>
  <c r="Z297" i="1" s="1"/>
  <c r="Z298" i="1" s="1"/>
  <c r="Z299" i="1" s="1"/>
  <c r="Z300" i="1" s="1"/>
  <c r="Z301" i="1" s="1"/>
  <c r="Z302" i="1" s="1"/>
  <c r="Z303" i="1" s="1"/>
  <c r="Z304" i="1" s="1"/>
  <c r="Z305" i="1" s="1"/>
  <c r="Z306" i="1" s="1"/>
  <c r="Z307" i="1" s="1"/>
  <c r="Z308" i="1" s="1"/>
  <c r="Z309" i="1" s="1"/>
  <c r="Z310" i="1" s="1"/>
  <c r="Z311" i="1" s="1"/>
  <c r="Z312" i="1" s="1"/>
  <c r="Z313" i="1" s="1"/>
  <c r="Z314" i="1" s="1"/>
  <c r="Z315" i="1" s="1"/>
  <c r="Z316" i="1" s="1"/>
  <c r="Z317" i="1" s="1"/>
  <c r="Z318" i="1" s="1"/>
  <c r="Z319" i="1" s="1"/>
  <c r="Z320" i="1" s="1"/>
  <c r="Z321" i="1" s="1"/>
  <c r="Z322" i="1" s="1"/>
  <c r="Z323" i="1" s="1"/>
  <c r="Z324" i="1" s="1"/>
  <c r="Z325" i="1" s="1"/>
  <c r="Z326" i="1" s="1"/>
  <c r="Z327" i="1" s="1"/>
  <c r="Z328" i="1" s="1"/>
  <c r="Z329" i="1" s="1"/>
  <c r="Z330" i="1" s="1"/>
  <c r="Z331" i="1" s="1"/>
  <c r="Z332" i="1" s="1"/>
  <c r="Z333" i="1" s="1"/>
  <c r="Z334" i="1" s="1"/>
  <c r="Z335" i="1" s="1"/>
  <c r="Z336" i="1" s="1"/>
  <c r="Z337" i="1" s="1"/>
  <c r="Z338" i="1" s="1"/>
  <c r="Z339" i="1" s="1"/>
  <c r="Z340" i="1" s="1"/>
  <c r="Z341" i="1" s="1"/>
  <c r="Z342" i="1" s="1"/>
  <c r="Z343" i="1" s="1"/>
  <c r="Z344" i="1" s="1"/>
  <c r="Z345" i="1" s="1"/>
  <c r="Z346" i="1" s="1"/>
  <c r="Z347" i="1" s="1"/>
  <c r="Z348" i="1" s="1"/>
  <c r="Z349" i="1" s="1"/>
  <c r="Z350" i="1" s="1"/>
  <c r="Z351" i="1" s="1"/>
  <c r="Z352" i="1" s="1"/>
  <c r="Z353" i="1" s="1"/>
  <c r="Z354" i="1" s="1"/>
  <c r="Z355" i="1" s="1"/>
  <c r="Z356" i="1" s="1"/>
  <c r="Z357" i="1" s="1"/>
  <c r="Z358" i="1" s="1"/>
  <c r="Z359" i="1" s="1"/>
  <c r="Z360" i="1" s="1"/>
  <c r="Z361" i="1" s="1"/>
  <c r="Z362" i="1" s="1"/>
  <c r="Z363" i="1" s="1"/>
  <c r="Z364" i="1" s="1"/>
  <c r="Z365" i="1" s="1"/>
  <c r="Z366" i="1" s="1"/>
  <c r="Z367" i="1" s="1"/>
  <c r="Z368" i="1" s="1"/>
  <c r="Z369" i="1" s="1"/>
  <c r="Z370" i="1" s="1"/>
  <c r="Z371" i="1" s="1"/>
  <c r="Z372" i="1" s="1"/>
  <c r="Z373" i="1" s="1"/>
  <c r="Z374" i="1" s="1"/>
  <c r="Z375" i="1" s="1"/>
  <c r="Z376" i="1" s="1"/>
  <c r="Z377" i="1" s="1"/>
  <c r="Z378" i="1" s="1"/>
  <c r="Z379" i="1" s="1"/>
  <c r="Z380" i="1" s="1"/>
  <c r="Z381" i="1" s="1"/>
  <c r="Z382" i="1" s="1"/>
  <c r="Z383" i="1" s="1"/>
  <c r="Z384" i="1" s="1"/>
  <c r="Z385" i="1" s="1"/>
  <c r="Z386" i="1" s="1"/>
  <c r="Z387" i="1" s="1"/>
  <c r="Z388" i="1" s="1"/>
  <c r="Z389" i="1" s="1"/>
  <c r="Z390" i="1" s="1"/>
  <c r="Z391" i="1" s="1"/>
  <c r="Z392" i="1" s="1"/>
  <c r="Z393" i="1" s="1"/>
  <c r="Z394" i="1" s="1"/>
  <c r="Z395" i="1" s="1"/>
  <c r="Z396" i="1" s="1"/>
  <c r="Z397" i="1" s="1"/>
  <c r="Z398" i="1" s="1"/>
  <c r="Z399" i="1" s="1"/>
  <c r="Z400" i="1" s="1"/>
  <c r="Z401" i="1" s="1"/>
  <c r="Z402" i="1" s="1"/>
  <c r="Z403" i="1" s="1"/>
  <c r="Z404" i="1" s="1"/>
  <c r="Z405" i="1" s="1"/>
  <c r="Z406" i="1" s="1"/>
  <c r="Z407" i="1" s="1"/>
  <c r="Z408" i="1" s="1"/>
  <c r="Z409" i="1" s="1"/>
  <c r="Z410" i="1" s="1"/>
  <c r="Z411" i="1" s="1"/>
  <c r="Z412" i="1" s="1"/>
  <c r="Z413" i="1" s="1"/>
  <c r="Z414" i="1" s="1"/>
  <c r="Z415" i="1" s="1"/>
  <c r="Z416" i="1" s="1"/>
  <c r="Z417" i="1" s="1"/>
  <c r="Z418" i="1" s="1"/>
  <c r="Z419" i="1" s="1"/>
  <c r="Z420" i="1" s="1"/>
  <c r="Z421" i="1" s="1"/>
  <c r="Z422" i="1" s="1"/>
  <c r="Z423" i="1" s="1"/>
  <c r="Z424" i="1" s="1"/>
  <c r="Z425" i="1" s="1"/>
  <c r="Z426" i="1" s="1"/>
  <c r="Z427" i="1" s="1"/>
  <c r="Z428" i="1" s="1"/>
  <c r="Z429" i="1" s="1"/>
  <c r="Z430" i="1" s="1"/>
  <c r="Z431" i="1" s="1"/>
  <c r="Z432" i="1" s="1"/>
  <c r="Z433" i="1" s="1"/>
  <c r="Z434" i="1" s="1"/>
  <c r="Z435" i="1" s="1"/>
  <c r="Z436" i="1" s="1"/>
  <c r="Z437" i="1" s="1"/>
  <c r="Z438" i="1" s="1"/>
  <c r="Z439" i="1" s="1"/>
  <c r="Z440" i="1" s="1"/>
  <c r="Z441" i="1" s="1"/>
  <c r="Z442" i="1" s="1"/>
  <c r="Z443" i="1" s="1"/>
  <c r="Z444" i="1" s="1"/>
  <c r="Z445" i="1" s="1"/>
  <c r="Z446" i="1" s="1"/>
  <c r="Z447" i="1" s="1"/>
  <c r="Z448" i="1" s="1"/>
  <c r="Z449" i="1" s="1"/>
  <c r="Z450" i="1" s="1"/>
  <c r="Z451" i="1" s="1"/>
  <c r="Z452" i="1" s="1"/>
  <c r="Z453" i="1" s="1"/>
  <c r="Z454" i="1" s="1"/>
  <c r="Z455" i="1" s="1"/>
  <c r="Z456" i="1" s="1"/>
  <c r="Z457" i="1" s="1"/>
  <c r="Z458" i="1" s="1"/>
  <c r="Z459" i="1" s="1"/>
  <c r="Z460" i="1" s="1"/>
  <c r="Z461" i="1" s="1"/>
  <c r="Z462" i="1" s="1"/>
  <c r="Z463" i="1" s="1"/>
  <c r="Z464" i="1" s="1"/>
  <c r="Z465" i="1" s="1"/>
  <c r="Z466" i="1" s="1"/>
  <c r="Z467" i="1" s="1"/>
  <c r="Z468" i="1" s="1"/>
  <c r="Z469" i="1" s="1"/>
  <c r="Z470" i="1" s="1"/>
  <c r="Z471" i="1" s="1"/>
  <c r="Z472" i="1" s="1"/>
  <c r="Z473" i="1" s="1"/>
  <c r="Z474" i="1" s="1"/>
  <c r="Z475" i="1" s="1"/>
  <c r="Z476" i="1" s="1"/>
  <c r="Z477" i="1" s="1"/>
  <c r="Z478" i="1" s="1"/>
  <c r="Z479" i="1" s="1"/>
  <c r="Z480" i="1" s="1"/>
  <c r="Z481" i="1" s="1"/>
  <c r="Z482" i="1" s="1"/>
  <c r="Z483" i="1" s="1"/>
  <c r="Z484" i="1" s="1"/>
  <c r="Z485" i="1" s="1"/>
  <c r="Z486" i="1" s="1"/>
  <c r="Z487" i="1" s="1"/>
  <c r="Z488" i="1" s="1"/>
  <c r="Z489" i="1" s="1"/>
  <c r="Z490" i="1" s="1"/>
  <c r="Z491" i="1" s="1"/>
  <c r="Z492" i="1" s="1"/>
  <c r="Z493" i="1" s="1"/>
  <c r="Z494" i="1" s="1"/>
  <c r="Z495" i="1" s="1"/>
  <c r="Z496" i="1" s="1"/>
  <c r="Z497" i="1" s="1"/>
  <c r="Z498" i="1" s="1"/>
  <c r="Z499" i="1" s="1"/>
  <c r="Z500" i="1" s="1"/>
  <c r="Z501" i="1" s="1"/>
  <c r="Z502" i="1" s="1"/>
  <c r="Z503" i="1" s="1"/>
  <c r="Z504" i="1" s="1"/>
  <c r="Z505" i="1" s="1"/>
  <c r="Z506" i="1" s="1"/>
  <c r="Z507" i="1" s="1"/>
  <c r="Z508" i="1" s="1"/>
  <c r="Z509" i="1" s="1"/>
  <c r="Z510" i="1" s="1"/>
  <c r="Z511" i="1" s="1"/>
  <c r="Z512" i="1" s="1"/>
  <c r="Z513" i="1" s="1"/>
  <c r="Z514" i="1" s="1"/>
  <c r="Z515" i="1" s="1"/>
  <c r="Z516" i="1" s="1"/>
  <c r="Z517" i="1" s="1"/>
  <c r="Z518" i="1" s="1"/>
  <c r="Z519" i="1" s="1"/>
  <c r="Z520" i="1" s="1"/>
  <c r="Z521" i="1" s="1"/>
  <c r="Z522" i="1" s="1"/>
  <c r="Z523" i="1" s="1"/>
  <c r="Z524" i="1" s="1"/>
  <c r="Z525" i="1" s="1"/>
  <c r="Z526" i="1" s="1"/>
  <c r="Z527" i="1" s="1"/>
  <c r="Z528" i="1" s="1"/>
  <c r="Z529" i="1" s="1"/>
  <c r="Z530" i="1" s="1"/>
  <c r="Z531" i="1" s="1"/>
  <c r="Z532" i="1" s="1"/>
  <c r="Z533" i="1" s="1"/>
  <c r="Z534" i="1" s="1"/>
  <c r="Z535" i="1" s="1"/>
  <c r="Z536" i="1" s="1"/>
  <c r="Z537" i="1" s="1"/>
  <c r="Z538" i="1" s="1"/>
  <c r="Z539" i="1" s="1"/>
  <c r="Z540" i="1" s="1"/>
  <c r="Z541" i="1" s="1"/>
  <c r="Z542" i="1" s="1"/>
  <c r="Z543" i="1" s="1"/>
  <c r="Z544" i="1" s="1"/>
  <c r="Z545" i="1" s="1"/>
  <c r="Z546" i="1" s="1"/>
  <c r="Z547" i="1" s="1"/>
  <c r="Z548" i="1" s="1"/>
  <c r="Z549" i="1" s="1"/>
  <c r="Z550" i="1" s="1"/>
  <c r="Z551" i="1" s="1"/>
  <c r="Z552" i="1" s="1"/>
  <c r="Z553" i="1" s="1"/>
  <c r="Z554" i="1" s="1"/>
  <c r="Z555" i="1" s="1"/>
  <c r="Z556" i="1" s="1"/>
  <c r="Z557" i="1" s="1"/>
  <c r="Z558" i="1" s="1"/>
  <c r="Z559" i="1" s="1"/>
  <c r="Z560" i="1" s="1"/>
  <c r="Z561" i="1" s="1"/>
  <c r="Z562" i="1" s="1"/>
  <c r="Z563" i="1" s="1"/>
  <c r="Z564" i="1" s="1"/>
  <c r="Z565" i="1" s="1"/>
  <c r="Z566" i="1" s="1"/>
  <c r="Z567" i="1" s="1"/>
  <c r="Z568" i="1" s="1"/>
  <c r="Z569" i="1" s="1"/>
  <c r="Z570" i="1" s="1"/>
  <c r="Z571" i="1" s="1"/>
  <c r="Z572" i="1" s="1"/>
  <c r="Z573" i="1" s="1"/>
  <c r="Z574" i="1" s="1"/>
  <c r="Z575" i="1" s="1"/>
  <c r="Z576" i="1" s="1"/>
  <c r="Z577" i="1" s="1"/>
  <c r="Z578" i="1" s="1"/>
  <c r="Z579" i="1" s="1"/>
  <c r="Z580" i="1" s="1"/>
  <c r="Z581" i="1" s="1"/>
  <c r="Z582" i="1" s="1"/>
  <c r="Z583" i="1" s="1"/>
  <c r="Z584" i="1" s="1"/>
  <c r="Z585" i="1" s="1"/>
  <c r="Z586" i="1" s="1"/>
  <c r="Z587" i="1" s="1"/>
  <c r="Z588" i="1" s="1"/>
  <c r="Z589" i="1" s="1"/>
  <c r="Z590" i="1" s="1"/>
  <c r="Z591" i="1" s="1"/>
  <c r="Z592" i="1" s="1"/>
  <c r="Z593" i="1" s="1"/>
  <c r="Z594" i="1" s="1"/>
  <c r="Z595" i="1" s="1"/>
  <c r="Z596" i="1" s="1"/>
  <c r="Z597" i="1" s="1"/>
  <c r="Z598" i="1" s="1"/>
  <c r="Z599" i="1" s="1"/>
  <c r="Z600" i="1" s="1"/>
  <c r="Z601" i="1" s="1"/>
  <c r="Z602" i="1" s="1"/>
  <c r="Z603" i="1" s="1"/>
  <c r="Z604" i="1" s="1"/>
  <c r="Z605" i="1" s="1"/>
  <c r="Z606" i="1" s="1"/>
  <c r="Z607" i="1" s="1"/>
  <c r="Z608" i="1" s="1"/>
  <c r="Z609" i="1" s="1"/>
  <c r="Z610" i="1" s="1"/>
  <c r="Z611" i="1" s="1"/>
  <c r="Z612" i="1" s="1"/>
  <c r="Z613" i="1" s="1"/>
  <c r="Z614" i="1" s="1"/>
  <c r="Z615" i="1" s="1"/>
  <c r="Z616" i="1" s="1"/>
  <c r="Z617" i="1" s="1"/>
  <c r="Z618" i="1" s="1"/>
  <c r="Z619" i="1" s="1"/>
  <c r="Z620" i="1" s="1"/>
  <c r="Z621" i="1" s="1"/>
  <c r="Z622" i="1" s="1"/>
  <c r="Z623" i="1" s="1"/>
  <c r="Z624" i="1" s="1"/>
  <c r="Z625" i="1" s="1"/>
  <c r="Z626" i="1" s="1"/>
  <c r="Z627" i="1" s="1"/>
  <c r="Z628" i="1" s="1"/>
  <c r="Z629" i="1" s="1"/>
  <c r="Z630" i="1" s="1"/>
  <c r="Z631" i="1" s="1"/>
  <c r="Z632" i="1" s="1"/>
  <c r="Z633" i="1" s="1"/>
  <c r="Z634" i="1" s="1"/>
  <c r="Z635" i="1" s="1"/>
  <c r="Z636" i="1" s="1"/>
  <c r="Z637" i="1" s="1"/>
  <c r="Z638" i="1" s="1"/>
  <c r="Z639" i="1" s="1"/>
  <c r="Z640" i="1" s="1"/>
  <c r="Z641" i="1" s="1"/>
  <c r="Z642" i="1" s="1"/>
  <c r="Z643" i="1" s="1"/>
  <c r="Z644" i="1" s="1"/>
  <c r="Z645" i="1" s="1"/>
  <c r="Z646" i="1" s="1"/>
  <c r="Z647" i="1" s="1"/>
  <c r="Z648" i="1" s="1"/>
  <c r="Z649" i="1" s="1"/>
  <c r="Z650" i="1" s="1"/>
  <c r="Z651" i="1" s="1"/>
  <c r="Z652" i="1" s="1"/>
  <c r="Z653" i="1" s="1"/>
  <c r="Z654" i="1" s="1"/>
  <c r="Z655" i="1" s="1"/>
  <c r="Z656" i="1" s="1"/>
  <c r="Z657" i="1" s="1"/>
  <c r="Z658" i="1" s="1"/>
  <c r="Z659" i="1" s="1"/>
  <c r="Z660" i="1" s="1"/>
  <c r="Z661" i="1" s="1"/>
  <c r="Z662" i="1" s="1"/>
  <c r="Z663" i="1" s="1"/>
  <c r="Z664" i="1" s="1"/>
  <c r="Z665" i="1" s="1"/>
  <c r="Z666" i="1" s="1"/>
  <c r="Z667" i="1" s="1"/>
  <c r="Z668" i="1" s="1"/>
  <c r="Z669" i="1" s="1"/>
  <c r="Z670" i="1" s="1"/>
  <c r="Z671" i="1" s="1"/>
  <c r="Z672" i="1" s="1"/>
  <c r="Z673" i="1" s="1"/>
  <c r="Z674" i="1" s="1"/>
  <c r="Z675" i="1" s="1"/>
  <c r="Z676" i="1" s="1"/>
  <c r="Z677" i="1" s="1"/>
  <c r="Z678" i="1" s="1"/>
  <c r="Z679" i="1" s="1"/>
  <c r="Z680" i="1" s="1"/>
  <c r="Z681" i="1" s="1"/>
  <c r="Z682" i="1" s="1"/>
  <c r="Z683" i="1" s="1"/>
  <c r="Z684" i="1" s="1"/>
  <c r="Z685" i="1" s="1"/>
  <c r="Z686" i="1" s="1"/>
  <c r="Z687" i="1" s="1"/>
  <c r="Z688" i="1" s="1"/>
  <c r="Z689" i="1" s="1"/>
  <c r="Z690" i="1" s="1"/>
  <c r="Z691" i="1" s="1"/>
  <c r="Z692" i="1" s="1"/>
  <c r="Z693" i="1" s="1"/>
  <c r="Z694" i="1" s="1"/>
  <c r="Z695" i="1" s="1"/>
  <c r="Z696" i="1" s="1"/>
  <c r="Z697" i="1" s="1"/>
  <c r="Z698" i="1" s="1"/>
  <c r="Z699" i="1" s="1"/>
  <c r="Z700" i="1" s="1"/>
  <c r="Z701" i="1" s="1"/>
  <c r="Z702" i="1" s="1"/>
  <c r="Z703" i="1" s="1"/>
  <c r="Z704" i="1" s="1"/>
  <c r="Z705" i="1" s="1"/>
  <c r="Z706" i="1" s="1"/>
  <c r="Z707" i="1" s="1"/>
  <c r="Z708" i="1" s="1"/>
  <c r="Z709" i="1" s="1"/>
  <c r="Z710" i="1" s="1"/>
  <c r="Z711" i="1" s="1"/>
  <c r="Z712" i="1" s="1"/>
  <c r="Z713" i="1" s="1"/>
  <c r="Z714" i="1" s="1"/>
  <c r="Z715" i="1" s="1"/>
  <c r="Z716" i="1" s="1"/>
  <c r="Z717" i="1" s="1"/>
  <c r="Z718" i="1" s="1"/>
  <c r="Z719" i="1" s="1"/>
  <c r="Z720" i="1" s="1"/>
  <c r="Z721" i="1" s="1"/>
  <c r="Z722" i="1" s="1"/>
  <c r="Z723" i="1" s="1"/>
  <c r="Z724" i="1" s="1"/>
  <c r="Z725" i="1" s="1"/>
  <c r="Z726" i="1" s="1"/>
  <c r="Z727" i="1" s="1"/>
  <c r="Z728" i="1" s="1"/>
  <c r="Z729" i="1" s="1"/>
  <c r="Z730" i="1" s="1"/>
  <c r="Z731" i="1" s="1"/>
  <c r="Z732" i="1" s="1"/>
  <c r="Z733" i="1" s="1"/>
  <c r="Z734" i="1" s="1"/>
  <c r="Z735" i="1" s="1"/>
  <c r="Z736" i="1" s="1"/>
  <c r="Z737" i="1" s="1"/>
  <c r="Z738" i="1" s="1"/>
  <c r="BB2" i="8"/>
  <c r="BD3" i="1"/>
  <c r="BD4" i="1" s="1"/>
  <c r="BM3" i="1"/>
  <c r="BJ427" i="1" l="1"/>
  <c r="BK427" i="1" s="1"/>
  <c r="BN427" i="1"/>
  <c r="BO427" i="1" s="1"/>
  <c r="BP427" i="1" s="1"/>
  <c r="AD428" i="1"/>
  <c r="BN353" i="1"/>
  <c r="BO353" i="1" s="1"/>
  <c r="BP353" i="1" s="1"/>
  <c r="AD354" i="1"/>
  <c r="BJ353" i="1"/>
  <c r="BK353" i="1" s="1"/>
  <c r="BJ114" i="1"/>
  <c r="AD115" i="1"/>
  <c r="BN114" i="1"/>
  <c r="BO114" i="1" s="1"/>
  <c r="BP114" i="1" s="1"/>
  <c r="BK214" i="1"/>
  <c r="AD43" i="1"/>
  <c r="BI42" i="1"/>
  <c r="BK42" i="1"/>
  <c r="BJ179" i="1"/>
  <c r="AD180" i="1"/>
  <c r="BN179" i="1"/>
  <c r="BO179" i="1" s="1"/>
  <c r="BP179" i="1" s="1"/>
  <c r="BK178" i="1"/>
  <c r="AD216" i="1"/>
  <c r="BJ215" i="1"/>
  <c r="BN215" i="1"/>
  <c r="BO215" i="1" s="1"/>
  <c r="BP215" i="1" s="1"/>
  <c r="BK283" i="1"/>
  <c r="BK113" i="1"/>
  <c r="BA22" i="1"/>
  <c r="BS21" i="1"/>
  <c r="BP42" i="1"/>
  <c r="AD285" i="1"/>
  <c r="BN284" i="1"/>
  <c r="BO284" i="1" s="1"/>
  <c r="BP284" i="1" s="1"/>
  <c r="BJ284" i="1"/>
  <c r="AA22" i="1"/>
  <c r="S23" i="1"/>
  <c r="T16" i="1"/>
  <c r="V15" i="1"/>
  <c r="AB15" i="1"/>
  <c r="AC15" i="1" s="1"/>
  <c r="U15" i="1"/>
  <c r="BM4" i="1"/>
  <c r="BN4" i="1" s="1"/>
  <c r="BO4" i="1" s="1"/>
  <c r="BP4" i="1" s="1"/>
  <c r="BB3" i="8"/>
  <c r="BC3" i="8" s="1"/>
  <c r="AR3" i="8"/>
  <c r="AK2" i="8"/>
  <c r="AJ2" i="8"/>
  <c r="AM2" i="8"/>
  <c r="AL2" i="8"/>
  <c r="AH2" i="8"/>
  <c r="BI3" i="1"/>
  <c r="AF354" i="1" l="1"/>
  <c r="BJ354" i="1"/>
  <c r="BN354" i="1"/>
  <c r="BO354" i="1" s="1"/>
  <c r="AD355" i="1"/>
  <c r="AD429" i="1"/>
  <c r="BN428" i="1"/>
  <c r="BO428" i="1" s="1"/>
  <c r="BP428" i="1" s="1"/>
  <c r="BJ428" i="1"/>
  <c r="BK428" i="1" s="1"/>
  <c r="AD181" i="1"/>
  <c r="BJ180" i="1"/>
  <c r="BN180" i="1"/>
  <c r="BO180" i="1" s="1"/>
  <c r="BP180" i="1" s="1"/>
  <c r="BK179" i="1"/>
  <c r="AF43" i="1"/>
  <c r="BN43" i="1"/>
  <c r="BO43" i="1" s="1"/>
  <c r="BJ43" i="1"/>
  <c r="BS22" i="1"/>
  <c r="BA23" i="1"/>
  <c r="BK284" i="1"/>
  <c r="BK215" i="1"/>
  <c r="BJ216" i="1"/>
  <c r="BN216" i="1"/>
  <c r="BO216" i="1" s="1"/>
  <c r="BP216" i="1" s="1"/>
  <c r="AD217" i="1"/>
  <c r="AD116" i="1"/>
  <c r="BJ115" i="1"/>
  <c r="BN115" i="1"/>
  <c r="BO115" i="1" s="1"/>
  <c r="BP115" i="1" s="1"/>
  <c r="AF285" i="1"/>
  <c r="BJ285" i="1"/>
  <c r="BN285" i="1"/>
  <c r="BO285" i="1" s="1"/>
  <c r="BK114" i="1"/>
  <c r="AA23" i="1"/>
  <c r="S24" i="1"/>
  <c r="U16" i="1"/>
  <c r="AB16" i="1"/>
  <c r="AC16" i="1" s="1"/>
  <c r="T17" i="1"/>
  <c r="V16" i="1"/>
  <c r="AO2" i="8"/>
  <c r="AV2" i="8" s="1"/>
  <c r="AY2" i="8" s="1"/>
  <c r="AN2" i="8"/>
  <c r="AP2" i="8" s="1"/>
  <c r="AX2" i="8" s="1"/>
  <c r="AW2" i="8" s="1"/>
  <c r="AI2" i="8"/>
  <c r="BC2" i="8" s="1"/>
  <c r="AS2" i="8"/>
  <c r="AQ2" i="8"/>
  <c r="BN429" i="1" l="1"/>
  <c r="BO429" i="1" s="1"/>
  <c r="BP429" i="1" s="1"/>
  <c r="BJ429" i="1"/>
  <c r="BK429" i="1" s="1"/>
  <c r="AD430" i="1"/>
  <c r="BJ355" i="1"/>
  <c r="BN355" i="1"/>
  <c r="BO355" i="1" s="1"/>
  <c r="BI354" i="1"/>
  <c r="BP354" i="1" s="1"/>
  <c r="BK354" i="1"/>
  <c r="AF355" i="1"/>
  <c r="BN217" i="1"/>
  <c r="BO217" i="1" s="1"/>
  <c r="BP217" i="1" s="1"/>
  <c r="AD218" i="1"/>
  <c r="BJ217" i="1"/>
  <c r="BS23" i="1"/>
  <c r="BA24" i="1"/>
  <c r="BK285" i="1"/>
  <c r="AD286" i="1"/>
  <c r="BI285" i="1"/>
  <c r="BP285" i="1" s="1"/>
  <c r="AD44" i="1"/>
  <c r="BK43" i="1"/>
  <c r="BI43" i="1"/>
  <c r="BP43" i="1" s="1"/>
  <c r="BK115" i="1"/>
  <c r="BJ116" i="1"/>
  <c r="AF116" i="1"/>
  <c r="BN116" i="1"/>
  <c r="BO116" i="1" s="1"/>
  <c r="BK180" i="1"/>
  <c r="BK216" i="1"/>
  <c r="AD182" i="1"/>
  <c r="BJ181" i="1"/>
  <c r="BN181" i="1"/>
  <c r="BO181" i="1" s="1"/>
  <c r="BP181" i="1" s="1"/>
  <c r="AA24" i="1"/>
  <c r="S25" i="1"/>
  <c r="AB17" i="1"/>
  <c r="AC17" i="1" s="1"/>
  <c r="U17" i="1"/>
  <c r="T18" i="1"/>
  <c r="AR2" i="8"/>
  <c r="BJ430" i="1" l="1"/>
  <c r="BK430" i="1" s="1"/>
  <c r="BN430" i="1"/>
  <c r="BO430" i="1" s="1"/>
  <c r="BP430" i="1" s="1"/>
  <c r="AD431" i="1"/>
  <c r="BK355" i="1"/>
  <c r="AD356" i="1"/>
  <c r="BI355" i="1"/>
  <c r="BP355" i="1" s="1"/>
  <c r="BN44" i="1"/>
  <c r="BO44" i="1" s="1"/>
  <c r="BJ44" i="1"/>
  <c r="AF44" i="1"/>
  <c r="AD117" i="1"/>
  <c r="BK116" i="1"/>
  <c r="BI116" i="1"/>
  <c r="BP116" i="1" s="1"/>
  <c r="AF286" i="1"/>
  <c r="BJ286" i="1"/>
  <c r="BN286" i="1"/>
  <c r="BO286" i="1" s="1"/>
  <c r="BA25" i="1"/>
  <c r="BS24" i="1"/>
  <c r="BK181" i="1"/>
  <c r="AD183" i="1"/>
  <c r="BN182" i="1"/>
  <c r="BO182" i="1" s="1"/>
  <c r="BP182" i="1" s="1"/>
  <c r="BJ182" i="1"/>
  <c r="BK217" i="1"/>
  <c r="AD219" i="1"/>
  <c r="BJ218" i="1"/>
  <c r="BN218" i="1"/>
  <c r="BO218" i="1" s="1"/>
  <c r="BP218" i="1" s="1"/>
  <c r="AA25" i="1"/>
  <c r="S26" i="1"/>
  <c r="AB18" i="1"/>
  <c r="AC18" i="1" s="1"/>
  <c r="T19" i="1"/>
  <c r="U18" i="1"/>
  <c r="V18" i="1"/>
  <c r="BJ3" i="1"/>
  <c r="AF431" i="1" l="1"/>
  <c r="AD432" i="1"/>
  <c r="BN431" i="1"/>
  <c r="BO431" i="1" s="1"/>
  <c r="BJ431" i="1"/>
  <c r="BN356" i="1"/>
  <c r="BO356" i="1" s="1"/>
  <c r="BP356" i="1" s="1"/>
  <c r="AD357" i="1"/>
  <c r="BJ356" i="1"/>
  <c r="BK356" i="1" s="1"/>
  <c r="BK218" i="1"/>
  <c r="BJ219" i="1"/>
  <c r="AD220" i="1"/>
  <c r="BN219" i="1"/>
  <c r="BO219" i="1" s="1"/>
  <c r="BP219" i="1" s="1"/>
  <c r="AD287" i="1"/>
  <c r="BI286" i="1"/>
  <c r="BP286" i="1" s="1"/>
  <c r="BK286" i="1"/>
  <c r="BJ117" i="1"/>
  <c r="AD118" i="1"/>
  <c r="BN117" i="1"/>
  <c r="BO117" i="1" s="1"/>
  <c r="BP117" i="1" s="1"/>
  <c r="AD45" i="1"/>
  <c r="BI44" i="1"/>
  <c r="BP44" i="1" s="1"/>
  <c r="BK44" i="1"/>
  <c r="BA26" i="1"/>
  <c r="BS25" i="1"/>
  <c r="BK182" i="1"/>
  <c r="AF183" i="1"/>
  <c r="BN183" i="1"/>
  <c r="BO183" i="1" s="1"/>
  <c r="BJ183" i="1"/>
  <c r="S27" i="1"/>
  <c r="AA26" i="1"/>
  <c r="AB19" i="1"/>
  <c r="AC19" i="1" s="1"/>
  <c r="V19" i="1"/>
  <c r="U19" i="1"/>
  <c r="T20" i="1"/>
  <c r="BK3" i="1"/>
  <c r="BH3" i="1" a="1"/>
  <c r="BH3" i="1" s="1"/>
  <c r="BH4" i="1" s="1" a="1"/>
  <c r="BH4" i="1" s="1"/>
  <c r="BH5" i="1" s="1" a="1"/>
  <c r="BH5" i="1" s="1"/>
  <c r="BH6" i="1" s="1" a="1"/>
  <c r="BH6" i="1" s="1"/>
  <c r="BH7" i="1" s="1" a="1"/>
  <c r="BH7" i="1" s="1"/>
  <c r="BH8" i="1" s="1" a="1"/>
  <c r="BH8" i="1" s="1"/>
  <c r="BH9" i="1" s="1" a="1"/>
  <c r="BH9" i="1" s="1"/>
  <c r="BH10" i="1" s="1" a="1"/>
  <c r="BH10" i="1" s="1"/>
  <c r="BH11" i="1" s="1" a="1"/>
  <c r="BH11" i="1" s="1"/>
  <c r="BH12" i="1" s="1" a="1"/>
  <c r="BH12" i="1" s="1"/>
  <c r="BH13" i="1" s="1" a="1"/>
  <c r="BH13" i="1" s="1"/>
  <c r="BH14" i="1" s="1" a="1"/>
  <c r="BH14" i="1" s="1"/>
  <c r="BH15" i="1" s="1" a="1"/>
  <c r="BH15" i="1" s="1"/>
  <c r="BH16" i="1" s="1" a="1"/>
  <c r="BH16" i="1" s="1"/>
  <c r="BH17" i="1" s="1" a="1"/>
  <c r="BH17" i="1" s="1"/>
  <c r="BH18" i="1" s="1" a="1"/>
  <c r="BH18" i="1" s="1"/>
  <c r="BH19" i="1" s="1" a="1"/>
  <c r="BH19" i="1" s="1"/>
  <c r="BH20" i="1" s="1" a="1"/>
  <c r="BH20" i="1" s="1"/>
  <c r="BH21" i="1" s="1" a="1"/>
  <c r="BH21" i="1" s="1"/>
  <c r="BH22" i="1" s="1" a="1"/>
  <c r="BH22" i="1" s="1"/>
  <c r="BH23" i="1" s="1" a="1"/>
  <c r="BH23" i="1" s="1"/>
  <c r="BH24" i="1" s="1" a="1"/>
  <c r="BH24" i="1" s="1"/>
  <c r="BH25" i="1" s="1" a="1"/>
  <c r="BH25" i="1" s="1"/>
  <c r="BH26" i="1" s="1" a="1"/>
  <c r="BH26" i="1" s="1"/>
  <c r="BH27" i="1" s="1" a="1"/>
  <c r="BH27" i="1" s="1"/>
  <c r="BH28" i="1" s="1" a="1"/>
  <c r="BH28" i="1" s="1"/>
  <c r="BH29" i="1" s="1" a="1"/>
  <c r="BH29" i="1" s="1"/>
  <c r="BH30" i="1" s="1" a="1"/>
  <c r="BH30" i="1" s="1"/>
  <c r="BH31" i="1" s="1" a="1"/>
  <c r="BH31" i="1" s="1"/>
  <c r="BH32" i="1" s="1" a="1"/>
  <c r="BH32" i="1" s="1"/>
  <c r="BH33" i="1" s="1" a="1"/>
  <c r="BH33" i="1" s="1"/>
  <c r="BH34" i="1" s="1" a="1"/>
  <c r="BH34" i="1" s="1"/>
  <c r="BH35" i="1" s="1" a="1"/>
  <c r="BH35" i="1" s="1"/>
  <c r="BH36" i="1" s="1" a="1"/>
  <c r="BH36" i="1" s="1"/>
  <c r="BH37" i="1" s="1" a="1"/>
  <c r="BH37" i="1" s="1"/>
  <c r="BH38" i="1" s="1" a="1"/>
  <c r="BH38" i="1" s="1"/>
  <c r="BH39" i="1" s="1" a="1"/>
  <c r="BH39" i="1" s="1"/>
  <c r="BH40" i="1" s="1" a="1"/>
  <c r="BH40" i="1" s="1"/>
  <c r="BH41" i="1" s="1" a="1"/>
  <c r="BH41" i="1" s="1"/>
  <c r="BH42" i="1" s="1" a="1"/>
  <c r="BH42" i="1" s="1"/>
  <c r="BH43" i="1" s="1" a="1"/>
  <c r="BH43" i="1" s="1"/>
  <c r="BH44" i="1" s="1" a="1"/>
  <c r="BH44" i="1" s="1"/>
  <c r="BN3" i="1"/>
  <c r="BO3" i="1" s="1"/>
  <c r="BP3" i="1" s="1"/>
  <c r="BJ432" i="1" l="1"/>
  <c r="BN432" i="1"/>
  <c r="BO432" i="1" s="1"/>
  <c r="AD358" i="1"/>
  <c r="BN357" i="1"/>
  <c r="BO357" i="1" s="1"/>
  <c r="BP357" i="1" s="1"/>
  <c r="BJ357" i="1"/>
  <c r="BK357" i="1" s="1"/>
  <c r="BI431" i="1"/>
  <c r="BP431" i="1" s="1"/>
  <c r="BK431" i="1"/>
  <c r="AF432" i="1"/>
  <c r="BI183" i="1"/>
  <c r="AD184" i="1"/>
  <c r="BK183" i="1"/>
  <c r="AD119" i="1"/>
  <c r="BJ118" i="1"/>
  <c r="BN118" i="1"/>
  <c r="BO118" i="1" s="1"/>
  <c r="BP118" i="1" s="1"/>
  <c r="BK117" i="1"/>
  <c r="AF45" i="1"/>
  <c r="AD46" i="1"/>
  <c r="BN45" i="1"/>
  <c r="BO45" i="1" s="1"/>
  <c r="BJ45" i="1"/>
  <c r="BP183" i="1"/>
  <c r="BK219" i="1"/>
  <c r="AD221" i="1"/>
  <c r="BN220" i="1"/>
  <c r="BO220" i="1" s="1"/>
  <c r="BP220" i="1" s="1"/>
  <c r="BJ220" i="1"/>
  <c r="BA27" i="1"/>
  <c r="BS26" i="1"/>
  <c r="AF287" i="1"/>
  <c r="AD288" i="1"/>
  <c r="BN287" i="1"/>
  <c r="BO287" i="1" s="1"/>
  <c r="BJ287" i="1"/>
  <c r="AA27" i="1"/>
  <c r="S28" i="1"/>
  <c r="AB20" i="1"/>
  <c r="AC20" i="1" s="1"/>
  <c r="V20" i="1"/>
  <c r="T21" i="1"/>
  <c r="U20" i="1"/>
  <c r="BN358" i="1" l="1"/>
  <c r="BO358" i="1" s="1"/>
  <c r="BP358" i="1" s="1"/>
  <c r="BJ358" i="1"/>
  <c r="BK358" i="1" s="1"/>
  <c r="AD359" i="1"/>
  <c r="BI432" i="1"/>
  <c r="BP432" i="1" s="1"/>
  <c r="AD433" i="1"/>
  <c r="BK432" i="1"/>
  <c r="BN119" i="1"/>
  <c r="BO119" i="1" s="1"/>
  <c r="AF119" i="1"/>
  <c r="BJ119" i="1"/>
  <c r="BN288" i="1"/>
  <c r="BO288" i="1" s="1"/>
  <c r="AD289" i="1"/>
  <c r="BJ288" i="1"/>
  <c r="AF288" i="1"/>
  <c r="BK287" i="1"/>
  <c r="BI287" i="1"/>
  <c r="BH45" i="1" a="1"/>
  <c r="BH45" i="1" s="1"/>
  <c r="BP287" i="1"/>
  <c r="BS27" i="1"/>
  <c r="BA28" i="1"/>
  <c r="BP45" i="1"/>
  <c r="BK220" i="1"/>
  <c r="AD47" i="1"/>
  <c r="BJ46" i="1"/>
  <c r="BN46" i="1"/>
  <c r="BO46" i="1" s="1"/>
  <c r="BJ184" i="1"/>
  <c r="BN184" i="1"/>
  <c r="BO184" i="1" s="1"/>
  <c r="BP184" i="1" s="1"/>
  <c r="AD185" i="1"/>
  <c r="AD222" i="1"/>
  <c r="BJ221" i="1"/>
  <c r="BN221" i="1"/>
  <c r="BO221" i="1" s="1"/>
  <c r="BP221" i="1" s="1"/>
  <c r="BK118" i="1"/>
  <c r="AF46" i="1"/>
  <c r="BI45" i="1"/>
  <c r="BK45" i="1"/>
  <c r="AA28" i="1"/>
  <c r="S29" i="1"/>
  <c r="AB21" i="1"/>
  <c r="AC21" i="1" s="1"/>
  <c r="T22" i="1"/>
  <c r="U21" i="1"/>
  <c r="V21" i="1"/>
  <c r="AD434" i="1" l="1"/>
  <c r="BN433" i="1"/>
  <c r="BO433" i="1" s="1"/>
  <c r="BP433" i="1" s="1"/>
  <c r="BJ433" i="1"/>
  <c r="BK433" i="1" s="1"/>
  <c r="BJ359" i="1"/>
  <c r="BK359" i="1" s="1"/>
  <c r="AD360" i="1"/>
  <c r="BN359" i="1"/>
  <c r="BO359" i="1" s="1"/>
  <c r="BP359" i="1" s="1"/>
  <c r="BJ289" i="1"/>
  <c r="BN289" i="1"/>
  <c r="BO289" i="1" s="1"/>
  <c r="BH46" i="1" a="1"/>
  <c r="BH46" i="1" s="1"/>
  <c r="BN47" i="1"/>
  <c r="BO47" i="1" s="1"/>
  <c r="AD48" i="1"/>
  <c r="BJ47" i="1"/>
  <c r="BK288" i="1"/>
  <c r="AF289" i="1"/>
  <c r="BI288" i="1"/>
  <c r="BA29" i="1"/>
  <c r="BI119" i="1"/>
  <c r="AD120" i="1"/>
  <c r="BK119" i="1"/>
  <c r="BP119" i="1"/>
  <c r="BN185" i="1"/>
  <c r="BO185" i="1" s="1"/>
  <c r="BP185" i="1" s="1"/>
  <c r="BJ185" i="1"/>
  <c r="AD186" i="1"/>
  <c r="AF47" i="1"/>
  <c r="BI46" i="1"/>
  <c r="BK46" i="1"/>
  <c r="BP288" i="1"/>
  <c r="AD223" i="1"/>
  <c r="AF222" i="1"/>
  <c r="BJ222" i="1"/>
  <c r="BN222" i="1"/>
  <c r="BO222" i="1" s="1"/>
  <c r="BK184" i="1"/>
  <c r="BK221" i="1"/>
  <c r="BP46" i="1"/>
  <c r="AA29" i="1"/>
  <c r="S30" i="1"/>
  <c r="AB22" i="1"/>
  <c r="AC22" i="1" s="1"/>
  <c r="T23" i="1"/>
  <c r="U22" i="1"/>
  <c r="V22" i="1"/>
  <c r="BN434" i="1" l="1"/>
  <c r="BO434" i="1" s="1"/>
  <c r="BP434" i="1" s="1"/>
  <c r="BJ434" i="1"/>
  <c r="BK434" i="1" s="1"/>
  <c r="AD435" i="1"/>
  <c r="AF360" i="1"/>
  <c r="BJ360" i="1"/>
  <c r="BN360" i="1"/>
  <c r="BO360" i="1" s="1"/>
  <c r="AD187" i="1"/>
  <c r="BN186" i="1"/>
  <c r="BO186" i="1" s="1"/>
  <c r="BP186" i="1" s="1"/>
  <c r="BJ186" i="1"/>
  <c r="BA30" i="1"/>
  <c r="BK47" i="1"/>
  <c r="AF48" i="1"/>
  <c r="BI47" i="1"/>
  <c r="BK185" i="1"/>
  <c r="BK222" i="1"/>
  <c r="BI222" i="1"/>
  <c r="BP222" i="1" s="1"/>
  <c r="AF223" i="1"/>
  <c r="AD224" i="1"/>
  <c r="BN223" i="1"/>
  <c r="BO223" i="1" s="1"/>
  <c r="BJ223" i="1"/>
  <c r="BK289" i="1"/>
  <c r="BI289" i="1"/>
  <c r="BP289" i="1" s="1"/>
  <c r="AD290" i="1"/>
  <c r="AF120" i="1"/>
  <c r="AD121" i="1"/>
  <c r="BN120" i="1"/>
  <c r="BO120" i="1" s="1"/>
  <c r="BJ120" i="1"/>
  <c r="BH47" i="1" a="1"/>
  <c r="BH47" i="1" s="1"/>
  <c r="BN48" i="1"/>
  <c r="BO48" i="1" s="1"/>
  <c r="BJ48" i="1"/>
  <c r="BP47" i="1"/>
  <c r="AA30" i="1"/>
  <c r="S31" i="1"/>
  <c r="AB23" i="1"/>
  <c r="AC23" i="1" s="1"/>
  <c r="T24" i="1"/>
  <c r="U23" i="1"/>
  <c r="V23" i="1"/>
  <c r="AD361" i="1" l="1"/>
  <c r="BI360" i="1"/>
  <c r="BP360" i="1" s="1"/>
  <c r="BK360" i="1"/>
  <c r="AD436" i="1"/>
  <c r="BJ435" i="1"/>
  <c r="BK435" i="1" s="1"/>
  <c r="BN435" i="1"/>
  <c r="BO435" i="1" s="1"/>
  <c r="BP435" i="1" s="1"/>
  <c r="BN121" i="1"/>
  <c r="BO121" i="1" s="1"/>
  <c r="BJ121" i="1"/>
  <c r="BI120" i="1"/>
  <c r="BP120" i="1" s="1"/>
  <c r="AF121" i="1"/>
  <c r="BK120" i="1"/>
  <c r="AD291" i="1"/>
  <c r="BJ290" i="1"/>
  <c r="BN290" i="1"/>
  <c r="BO290" i="1" s="1"/>
  <c r="BP290" i="1" s="1"/>
  <c r="BP223" i="1"/>
  <c r="BJ224" i="1"/>
  <c r="BN224" i="1"/>
  <c r="BO224" i="1" s="1"/>
  <c r="BI223" i="1"/>
  <c r="AF224" i="1"/>
  <c r="BK223" i="1"/>
  <c r="AD49" i="1"/>
  <c r="BK48" i="1"/>
  <c r="BI48" i="1"/>
  <c r="BH48" i="1" a="1"/>
  <c r="BH48" i="1" s="1"/>
  <c r="BP48" i="1"/>
  <c r="BA31" i="1"/>
  <c r="BK186" i="1"/>
  <c r="BJ187" i="1"/>
  <c r="AD188" i="1"/>
  <c r="BN187" i="1"/>
  <c r="BO187" i="1" s="1"/>
  <c r="BP187" i="1" s="1"/>
  <c r="S32" i="1"/>
  <c r="AA31" i="1"/>
  <c r="AB24" i="1"/>
  <c r="AC24" i="1" s="1"/>
  <c r="V24" i="1"/>
  <c r="U24" i="1"/>
  <c r="T25" i="1"/>
  <c r="BJ436" i="1" l="1"/>
  <c r="BN436" i="1"/>
  <c r="BO436" i="1" s="1"/>
  <c r="AF436" i="1"/>
  <c r="AF361" i="1"/>
  <c r="AD362" i="1"/>
  <c r="BJ361" i="1"/>
  <c r="BN361" i="1"/>
  <c r="BO361" i="1" s="1"/>
  <c r="AD122" i="1"/>
  <c r="BI121" i="1"/>
  <c r="BK121" i="1"/>
  <c r="BJ188" i="1"/>
  <c r="BN188" i="1"/>
  <c r="BO188" i="1" s="1"/>
  <c r="AF188" i="1"/>
  <c r="BK224" i="1"/>
  <c r="AD225" i="1"/>
  <c r="BI224" i="1"/>
  <c r="BP224" i="1" s="1"/>
  <c r="BP121" i="1"/>
  <c r="BK187" i="1"/>
  <c r="BK290" i="1"/>
  <c r="BN291" i="1"/>
  <c r="BO291" i="1" s="1"/>
  <c r="BP291" i="1" s="1"/>
  <c r="BJ291" i="1"/>
  <c r="AD292" i="1"/>
  <c r="BN49" i="1"/>
  <c r="BO49" i="1" s="1"/>
  <c r="BP49" i="1" s="1"/>
  <c r="AD50" i="1"/>
  <c r="BJ49" i="1"/>
  <c r="BA32" i="1"/>
  <c r="S33" i="1"/>
  <c r="AA32" i="1"/>
  <c r="U25" i="1"/>
  <c r="V25" i="1"/>
  <c r="AB25" i="1"/>
  <c r="AC25" i="1" s="1"/>
  <c r="T26" i="1"/>
  <c r="BJ362" i="1" l="1"/>
  <c r="BN362" i="1"/>
  <c r="BO362" i="1" s="1"/>
  <c r="AF362" i="1"/>
  <c r="BK361" i="1"/>
  <c r="BI361" i="1"/>
  <c r="BP361" i="1" s="1"/>
  <c r="BK436" i="1"/>
  <c r="AD437" i="1"/>
  <c r="BI436" i="1"/>
  <c r="BP436" i="1" s="1"/>
  <c r="BN225" i="1"/>
  <c r="BO225" i="1" s="1"/>
  <c r="BP225" i="1" s="1"/>
  <c r="AD226" i="1"/>
  <c r="BJ225" i="1"/>
  <c r="BA33" i="1"/>
  <c r="BI188" i="1"/>
  <c r="AD189" i="1"/>
  <c r="BK188" i="1"/>
  <c r="BP188" i="1"/>
  <c r="BH49" i="1" a="1"/>
  <c r="BH49" i="1" s="1"/>
  <c r="BK49" i="1"/>
  <c r="BN50" i="1"/>
  <c r="BO50" i="1" s="1"/>
  <c r="BP50" i="1" s="1"/>
  <c r="AD51" i="1"/>
  <c r="BJ50" i="1"/>
  <c r="AD123" i="1"/>
  <c r="AF122" i="1"/>
  <c r="BJ122" i="1"/>
  <c r="BN122" i="1"/>
  <c r="BO122" i="1" s="1"/>
  <c r="BN292" i="1"/>
  <c r="BO292" i="1" s="1"/>
  <c r="BJ292" i="1"/>
  <c r="AF292" i="1"/>
  <c r="BK291" i="1"/>
  <c r="AA33" i="1"/>
  <c r="S34" i="1"/>
  <c r="AB26" i="1"/>
  <c r="AC26" i="1" s="1"/>
  <c r="V26" i="1"/>
  <c r="U26" i="1"/>
  <c r="T27" i="1"/>
  <c r="BN437" i="1" l="1"/>
  <c r="BO437" i="1" s="1"/>
  <c r="BJ437" i="1"/>
  <c r="AF437" i="1"/>
  <c r="AD438" i="1"/>
  <c r="BI362" i="1"/>
  <c r="BP362" i="1" s="1"/>
  <c r="BK362" i="1"/>
  <c r="AD363" i="1"/>
  <c r="AD190" i="1"/>
  <c r="BJ189" i="1"/>
  <c r="BN189" i="1"/>
  <c r="BO189" i="1" s="1"/>
  <c r="BP189" i="1" s="1"/>
  <c r="AD293" i="1"/>
  <c r="BK292" i="1"/>
  <c r="BI292" i="1"/>
  <c r="BP292" i="1" s="1"/>
  <c r="AF123" i="1"/>
  <c r="BK122" i="1"/>
  <c r="BI122" i="1"/>
  <c r="BP122" i="1" s="1"/>
  <c r="BA34" i="1"/>
  <c r="BJ123" i="1"/>
  <c r="BN123" i="1"/>
  <c r="BO123" i="1" s="1"/>
  <c r="AD52" i="1"/>
  <c r="BN51" i="1"/>
  <c r="BO51" i="1" s="1"/>
  <c r="BP51" i="1" s="1"/>
  <c r="BJ51" i="1"/>
  <c r="BK225" i="1"/>
  <c r="BH50" i="1" a="1"/>
  <c r="BH50" i="1" s="1"/>
  <c r="BK50" i="1"/>
  <c r="AD227" i="1"/>
  <c r="BJ226" i="1"/>
  <c r="BN226" i="1"/>
  <c r="BO226" i="1" s="1"/>
  <c r="BP226" i="1" s="1"/>
  <c r="AA34" i="1"/>
  <c r="S35" i="1"/>
  <c r="V27" i="1"/>
  <c r="T28" i="1"/>
  <c r="U27" i="1"/>
  <c r="AB27" i="1"/>
  <c r="AC27" i="1" s="1"/>
  <c r="AD364" i="1" l="1"/>
  <c r="AF363" i="1"/>
  <c r="BJ363" i="1"/>
  <c r="BN363" i="1"/>
  <c r="BO363" i="1" s="1"/>
  <c r="BJ438" i="1"/>
  <c r="BN438" i="1"/>
  <c r="BO438" i="1" s="1"/>
  <c r="BI437" i="1"/>
  <c r="BP437" i="1" s="1"/>
  <c r="BK437" i="1"/>
  <c r="AF438" i="1"/>
  <c r="BN52" i="1"/>
  <c r="BO52" i="1" s="1"/>
  <c r="BP52" i="1" s="1"/>
  <c r="AD53" i="1"/>
  <c r="BJ52" i="1"/>
  <c r="BN293" i="1"/>
  <c r="BO293" i="1" s="1"/>
  <c r="BP293" i="1" s="1"/>
  <c r="BJ293" i="1"/>
  <c r="AD294" i="1"/>
  <c r="BP123" i="1"/>
  <c r="BK189" i="1"/>
  <c r="BK226" i="1"/>
  <c r="BJ227" i="1"/>
  <c r="AF227" i="1"/>
  <c r="AD228" i="1"/>
  <c r="BN227" i="1"/>
  <c r="BO227" i="1" s="1"/>
  <c r="BH51" i="1" a="1"/>
  <c r="BH51" i="1" s="1"/>
  <c r="BK51" i="1"/>
  <c r="BA35" i="1"/>
  <c r="AD124" i="1"/>
  <c r="BI123" i="1"/>
  <c r="BK123" i="1"/>
  <c r="BN190" i="1"/>
  <c r="BO190" i="1" s="1"/>
  <c r="BP190" i="1" s="1"/>
  <c r="BJ190" i="1"/>
  <c r="AA35" i="1"/>
  <c r="S36" i="1"/>
  <c r="AB28" i="1"/>
  <c r="AC28" i="1" s="1"/>
  <c r="V28" i="1"/>
  <c r="U28" i="1"/>
  <c r="T29" i="1"/>
  <c r="BK363" i="1" l="1"/>
  <c r="BI363" i="1"/>
  <c r="BP363" i="1" s="1"/>
  <c r="AF364" i="1"/>
  <c r="BJ364" i="1"/>
  <c r="BN364" i="1"/>
  <c r="BO364" i="1" s="1"/>
  <c r="BI438" i="1"/>
  <c r="BP438" i="1" s="1"/>
  <c r="AD439" i="1"/>
  <c r="BK438" i="1"/>
  <c r="BP227" i="1"/>
  <c r="BJ124" i="1"/>
  <c r="AD125" i="1"/>
  <c r="BN124" i="1"/>
  <c r="BO124" i="1" s="1"/>
  <c r="BP124" i="1" s="1"/>
  <c r="BN228" i="1"/>
  <c r="BO228" i="1" s="1"/>
  <c r="BJ228" i="1"/>
  <c r="AD295" i="1"/>
  <c r="BJ294" i="1"/>
  <c r="BN294" i="1"/>
  <c r="BO294" i="1" s="1"/>
  <c r="BP294" i="1" s="1"/>
  <c r="BK293" i="1"/>
  <c r="BH52" i="1" a="1"/>
  <c r="BH52" i="1" s="1"/>
  <c r="BK52" i="1"/>
  <c r="AF228" i="1"/>
  <c r="BI227" i="1"/>
  <c r="BK227" i="1"/>
  <c r="BK190" i="1"/>
  <c r="BA36" i="1"/>
  <c r="BJ53" i="1"/>
  <c r="AD54" i="1"/>
  <c r="BN53" i="1"/>
  <c r="BO53" i="1" s="1"/>
  <c r="BP53" i="1" s="1"/>
  <c r="AA36" i="1"/>
  <c r="S37" i="1"/>
  <c r="AB29" i="1"/>
  <c r="AC29" i="1" s="1"/>
  <c r="T30" i="1"/>
  <c r="V29" i="1"/>
  <c r="U29" i="1"/>
  <c r="BI364" i="1" l="1"/>
  <c r="BP364" i="1" s="1"/>
  <c r="AD365" i="1"/>
  <c r="BK364" i="1"/>
  <c r="BJ439" i="1"/>
  <c r="AF439" i="1"/>
  <c r="BN439" i="1"/>
  <c r="BO439" i="1" s="1"/>
  <c r="BH53" i="1" a="1"/>
  <c r="BH53" i="1" s="1"/>
  <c r="BK53" i="1"/>
  <c r="BA37" i="1"/>
  <c r="AD55" i="1"/>
  <c r="BJ54" i="1"/>
  <c r="BN54" i="1"/>
  <c r="BO54" i="1" s="1"/>
  <c r="BP54" i="1" s="1"/>
  <c r="BK228" i="1"/>
  <c r="AD229" i="1"/>
  <c r="BI228" i="1"/>
  <c r="BP228" i="1" s="1"/>
  <c r="BK294" i="1"/>
  <c r="BN295" i="1"/>
  <c r="BO295" i="1" s="1"/>
  <c r="BP295" i="1" s="1"/>
  <c r="AD296" i="1"/>
  <c r="BJ295" i="1"/>
  <c r="AD126" i="1"/>
  <c r="BJ125" i="1"/>
  <c r="BN125" i="1"/>
  <c r="BO125" i="1" s="1"/>
  <c r="BP125" i="1" s="1"/>
  <c r="BK124" i="1"/>
  <c r="AA37" i="1"/>
  <c r="S38" i="1"/>
  <c r="AB30" i="1"/>
  <c r="AC30" i="1" s="1"/>
  <c r="V30" i="1"/>
  <c r="U30" i="1"/>
  <c r="T31" i="1"/>
  <c r="BJ365" i="1" l="1"/>
  <c r="BK365" i="1" s="1"/>
  <c r="BN365" i="1"/>
  <c r="BO365" i="1" s="1"/>
  <c r="BP365" i="1" s="1"/>
  <c r="AD366" i="1"/>
  <c r="AD440" i="1"/>
  <c r="BK439" i="1"/>
  <c r="BI439" i="1"/>
  <c r="BP439" i="1" s="1"/>
  <c r="BN55" i="1"/>
  <c r="BO55" i="1" s="1"/>
  <c r="BP55" i="1" s="1"/>
  <c r="AD56" i="1"/>
  <c r="BJ55" i="1"/>
  <c r="AD230" i="1"/>
  <c r="BN229" i="1"/>
  <c r="BO229" i="1" s="1"/>
  <c r="BP229" i="1" s="1"/>
  <c r="BJ229" i="1"/>
  <c r="BA38" i="1"/>
  <c r="BK125" i="1"/>
  <c r="AD127" i="1"/>
  <c r="BJ126" i="1"/>
  <c r="BN126" i="1"/>
  <c r="BO126" i="1" s="1"/>
  <c r="BP126" i="1" s="1"/>
  <c r="BK295" i="1"/>
  <c r="AD297" i="1"/>
  <c r="BN296" i="1"/>
  <c r="BO296" i="1" s="1"/>
  <c r="BP296" i="1" s="1"/>
  <c r="BJ296" i="1"/>
  <c r="BH54" i="1" a="1"/>
  <c r="BH54" i="1" s="1"/>
  <c r="BK54" i="1"/>
  <c r="S39" i="1"/>
  <c r="AA38" i="1"/>
  <c r="U31" i="1"/>
  <c r="V31" i="1"/>
  <c r="AB31" i="1"/>
  <c r="AC31" i="1" s="1"/>
  <c r="T32" i="1"/>
  <c r="BN366" i="1" l="1"/>
  <c r="BO366" i="1" s="1"/>
  <c r="BP366" i="1" s="1"/>
  <c r="BJ366" i="1"/>
  <c r="BK366" i="1" s="1"/>
  <c r="AD367" i="1"/>
  <c r="AF440" i="1"/>
  <c r="BJ440" i="1"/>
  <c r="AD441" i="1"/>
  <c r="BN440" i="1"/>
  <c r="BO440" i="1" s="1"/>
  <c r="BA39" i="1"/>
  <c r="BK126" i="1"/>
  <c r="AD298" i="1"/>
  <c r="BJ297" i="1"/>
  <c r="BN297" i="1"/>
  <c r="BO297" i="1" s="1"/>
  <c r="BP297" i="1" s="1"/>
  <c r="BK229" i="1"/>
  <c r="AD231" i="1"/>
  <c r="BN230" i="1"/>
  <c r="BO230" i="1" s="1"/>
  <c r="BP230" i="1" s="1"/>
  <c r="BJ230" i="1"/>
  <c r="BK55" i="1"/>
  <c r="BH55" i="1" a="1"/>
  <c r="BH55" i="1" s="1"/>
  <c r="BJ56" i="1"/>
  <c r="AD57" i="1"/>
  <c r="BN56" i="1"/>
  <c r="BO56" i="1" s="1"/>
  <c r="BP56" i="1" s="1"/>
  <c r="BK296" i="1"/>
  <c r="AD128" i="1"/>
  <c r="BJ127" i="1"/>
  <c r="BN127" i="1"/>
  <c r="BO127" i="1" s="1"/>
  <c r="BP127" i="1" s="1"/>
  <c r="S40" i="1"/>
  <c r="AA39" i="1"/>
  <c r="U32" i="1"/>
  <c r="T33" i="1"/>
  <c r="AB32" i="1"/>
  <c r="AC32" i="1" s="1"/>
  <c r="V32" i="1"/>
  <c r="BN367" i="1" l="1"/>
  <c r="BO367" i="1" s="1"/>
  <c r="BP367" i="1" s="1"/>
  <c r="BJ367" i="1"/>
  <c r="BK367" i="1" s="1"/>
  <c r="AD368" i="1"/>
  <c r="BN441" i="1"/>
  <c r="BO441" i="1" s="1"/>
  <c r="BJ441" i="1"/>
  <c r="BI440" i="1"/>
  <c r="BP440" i="1" s="1"/>
  <c r="BK440" i="1"/>
  <c r="AF441" i="1"/>
  <c r="BJ57" i="1"/>
  <c r="BN57" i="1"/>
  <c r="BO57" i="1" s="1"/>
  <c r="BP57" i="1" s="1"/>
  <c r="AD58" i="1"/>
  <c r="BK297" i="1"/>
  <c r="BJ231" i="1"/>
  <c r="AD232" i="1"/>
  <c r="BN231" i="1"/>
  <c r="BO231" i="1" s="1"/>
  <c r="BP231" i="1" s="1"/>
  <c r="BK56" i="1"/>
  <c r="BH56" i="1" a="1"/>
  <c r="BH56" i="1" s="1"/>
  <c r="BJ298" i="1"/>
  <c r="AD299" i="1"/>
  <c r="BN298" i="1"/>
  <c r="BO298" i="1" s="1"/>
  <c r="BP298" i="1" s="1"/>
  <c r="BK127" i="1"/>
  <c r="BK230" i="1"/>
  <c r="BN128" i="1"/>
  <c r="BO128" i="1" s="1"/>
  <c r="AF128" i="1"/>
  <c r="BJ128" i="1"/>
  <c r="BA40" i="1"/>
  <c r="AA40" i="1"/>
  <c r="S41" i="1"/>
  <c r="AB33" i="1"/>
  <c r="AC33" i="1" s="1"/>
  <c r="U33" i="1"/>
  <c r="T34" i="1"/>
  <c r="V33" i="1"/>
  <c r="BI441" i="1" l="1"/>
  <c r="BP441" i="1" s="1"/>
  <c r="AD442" i="1"/>
  <c r="BK441" i="1"/>
  <c r="AD369" i="1"/>
  <c r="BN368" i="1"/>
  <c r="BO368" i="1" s="1"/>
  <c r="BP368" i="1" s="1"/>
  <c r="BJ368" i="1"/>
  <c r="BK368" i="1" s="1"/>
  <c r="AF232" i="1"/>
  <c r="AD233" i="1"/>
  <c r="BN232" i="1"/>
  <c r="BO232" i="1" s="1"/>
  <c r="BJ232" i="1"/>
  <c r="BK128" i="1"/>
  <c r="BI128" i="1"/>
  <c r="AD129" i="1"/>
  <c r="BK231" i="1"/>
  <c r="BA41" i="1"/>
  <c r="BP128" i="1"/>
  <c r="AD300" i="1"/>
  <c r="BN299" i="1"/>
  <c r="BO299" i="1" s="1"/>
  <c r="BP299" i="1" s="1"/>
  <c r="BJ299" i="1"/>
  <c r="BK298" i="1"/>
  <c r="AD59" i="1"/>
  <c r="BJ58" i="1"/>
  <c r="BN58" i="1"/>
  <c r="BO58" i="1" s="1"/>
  <c r="BP58" i="1" s="1"/>
  <c r="BH57" i="1" a="1"/>
  <c r="BH57" i="1" s="1"/>
  <c r="BK57" i="1"/>
  <c r="AA41" i="1"/>
  <c r="S42" i="1"/>
  <c r="U34" i="1"/>
  <c r="AB34" i="1"/>
  <c r="AC34" i="1" s="1"/>
  <c r="T35" i="1"/>
  <c r="V34" i="1"/>
  <c r="BJ369" i="1" l="1"/>
  <c r="BK369" i="1" s="1"/>
  <c r="BN369" i="1"/>
  <c r="BO369" i="1" s="1"/>
  <c r="BP369" i="1" s="1"/>
  <c r="AD370" i="1"/>
  <c r="BN442" i="1"/>
  <c r="BO442" i="1" s="1"/>
  <c r="BJ442" i="1"/>
  <c r="AD443" i="1"/>
  <c r="AF442" i="1"/>
  <c r="BK58" i="1"/>
  <c r="BH58" i="1" a="1"/>
  <c r="BH58" i="1" s="1"/>
  <c r="BJ300" i="1"/>
  <c r="AD301" i="1"/>
  <c r="BN300" i="1"/>
  <c r="BO300" i="1" s="1"/>
  <c r="BP300" i="1" s="1"/>
  <c r="BJ129" i="1"/>
  <c r="AD130" i="1"/>
  <c r="BN129" i="1"/>
  <c r="BO129" i="1" s="1"/>
  <c r="BP129" i="1" s="1"/>
  <c r="BA42" i="1"/>
  <c r="BP232" i="1"/>
  <c r="BJ59" i="1"/>
  <c r="AF59" i="1"/>
  <c r="BN59" i="1"/>
  <c r="BO59" i="1" s="1"/>
  <c r="BK299" i="1"/>
  <c r="BJ233" i="1"/>
  <c r="BN233" i="1"/>
  <c r="BO233" i="1" s="1"/>
  <c r="BK232" i="1"/>
  <c r="BI232" i="1"/>
  <c r="AF233" i="1"/>
  <c r="AA42" i="1"/>
  <c r="S43" i="1"/>
  <c r="AB35" i="1"/>
  <c r="AC35" i="1" s="1"/>
  <c r="U35" i="1"/>
  <c r="T36" i="1"/>
  <c r="V35" i="1"/>
  <c r="BI442" i="1" l="1"/>
  <c r="BP442" i="1" s="1"/>
  <c r="BK442" i="1"/>
  <c r="AF443" i="1"/>
  <c r="BN370" i="1"/>
  <c r="BO370" i="1" s="1"/>
  <c r="BP370" i="1" s="1"/>
  <c r="BJ370" i="1"/>
  <c r="BK370" i="1" s="1"/>
  <c r="AD371" i="1"/>
  <c r="BN443" i="1"/>
  <c r="BO443" i="1" s="1"/>
  <c r="BJ443" i="1"/>
  <c r="BK300" i="1"/>
  <c r="BK233" i="1"/>
  <c r="BI233" i="1"/>
  <c r="AD234" i="1"/>
  <c r="BA43" i="1"/>
  <c r="AD302" i="1"/>
  <c r="BN301" i="1"/>
  <c r="BO301" i="1" s="1"/>
  <c r="BP301" i="1" s="1"/>
  <c r="BJ301" i="1"/>
  <c r="BP233" i="1"/>
  <c r="BJ130" i="1"/>
  <c r="AD131" i="1"/>
  <c r="BN130" i="1"/>
  <c r="BO130" i="1" s="1"/>
  <c r="BP130" i="1" s="1"/>
  <c r="BH59" i="1" a="1"/>
  <c r="BH59" i="1" s="1"/>
  <c r="BK129" i="1"/>
  <c r="BK59" i="1"/>
  <c r="AD60" i="1"/>
  <c r="BI59" i="1"/>
  <c r="BP59" i="1" s="1"/>
  <c r="AA43" i="1"/>
  <c r="S44" i="1"/>
  <c r="AB36" i="1"/>
  <c r="AC36" i="1" s="1"/>
  <c r="U36" i="1"/>
  <c r="T37" i="1"/>
  <c r="V36" i="1"/>
  <c r="BI443" i="1" l="1"/>
  <c r="AD444" i="1"/>
  <c r="BK443" i="1"/>
  <c r="BP443" i="1"/>
  <c r="BN371" i="1"/>
  <c r="BO371" i="1" s="1"/>
  <c r="BP371" i="1" s="1"/>
  <c r="AD372" i="1"/>
  <c r="BJ371" i="1"/>
  <c r="BK371" i="1" s="1"/>
  <c r="BK301" i="1"/>
  <c r="AF302" i="1"/>
  <c r="BN302" i="1"/>
  <c r="BO302" i="1" s="1"/>
  <c r="BJ302" i="1"/>
  <c r="BA44" i="1"/>
  <c r="AD132" i="1"/>
  <c r="BJ131" i="1"/>
  <c r="BN131" i="1"/>
  <c r="BO131" i="1" s="1"/>
  <c r="BP131" i="1" s="1"/>
  <c r="AD235" i="1"/>
  <c r="BJ234" i="1"/>
  <c r="BN234" i="1"/>
  <c r="BO234" i="1" s="1"/>
  <c r="BP234" i="1" s="1"/>
  <c r="AD61" i="1"/>
  <c r="AF60" i="1"/>
  <c r="BJ60" i="1"/>
  <c r="BN60" i="1"/>
  <c r="BO60" i="1" s="1"/>
  <c r="BK130" i="1"/>
  <c r="AA44" i="1"/>
  <c r="S45" i="1"/>
  <c r="AB37" i="1"/>
  <c r="AC37" i="1" s="1"/>
  <c r="V37" i="1"/>
  <c r="T38" i="1"/>
  <c r="U37" i="1"/>
  <c r="BJ372" i="1" l="1"/>
  <c r="BN372" i="1"/>
  <c r="BO372" i="1" s="1"/>
  <c r="BI372" i="1"/>
  <c r="AD373" i="1"/>
  <c r="BJ444" i="1"/>
  <c r="BK444" i="1" s="1"/>
  <c r="BN444" i="1"/>
  <c r="BO444" i="1" s="1"/>
  <c r="BP444" i="1" s="1"/>
  <c r="AD445" i="1"/>
  <c r="BK234" i="1"/>
  <c r="BJ235" i="1"/>
  <c r="AD236" i="1"/>
  <c r="BN235" i="1"/>
  <c r="BO235" i="1" s="1"/>
  <c r="BP235" i="1" s="1"/>
  <c r="BK131" i="1"/>
  <c r="AD133" i="1"/>
  <c r="AF132" i="1"/>
  <c r="BN132" i="1"/>
  <c r="BO132" i="1" s="1"/>
  <c r="BJ132" i="1"/>
  <c r="AF61" i="1"/>
  <c r="BK60" i="1"/>
  <c r="BI60" i="1"/>
  <c r="BP60" i="1" s="1"/>
  <c r="BJ61" i="1"/>
  <c r="BN61" i="1"/>
  <c r="BO61" i="1" s="1"/>
  <c r="BA45" i="1"/>
  <c r="BH60" i="1" a="1"/>
  <c r="BH60" i="1" s="1"/>
  <c r="AD303" i="1"/>
  <c r="BK302" i="1"/>
  <c r="BI302" i="1"/>
  <c r="BP302" i="1" s="1"/>
  <c r="S46" i="1"/>
  <c r="AA45" i="1"/>
  <c r="U38" i="1"/>
  <c r="V38" i="1"/>
  <c r="AB38" i="1"/>
  <c r="AC38" i="1" s="1"/>
  <c r="T39" i="1"/>
  <c r="AD446" i="1" l="1"/>
  <c r="BN445" i="1"/>
  <c r="BO445" i="1" s="1"/>
  <c r="BP445" i="1" s="1"/>
  <c r="BJ445" i="1"/>
  <c r="BK445" i="1" s="1"/>
  <c r="BN373" i="1"/>
  <c r="BO373" i="1" s="1"/>
  <c r="BP373" i="1" s="1"/>
  <c r="AD374" i="1"/>
  <c r="BJ373" i="1"/>
  <c r="BK373" i="1" s="1"/>
  <c r="BP372" i="1"/>
  <c r="AF133" i="1"/>
  <c r="BK132" i="1"/>
  <c r="BI132" i="1"/>
  <c r="BP132" i="1" s="1"/>
  <c r="BJ133" i="1"/>
  <c r="BN133" i="1"/>
  <c r="BO133" i="1" s="1"/>
  <c r="AD62" i="1"/>
  <c r="BK61" i="1"/>
  <c r="BI61" i="1"/>
  <c r="BP61" i="1" s="1"/>
  <c r="BH61" i="1" a="1"/>
  <c r="BH61" i="1" s="1"/>
  <c r="AF303" i="1"/>
  <c r="BN303" i="1"/>
  <c r="BO303" i="1" s="1"/>
  <c r="BJ303" i="1"/>
  <c r="AD237" i="1"/>
  <c r="BJ236" i="1"/>
  <c r="BN236" i="1"/>
  <c r="BO236" i="1" s="1"/>
  <c r="BP236" i="1" s="1"/>
  <c r="BK235" i="1"/>
  <c r="BA46" i="1"/>
  <c r="AA46" i="1"/>
  <c r="S47" i="1"/>
  <c r="U39" i="1"/>
  <c r="AB39" i="1"/>
  <c r="AC39" i="1" s="1"/>
  <c r="T40" i="1"/>
  <c r="V39" i="1"/>
  <c r="AD375" i="1" l="1"/>
  <c r="BJ374" i="1"/>
  <c r="BK374" i="1" s="1"/>
  <c r="BN374" i="1"/>
  <c r="BO374" i="1" s="1"/>
  <c r="BP374" i="1" s="1"/>
  <c r="AD447" i="1"/>
  <c r="BJ446" i="1"/>
  <c r="BK446" i="1" s="1"/>
  <c r="BN446" i="1"/>
  <c r="BO446" i="1" s="1"/>
  <c r="BP446" i="1" s="1"/>
  <c r="BA47" i="1"/>
  <c r="BK236" i="1"/>
  <c r="BN62" i="1"/>
  <c r="BO62" i="1" s="1"/>
  <c r="BP62" i="1" s="1"/>
  <c r="AD63" i="1"/>
  <c r="BJ62" i="1"/>
  <c r="BP133" i="1"/>
  <c r="BK133" i="1"/>
  <c r="AD134" i="1"/>
  <c r="BI133" i="1"/>
  <c r="AD238" i="1"/>
  <c r="AF237" i="1"/>
  <c r="BJ237" i="1"/>
  <c r="BN237" i="1"/>
  <c r="BO237" i="1" s="1"/>
  <c r="AD304" i="1"/>
  <c r="BK303" i="1"/>
  <c r="BI303" i="1"/>
  <c r="BP303" i="1" s="1"/>
  <c r="S48" i="1"/>
  <c r="AA47" i="1"/>
  <c r="V40" i="1"/>
  <c r="T41" i="1"/>
  <c r="AB40" i="1"/>
  <c r="AC40" i="1" s="1"/>
  <c r="U40" i="1"/>
  <c r="AD448" i="1" l="1"/>
  <c r="BN447" i="1"/>
  <c r="BO447" i="1" s="1"/>
  <c r="BP447" i="1" s="1"/>
  <c r="BJ447" i="1"/>
  <c r="BK447" i="1" s="1"/>
  <c r="BJ375" i="1"/>
  <c r="BK375" i="1" s="1"/>
  <c r="AD376" i="1"/>
  <c r="BN375" i="1"/>
  <c r="BO375" i="1" s="1"/>
  <c r="BP375" i="1" s="1"/>
  <c r="BH62" i="1" a="1"/>
  <c r="BH62" i="1" s="1"/>
  <c r="BK62" i="1"/>
  <c r="AD64" i="1"/>
  <c r="BJ63" i="1"/>
  <c r="BN63" i="1"/>
  <c r="BO63" i="1" s="1"/>
  <c r="BP63" i="1" s="1"/>
  <c r="AF304" i="1"/>
  <c r="BJ304" i="1"/>
  <c r="BN304" i="1"/>
  <c r="BO304" i="1" s="1"/>
  <c r="BN134" i="1"/>
  <c r="BO134" i="1" s="1"/>
  <c r="BP134" i="1" s="1"/>
  <c r="BJ134" i="1"/>
  <c r="AD135" i="1"/>
  <c r="BP237" i="1"/>
  <c r="BA48" i="1"/>
  <c r="AF238" i="1"/>
  <c r="BK237" i="1"/>
  <c r="BI237" i="1"/>
  <c r="BN238" i="1"/>
  <c r="BO238" i="1" s="1"/>
  <c r="BJ238" i="1"/>
  <c r="AA48" i="1"/>
  <c r="S49" i="1"/>
  <c r="AB41" i="1"/>
  <c r="AC41" i="1" s="1"/>
  <c r="V41" i="1"/>
  <c r="T42" i="1"/>
  <c r="U41" i="1"/>
  <c r="BN376" i="1" l="1"/>
  <c r="BO376" i="1" s="1"/>
  <c r="BP376" i="1" s="1"/>
  <c r="BJ376" i="1"/>
  <c r="BK376" i="1" s="1"/>
  <c r="AD377" i="1"/>
  <c r="BN448" i="1"/>
  <c r="BO448" i="1" s="1"/>
  <c r="BP448" i="1" s="1"/>
  <c r="BJ448" i="1"/>
  <c r="BK448" i="1" s="1"/>
  <c r="AD449" i="1"/>
  <c r="BA49" i="1"/>
  <c r="AD65" i="1"/>
  <c r="AF64" i="1"/>
  <c r="BN64" i="1"/>
  <c r="BO64" i="1" s="1"/>
  <c r="BJ64" i="1"/>
  <c r="BI304" i="1"/>
  <c r="BP304" i="1" s="1"/>
  <c r="AD305" i="1"/>
  <c r="BK304" i="1"/>
  <c r="BP238" i="1"/>
  <c r="BK134" i="1"/>
  <c r="BK63" i="1"/>
  <c r="BH63" i="1" a="1"/>
  <c r="BH63" i="1" s="1"/>
  <c r="BN135" i="1"/>
  <c r="BO135" i="1" s="1"/>
  <c r="BP135" i="1" s="1"/>
  <c r="BJ135" i="1"/>
  <c r="AD136" i="1"/>
  <c r="BK238" i="1"/>
  <c r="BI238" i="1"/>
  <c r="AD239" i="1"/>
  <c r="S50" i="1"/>
  <c r="AA49" i="1"/>
  <c r="V42" i="1"/>
  <c r="T43" i="1"/>
  <c r="U42" i="1"/>
  <c r="AB42" i="1"/>
  <c r="AC42" i="1" s="1"/>
  <c r="BN449" i="1" l="1"/>
  <c r="BO449" i="1" s="1"/>
  <c r="BP449" i="1" s="1"/>
  <c r="BJ449" i="1"/>
  <c r="BK449" i="1" s="1"/>
  <c r="BN377" i="1"/>
  <c r="BO377" i="1" s="1"/>
  <c r="BP377" i="1" s="1"/>
  <c r="BJ377" i="1"/>
  <c r="BK377" i="1" s="1"/>
  <c r="AD378" i="1"/>
  <c r="BJ65" i="1"/>
  <c r="BN65" i="1"/>
  <c r="BO65" i="1" s="1"/>
  <c r="AF305" i="1"/>
  <c r="AD306" i="1"/>
  <c r="BN305" i="1"/>
  <c r="BO305" i="1" s="1"/>
  <c r="BJ305" i="1"/>
  <c r="BA50" i="1"/>
  <c r="BJ239" i="1"/>
  <c r="AD240" i="1"/>
  <c r="BN239" i="1"/>
  <c r="BO239" i="1" s="1"/>
  <c r="BP239" i="1" s="1"/>
  <c r="AD137" i="1"/>
  <c r="BN136" i="1"/>
  <c r="BO136" i="1" s="1"/>
  <c r="BP136" i="1" s="1"/>
  <c r="BJ136" i="1"/>
  <c r="BK135" i="1"/>
  <c r="BH64" i="1" a="1"/>
  <c r="BH64" i="1" s="1"/>
  <c r="BK64" i="1"/>
  <c r="AF65" i="1"/>
  <c r="BI64" i="1"/>
  <c r="BP64" i="1" s="1"/>
  <c r="AA50" i="1"/>
  <c r="S51" i="1"/>
  <c r="AB43" i="1"/>
  <c r="AC43" i="1" s="1"/>
  <c r="U43" i="1"/>
  <c r="V43" i="1"/>
  <c r="T44" i="1"/>
  <c r="BN378" i="1" l="1"/>
  <c r="BO378" i="1" s="1"/>
  <c r="BP378" i="1" s="1"/>
  <c r="BJ378" i="1"/>
  <c r="BK378" i="1" s="1"/>
  <c r="AD379" i="1"/>
  <c r="BN306" i="1"/>
  <c r="BO306" i="1" s="1"/>
  <c r="BJ306" i="1"/>
  <c r="AF306" i="1"/>
  <c r="BI305" i="1"/>
  <c r="BP305" i="1" s="1"/>
  <c r="BK305" i="1"/>
  <c r="AD138" i="1"/>
  <c r="BJ137" i="1"/>
  <c r="BN137" i="1"/>
  <c r="BO137" i="1" s="1"/>
  <c r="BP137" i="1" s="1"/>
  <c r="AD66" i="1"/>
  <c r="BI65" i="1"/>
  <c r="BK65" i="1"/>
  <c r="BK136" i="1"/>
  <c r="BP65" i="1"/>
  <c r="BH65" i="1" a="1"/>
  <c r="BH65" i="1" s="1"/>
  <c r="BJ240" i="1"/>
  <c r="BN240" i="1"/>
  <c r="BO240" i="1" s="1"/>
  <c r="BP240" i="1" s="1"/>
  <c r="AD241" i="1"/>
  <c r="BK239" i="1"/>
  <c r="BA51" i="1"/>
  <c r="AA51" i="1"/>
  <c r="S52" i="1"/>
  <c r="AB44" i="1"/>
  <c r="AC44" i="1" s="1"/>
  <c r="V44" i="1"/>
  <c r="T45" i="1"/>
  <c r="U44" i="1"/>
  <c r="BN379" i="1" l="1"/>
  <c r="BO379" i="1" s="1"/>
  <c r="BP379" i="1" s="1"/>
  <c r="AD380" i="1"/>
  <c r="BJ379" i="1"/>
  <c r="BK379" i="1" s="1"/>
  <c r="AD139" i="1"/>
  <c r="AF138" i="1"/>
  <c r="BJ138" i="1"/>
  <c r="BN138" i="1"/>
  <c r="BO138" i="1" s="1"/>
  <c r="BK306" i="1"/>
  <c r="AD307" i="1"/>
  <c r="BI306" i="1"/>
  <c r="BP306" i="1" s="1"/>
  <c r="BA52" i="1"/>
  <c r="BJ66" i="1"/>
  <c r="AD67" i="1"/>
  <c r="BN66" i="1"/>
  <c r="BO66" i="1" s="1"/>
  <c r="BP66" i="1" s="1"/>
  <c r="AD242" i="1"/>
  <c r="BJ241" i="1"/>
  <c r="BN241" i="1"/>
  <c r="BO241" i="1" s="1"/>
  <c r="BP241" i="1" s="1"/>
  <c r="BK240" i="1"/>
  <c r="BK137" i="1"/>
  <c r="AA52" i="1"/>
  <c r="S53" i="1"/>
  <c r="U45" i="1"/>
  <c r="AB45" i="1"/>
  <c r="AC45" i="1" s="1"/>
  <c r="T46" i="1"/>
  <c r="V45" i="1"/>
  <c r="AD381" i="1" l="1"/>
  <c r="BJ380" i="1"/>
  <c r="AF380" i="1"/>
  <c r="BN380" i="1"/>
  <c r="BO380" i="1" s="1"/>
  <c r="BN307" i="1"/>
  <c r="BO307" i="1" s="1"/>
  <c r="BP307" i="1" s="1"/>
  <c r="AD308" i="1"/>
  <c r="BJ307" i="1"/>
  <c r="BN67" i="1"/>
  <c r="BO67" i="1" s="1"/>
  <c r="BP67" i="1" s="1"/>
  <c r="AD68" i="1"/>
  <c r="BJ67" i="1"/>
  <c r="BK241" i="1"/>
  <c r="BH66" i="1" a="1"/>
  <c r="BH66" i="1" s="1"/>
  <c r="BK66" i="1"/>
  <c r="AD243" i="1"/>
  <c r="AF242" i="1"/>
  <c r="BN242" i="1"/>
  <c r="BO242" i="1" s="1"/>
  <c r="BJ242" i="1"/>
  <c r="BK138" i="1"/>
  <c r="AF139" i="1"/>
  <c r="BI138" i="1"/>
  <c r="BP138" i="1" s="1"/>
  <c r="BA53" i="1"/>
  <c r="BJ139" i="1"/>
  <c r="BN139" i="1"/>
  <c r="BO139" i="1" s="1"/>
  <c r="AA53" i="1"/>
  <c r="S54" i="1"/>
  <c r="V46" i="1"/>
  <c r="T47" i="1"/>
  <c r="U46" i="1"/>
  <c r="AB46" i="1"/>
  <c r="AC46" i="1" s="1"/>
  <c r="BJ381" i="1" l="1"/>
  <c r="BN381" i="1"/>
  <c r="BO381" i="1" s="1"/>
  <c r="BI380" i="1"/>
  <c r="BP380" i="1" s="1"/>
  <c r="BK380" i="1"/>
  <c r="AF381" i="1"/>
  <c r="BK307" i="1"/>
  <c r="BA54" i="1"/>
  <c r="BH67" i="1" a="1"/>
  <c r="BH67" i="1" s="1"/>
  <c r="BK67" i="1"/>
  <c r="AD69" i="1"/>
  <c r="BN68" i="1"/>
  <c r="BO68" i="1" s="1"/>
  <c r="BP68" i="1" s="1"/>
  <c r="BJ68" i="1"/>
  <c r="BK242" i="1"/>
  <c r="BI242" i="1"/>
  <c r="BP242" i="1" s="1"/>
  <c r="AF243" i="1"/>
  <c r="AD140" i="1"/>
  <c r="BI139" i="1"/>
  <c r="BP139" i="1" s="1"/>
  <c r="BK139" i="1"/>
  <c r="BJ243" i="1"/>
  <c r="AD244" i="1"/>
  <c r="BN243" i="1"/>
  <c r="BO243" i="1" s="1"/>
  <c r="BN308" i="1"/>
  <c r="BO308" i="1" s="1"/>
  <c r="BP308" i="1" s="1"/>
  <c r="AD309" i="1"/>
  <c r="BJ308" i="1"/>
  <c r="AA54" i="1"/>
  <c r="S55" i="1"/>
  <c r="AB47" i="1"/>
  <c r="AC47" i="1" s="1"/>
  <c r="V47" i="1"/>
  <c r="U47" i="1"/>
  <c r="T48" i="1"/>
  <c r="BK381" i="1" l="1"/>
  <c r="BI381" i="1"/>
  <c r="BP381" i="1" s="1"/>
  <c r="AD382" i="1"/>
  <c r="BK68" i="1"/>
  <c r="BH68" i="1" a="1"/>
  <c r="BH68" i="1" s="1"/>
  <c r="BN140" i="1"/>
  <c r="BO140" i="1" s="1"/>
  <c r="BP140" i="1" s="1"/>
  <c r="BJ140" i="1"/>
  <c r="AD141" i="1"/>
  <c r="BK243" i="1"/>
  <c r="AF244" i="1"/>
  <c r="BI243" i="1"/>
  <c r="BJ69" i="1"/>
  <c r="AD70" i="1"/>
  <c r="BN69" i="1"/>
  <c r="BO69" i="1" s="1"/>
  <c r="BP69" i="1" s="1"/>
  <c r="BP243" i="1"/>
  <c r="BJ244" i="1"/>
  <c r="BN244" i="1"/>
  <c r="BO244" i="1" s="1"/>
  <c r="BA55" i="1"/>
  <c r="BK308" i="1"/>
  <c r="AD310" i="1"/>
  <c r="BJ309" i="1"/>
  <c r="BN309" i="1"/>
  <c r="BO309" i="1" s="1"/>
  <c r="BP309" i="1" s="1"/>
  <c r="S56" i="1"/>
  <c r="AA55" i="1"/>
  <c r="AB48" i="1"/>
  <c r="AC48" i="1" s="1"/>
  <c r="T49" i="1"/>
  <c r="V48" i="1"/>
  <c r="U48" i="1"/>
  <c r="BN382" i="1" l="1"/>
  <c r="BO382" i="1" s="1"/>
  <c r="BP382" i="1" s="1"/>
  <c r="BJ382" i="1"/>
  <c r="BK382" i="1" s="1"/>
  <c r="AD383" i="1"/>
  <c r="BA56" i="1"/>
  <c r="AD311" i="1"/>
  <c r="BN310" i="1"/>
  <c r="BO310" i="1" s="1"/>
  <c r="BP310" i="1" s="1"/>
  <c r="BJ310" i="1"/>
  <c r="BJ70" i="1"/>
  <c r="AD71" i="1"/>
  <c r="BN70" i="1"/>
  <c r="BO70" i="1" s="1"/>
  <c r="BP70" i="1" s="1"/>
  <c r="BK309" i="1"/>
  <c r="BP244" i="1"/>
  <c r="AD245" i="1"/>
  <c r="BI244" i="1"/>
  <c r="BK244" i="1"/>
  <c r="BH69" i="1" a="1"/>
  <c r="BH69" i="1" s="1"/>
  <c r="BK69" i="1"/>
  <c r="AD142" i="1"/>
  <c r="BN141" i="1"/>
  <c r="BO141" i="1" s="1"/>
  <c r="BP141" i="1" s="1"/>
  <c r="BJ141" i="1"/>
  <c r="BK140" i="1"/>
  <c r="AA56" i="1"/>
  <c r="S57" i="1"/>
  <c r="V49" i="1"/>
  <c r="T50" i="1"/>
  <c r="AB49" i="1"/>
  <c r="AC49" i="1" s="1"/>
  <c r="U49" i="1"/>
  <c r="BN383" i="1" l="1"/>
  <c r="BO383" i="1" s="1"/>
  <c r="BP383" i="1" s="1"/>
  <c r="AD384" i="1"/>
  <c r="BJ383" i="1"/>
  <c r="BK383" i="1" s="1"/>
  <c r="BK70" i="1"/>
  <c r="BH70" i="1" a="1"/>
  <c r="BH70" i="1" s="1"/>
  <c r="BK141" i="1"/>
  <c r="BK310" i="1"/>
  <c r="BN142" i="1"/>
  <c r="BO142" i="1" s="1"/>
  <c r="BP142" i="1" s="1"/>
  <c r="AD143" i="1"/>
  <c r="BJ142" i="1"/>
  <c r="BJ245" i="1"/>
  <c r="AD246" i="1"/>
  <c r="BN245" i="1"/>
  <c r="BO245" i="1" s="1"/>
  <c r="BP245" i="1" s="1"/>
  <c r="AF311" i="1"/>
  <c r="BJ311" i="1"/>
  <c r="BN311" i="1"/>
  <c r="BO311" i="1" s="1"/>
  <c r="BN71" i="1"/>
  <c r="BO71" i="1" s="1"/>
  <c r="BP71" i="1" s="1"/>
  <c r="BJ71" i="1"/>
  <c r="AD72" i="1"/>
  <c r="BA57" i="1"/>
  <c r="S58" i="1"/>
  <c r="AA57" i="1"/>
  <c r="U50" i="1"/>
  <c r="T51" i="1"/>
  <c r="AB50" i="1"/>
  <c r="AC50" i="1" s="1"/>
  <c r="V50" i="1"/>
  <c r="BJ384" i="1" l="1"/>
  <c r="BK384" i="1" s="1"/>
  <c r="BN384" i="1"/>
  <c r="BO384" i="1" s="1"/>
  <c r="BP384" i="1" s="1"/>
  <c r="AD385" i="1"/>
  <c r="BK245" i="1"/>
  <c r="BK71" i="1"/>
  <c r="BH71" i="1" a="1"/>
  <c r="BH71" i="1" s="1"/>
  <c r="AD312" i="1"/>
  <c r="BI311" i="1"/>
  <c r="BP311" i="1" s="1"/>
  <c r="BK311" i="1"/>
  <c r="BA58" i="1"/>
  <c r="BN246" i="1"/>
  <c r="BO246" i="1" s="1"/>
  <c r="BP246" i="1" s="1"/>
  <c r="BJ246" i="1"/>
  <c r="AD247" i="1"/>
  <c r="BK142" i="1"/>
  <c r="AD73" i="1"/>
  <c r="BN72" i="1"/>
  <c r="BO72" i="1" s="1"/>
  <c r="BP72" i="1" s="1"/>
  <c r="BJ72" i="1"/>
  <c r="BN143" i="1"/>
  <c r="BO143" i="1" s="1"/>
  <c r="BP143" i="1" s="1"/>
  <c r="BJ143" i="1"/>
  <c r="AA58" i="1"/>
  <c r="S59" i="1"/>
  <c r="U51" i="1"/>
  <c r="V51" i="1"/>
  <c r="T52" i="1"/>
  <c r="AB51" i="1"/>
  <c r="AC51" i="1" s="1"/>
  <c r="BJ385" i="1" l="1"/>
  <c r="BK385" i="1" s="1"/>
  <c r="BN385" i="1"/>
  <c r="BO385" i="1" s="1"/>
  <c r="BP385" i="1" s="1"/>
  <c r="AD386" i="1"/>
  <c r="AF312" i="1"/>
  <c r="AD313" i="1"/>
  <c r="BJ312" i="1"/>
  <c r="BN312" i="1"/>
  <c r="BO312" i="1" s="1"/>
  <c r="BJ73" i="1"/>
  <c r="BN73" i="1"/>
  <c r="BO73" i="1" s="1"/>
  <c r="BP73" i="1" s="1"/>
  <c r="AD74" i="1"/>
  <c r="AD248" i="1"/>
  <c r="BJ247" i="1"/>
  <c r="BN247" i="1"/>
  <c r="BO247" i="1" s="1"/>
  <c r="BP247" i="1" s="1"/>
  <c r="BK143" i="1"/>
  <c r="BH72" i="1" a="1"/>
  <c r="BH72" i="1" s="1"/>
  <c r="BK72" i="1"/>
  <c r="BK246" i="1"/>
  <c r="BA59" i="1"/>
  <c r="AA59" i="1"/>
  <c r="S60" i="1"/>
  <c r="T53" i="1"/>
  <c r="AB52" i="1"/>
  <c r="AC52" i="1" s="1"/>
  <c r="V52" i="1"/>
  <c r="U52" i="1"/>
  <c r="AD387" i="1" l="1"/>
  <c r="BN386" i="1"/>
  <c r="BO386" i="1" s="1"/>
  <c r="BP386" i="1" s="1"/>
  <c r="BJ386" i="1"/>
  <c r="BK386" i="1" s="1"/>
  <c r="AF74" i="1"/>
  <c r="AD75" i="1"/>
  <c r="BN74" i="1"/>
  <c r="BO74" i="1" s="1"/>
  <c r="BJ74" i="1"/>
  <c r="BA60" i="1"/>
  <c r="BK73" i="1"/>
  <c r="BH73" i="1" a="1"/>
  <c r="BH73" i="1" s="1"/>
  <c r="AD314" i="1"/>
  <c r="BJ313" i="1"/>
  <c r="BN313" i="1"/>
  <c r="BO313" i="1" s="1"/>
  <c r="BK312" i="1"/>
  <c r="AF313" i="1"/>
  <c r="BI312" i="1"/>
  <c r="BP312" i="1" s="1"/>
  <c r="BK247" i="1"/>
  <c r="BN248" i="1"/>
  <c r="BO248" i="1" s="1"/>
  <c r="BP248" i="1" s="1"/>
  <c r="AD249" i="1"/>
  <c r="BJ248" i="1"/>
  <c r="S61" i="1"/>
  <c r="AA60" i="1"/>
  <c r="AB53" i="1"/>
  <c r="AC53" i="1" s="1"/>
  <c r="U53" i="1"/>
  <c r="V53" i="1"/>
  <c r="T54" i="1"/>
  <c r="AD388" i="1" l="1"/>
  <c r="BN387" i="1"/>
  <c r="BO387" i="1" s="1"/>
  <c r="BP387" i="1" s="1"/>
  <c r="BJ387" i="1"/>
  <c r="BK387" i="1" s="1"/>
  <c r="BA61" i="1"/>
  <c r="BP74" i="1"/>
  <c r="BJ75" i="1"/>
  <c r="BN75" i="1"/>
  <c r="BO75" i="1" s="1"/>
  <c r="BI313" i="1"/>
  <c r="BP313" i="1" s="1"/>
  <c r="BK313" i="1"/>
  <c r="AF314" i="1"/>
  <c r="BN314" i="1"/>
  <c r="BO314" i="1" s="1"/>
  <c r="BJ314" i="1"/>
  <c r="BK74" i="1"/>
  <c r="AF75" i="1"/>
  <c r="BI74" i="1"/>
  <c r="BH74" i="1" a="1"/>
  <c r="BH74" i="1" s="1"/>
  <c r="BK248" i="1"/>
  <c r="BN249" i="1"/>
  <c r="BO249" i="1" s="1"/>
  <c r="BP249" i="1" s="1"/>
  <c r="AD250" i="1"/>
  <c r="BJ249" i="1"/>
  <c r="AA61" i="1"/>
  <c r="S62" i="1"/>
  <c r="AB54" i="1"/>
  <c r="AC54" i="1" s="1"/>
  <c r="T55" i="1"/>
  <c r="V54" i="1"/>
  <c r="U54" i="1"/>
  <c r="BN388" i="1" l="1"/>
  <c r="BO388" i="1" s="1"/>
  <c r="AF388" i="1"/>
  <c r="BJ388" i="1"/>
  <c r="BK75" i="1"/>
  <c r="AD76" i="1"/>
  <c r="BI75" i="1"/>
  <c r="BK314" i="1"/>
  <c r="AD315" i="1"/>
  <c r="BI314" i="1"/>
  <c r="BP314" i="1" s="1"/>
  <c r="BP75" i="1"/>
  <c r="BH75" i="1" a="1"/>
  <c r="BH75" i="1" s="1"/>
  <c r="AD251" i="1"/>
  <c r="BJ250" i="1"/>
  <c r="BN250" i="1"/>
  <c r="BO250" i="1" s="1"/>
  <c r="BP250" i="1" s="1"/>
  <c r="BA62" i="1"/>
  <c r="BK249" i="1"/>
  <c r="S63" i="1"/>
  <c r="AA62" i="1"/>
  <c r="AB55" i="1"/>
  <c r="AC55" i="1" s="1"/>
  <c r="V55" i="1"/>
  <c r="T56" i="1"/>
  <c r="U55" i="1"/>
  <c r="BI388" i="1" l="1"/>
  <c r="AD389" i="1"/>
  <c r="BK388" i="1"/>
  <c r="BP388" i="1"/>
  <c r="AD316" i="1"/>
  <c r="BN315" i="1"/>
  <c r="BO315" i="1" s="1"/>
  <c r="BP315" i="1" s="1"/>
  <c r="BJ315" i="1"/>
  <c r="BA63" i="1"/>
  <c r="BK250" i="1"/>
  <c r="BJ251" i="1"/>
  <c r="AD252" i="1"/>
  <c r="BN251" i="1"/>
  <c r="BO251" i="1" s="1"/>
  <c r="BP251" i="1" s="1"/>
  <c r="AD77" i="1"/>
  <c r="BJ76" i="1"/>
  <c r="BN76" i="1"/>
  <c r="BO76" i="1" s="1"/>
  <c r="BP76" i="1" s="1"/>
  <c r="AA63" i="1"/>
  <c r="S64" i="1"/>
  <c r="V56" i="1"/>
  <c r="T57" i="1"/>
  <c r="AB56" i="1"/>
  <c r="AC56" i="1" s="1"/>
  <c r="U56" i="1"/>
  <c r="BJ389" i="1" l="1"/>
  <c r="BK389" i="1" s="1"/>
  <c r="AD390" i="1"/>
  <c r="BN389" i="1"/>
  <c r="BO389" i="1" s="1"/>
  <c r="BP389" i="1" s="1"/>
  <c r="BH76" i="1" a="1"/>
  <c r="BH76" i="1" s="1"/>
  <c r="BK76" i="1"/>
  <c r="BK315" i="1"/>
  <c r="AD253" i="1"/>
  <c r="BJ252" i="1"/>
  <c r="BN252" i="1"/>
  <c r="BO252" i="1" s="1"/>
  <c r="BP252" i="1" s="1"/>
  <c r="BK251" i="1"/>
  <c r="BA64" i="1"/>
  <c r="BJ77" i="1"/>
  <c r="AD78" i="1"/>
  <c r="BN77" i="1"/>
  <c r="BO77" i="1" s="1"/>
  <c r="BP77" i="1" s="1"/>
  <c r="BN316" i="1"/>
  <c r="BO316" i="1" s="1"/>
  <c r="BP316" i="1" s="1"/>
  <c r="BJ316" i="1"/>
  <c r="AD317" i="1"/>
  <c r="S65" i="1"/>
  <c r="AA64" i="1"/>
  <c r="AB57" i="1"/>
  <c r="AC57" i="1" s="1"/>
  <c r="T58" i="1"/>
  <c r="U57" i="1"/>
  <c r="V57" i="1"/>
  <c r="BJ390" i="1" l="1"/>
  <c r="BK390" i="1" s="1"/>
  <c r="AD391" i="1"/>
  <c r="BN390" i="1"/>
  <c r="BO390" i="1" s="1"/>
  <c r="BP390" i="1" s="1"/>
  <c r="AD318" i="1"/>
  <c r="BN317" i="1"/>
  <c r="BO317" i="1" s="1"/>
  <c r="BP317" i="1" s="1"/>
  <c r="BJ317" i="1"/>
  <c r="BH77" i="1" a="1"/>
  <c r="BH77" i="1" s="1"/>
  <c r="BK77" i="1"/>
  <c r="BA65" i="1"/>
  <c r="BK316" i="1"/>
  <c r="BK252" i="1"/>
  <c r="AD254" i="1"/>
  <c r="BJ253" i="1"/>
  <c r="BN253" i="1"/>
  <c r="BO253" i="1" s="1"/>
  <c r="BP253" i="1" s="1"/>
  <c r="BJ78" i="1"/>
  <c r="AD79" i="1"/>
  <c r="BN78" i="1"/>
  <c r="BO78" i="1" s="1"/>
  <c r="BP78" i="1" s="1"/>
  <c r="AA65" i="1"/>
  <c r="S66" i="1"/>
  <c r="T59" i="1"/>
  <c r="U58" i="1"/>
  <c r="AB58" i="1"/>
  <c r="AC58" i="1" s="1"/>
  <c r="V58" i="1"/>
  <c r="AD392" i="1" l="1"/>
  <c r="BN391" i="1"/>
  <c r="BO391" i="1" s="1"/>
  <c r="BP391" i="1" s="1"/>
  <c r="BJ391" i="1"/>
  <c r="BK391" i="1" s="1"/>
  <c r="AD255" i="1"/>
  <c r="BI254" i="1"/>
  <c r="BN254" i="1"/>
  <c r="BO254" i="1" s="1"/>
  <c r="BJ254" i="1"/>
  <c r="BA66" i="1"/>
  <c r="BN79" i="1"/>
  <c r="BO79" i="1" s="1"/>
  <c r="BP79" i="1" s="1"/>
  <c r="BJ79" i="1"/>
  <c r="AD80" i="1"/>
  <c r="BK317" i="1"/>
  <c r="BH78" i="1" a="1"/>
  <c r="BH78" i="1" s="1"/>
  <c r="BK78" i="1"/>
  <c r="BK253" i="1"/>
  <c r="AD319" i="1"/>
  <c r="BJ318" i="1"/>
  <c r="BN318" i="1"/>
  <c r="BO318" i="1" s="1"/>
  <c r="BP318" i="1" s="1"/>
  <c r="AA66" i="1"/>
  <c r="S67" i="1"/>
  <c r="AB59" i="1"/>
  <c r="AC59" i="1" s="1"/>
  <c r="T60" i="1"/>
  <c r="V59" i="1"/>
  <c r="U59" i="1"/>
  <c r="BJ392" i="1" l="1"/>
  <c r="BK392" i="1" s="1"/>
  <c r="BN392" i="1"/>
  <c r="BO392" i="1" s="1"/>
  <c r="BP392" i="1" s="1"/>
  <c r="AD393" i="1"/>
  <c r="BK79" i="1"/>
  <c r="BH79" i="1" a="1"/>
  <c r="BH79" i="1" s="1"/>
  <c r="BJ80" i="1"/>
  <c r="BN80" i="1"/>
  <c r="BO80" i="1" s="1"/>
  <c r="BP80" i="1" s="1"/>
  <c r="AD320" i="1"/>
  <c r="BJ319" i="1"/>
  <c r="BN319" i="1"/>
  <c r="BO319" i="1" s="1"/>
  <c r="BP319" i="1" s="1"/>
  <c r="BK318" i="1"/>
  <c r="BP254" i="1"/>
  <c r="BA67" i="1"/>
  <c r="AD256" i="1"/>
  <c r="BJ255" i="1"/>
  <c r="BN255" i="1"/>
  <c r="BO255" i="1" s="1"/>
  <c r="BP255" i="1" s="1"/>
  <c r="S68" i="1"/>
  <c r="AA67" i="1"/>
  <c r="AB60" i="1"/>
  <c r="AC60" i="1" s="1"/>
  <c r="T61" i="1"/>
  <c r="V60" i="1"/>
  <c r="U60" i="1"/>
  <c r="BN393" i="1" l="1"/>
  <c r="BO393" i="1" s="1"/>
  <c r="BP393" i="1" s="1"/>
  <c r="AD394" i="1"/>
  <c r="BJ393" i="1"/>
  <c r="BK393" i="1" s="1"/>
  <c r="BN320" i="1"/>
  <c r="BO320" i="1" s="1"/>
  <c r="BP320" i="1" s="1"/>
  <c r="BJ320" i="1"/>
  <c r="AD321" i="1"/>
  <c r="AD257" i="1"/>
  <c r="BN256" i="1"/>
  <c r="BO256" i="1" s="1"/>
  <c r="BP256" i="1" s="1"/>
  <c r="BJ256" i="1"/>
  <c r="BA68" i="1"/>
  <c r="BK80" i="1"/>
  <c r="BH80" i="1" a="1"/>
  <c r="BH80" i="1" s="1"/>
  <c r="BH81" i="1" s="1" a="1"/>
  <c r="BH81" i="1" s="1"/>
  <c r="BH82" i="1" s="1" a="1"/>
  <c r="BH82" i="1" s="1"/>
  <c r="BH83" i="1" s="1" a="1"/>
  <c r="BH83" i="1" s="1"/>
  <c r="BH84" i="1" s="1" a="1"/>
  <c r="BH84" i="1" s="1"/>
  <c r="BH85" i="1" s="1" a="1"/>
  <c r="BH85" i="1" s="1"/>
  <c r="BH86" i="1" s="1" a="1"/>
  <c r="BH86" i="1" s="1"/>
  <c r="BH87" i="1" s="1" a="1"/>
  <c r="BH87" i="1" s="1"/>
  <c r="BH88" i="1" s="1" a="1"/>
  <c r="BH88" i="1" s="1"/>
  <c r="BH89" i="1" s="1" a="1"/>
  <c r="BH89" i="1" s="1"/>
  <c r="BH90" i="1" s="1" a="1"/>
  <c r="BH90" i="1" s="1"/>
  <c r="BH91" i="1" s="1" a="1"/>
  <c r="BH91" i="1" s="1"/>
  <c r="BH92" i="1" s="1" a="1"/>
  <c r="BH92" i="1" s="1"/>
  <c r="BH93" i="1" s="1" a="1"/>
  <c r="BH93" i="1" s="1"/>
  <c r="BH94" i="1" s="1" a="1"/>
  <c r="BH94" i="1" s="1"/>
  <c r="BH95" i="1" s="1" a="1"/>
  <c r="BH95" i="1" s="1"/>
  <c r="BH96" i="1" s="1" a="1"/>
  <c r="BH96" i="1" s="1"/>
  <c r="BH97" i="1" s="1" a="1"/>
  <c r="BH97" i="1" s="1"/>
  <c r="BH98" i="1" s="1" a="1"/>
  <c r="BH98" i="1" s="1"/>
  <c r="BH99" i="1" s="1" a="1"/>
  <c r="BH99" i="1" s="1"/>
  <c r="BH100" i="1" s="1" a="1"/>
  <c r="BH100" i="1" s="1"/>
  <c r="BH101" i="1" s="1" a="1"/>
  <c r="BH101" i="1" s="1"/>
  <c r="BH102" i="1" s="1" a="1"/>
  <c r="BH102" i="1" s="1"/>
  <c r="BH103" i="1" s="1" a="1"/>
  <c r="BH103" i="1" s="1"/>
  <c r="BH104" i="1" s="1" a="1"/>
  <c r="BH104" i="1" s="1"/>
  <c r="BH105" i="1" s="1" a="1"/>
  <c r="BH105" i="1" s="1"/>
  <c r="BH106" i="1" s="1" a="1"/>
  <c r="BH106" i="1" s="1"/>
  <c r="BH107" i="1" s="1" a="1"/>
  <c r="BH107" i="1" s="1"/>
  <c r="BH108" i="1" s="1" a="1"/>
  <c r="BH108" i="1" s="1"/>
  <c r="BH109" i="1" s="1" a="1"/>
  <c r="BH109" i="1" s="1"/>
  <c r="BH110" i="1" s="1" a="1"/>
  <c r="BH110" i="1" s="1"/>
  <c r="BH111" i="1" s="1" a="1"/>
  <c r="BH111" i="1" s="1"/>
  <c r="BH112" i="1" s="1" a="1"/>
  <c r="BH112" i="1" s="1"/>
  <c r="BH113" i="1" s="1" a="1"/>
  <c r="BH113" i="1" s="1"/>
  <c r="BH114" i="1" s="1" a="1"/>
  <c r="BH114" i="1" s="1"/>
  <c r="BH115" i="1" s="1" a="1"/>
  <c r="BH115" i="1" s="1"/>
  <c r="BH116" i="1" s="1" a="1"/>
  <c r="BH116" i="1" s="1"/>
  <c r="BH117" i="1" s="1" a="1"/>
  <c r="BH117" i="1" s="1"/>
  <c r="BH118" i="1" s="1" a="1"/>
  <c r="BH118" i="1" s="1"/>
  <c r="BH119" i="1" s="1" a="1"/>
  <c r="BH119" i="1" s="1"/>
  <c r="BH120" i="1" s="1" a="1"/>
  <c r="BH120" i="1" s="1"/>
  <c r="BH121" i="1" s="1" a="1"/>
  <c r="BH121" i="1" s="1"/>
  <c r="BH122" i="1" s="1" a="1"/>
  <c r="BH122" i="1" s="1"/>
  <c r="BH123" i="1" s="1" a="1"/>
  <c r="BH123" i="1" s="1"/>
  <c r="BH124" i="1" s="1" a="1"/>
  <c r="BH124" i="1" s="1"/>
  <c r="BH125" i="1" s="1" a="1"/>
  <c r="BH125" i="1" s="1"/>
  <c r="BH126" i="1" s="1" a="1"/>
  <c r="BH126" i="1" s="1"/>
  <c r="BH127" i="1" s="1" a="1"/>
  <c r="BH127" i="1" s="1"/>
  <c r="BH128" i="1" s="1" a="1"/>
  <c r="BH128" i="1" s="1"/>
  <c r="BH129" i="1" s="1" a="1"/>
  <c r="BH129" i="1" s="1"/>
  <c r="BH130" i="1" s="1" a="1"/>
  <c r="BH130" i="1" s="1"/>
  <c r="BH131" i="1" s="1" a="1"/>
  <c r="BH131" i="1" s="1"/>
  <c r="BH132" i="1" s="1" a="1"/>
  <c r="BH132" i="1" s="1"/>
  <c r="BH133" i="1" s="1" a="1"/>
  <c r="BH133" i="1" s="1"/>
  <c r="BH134" i="1" s="1" a="1"/>
  <c r="BH134" i="1" s="1"/>
  <c r="BH135" i="1" s="1" a="1"/>
  <c r="BH135" i="1" s="1"/>
  <c r="BH136" i="1" s="1" a="1"/>
  <c r="BH136" i="1" s="1"/>
  <c r="BH137" i="1" s="1" a="1"/>
  <c r="BH137" i="1" s="1"/>
  <c r="BH138" i="1" s="1" a="1"/>
  <c r="BH138" i="1" s="1"/>
  <c r="BH139" i="1" s="1" a="1"/>
  <c r="BH139" i="1" s="1"/>
  <c r="BH140" i="1" s="1" a="1"/>
  <c r="BH140" i="1" s="1"/>
  <c r="BH141" i="1" s="1" a="1"/>
  <c r="BH141" i="1" s="1"/>
  <c r="BH142" i="1" s="1" a="1"/>
  <c r="BH142" i="1" s="1"/>
  <c r="BH143" i="1" s="1" a="1"/>
  <c r="BH143" i="1" s="1"/>
  <c r="BH144" i="1" s="1" a="1"/>
  <c r="BH144" i="1" s="1"/>
  <c r="BH145" i="1" s="1" a="1"/>
  <c r="BH145" i="1" s="1"/>
  <c r="BH146" i="1" s="1" a="1"/>
  <c r="BH146" i="1" s="1"/>
  <c r="BH147" i="1" s="1" a="1"/>
  <c r="BH147" i="1" s="1"/>
  <c r="BH148" i="1" s="1" a="1"/>
  <c r="BH148" i="1" s="1"/>
  <c r="BH149" i="1" s="1" a="1"/>
  <c r="BH149" i="1" s="1"/>
  <c r="BH150" i="1" s="1" a="1"/>
  <c r="BH150" i="1" s="1"/>
  <c r="BH151" i="1" s="1" a="1"/>
  <c r="BH151" i="1" s="1"/>
  <c r="BH152" i="1" s="1" a="1"/>
  <c r="BH152" i="1" s="1"/>
  <c r="BH153" i="1" s="1" a="1"/>
  <c r="BH153" i="1" s="1"/>
  <c r="BH154" i="1" s="1" a="1"/>
  <c r="BH154" i="1" s="1"/>
  <c r="BH155" i="1" s="1" a="1"/>
  <c r="BH155" i="1" s="1"/>
  <c r="BH156" i="1" s="1" a="1"/>
  <c r="BH156" i="1" s="1"/>
  <c r="BH157" i="1" s="1" a="1"/>
  <c r="BH157" i="1" s="1"/>
  <c r="BH158" i="1" s="1" a="1"/>
  <c r="BH158" i="1" s="1"/>
  <c r="BH159" i="1" s="1" a="1"/>
  <c r="BH159" i="1" s="1"/>
  <c r="BH160" i="1" s="1" a="1"/>
  <c r="BH160" i="1" s="1"/>
  <c r="BH161" i="1" s="1" a="1"/>
  <c r="BH161" i="1" s="1"/>
  <c r="BH162" i="1" s="1" a="1"/>
  <c r="BH162" i="1" s="1"/>
  <c r="BH163" i="1" s="1" a="1"/>
  <c r="BH163" i="1" s="1"/>
  <c r="BH164" i="1" s="1" a="1"/>
  <c r="BH164" i="1" s="1"/>
  <c r="BH165" i="1" s="1" a="1"/>
  <c r="BH165" i="1" s="1"/>
  <c r="BH166" i="1" s="1" a="1"/>
  <c r="BH166" i="1" s="1"/>
  <c r="BH167" i="1" s="1" a="1"/>
  <c r="BH167" i="1" s="1"/>
  <c r="BH168" i="1" s="1" a="1"/>
  <c r="BH168" i="1" s="1"/>
  <c r="BH169" i="1" s="1" a="1"/>
  <c r="BH169" i="1" s="1"/>
  <c r="BH170" i="1" s="1" a="1"/>
  <c r="BH170" i="1" s="1"/>
  <c r="BH171" i="1" s="1" a="1"/>
  <c r="BH171" i="1" s="1"/>
  <c r="BH172" i="1" s="1" a="1"/>
  <c r="BH172" i="1" s="1"/>
  <c r="BH173" i="1" s="1" a="1"/>
  <c r="BH173" i="1" s="1"/>
  <c r="BH174" i="1" s="1" a="1"/>
  <c r="BH174" i="1" s="1"/>
  <c r="BH175" i="1" s="1" a="1"/>
  <c r="BH175" i="1" s="1"/>
  <c r="BH176" i="1" s="1" a="1"/>
  <c r="BH176" i="1" s="1"/>
  <c r="BH177" i="1" s="1" a="1"/>
  <c r="BH177" i="1" s="1"/>
  <c r="BH178" i="1" s="1" a="1"/>
  <c r="BH178" i="1" s="1"/>
  <c r="BH179" i="1" s="1" a="1"/>
  <c r="BH179" i="1" s="1"/>
  <c r="BH180" i="1" s="1" a="1"/>
  <c r="BH180" i="1" s="1"/>
  <c r="BH181" i="1" s="1" a="1"/>
  <c r="BH181" i="1" s="1"/>
  <c r="BH182" i="1" s="1" a="1"/>
  <c r="BH182" i="1" s="1"/>
  <c r="BH183" i="1" s="1" a="1"/>
  <c r="BH183" i="1" s="1"/>
  <c r="BH184" i="1" s="1" a="1"/>
  <c r="BH184" i="1" s="1"/>
  <c r="BH185" i="1" s="1" a="1"/>
  <c r="BH185" i="1" s="1"/>
  <c r="BH186" i="1" s="1" a="1"/>
  <c r="BH186" i="1" s="1"/>
  <c r="BH187" i="1" s="1" a="1"/>
  <c r="BH187" i="1" s="1"/>
  <c r="BH188" i="1" s="1" a="1"/>
  <c r="BH188" i="1" s="1"/>
  <c r="BH189" i="1" s="1" a="1"/>
  <c r="BH189" i="1" s="1"/>
  <c r="BH190" i="1" s="1" a="1"/>
  <c r="BH190" i="1" s="1"/>
  <c r="BH191" i="1" s="1" a="1"/>
  <c r="BH191" i="1" s="1"/>
  <c r="BH192" i="1" s="1" a="1"/>
  <c r="BH192" i="1" s="1"/>
  <c r="BH193" i="1" s="1" a="1"/>
  <c r="BH193" i="1" s="1"/>
  <c r="BH194" i="1" s="1" a="1"/>
  <c r="BH194" i="1" s="1"/>
  <c r="BH195" i="1" s="1" a="1"/>
  <c r="BH195" i="1" s="1"/>
  <c r="BH196" i="1" s="1" a="1"/>
  <c r="BH196" i="1" s="1"/>
  <c r="BH197" i="1" s="1" a="1"/>
  <c r="BH197" i="1" s="1"/>
  <c r="BH198" i="1" s="1" a="1"/>
  <c r="BH198" i="1" s="1"/>
  <c r="BH199" i="1" s="1" a="1"/>
  <c r="BH199" i="1" s="1"/>
  <c r="BH200" i="1" s="1" a="1"/>
  <c r="BH200" i="1" s="1"/>
  <c r="BH201" i="1" s="1" a="1"/>
  <c r="BH201" i="1" s="1"/>
  <c r="BH202" i="1" s="1" a="1"/>
  <c r="BH202" i="1" s="1"/>
  <c r="BH203" i="1" s="1" a="1"/>
  <c r="BH203" i="1" s="1"/>
  <c r="BH204" i="1" s="1" a="1"/>
  <c r="BH204" i="1" s="1"/>
  <c r="BH205" i="1" s="1" a="1"/>
  <c r="BH205" i="1" s="1"/>
  <c r="BH206" i="1" s="1" a="1"/>
  <c r="BH206" i="1" s="1"/>
  <c r="BH207" i="1" s="1" a="1"/>
  <c r="BH207" i="1" s="1"/>
  <c r="BH208" i="1" s="1" a="1"/>
  <c r="BH208" i="1" s="1"/>
  <c r="BH209" i="1" s="1" a="1"/>
  <c r="BH209" i="1" s="1"/>
  <c r="BH210" i="1" s="1" a="1"/>
  <c r="BH210" i="1" s="1"/>
  <c r="BH211" i="1" s="1" a="1"/>
  <c r="BH211" i="1" s="1"/>
  <c r="BH212" i="1" s="1" a="1"/>
  <c r="BH212" i="1" s="1"/>
  <c r="BH213" i="1" s="1" a="1"/>
  <c r="BH213" i="1" s="1"/>
  <c r="BH214" i="1" s="1" a="1"/>
  <c r="BH214" i="1" s="1"/>
  <c r="BH215" i="1" s="1" a="1"/>
  <c r="BH215" i="1" s="1"/>
  <c r="BH216" i="1" s="1" a="1"/>
  <c r="BH216" i="1" s="1"/>
  <c r="BH217" i="1" s="1" a="1"/>
  <c r="BH217" i="1" s="1"/>
  <c r="BH218" i="1" s="1" a="1"/>
  <c r="BH218" i="1" s="1"/>
  <c r="BH219" i="1" s="1" a="1"/>
  <c r="BH219" i="1" s="1"/>
  <c r="BH220" i="1" s="1" a="1"/>
  <c r="BH220" i="1" s="1"/>
  <c r="BH221" i="1" s="1" a="1"/>
  <c r="BH221" i="1" s="1"/>
  <c r="BH222" i="1" s="1" a="1"/>
  <c r="BH222" i="1" s="1"/>
  <c r="BH223" i="1" s="1" a="1"/>
  <c r="BH223" i="1" s="1"/>
  <c r="BH224" i="1" s="1" a="1"/>
  <c r="BH224" i="1" s="1"/>
  <c r="BH225" i="1" s="1" a="1"/>
  <c r="BH225" i="1" s="1"/>
  <c r="BH226" i="1" s="1" a="1"/>
  <c r="BH226" i="1" s="1"/>
  <c r="BH227" i="1" s="1" a="1"/>
  <c r="BH227" i="1" s="1"/>
  <c r="BH228" i="1" s="1" a="1"/>
  <c r="BH228" i="1" s="1"/>
  <c r="BH229" i="1" s="1" a="1"/>
  <c r="BH229" i="1" s="1"/>
  <c r="BH230" i="1" s="1" a="1"/>
  <c r="BH230" i="1" s="1"/>
  <c r="BH231" i="1" s="1" a="1"/>
  <c r="BH231" i="1" s="1"/>
  <c r="BH232" i="1" s="1" a="1"/>
  <c r="BH232" i="1" s="1"/>
  <c r="BH233" i="1" s="1" a="1"/>
  <c r="BH233" i="1" s="1"/>
  <c r="BH234" i="1" s="1" a="1"/>
  <c r="BH234" i="1" s="1"/>
  <c r="BH235" i="1" s="1" a="1"/>
  <c r="BH235" i="1" s="1"/>
  <c r="BH236" i="1" s="1" a="1"/>
  <c r="BH236" i="1" s="1"/>
  <c r="BH237" i="1" s="1" a="1"/>
  <c r="BH237" i="1" s="1"/>
  <c r="BH238" i="1" s="1" a="1"/>
  <c r="BH238" i="1" s="1"/>
  <c r="BH239" i="1" s="1" a="1"/>
  <c r="BH239" i="1" s="1"/>
  <c r="BH240" i="1" s="1" a="1"/>
  <c r="BH240" i="1" s="1"/>
  <c r="BH241" i="1" s="1" a="1"/>
  <c r="BH241" i="1" s="1"/>
  <c r="BH242" i="1" s="1" a="1"/>
  <c r="BH242" i="1" s="1"/>
  <c r="BH243" i="1" s="1" a="1"/>
  <c r="BH243" i="1" s="1"/>
  <c r="BH244" i="1" s="1" a="1"/>
  <c r="BH244" i="1" s="1"/>
  <c r="BH245" i="1" s="1" a="1"/>
  <c r="BH245" i="1" s="1"/>
  <c r="BH246" i="1" s="1" a="1"/>
  <c r="BH246" i="1" s="1"/>
  <c r="BH247" i="1" s="1" a="1"/>
  <c r="BH247" i="1" s="1"/>
  <c r="BH248" i="1" s="1" a="1"/>
  <c r="BH248" i="1" s="1"/>
  <c r="BH249" i="1" s="1" a="1"/>
  <c r="BH249" i="1" s="1"/>
  <c r="BH250" i="1" s="1" a="1"/>
  <c r="BH250" i="1" s="1"/>
  <c r="BH251" i="1" s="1" a="1"/>
  <c r="BH251" i="1" s="1"/>
  <c r="BH252" i="1" s="1" a="1"/>
  <c r="BH252" i="1" s="1"/>
  <c r="BH253" i="1" s="1" a="1"/>
  <c r="BH253" i="1" s="1"/>
  <c r="BH254" i="1" s="1" a="1"/>
  <c r="BH254" i="1" s="1"/>
  <c r="BH255" i="1" s="1" a="1"/>
  <c r="BH255" i="1" s="1"/>
  <c r="BK255" i="1"/>
  <c r="BK319" i="1"/>
  <c r="S69" i="1"/>
  <c r="AA68" i="1"/>
  <c r="AB61" i="1"/>
  <c r="AC61" i="1" s="1"/>
  <c r="T62" i="1"/>
  <c r="V61" i="1"/>
  <c r="U61" i="1"/>
  <c r="BJ394" i="1" l="1"/>
  <c r="BK394" i="1" s="1"/>
  <c r="BN394" i="1"/>
  <c r="BO394" i="1" s="1"/>
  <c r="BP394" i="1" s="1"/>
  <c r="AD395" i="1"/>
  <c r="BA69" i="1"/>
  <c r="BK256" i="1"/>
  <c r="BH256" i="1" a="1"/>
  <c r="BH256" i="1" s="1"/>
  <c r="BN257" i="1"/>
  <c r="BO257" i="1" s="1"/>
  <c r="AF257" i="1"/>
  <c r="BJ257" i="1"/>
  <c r="AD322" i="1"/>
  <c r="BJ321" i="1"/>
  <c r="BN321" i="1"/>
  <c r="BO321" i="1" s="1"/>
  <c r="BP321" i="1" s="1"/>
  <c r="BK320" i="1"/>
  <c r="AA69" i="1"/>
  <c r="S70" i="1"/>
  <c r="AB62" i="1"/>
  <c r="AC62" i="1" s="1"/>
  <c r="T63" i="1"/>
  <c r="U62" i="1"/>
  <c r="V62" i="1"/>
  <c r="BJ395" i="1" l="1"/>
  <c r="BK395" i="1" s="1"/>
  <c r="BN395" i="1"/>
  <c r="BO395" i="1" s="1"/>
  <c r="BP395" i="1" s="1"/>
  <c r="AD396" i="1"/>
  <c r="BK321" i="1"/>
  <c r="BN322" i="1"/>
  <c r="BO322" i="1" s="1"/>
  <c r="BJ322" i="1"/>
  <c r="AF322" i="1"/>
  <c r="BH257" i="1" a="1"/>
  <c r="BH257" i="1" s="1"/>
  <c r="AD258" i="1"/>
  <c r="BK257" i="1"/>
  <c r="BI257" i="1"/>
  <c r="BP257" i="1" s="1"/>
  <c r="BA70" i="1"/>
  <c r="AA70" i="1"/>
  <c r="S71" i="1"/>
  <c r="AB63" i="1"/>
  <c r="AC63" i="1" s="1"/>
  <c r="T64" i="1"/>
  <c r="V63" i="1"/>
  <c r="U63" i="1"/>
  <c r="BJ396" i="1" l="1"/>
  <c r="BK396" i="1" s="1"/>
  <c r="AD397" i="1"/>
  <c r="BN396" i="1"/>
  <c r="BO396" i="1" s="1"/>
  <c r="BP396" i="1" s="1"/>
  <c r="AD323" i="1"/>
  <c r="BK322" i="1"/>
  <c r="BI322" i="1"/>
  <c r="BP322" i="1" s="1"/>
  <c r="BA71" i="1"/>
  <c r="BJ258" i="1"/>
  <c r="AD259" i="1"/>
  <c r="BN258" i="1"/>
  <c r="BO258" i="1" s="1"/>
  <c r="BP258" i="1" s="1"/>
  <c r="S72" i="1"/>
  <c r="AA71" i="1"/>
  <c r="AB64" i="1"/>
  <c r="AC64" i="1" s="1"/>
  <c r="V64" i="1"/>
  <c r="T65" i="1"/>
  <c r="U64" i="1"/>
  <c r="BJ397" i="1" l="1"/>
  <c r="BK397" i="1" s="1"/>
  <c r="AD398" i="1"/>
  <c r="BN397" i="1"/>
  <c r="BO397" i="1" s="1"/>
  <c r="BP397" i="1" s="1"/>
  <c r="BK258" i="1"/>
  <c r="BH258" i="1" a="1"/>
  <c r="BH258" i="1" s="1"/>
  <c r="BA72" i="1"/>
  <c r="BJ259" i="1"/>
  <c r="AD260" i="1"/>
  <c r="BN259" i="1"/>
  <c r="BO259" i="1" s="1"/>
  <c r="BP259" i="1" s="1"/>
  <c r="BN323" i="1"/>
  <c r="BO323" i="1" s="1"/>
  <c r="BP323" i="1" s="1"/>
  <c r="AD324" i="1"/>
  <c r="BJ323" i="1"/>
  <c r="S73" i="1"/>
  <c r="AA72" i="1"/>
  <c r="AB65" i="1"/>
  <c r="AC65" i="1" s="1"/>
  <c r="V65" i="1"/>
  <c r="U65" i="1"/>
  <c r="T66" i="1"/>
  <c r="BJ398" i="1" l="1"/>
  <c r="BK398" i="1" s="1"/>
  <c r="AD399" i="1"/>
  <c r="BN398" i="1"/>
  <c r="BO398" i="1" s="1"/>
  <c r="BP398" i="1" s="1"/>
  <c r="BA73" i="1"/>
  <c r="AD261" i="1"/>
  <c r="BJ260" i="1"/>
  <c r="BN260" i="1"/>
  <c r="BO260" i="1" s="1"/>
  <c r="BP260" i="1" s="1"/>
  <c r="BK323" i="1"/>
  <c r="BN324" i="1"/>
  <c r="BO324" i="1" s="1"/>
  <c r="BP324" i="1" s="1"/>
  <c r="BJ324" i="1"/>
  <c r="AD325" i="1"/>
  <c r="BK259" i="1"/>
  <c r="BH259" i="1" a="1"/>
  <c r="BH259" i="1" s="1"/>
  <c r="AA73" i="1"/>
  <c r="S74" i="1"/>
  <c r="AB66" i="1"/>
  <c r="AC66" i="1" s="1"/>
  <c r="T67" i="1"/>
  <c r="V66" i="1"/>
  <c r="U66" i="1"/>
  <c r="AD400" i="1" l="1"/>
  <c r="BN399" i="1"/>
  <c r="BO399" i="1" s="1"/>
  <c r="BP399" i="1" s="1"/>
  <c r="BJ399" i="1"/>
  <c r="BK399" i="1" s="1"/>
  <c r="AD326" i="1"/>
  <c r="BJ325" i="1"/>
  <c r="BN325" i="1"/>
  <c r="BO325" i="1" s="1"/>
  <c r="BP325" i="1" s="1"/>
  <c r="BK324" i="1"/>
  <c r="BH260" i="1" a="1"/>
  <c r="BH260" i="1" s="1"/>
  <c r="BK260" i="1"/>
  <c r="AF261" i="1"/>
  <c r="BJ261" i="1"/>
  <c r="BN261" i="1"/>
  <c r="BO261" i="1" s="1"/>
  <c r="BA74" i="1"/>
  <c r="AA74" i="1"/>
  <c r="S75" i="1"/>
  <c r="U67" i="1"/>
  <c r="V67" i="1"/>
  <c r="T68" i="1"/>
  <c r="AB67" i="1"/>
  <c r="AC67" i="1" s="1"/>
  <c r="BJ400" i="1" l="1"/>
  <c r="BK400" i="1" s="1"/>
  <c r="AD401" i="1"/>
  <c r="BN400" i="1"/>
  <c r="BO400" i="1" s="1"/>
  <c r="BP400" i="1" s="1"/>
  <c r="BA75" i="1"/>
  <c r="BP261" i="1"/>
  <c r="AD262" i="1"/>
  <c r="BK261" i="1"/>
  <c r="BI261" i="1"/>
  <c r="BH261" i="1" a="1"/>
  <c r="BH261" i="1" s="1"/>
  <c r="BK325" i="1"/>
  <c r="AD327" i="1"/>
  <c r="BJ326" i="1"/>
  <c r="BN326" i="1"/>
  <c r="BO326" i="1" s="1"/>
  <c r="BP326" i="1" s="1"/>
  <c r="AA75" i="1"/>
  <c r="S76" i="1"/>
  <c r="AB68" i="1"/>
  <c r="AC68" i="1" s="1"/>
  <c r="T69" i="1"/>
  <c r="U68" i="1"/>
  <c r="V68" i="1"/>
  <c r="BJ401" i="1" l="1"/>
  <c r="BK401" i="1" s="1"/>
  <c r="BN401" i="1"/>
  <c r="BO401" i="1" s="1"/>
  <c r="BP401" i="1" s="1"/>
  <c r="AD402" i="1"/>
  <c r="BK326" i="1"/>
  <c r="AD263" i="1"/>
  <c r="BN262" i="1"/>
  <c r="BO262" i="1" s="1"/>
  <c r="BI262" i="1"/>
  <c r="BJ262" i="1"/>
  <c r="BH262" i="1" s="1" a="1"/>
  <c r="BH262" i="1" s="1"/>
  <c r="AF327" i="1"/>
  <c r="BN327" i="1"/>
  <c r="BO327" i="1" s="1"/>
  <c r="BJ327" i="1"/>
  <c r="AD328" i="1"/>
  <c r="BA76" i="1"/>
  <c r="AA76" i="1"/>
  <c r="S77" i="1"/>
  <c r="AB69" i="1"/>
  <c r="AC69" i="1" s="1"/>
  <c r="T70" i="1"/>
  <c r="V69" i="1"/>
  <c r="U69" i="1"/>
  <c r="BJ402" i="1" l="1"/>
  <c r="BK402" i="1" s="1"/>
  <c r="BN402" i="1"/>
  <c r="BO402" i="1" s="1"/>
  <c r="BP402" i="1" s="1"/>
  <c r="AD403" i="1"/>
  <c r="BJ328" i="1"/>
  <c r="BN328" i="1"/>
  <c r="BO328" i="1" s="1"/>
  <c r="BP262" i="1"/>
  <c r="BN263" i="1"/>
  <c r="BO263" i="1" s="1"/>
  <c r="BP263" i="1" s="1"/>
  <c r="BI263" i="1"/>
  <c r="BJ263" i="1"/>
  <c r="BH263" i="1" s="1" a="1"/>
  <c r="BH263" i="1" s="1"/>
  <c r="BH264" i="1" s="1" a="1"/>
  <c r="BH264" i="1" s="1"/>
  <c r="BH265" i="1" s="1" a="1"/>
  <c r="BH265" i="1" s="1"/>
  <c r="BH266" i="1" s="1" a="1"/>
  <c r="BH266" i="1" s="1"/>
  <c r="BH267" i="1" s="1" a="1"/>
  <c r="BH267" i="1" s="1"/>
  <c r="BH268" i="1" s="1" a="1"/>
  <c r="BH268" i="1" s="1"/>
  <c r="BH269" i="1" s="1" a="1"/>
  <c r="BH269" i="1" s="1"/>
  <c r="BH270" i="1" s="1" a="1"/>
  <c r="BH270" i="1" s="1"/>
  <c r="BH271" i="1" s="1" a="1"/>
  <c r="BH271" i="1" s="1"/>
  <c r="BH272" i="1" s="1" a="1"/>
  <c r="BH272" i="1" s="1"/>
  <c r="BH273" i="1" s="1" a="1"/>
  <c r="BH273" i="1" s="1"/>
  <c r="BH274" i="1" s="1" a="1"/>
  <c r="BH274" i="1" s="1"/>
  <c r="BH275" i="1" s="1" a="1"/>
  <c r="BH275" i="1" s="1"/>
  <c r="BH276" i="1" s="1" a="1"/>
  <c r="BH276" i="1" s="1"/>
  <c r="BH277" i="1" s="1" a="1"/>
  <c r="BH277" i="1" s="1"/>
  <c r="BH278" i="1" s="1" a="1"/>
  <c r="BH278" i="1" s="1"/>
  <c r="BH279" i="1" s="1" a="1"/>
  <c r="BH279" i="1" s="1"/>
  <c r="BH280" i="1" s="1" a="1"/>
  <c r="BH280" i="1" s="1"/>
  <c r="BH281" i="1" s="1" a="1"/>
  <c r="BH281" i="1" s="1"/>
  <c r="BH282" i="1" s="1" a="1"/>
  <c r="BH282" i="1" s="1"/>
  <c r="BH283" i="1" s="1" a="1"/>
  <c r="BH283" i="1" s="1"/>
  <c r="BH284" i="1" s="1" a="1"/>
  <c r="BH284" i="1" s="1"/>
  <c r="BH285" i="1" s="1" a="1"/>
  <c r="BH285" i="1" s="1"/>
  <c r="BH286" i="1" s="1" a="1"/>
  <c r="BH286" i="1" s="1"/>
  <c r="BH287" i="1" s="1" a="1"/>
  <c r="BH287" i="1" s="1"/>
  <c r="BH288" i="1" s="1" a="1"/>
  <c r="BH288" i="1" s="1"/>
  <c r="BH289" i="1" s="1" a="1"/>
  <c r="BH289" i="1" s="1"/>
  <c r="BH290" i="1" s="1" a="1"/>
  <c r="BH290" i="1" s="1"/>
  <c r="BH291" i="1" s="1" a="1"/>
  <c r="BH291" i="1" s="1"/>
  <c r="BH292" i="1" s="1" a="1"/>
  <c r="BH292" i="1" s="1"/>
  <c r="BH293" i="1" s="1" a="1"/>
  <c r="BH293" i="1" s="1"/>
  <c r="BH294" i="1" s="1" a="1"/>
  <c r="BH294" i="1" s="1"/>
  <c r="BH295" i="1" s="1" a="1"/>
  <c r="BH295" i="1" s="1"/>
  <c r="BH296" i="1" s="1" a="1"/>
  <c r="BH296" i="1" s="1"/>
  <c r="BH297" i="1" s="1" a="1"/>
  <c r="BH297" i="1" s="1"/>
  <c r="BH298" i="1" s="1" a="1"/>
  <c r="BH298" i="1" s="1"/>
  <c r="BH299" i="1" s="1" a="1"/>
  <c r="BH299" i="1" s="1"/>
  <c r="BH300" i="1" s="1" a="1"/>
  <c r="BH300" i="1" s="1"/>
  <c r="BH301" i="1" s="1" a="1"/>
  <c r="BH301" i="1" s="1"/>
  <c r="BH302" i="1" s="1" a="1"/>
  <c r="BH302" i="1" s="1"/>
  <c r="BH303" i="1" s="1" a="1"/>
  <c r="BH303" i="1" s="1"/>
  <c r="BH304" i="1" s="1" a="1"/>
  <c r="BH304" i="1" s="1"/>
  <c r="BH305" i="1" s="1" a="1"/>
  <c r="BH305" i="1" s="1"/>
  <c r="BH306" i="1" s="1" a="1"/>
  <c r="BH306" i="1" s="1"/>
  <c r="BH307" i="1" s="1" a="1"/>
  <c r="BH307" i="1" s="1"/>
  <c r="BH308" i="1" s="1" a="1"/>
  <c r="BH308" i="1" s="1"/>
  <c r="BH309" i="1" s="1" a="1"/>
  <c r="BH309" i="1" s="1"/>
  <c r="BH310" i="1" s="1" a="1"/>
  <c r="BH310" i="1" s="1"/>
  <c r="BH311" i="1" s="1" a="1"/>
  <c r="BH311" i="1" s="1"/>
  <c r="BH312" i="1" s="1" a="1"/>
  <c r="BH312" i="1" s="1"/>
  <c r="BH313" i="1" s="1" a="1"/>
  <c r="BH313" i="1" s="1"/>
  <c r="BH314" i="1" s="1" a="1"/>
  <c r="BH314" i="1" s="1"/>
  <c r="BH315" i="1" s="1" a="1"/>
  <c r="BH315" i="1" s="1"/>
  <c r="BH316" i="1" s="1" a="1"/>
  <c r="BH316" i="1" s="1"/>
  <c r="BH317" i="1" s="1" a="1"/>
  <c r="BH317" i="1" s="1"/>
  <c r="BH318" i="1" s="1" a="1"/>
  <c r="BH318" i="1" s="1"/>
  <c r="BH319" i="1" s="1" a="1"/>
  <c r="BH319" i="1" s="1"/>
  <c r="BH320" i="1" s="1" a="1"/>
  <c r="BH320" i="1" s="1"/>
  <c r="BH321" i="1" s="1" a="1"/>
  <c r="BH321" i="1" s="1"/>
  <c r="BH322" i="1" s="1" a="1"/>
  <c r="BH322" i="1" s="1"/>
  <c r="BH323" i="1" s="1" a="1"/>
  <c r="BH323" i="1" s="1"/>
  <c r="BH324" i="1" s="1" a="1"/>
  <c r="BH324" i="1" s="1"/>
  <c r="BH325" i="1" s="1" a="1"/>
  <c r="BH325" i="1" s="1"/>
  <c r="BH326" i="1" s="1" a="1"/>
  <c r="BH326" i="1" s="1"/>
  <c r="BH327" i="1" s="1" a="1"/>
  <c r="BH327" i="1" s="1"/>
  <c r="BA77" i="1"/>
  <c r="AF328" i="1"/>
  <c r="BI327" i="1"/>
  <c r="BP327" i="1" s="1"/>
  <c r="BK327" i="1"/>
  <c r="AA77" i="1"/>
  <c r="S78" i="1"/>
  <c r="AB70" i="1"/>
  <c r="AC70" i="1" s="1"/>
  <c r="V70" i="1"/>
  <c r="U70" i="1"/>
  <c r="T71" i="1"/>
  <c r="BJ403" i="1" l="1"/>
  <c r="BK403" i="1" s="1"/>
  <c r="AD404" i="1"/>
  <c r="BN403" i="1"/>
  <c r="BO403" i="1" s="1"/>
  <c r="BP403" i="1" s="1"/>
  <c r="BA78" i="1"/>
  <c r="BI328" i="1"/>
  <c r="BP328" i="1" s="1"/>
  <c r="AD329" i="1"/>
  <c r="BK328" i="1"/>
  <c r="BH328" i="1" a="1"/>
  <c r="BH328" i="1" s="1"/>
  <c r="AA78" i="1"/>
  <c r="S79" i="1"/>
  <c r="T72" i="1"/>
  <c r="U71" i="1"/>
  <c r="V71" i="1"/>
  <c r="AB71" i="1"/>
  <c r="AC71" i="1" s="1"/>
  <c r="BN404" i="1" l="1"/>
  <c r="BO404" i="1" s="1"/>
  <c r="BP404" i="1" s="1"/>
  <c r="AD405" i="1"/>
  <c r="BJ404" i="1"/>
  <c r="BK404" i="1" s="1"/>
  <c r="AF329" i="1"/>
  <c r="BN329" i="1"/>
  <c r="BO329" i="1" s="1"/>
  <c r="BJ329" i="1"/>
  <c r="BA79" i="1"/>
  <c r="AA79" i="1"/>
  <c r="S80" i="1"/>
  <c r="AB72" i="1"/>
  <c r="AC72" i="1" s="1"/>
  <c r="T73" i="1"/>
  <c r="U72" i="1"/>
  <c r="V72" i="1"/>
  <c r="AD406" i="1" l="1"/>
  <c r="BJ405" i="1"/>
  <c r="BK405" i="1" s="1"/>
  <c r="BN405" i="1"/>
  <c r="BO405" i="1" s="1"/>
  <c r="BP405" i="1" s="1"/>
  <c r="AD330" i="1"/>
  <c r="BK329" i="1"/>
  <c r="BI329" i="1"/>
  <c r="BP329" i="1" s="1"/>
  <c r="BA80" i="1"/>
  <c r="BH329" i="1" a="1"/>
  <c r="BH329" i="1" s="1"/>
  <c r="AA80" i="1"/>
  <c r="S81" i="1"/>
  <c r="AB73" i="1"/>
  <c r="AC73" i="1" s="1"/>
  <c r="T74" i="1"/>
  <c r="V73" i="1"/>
  <c r="U73" i="1"/>
  <c r="AD407" i="1" l="1"/>
  <c r="BJ406" i="1"/>
  <c r="BK406" i="1" s="1"/>
  <c r="BN406" i="1"/>
  <c r="BO406" i="1" s="1"/>
  <c r="BP406" i="1" s="1"/>
  <c r="BA81" i="1"/>
  <c r="BJ330" i="1"/>
  <c r="AD331" i="1"/>
  <c r="BN330" i="1"/>
  <c r="BO330" i="1" s="1"/>
  <c r="BP330" i="1" s="1"/>
  <c r="S82" i="1"/>
  <c r="AA81" i="1"/>
  <c r="V74" i="1"/>
  <c r="AB74" i="1"/>
  <c r="AC74" i="1" s="1"/>
  <c r="T75" i="1"/>
  <c r="U74" i="1"/>
  <c r="BN407" i="1" l="1"/>
  <c r="BO407" i="1" s="1"/>
  <c r="BP407" i="1" s="1"/>
  <c r="AD408" i="1"/>
  <c r="BJ407" i="1"/>
  <c r="BK407" i="1" s="1"/>
  <c r="AD332" i="1"/>
  <c r="BJ331" i="1"/>
  <c r="BN331" i="1"/>
  <c r="BO331" i="1" s="1"/>
  <c r="BP331" i="1" s="1"/>
  <c r="BA82" i="1"/>
  <c r="BH330" i="1" a="1"/>
  <c r="BH330" i="1" s="1"/>
  <c r="BK330" i="1"/>
  <c r="AA82" i="1"/>
  <c r="S83" i="1"/>
  <c r="U75" i="1"/>
  <c r="AB75" i="1"/>
  <c r="AC75" i="1" s="1"/>
  <c r="T76" i="1"/>
  <c r="V75" i="1"/>
  <c r="AD409" i="1" l="1"/>
  <c r="BN408" i="1"/>
  <c r="BO408" i="1" s="1"/>
  <c r="BP408" i="1" s="1"/>
  <c r="BJ408" i="1"/>
  <c r="BK408" i="1" s="1"/>
  <c r="BK331" i="1"/>
  <c r="BH331" i="1" a="1"/>
  <c r="BH331" i="1" s="1"/>
  <c r="BA83" i="1"/>
  <c r="AD333" i="1"/>
  <c r="BJ332" i="1"/>
  <c r="BN332" i="1"/>
  <c r="BO332" i="1" s="1"/>
  <c r="BP332" i="1" s="1"/>
  <c r="AA83" i="1"/>
  <c r="S84" i="1"/>
  <c r="AB76" i="1"/>
  <c r="AC76" i="1" s="1"/>
  <c r="V76" i="1"/>
  <c r="U76" i="1"/>
  <c r="T77" i="1"/>
  <c r="BJ409" i="1" l="1"/>
  <c r="BK409" i="1" s="1"/>
  <c r="BN409" i="1"/>
  <c r="BO409" i="1" s="1"/>
  <c r="BP409" i="1" s="1"/>
  <c r="AD410" i="1"/>
  <c r="BH332" i="1" a="1"/>
  <c r="BH332" i="1" s="1"/>
  <c r="BK332" i="1"/>
  <c r="BA84" i="1"/>
  <c r="BI333" i="1"/>
  <c r="BN333" i="1"/>
  <c r="BO333" i="1" s="1"/>
  <c r="BP333" i="1" s="1"/>
  <c r="BJ333" i="1"/>
  <c r="S85" i="1"/>
  <c r="AA84" i="1"/>
  <c r="AB77" i="1"/>
  <c r="AC77" i="1" s="1"/>
  <c r="T78" i="1"/>
  <c r="U77" i="1"/>
  <c r="V77" i="1"/>
  <c r="BN410" i="1" l="1"/>
  <c r="BO410" i="1" s="1"/>
  <c r="BP410" i="1" s="1"/>
  <c r="AD411" i="1"/>
  <c r="BJ410" i="1"/>
  <c r="BK410" i="1" s="1"/>
  <c r="BH333" i="1" a="1"/>
  <c r="BH333" i="1" s="1"/>
  <c r="BH334" i="1" s="1" a="1"/>
  <c r="BH334" i="1" s="1"/>
  <c r="BH335" i="1" s="1" a="1"/>
  <c r="BH335" i="1" s="1"/>
  <c r="BH336" i="1" s="1" a="1"/>
  <c r="BH336" i="1" s="1"/>
  <c r="BH337" i="1" s="1" a="1"/>
  <c r="BH337" i="1" s="1"/>
  <c r="BH338" i="1" s="1" a="1"/>
  <c r="BH338" i="1" s="1"/>
  <c r="BH339" i="1" s="1" a="1"/>
  <c r="BH339" i="1" s="1"/>
  <c r="BH340" i="1" s="1" a="1"/>
  <c r="BH340" i="1" s="1"/>
  <c r="BH341" i="1" s="1" a="1"/>
  <c r="BH341" i="1" s="1"/>
  <c r="BH342" i="1" s="1" a="1"/>
  <c r="BH342" i="1" s="1"/>
  <c r="BH343" i="1" s="1" a="1"/>
  <c r="BH343" i="1" s="1"/>
  <c r="BH344" i="1" s="1" a="1"/>
  <c r="BH344" i="1" s="1"/>
  <c r="BH345" i="1" s="1" a="1"/>
  <c r="BH345" i="1" s="1"/>
  <c r="BH346" i="1" s="1" a="1"/>
  <c r="BH346" i="1" s="1"/>
  <c r="BH347" i="1" s="1" a="1"/>
  <c r="BH347" i="1" s="1"/>
  <c r="BH348" i="1" s="1" a="1"/>
  <c r="BH348" i="1" s="1"/>
  <c r="BH349" i="1" s="1" a="1"/>
  <c r="BH349" i="1" s="1"/>
  <c r="BH350" i="1" s="1" a="1"/>
  <c r="BH350" i="1" s="1"/>
  <c r="BH351" i="1" s="1" a="1"/>
  <c r="BH351" i="1" s="1"/>
  <c r="BH352" i="1" s="1" a="1"/>
  <c r="BH352" i="1" s="1"/>
  <c r="BH353" i="1" s="1" a="1"/>
  <c r="BH353" i="1" s="1"/>
  <c r="BH354" i="1" s="1" a="1"/>
  <c r="BH354" i="1" s="1"/>
  <c r="BH355" i="1" s="1" a="1"/>
  <c r="BH355" i="1" s="1"/>
  <c r="BH356" i="1" s="1" a="1"/>
  <c r="BH356" i="1" s="1"/>
  <c r="BH357" i="1" s="1" a="1"/>
  <c r="BH357" i="1" s="1"/>
  <c r="BH358" i="1" s="1" a="1"/>
  <c r="BH358" i="1" s="1"/>
  <c r="BH359" i="1" s="1" a="1"/>
  <c r="BH359" i="1" s="1"/>
  <c r="BH360" i="1" s="1" a="1"/>
  <c r="BH360" i="1" s="1"/>
  <c r="BH361" i="1" s="1" a="1"/>
  <c r="BH361" i="1" s="1"/>
  <c r="BH362" i="1" s="1" a="1"/>
  <c r="BH362" i="1" s="1"/>
  <c r="BH363" i="1" s="1" a="1"/>
  <c r="BH363" i="1" s="1"/>
  <c r="BH364" i="1" s="1" a="1"/>
  <c r="BH364" i="1" s="1"/>
  <c r="BH365" i="1" s="1" a="1"/>
  <c r="BH365" i="1" s="1"/>
  <c r="BH366" i="1" s="1" a="1"/>
  <c r="BH366" i="1" s="1"/>
  <c r="BH367" i="1" s="1" a="1"/>
  <c r="BH367" i="1" s="1"/>
  <c r="BH368" i="1" s="1" a="1"/>
  <c r="BH368" i="1" s="1"/>
  <c r="BH369" i="1" s="1" a="1"/>
  <c r="BH369" i="1" s="1"/>
  <c r="BH370" i="1" s="1" a="1"/>
  <c r="BH370" i="1" s="1"/>
  <c r="BH371" i="1" s="1" a="1"/>
  <c r="BH371" i="1" s="1"/>
  <c r="BH372" i="1" s="1" a="1"/>
  <c r="BH372" i="1" s="1"/>
  <c r="BH373" i="1" s="1" a="1"/>
  <c r="BH373" i="1" s="1"/>
  <c r="BH374" i="1" s="1" a="1"/>
  <c r="BH374" i="1" s="1"/>
  <c r="BH375" i="1" s="1" a="1"/>
  <c r="BH375" i="1" s="1"/>
  <c r="BH376" i="1" s="1" a="1"/>
  <c r="BH376" i="1" s="1"/>
  <c r="BH377" i="1" s="1" a="1"/>
  <c r="BH377" i="1" s="1"/>
  <c r="BH378" i="1" s="1" a="1"/>
  <c r="BH378" i="1" s="1"/>
  <c r="BH379" i="1" s="1" a="1"/>
  <c r="BH379" i="1" s="1"/>
  <c r="BH380" i="1" s="1" a="1"/>
  <c r="BH380" i="1" s="1"/>
  <c r="BH381" i="1" s="1" a="1"/>
  <c r="BH381" i="1" s="1"/>
  <c r="BH382" i="1" s="1" a="1"/>
  <c r="BH382" i="1" s="1"/>
  <c r="BH383" i="1" s="1" a="1"/>
  <c r="BH383" i="1" s="1"/>
  <c r="BH384" i="1" s="1" a="1"/>
  <c r="BH384" i="1" s="1"/>
  <c r="BH385" i="1" s="1" a="1"/>
  <c r="BH385" i="1" s="1"/>
  <c r="BH386" i="1" s="1" a="1"/>
  <c r="BH386" i="1" s="1"/>
  <c r="BH387" i="1" s="1" a="1"/>
  <c r="BH387" i="1" s="1"/>
  <c r="BH388" i="1" s="1" a="1"/>
  <c r="BH388" i="1" s="1"/>
  <c r="BH389" i="1" s="1" a="1"/>
  <c r="BH389" i="1" s="1"/>
  <c r="BH390" i="1" s="1" a="1"/>
  <c r="BH390" i="1" s="1"/>
  <c r="BH391" i="1" s="1" a="1"/>
  <c r="BH391" i="1" s="1"/>
  <c r="BH392" i="1" s="1" a="1"/>
  <c r="BH392" i="1" s="1"/>
  <c r="BH393" i="1" s="1" a="1"/>
  <c r="BH393" i="1" s="1"/>
  <c r="BH394" i="1" s="1" a="1"/>
  <c r="BH394" i="1" s="1"/>
  <c r="BH395" i="1" s="1" a="1"/>
  <c r="BH395" i="1" s="1"/>
  <c r="BH396" i="1" s="1" a="1"/>
  <c r="BH396" i="1" s="1"/>
  <c r="BH397" i="1" s="1" a="1"/>
  <c r="BH397" i="1" s="1"/>
  <c r="BH398" i="1" s="1" a="1"/>
  <c r="BH398" i="1" s="1"/>
  <c r="BH399" i="1" s="1" a="1"/>
  <c r="BH399" i="1" s="1"/>
  <c r="BH400" i="1" s="1" a="1"/>
  <c r="BH400" i="1" s="1"/>
  <c r="BH401" i="1" s="1" a="1"/>
  <c r="BH401" i="1" s="1"/>
  <c r="BH402" i="1" s="1" a="1"/>
  <c r="BH402" i="1" s="1"/>
  <c r="BH403" i="1" s="1" a="1"/>
  <c r="BH403" i="1" s="1"/>
  <c r="BH404" i="1" s="1" a="1"/>
  <c r="BH404" i="1" s="1"/>
  <c r="BH405" i="1" s="1" a="1"/>
  <c r="BH405" i="1" s="1"/>
  <c r="BH406" i="1" s="1" a="1"/>
  <c r="BH406" i="1" s="1"/>
  <c r="BH407" i="1" s="1" a="1"/>
  <c r="BH407" i="1" s="1"/>
  <c r="BH408" i="1" s="1" a="1"/>
  <c r="BH408" i="1" s="1"/>
  <c r="BH409" i="1" s="1" a="1"/>
  <c r="BH409" i="1" s="1"/>
  <c r="BH410" i="1" s="1" a="1"/>
  <c r="BH410" i="1" s="1"/>
  <c r="BA85" i="1"/>
  <c r="AA85" i="1"/>
  <c r="S86" i="1"/>
  <c r="AB78" i="1"/>
  <c r="AC78" i="1" s="1"/>
  <c r="T79" i="1"/>
  <c r="V78" i="1"/>
  <c r="U78" i="1"/>
  <c r="BH411" i="1" l="1" a="1"/>
  <c r="BH411" i="1" s="1"/>
  <c r="BH412" i="1" s="1" a="1"/>
  <c r="BH412" i="1" s="1"/>
  <c r="BH413" i="1" s="1" a="1"/>
  <c r="BH413" i="1" s="1"/>
  <c r="BH414" i="1" s="1" a="1"/>
  <c r="BH414" i="1" s="1"/>
  <c r="BH415" i="1" s="1" a="1"/>
  <c r="BH415" i="1" s="1"/>
  <c r="BH416" i="1" s="1" a="1"/>
  <c r="BH416" i="1" s="1"/>
  <c r="BH417" i="1" s="1" a="1"/>
  <c r="BH417" i="1" s="1"/>
  <c r="BH418" i="1" s="1" a="1"/>
  <c r="BH418" i="1" s="1"/>
  <c r="BH419" i="1" s="1" a="1"/>
  <c r="BH419" i="1" s="1"/>
  <c r="BH420" i="1" s="1" a="1"/>
  <c r="BH420" i="1" s="1"/>
  <c r="BH421" i="1" s="1" a="1"/>
  <c r="BH421" i="1" s="1"/>
  <c r="BH422" i="1" s="1" a="1"/>
  <c r="BH422" i="1" s="1"/>
  <c r="BH423" i="1" s="1" a="1"/>
  <c r="BH423" i="1" s="1"/>
  <c r="BH424" i="1" s="1" a="1"/>
  <c r="BH424" i="1" s="1"/>
  <c r="BH425" i="1" s="1" a="1"/>
  <c r="BH425" i="1" s="1"/>
  <c r="BH426" i="1" s="1" a="1"/>
  <c r="BH426" i="1" s="1"/>
  <c r="BH427" i="1" s="1" a="1"/>
  <c r="BH427" i="1" s="1"/>
  <c r="BH428" i="1" s="1" a="1"/>
  <c r="BH428" i="1" s="1"/>
  <c r="BH429" i="1" s="1" a="1"/>
  <c r="BH429" i="1" s="1"/>
  <c r="BH430" i="1" s="1" a="1"/>
  <c r="BH430" i="1" s="1"/>
  <c r="BH431" i="1" s="1" a="1"/>
  <c r="BH431" i="1" s="1"/>
  <c r="BH432" i="1" s="1" a="1"/>
  <c r="BH432" i="1" s="1"/>
  <c r="BH433" i="1" s="1" a="1"/>
  <c r="BH433" i="1" s="1"/>
  <c r="BH434" i="1" s="1" a="1"/>
  <c r="BH434" i="1" s="1"/>
  <c r="BH435" i="1" s="1" a="1"/>
  <c r="BH435" i="1" s="1"/>
  <c r="BH436" i="1" s="1" a="1"/>
  <c r="BH436" i="1" s="1"/>
  <c r="BH437" i="1" s="1" a="1"/>
  <c r="BH437" i="1" s="1"/>
  <c r="BH438" i="1" s="1" a="1"/>
  <c r="BH438" i="1" s="1"/>
  <c r="BH439" i="1" s="1" a="1"/>
  <c r="BH439" i="1" s="1"/>
  <c r="BH440" i="1" s="1" a="1"/>
  <c r="BH440" i="1" s="1"/>
  <c r="BH441" i="1" s="1" a="1"/>
  <c r="BH441" i="1" s="1"/>
  <c r="BH442" i="1" s="1" a="1"/>
  <c r="BH442" i="1" s="1"/>
  <c r="BH443" i="1" s="1" a="1"/>
  <c r="BH443" i="1" s="1"/>
  <c r="BH444" i="1" s="1" a="1"/>
  <c r="BH444" i="1" s="1"/>
  <c r="BH445" i="1" s="1" a="1"/>
  <c r="BH445" i="1" s="1"/>
  <c r="BH446" i="1" s="1" a="1"/>
  <c r="BH446" i="1" s="1"/>
  <c r="BH447" i="1" s="1" a="1"/>
  <c r="BH447" i="1" s="1"/>
  <c r="BH448" i="1" s="1" a="1"/>
  <c r="BH448" i="1" s="1"/>
  <c r="BH449" i="1" s="1" a="1"/>
  <c r="BH449" i="1" s="1"/>
  <c r="BN411" i="1"/>
  <c r="BO411" i="1" s="1"/>
  <c r="BP411" i="1" s="1"/>
  <c r="BJ411" i="1"/>
  <c r="BK411" i="1" s="1"/>
  <c r="BA86" i="1"/>
  <c r="AA86" i="1"/>
  <c r="S87" i="1"/>
  <c r="AB79" i="1"/>
  <c r="AC79" i="1" s="1"/>
  <c r="T80" i="1"/>
  <c r="V79" i="1"/>
  <c r="U79" i="1"/>
  <c r="BA87" i="1" l="1"/>
  <c r="AA87" i="1"/>
  <c r="S88" i="1"/>
  <c r="AB80" i="1"/>
  <c r="AC80" i="1" s="1"/>
  <c r="V80" i="1"/>
  <c r="U80" i="1"/>
  <c r="T81" i="1"/>
  <c r="BA88" i="1" l="1"/>
  <c r="AA88" i="1"/>
  <c r="S89" i="1"/>
  <c r="AB81" i="1"/>
  <c r="AC81" i="1" s="1"/>
  <c r="T82" i="1"/>
  <c r="V81" i="1"/>
  <c r="U81" i="1"/>
  <c r="BA89" i="1" l="1"/>
  <c r="AA89" i="1"/>
  <c r="S90" i="1"/>
  <c r="AB82" i="1"/>
  <c r="AC82" i="1" s="1"/>
  <c r="T83" i="1"/>
  <c r="V82" i="1"/>
  <c r="U82" i="1"/>
  <c r="BA90" i="1" l="1"/>
  <c r="AA90" i="1"/>
  <c r="S91" i="1"/>
  <c r="U83" i="1"/>
  <c r="AB83" i="1"/>
  <c r="AC83" i="1" s="1"/>
  <c r="T84" i="1"/>
  <c r="V83" i="1"/>
  <c r="BA91" i="1" l="1"/>
  <c r="S92" i="1"/>
  <c r="AA91" i="1"/>
  <c r="U84" i="1"/>
  <c r="T85" i="1"/>
  <c r="AB84" i="1"/>
  <c r="AC84" i="1" s="1"/>
  <c r="V84" i="1"/>
  <c r="BA92" i="1" l="1"/>
  <c r="AA92" i="1"/>
  <c r="S93" i="1"/>
  <c r="AB85" i="1"/>
  <c r="AC85" i="1" s="1"/>
  <c r="T86" i="1"/>
  <c r="U85" i="1"/>
  <c r="V85" i="1"/>
  <c r="BA93" i="1" l="1"/>
  <c r="AA93" i="1"/>
  <c r="S94" i="1"/>
  <c r="AB86" i="1"/>
  <c r="AC86" i="1" s="1"/>
  <c r="T87" i="1"/>
  <c r="V86" i="1"/>
  <c r="U86" i="1"/>
  <c r="BA94" i="1" l="1"/>
  <c r="AA94" i="1"/>
  <c r="S95" i="1"/>
  <c r="AB87" i="1"/>
  <c r="AC87" i="1" s="1"/>
  <c r="T88" i="1"/>
  <c r="V87" i="1"/>
  <c r="U87" i="1"/>
  <c r="BA95" i="1" l="1"/>
  <c r="AA95" i="1"/>
  <c r="S96" i="1"/>
  <c r="AB88" i="1"/>
  <c r="AC88" i="1" s="1"/>
  <c r="T89" i="1"/>
  <c r="V88" i="1"/>
  <c r="U88" i="1"/>
  <c r="BA96" i="1" l="1"/>
  <c r="AA96" i="1"/>
  <c r="S97" i="1"/>
  <c r="AB89" i="1"/>
  <c r="AC89" i="1" s="1"/>
  <c r="T90" i="1"/>
  <c r="V89" i="1"/>
  <c r="U89" i="1"/>
  <c r="BA97" i="1" l="1"/>
  <c r="AA97" i="1"/>
  <c r="S98" i="1"/>
  <c r="AB90" i="1"/>
  <c r="AC90" i="1" s="1"/>
  <c r="T91" i="1"/>
  <c r="V90" i="1"/>
  <c r="U90" i="1"/>
  <c r="BA98" i="1" l="1"/>
  <c r="AA98" i="1"/>
  <c r="S99" i="1"/>
  <c r="U91" i="1"/>
  <c r="AB91" i="1"/>
  <c r="AC91" i="1" s="1"/>
  <c r="V91" i="1"/>
  <c r="T92" i="1"/>
  <c r="BA99" i="1" l="1"/>
  <c r="S100" i="1"/>
  <c r="AA99" i="1"/>
  <c r="AB92" i="1"/>
  <c r="AC92" i="1" s="1"/>
  <c r="T93" i="1"/>
  <c r="U92" i="1"/>
  <c r="V92" i="1"/>
  <c r="BA100" i="1" l="1"/>
  <c r="AA100" i="1"/>
  <c r="S101" i="1"/>
  <c r="AB93" i="1"/>
  <c r="AC93" i="1" s="1"/>
  <c r="T94" i="1"/>
  <c r="V93" i="1"/>
  <c r="U93" i="1"/>
  <c r="BA101" i="1" l="1"/>
  <c r="S102" i="1"/>
  <c r="AA101" i="1"/>
  <c r="AB94" i="1"/>
  <c r="AC94" i="1" s="1"/>
  <c r="T95" i="1"/>
  <c r="V94" i="1"/>
  <c r="U94" i="1"/>
  <c r="BA102" i="1" l="1"/>
  <c r="AA102" i="1"/>
  <c r="S103" i="1"/>
  <c r="AB95" i="1"/>
  <c r="AC95" i="1" s="1"/>
  <c r="T96" i="1"/>
  <c r="V95" i="1"/>
  <c r="U95" i="1"/>
  <c r="BA103" i="1" l="1"/>
  <c r="S104" i="1"/>
  <c r="AA103" i="1"/>
  <c r="T97" i="1"/>
  <c r="V96" i="1"/>
  <c r="U96" i="1"/>
  <c r="AB96" i="1"/>
  <c r="AC96" i="1" s="1"/>
  <c r="BA104" i="1" l="1"/>
  <c r="S105" i="1"/>
  <c r="AA104" i="1"/>
  <c r="AB97" i="1"/>
  <c r="AC97" i="1" s="1"/>
  <c r="T98" i="1"/>
  <c r="U97" i="1"/>
  <c r="V97" i="1"/>
  <c r="BA105" i="1" l="1"/>
  <c r="S106" i="1"/>
  <c r="AA105" i="1"/>
  <c r="AB98" i="1"/>
  <c r="AC98" i="1" s="1"/>
  <c r="T99" i="1"/>
  <c r="U98" i="1"/>
  <c r="V98" i="1"/>
  <c r="BA106" i="1" l="1"/>
  <c r="AA106" i="1"/>
  <c r="S107" i="1"/>
  <c r="U99" i="1"/>
  <c r="AB99" i="1"/>
  <c r="AC99" i="1" s="1"/>
  <c r="T100" i="1"/>
  <c r="V99" i="1"/>
  <c r="BA107" i="1" l="1"/>
  <c r="AA107" i="1"/>
  <c r="S108" i="1"/>
  <c r="AB100" i="1"/>
  <c r="AC100" i="1" s="1"/>
  <c r="T101" i="1"/>
  <c r="U100" i="1"/>
  <c r="V100" i="1"/>
  <c r="BA108" i="1" l="1"/>
  <c r="AA108" i="1"/>
  <c r="S109" i="1"/>
  <c r="AB101" i="1"/>
  <c r="AC101" i="1" s="1"/>
  <c r="V101" i="1"/>
  <c r="T102" i="1"/>
  <c r="U101" i="1"/>
  <c r="BA109" i="1" l="1"/>
  <c r="AA109" i="1"/>
  <c r="S110" i="1"/>
  <c r="V102" i="1"/>
  <c r="AB102" i="1"/>
  <c r="AC102" i="1" s="1"/>
  <c r="T103" i="1"/>
  <c r="U102" i="1"/>
  <c r="BA110" i="1" l="1"/>
  <c r="S111" i="1"/>
  <c r="AA110" i="1"/>
  <c r="AB103" i="1"/>
  <c r="AC103" i="1" s="1"/>
  <c r="T104" i="1"/>
  <c r="U103" i="1"/>
  <c r="V103" i="1"/>
  <c r="BA111" i="1" l="1"/>
  <c r="AA111" i="1"/>
  <c r="S112" i="1"/>
  <c r="AB104" i="1"/>
  <c r="AC104" i="1" s="1"/>
  <c r="T105" i="1"/>
  <c r="V104" i="1"/>
  <c r="U104" i="1"/>
  <c r="BA112" i="1" l="1"/>
  <c r="S113" i="1"/>
  <c r="AA112" i="1"/>
  <c r="AB105" i="1"/>
  <c r="AC105" i="1" s="1"/>
  <c r="T106" i="1"/>
  <c r="V105" i="1"/>
  <c r="U105" i="1"/>
  <c r="BA113" i="1" l="1"/>
  <c r="AA113" i="1"/>
  <c r="S114" i="1"/>
  <c r="V106" i="1"/>
  <c r="T107" i="1"/>
  <c r="AB106" i="1"/>
  <c r="AC106" i="1" s="1"/>
  <c r="U106" i="1"/>
  <c r="BA114" i="1" l="1"/>
  <c r="S115" i="1"/>
  <c r="AA114" i="1"/>
  <c r="AB107" i="1"/>
  <c r="AC107" i="1" s="1"/>
  <c r="V107" i="1"/>
  <c r="U107" i="1"/>
  <c r="T108" i="1"/>
  <c r="BA115" i="1" l="1"/>
  <c r="AA115" i="1"/>
  <c r="S116" i="1"/>
  <c r="AB108" i="1"/>
  <c r="AC108" i="1" s="1"/>
  <c r="T109" i="1"/>
  <c r="U108" i="1"/>
  <c r="V108" i="1"/>
  <c r="BA116" i="1" l="1"/>
  <c r="AA116" i="1"/>
  <c r="S117" i="1"/>
  <c r="T110" i="1"/>
  <c r="V109" i="1"/>
  <c r="AB109" i="1"/>
  <c r="AC109" i="1" s="1"/>
  <c r="U109" i="1"/>
  <c r="BA117" i="1" l="1"/>
  <c r="S118" i="1"/>
  <c r="AA117" i="1"/>
  <c r="AB110" i="1"/>
  <c r="AC110" i="1" s="1"/>
  <c r="T111" i="1"/>
  <c r="V110" i="1"/>
  <c r="U110" i="1"/>
  <c r="BA118" i="1" l="1"/>
  <c r="AA118" i="1"/>
  <c r="S119" i="1"/>
  <c r="AB111" i="1"/>
  <c r="AC111" i="1" s="1"/>
  <c r="T112" i="1"/>
  <c r="V111" i="1"/>
  <c r="U111" i="1"/>
  <c r="BA119" i="1" l="1"/>
  <c r="S120" i="1"/>
  <c r="AA119" i="1"/>
  <c r="AB112" i="1"/>
  <c r="AC112" i="1" s="1"/>
  <c r="T113" i="1"/>
  <c r="V112" i="1"/>
  <c r="U112" i="1"/>
  <c r="BA120" i="1" l="1"/>
  <c r="S121" i="1"/>
  <c r="AA120" i="1"/>
  <c r="T114" i="1"/>
  <c r="AB113" i="1"/>
  <c r="AC113" i="1" s="1"/>
  <c r="U113" i="1"/>
  <c r="V113" i="1"/>
  <c r="BA121" i="1" l="1"/>
  <c r="S122" i="1"/>
  <c r="AA121" i="1"/>
  <c r="AB114" i="1"/>
  <c r="AC114" i="1" s="1"/>
  <c r="T115" i="1"/>
  <c r="U114" i="1"/>
  <c r="V114" i="1"/>
  <c r="BA122" i="1" l="1"/>
  <c r="S123" i="1"/>
  <c r="AA122" i="1"/>
  <c r="U115" i="1"/>
  <c r="AB115" i="1"/>
  <c r="AC115" i="1" s="1"/>
  <c r="V115" i="1"/>
  <c r="T116" i="1"/>
  <c r="BA123" i="1" l="1"/>
  <c r="AA123" i="1"/>
  <c r="S124" i="1"/>
  <c r="T117" i="1"/>
  <c r="U116" i="1"/>
  <c r="AB116" i="1"/>
  <c r="AC116" i="1" s="1"/>
  <c r="V116" i="1"/>
  <c r="BA124" i="1" l="1"/>
  <c r="S125" i="1"/>
  <c r="AA124" i="1"/>
  <c r="AB117" i="1"/>
  <c r="AC117" i="1" s="1"/>
  <c r="V117" i="1"/>
  <c r="U117" i="1"/>
  <c r="T118" i="1"/>
  <c r="BA125" i="1" l="1"/>
  <c r="S126" i="1"/>
  <c r="AA125" i="1"/>
  <c r="AB118" i="1"/>
  <c r="AC118" i="1" s="1"/>
  <c r="T119" i="1"/>
  <c r="V118" i="1"/>
  <c r="U118" i="1"/>
  <c r="BA126" i="1" l="1"/>
  <c r="AA126" i="1"/>
  <c r="S127" i="1"/>
  <c r="AB119" i="1"/>
  <c r="AC119" i="1" s="1"/>
  <c r="T120" i="1"/>
  <c r="V119" i="1"/>
  <c r="U119" i="1"/>
  <c r="BA127" i="1" l="1"/>
  <c r="AA127" i="1"/>
  <c r="S128" i="1"/>
  <c r="AB120" i="1"/>
  <c r="AC120" i="1" s="1"/>
  <c r="T121" i="1"/>
  <c r="U120" i="1"/>
  <c r="V120" i="1"/>
  <c r="BA128" i="1" l="1"/>
  <c r="AA128" i="1"/>
  <c r="S129" i="1"/>
  <c r="AB121" i="1"/>
  <c r="AC121" i="1" s="1"/>
  <c r="T122" i="1"/>
  <c r="V121" i="1"/>
  <c r="U121" i="1"/>
  <c r="BA129" i="1" l="1"/>
  <c r="S130" i="1"/>
  <c r="AA129" i="1"/>
  <c r="AB122" i="1"/>
  <c r="AC122" i="1" s="1"/>
  <c r="T123" i="1"/>
  <c r="V122" i="1"/>
  <c r="U122" i="1"/>
  <c r="BA130" i="1" l="1"/>
  <c r="S131" i="1"/>
  <c r="AA130" i="1"/>
  <c r="U123" i="1"/>
  <c r="AB123" i="1"/>
  <c r="AC123" i="1" s="1"/>
  <c r="T124" i="1"/>
  <c r="V123" i="1"/>
  <c r="BA131" i="1" l="1"/>
  <c r="AA131" i="1"/>
  <c r="S132" i="1"/>
  <c r="AB124" i="1"/>
  <c r="AC124" i="1" s="1"/>
  <c r="T125" i="1"/>
  <c r="U124" i="1"/>
  <c r="V124" i="1"/>
  <c r="BA132" i="1" l="1"/>
  <c r="S133" i="1"/>
  <c r="AA132" i="1"/>
  <c r="AB125" i="1"/>
  <c r="AC125" i="1" s="1"/>
  <c r="U125" i="1"/>
  <c r="T126" i="1"/>
  <c r="V125" i="1"/>
  <c r="BA133" i="1" l="1"/>
  <c r="AA133" i="1"/>
  <c r="S134" i="1"/>
  <c r="AB126" i="1"/>
  <c r="AC126" i="1" s="1"/>
  <c r="T127" i="1"/>
  <c r="V126" i="1"/>
  <c r="U126" i="1"/>
  <c r="BA134" i="1" l="1"/>
  <c r="S135" i="1"/>
  <c r="AA134" i="1"/>
  <c r="AB127" i="1"/>
  <c r="AC127" i="1" s="1"/>
  <c r="T128" i="1"/>
  <c r="V127" i="1"/>
  <c r="U127" i="1"/>
  <c r="BA135" i="1" l="1"/>
  <c r="S136" i="1"/>
  <c r="AA135" i="1"/>
  <c r="AB128" i="1"/>
  <c r="AC128" i="1" s="1"/>
  <c r="V128" i="1"/>
  <c r="U128" i="1"/>
  <c r="T129" i="1"/>
  <c r="BA136" i="1" l="1"/>
  <c r="S137" i="1"/>
  <c r="AA136" i="1"/>
  <c r="AB129" i="1"/>
  <c r="AC129" i="1" s="1"/>
  <c r="T130" i="1"/>
  <c r="V129" i="1"/>
  <c r="U129" i="1"/>
  <c r="BA137" i="1" l="1"/>
  <c r="AA137" i="1"/>
  <c r="S138" i="1"/>
  <c r="T131" i="1"/>
  <c r="U130" i="1"/>
  <c r="AB130" i="1"/>
  <c r="AC130" i="1" s="1"/>
  <c r="V130" i="1"/>
  <c r="BA138" i="1" l="1"/>
  <c r="S139" i="1"/>
  <c r="AA138" i="1"/>
  <c r="U131" i="1"/>
  <c r="AB131" i="1"/>
  <c r="AC131" i="1" s="1"/>
  <c r="V131" i="1"/>
  <c r="T132" i="1"/>
  <c r="BA139" i="1" l="1"/>
  <c r="AA139" i="1"/>
  <c r="S140" i="1"/>
  <c r="AB132" i="1"/>
  <c r="AC132" i="1" s="1"/>
  <c r="T133" i="1"/>
  <c r="U132" i="1"/>
  <c r="V132" i="1"/>
  <c r="BA140" i="1" l="1"/>
  <c r="S141" i="1"/>
  <c r="AA140" i="1"/>
  <c r="AB133" i="1"/>
  <c r="AC133" i="1" s="1"/>
  <c r="T134" i="1"/>
  <c r="U133" i="1"/>
  <c r="V133" i="1"/>
  <c r="BA141" i="1" l="1"/>
  <c r="AA141" i="1"/>
  <c r="S142" i="1"/>
  <c r="AB134" i="1"/>
  <c r="AC134" i="1" s="1"/>
  <c r="T135" i="1"/>
  <c r="V134" i="1"/>
  <c r="U134" i="1"/>
  <c r="BA142" i="1" l="1"/>
  <c r="S143" i="1"/>
  <c r="AA142" i="1"/>
  <c r="AB135" i="1"/>
  <c r="AC135" i="1" s="1"/>
  <c r="T136" i="1"/>
  <c r="U135" i="1"/>
  <c r="V135" i="1"/>
  <c r="BA143" i="1" l="1"/>
  <c r="AA143" i="1"/>
  <c r="S144" i="1"/>
  <c r="AB136" i="1"/>
  <c r="AC136" i="1" s="1"/>
  <c r="T137" i="1"/>
  <c r="V136" i="1"/>
  <c r="U136" i="1"/>
  <c r="BA144" i="1" l="1"/>
  <c r="AA144" i="1"/>
  <c r="S145" i="1"/>
  <c r="AB137" i="1"/>
  <c r="AC137" i="1" s="1"/>
  <c r="V137" i="1"/>
  <c r="U137" i="1"/>
  <c r="T138" i="1"/>
  <c r="BA145" i="1" l="1"/>
  <c r="S146" i="1"/>
  <c r="AA145" i="1"/>
  <c r="AB138" i="1"/>
  <c r="AC138" i="1" s="1"/>
  <c r="T139" i="1"/>
  <c r="V138" i="1"/>
  <c r="U138" i="1"/>
  <c r="BA146" i="1" l="1"/>
  <c r="S147" i="1"/>
  <c r="AA146" i="1"/>
  <c r="U139" i="1"/>
  <c r="AB139" i="1"/>
  <c r="AC139" i="1" s="1"/>
  <c r="T140" i="1"/>
  <c r="V139" i="1"/>
  <c r="BA147" i="1" l="1"/>
  <c r="AA147" i="1"/>
  <c r="S148" i="1"/>
  <c r="AB140" i="1"/>
  <c r="AC140" i="1" s="1"/>
  <c r="U140" i="1"/>
  <c r="T141" i="1"/>
  <c r="V140" i="1"/>
  <c r="BA148" i="1" l="1"/>
  <c r="AA148" i="1"/>
  <c r="S149" i="1"/>
  <c r="AB141" i="1"/>
  <c r="AC141" i="1" s="1"/>
  <c r="U141" i="1"/>
  <c r="T142" i="1"/>
  <c r="V141" i="1"/>
  <c r="BA149" i="1" l="1"/>
  <c r="S150" i="1"/>
  <c r="AA149" i="1"/>
  <c r="AB142" i="1"/>
  <c r="AC142" i="1" s="1"/>
  <c r="U142" i="1"/>
  <c r="V142" i="1"/>
  <c r="T143" i="1"/>
  <c r="BA150" i="1" l="1"/>
  <c r="AA150" i="1"/>
  <c r="S151" i="1"/>
  <c r="AB143" i="1"/>
  <c r="AC143" i="1" s="1"/>
  <c r="U143" i="1"/>
  <c r="V143" i="1"/>
  <c r="T144" i="1"/>
  <c r="BA151" i="1" l="1"/>
  <c r="S152" i="1"/>
  <c r="AA151" i="1"/>
  <c r="AB144" i="1"/>
  <c r="AC144" i="1" s="1"/>
  <c r="U144" i="1"/>
  <c r="V144" i="1"/>
  <c r="T145" i="1"/>
  <c r="BA152" i="1" l="1"/>
  <c r="AA152" i="1"/>
  <c r="S153" i="1"/>
  <c r="AB145" i="1"/>
  <c r="AC145" i="1" s="1"/>
  <c r="T146" i="1"/>
  <c r="V145" i="1"/>
  <c r="U145" i="1"/>
  <c r="BA153" i="1" l="1"/>
  <c r="AA153" i="1"/>
  <c r="S154" i="1"/>
  <c r="AB146" i="1"/>
  <c r="AC146" i="1" s="1"/>
  <c r="T147" i="1"/>
  <c r="U146" i="1"/>
  <c r="V146" i="1"/>
  <c r="BA154" i="1" l="1"/>
  <c r="AA154" i="1"/>
  <c r="S155" i="1"/>
  <c r="V147" i="1"/>
  <c r="AB147" i="1"/>
  <c r="AC147" i="1" s="1"/>
  <c r="U147" i="1"/>
  <c r="T148" i="1"/>
  <c r="BA155" i="1" l="1"/>
  <c r="AA155" i="1"/>
  <c r="S156" i="1"/>
  <c r="U148" i="1"/>
  <c r="AB148" i="1"/>
  <c r="AC148" i="1" s="1"/>
  <c r="T149" i="1"/>
  <c r="V148" i="1"/>
  <c r="BA156" i="1" l="1"/>
  <c r="AA156" i="1"/>
  <c r="S157" i="1"/>
  <c r="V149" i="1"/>
  <c r="AB149" i="1"/>
  <c r="AC149" i="1" s="1"/>
  <c r="T150" i="1"/>
  <c r="U149" i="1"/>
  <c r="BA157" i="1" l="1"/>
  <c r="S158" i="1"/>
  <c r="AA157" i="1"/>
  <c r="T151" i="1"/>
  <c r="AB150" i="1"/>
  <c r="AC150" i="1" s="1"/>
  <c r="U150" i="1"/>
  <c r="V150" i="1"/>
  <c r="BA158" i="1" l="1"/>
  <c r="AA158" i="1"/>
  <c r="S159" i="1"/>
  <c r="U151" i="1"/>
  <c r="V151" i="1"/>
  <c r="T152" i="1"/>
  <c r="AB151" i="1"/>
  <c r="AC151" i="1" s="1"/>
  <c r="BA159" i="1" l="1"/>
  <c r="S160" i="1"/>
  <c r="AA159" i="1"/>
  <c r="AB152" i="1"/>
  <c r="AC152" i="1" s="1"/>
  <c r="T153" i="1"/>
  <c r="V152" i="1"/>
  <c r="U152" i="1"/>
  <c r="BA160" i="1" l="1"/>
  <c r="AA160" i="1"/>
  <c r="S161" i="1"/>
  <c r="AB153" i="1"/>
  <c r="AC153" i="1" s="1"/>
  <c r="U153" i="1"/>
  <c r="T154" i="1"/>
  <c r="V153" i="1"/>
  <c r="BA161" i="1" l="1"/>
  <c r="AA161" i="1"/>
  <c r="S162" i="1"/>
  <c r="U154" i="1"/>
  <c r="T155" i="1"/>
  <c r="AB154" i="1"/>
  <c r="AC154" i="1" s="1"/>
  <c r="V154" i="1"/>
  <c r="BA162" i="1" l="1"/>
  <c r="AA162" i="1"/>
  <c r="S163" i="1"/>
  <c r="U155" i="1"/>
  <c r="V155" i="1"/>
  <c r="T156" i="1"/>
  <c r="AB155" i="1"/>
  <c r="AC155" i="1" s="1"/>
  <c r="BA163" i="1" l="1"/>
  <c r="AA163" i="1"/>
  <c r="S164" i="1"/>
  <c r="AB156" i="1"/>
  <c r="AC156" i="1" s="1"/>
  <c r="T157" i="1"/>
  <c r="V156" i="1"/>
  <c r="U156" i="1"/>
  <c r="BA164" i="1" l="1"/>
  <c r="S165" i="1"/>
  <c r="AA164" i="1"/>
  <c r="T158" i="1"/>
  <c r="U157" i="1"/>
  <c r="AB157" i="1"/>
  <c r="AC157" i="1" s="1"/>
  <c r="V157" i="1"/>
  <c r="BA165" i="1" l="1"/>
  <c r="AA165" i="1"/>
  <c r="S166" i="1"/>
  <c r="U158" i="1"/>
  <c r="V158" i="1"/>
  <c r="AB158" i="1"/>
  <c r="AC158" i="1" s="1"/>
  <c r="T159" i="1"/>
  <c r="BA166" i="1" l="1"/>
  <c r="S167" i="1"/>
  <c r="AA166" i="1"/>
  <c r="AB159" i="1"/>
  <c r="AC159" i="1" s="1"/>
  <c r="T160" i="1"/>
  <c r="U159" i="1"/>
  <c r="V159" i="1"/>
  <c r="BA167" i="1" l="1"/>
  <c r="AA167" i="1"/>
  <c r="S168" i="1"/>
  <c r="AB160" i="1"/>
  <c r="AC160" i="1" s="1"/>
  <c r="V160" i="1"/>
  <c r="T161" i="1"/>
  <c r="U160" i="1"/>
  <c r="BA168" i="1" l="1"/>
  <c r="S169" i="1"/>
  <c r="AA168" i="1"/>
  <c r="AB161" i="1"/>
  <c r="AC161" i="1" s="1"/>
  <c r="T162" i="1"/>
  <c r="V161" i="1"/>
  <c r="U161" i="1"/>
  <c r="BA169" i="1" l="1"/>
  <c r="AA169" i="1"/>
  <c r="S170" i="1"/>
  <c r="AB162" i="1"/>
  <c r="AC162" i="1" s="1"/>
  <c r="U162" i="1"/>
  <c r="T163" i="1"/>
  <c r="V162" i="1"/>
  <c r="BA170" i="1" l="1"/>
  <c r="S171" i="1"/>
  <c r="AA170" i="1"/>
  <c r="U163" i="1"/>
  <c r="V163" i="1"/>
  <c r="AB163" i="1"/>
  <c r="AC163" i="1" s="1"/>
  <c r="T164" i="1"/>
  <c r="BA171" i="1" l="1"/>
  <c r="S172" i="1"/>
  <c r="AA171" i="1"/>
  <c r="AB164" i="1"/>
  <c r="AC164" i="1" s="1"/>
  <c r="T165" i="1"/>
  <c r="V164" i="1"/>
  <c r="U164" i="1"/>
  <c r="BA172" i="1" l="1"/>
  <c r="AA172" i="1"/>
  <c r="S173" i="1"/>
  <c r="T166" i="1"/>
  <c r="V165" i="1"/>
  <c r="AB165" i="1"/>
  <c r="AC165" i="1" s="1"/>
  <c r="U165" i="1"/>
  <c r="BA173" i="1" l="1"/>
  <c r="S174" i="1"/>
  <c r="AA173" i="1"/>
  <c r="T167" i="1"/>
  <c r="V166" i="1"/>
  <c r="AB166" i="1"/>
  <c r="AC166" i="1" s="1"/>
  <c r="U166" i="1"/>
  <c r="BA174" i="1" l="1"/>
  <c r="AA174" i="1"/>
  <c r="S175" i="1"/>
  <c r="AB167" i="1"/>
  <c r="AC167" i="1" s="1"/>
  <c r="T168" i="1"/>
  <c r="U167" i="1"/>
  <c r="V167" i="1"/>
  <c r="BA175" i="1" l="1"/>
  <c r="S176" i="1"/>
  <c r="AA175" i="1"/>
  <c r="U168" i="1"/>
  <c r="T169" i="1"/>
  <c r="AB168" i="1"/>
  <c r="AC168" i="1" s="1"/>
  <c r="V168" i="1"/>
  <c r="BA176" i="1" l="1"/>
  <c r="S177" i="1"/>
  <c r="AA176" i="1"/>
  <c r="AB169" i="1"/>
  <c r="AC169" i="1" s="1"/>
  <c r="T170" i="1"/>
  <c r="V169" i="1"/>
  <c r="U169" i="1"/>
  <c r="BA177" i="1" l="1"/>
  <c r="S178" i="1"/>
  <c r="AA177" i="1"/>
  <c r="V170" i="1"/>
  <c r="AB170" i="1"/>
  <c r="AC170" i="1" s="1"/>
  <c r="T171" i="1"/>
  <c r="U170" i="1"/>
  <c r="BA178" i="1" l="1"/>
  <c r="AA178" i="1"/>
  <c r="S179" i="1"/>
  <c r="AB171" i="1"/>
  <c r="AC171" i="1" s="1"/>
  <c r="T172" i="1"/>
  <c r="U171" i="1"/>
  <c r="V171" i="1"/>
  <c r="BA179" i="1" l="1"/>
  <c r="AA179" i="1"/>
  <c r="S180" i="1"/>
  <c r="AB172" i="1"/>
  <c r="AC172" i="1" s="1"/>
  <c r="U172" i="1"/>
  <c r="T173" i="1"/>
  <c r="V172" i="1"/>
  <c r="BA180" i="1" l="1"/>
  <c r="AA180" i="1"/>
  <c r="S181" i="1"/>
  <c r="AB173" i="1"/>
  <c r="AC173" i="1" s="1"/>
  <c r="U173" i="1"/>
  <c r="V173" i="1"/>
  <c r="T174" i="1"/>
  <c r="BA181" i="1" l="1"/>
  <c r="S182" i="1"/>
  <c r="AA181" i="1"/>
  <c r="AB174" i="1"/>
  <c r="AC174" i="1" s="1"/>
  <c r="T175" i="1"/>
  <c r="U174" i="1"/>
  <c r="V174" i="1"/>
  <c r="BA182" i="1" l="1"/>
  <c r="AA182" i="1"/>
  <c r="S183" i="1"/>
  <c r="U175" i="1"/>
  <c r="AB175" i="1"/>
  <c r="AC175" i="1" s="1"/>
  <c r="V175" i="1"/>
  <c r="T176" i="1"/>
  <c r="BA183" i="1" l="1"/>
  <c r="AA183" i="1"/>
  <c r="S184" i="1"/>
  <c r="AB176" i="1"/>
  <c r="AC176" i="1" s="1"/>
  <c r="T177" i="1"/>
  <c r="U176" i="1"/>
  <c r="V176" i="1"/>
  <c r="BA184" i="1" l="1"/>
  <c r="S185" i="1"/>
  <c r="AA184" i="1"/>
  <c r="U177" i="1"/>
  <c r="T178" i="1"/>
  <c r="AB177" i="1"/>
  <c r="AC177" i="1" s="1"/>
  <c r="V177" i="1"/>
  <c r="BA185" i="1" l="1"/>
  <c r="S186" i="1"/>
  <c r="AA185" i="1"/>
  <c r="AB178" i="1"/>
  <c r="AC178" i="1" s="1"/>
  <c r="T179" i="1"/>
  <c r="U178" i="1"/>
  <c r="V178" i="1"/>
  <c r="BA186" i="1" l="1"/>
  <c r="AA186" i="1"/>
  <c r="S187" i="1"/>
  <c r="AB179" i="1"/>
  <c r="AC179" i="1" s="1"/>
  <c r="T180" i="1"/>
  <c r="V179" i="1"/>
  <c r="U179" i="1"/>
  <c r="BA187" i="1" l="1"/>
  <c r="AA187" i="1"/>
  <c r="S188" i="1"/>
  <c r="AB180" i="1"/>
  <c r="AC180" i="1" s="1"/>
  <c r="T181" i="1"/>
  <c r="U180" i="1"/>
  <c r="V180" i="1"/>
  <c r="BA188" i="1" l="1"/>
  <c r="AA188" i="1"/>
  <c r="S189" i="1"/>
  <c r="AB181" i="1"/>
  <c r="AC181" i="1" s="1"/>
  <c r="T182" i="1"/>
  <c r="V181" i="1"/>
  <c r="U181" i="1"/>
  <c r="BA189" i="1" l="1"/>
  <c r="S190" i="1"/>
  <c r="AA189" i="1"/>
  <c r="AB182" i="1"/>
  <c r="AC182" i="1" s="1"/>
  <c r="U182" i="1"/>
  <c r="V182" i="1"/>
  <c r="T183" i="1"/>
  <c r="BA190" i="1" l="1"/>
  <c r="AA190" i="1"/>
  <c r="S191" i="1"/>
  <c r="AB183" i="1"/>
  <c r="AC183" i="1" s="1"/>
  <c r="T184" i="1"/>
  <c r="U183" i="1"/>
  <c r="V183" i="1"/>
  <c r="BA191" i="1" l="1"/>
  <c r="AA191" i="1"/>
  <c r="S192" i="1"/>
  <c r="T185" i="1"/>
  <c r="AB184" i="1"/>
  <c r="AC184" i="1" s="1"/>
  <c r="U184" i="1"/>
  <c r="V184" i="1"/>
  <c r="BA192" i="1" l="1"/>
  <c r="AA192" i="1"/>
  <c r="S193" i="1"/>
  <c r="AB185" i="1"/>
  <c r="AC185" i="1" s="1"/>
  <c r="T186" i="1"/>
  <c r="U185" i="1"/>
  <c r="V185" i="1"/>
  <c r="BA193" i="1" l="1"/>
  <c r="AA193" i="1"/>
  <c r="S194" i="1"/>
  <c r="U186" i="1"/>
  <c r="V186" i="1"/>
  <c r="AB186" i="1"/>
  <c r="AC186" i="1" s="1"/>
  <c r="T187" i="1"/>
  <c r="BA194" i="1" l="1"/>
  <c r="AA194" i="1"/>
  <c r="S195" i="1"/>
  <c r="AB187" i="1"/>
  <c r="AC187" i="1" s="1"/>
  <c r="V187" i="1"/>
  <c r="U187" i="1"/>
  <c r="T188" i="1"/>
  <c r="BA195" i="1" l="1"/>
  <c r="S196" i="1"/>
  <c r="AA195" i="1"/>
  <c r="AB188" i="1"/>
  <c r="AC188" i="1" s="1"/>
  <c r="U188" i="1"/>
  <c r="V188" i="1"/>
  <c r="T189" i="1"/>
  <c r="BA196" i="1" l="1"/>
  <c r="S197" i="1"/>
  <c r="AA196" i="1"/>
  <c r="AB189" i="1"/>
  <c r="AC189" i="1" s="1"/>
  <c r="T190" i="1"/>
  <c r="U189" i="1"/>
  <c r="V189" i="1"/>
  <c r="BA197" i="1" l="1"/>
  <c r="AA197" i="1"/>
  <c r="S198" i="1"/>
  <c r="AB190" i="1"/>
  <c r="AC190" i="1" s="1"/>
  <c r="T191" i="1"/>
  <c r="U190" i="1"/>
  <c r="V190" i="1"/>
  <c r="BA198" i="1" l="1"/>
  <c r="AA198" i="1"/>
  <c r="S199" i="1"/>
  <c r="U191" i="1"/>
  <c r="AB191" i="1"/>
  <c r="AC191" i="1" s="1"/>
  <c r="T192" i="1"/>
  <c r="V191" i="1"/>
  <c r="BA199" i="1" l="1"/>
  <c r="S200" i="1"/>
  <c r="AA199" i="1"/>
  <c r="V192" i="1"/>
  <c r="U192" i="1"/>
  <c r="AB192" i="1"/>
  <c r="AC192" i="1" s="1"/>
  <c r="T193" i="1"/>
  <c r="BA200" i="1" l="1"/>
  <c r="AA200" i="1"/>
  <c r="S201" i="1"/>
  <c r="AB193" i="1"/>
  <c r="AC193" i="1" s="1"/>
  <c r="T194" i="1"/>
  <c r="V193" i="1"/>
  <c r="U193" i="1"/>
  <c r="BA201" i="1" l="1"/>
  <c r="S202" i="1"/>
  <c r="AA201" i="1"/>
  <c r="AB194" i="1"/>
  <c r="AC194" i="1" s="1"/>
  <c r="T195" i="1"/>
  <c r="U194" i="1"/>
  <c r="V194" i="1"/>
  <c r="BA202" i="1" l="1"/>
  <c r="AA202" i="1"/>
  <c r="S203" i="1"/>
  <c r="AB195" i="1"/>
  <c r="AC195" i="1" s="1"/>
  <c r="T196" i="1"/>
  <c r="V195" i="1"/>
  <c r="U195" i="1"/>
  <c r="BA203" i="1" l="1"/>
  <c r="AA203" i="1"/>
  <c r="S204" i="1"/>
  <c r="AB196" i="1"/>
  <c r="AC196" i="1" s="1"/>
  <c r="T197" i="1"/>
  <c r="U196" i="1"/>
  <c r="V196" i="1"/>
  <c r="BA204" i="1" l="1"/>
  <c r="S205" i="1"/>
  <c r="AA204" i="1"/>
  <c r="AB197" i="1"/>
  <c r="AC197" i="1" s="1"/>
  <c r="T198" i="1"/>
  <c r="U197" i="1"/>
  <c r="V197" i="1"/>
  <c r="BA205" i="1" l="1"/>
  <c r="AA205" i="1"/>
  <c r="S206" i="1"/>
  <c r="AB198" i="1"/>
  <c r="AC198" i="1" s="1"/>
  <c r="V198" i="1"/>
  <c r="T199" i="1"/>
  <c r="U198" i="1"/>
  <c r="BA206" i="1" l="1"/>
  <c r="S207" i="1"/>
  <c r="AA206" i="1"/>
  <c r="V199" i="1"/>
  <c r="U199" i="1"/>
  <c r="AB199" i="1"/>
  <c r="AC199" i="1" s="1"/>
  <c r="T200" i="1"/>
  <c r="BA207" i="1" l="1"/>
  <c r="AA207" i="1"/>
  <c r="S208" i="1"/>
  <c r="AB200" i="1"/>
  <c r="AC200" i="1" s="1"/>
  <c r="T201" i="1"/>
  <c r="U200" i="1"/>
  <c r="V200" i="1"/>
  <c r="BA208" i="1" l="1"/>
  <c r="S209" i="1"/>
  <c r="AA208" i="1"/>
  <c r="AB201" i="1"/>
  <c r="AC201" i="1" s="1"/>
  <c r="T202" i="1"/>
  <c r="U201" i="1"/>
  <c r="V201" i="1"/>
  <c r="BA209" i="1" l="1"/>
  <c r="AA209" i="1"/>
  <c r="S210" i="1"/>
  <c r="AB202" i="1"/>
  <c r="AC202" i="1" s="1"/>
  <c r="T203" i="1"/>
  <c r="U202" i="1"/>
  <c r="V202" i="1"/>
  <c r="BA210" i="1" l="1"/>
  <c r="S211" i="1"/>
  <c r="AA210" i="1"/>
  <c r="T204" i="1"/>
  <c r="AB203" i="1"/>
  <c r="AC203" i="1" s="1"/>
  <c r="V203" i="1"/>
  <c r="U203" i="1"/>
  <c r="BA211" i="1" l="1"/>
  <c r="AA211" i="1"/>
  <c r="S212" i="1"/>
  <c r="AB204" i="1"/>
  <c r="AC204" i="1" s="1"/>
  <c r="T205" i="1"/>
  <c r="V204" i="1"/>
  <c r="U204" i="1"/>
  <c r="BA212" i="1" l="1"/>
  <c r="AA212" i="1"/>
  <c r="S213" i="1"/>
  <c r="AB205" i="1"/>
  <c r="AC205" i="1" s="1"/>
  <c r="T206" i="1"/>
  <c r="V205" i="1"/>
  <c r="U205" i="1"/>
  <c r="BA213" i="1" l="1"/>
  <c r="AA213" i="1"/>
  <c r="S214" i="1"/>
  <c r="AB206" i="1"/>
  <c r="AC206" i="1" s="1"/>
  <c r="V206" i="1"/>
  <c r="U206" i="1"/>
  <c r="T207" i="1"/>
  <c r="BA214" i="1" l="1"/>
  <c r="S215" i="1"/>
  <c r="AA214" i="1"/>
  <c r="AB207" i="1"/>
  <c r="AC207" i="1" s="1"/>
  <c r="T208" i="1"/>
  <c r="U207" i="1"/>
  <c r="V207" i="1"/>
  <c r="BA215" i="1" l="1"/>
  <c r="S216" i="1"/>
  <c r="AA215" i="1"/>
  <c r="AB208" i="1"/>
  <c r="AC208" i="1" s="1"/>
  <c r="T209" i="1"/>
  <c r="V208" i="1"/>
  <c r="U208" i="1"/>
  <c r="BA216" i="1" l="1"/>
  <c r="S217" i="1"/>
  <c r="AA216" i="1"/>
  <c r="AB209" i="1"/>
  <c r="AC209" i="1" s="1"/>
  <c r="T210" i="1"/>
  <c r="U209" i="1"/>
  <c r="V209" i="1"/>
  <c r="BA217" i="1" l="1"/>
  <c r="S218" i="1"/>
  <c r="AA217" i="1"/>
  <c r="AB210" i="1"/>
  <c r="AC210" i="1" s="1"/>
  <c r="V210" i="1"/>
  <c r="U210" i="1"/>
  <c r="T211" i="1"/>
  <c r="BA218" i="1" l="1"/>
  <c r="AA218" i="1"/>
  <c r="S219" i="1"/>
  <c r="AB211" i="1"/>
  <c r="AC211" i="1" s="1"/>
  <c r="T212" i="1"/>
  <c r="U211" i="1"/>
  <c r="V211" i="1"/>
  <c r="BA219" i="1" l="1"/>
  <c r="S220" i="1"/>
  <c r="AA219" i="1"/>
  <c r="AB212" i="1"/>
  <c r="AC212" i="1" s="1"/>
  <c r="V212" i="1"/>
  <c r="T213" i="1"/>
  <c r="U212" i="1"/>
  <c r="BA220" i="1" l="1"/>
  <c r="S221" i="1"/>
  <c r="AA220" i="1"/>
  <c r="V213" i="1"/>
  <c r="AB213" i="1"/>
  <c r="AC213" i="1" s="1"/>
  <c r="U213" i="1"/>
  <c r="T214" i="1"/>
  <c r="BA221" i="1" l="1"/>
  <c r="AA221" i="1"/>
  <c r="S222" i="1"/>
  <c r="AB214" i="1"/>
  <c r="AC214" i="1" s="1"/>
  <c r="T215" i="1"/>
  <c r="V214" i="1"/>
  <c r="U214" i="1"/>
  <c r="BA222" i="1" l="1"/>
  <c r="S223" i="1"/>
  <c r="AA222" i="1"/>
  <c r="AB215" i="1"/>
  <c r="AC215" i="1" s="1"/>
  <c r="V215" i="1"/>
  <c r="U215" i="1"/>
  <c r="T216" i="1"/>
  <c r="BA223" i="1" l="1"/>
  <c r="S224" i="1"/>
  <c r="AA223" i="1"/>
  <c r="AB216" i="1"/>
  <c r="AC216" i="1" s="1"/>
  <c r="T217" i="1"/>
  <c r="U216" i="1"/>
  <c r="V216" i="1"/>
  <c r="BA224" i="1" l="1"/>
  <c r="AA224" i="1"/>
  <c r="S225" i="1"/>
  <c r="AB217" i="1"/>
  <c r="AC217" i="1" s="1"/>
  <c r="V217" i="1"/>
  <c r="U217" i="1"/>
  <c r="T218" i="1"/>
  <c r="BA225" i="1" l="1"/>
  <c r="S226" i="1"/>
  <c r="AA225" i="1"/>
  <c r="U218" i="1"/>
  <c r="AB218" i="1"/>
  <c r="AC218" i="1" s="1"/>
  <c r="T219" i="1"/>
  <c r="V218" i="1"/>
  <c r="BA226" i="1" l="1"/>
  <c r="AA226" i="1"/>
  <c r="S227" i="1"/>
  <c r="AB219" i="1"/>
  <c r="AC219" i="1" s="1"/>
  <c r="T220" i="1"/>
  <c r="V219" i="1"/>
  <c r="U219" i="1"/>
  <c r="BA227" i="1" l="1"/>
  <c r="S228" i="1"/>
  <c r="AA227" i="1"/>
  <c r="V220" i="1"/>
  <c r="T221" i="1"/>
  <c r="U220" i="1"/>
  <c r="AB220" i="1"/>
  <c r="AC220" i="1" s="1"/>
  <c r="BA228" i="1" l="1"/>
  <c r="AA228" i="1"/>
  <c r="S229" i="1"/>
  <c r="T222" i="1"/>
  <c r="U221" i="1"/>
  <c r="AB221" i="1"/>
  <c r="AC221" i="1" s="1"/>
  <c r="V221" i="1"/>
  <c r="BA229" i="1" l="1"/>
  <c r="S230" i="1"/>
  <c r="AA229" i="1"/>
  <c r="AB222" i="1"/>
  <c r="AC222" i="1" s="1"/>
  <c r="T223" i="1"/>
  <c r="U222" i="1"/>
  <c r="V222" i="1"/>
  <c r="BA230" i="1" l="1"/>
  <c r="S231" i="1"/>
  <c r="AA230" i="1"/>
  <c r="AB223" i="1"/>
  <c r="AC223" i="1" s="1"/>
  <c r="T224" i="1"/>
  <c r="U223" i="1"/>
  <c r="V223" i="1"/>
  <c r="BA231" i="1" l="1"/>
  <c r="S232" i="1"/>
  <c r="AA231" i="1"/>
  <c r="AB224" i="1"/>
  <c r="AC224" i="1" s="1"/>
  <c r="T225" i="1"/>
  <c r="U224" i="1"/>
  <c r="V224" i="1"/>
  <c r="BA232" i="1" l="1"/>
  <c r="AA232" i="1"/>
  <c r="S233" i="1"/>
  <c r="T226" i="1"/>
  <c r="U225" i="1"/>
  <c r="AB225" i="1"/>
  <c r="AC225" i="1" s="1"/>
  <c r="V225" i="1"/>
  <c r="BA233" i="1" l="1"/>
  <c r="AA233" i="1"/>
  <c r="S234" i="1"/>
  <c r="AB226" i="1"/>
  <c r="AC226" i="1" s="1"/>
  <c r="V226" i="1"/>
  <c r="U226" i="1"/>
  <c r="T227" i="1"/>
  <c r="BA234" i="1" l="1"/>
  <c r="AA234" i="1"/>
  <c r="S235" i="1"/>
  <c r="AB227" i="1"/>
  <c r="AC227" i="1" s="1"/>
  <c r="T228" i="1"/>
  <c r="U227" i="1"/>
  <c r="V227" i="1"/>
  <c r="BA235" i="1" l="1"/>
  <c r="AA235" i="1"/>
  <c r="S236" i="1"/>
  <c r="AB228" i="1"/>
  <c r="AC228" i="1" s="1"/>
  <c r="T229" i="1"/>
  <c r="U228" i="1"/>
  <c r="V228" i="1"/>
  <c r="BA236" i="1" l="1"/>
  <c r="AA236" i="1"/>
  <c r="S237" i="1"/>
  <c r="V229" i="1"/>
  <c r="U229" i="1"/>
  <c r="AB229" i="1"/>
  <c r="AC229" i="1" s="1"/>
  <c r="T230" i="1"/>
  <c r="BA237" i="1" l="1"/>
  <c r="S238" i="1"/>
  <c r="AA237" i="1"/>
  <c r="AB230" i="1"/>
  <c r="AC230" i="1" s="1"/>
  <c r="U230" i="1"/>
  <c r="V230" i="1"/>
  <c r="T231" i="1"/>
  <c r="BA238" i="1" l="1"/>
  <c r="AA238" i="1"/>
  <c r="S239" i="1"/>
  <c r="T232" i="1"/>
  <c r="AB231" i="1"/>
  <c r="AC231" i="1" s="1"/>
  <c r="V231" i="1"/>
  <c r="U231" i="1"/>
  <c r="BA239" i="1" l="1"/>
  <c r="S240" i="1"/>
  <c r="AA239" i="1"/>
  <c r="AB232" i="1"/>
  <c r="AC232" i="1" s="1"/>
  <c r="T233" i="1"/>
  <c r="U232" i="1"/>
  <c r="V232" i="1"/>
  <c r="BA240" i="1" l="1"/>
  <c r="S241" i="1"/>
  <c r="AA240" i="1"/>
  <c r="T234" i="1"/>
  <c r="AB233" i="1"/>
  <c r="AC233" i="1" s="1"/>
  <c r="U233" i="1"/>
  <c r="V233" i="1"/>
  <c r="BA241" i="1" l="1"/>
  <c r="AA241" i="1"/>
  <c r="S242" i="1"/>
  <c r="AB234" i="1"/>
  <c r="AC234" i="1" s="1"/>
  <c r="V234" i="1"/>
  <c r="U234" i="1"/>
  <c r="T235" i="1"/>
  <c r="BA242" i="1" l="1"/>
  <c r="AA242" i="1"/>
  <c r="S243" i="1"/>
  <c r="AB235" i="1"/>
  <c r="AC235" i="1" s="1"/>
  <c r="V235" i="1"/>
  <c r="U235" i="1"/>
  <c r="T236" i="1"/>
  <c r="BA243" i="1" l="1"/>
  <c r="S244" i="1"/>
  <c r="AA243" i="1"/>
  <c r="AB236" i="1"/>
  <c r="AC236" i="1" s="1"/>
  <c r="U236" i="1"/>
  <c r="T237" i="1"/>
  <c r="V236" i="1"/>
  <c r="BA244" i="1" l="1"/>
  <c r="AA244" i="1"/>
  <c r="S245" i="1"/>
  <c r="AB237" i="1"/>
  <c r="AC237" i="1" s="1"/>
  <c r="T238" i="1"/>
  <c r="V237" i="1"/>
  <c r="U237" i="1"/>
  <c r="BA245" i="1" l="1"/>
  <c r="S246" i="1"/>
  <c r="AA245" i="1"/>
  <c r="AB238" i="1"/>
  <c r="AC238" i="1" s="1"/>
  <c r="V238" i="1"/>
  <c r="T239" i="1"/>
  <c r="U238" i="1"/>
  <c r="BA246" i="1" l="1"/>
  <c r="S247" i="1"/>
  <c r="AA246" i="1"/>
  <c r="AB239" i="1"/>
  <c r="AC239" i="1" s="1"/>
  <c r="T240" i="1"/>
  <c r="U239" i="1"/>
  <c r="V239" i="1"/>
  <c r="BA247" i="1" l="1"/>
  <c r="S248" i="1"/>
  <c r="AA247" i="1"/>
  <c r="AB240" i="1"/>
  <c r="AC240" i="1" s="1"/>
  <c r="T241" i="1"/>
  <c r="U240" i="1"/>
  <c r="V240" i="1"/>
  <c r="BA248" i="1" l="1"/>
  <c r="AA248" i="1"/>
  <c r="S249" i="1"/>
  <c r="T242" i="1"/>
  <c r="U241" i="1"/>
  <c r="AB241" i="1"/>
  <c r="AC241" i="1" s="1"/>
  <c r="V241" i="1"/>
  <c r="BA249" i="1" l="1"/>
  <c r="AA249" i="1"/>
  <c r="S250" i="1"/>
  <c r="AB242" i="1"/>
  <c r="AC242" i="1" s="1"/>
  <c r="U242" i="1"/>
  <c r="V242" i="1"/>
  <c r="T243" i="1"/>
  <c r="BA250" i="1" l="1"/>
  <c r="AA250" i="1"/>
  <c r="S251" i="1"/>
  <c r="AB243" i="1"/>
  <c r="AC243" i="1" s="1"/>
  <c r="U243" i="1"/>
  <c r="V243" i="1"/>
  <c r="T244" i="1"/>
  <c r="BA251" i="1" l="1"/>
  <c r="AA251" i="1"/>
  <c r="S252" i="1"/>
  <c r="AB244" i="1"/>
  <c r="AC244" i="1" s="1"/>
  <c r="T245" i="1"/>
  <c r="U244" i="1"/>
  <c r="V244" i="1"/>
  <c r="BA252" i="1" l="1"/>
  <c r="AA252" i="1"/>
  <c r="S253" i="1"/>
  <c r="AB245" i="1"/>
  <c r="AC245" i="1" s="1"/>
  <c r="V245" i="1"/>
  <c r="T246" i="1"/>
  <c r="U245" i="1"/>
  <c r="BA253" i="1" l="1"/>
  <c r="AA253" i="1"/>
  <c r="S254" i="1"/>
  <c r="AB246" i="1"/>
  <c r="AC246" i="1" s="1"/>
  <c r="T247" i="1"/>
  <c r="V246" i="1"/>
  <c r="U246" i="1"/>
  <c r="BA254" i="1" l="1"/>
  <c r="AA254" i="1"/>
  <c r="S255" i="1"/>
  <c r="T248" i="1"/>
  <c r="U247" i="1"/>
  <c r="AB247" i="1"/>
  <c r="AC247" i="1" s="1"/>
  <c r="V247" i="1"/>
  <c r="BA255" i="1" l="1"/>
  <c r="S256" i="1"/>
  <c r="AA255" i="1"/>
  <c r="T249" i="1"/>
  <c r="V248" i="1"/>
  <c r="AB248" i="1"/>
  <c r="AC248" i="1" s="1"/>
  <c r="U248" i="1"/>
  <c r="BA256" i="1" l="1"/>
  <c r="AA256" i="1"/>
  <c r="S257" i="1"/>
  <c r="AB249" i="1"/>
  <c r="AC249" i="1" s="1"/>
  <c r="T250" i="1"/>
  <c r="U249" i="1"/>
  <c r="V249" i="1"/>
  <c r="BA257" i="1" l="1"/>
  <c r="AA257" i="1"/>
  <c r="S258" i="1"/>
  <c r="AB250" i="1"/>
  <c r="AC250" i="1" s="1"/>
  <c r="T251" i="1"/>
  <c r="U250" i="1"/>
  <c r="V250" i="1"/>
  <c r="BA258" i="1" l="1"/>
  <c r="S259" i="1"/>
  <c r="AA258" i="1"/>
  <c r="V251" i="1"/>
  <c r="T252" i="1"/>
  <c r="AB251" i="1"/>
  <c r="AC251" i="1" s="1"/>
  <c r="U251" i="1"/>
  <c r="BA259" i="1" l="1"/>
  <c r="S260" i="1"/>
  <c r="AA259" i="1"/>
  <c r="T253" i="1"/>
  <c r="AB252" i="1"/>
  <c r="AC252" i="1" s="1"/>
  <c r="V252" i="1"/>
  <c r="U252" i="1"/>
  <c r="BA260" i="1" l="1"/>
  <c r="AA260" i="1"/>
  <c r="S261" i="1"/>
  <c r="AB253" i="1"/>
  <c r="AC253" i="1" s="1"/>
  <c r="T254" i="1"/>
  <c r="U253" i="1"/>
  <c r="V253" i="1"/>
  <c r="BA261" i="1" l="1"/>
  <c r="AA261" i="1"/>
  <c r="S262" i="1"/>
  <c r="V254" i="1"/>
  <c r="U254" i="1"/>
  <c r="AB254" i="1"/>
  <c r="AC254" i="1" s="1"/>
  <c r="T255" i="1"/>
  <c r="BA262" i="1" l="1"/>
  <c r="S263" i="1"/>
  <c r="AA262" i="1"/>
  <c r="V255" i="1"/>
  <c r="U255" i="1"/>
  <c r="AB255" i="1"/>
  <c r="AC255" i="1" s="1"/>
  <c r="T256" i="1"/>
  <c r="BA263" i="1" l="1"/>
  <c r="AA263" i="1"/>
  <c r="S264" i="1"/>
  <c r="T257" i="1"/>
  <c r="AB256" i="1"/>
  <c r="AC256" i="1" s="1"/>
  <c r="U256" i="1"/>
  <c r="V256" i="1"/>
  <c r="BA264" i="1" l="1"/>
  <c r="S265" i="1"/>
  <c r="AA264" i="1"/>
  <c r="AB257" i="1"/>
  <c r="AC257" i="1" s="1"/>
  <c r="U257" i="1"/>
  <c r="V257" i="1"/>
  <c r="T258" i="1"/>
  <c r="BA265" i="1" l="1"/>
  <c r="S266" i="1"/>
  <c r="AA265" i="1"/>
  <c r="U258" i="1"/>
  <c r="AB258" i="1"/>
  <c r="AC258" i="1" s="1"/>
  <c r="V258" i="1"/>
  <c r="T259" i="1"/>
  <c r="BA266" i="1" l="1"/>
  <c r="AA266" i="1"/>
  <c r="S267" i="1"/>
  <c r="V259" i="1"/>
  <c r="U259" i="1"/>
  <c r="AB259" i="1"/>
  <c r="AC259" i="1" s="1"/>
  <c r="T260" i="1"/>
  <c r="BA267" i="1" l="1"/>
  <c r="AA267" i="1"/>
  <c r="S268" i="1"/>
  <c r="AB260" i="1"/>
  <c r="AC260" i="1" s="1"/>
  <c r="T261" i="1"/>
  <c r="U260" i="1"/>
  <c r="V260" i="1"/>
  <c r="BA268" i="1" l="1"/>
  <c r="AA268" i="1"/>
  <c r="S269" i="1"/>
  <c r="T262" i="1"/>
  <c r="AB261" i="1"/>
  <c r="AC261" i="1" s="1"/>
  <c r="U261" i="1"/>
  <c r="V261" i="1"/>
  <c r="BA269" i="1" l="1"/>
  <c r="AA269" i="1"/>
  <c r="S270" i="1"/>
  <c r="AB262" i="1"/>
  <c r="AC262" i="1" s="1"/>
  <c r="T263" i="1"/>
  <c r="U262" i="1"/>
  <c r="V262" i="1"/>
  <c r="BA270" i="1" l="1"/>
  <c r="AA270" i="1"/>
  <c r="S271" i="1"/>
  <c r="T264" i="1"/>
  <c r="V263" i="1"/>
  <c r="AB263" i="1"/>
  <c r="AC263" i="1" s="1"/>
  <c r="U263" i="1"/>
  <c r="BA271" i="1" l="1"/>
  <c r="S272" i="1"/>
  <c r="AA271" i="1"/>
  <c r="U264" i="1"/>
  <c r="T265" i="1"/>
  <c r="AB264" i="1"/>
  <c r="AC264" i="1" s="1"/>
  <c r="V264" i="1"/>
  <c r="BA272" i="1" l="1"/>
  <c r="AA272" i="1"/>
  <c r="S273" i="1"/>
  <c r="U265" i="1"/>
  <c r="T266" i="1"/>
  <c r="V265" i="1"/>
  <c r="AB265" i="1"/>
  <c r="AC265" i="1" s="1"/>
  <c r="BA273" i="1" l="1"/>
  <c r="S274" i="1"/>
  <c r="AA273" i="1"/>
  <c r="AB266" i="1"/>
  <c r="AC266" i="1" s="1"/>
  <c r="V266" i="1"/>
  <c r="T267" i="1"/>
  <c r="U266" i="1"/>
  <c r="BA274" i="1" l="1"/>
  <c r="S275" i="1"/>
  <c r="AA274" i="1"/>
  <c r="AB267" i="1"/>
  <c r="AC267" i="1" s="1"/>
  <c r="T268" i="1"/>
  <c r="V267" i="1"/>
  <c r="U267" i="1"/>
  <c r="BA275" i="1" l="1"/>
  <c r="AA275" i="1"/>
  <c r="S276" i="1"/>
  <c r="U268" i="1"/>
  <c r="T269" i="1"/>
  <c r="AB268" i="1"/>
  <c r="AC268" i="1" s="1"/>
  <c r="V268" i="1"/>
  <c r="BA276" i="1" l="1"/>
  <c r="AA276" i="1"/>
  <c r="S277" i="1"/>
  <c r="T270" i="1"/>
  <c r="V269" i="1"/>
  <c r="AB269" i="1"/>
  <c r="AC269" i="1" s="1"/>
  <c r="U269" i="1"/>
  <c r="BA277" i="1" l="1"/>
  <c r="S278" i="1"/>
  <c r="AA277" i="1"/>
  <c r="AB270" i="1"/>
  <c r="AC270" i="1" s="1"/>
  <c r="T271" i="1"/>
  <c r="V270" i="1"/>
  <c r="U270" i="1"/>
  <c r="BA278" i="1" l="1"/>
  <c r="AA278" i="1"/>
  <c r="S279" i="1"/>
  <c r="AB271" i="1"/>
  <c r="AC271" i="1" s="1"/>
  <c r="T272" i="1"/>
  <c r="U271" i="1"/>
  <c r="V271" i="1"/>
  <c r="BA279" i="1" l="1"/>
  <c r="AA279" i="1"/>
  <c r="S280" i="1"/>
  <c r="T273" i="1"/>
  <c r="AB272" i="1"/>
  <c r="AC272" i="1" s="1"/>
  <c r="U272" i="1"/>
  <c r="V272" i="1"/>
  <c r="BA280" i="1" l="1"/>
  <c r="S281" i="1"/>
  <c r="AA280" i="1"/>
  <c r="AB273" i="1"/>
  <c r="AC273" i="1" s="1"/>
  <c r="T274" i="1"/>
  <c r="U273" i="1"/>
  <c r="V273" i="1"/>
  <c r="BA281" i="1" l="1"/>
  <c r="AA281" i="1"/>
  <c r="S282" i="1"/>
  <c r="AB274" i="1"/>
  <c r="AC274" i="1" s="1"/>
  <c r="T275" i="1"/>
  <c r="U274" i="1"/>
  <c r="V274" i="1"/>
  <c r="BA282" i="1" l="1"/>
  <c r="S283" i="1"/>
  <c r="AA282" i="1"/>
  <c r="U275" i="1"/>
  <c r="AB275" i="1"/>
  <c r="AC275" i="1" s="1"/>
  <c r="T276" i="1"/>
  <c r="V275" i="1"/>
  <c r="BA283" i="1" l="1"/>
  <c r="S284" i="1"/>
  <c r="AA283" i="1"/>
  <c r="AB276" i="1"/>
  <c r="AC276" i="1" s="1"/>
  <c r="T277" i="1"/>
  <c r="V276" i="1"/>
  <c r="U276" i="1"/>
  <c r="BA284" i="1" l="1"/>
  <c r="AA284" i="1"/>
  <c r="S285" i="1"/>
  <c r="AB277" i="1"/>
  <c r="AC277" i="1" s="1"/>
  <c r="T278" i="1"/>
  <c r="U277" i="1"/>
  <c r="V277" i="1"/>
  <c r="BA285" i="1" l="1"/>
  <c r="AA285" i="1"/>
  <c r="S286" i="1"/>
  <c r="AB278" i="1"/>
  <c r="AC278" i="1" s="1"/>
  <c r="T279" i="1"/>
  <c r="V278" i="1"/>
  <c r="U278" i="1"/>
  <c r="BA286" i="1" l="1"/>
  <c r="AA286" i="1"/>
  <c r="S287" i="1"/>
  <c r="AB279" i="1"/>
  <c r="AC279" i="1" s="1"/>
  <c r="T280" i="1"/>
  <c r="V279" i="1"/>
  <c r="U279" i="1"/>
  <c r="BA287" i="1" l="1"/>
  <c r="AA287" i="1"/>
  <c r="S288" i="1"/>
  <c r="AB280" i="1"/>
  <c r="AC280" i="1" s="1"/>
  <c r="T281" i="1"/>
  <c r="U280" i="1"/>
  <c r="V280" i="1"/>
  <c r="BA288" i="1" l="1"/>
  <c r="AA288" i="1"/>
  <c r="S289" i="1"/>
  <c r="AB281" i="1"/>
  <c r="AC281" i="1" s="1"/>
  <c r="V281" i="1"/>
  <c r="U281" i="1"/>
  <c r="T282" i="1"/>
  <c r="BA289" i="1" l="1"/>
  <c r="AA289" i="1"/>
  <c r="S290" i="1"/>
  <c r="AB282" i="1"/>
  <c r="AC282" i="1" s="1"/>
  <c r="T283" i="1"/>
  <c r="U282" i="1"/>
  <c r="V282" i="1"/>
  <c r="BA290" i="1" l="1"/>
  <c r="S291" i="1"/>
  <c r="AA290" i="1"/>
  <c r="AB283" i="1"/>
  <c r="AC283" i="1" s="1"/>
  <c r="T284" i="1"/>
  <c r="U283" i="1"/>
  <c r="V283" i="1"/>
  <c r="BA291" i="1" l="1"/>
  <c r="AA291" i="1"/>
  <c r="S292" i="1"/>
  <c r="AB284" i="1"/>
  <c r="AC284" i="1" s="1"/>
  <c r="T285" i="1"/>
  <c r="U284" i="1"/>
  <c r="V284" i="1"/>
  <c r="BA292" i="1" l="1"/>
  <c r="AA292" i="1"/>
  <c r="S293" i="1"/>
  <c r="T286" i="1"/>
  <c r="AB285" i="1"/>
  <c r="AC285" i="1" s="1"/>
  <c r="V285" i="1"/>
  <c r="U285" i="1"/>
  <c r="BA293" i="1" l="1"/>
  <c r="S294" i="1"/>
  <c r="AA293" i="1"/>
  <c r="AB286" i="1"/>
  <c r="AC286" i="1" s="1"/>
  <c r="T287" i="1"/>
  <c r="U286" i="1"/>
  <c r="V286" i="1"/>
  <c r="BA294" i="1" l="1"/>
  <c r="S295" i="1"/>
  <c r="AA294" i="1"/>
  <c r="T288" i="1"/>
  <c r="U287" i="1"/>
  <c r="AB287" i="1"/>
  <c r="AC287" i="1" s="1"/>
  <c r="V287" i="1"/>
  <c r="BA295" i="1" l="1"/>
  <c r="S296" i="1"/>
  <c r="AA295" i="1"/>
  <c r="AB288" i="1"/>
  <c r="AC288" i="1" s="1"/>
  <c r="T289" i="1"/>
  <c r="U288" i="1"/>
  <c r="V288" i="1"/>
  <c r="BA296" i="1" l="1"/>
  <c r="S297" i="1"/>
  <c r="AA296" i="1"/>
  <c r="AB289" i="1"/>
  <c r="AC289" i="1" s="1"/>
  <c r="T290" i="1"/>
  <c r="U289" i="1"/>
  <c r="V289" i="1"/>
  <c r="BA297" i="1" l="1"/>
  <c r="AA297" i="1"/>
  <c r="S298" i="1"/>
  <c r="U290" i="1"/>
  <c r="AB290" i="1"/>
  <c r="AC290" i="1" s="1"/>
  <c r="T291" i="1"/>
  <c r="V290" i="1"/>
  <c r="BA298" i="1" l="1"/>
  <c r="S299" i="1"/>
  <c r="AA298" i="1"/>
  <c r="AB291" i="1"/>
  <c r="AC291" i="1" s="1"/>
  <c r="T292" i="1"/>
  <c r="V291" i="1"/>
  <c r="U291" i="1"/>
  <c r="BA299" i="1" l="1"/>
  <c r="S300" i="1"/>
  <c r="AA299" i="1"/>
  <c r="AB292" i="1"/>
  <c r="AC292" i="1" s="1"/>
  <c r="T293" i="1"/>
  <c r="V292" i="1"/>
  <c r="U292" i="1"/>
  <c r="BA300" i="1" l="1"/>
  <c r="S301" i="1"/>
  <c r="AA300" i="1"/>
  <c r="AB293" i="1"/>
  <c r="AC293" i="1" s="1"/>
  <c r="U293" i="1"/>
  <c r="V293" i="1"/>
  <c r="T294" i="1"/>
  <c r="BA301" i="1" l="1"/>
  <c r="AA301" i="1"/>
  <c r="S302" i="1"/>
  <c r="V294" i="1"/>
  <c r="T295" i="1"/>
  <c r="AB294" i="1"/>
  <c r="AC294" i="1" s="1"/>
  <c r="U294" i="1"/>
  <c r="BA302" i="1" l="1"/>
  <c r="AA302" i="1"/>
  <c r="S303" i="1"/>
  <c r="AB295" i="1"/>
  <c r="AC295" i="1" s="1"/>
  <c r="T296" i="1"/>
  <c r="V295" i="1"/>
  <c r="U295" i="1"/>
  <c r="BA303" i="1" l="1"/>
  <c r="AA303" i="1"/>
  <c r="S304" i="1"/>
  <c r="T297" i="1"/>
  <c r="U296" i="1"/>
  <c r="AB296" i="1"/>
  <c r="AC296" i="1" s="1"/>
  <c r="V296" i="1"/>
  <c r="BA304" i="1" l="1"/>
  <c r="AA304" i="1"/>
  <c r="S305" i="1"/>
  <c r="AB297" i="1"/>
  <c r="AC297" i="1" s="1"/>
  <c r="T298" i="1"/>
  <c r="U297" i="1"/>
  <c r="V297" i="1"/>
  <c r="BA305" i="1" l="1"/>
  <c r="S306" i="1"/>
  <c r="AA305" i="1"/>
  <c r="T299" i="1"/>
  <c r="AB298" i="1"/>
  <c r="AC298" i="1" s="1"/>
  <c r="U298" i="1"/>
  <c r="V298" i="1"/>
  <c r="BA306" i="1" l="1"/>
  <c r="AA306" i="1"/>
  <c r="S307" i="1"/>
  <c r="AB299" i="1"/>
  <c r="AC299" i="1" s="1"/>
  <c r="T300" i="1"/>
  <c r="U299" i="1"/>
  <c r="V299" i="1"/>
  <c r="BA307" i="1" l="1"/>
  <c r="S308" i="1"/>
  <c r="AA307" i="1"/>
  <c r="T301" i="1"/>
  <c r="AB300" i="1"/>
  <c r="AC300" i="1" s="1"/>
  <c r="V300" i="1"/>
  <c r="U300" i="1"/>
  <c r="BA308" i="1" l="1"/>
  <c r="S309" i="1"/>
  <c r="AA308" i="1"/>
  <c r="AB301" i="1"/>
  <c r="AC301" i="1" s="1"/>
  <c r="U301" i="1"/>
  <c r="V301" i="1"/>
  <c r="T302" i="1"/>
  <c r="BA309" i="1" l="1"/>
  <c r="S310" i="1"/>
  <c r="AA309" i="1"/>
  <c r="V302" i="1"/>
  <c r="AB302" i="1"/>
  <c r="AC302" i="1" s="1"/>
  <c r="T303" i="1"/>
  <c r="U302" i="1"/>
  <c r="BA310" i="1" l="1"/>
  <c r="S311" i="1"/>
  <c r="AA310" i="1"/>
  <c r="T304" i="1"/>
  <c r="AB303" i="1"/>
  <c r="AC303" i="1" s="1"/>
  <c r="U303" i="1"/>
  <c r="V303" i="1"/>
  <c r="BA311" i="1" l="1"/>
  <c r="AA311" i="1"/>
  <c r="S312" i="1"/>
  <c r="T305" i="1"/>
  <c r="V304" i="1"/>
  <c r="AB304" i="1"/>
  <c r="AC304" i="1" s="1"/>
  <c r="U304" i="1"/>
  <c r="BA312" i="1" l="1"/>
  <c r="AA312" i="1"/>
  <c r="S313" i="1"/>
  <c r="AB305" i="1"/>
  <c r="AC305" i="1" s="1"/>
  <c r="T306" i="1"/>
  <c r="U305" i="1"/>
  <c r="V305" i="1"/>
  <c r="BA313" i="1" l="1"/>
  <c r="S314" i="1"/>
  <c r="AA313" i="1"/>
  <c r="AB306" i="1"/>
  <c r="AC306" i="1" s="1"/>
  <c r="T307" i="1"/>
  <c r="V306" i="1"/>
  <c r="U306" i="1"/>
  <c r="BA314" i="1" l="1"/>
  <c r="AA314" i="1"/>
  <c r="S315" i="1"/>
  <c r="T308" i="1"/>
  <c r="AB307" i="1"/>
  <c r="AC307" i="1" s="1"/>
  <c r="U307" i="1"/>
  <c r="V307" i="1"/>
  <c r="BA315" i="1" l="1"/>
  <c r="S316" i="1"/>
  <c r="AA315" i="1"/>
  <c r="AB308" i="1"/>
  <c r="AC308" i="1" s="1"/>
  <c r="T309" i="1"/>
  <c r="U308" i="1"/>
  <c r="V308" i="1"/>
  <c r="BA316" i="1" l="1"/>
  <c r="S317" i="1"/>
  <c r="AA316" i="1"/>
  <c r="T310" i="1"/>
  <c r="U309" i="1"/>
  <c r="AB309" i="1"/>
  <c r="AC309" i="1" s="1"/>
  <c r="V309" i="1"/>
  <c r="BA317" i="1" l="1"/>
  <c r="S318" i="1"/>
  <c r="AA317" i="1"/>
  <c r="T311" i="1"/>
  <c r="AB310" i="1"/>
  <c r="AC310" i="1" s="1"/>
  <c r="U310" i="1"/>
  <c r="V310" i="1"/>
  <c r="BA318" i="1" l="1"/>
  <c r="S319" i="1"/>
  <c r="AA318" i="1"/>
  <c r="AB311" i="1"/>
  <c r="AC311" i="1" s="1"/>
  <c r="U311" i="1"/>
  <c r="V311" i="1"/>
  <c r="T312" i="1"/>
  <c r="BA319" i="1" l="1"/>
  <c r="S320" i="1"/>
  <c r="AA319" i="1"/>
  <c r="AB312" i="1"/>
  <c r="AC312" i="1" s="1"/>
  <c r="T313" i="1"/>
  <c r="V312" i="1"/>
  <c r="U312" i="1"/>
  <c r="BA320" i="1" l="1"/>
  <c r="S321" i="1"/>
  <c r="AA320" i="1"/>
  <c r="V313" i="1"/>
  <c r="U313" i="1"/>
  <c r="AB313" i="1"/>
  <c r="AC313" i="1" s="1"/>
  <c r="T314" i="1"/>
  <c r="BA321" i="1" l="1"/>
  <c r="AA321" i="1"/>
  <c r="S322" i="1"/>
  <c r="U314" i="1"/>
  <c r="AB314" i="1"/>
  <c r="AC314" i="1" s="1"/>
  <c r="T315" i="1"/>
  <c r="V314" i="1"/>
  <c r="BA322" i="1" l="1"/>
  <c r="AA322" i="1"/>
  <c r="S323" i="1"/>
  <c r="AB315" i="1"/>
  <c r="AC315" i="1" s="1"/>
  <c r="T316" i="1"/>
  <c r="U315" i="1"/>
  <c r="V315" i="1"/>
  <c r="BA323" i="1" l="1"/>
  <c r="AA323" i="1"/>
  <c r="S324" i="1"/>
  <c r="AB316" i="1"/>
  <c r="AC316" i="1" s="1"/>
  <c r="T317" i="1"/>
  <c r="V316" i="1"/>
  <c r="U316" i="1"/>
  <c r="BA324" i="1" l="1"/>
  <c r="AA324" i="1"/>
  <c r="S325" i="1"/>
  <c r="AB317" i="1"/>
  <c r="AC317" i="1" s="1"/>
  <c r="T318" i="1"/>
  <c r="U317" i="1"/>
  <c r="V317" i="1"/>
  <c r="BA325" i="1" l="1"/>
  <c r="S326" i="1"/>
  <c r="AA325" i="1"/>
  <c r="AB318" i="1"/>
  <c r="AC318" i="1" s="1"/>
  <c r="T319" i="1"/>
  <c r="U318" i="1"/>
  <c r="V318" i="1"/>
  <c r="BA326" i="1" l="1"/>
  <c r="AA326" i="1"/>
  <c r="S327" i="1"/>
  <c r="AB319" i="1"/>
  <c r="AC319" i="1" s="1"/>
  <c r="T320" i="1"/>
  <c r="V319" i="1"/>
  <c r="U319" i="1"/>
  <c r="BA327" i="1" l="1"/>
  <c r="AA327" i="1"/>
  <c r="S328" i="1"/>
  <c r="AB320" i="1"/>
  <c r="AC320" i="1" s="1"/>
  <c r="T321" i="1"/>
  <c r="V320" i="1"/>
  <c r="U320" i="1"/>
  <c r="BA328" i="1" l="1"/>
  <c r="AA328" i="1"/>
  <c r="S329" i="1"/>
  <c r="AB321" i="1"/>
  <c r="AC321" i="1" s="1"/>
  <c r="T322" i="1"/>
  <c r="U321" i="1"/>
  <c r="V321" i="1"/>
  <c r="BA329" i="1" l="1"/>
  <c r="AA329" i="1"/>
  <c r="S330" i="1"/>
  <c r="T323" i="1"/>
  <c r="AB322" i="1"/>
  <c r="AC322" i="1" s="1"/>
  <c r="U322" i="1"/>
  <c r="V322" i="1"/>
  <c r="BA330" i="1" l="1"/>
  <c r="S331" i="1"/>
  <c r="AA330" i="1"/>
  <c r="AB323" i="1"/>
  <c r="AC323" i="1" s="1"/>
  <c r="U323" i="1"/>
  <c r="T324" i="1"/>
  <c r="V323" i="1"/>
  <c r="BA331" i="1" l="1"/>
  <c r="S332" i="1"/>
  <c r="AA331" i="1"/>
  <c r="T325" i="1"/>
  <c r="U324" i="1"/>
  <c r="AB324" i="1"/>
  <c r="AC324" i="1" s="1"/>
  <c r="V324" i="1"/>
  <c r="BA332" i="1" l="1"/>
  <c r="AA332" i="1"/>
  <c r="S333" i="1"/>
  <c r="AB325" i="1"/>
  <c r="AC325" i="1" s="1"/>
  <c r="T326" i="1"/>
  <c r="V325" i="1"/>
  <c r="U325" i="1"/>
  <c r="BA333" i="1" l="1"/>
  <c r="AA333" i="1"/>
  <c r="S334" i="1"/>
  <c r="AB326" i="1"/>
  <c r="AC326" i="1" s="1"/>
  <c r="U326" i="1"/>
  <c r="V326" i="1"/>
  <c r="T327" i="1"/>
  <c r="BA334" i="1" l="1"/>
  <c r="S335" i="1"/>
  <c r="AA334" i="1"/>
  <c r="V327" i="1"/>
  <c r="AB327" i="1"/>
  <c r="AC327" i="1" s="1"/>
  <c r="T328" i="1"/>
  <c r="U327" i="1"/>
  <c r="BA335" i="1" l="1"/>
  <c r="S336" i="1"/>
  <c r="AA335" i="1"/>
  <c r="AB328" i="1"/>
  <c r="AC328" i="1" s="1"/>
  <c r="T329" i="1"/>
  <c r="U328" i="1"/>
  <c r="V328" i="1"/>
  <c r="BA336" i="1" l="1"/>
  <c r="S337" i="1"/>
  <c r="AA336" i="1"/>
  <c r="AB329" i="1"/>
  <c r="AC329" i="1" s="1"/>
  <c r="T330" i="1"/>
  <c r="U329" i="1"/>
  <c r="V329" i="1"/>
  <c r="BA337" i="1" l="1"/>
  <c r="AA337" i="1"/>
  <c r="S338" i="1"/>
  <c r="AB330" i="1"/>
  <c r="AC330" i="1" s="1"/>
  <c r="T331" i="1"/>
  <c r="V330" i="1"/>
  <c r="U330" i="1"/>
  <c r="BA338" i="1" l="1"/>
  <c r="AA338" i="1"/>
  <c r="S339" i="1"/>
  <c r="AB331" i="1"/>
  <c r="AC331" i="1" s="1"/>
  <c r="T332" i="1"/>
  <c r="V331" i="1"/>
  <c r="U331" i="1"/>
  <c r="BA339" i="1" l="1"/>
  <c r="S340" i="1"/>
  <c r="AA339" i="1"/>
  <c r="AB332" i="1"/>
  <c r="AC332" i="1" s="1"/>
  <c r="T333" i="1"/>
  <c r="U332" i="1"/>
  <c r="V332" i="1"/>
  <c r="BA340" i="1" l="1"/>
  <c r="S341" i="1"/>
  <c r="AA340" i="1"/>
  <c r="AB333" i="1"/>
  <c r="AC333" i="1" s="1"/>
  <c r="T334" i="1"/>
  <c r="U333" i="1"/>
  <c r="V333" i="1"/>
  <c r="BA341" i="1" l="1"/>
  <c r="AA341" i="1"/>
  <c r="S342" i="1"/>
  <c r="T335" i="1"/>
  <c r="AB334" i="1"/>
  <c r="AC334" i="1" s="1"/>
  <c r="V334" i="1"/>
  <c r="U334" i="1"/>
  <c r="BA342" i="1" l="1"/>
  <c r="S343" i="1"/>
  <c r="AA342" i="1"/>
  <c r="AB335" i="1"/>
  <c r="AC335" i="1" s="1"/>
  <c r="T336" i="1"/>
  <c r="V335" i="1"/>
  <c r="U335" i="1"/>
  <c r="BA343" i="1" l="1"/>
  <c r="S344" i="1"/>
  <c r="AA343" i="1"/>
  <c r="AB336" i="1"/>
  <c r="AC336" i="1" s="1"/>
  <c r="V336" i="1"/>
  <c r="U336" i="1"/>
  <c r="T337" i="1"/>
  <c r="BA344" i="1" l="1"/>
  <c r="AA344" i="1"/>
  <c r="S345" i="1"/>
  <c r="AB337" i="1"/>
  <c r="AC337" i="1" s="1"/>
  <c r="U337" i="1"/>
  <c r="T338" i="1"/>
  <c r="V337" i="1"/>
  <c r="BA345" i="1" l="1"/>
  <c r="AA345" i="1"/>
  <c r="S346" i="1"/>
  <c r="AB338" i="1"/>
  <c r="AC338" i="1" s="1"/>
  <c r="U338" i="1"/>
  <c r="V338" i="1"/>
  <c r="T339" i="1"/>
  <c r="BA346" i="1" l="1"/>
  <c r="AA346" i="1"/>
  <c r="S347" i="1"/>
  <c r="AB339" i="1"/>
  <c r="AC339" i="1" s="1"/>
  <c r="T340" i="1"/>
  <c r="U339" i="1"/>
  <c r="V339" i="1"/>
  <c r="BA347" i="1" l="1"/>
  <c r="AA347" i="1"/>
  <c r="S348" i="1"/>
  <c r="AB340" i="1"/>
  <c r="AC340" i="1" s="1"/>
  <c r="T341" i="1"/>
  <c r="V340" i="1"/>
  <c r="U340" i="1"/>
  <c r="BA348" i="1" l="1"/>
  <c r="AA348" i="1"/>
  <c r="S349" i="1"/>
  <c r="T342" i="1"/>
  <c r="AB341" i="1"/>
  <c r="AC341" i="1" s="1"/>
  <c r="U341" i="1"/>
  <c r="V341" i="1"/>
  <c r="BA349" i="1" l="1"/>
  <c r="AA349" i="1"/>
  <c r="S350" i="1"/>
  <c r="U342" i="1"/>
  <c r="AB342" i="1"/>
  <c r="AC342" i="1" s="1"/>
  <c r="V342" i="1"/>
  <c r="T343" i="1"/>
  <c r="BA350" i="1" l="1"/>
  <c r="S351" i="1"/>
  <c r="AA350" i="1"/>
  <c r="AB343" i="1"/>
  <c r="AC343" i="1" s="1"/>
  <c r="V343" i="1"/>
  <c r="T344" i="1"/>
  <c r="U343" i="1"/>
  <c r="BA351" i="1" l="1"/>
  <c r="S352" i="1"/>
  <c r="AA351" i="1"/>
  <c r="AB344" i="1"/>
  <c r="AC344" i="1" s="1"/>
  <c r="T345" i="1"/>
  <c r="V344" i="1"/>
  <c r="U344" i="1"/>
  <c r="BA352" i="1" l="1"/>
  <c r="AA352" i="1"/>
  <c r="S353" i="1"/>
  <c r="AB345" i="1"/>
  <c r="AC345" i="1" s="1"/>
  <c r="T346" i="1"/>
  <c r="U345" i="1"/>
  <c r="V345" i="1"/>
  <c r="BA353" i="1" l="1"/>
  <c r="AA353" i="1"/>
  <c r="S354" i="1"/>
  <c r="AB346" i="1"/>
  <c r="AC346" i="1" s="1"/>
  <c r="U346" i="1"/>
  <c r="T347" i="1"/>
  <c r="V346" i="1"/>
  <c r="BA354" i="1" l="1"/>
  <c r="S355" i="1"/>
  <c r="AA354" i="1"/>
  <c r="AB347" i="1"/>
  <c r="AC347" i="1" s="1"/>
  <c r="T348" i="1"/>
  <c r="U347" i="1"/>
  <c r="V347" i="1"/>
  <c r="BA355" i="1" l="1"/>
  <c r="AA355" i="1"/>
  <c r="S356" i="1"/>
  <c r="T349" i="1"/>
  <c r="V348" i="1"/>
  <c r="AB348" i="1"/>
  <c r="AC348" i="1" s="1"/>
  <c r="U348" i="1"/>
  <c r="BA356" i="1" l="1"/>
  <c r="S357" i="1"/>
  <c r="AA356" i="1"/>
  <c r="T350" i="1"/>
  <c r="AB349" i="1"/>
  <c r="AC349" i="1" s="1"/>
  <c r="U349" i="1"/>
  <c r="V349" i="1"/>
  <c r="BA357" i="1" l="1"/>
  <c r="S358" i="1"/>
  <c r="AA357" i="1"/>
  <c r="AB350" i="1"/>
  <c r="AC350" i="1" s="1"/>
  <c r="T351" i="1"/>
  <c r="U350" i="1"/>
  <c r="V350" i="1"/>
  <c r="BA358" i="1" l="1"/>
  <c r="S359" i="1"/>
  <c r="AA358" i="1"/>
  <c r="AB351" i="1"/>
  <c r="AC351" i="1" s="1"/>
  <c r="T352" i="1"/>
  <c r="V351" i="1"/>
  <c r="U351" i="1"/>
  <c r="BA359" i="1" l="1"/>
  <c r="AA359" i="1"/>
  <c r="S360" i="1"/>
  <c r="AB352" i="1"/>
  <c r="AC352" i="1" s="1"/>
  <c r="U352" i="1"/>
  <c r="T353" i="1"/>
  <c r="V352" i="1"/>
  <c r="BA360" i="1" l="1"/>
  <c r="AA360" i="1"/>
  <c r="S361" i="1"/>
  <c r="AB353" i="1"/>
  <c r="AC353" i="1" s="1"/>
  <c r="T354" i="1"/>
  <c r="V353" i="1"/>
  <c r="U353" i="1"/>
  <c r="BA361" i="1" l="1"/>
  <c r="S362" i="1"/>
  <c r="AA361" i="1"/>
  <c r="AB354" i="1"/>
  <c r="AC354" i="1" s="1"/>
  <c r="T355" i="1"/>
  <c r="U354" i="1"/>
  <c r="V354" i="1"/>
  <c r="BA362" i="1" l="1"/>
  <c r="AA362" i="1"/>
  <c r="S363" i="1"/>
  <c r="AB355" i="1"/>
  <c r="AC355" i="1" s="1"/>
  <c r="V355" i="1"/>
  <c r="U355" i="1"/>
  <c r="T356" i="1"/>
  <c r="BA363" i="1" l="1"/>
  <c r="S364" i="1"/>
  <c r="AA363" i="1"/>
  <c r="AB356" i="1"/>
  <c r="AC356" i="1" s="1"/>
  <c r="T357" i="1"/>
  <c r="V356" i="1"/>
  <c r="U356" i="1"/>
  <c r="BA364" i="1" l="1"/>
  <c r="AA364" i="1"/>
  <c r="S365" i="1"/>
  <c r="AB357" i="1"/>
  <c r="AC357" i="1" s="1"/>
  <c r="T358" i="1"/>
  <c r="U357" i="1"/>
  <c r="V357" i="1"/>
  <c r="BA365" i="1" l="1"/>
  <c r="S366" i="1"/>
  <c r="AA365" i="1"/>
  <c r="AB358" i="1"/>
  <c r="AC358" i="1" s="1"/>
  <c r="T359" i="1"/>
  <c r="V358" i="1"/>
  <c r="U358" i="1"/>
  <c r="BA366" i="1" l="1"/>
  <c r="S367" i="1"/>
  <c r="AA366" i="1"/>
  <c r="AB359" i="1"/>
  <c r="AC359" i="1" s="1"/>
  <c r="T360" i="1"/>
  <c r="V359" i="1"/>
  <c r="U359" i="1"/>
  <c r="BA367" i="1" l="1"/>
  <c r="S368" i="1"/>
  <c r="AA367" i="1"/>
  <c r="AB360" i="1"/>
  <c r="AC360" i="1" s="1"/>
  <c r="T361" i="1"/>
  <c r="V360" i="1"/>
  <c r="U360" i="1"/>
  <c r="BA368" i="1" l="1"/>
  <c r="S369" i="1"/>
  <c r="AA368" i="1"/>
  <c r="AB361" i="1"/>
  <c r="AC361" i="1" s="1"/>
  <c r="T362" i="1"/>
  <c r="V361" i="1"/>
  <c r="U361" i="1"/>
  <c r="BA369" i="1" l="1"/>
  <c r="S370" i="1"/>
  <c r="AA369" i="1"/>
  <c r="AB362" i="1"/>
  <c r="AC362" i="1" s="1"/>
  <c r="T363" i="1"/>
  <c r="U362" i="1"/>
  <c r="V362" i="1"/>
  <c r="BA370" i="1" l="1"/>
  <c r="S371" i="1"/>
  <c r="AA370" i="1"/>
  <c r="AB363" i="1"/>
  <c r="AC363" i="1" s="1"/>
  <c r="T364" i="1"/>
  <c r="U363" i="1"/>
  <c r="V363" i="1"/>
  <c r="BA371" i="1" l="1"/>
  <c r="S372" i="1"/>
  <c r="AA371" i="1"/>
  <c r="AB364" i="1"/>
  <c r="AC364" i="1" s="1"/>
  <c r="T365" i="1"/>
  <c r="V364" i="1"/>
  <c r="U364" i="1"/>
  <c r="BA372" i="1" l="1"/>
  <c r="AA372" i="1"/>
  <c r="S373" i="1"/>
  <c r="AB365" i="1"/>
  <c r="AC365" i="1" s="1"/>
  <c r="T366" i="1"/>
  <c r="U365" i="1"/>
  <c r="V365" i="1"/>
  <c r="BA373" i="1" l="1"/>
  <c r="AA373" i="1"/>
  <c r="S374" i="1"/>
  <c r="AB366" i="1"/>
  <c r="AC366" i="1" s="1"/>
  <c r="T367" i="1"/>
  <c r="U366" i="1"/>
  <c r="V366" i="1"/>
  <c r="BA374" i="1" l="1"/>
  <c r="AA374" i="1"/>
  <c r="S375" i="1"/>
  <c r="AB367" i="1"/>
  <c r="AC367" i="1" s="1"/>
  <c r="T368" i="1"/>
  <c r="U367" i="1"/>
  <c r="V367" i="1"/>
  <c r="BA375" i="1" l="1"/>
  <c r="AA375" i="1"/>
  <c r="S376" i="1"/>
  <c r="AB368" i="1"/>
  <c r="AC368" i="1" s="1"/>
  <c r="T369" i="1"/>
  <c r="U368" i="1"/>
  <c r="V368" i="1"/>
  <c r="BA376" i="1" l="1"/>
  <c r="AA376" i="1"/>
  <c r="S377" i="1"/>
  <c r="AB369" i="1"/>
  <c r="AC369" i="1" s="1"/>
  <c r="T370" i="1"/>
  <c r="U369" i="1"/>
  <c r="V369" i="1"/>
  <c r="BA377" i="1" l="1"/>
  <c r="S378" i="1"/>
  <c r="AA377" i="1"/>
  <c r="AB370" i="1"/>
  <c r="AC370" i="1" s="1"/>
  <c r="T371" i="1"/>
  <c r="U370" i="1"/>
  <c r="V370" i="1"/>
  <c r="BA378" i="1" l="1"/>
  <c r="S379" i="1"/>
  <c r="AA378" i="1"/>
  <c r="AB371" i="1"/>
  <c r="AC371" i="1" s="1"/>
  <c r="T372" i="1"/>
  <c r="U371" i="1"/>
  <c r="V371" i="1"/>
  <c r="BA379" i="1" l="1"/>
  <c r="AA379" i="1"/>
  <c r="S380" i="1"/>
  <c r="T373" i="1"/>
  <c r="U372" i="1"/>
  <c r="AB372" i="1"/>
  <c r="AC372" i="1" s="1"/>
  <c r="V372" i="1"/>
  <c r="BA380" i="1" l="1"/>
  <c r="S381" i="1"/>
  <c r="AA380" i="1"/>
  <c r="T374" i="1"/>
  <c r="AB373" i="1"/>
  <c r="AC373" i="1" s="1"/>
  <c r="U373" i="1"/>
  <c r="V373" i="1"/>
  <c r="BA381" i="1" l="1"/>
  <c r="AA381" i="1"/>
  <c r="S382" i="1"/>
  <c r="AB374" i="1"/>
  <c r="AC374" i="1" s="1"/>
  <c r="T375" i="1"/>
  <c r="U374" i="1"/>
  <c r="V374" i="1"/>
  <c r="BA382" i="1" l="1"/>
  <c r="S383" i="1"/>
  <c r="AA382" i="1"/>
  <c r="V375" i="1"/>
  <c r="U375" i="1"/>
  <c r="AB375" i="1"/>
  <c r="AC375" i="1" s="1"/>
  <c r="T376" i="1"/>
  <c r="BA383" i="1" l="1"/>
  <c r="S384" i="1"/>
  <c r="AA383" i="1"/>
  <c r="T377" i="1"/>
  <c r="V376" i="1"/>
  <c r="AB376" i="1"/>
  <c r="AC376" i="1" s="1"/>
  <c r="U376" i="1"/>
  <c r="BA384" i="1" l="1"/>
  <c r="AA384" i="1"/>
  <c r="S385" i="1"/>
  <c r="AB377" i="1"/>
  <c r="AC377" i="1" s="1"/>
  <c r="T378" i="1"/>
  <c r="U377" i="1"/>
  <c r="V377" i="1"/>
  <c r="BA385" i="1" l="1"/>
  <c r="AA385" i="1"/>
  <c r="S386" i="1"/>
  <c r="AB378" i="1"/>
  <c r="AC378" i="1" s="1"/>
  <c r="T379" i="1"/>
  <c r="V378" i="1"/>
  <c r="U378" i="1"/>
  <c r="BA386" i="1" l="1"/>
  <c r="S387" i="1"/>
  <c r="AA386" i="1"/>
  <c r="T380" i="1"/>
  <c r="AB379" i="1"/>
  <c r="AC379" i="1" s="1"/>
  <c r="V379" i="1"/>
  <c r="U379" i="1"/>
  <c r="BA387" i="1" l="1"/>
  <c r="AA387" i="1"/>
  <c r="S388" i="1"/>
  <c r="U380" i="1"/>
  <c r="AB380" i="1"/>
  <c r="AC380" i="1" s="1"/>
  <c r="V380" i="1"/>
  <c r="T381" i="1"/>
  <c r="BA388" i="1" l="1"/>
  <c r="AA388" i="1"/>
  <c r="S389" i="1"/>
  <c r="AB381" i="1"/>
  <c r="AC381" i="1" s="1"/>
  <c r="T382" i="1"/>
  <c r="V381" i="1"/>
  <c r="U381" i="1"/>
  <c r="BA389" i="1" l="1"/>
  <c r="S390" i="1"/>
  <c r="AA389" i="1"/>
  <c r="AB382" i="1"/>
  <c r="AC382" i="1" s="1"/>
  <c r="T383" i="1"/>
  <c r="V382" i="1"/>
  <c r="U382" i="1"/>
  <c r="BA390" i="1" l="1"/>
  <c r="S391" i="1"/>
  <c r="AA390" i="1"/>
  <c r="AB383" i="1"/>
  <c r="AC383" i="1" s="1"/>
  <c r="T384" i="1"/>
  <c r="U383" i="1"/>
  <c r="V383" i="1"/>
  <c r="BA391" i="1" l="1"/>
  <c r="S392" i="1"/>
  <c r="AA391" i="1"/>
  <c r="U384" i="1"/>
  <c r="V384" i="1"/>
  <c r="AB384" i="1"/>
  <c r="AC384" i="1" s="1"/>
  <c r="T385" i="1"/>
  <c r="BA392" i="1" l="1"/>
  <c r="S393" i="1"/>
  <c r="AA392" i="1"/>
  <c r="AB385" i="1"/>
  <c r="AC385" i="1" s="1"/>
  <c r="V385" i="1"/>
  <c r="T386" i="1"/>
  <c r="U385" i="1"/>
  <c r="BA393" i="1" l="1"/>
  <c r="AA393" i="1"/>
  <c r="S394" i="1"/>
  <c r="AB386" i="1"/>
  <c r="AC386" i="1" s="1"/>
  <c r="V386" i="1"/>
  <c r="U386" i="1"/>
  <c r="T387" i="1"/>
  <c r="BA394" i="1" l="1"/>
  <c r="S395" i="1"/>
  <c r="AA394" i="1"/>
  <c r="AB387" i="1"/>
  <c r="AC387" i="1" s="1"/>
  <c r="U387" i="1"/>
  <c r="V387" i="1"/>
  <c r="T388" i="1"/>
  <c r="BA395" i="1" l="1"/>
  <c r="AA395" i="1"/>
  <c r="S396" i="1"/>
  <c r="V388" i="1"/>
  <c r="U388" i="1"/>
  <c r="AB388" i="1"/>
  <c r="AC388" i="1" s="1"/>
  <c r="T389" i="1"/>
  <c r="BA396" i="1" l="1"/>
  <c r="S397" i="1"/>
  <c r="AA396" i="1"/>
  <c r="AB389" i="1"/>
  <c r="AC389" i="1" s="1"/>
  <c r="T390" i="1"/>
  <c r="V389" i="1"/>
  <c r="U389" i="1"/>
  <c r="BA397" i="1" l="1"/>
  <c r="S398" i="1"/>
  <c r="AA397" i="1"/>
  <c r="AB390" i="1"/>
  <c r="AC390" i="1" s="1"/>
  <c r="U390" i="1"/>
  <c r="V390" i="1"/>
  <c r="T391" i="1"/>
  <c r="BA398" i="1" l="1"/>
  <c r="AA398" i="1"/>
  <c r="S399" i="1"/>
  <c r="U391" i="1"/>
  <c r="T392" i="1"/>
  <c r="AB391" i="1"/>
  <c r="AC391" i="1" s="1"/>
  <c r="V391" i="1"/>
  <c r="BA399" i="1" l="1"/>
  <c r="AA399" i="1"/>
  <c r="S400" i="1"/>
  <c r="AB392" i="1"/>
  <c r="AC392" i="1" s="1"/>
  <c r="T393" i="1"/>
  <c r="V392" i="1"/>
  <c r="U392" i="1"/>
  <c r="BA400" i="1" l="1"/>
  <c r="AA400" i="1"/>
  <c r="S401" i="1"/>
  <c r="AB393" i="1"/>
  <c r="AC393" i="1" s="1"/>
  <c r="T394" i="1"/>
  <c r="V393" i="1"/>
  <c r="U393" i="1"/>
  <c r="BA401" i="1" l="1"/>
  <c r="AA401" i="1"/>
  <c r="S402" i="1"/>
  <c r="V394" i="1"/>
  <c r="AB394" i="1"/>
  <c r="AC394" i="1" s="1"/>
  <c r="U394" i="1"/>
  <c r="T395" i="1"/>
  <c r="BA402" i="1" l="1"/>
  <c r="AA402" i="1"/>
  <c r="S403" i="1"/>
  <c r="T396" i="1"/>
  <c r="AB395" i="1"/>
  <c r="AC395" i="1" s="1"/>
  <c r="V395" i="1"/>
  <c r="U395" i="1"/>
  <c r="BA403" i="1" l="1"/>
  <c r="AA403" i="1"/>
  <c r="S404" i="1"/>
  <c r="AB396" i="1"/>
  <c r="AC396" i="1" s="1"/>
  <c r="V396" i="1"/>
  <c r="U396" i="1"/>
  <c r="T397" i="1"/>
  <c r="BA404" i="1" l="1"/>
  <c r="S405" i="1"/>
  <c r="AA404" i="1"/>
  <c r="AB397" i="1"/>
  <c r="AC397" i="1" s="1"/>
  <c r="U397" i="1"/>
  <c r="V397" i="1"/>
  <c r="T398" i="1"/>
  <c r="BA405" i="1" l="1"/>
  <c r="AA405" i="1"/>
  <c r="S406" i="1"/>
  <c r="T399" i="1"/>
  <c r="V398" i="1"/>
  <c r="AB398" i="1"/>
  <c r="AC398" i="1" s="1"/>
  <c r="U398" i="1"/>
  <c r="BA406" i="1" l="1"/>
  <c r="S407" i="1"/>
  <c r="AA406" i="1"/>
  <c r="AB399" i="1"/>
  <c r="AC399" i="1" s="1"/>
  <c r="U399" i="1"/>
  <c r="T400" i="1"/>
  <c r="V399" i="1"/>
  <c r="BA407" i="1" l="1"/>
  <c r="AA407" i="1"/>
  <c r="S408" i="1"/>
  <c r="AB400" i="1"/>
  <c r="AC400" i="1" s="1"/>
  <c r="T401" i="1"/>
  <c r="U400" i="1"/>
  <c r="V400" i="1"/>
  <c r="BA408" i="1" l="1"/>
  <c r="AA408" i="1"/>
  <c r="S409" i="1"/>
  <c r="T402" i="1"/>
  <c r="U401" i="1"/>
  <c r="V401" i="1"/>
  <c r="AB401" i="1"/>
  <c r="AC401" i="1" s="1"/>
  <c r="BA409" i="1" l="1"/>
  <c r="AA409" i="1"/>
  <c r="S410" i="1"/>
  <c r="AB402" i="1"/>
  <c r="AC402" i="1" s="1"/>
  <c r="T403" i="1"/>
  <c r="V402" i="1"/>
  <c r="U402" i="1"/>
  <c r="BA410" i="1" l="1"/>
  <c r="AA410" i="1"/>
  <c r="S411" i="1"/>
  <c r="AB403" i="1"/>
  <c r="AC403" i="1" s="1"/>
  <c r="T404" i="1"/>
  <c r="U403" i="1"/>
  <c r="V403" i="1"/>
  <c r="BA411" i="1" l="1"/>
  <c r="AA411" i="1"/>
  <c r="S412" i="1"/>
  <c r="AB404" i="1"/>
  <c r="AC404" i="1" s="1"/>
  <c r="T405" i="1"/>
  <c r="V404" i="1"/>
  <c r="U404" i="1"/>
  <c r="BA412" i="1" l="1"/>
  <c r="AA412" i="1"/>
  <c r="S413" i="1"/>
  <c r="U405" i="1"/>
  <c r="V405" i="1"/>
  <c r="AB405" i="1"/>
  <c r="AC405" i="1" s="1"/>
  <c r="T406" i="1"/>
  <c r="BA413" i="1" l="1"/>
  <c r="AA413" i="1"/>
  <c r="S414" i="1"/>
  <c r="AB406" i="1"/>
  <c r="AC406" i="1" s="1"/>
  <c r="T407" i="1"/>
  <c r="U406" i="1"/>
  <c r="V406" i="1"/>
  <c r="BA414" i="1" l="1"/>
  <c r="S415" i="1"/>
  <c r="AA414" i="1"/>
  <c r="T408" i="1"/>
  <c r="AB407" i="1"/>
  <c r="AC407" i="1" s="1"/>
  <c r="U407" i="1"/>
  <c r="V407" i="1"/>
  <c r="BA415" i="1" l="1"/>
  <c r="AA415" i="1"/>
  <c r="S416" i="1"/>
  <c r="T409" i="1"/>
  <c r="AB408" i="1"/>
  <c r="AC408" i="1" s="1"/>
  <c r="U408" i="1"/>
  <c r="V408" i="1"/>
  <c r="BA416" i="1" l="1"/>
  <c r="S417" i="1"/>
  <c r="AA416" i="1"/>
  <c r="AB409" i="1"/>
  <c r="AC409" i="1" s="1"/>
  <c r="U409" i="1"/>
  <c r="T410" i="1"/>
  <c r="V409" i="1"/>
  <c r="BA417" i="1" l="1"/>
  <c r="S418" i="1"/>
  <c r="AA417" i="1"/>
  <c r="AB410" i="1"/>
  <c r="AC410" i="1" s="1"/>
  <c r="T411" i="1"/>
  <c r="V410" i="1"/>
  <c r="U410" i="1"/>
  <c r="BA418" i="1" l="1"/>
  <c r="S419" i="1"/>
  <c r="AA418" i="1"/>
  <c r="AB411" i="1"/>
  <c r="AC411" i="1" s="1"/>
  <c r="T412" i="1"/>
  <c r="V411" i="1"/>
  <c r="U411" i="1"/>
  <c r="BA419" i="1" l="1"/>
  <c r="AA419" i="1"/>
  <c r="S420" i="1"/>
  <c r="V412" i="1"/>
  <c r="AB412" i="1"/>
  <c r="AC412" i="1" s="1"/>
  <c r="T413" i="1"/>
  <c r="U412" i="1"/>
  <c r="BA420" i="1" l="1"/>
  <c r="S421" i="1"/>
  <c r="AA420" i="1"/>
  <c r="AB413" i="1"/>
  <c r="AC413" i="1" s="1"/>
  <c r="T414" i="1"/>
  <c r="U413" i="1"/>
  <c r="V413" i="1"/>
  <c r="BA421" i="1" l="1"/>
  <c r="AA421" i="1"/>
  <c r="S422" i="1"/>
  <c r="AB414" i="1"/>
  <c r="AC414" i="1" s="1"/>
  <c r="T415" i="1"/>
  <c r="U414" i="1"/>
  <c r="V414" i="1"/>
  <c r="BA422" i="1" l="1"/>
  <c r="S423" i="1"/>
  <c r="AA422" i="1"/>
  <c r="U415" i="1"/>
  <c r="T416" i="1"/>
  <c r="AB415" i="1"/>
  <c r="AC415" i="1" s="1"/>
  <c r="V415" i="1"/>
  <c r="BA423" i="1" l="1"/>
  <c r="AA423" i="1"/>
  <c r="S424" i="1"/>
  <c r="T417" i="1"/>
  <c r="AB416" i="1"/>
  <c r="AC416" i="1" s="1"/>
  <c r="V416" i="1"/>
  <c r="U416" i="1"/>
  <c r="BA424" i="1" l="1"/>
  <c r="S425" i="1"/>
  <c r="AA424" i="1"/>
  <c r="AB417" i="1"/>
  <c r="AC417" i="1" s="1"/>
  <c r="T418" i="1"/>
  <c r="U417" i="1"/>
  <c r="V417" i="1"/>
  <c r="BA425" i="1" l="1"/>
  <c r="S426" i="1"/>
  <c r="AA425" i="1"/>
  <c r="V418" i="1"/>
  <c r="AB418" i="1"/>
  <c r="AC418" i="1" s="1"/>
  <c r="T419" i="1"/>
  <c r="U418" i="1"/>
  <c r="BA426" i="1" l="1"/>
  <c r="S427" i="1"/>
  <c r="AA426" i="1"/>
  <c r="AB419" i="1"/>
  <c r="AC419" i="1" s="1"/>
  <c r="T420" i="1"/>
  <c r="U419" i="1"/>
  <c r="V419" i="1"/>
  <c r="BA427" i="1" l="1"/>
  <c r="S428" i="1"/>
  <c r="AA427" i="1"/>
  <c r="AB420" i="1"/>
  <c r="AC420" i="1" s="1"/>
  <c r="T421" i="1"/>
  <c r="U420" i="1"/>
  <c r="V420" i="1"/>
  <c r="BA428" i="1" l="1"/>
  <c r="S429" i="1"/>
  <c r="AA428" i="1"/>
  <c r="AB421" i="1"/>
  <c r="AC421" i="1" s="1"/>
  <c r="T422" i="1"/>
  <c r="U421" i="1"/>
  <c r="V421" i="1"/>
  <c r="BA429" i="1" l="1"/>
  <c r="S430" i="1"/>
  <c r="AA429" i="1"/>
  <c r="T423" i="1"/>
  <c r="V422" i="1"/>
  <c r="AB422" i="1"/>
  <c r="AC422" i="1" s="1"/>
  <c r="U422" i="1"/>
  <c r="BA430" i="1" l="1"/>
  <c r="AA430" i="1"/>
  <c r="S431" i="1"/>
  <c r="AB423" i="1"/>
  <c r="AC423" i="1" s="1"/>
  <c r="T424" i="1"/>
  <c r="V423" i="1"/>
  <c r="U423" i="1"/>
  <c r="BA431" i="1" l="1"/>
  <c r="S432" i="1"/>
  <c r="AA431" i="1"/>
  <c r="AB424" i="1"/>
  <c r="AC424" i="1" s="1"/>
  <c r="U424" i="1"/>
  <c r="V424" i="1"/>
  <c r="T425" i="1"/>
  <c r="BA432" i="1" l="1"/>
  <c r="S433" i="1"/>
  <c r="AA432" i="1"/>
  <c r="T426" i="1"/>
  <c r="AB425" i="1"/>
  <c r="AC425" i="1" s="1"/>
  <c r="U425" i="1"/>
  <c r="V425" i="1"/>
  <c r="BA433" i="1" l="1"/>
  <c r="S434" i="1"/>
  <c r="AA433" i="1"/>
  <c r="AB426" i="1"/>
  <c r="AC426" i="1" s="1"/>
  <c r="T427" i="1"/>
  <c r="U426" i="1"/>
  <c r="V426" i="1"/>
  <c r="BA434" i="1" l="1"/>
  <c r="AA434" i="1"/>
  <c r="S435" i="1"/>
  <c r="AB427" i="1"/>
  <c r="AC427" i="1" s="1"/>
  <c r="T428" i="1"/>
  <c r="U427" i="1"/>
  <c r="V427" i="1"/>
  <c r="BA435" i="1" l="1"/>
  <c r="AA435" i="1"/>
  <c r="S436" i="1"/>
  <c r="AB428" i="1"/>
  <c r="AC428" i="1" s="1"/>
  <c r="T429" i="1"/>
  <c r="U428" i="1"/>
  <c r="V428" i="1"/>
  <c r="BA436" i="1" l="1"/>
  <c r="AA436" i="1"/>
  <c r="S437" i="1"/>
  <c r="T430" i="1"/>
  <c r="V429" i="1"/>
  <c r="AB429" i="1"/>
  <c r="AC429" i="1" s="1"/>
  <c r="U429" i="1"/>
  <c r="BA437" i="1" l="1"/>
  <c r="S438" i="1"/>
  <c r="AA437" i="1"/>
  <c r="T431" i="1"/>
  <c r="AB430" i="1"/>
  <c r="AC430" i="1" s="1"/>
  <c r="V430" i="1"/>
  <c r="U430" i="1"/>
  <c r="BA438" i="1" l="1"/>
  <c r="AA438" i="1"/>
  <c r="S439" i="1"/>
  <c r="T432" i="1"/>
  <c r="V431" i="1"/>
  <c r="AB431" i="1"/>
  <c r="AC431" i="1" s="1"/>
  <c r="U431" i="1"/>
  <c r="BA439" i="1" l="1"/>
  <c r="AA439" i="1"/>
  <c r="S440" i="1"/>
  <c r="AB432" i="1"/>
  <c r="AC432" i="1" s="1"/>
  <c r="U432" i="1"/>
  <c r="V432" i="1"/>
  <c r="T433" i="1"/>
  <c r="BA440" i="1" l="1"/>
  <c r="AA440" i="1"/>
  <c r="S441" i="1"/>
  <c r="AB433" i="1"/>
  <c r="AC433" i="1" s="1"/>
  <c r="V433" i="1"/>
  <c r="U433" i="1"/>
  <c r="T434" i="1"/>
  <c r="BA441" i="1" l="1"/>
  <c r="AA441" i="1"/>
  <c r="S442" i="1"/>
  <c r="AB434" i="1"/>
  <c r="AC434" i="1" s="1"/>
  <c r="U434" i="1"/>
  <c r="T435" i="1"/>
  <c r="V434" i="1"/>
  <c r="BA442" i="1" l="1"/>
  <c r="S443" i="1"/>
  <c r="AA442" i="1"/>
  <c r="AB435" i="1"/>
  <c r="AC435" i="1" s="1"/>
  <c r="T436" i="1"/>
  <c r="U435" i="1"/>
  <c r="V435" i="1"/>
  <c r="BA443" i="1" l="1"/>
  <c r="AA443" i="1"/>
  <c r="S444" i="1"/>
  <c r="AB436" i="1"/>
  <c r="AC436" i="1" s="1"/>
  <c r="U436" i="1"/>
  <c r="V436" i="1"/>
  <c r="T437" i="1"/>
  <c r="BA444" i="1" l="1"/>
  <c r="S445" i="1"/>
  <c r="AA444" i="1"/>
  <c r="T438" i="1"/>
  <c r="AB437" i="1"/>
  <c r="AC437" i="1" s="1"/>
  <c r="U437" i="1"/>
  <c r="V437" i="1"/>
  <c r="BA445" i="1" l="1"/>
  <c r="S446" i="1"/>
  <c r="AA445" i="1"/>
  <c r="AB438" i="1"/>
  <c r="AC438" i="1" s="1"/>
  <c r="T439" i="1"/>
  <c r="V438" i="1"/>
  <c r="U438" i="1"/>
  <c r="BA446" i="1" l="1"/>
  <c r="AA446" i="1"/>
  <c r="S447" i="1"/>
  <c r="AB439" i="1"/>
  <c r="AC439" i="1" s="1"/>
  <c r="T440" i="1"/>
  <c r="V439" i="1"/>
  <c r="U439" i="1"/>
  <c r="BA447" i="1" l="1"/>
  <c r="AA447" i="1"/>
  <c r="S448" i="1"/>
  <c r="AB440" i="1"/>
  <c r="AC440" i="1" s="1"/>
  <c r="T441" i="1"/>
  <c r="U440" i="1"/>
  <c r="V440" i="1"/>
  <c r="BA448" i="1" l="1"/>
  <c r="AA448" i="1"/>
  <c r="S449" i="1"/>
  <c r="AB441" i="1"/>
  <c r="AC441" i="1" s="1"/>
  <c r="U441" i="1"/>
  <c r="V441" i="1"/>
  <c r="T442" i="1"/>
  <c r="BA449" i="1" l="1"/>
  <c r="AA449" i="1"/>
  <c r="S450" i="1"/>
  <c r="AB442" i="1"/>
  <c r="AC442" i="1" s="1"/>
  <c r="V442" i="1"/>
  <c r="T443" i="1"/>
  <c r="U442" i="1"/>
  <c r="BF450" i="1" l="1"/>
  <c r="BG450" i="1"/>
  <c r="BA450" i="1"/>
  <c r="AA450" i="1"/>
  <c r="S451" i="1"/>
  <c r="AB443" i="1"/>
  <c r="AC443" i="1" s="1"/>
  <c r="U443" i="1"/>
  <c r="V443" i="1"/>
  <c r="T444" i="1"/>
  <c r="AG451" i="1" l="1"/>
  <c r="BA451" i="1"/>
  <c r="S452" i="1"/>
  <c r="AA451" i="1"/>
  <c r="AB444" i="1"/>
  <c r="AC444" i="1" s="1"/>
  <c r="V444" i="1"/>
  <c r="U444" i="1"/>
  <c r="T445" i="1"/>
  <c r="AG452" i="1" l="1"/>
  <c r="BF452" i="1"/>
  <c r="BG452" i="1"/>
  <c r="BE452" i="1"/>
  <c r="BD452" i="1"/>
  <c r="BA452" i="1"/>
  <c r="AA452" i="1"/>
  <c r="S453" i="1"/>
  <c r="AB445" i="1"/>
  <c r="AC445" i="1" s="1"/>
  <c r="T446" i="1"/>
  <c r="U445" i="1"/>
  <c r="V445" i="1"/>
  <c r="AG453" i="1" l="1"/>
  <c r="BR453" i="1"/>
  <c r="BQ453" i="1" s="1"/>
  <c r="BA453" i="1"/>
  <c r="AA453" i="1"/>
  <c r="S454" i="1"/>
  <c r="T447" i="1"/>
  <c r="V446" i="1"/>
  <c r="AB446" i="1"/>
  <c r="AC446" i="1" s="1"/>
  <c r="U446" i="1"/>
  <c r="AG454" i="1" l="1"/>
  <c r="BD454" i="1"/>
  <c r="BF454" i="1"/>
  <c r="BG454" i="1"/>
  <c r="BE454" i="1"/>
  <c r="BA454" i="1"/>
  <c r="AA454" i="1"/>
  <c r="S455" i="1"/>
  <c r="AB447" i="1"/>
  <c r="AC447" i="1" s="1"/>
  <c r="V447" i="1"/>
  <c r="T448" i="1"/>
  <c r="U447" i="1"/>
  <c r="AG455" i="1" l="1"/>
  <c r="BA455" i="1"/>
  <c r="AA455" i="1"/>
  <c r="S456" i="1"/>
  <c r="AB448" i="1"/>
  <c r="AC448" i="1" s="1"/>
  <c r="T449" i="1"/>
  <c r="U448" i="1"/>
  <c r="V448" i="1"/>
  <c r="AG456" i="1" l="1"/>
  <c r="BG456" i="1"/>
  <c r="BD456" i="1"/>
  <c r="BF456" i="1"/>
  <c r="BE456" i="1"/>
  <c r="BA456" i="1"/>
  <c r="AA456" i="1"/>
  <c r="S457" i="1"/>
  <c r="AB449" i="1"/>
  <c r="AC449" i="1" s="1"/>
  <c r="V449" i="1"/>
  <c r="U449" i="1"/>
  <c r="T450" i="1"/>
  <c r="AX450" i="1" l="1" a="1"/>
  <c r="AX450" i="1" s="1"/>
  <c r="AY450" i="1" a="1"/>
  <c r="AY450" i="1" s="1"/>
  <c r="AW450" i="1" a="1"/>
  <c r="AW450" i="1" s="1"/>
  <c r="AG457" i="1"/>
  <c r="BA457" i="1"/>
  <c r="AA457" i="1"/>
  <c r="S458" i="1"/>
  <c r="AB450" i="1"/>
  <c r="AC450" i="1" s="1"/>
  <c r="T451" i="1"/>
  <c r="V450" i="1"/>
  <c r="AU450" i="1" s="1"/>
  <c r="U450" i="1"/>
  <c r="AT450" i="1" s="1"/>
  <c r="AP450" i="1" l="1"/>
  <c r="AD450" i="1"/>
  <c r="AF450" i="1"/>
  <c r="AN450" i="1"/>
  <c r="AR450" i="1" s="1"/>
  <c r="AO450" i="1"/>
  <c r="AG458" i="1"/>
  <c r="BD458" i="1"/>
  <c r="BE458" i="1"/>
  <c r="BF458" i="1"/>
  <c r="BG458" i="1"/>
  <c r="BA458" i="1"/>
  <c r="AA458" i="1"/>
  <c r="S459" i="1"/>
  <c r="BR459" i="1" s="1"/>
  <c r="BQ459" i="1" s="1"/>
  <c r="AB451" i="1"/>
  <c r="AC451" i="1" s="1"/>
  <c r="T452" i="1"/>
  <c r="U451" i="1"/>
  <c r="AT451" i="1" s="1"/>
  <c r="V451" i="1"/>
  <c r="AU451" i="1" s="1"/>
  <c r="AD451" i="1" l="1"/>
  <c r="BJ451" i="1"/>
  <c r="BK451" i="1" s="1"/>
  <c r="BN451" i="1"/>
  <c r="BO451" i="1" s="1"/>
  <c r="BP451" i="1" s="1"/>
  <c r="BI450" i="1"/>
  <c r="BK450" i="1"/>
  <c r="BJ450" i="1"/>
  <c r="BH450" i="1" s="1" a="1"/>
  <c r="BH450" i="1" s="1"/>
  <c r="BH451" i="1" s="1" a="1"/>
  <c r="BH451" i="1" s="1"/>
  <c r="BN450" i="1"/>
  <c r="BO450" i="1" s="1"/>
  <c r="AP451" i="1"/>
  <c r="AO451" i="1"/>
  <c r="AM450" i="1"/>
  <c r="AQ450" i="1" s="1"/>
  <c r="AF451" i="1"/>
  <c r="BI451" i="1" s="1"/>
  <c r="AE451" i="1"/>
  <c r="AN451" i="1"/>
  <c r="AR451" i="1" s="1"/>
  <c r="BF459" i="1"/>
  <c r="BG459" i="1"/>
  <c r="BA459" i="1"/>
  <c r="AA459" i="1"/>
  <c r="S460" i="1"/>
  <c r="BR460" i="1" s="1"/>
  <c r="BQ460" i="1" s="1"/>
  <c r="AB452" i="1"/>
  <c r="AC452" i="1" s="1"/>
  <c r="AD452" i="1" s="1"/>
  <c r="T453" i="1"/>
  <c r="U452" i="1"/>
  <c r="AT452" i="1" s="1"/>
  <c r="V452" i="1"/>
  <c r="AU452" i="1" s="1"/>
  <c r="AE452" i="1" l="1"/>
  <c r="BP450" i="1"/>
  <c r="BJ452" i="1"/>
  <c r="BN452" i="1"/>
  <c r="BO452" i="1" s="1"/>
  <c r="AH450" i="1"/>
  <c r="AP452" i="1"/>
  <c r="AO452" i="1"/>
  <c r="AI452" i="1"/>
  <c r="AJ452" i="1"/>
  <c r="AF452" i="1"/>
  <c r="AN452" i="1"/>
  <c r="AR452" i="1" s="1"/>
  <c r="BF460" i="1"/>
  <c r="BG460" i="1"/>
  <c r="AM451" i="1"/>
  <c r="AQ451" i="1" s="1"/>
  <c r="BA460" i="1"/>
  <c r="S461" i="1"/>
  <c r="AA460" i="1"/>
  <c r="V453" i="1"/>
  <c r="AU453" i="1" s="1"/>
  <c r="AB453" i="1"/>
  <c r="AC453" i="1" s="1"/>
  <c r="AD453" i="1" s="1"/>
  <c r="T454" i="1"/>
  <c r="U453" i="1"/>
  <c r="AT453" i="1" s="1"/>
  <c r="AE453" i="1" l="1"/>
  <c r="BG461" i="1"/>
  <c r="BF461" i="1"/>
  <c r="BK452" i="1"/>
  <c r="BH452" i="1" s="1" a="1"/>
  <c r="BH452" i="1" s="1"/>
  <c r="BH453" i="1" s="1" a="1"/>
  <c r="BH453" i="1" s="1"/>
  <c r="BJ453" i="1"/>
  <c r="BK453" i="1" s="1"/>
  <c r="BN453" i="1"/>
  <c r="BO453" i="1" s="1"/>
  <c r="AS450" i="1"/>
  <c r="BR450" i="1"/>
  <c r="BQ450" i="1" s="1"/>
  <c r="BT450" i="1"/>
  <c r="BS450" i="1" s="1"/>
  <c r="BD461" i="1"/>
  <c r="BE461" i="1"/>
  <c r="AG461" i="1"/>
  <c r="AH451" i="1"/>
  <c r="AM452" i="1"/>
  <c r="AQ452" i="1" s="1"/>
  <c r="AF453" i="1"/>
  <c r="BI452" i="1"/>
  <c r="BP452" i="1" s="1"/>
  <c r="BA461" i="1"/>
  <c r="AA461" i="1"/>
  <c r="S462" i="1"/>
  <c r="BR462" i="1" s="1"/>
  <c r="BQ462" i="1" s="1"/>
  <c r="AB454" i="1"/>
  <c r="AC454" i="1" s="1"/>
  <c r="AD454" i="1" s="1"/>
  <c r="T455" i="1"/>
  <c r="U454" i="1"/>
  <c r="AT454" i="1" s="1"/>
  <c r="V454" i="1"/>
  <c r="AU454" i="1" s="1"/>
  <c r="AE454" i="1" l="1"/>
  <c r="BJ454" i="1"/>
  <c r="BK454" i="1" s="1"/>
  <c r="BN454" i="1"/>
  <c r="BO454" i="1" s="1"/>
  <c r="AS451" i="1"/>
  <c r="BR451" i="1"/>
  <c r="BQ451" i="1" s="1"/>
  <c r="BT451" i="1"/>
  <c r="AP454" i="1"/>
  <c r="AP455" i="1" s="1"/>
  <c r="AO454" i="1"/>
  <c r="AO455" i="1" s="1"/>
  <c r="AJ454" i="1"/>
  <c r="AI454" i="1"/>
  <c r="AN454" i="1"/>
  <c r="AG462" i="1"/>
  <c r="AG463" i="1" s="1"/>
  <c r="AF454" i="1"/>
  <c r="BI453" i="1"/>
  <c r="BP453" i="1" s="1"/>
  <c r="Y452" i="1" a="1"/>
  <c r="Y452" i="1" s="1"/>
  <c r="AH452" i="1" s="1"/>
  <c r="BA462" i="1"/>
  <c r="S463" i="1"/>
  <c r="AA462" i="1"/>
  <c r="AB455" i="1"/>
  <c r="AC455" i="1" s="1"/>
  <c r="T456" i="1"/>
  <c r="U455" i="1"/>
  <c r="AT455" i="1" s="1"/>
  <c r="V455" i="1"/>
  <c r="AU455" i="1" s="1"/>
  <c r="AE455" i="1" l="1"/>
  <c r="BS451" i="1"/>
  <c r="BH454" i="1" a="1"/>
  <c r="BH454" i="1" s="1"/>
  <c r="AN455" i="1"/>
  <c r="AD455" i="1"/>
  <c r="AS452" i="1"/>
  <c r="BR452" i="1"/>
  <c r="BQ452" i="1" s="1"/>
  <c r="BT452" i="1"/>
  <c r="AR455" i="1"/>
  <c r="AM455" i="1"/>
  <c r="BE463" i="1"/>
  <c r="BD463" i="1"/>
  <c r="BF463" i="1"/>
  <c r="BG463" i="1"/>
  <c r="AF455" i="1"/>
  <c r="BI454" i="1"/>
  <c r="BP454" i="1" s="1"/>
  <c r="AR454" i="1"/>
  <c r="AM454" i="1"/>
  <c r="BA463" i="1"/>
  <c r="AA463" i="1"/>
  <c r="S464" i="1"/>
  <c r="AB456" i="1"/>
  <c r="AC456" i="1" s="1"/>
  <c r="AD456" i="1" s="1"/>
  <c r="T457" i="1"/>
  <c r="U456" i="1"/>
  <c r="AT456" i="1" s="1"/>
  <c r="V456" i="1"/>
  <c r="AU456" i="1" s="1"/>
  <c r="AN456" i="1" l="1"/>
  <c r="AO456" i="1"/>
  <c r="AO457" i="1" s="1"/>
  <c r="AP456" i="1"/>
  <c r="AP457" i="1" s="1"/>
  <c r="BS452" i="1"/>
  <c r="BJ455" i="1"/>
  <c r="BK455" i="1" s="1"/>
  <c r="BN455" i="1"/>
  <c r="BO455" i="1" s="1"/>
  <c r="BP455" i="1" s="1"/>
  <c r="AG464" i="1"/>
  <c r="AG465" i="1" s="1"/>
  <c r="BR464" i="1"/>
  <c r="BQ464" i="1" s="1"/>
  <c r="AQ455" i="1"/>
  <c r="AH455" i="1"/>
  <c r="AI456" i="1"/>
  <c r="AJ456" i="1"/>
  <c r="AE456" i="1"/>
  <c r="AE457" i="1" s="1"/>
  <c r="AQ454" i="1"/>
  <c r="Y454" i="1" a="1"/>
  <c r="Y454" i="1" s="1"/>
  <c r="AH454" i="1" s="1"/>
  <c r="AF456" i="1"/>
  <c r="BI455" i="1"/>
  <c r="AM456" i="1"/>
  <c r="AR456" i="1"/>
  <c r="BA464" i="1"/>
  <c r="S465" i="1"/>
  <c r="AA464" i="1"/>
  <c r="AB457" i="1"/>
  <c r="AC457" i="1" s="1"/>
  <c r="T458" i="1"/>
  <c r="V457" i="1"/>
  <c r="AU457" i="1" s="1"/>
  <c r="U457" i="1"/>
  <c r="AT457" i="1" s="1"/>
  <c r="BT455" i="1" l="1"/>
  <c r="X458" i="1" a="1"/>
  <c r="X458" i="1" s="1"/>
  <c r="W458" i="1" s="1" a="1"/>
  <c r="W458" i="1" s="1"/>
  <c r="BH455" i="1" a="1"/>
  <c r="BH455" i="1" s="1"/>
  <c r="BH456" i="1" s="1" a="1"/>
  <c r="BH456" i="1" s="1"/>
  <c r="BN456" i="1"/>
  <c r="BO456" i="1" s="1"/>
  <c r="BJ456" i="1"/>
  <c r="BK456" i="1" s="1"/>
  <c r="BT454" i="1"/>
  <c r="AE458" i="1"/>
  <c r="AN457" i="1"/>
  <c r="AR457" i="1" s="1"/>
  <c r="AD457" i="1"/>
  <c r="AS454" i="1"/>
  <c r="BR454" i="1"/>
  <c r="BQ454" i="1" s="1"/>
  <c r="AS455" i="1"/>
  <c r="BR455" i="1"/>
  <c r="BQ455" i="1" s="1"/>
  <c r="AQ456" i="1"/>
  <c r="Y456" i="1" a="1"/>
  <c r="Y456" i="1" s="1"/>
  <c r="AH456" i="1" s="1"/>
  <c r="AK458" i="1"/>
  <c r="AO458" i="1" s="1"/>
  <c r="AL458" i="1"/>
  <c r="AP458" i="1" s="1"/>
  <c r="AM457" i="1"/>
  <c r="BE465" i="1"/>
  <c r="BF465" i="1"/>
  <c r="BG465" i="1"/>
  <c r="BD465" i="1"/>
  <c r="AF457" i="1"/>
  <c r="BI456" i="1"/>
  <c r="BA465" i="1"/>
  <c r="S466" i="1"/>
  <c r="AA465" i="1"/>
  <c r="AB458" i="1"/>
  <c r="AC458" i="1" s="1"/>
  <c r="AD458" i="1" s="1"/>
  <c r="T459" i="1"/>
  <c r="U458" i="1"/>
  <c r="AT458" i="1" s="1"/>
  <c r="V458" i="1"/>
  <c r="AU458" i="1" s="1"/>
  <c r="BP456" i="1" l="1"/>
  <c r="BH457" i="1" a="1"/>
  <c r="BH457" i="1" s="1"/>
  <c r="BG466" i="1"/>
  <c r="BS454" i="1"/>
  <c r="BT456" i="1"/>
  <c r="BD466" i="1"/>
  <c r="AN458" i="1"/>
  <c r="AX459" i="1" a="1"/>
  <c r="AX459" i="1" s="1"/>
  <c r="AY459" i="1" a="1"/>
  <c r="AY459" i="1" s="1"/>
  <c r="AW459" i="1" a="1"/>
  <c r="AW459" i="1" s="1"/>
  <c r="BS455" i="1"/>
  <c r="BN458" i="1"/>
  <c r="BO458" i="1" s="1"/>
  <c r="BJ458" i="1"/>
  <c r="AS456" i="1"/>
  <c r="BR456" i="1"/>
  <c r="BQ456" i="1" s="1"/>
  <c r="BJ457" i="1"/>
  <c r="BK457" i="1" s="1"/>
  <c r="BN457" i="1"/>
  <c r="BO457" i="1" s="1"/>
  <c r="BP457" i="1" s="1"/>
  <c r="AQ457" i="1"/>
  <c r="AH457" i="1"/>
  <c r="AJ458" i="1"/>
  <c r="AI458" i="1"/>
  <c r="BE466" i="1"/>
  <c r="BF466" i="1"/>
  <c r="AG466" i="1"/>
  <c r="AF458" i="1"/>
  <c r="BI458" i="1" s="1"/>
  <c r="BI457" i="1"/>
  <c r="AR458" i="1"/>
  <c r="AM458" i="1"/>
  <c r="BA466" i="1"/>
  <c r="AA466" i="1"/>
  <c r="S467" i="1"/>
  <c r="AB459" i="1"/>
  <c r="AC459" i="1" s="1"/>
  <c r="V459" i="1"/>
  <c r="AU459" i="1" s="1"/>
  <c r="T460" i="1"/>
  <c r="U459" i="1"/>
  <c r="AT459" i="1" s="1"/>
  <c r="AX460" i="1" l="1" a="1"/>
  <c r="AX460" i="1" s="1"/>
  <c r="AY460" i="1" a="1"/>
  <c r="AY460" i="1" s="1"/>
  <c r="BT457" i="1"/>
  <c r="BK458" i="1"/>
  <c r="BP458" i="1"/>
  <c r="BS456" i="1"/>
  <c r="BH458" i="1" a="1"/>
  <c r="BH458" i="1" s="1"/>
  <c r="AS457" i="1"/>
  <c r="BR457" i="1"/>
  <c r="BQ457" i="1" s="1"/>
  <c r="AD459" i="1"/>
  <c r="AF459" i="1" s="1"/>
  <c r="AG467" i="1"/>
  <c r="AQ458" i="1"/>
  <c r="Y458" i="1" a="1"/>
  <c r="Y458" i="1" s="1"/>
  <c r="AH458" i="1" s="1"/>
  <c r="BA467" i="1"/>
  <c r="AA467" i="1"/>
  <c r="S468" i="1"/>
  <c r="AB460" i="1"/>
  <c r="AC460" i="1" s="1"/>
  <c r="U460" i="1"/>
  <c r="AT460" i="1" s="1"/>
  <c r="T461" i="1"/>
  <c r="V460" i="1"/>
  <c r="AU460" i="1" s="1"/>
  <c r="AV461" i="1" l="1" a="1"/>
  <c r="AV461" i="1" s="1"/>
  <c r="AX461" i="1" a="1"/>
  <c r="AX461" i="1" s="1"/>
  <c r="AW461" i="1" a="1"/>
  <c r="AW461" i="1" s="1"/>
  <c r="AY461" i="1" a="1"/>
  <c r="AY461" i="1" s="1"/>
  <c r="BH459" i="1" a="1"/>
  <c r="BH459" i="1" s="1"/>
  <c r="BT458" i="1"/>
  <c r="AS458" i="1"/>
  <c r="BR458" i="1"/>
  <c r="BQ458" i="1" s="1"/>
  <c r="AG468" i="1"/>
  <c r="BS457" i="1"/>
  <c r="AE460" i="1"/>
  <c r="AD460" i="1"/>
  <c r="AF460" i="1"/>
  <c r="BK459" i="1"/>
  <c r="BI459" i="1"/>
  <c r="BP459" i="1" s="1"/>
  <c r="BJ459" i="1"/>
  <c r="BN459" i="1"/>
  <c r="BO459" i="1" s="1"/>
  <c r="BE468" i="1"/>
  <c r="BF468" i="1"/>
  <c r="BD468" i="1"/>
  <c r="BG468" i="1"/>
  <c r="BA468" i="1"/>
  <c r="AA468" i="1"/>
  <c r="S469" i="1"/>
  <c r="AB461" i="1"/>
  <c r="AC461" i="1" s="1"/>
  <c r="U461" i="1"/>
  <c r="AT461" i="1" s="1"/>
  <c r="T462" i="1"/>
  <c r="V461" i="1"/>
  <c r="AU461" i="1" s="1"/>
  <c r="BS458" i="1" l="1"/>
  <c r="BH460" i="1" a="1"/>
  <c r="BH460" i="1" s="1"/>
  <c r="AV462" i="1" a="1"/>
  <c r="AV462" i="1" s="1"/>
  <c r="AW462" i="1" a="1"/>
  <c r="AW462" i="1" s="1"/>
  <c r="AY462" i="1" a="1"/>
  <c r="AY462" i="1" s="1"/>
  <c r="AX462" i="1" a="1"/>
  <c r="AX462" i="1" s="1"/>
  <c r="AE461" i="1"/>
  <c r="BF469" i="1"/>
  <c r="AD461" i="1"/>
  <c r="AF461" i="1"/>
  <c r="BI460" i="1"/>
  <c r="BK460" i="1"/>
  <c r="BJ460" i="1"/>
  <c r="BN460" i="1"/>
  <c r="BO460" i="1" s="1"/>
  <c r="AO461" i="1"/>
  <c r="AP461" i="1"/>
  <c r="AI461" i="1"/>
  <c r="AJ461" i="1"/>
  <c r="AN461" i="1"/>
  <c r="BG469" i="1"/>
  <c r="BD469" i="1"/>
  <c r="BE469" i="1"/>
  <c r="AG469" i="1"/>
  <c r="BA469" i="1"/>
  <c r="AA469" i="1"/>
  <c r="S470" i="1"/>
  <c r="AB462" i="1"/>
  <c r="AC462" i="1" s="1"/>
  <c r="AE462" i="1" s="1"/>
  <c r="T463" i="1"/>
  <c r="V462" i="1"/>
  <c r="AU462" i="1" s="1"/>
  <c r="U462" i="1"/>
  <c r="AT462" i="1" s="1"/>
  <c r="AX463" i="1" l="1" a="1"/>
  <c r="AX463" i="1" s="1"/>
  <c r="AV463" i="1" a="1"/>
  <c r="AV463" i="1" s="1"/>
  <c r="AY463" i="1" a="1"/>
  <c r="AY463" i="1" s="1"/>
  <c r="AW463" i="1" a="1"/>
  <c r="AW463" i="1" s="1"/>
  <c r="BP460" i="1"/>
  <c r="BH461" i="1" a="1"/>
  <c r="BH461" i="1" s="1"/>
  <c r="AF462" i="1"/>
  <c r="AD462" i="1"/>
  <c r="BI461" i="1"/>
  <c r="BK461" i="1"/>
  <c r="BN461" i="1"/>
  <c r="BO461" i="1" s="1"/>
  <c r="BJ461" i="1"/>
  <c r="AG470" i="1"/>
  <c r="AF463" i="1"/>
  <c r="BI463" i="1" s="1"/>
  <c r="BI462" i="1"/>
  <c r="AM461" i="1"/>
  <c r="AR461" i="1"/>
  <c r="BA470" i="1"/>
  <c r="AA470" i="1"/>
  <c r="S471" i="1"/>
  <c r="AB463" i="1"/>
  <c r="AC463" i="1" s="1"/>
  <c r="AD463" i="1" s="1"/>
  <c r="U463" i="1"/>
  <c r="AT463" i="1" s="1"/>
  <c r="V463" i="1"/>
  <c r="AU463" i="1" s="1"/>
  <c r="T464" i="1"/>
  <c r="BH462" i="1" l="1" a="1"/>
  <c r="BH462" i="1" s="1"/>
  <c r="BH463" i="1" s="1" a="1"/>
  <c r="BH463" i="1" s="1"/>
  <c r="BP461" i="1"/>
  <c r="AE463" i="1"/>
  <c r="BN463" i="1"/>
  <c r="BO463" i="1" s="1"/>
  <c r="BP463" i="1" s="1"/>
  <c r="BJ463" i="1"/>
  <c r="BK463" i="1" s="1"/>
  <c r="BN462" i="1"/>
  <c r="BO462" i="1" s="1"/>
  <c r="BP462" i="1" s="1"/>
  <c r="BJ462" i="1"/>
  <c r="BK462" i="1" s="1"/>
  <c r="AO463" i="1"/>
  <c r="AP463" i="1"/>
  <c r="AJ463" i="1"/>
  <c r="AI463" i="1"/>
  <c r="AN463" i="1"/>
  <c r="BE471" i="1"/>
  <c r="BF471" i="1"/>
  <c r="BG471" i="1"/>
  <c r="AG471" i="1"/>
  <c r="BD471" i="1"/>
  <c r="AQ461" i="1"/>
  <c r="Y461" i="1" a="1"/>
  <c r="Y461" i="1" s="1"/>
  <c r="AH461" i="1" s="1"/>
  <c r="BA471" i="1"/>
  <c r="AA471" i="1"/>
  <c r="S472" i="1"/>
  <c r="AB464" i="1"/>
  <c r="AC464" i="1" s="1"/>
  <c r="AE464" i="1" s="1"/>
  <c r="V464" i="1"/>
  <c r="AU464" i="1" s="1"/>
  <c r="U464" i="1"/>
  <c r="AT464" i="1" s="1"/>
  <c r="T465" i="1"/>
  <c r="AS461" i="1" l="1"/>
  <c r="BR461" i="1"/>
  <c r="BQ461" i="1" s="1"/>
  <c r="BT461" i="1"/>
  <c r="BS461" i="1" s="1"/>
  <c r="BD472" i="1"/>
  <c r="BE472" i="1"/>
  <c r="AF464" i="1"/>
  <c r="AD464" i="1"/>
  <c r="AF465" i="1"/>
  <c r="BI464" i="1"/>
  <c r="AG472" i="1"/>
  <c r="BF472" i="1"/>
  <c r="BG472" i="1"/>
  <c r="AM463" i="1"/>
  <c r="AR463" i="1"/>
  <c r="BA472" i="1"/>
  <c r="AA472" i="1"/>
  <c r="S473" i="1"/>
  <c r="BR473" i="1" s="1"/>
  <c r="BQ473" i="1" s="1"/>
  <c r="AB465" i="1"/>
  <c r="AC465" i="1" s="1"/>
  <c r="AD465" i="1" s="1"/>
  <c r="T466" i="1"/>
  <c r="U465" i="1"/>
  <c r="AT465" i="1" s="1"/>
  <c r="V465" i="1"/>
  <c r="AU465" i="1" s="1"/>
  <c r="AE465" i="1" l="1"/>
  <c r="BN465" i="1"/>
  <c r="BO465" i="1" s="1"/>
  <c r="BJ465" i="1"/>
  <c r="BK465" i="1" s="1"/>
  <c r="BJ464" i="1"/>
  <c r="BN464" i="1"/>
  <c r="BO464" i="1" s="1"/>
  <c r="BP464" i="1" s="1"/>
  <c r="AO465" i="1"/>
  <c r="AO466" i="1" s="1"/>
  <c r="AP465" i="1"/>
  <c r="AP466" i="1" s="1"/>
  <c r="AJ465" i="1"/>
  <c r="AJ466" i="1" s="1"/>
  <c r="AI465" i="1"/>
  <c r="AI466" i="1" s="1"/>
  <c r="AN465" i="1"/>
  <c r="BF473" i="1"/>
  <c r="BF474" i="1" s="1"/>
  <c r="AQ463" i="1"/>
  <c r="Y463" i="1" a="1"/>
  <c r="Y463" i="1" s="1"/>
  <c r="AH463" i="1" s="1"/>
  <c r="AF466" i="1"/>
  <c r="BI466" i="1" s="1"/>
  <c r="BI465" i="1"/>
  <c r="BA473" i="1"/>
  <c r="S474" i="1"/>
  <c r="AA473" i="1"/>
  <c r="AB466" i="1"/>
  <c r="AC466" i="1" s="1"/>
  <c r="T467" i="1"/>
  <c r="V466" i="1"/>
  <c r="AU466" i="1" s="1"/>
  <c r="U466" i="1"/>
  <c r="AT466" i="1" s="1"/>
  <c r="BT463" i="1" l="1"/>
  <c r="BS463" i="1" s="1"/>
  <c r="BK464" i="1"/>
  <c r="BH464" i="1" a="1"/>
  <c r="BH464" i="1" s="1"/>
  <c r="BH465" i="1" s="1" a="1"/>
  <c r="BH465" i="1" s="1"/>
  <c r="AS463" i="1"/>
  <c r="BR463" i="1"/>
  <c r="BQ463" i="1" s="1"/>
  <c r="X467" i="1" a="1"/>
  <c r="X467" i="1" s="1"/>
  <c r="W467" i="1" s="1" a="1"/>
  <c r="W467" i="1" s="1"/>
  <c r="AN467" i="1" s="1"/>
  <c r="BP465" i="1"/>
  <c r="AE466" i="1"/>
  <c r="AN466" i="1"/>
  <c r="AD466" i="1"/>
  <c r="AR466" i="1"/>
  <c r="AM466" i="1"/>
  <c r="AG474" i="1"/>
  <c r="BE474" i="1"/>
  <c r="BG474" i="1"/>
  <c r="BD474" i="1"/>
  <c r="AR465" i="1"/>
  <c r="AM465" i="1"/>
  <c r="BA474" i="1"/>
  <c r="AA474" i="1"/>
  <c r="S475" i="1"/>
  <c r="U467" i="1"/>
  <c r="AT467" i="1" s="1"/>
  <c r="T468" i="1"/>
  <c r="AB467" i="1"/>
  <c r="AC467" i="1" s="1"/>
  <c r="V467" i="1"/>
  <c r="AU467" i="1" s="1"/>
  <c r="X468" i="1" l="1" a="1"/>
  <c r="X468" i="1" s="1"/>
  <c r="W468" i="1" s="1" a="1"/>
  <c r="W468" i="1" s="1"/>
  <c r="AK468" i="1" s="1"/>
  <c r="AK467" i="1"/>
  <c r="AO467" i="1" s="1"/>
  <c r="AE467" i="1"/>
  <c r="BH466" i="1" a="1"/>
  <c r="BH466" i="1" s="1"/>
  <c r="AF467" i="1"/>
  <c r="BI467" i="1" s="1"/>
  <c r="AD467" i="1"/>
  <c r="BN466" i="1"/>
  <c r="BO466" i="1" s="1"/>
  <c r="BP466" i="1" s="1"/>
  <c r="BJ466" i="1"/>
  <c r="BK466" i="1" s="1"/>
  <c r="AG475" i="1"/>
  <c r="AG476" i="1" s="1"/>
  <c r="BR475" i="1"/>
  <c r="BQ475" i="1" s="1"/>
  <c r="AQ465" i="1"/>
  <c r="Y465" i="1" a="1"/>
  <c r="Y465" i="1" s="1"/>
  <c r="AH465" i="1" s="1"/>
  <c r="AQ466" i="1"/>
  <c r="Y466" i="1" a="1"/>
  <c r="Y466" i="1" s="1"/>
  <c r="AH466" i="1" s="1"/>
  <c r="AR467" i="1"/>
  <c r="AM467" i="1"/>
  <c r="BA475" i="1"/>
  <c r="S476" i="1"/>
  <c r="AA475" i="1"/>
  <c r="AB468" i="1"/>
  <c r="AC468" i="1" s="1"/>
  <c r="T469" i="1"/>
  <c r="V468" i="1"/>
  <c r="AU468" i="1" s="1"/>
  <c r="U468" i="1"/>
  <c r="AT468" i="1" s="1"/>
  <c r="BH467" i="1" l="1" a="1"/>
  <c r="BH467" i="1" s="1"/>
  <c r="AS465" i="1"/>
  <c r="BR465" i="1"/>
  <c r="BQ465" i="1" s="1"/>
  <c r="BT465" i="1"/>
  <c r="X469" i="1" a="1"/>
  <c r="X469" i="1" s="1"/>
  <c r="W469" i="1" s="1" a="1"/>
  <c r="W469" i="1" s="1"/>
  <c r="AN469" i="1" s="1"/>
  <c r="AN468" i="1"/>
  <c r="AR468" i="1" s="1"/>
  <c r="AL468" i="1"/>
  <c r="AE468" i="1"/>
  <c r="AS466" i="1"/>
  <c r="BR466" i="1"/>
  <c r="BQ466" i="1" s="1"/>
  <c r="AL467" i="1"/>
  <c r="AP467" i="1" s="1"/>
  <c r="AO468" i="1"/>
  <c r="BT466" i="1"/>
  <c r="AF468" i="1"/>
  <c r="BI468" i="1" s="1"/>
  <c r="AD468" i="1"/>
  <c r="BJ467" i="1"/>
  <c r="BK467" i="1" s="1"/>
  <c r="BN467" i="1"/>
  <c r="BO467" i="1" s="1"/>
  <c r="BP467" i="1" s="1"/>
  <c r="AQ467" i="1"/>
  <c r="Y467" i="1" a="1"/>
  <c r="Y467" i="1" s="1"/>
  <c r="AH467" i="1" s="1"/>
  <c r="AJ468" i="1"/>
  <c r="AJ469" i="1" s="1"/>
  <c r="AI468" i="1"/>
  <c r="BG476" i="1"/>
  <c r="BE476" i="1"/>
  <c r="BF476" i="1"/>
  <c r="BD476" i="1"/>
  <c r="BA476" i="1"/>
  <c r="S477" i="1"/>
  <c r="AA476" i="1"/>
  <c r="AB469" i="1"/>
  <c r="AC469" i="1" s="1"/>
  <c r="AD469" i="1" s="1"/>
  <c r="T470" i="1"/>
  <c r="V469" i="1"/>
  <c r="AU469" i="1" s="1"/>
  <c r="U469" i="1"/>
  <c r="AT469" i="1" s="1"/>
  <c r="AK469" i="1" l="1"/>
  <c r="AS467" i="1"/>
  <c r="BR467" i="1"/>
  <c r="BQ467" i="1" s="1"/>
  <c r="AL469" i="1"/>
  <c r="X470" i="1" a="1"/>
  <c r="X470" i="1" s="1"/>
  <c r="W470" i="1" s="1" a="1"/>
  <c r="W470" i="1" s="1"/>
  <c r="AN470" i="1" s="1"/>
  <c r="BT467" i="1"/>
  <c r="AM468" i="1"/>
  <c r="BS466" i="1"/>
  <c r="BS465" i="1"/>
  <c r="AO469" i="1"/>
  <c r="AI469" i="1"/>
  <c r="AP468" i="1"/>
  <c r="AP469" i="1" s="1"/>
  <c r="BH468" i="1" a="1"/>
  <c r="BH468" i="1" s="1"/>
  <c r="BH469" i="1" s="1" a="1"/>
  <c r="BH469" i="1" s="1"/>
  <c r="BN469" i="1"/>
  <c r="BO469" i="1" s="1"/>
  <c r="BP469" i="1" s="1"/>
  <c r="BJ469" i="1"/>
  <c r="BK469" i="1" s="1"/>
  <c r="BN468" i="1"/>
  <c r="BO468" i="1" s="1"/>
  <c r="BP468" i="1" s="1"/>
  <c r="BJ468" i="1"/>
  <c r="BK468" i="1" s="1"/>
  <c r="AE469" i="1"/>
  <c r="AE470" i="1" s="1"/>
  <c r="AF469" i="1"/>
  <c r="BI469" i="1" s="1"/>
  <c r="AG477" i="1"/>
  <c r="AQ468" i="1"/>
  <c r="Y468" i="1" a="1"/>
  <c r="Y468" i="1" s="1"/>
  <c r="AH468" i="1" s="1"/>
  <c r="BR468" i="1" s="1"/>
  <c r="AM469" i="1"/>
  <c r="AR469" i="1"/>
  <c r="BA477" i="1"/>
  <c r="AA477" i="1"/>
  <c r="S478" i="1"/>
  <c r="AB470" i="1"/>
  <c r="AC470" i="1" s="1"/>
  <c r="T471" i="1"/>
  <c r="V470" i="1"/>
  <c r="AU470" i="1" s="1"/>
  <c r="U470" i="1"/>
  <c r="AT470" i="1" s="1"/>
  <c r="X471" i="1" l="1" a="1"/>
  <c r="X471" i="1" s="1"/>
  <c r="W471" i="1" s="1" a="1"/>
  <c r="W471" i="1" s="1"/>
  <c r="AN471" i="1" s="1"/>
  <c r="BT468" i="1"/>
  <c r="AK470" i="1"/>
  <c r="AO470" i="1" s="1"/>
  <c r="BS467" i="1"/>
  <c r="AF470" i="1"/>
  <c r="BI470" i="1" s="1"/>
  <c r="AD470" i="1"/>
  <c r="AQ469" i="1"/>
  <c r="Y469" i="1" a="1"/>
  <c r="Y469" i="1" s="1"/>
  <c r="AH469" i="1" s="1"/>
  <c r="BR469" i="1" s="1"/>
  <c r="AS468" i="1"/>
  <c r="BQ468" i="1"/>
  <c r="AG478" i="1"/>
  <c r="BF478" i="1"/>
  <c r="BE478" i="1"/>
  <c r="BD478" i="1"/>
  <c r="BG478" i="1"/>
  <c r="AR470" i="1"/>
  <c r="AM470" i="1"/>
  <c r="BA478" i="1"/>
  <c r="AA478" i="1"/>
  <c r="S479" i="1"/>
  <c r="BR479" i="1" s="1"/>
  <c r="BQ479" i="1" s="1"/>
  <c r="AB471" i="1"/>
  <c r="AC471" i="1" s="1"/>
  <c r="AE471" i="1" s="1"/>
  <c r="T472" i="1"/>
  <c r="V471" i="1"/>
  <c r="AU471" i="1" s="1"/>
  <c r="U471" i="1"/>
  <c r="AT471" i="1" s="1"/>
  <c r="AK471" i="1" l="1"/>
  <c r="AL471" i="1"/>
  <c r="AO471" i="1"/>
  <c r="BT469" i="1"/>
  <c r="AL470" i="1"/>
  <c r="AP470" i="1" s="1"/>
  <c r="X472" i="1" a="1"/>
  <c r="X472" i="1" s="1"/>
  <c r="W472" i="1" s="1" a="1"/>
  <c r="W472" i="1" s="1"/>
  <c r="AN472" i="1" s="1"/>
  <c r="BS468" i="1"/>
  <c r="AF471" i="1"/>
  <c r="BI471" i="1" s="1"/>
  <c r="AD471" i="1"/>
  <c r="BJ470" i="1"/>
  <c r="BN470" i="1"/>
  <c r="BO470" i="1" s="1"/>
  <c r="BP470" i="1" s="1"/>
  <c r="AQ470" i="1"/>
  <c r="Y470" i="1" a="1"/>
  <c r="Y470" i="1" s="1"/>
  <c r="AH470" i="1" s="1"/>
  <c r="AS469" i="1"/>
  <c r="BQ469" i="1"/>
  <c r="AI471" i="1"/>
  <c r="AI472" i="1" s="1"/>
  <c r="AJ471" i="1"/>
  <c r="BF479" i="1"/>
  <c r="AR471" i="1"/>
  <c r="AM471" i="1"/>
  <c r="BA479" i="1"/>
  <c r="AA479" i="1"/>
  <c r="S480" i="1"/>
  <c r="BR480" i="1" s="1"/>
  <c r="BQ480" i="1" s="1"/>
  <c r="AB472" i="1"/>
  <c r="AC472" i="1" s="1"/>
  <c r="AD472" i="1" s="1"/>
  <c r="T473" i="1"/>
  <c r="V472" i="1"/>
  <c r="AU472" i="1" s="1"/>
  <c r="U472" i="1"/>
  <c r="AT472" i="1" s="1"/>
  <c r="AW473" i="1" l="1" a="1"/>
  <c r="AW473" i="1" s="1"/>
  <c r="AL472" i="1"/>
  <c r="AK472" i="1"/>
  <c r="AP471" i="1"/>
  <c r="AP472" i="1" s="1"/>
  <c r="BS469" i="1"/>
  <c r="AO472" i="1"/>
  <c r="AS470" i="1"/>
  <c r="BR470" i="1"/>
  <c r="BQ470" i="1" s="1"/>
  <c r="BT470" i="1"/>
  <c r="BK470" i="1"/>
  <c r="BH470" i="1" a="1"/>
  <c r="BH470" i="1" s="1"/>
  <c r="BH471" i="1" s="1" a="1"/>
  <c r="BH471" i="1" s="1"/>
  <c r="BH472" i="1" s="1" a="1"/>
  <c r="BH472" i="1" s="1"/>
  <c r="AJ472" i="1"/>
  <c r="BJ472" i="1"/>
  <c r="BK472" i="1" s="1"/>
  <c r="BN471" i="1"/>
  <c r="BO471" i="1" s="1"/>
  <c r="BP471" i="1" s="1"/>
  <c r="BJ471" i="1"/>
  <c r="BK471" i="1" s="1"/>
  <c r="AE472" i="1"/>
  <c r="BN472" i="1" s="1"/>
  <c r="BO472" i="1" s="1"/>
  <c r="BP472" i="1" s="1"/>
  <c r="AF472" i="1"/>
  <c r="BI472" i="1" s="1"/>
  <c r="AQ471" i="1"/>
  <c r="Y471" i="1" a="1"/>
  <c r="Y471" i="1" s="1"/>
  <c r="AH471" i="1" s="1"/>
  <c r="BE480" i="1"/>
  <c r="AS480" i="1" s="1"/>
  <c r="BF480" i="1"/>
  <c r="BG480" i="1"/>
  <c r="AR472" i="1"/>
  <c r="AM472" i="1"/>
  <c r="BA480" i="1"/>
  <c r="AA480" i="1"/>
  <c r="S481" i="1"/>
  <c r="BR481" i="1" s="1"/>
  <c r="BQ481" i="1" s="1"/>
  <c r="AB473" i="1"/>
  <c r="AC473" i="1" s="1"/>
  <c r="V473" i="1"/>
  <c r="AU473" i="1" s="1"/>
  <c r="U473" i="1"/>
  <c r="AT473" i="1" s="1"/>
  <c r="T474" i="1"/>
  <c r="AS471" i="1" l="1"/>
  <c r="BR471" i="1"/>
  <c r="BQ471" i="1" s="1"/>
  <c r="AV474" i="1" a="1"/>
  <c r="AV474" i="1" s="1"/>
  <c r="AW474" i="1" a="1"/>
  <c r="AW474" i="1" s="1"/>
  <c r="AX474" i="1" a="1"/>
  <c r="AX474" i="1" s="1"/>
  <c r="BT471" i="1"/>
  <c r="BS470" i="1"/>
  <c r="AD473" i="1"/>
  <c r="AF473" i="1"/>
  <c r="AQ472" i="1"/>
  <c r="Y472" i="1" a="1"/>
  <c r="Y472" i="1" s="1"/>
  <c r="AH472" i="1" s="1"/>
  <c r="BF481" i="1"/>
  <c r="BA481" i="1"/>
  <c r="AA481" i="1"/>
  <c r="S482" i="1"/>
  <c r="AB474" i="1"/>
  <c r="AC474" i="1" s="1"/>
  <c r="T475" i="1"/>
  <c r="U474" i="1"/>
  <c r="AT474" i="1" s="1"/>
  <c r="V474" i="1"/>
  <c r="AU474" i="1" s="1"/>
  <c r="AS472" i="1" l="1"/>
  <c r="BR472" i="1"/>
  <c r="BQ472" i="1" s="1"/>
  <c r="BT472" i="1"/>
  <c r="BS471" i="1"/>
  <c r="AP474" i="1"/>
  <c r="AD474" i="1"/>
  <c r="AF474" i="1"/>
  <c r="BK473" i="1"/>
  <c r="BI473" i="1"/>
  <c r="BN473" i="1"/>
  <c r="BO473" i="1" s="1"/>
  <c r="BJ473" i="1"/>
  <c r="BH473" i="1" s="1" a="1"/>
  <c r="BH473" i="1" s="1"/>
  <c r="AO474" i="1"/>
  <c r="AN474" i="1"/>
  <c r="AJ474" i="1"/>
  <c r="AI474" i="1"/>
  <c r="AE474" i="1"/>
  <c r="BG482" i="1"/>
  <c r="BE482" i="1"/>
  <c r="BF482" i="1"/>
  <c r="AG482" i="1"/>
  <c r="BD482" i="1"/>
  <c r="BA482" i="1"/>
  <c r="AA482" i="1"/>
  <c r="S483" i="1"/>
  <c r="AB475" i="1"/>
  <c r="AC475" i="1" s="1"/>
  <c r="AD475" i="1" s="1"/>
  <c r="V475" i="1"/>
  <c r="AU475" i="1" s="1"/>
  <c r="T476" i="1"/>
  <c r="U475" i="1"/>
  <c r="AT475" i="1" s="1"/>
  <c r="BP473" i="1" l="1"/>
  <c r="BS472" i="1"/>
  <c r="BK474" i="1"/>
  <c r="BI474" i="1"/>
  <c r="BJ474" i="1"/>
  <c r="BH474" i="1" s="1" a="1"/>
  <c r="BH474" i="1" s="1"/>
  <c r="BN474" i="1"/>
  <c r="BO474" i="1" s="1"/>
  <c r="AM474" i="1"/>
  <c r="AR474" i="1"/>
  <c r="AE475" i="1"/>
  <c r="AE476" i="1" s="1"/>
  <c r="AF475" i="1"/>
  <c r="BI475" i="1" s="1"/>
  <c r="BG483" i="1"/>
  <c r="BE483" i="1"/>
  <c r="AS483" i="1" s="1"/>
  <c r="BF483" i="1"/>
  <c r="BR483" i="1"/>
  <c r="BQ483" i="1" s="1"/>
  <c r="BA483" i="1"/>
  <c r="AA483" i="1"/>
  <c r="S484" i="1"/>
  <c r="AB476" i="1"/>
  <c r="AC476" i="1" s="1"/>
  <c r="AD476" i="1" s="1"/>
  <c r="T477" i="1"/>
  <c r="V476" i="1"/>
  <c r="AU476" i="1" s="1"/>
  <c r="U476" i="1"/>
  <c r="AT476" i="1" s="1"/>
  <c r="BH475" i="1" l="1" a="1"/>
  <c r="BH475" i="1" s="1"/>
  <c r="BH476" i="1" s="1" a="1"/>
  <c r="BH476" i="1" s="1"/>
  <c r="X477" i="1" a="1"/>
  <c r="X477" i="1" s="1"/>
  <c r="W477" i="1" s="1" a="1"/>
  <c r="W477" i="1" s="1"/>
  <c r="BP474" i="1"/>
  <c r="BN475" i="1"/>
  <c r="BO475" i="1" s="1"/>
  <c r="BP475" i="1" s="1"/>
  <c r="BJ475" i="1"/>
  <c r="BK475" i="1" s="1"/>
  <c r="BN476" i="1"/>
  <c r="BO476" i="1" s="1"/>
  <c r="BJ476" i="1"/>
  <c r="BK476" i="1" s="1"/>
  <c r="AP476" i="1"/>
  <c r="AO476" i="1"/>
  <c r="AQ474" i="1"/>
  <c r="Y474" i="1" a="1"/>
  <c r="Y474" i="1" s="1"/>
  <c r="AH474" i="1" s="1"/>
  <c r="BR484" i="1"/>
  <c r="BQ484" i="1" s="1"/>
  <c r="AN477" i="1"/>
  <c r="AK477" i="1"/>
  <c r="AJ476" i="1"/>
  <c r="AI476" i="1"/>
  <c r="AF476" i="1"/>
  <c r="AN476" i="1"/>
  <c r="BA484" i="1"/>
  <c r="S485" i="1"/>
  <c r="AA484" i="1"/>
  <c r="AB477" i="1"/>
  <c r="AC477" i="1" s="1"/>
  <c r="AD477" i="1" s="1"/>
  <c r="T478" i="1"/>
  <c r="U477" i="1"/>
  <c r="AT477" i="1" s="1"/>
  <c r="V477" i="1"/>
  <c r="AU477" i="1" s="1"/>
  <c r="AS474" i="1" l="1"/>
  <c r="BR474" i="1"/>
  <c r="BQ474" i="1" s="1"/>
  <c r="BT474" i="1"/>
  <c r="BS474" i="1" s="1"/>
  <c r="X478" i="1" a="1"/>
  <c r="X478" i="1" s="1"/>
  <c r="W478" i="1" s="1" a="1"/>
  <c r="W478" i="1" s="1"/>
  <c r="AK478" i="1" s="1"/>
  <c r="BP476" i="1"/>
  <c r="AE477" i="1"/>
  <c r="BN477" i="1" s="1"/>
  <c r="BO477" i="1" s="1"/>
  <c r="BP477" i="1" s="1"/>
  <c r="AG485" i="1"/>
  <c r="BF485" i="1"/>
  <c r="BG485" i="1"/>
  <c r="BD485" i="1"/>
  <c r="BE485" i="1"/>
  <c r="AM476" i="1"/>
  <c r="AR476" i="1"/>
  <c r="AF477" i="1"/>
  <c r="BI477" i="1" s="1"/>
  <c r="BI476" i="1"/>
  <c r="AL477" i="1"/>
  <c r="AP477" i="1" s="1"/>
  <c r="AO477" i="1"/>
  <c r="AM477" i="1"/>
  <c r="AR477" i="1"/>
  <c r="BA485" i="1"/>
  <c r="AA485" i="1"/>
  <c r="S486" i="1"/>
  <c r="AB478" i="1"/>
  <c r="AC478" i="1" s="1"/>
  <c r="AD478" i="1" s="1"/>
  <c r="T479" i="1"/>
  <c r="V478" i="1"/>
  <c r="AU478" i="1" s="1"/>
  <c r="U478" i="1"/>
  <c r="AT478" i="1" s="1"/>
  <c r="AN478" i="1" l="1"/>
  <c r="AL478" i="1"/>
  <c r="AO478" i="1"/>
  <c r="AP478" i="1"/>
  <c r="BJ477" i="1"/>
  <c r="AW479" i="1" a="1"/>
  <c r="AW479" i="1" s="1"/>
  <c r="AY479" i="1" a="1"/>
  <c r="AY479" i="1" s="1"/>
  <c r="AQ476" i="1"/>
  <c r="Y476" i="1" a="1"/>
  <c r="Y476" i="1" s="1"/>
  <c r="AH476" i="1" s="1"/>
  <c r="AI478" i="1"/>
  <c r="AJ478" i="1"/>
  <c r="AE478" i="1"/>
  <c r="BN478" i="1" s="1"/>
  <c r="BO478" i="1" s="1"/>
  <c r="BP478" i="1" s="1"/>
  <c r="AF478" i="1"/>
  <c r="BI478" i="1" s="1"/>
  <c r="AG486" i="1"/>
  <c r="BR486" i="1"/>
  <c r="BQ486" i="1" s="1"/>
  <c r="AQ477" i="1"/>
  <c r="Y477" i="1" a="1"/>
  <c r="Y477" i="1" s="1"/>
  <c r="AH477" i="1" s="1"/>
  <c r="AR478" i="1"/>
  <c r="AM478" i="1"/>
  <c r="BA486" i="1"/>
  <c r="S487" i="1"/>
  <c r="AA486" i="1"/>
  <c r="AB479" i="1"/>
  <c r="AC479" i="1" s="1"/>
  <c r="T480" i="1"/>
  <c r="U479" i="1"/>
  <c r="AT479" i="1" s="1"/>
  <c r="V479" i="1"/>
  <c r="AU479" i="1" s="1"/>
  <c r="BT477" i="1" l="1"/>
  <c r="AS477" i="1"/>
  <c r="BR477" i="1"/>
  <c r="BQ477" i="1" s="1"/>
  <c r="AX480" i="1" a="1"/>
  <c r="AX480" i="1" s="1"/>
  <c r="AV480" i="1" a="1"/>
  <c r="AV480" i="1" s="1"/>
  <c r="AW480" i="1" a="1"/>
  <c r="AW480" i="1" s="1"/>
  <c r="AY480" i="1" a="1"/>
  <c r="AY480" i="1" s="1"/>
  <c r="BK477" i="1"/>
  <c r="BH477" i="1" a="1"/>
  <c r="BH477" i="1" s="1"/>
  <c r="BH478" i="1" s="1" a="1"/>
  <c r="BH478" i="1" s="1"/>
  <c r="AS476" i="1"/>
  <c r="BR476" i="1"/>
  <c r="BQ476" i="1" s="1"/>
  <c r="BT476" i="1"/>
  <c r="BJ478" i="1"/>
  <c r="BK478" i="1" s="1"/>
  <c r="AD479" i="1"/>
  <c r="AF479" i="1"/>
  <c r="AQ478" i="1"/>
  <c r="Y478" i="1" a="1"/>
  <c r="Y478" i="1" s="1"/>
  <c r="AH478" i="1" s="1"/>
  <c r="AG487" i="1"/>
  <c r="BE487" i="1"/>
  <c r="BG487" i="1"/>
  <c r="BD487" i="1"/>
  <c r="BF487" i="1"/>
  <c r="BA487" i="1"/>
  <c r="S488" i="1"/>
  <c r="AA487" i="1"/>
  <c r="T481" i="1"/>
  <c r="AB480" i="1"/>
  <c r="AC480" i="1" s="1"/>
  <c r="U480" i="1"/>
  <c r="AT480" i="1" s="1"/>
  <c r="V480" i="1"/>
  <c r="AU480" i="1" s="1"/>
  <c r="BH479" i="1" l="1" a="1"/>
  <c r="BH479" i="1" s="1"/>
  <c r="BT478" i="1"/>
  <c r="BE488" i="1"/>
  <c r="AS478" i="1"/>
  <c r="BR478" i="1"/>
  <c r="BQ478" i="1" s="1"/>
  <c r="AV481" i="1" a="1"/>
  <c r="AV481" i="1" s="1"/>
  <c r="AX481" i="1" a="1"/>
  <c r="AX481" i="1" s="1"/>
  <c r="AW481" i="1" a="1"/>
  <c r="AW481" i="1" s="1"/>
  <c r="BS476" i="1"/>
  <c r="BS477" i="1"/>
  <c r="AE480" i="1"/>
  <c r="AD480" i="1"/>
  <c r="AF480" i="1"/>
  <c r="BK479" i="1"/>
  <c r="BI479" i="1"/>
  <c r="BN479" i="1"/>
  <c r="BO479" i="1" s="1"/>
  <c r="BJ479" i="1"/>
  <c r="BG488" i="1"/>
  <c r="BD488" i="1"/>
  <c r="BF488" i="1"/>
  <c r="AG488" i="1"/>
  <c r="BA488" i="1"/>
  <c r="AA488" i="1"/>
  <c r="S489" i="1"/>
  <c r="BR489" i="1" s="1"/>
  <c r="BQ489" i="1" s="1"/>
  <c r="AB481" i="1"/>
  <c r="AC481" i="1" s="1"/>
  <c r="T482" i="1"/>
  <c r="V481" i="1"/>
  <c r="AU481" i="1" s="1"/>
  <c r="U481" i="1"/>
  <c r="AT481" i="1" s="1"/>
  <c r="BP479" i="1" l="1"/>
  <c r="AX482" i="1" a="1"/>
  <c r="AX482" i="1" s="1"/>
  <c r="AW482" i="1" a="1"/>
  <c r="AW482" i="1" s="1"/>
  <c r="AV482" i="1" a="1"/>
  <c r="AV482" i="1" s="1"/>
  <c r="BS478" i="1"/>
  <c r="AE481" i="1"/>
  <c r="AD481" i="1"/>
  <c r="AF481" i="1" s="1"/>
  <c r="BK480" i="1"/>
  <c r="BI480" i="1"/>
  <c r="BN480" i="1"/>
  <c r="BO480" i="1" s="1"/>
  <c r="BJ480" i="1"/>
  <c r="BH480" i="1" s="1" a="1"/>
  <c r="BH480" i="1" s="1"/>
  <c r="BF489" i="1"/>
  <c r="BA489" i="1"/>
  <c r="AA489" i="1"/>
  <c r="S490" i="1"/>
  <c r="AB482" i="1"/>
  <c r="AC482" i="1" s="1"/>
  <c r="T483" i="1"/>
  <c r="V482" i="1"/>
  <c r="AU482" i="1" s="1"/>
  <c r="U482" i="1"/>
  <c r="AT482" i="1" s="1"/>
  <c r="AV483" i="1" l="1" a="1"/>
  <c r="AV483" i="1" s="1"/>
  <c r="AW483" i="1" a="1"/>
  <c r="AW483" i="1" s="1"/>
  <c r="AY483" i="1" a="1"/>
  <c r="AY483" i="1" s="1"/>
  <c r="AX483" i="1" a="1"/>
  <c r="AX483" i="1" s="1"/>
  <c r="BP480" i="1"/>
  <c r="AD482" i="1"/>
  <c r="AF482" i="1"/>
  <c r="BI481" i="1"/>
  <c r="BK481" i="1"/>
  <c r="BH481" i="1" s="1" a="1"/>
  <c r="BH481" i="1" s="1"/>
  <c r="BJ481" i="1"/>
  <c r="BN481" i="1"/>
  <c r="BO481" i="1" s="1"/>
  <c r="AO482" i="1"/>
  <c r="AP482" i="1"/>
  <c r="AJ482" i="1"/>
  <c r="AI482" i="1"/>
  <c r="AE482" i="1"/>
  <c r="AN482" i="1"/>
  <c r="BE490" i="1"/>
  <c r="BF490" i="1"/>
  <c r="AG490" i="1"/>
  <c r="BG490" i="1"/>
  <c r="BD490" i="1"/>
  <c r="BA490" i="1"/>
  <c r="AA490" i="1"/>
  <c r="S491" i="1"/>
  <c r="BR491" i="1" s="1"/>
  <c r="BQ491" i="1" s="1"/>
  <c r="AB483" i="1"/>
  <c r="AC483" i="1" s="1"/>
  <c r="AE483" i="1" s="1"/>
  <c r="T484" i="1"/>
  <c r="U483" i="1"/>
  <c r="AT483" i="1" s="1"/>
  <c r="V483" i="1"/>
  <c r="AU483" i="1" s="1"/>
  <c r="AW484" i="1" l="1" a="1"/>
  <c r="AW484" i="1" s="1"/>
  <c r="BP481" i="1"/>
  <c r="AD483" i="1"/>
  <c r="AF483" i="1" s="1"/>
  <c r="BI482" i="1"/>
  <c r="BK482" i="1"/>
  <c r="BN482" i="1"/>
  <c r="BO482" i="1" s="1"/>
  <c r="BJ482" i="1"/>
  <c r="BH482" i="1" s="1" a="1"/>
  <c r="BH482" i="1" s="1"/>
  <c r="AG491" i="1"/>
  <c r="AG492" i="1" s="1"/>
  <c r="AR482" i="1"/>
  <c r="AM482" i="1"/>
  <c r="BA491" i="1"/>
  <c r="S492" i="1"/>
  <c r="AA491" i="1"/>
  <c r="AB484" i="1"/>
  <c r="AC484" i="1" s="1"/>
  <c r="T485" i="1"/>
  <c r="V484" i="1"/>
  <c r="AU484" i="1" s="1"/>
  <c r="U484" i="1"/>
  <c r="AT484" i="1" s="1"/>
  <c r="BP482" i="1" l="1"/>
  <c r="AW485" i="1" a="1"/>
  <c r="AW485" i="1" s="1"/>
  <c r="AX485" i="1" a="1"/>
  <c r="AX485" i="1" s="1"/>
  <c r="AV485" i="1" a="1"/>
  <c r="AV485" i="1" s="1"/>
  <c r="AE484" i="1"/>
  <c r="AD484" i="1"/>
  <c r="AF484" i="1" s="1"/>
  <c r="BI483" i="1"/>
  <c r="BP483" i="1" s="1"/>
  <c r="BK483" i="1"/>
  <c r="BH483" i="1" s="1" a="1"/>
  <c r="BH483" i="1" s="1"/>
  <c r="BJ483" i="1"/>
  <c r="BN483" i="1"/>
  <c r="BO483" i="1" s="1"/>
  <c r="BG492" i="1"/>
  <c r="BD492" i="1"/>
  <c r="BF492" i="1"/>
  <c r="BE492" i="1"/>
  <c r="AQ482" i="1"/>
  <c r="Y482" i="1" a="1"/>
  <c r="Y482" i="1" s="1"/>
  <c r="AH482" i="1" s="1"/>
  <c r="BA492" i="1"/>
  <c r="S493" i="1"/>
  <c r="AA492" i="1"/>
  <c r="AB485" i="1"/>
  <c r="AC485" i="1" s="1"/>
  <c r="T486" i="1"/>
  <c r="U485" i="1"/>
  <c r="AT485" i="1" s="1"/>
  <c r="V485" i="1"/>
  <c r="AU485" i="1" s="1"/>
  <c r="BF493" i="1" l="1"/>
  <c r="BG493" i="1"/>
  <c r="AS482" i="1"/>
  <c r="BR482" i="1"/>
  <c r="BQ482" i="1" s="1"/>
  <c r="BT482" i="1"/>
  <c r="BS482" i="1" s="1"/>
  <c r="BE493" i="1"/>
  <c r="BD493" i="1"/>
  <c r="AW486" i="1" a="1"/>
  <c r="AW486" i="1" s="1"/>
  <c r="AX486" i="1" a="1"/>
  <c r="AX486" i="1" s="1"/>
  <c r="AV486" i="1" a="1"/>
  <c r="AV486" i="1" s="1"/>
  <c r="AD485" i="1"/>
  <c r="AF485" i="1"/>
  <c r="BI484" i="1"/>
  <c r="BK484" i="1"/>
  <c r="BH484" i="1" s="1" a="1"/>
  <c r="BH484" i="1" s="1"/>
  <c r="BJ484" i="1"/>
  <c r="BN484" i="1"/>
  <c r="BO484" i="1" s="1"/>
  <c r="AO485" i="1"/>
  <c r="AP485" i="1"/>
  <c r="AI485" i="1"/>
  <c r="AJ485" i="1"/>
  <c r="AE485" i="1"/>
  <c r="AN485" i="1"/>
  <c r="AG493" i="1"/>
  <c r="BA493" i="1"/>
  <c r="AA493" i="1"/>
  <c r="S494" i="1"/>
  <c r="AB486" i="1"/>
  <c r="AC486" i="1" s="1"/>
  <c r="AD486" i="1" s="1"/>
  <c r="T487" i="1"/>
  <c r="U486" i="1"/>
  <c r="AT486" i="1" s="1"/>
  <c r="V486" i="1"/>
  <c r="AU486" i="1" s="1"/>
  <c r="AW487" i="1" l="1" a="1"/>
  <c r="AW487" i="1" s="1"/>
  <c r="AX487" i="1" a="1"/>
  <c r="AX487" i="1" s="1"/>
  <c r="BP484" i="1"/>
  <c r="BN486" i="1"/>
  <c r="BO486" i="1" s="1"/>
  <c r="BJ486" i="1"/>
  <c r="BI485" i="1"/>
  <c r="BK485" i="1"/>
  <c r="BJ485" i="1"/>
  <c r="BH485" i="1" s="1" a="1"/>
  <c r="BH485" i="1" s="1"/>
  <c r="BN485" i="1"/>
  <c r="BO485" i="1" s="1"/>
  <c r="AE486" i="1"/>
  <c r="AF486" i="1"/>
  <c r="BF494" i="1"/>
  <c r="BE494" i="1"/>
  <c r="AS494" i="1" s="1"/>
  <c r="BG494" i="1"/>
  <c r="BR494" i="1"/>
  <c r="BQ494" i="1" s="1"/>
  <c r="AR485" i="1"/>
  <c r="AM485" i="1"/>
  <c r="BA494" i="1"/>
  <c r="AA494" i="1"/>
  <c r="S495" i="1"/>
  <c r="V487" i="1"/>
  <c r="AU487" i="1" s="1"/>
  <c r="AB487" i="1"/>
  <c r="AC487" i="1" s="1"/>
  <c r="T488" i="1"/>
  <c r="U487" i="1"/>
  <c r="AT487" i="1" s="1"/>
  <c r="BP485" i="1" l="1"/>
  <c r="BH486" i="1" a="1"/>
  <c r="BH486" i="1" s="1"/>
  <c r="AX488" i="1" a="1"/>
  <c r="AX488" i="1" s="1"/>
  <c r="AW488" i="1" a="1"/>
  <c r="AW488" i="1" s="1"/>
  <c r="AY488" i="1" a="1"/>
  <c r="AY488" i="1" s="1"/>
  <c r="AP487" i="1"/>
  <c r="AP488" i="1" s="1"/>
  <c r="AD487" i="1"/>
  <c r="BI486" i="1"/>
  <c r="BP486" i="1" s="1"/>
  <c r="BK486" i="1"/>
  <c r="AO487" i="1"/>
  <c r="AO488" i="1" s="1"/>
  <c r="AN487" i="1"/>
  <c r="AI487" i="1"/>
  <c r="AJ487" i="1"/>
  <c r="AE487" i="1"/>
  <c r="AF487" i="1"/>
  <c r="AG495" i="1"/>
  <c r="BE495" i="1"/>
  <c r="BF495" i="1"/>
  <c r="BG495" i="1"/>
  <c r="BD495" i="1"/>
  <c r="AQ485" i="1"/>
  <c r="Y485" i="1" a="1"/>
  <c r="Y485" i="1" s="1"/>
  <c r="AH485" i="1" s="1"/>
  <c r="BA495" i="1"/>
  <c r="AA495" i="1"/>
  <c r="S496" i="1"/>
  <c r="BR496" i="1" s="1"/>
  <c r="BQ496" i="1" s="1"/>
  <c r="AB488" i="1"/>
  <c r="AC488" i="1" s="1"/>
  <c r="T489" i="1"/>
  <c r="U488" i="1"/>
  <c r="AT488" i="1" s="1"/>
  <c r="V488" i="1"/>
  <c r="AU488" i="1" s="1"/>
  <c r="BT485" i="1" l="1"/>
  <c r="BS485" i="1" s="1"/>
  <c r="AS485" i="1"/>
  <c r="BR485" i="1"/>
  <c r="BQ485" i="1" s="1"/>
  <c r="AD488" i="1"/>
  <c r="AJ488" i="1"/>
  <c r="AW489" i="1" a="1"/>
  <c r="AW489" i="1" s="1"/>
  <c r="AY489" i="1" a="1"/>
  <c r="AY489" i="1" s="1"/>
  <c r="AI488" i="1"/>
  <c r="BJ487" i="1"/>
  <c r="BN487" i="1"/>
  <c r="BO487" i="1" s="1"/>
  <c r="BP487" i="1" s="1"/>
  <c r="AR487" i="1"/>
  <c r="AM487" i="1"/>
  <c r="AE488" i="1"/>
  <c r="BJ488" i="1" s="1"/>
  <c r="AN488" i="1"/>
  <c r="BG496" i="1"/>
  <c r="AG496" i="1"/>
  <c r="AF488" i="1"/>
  <c r="BI487" i="1"/>
  <c r="BA496" i="1"/>
  <c r="S497" i="1"/>
  <c r="AA496" i="1"/>
  <c r="AB489" i="1"/>
  <c r="AC489" i="1" s="1"/>
  <c r="T490" i="1"/>
  <c r="U489" i="1"/>
  <c r="AT489" i="1" s="1"/>
  <c r="V489" i="1"/>
  <c r="AU489" i="1" s="1"/>
  <c r="AV490" i="1" l="1" a="1"/>
  <c r="AV490" i="1" s="1"/>
  <c r="AX490" i="1" a="1"/>
  <c r="AX490" i="1" s="1"/>
  <c r="AW490" i="1" a="1"/>
  <c r="AW490" i="1" s="1"/>
  <c r="AY490" i="1" a="1"/>
  <c r="AY490" i="1" s="1"/>
  <c r="BH487" i="1" a="1"/>
  <c r="BH487" i="1" s="1"/>
  <c r="BH488" i="1" s="1" a="1"/>
  <c r="BH488" i="1" s="1"/>
  <c r="BH489" i="1" s="1" a="1"/>
  <c r="BH489" i="1" s="1"/>
  <c r="BN488" i="1"/>
  <c r="BO488" i="1" s="1"/>
  <c r="BK487" i="1"/>
  <c r="BG497" i="1"/>
  <c r="BI488" i="1"/>
  <c r="BK488" i="1"/>
  <c r="AQ487" i="1"/>
  <c r="Y487" i="1" a="1"/>
  <c r="Y487" i="1" s="1"/>
  <c r="AH487" i="1" s="1"/>
  <c r="AG497" i="1"/>
  <c r="BF497" i="1"/>
  <c r="BE497" i="1"/>
  <c r="BD497" i="1"/>
  <c r="AR488" i="1"/>
  <c r="AM488" i="1"/>
  <c r="BA497" i="1"/>
  <c r="AA497" i="1"/>
  <c r="S498" i="1"/>
  <c r="BR498" i="1" s="1"/>
  <c r="BQ498" i="1" s="1"/>
  <c r="AB490" i="1"/>
  <c r="AC490" i="1" s="1"/>
  <c r="T491" i="1"/>
  <c r="AW491" i="1" s="1" a="1"/>
  <c r="AW491" i="1" s="1"/>
  <c r="V490" i="1"/>
  <c r="AU490" i="1" s="1"/>
  <c r="U490" i="1"/>
  <c r="AT490" i="1" s="1"/>
  <c r="AS487" i="1" l="1"/>
  <c r="BR487" i="1"/>
  <c r="BQ487" i="1" s="1"/>
  <c r="BT487" i="1"/>
  <c r="BS487" i="1" s="1"/>
  <c r="BP488" i="1"/>
  <c r="AP490" i="1"/>
  <c r="AO490" i="1"/>
  <c r="AQ488" i="1"/>
  <c r="Y488" i="1" a="1"/>
  <c r="Y488" i="1" s="1"/>
  <c r="AH488" i="1" s="1"/>
  <c r="AI490" i="1"/>
  <c r="AJ490" i="1"/>
  <c r="AD490" i="1"/>
  <c r="AE490" i="1"/>
  <c r="AN490" i="1"/>
  <c r="AF490" i="1"/>
  <c r="BF498" i="1"/>
  <c r="BG498" i="1"/>
  <c r="BG499" i="1" s="1"/>
  <c r="BE498" i="1"/>
  <c r="AS498" i="1" s="1"/>
  <c r="BA498" i="1"/>
  <c r="AA498" i="1"/>
  <c r="S499" i="1"/>
  <c r="AB491" i="1"/>
  <c r="AC491" i="1" s="1"/>
  <c r="V491" i="1"/>
  <c r="AU491" i="1" s="1"/>
  <c r="T492" i="1"/>
  <c r="U491" i="1"/>
  <c r="AT491" i="1" s="1"/>
  <c r="AW492" i="1" l="1" a="1"/>
  <c r="AW492" i="1" s="1"/>
  <c r="AX492" i="1" a="1"/>
  <c r="AX492" i="1" s="1"/>
  <c r="AV492" i="1" a="1"/>
  <c r="AV492" i="1" s="1"/>
  <c r="AY492" i="1" a="1"/>
  <c r="AY492" i="1" s="1"/>
  <c r="AS488" i="1"/>
  <c r="BR488" i="1"/>
  <c r="BQ488" i="1" s="1"/>
  <c r="BT488" i="1"/>
  <c r="BS488" i="1" s="1"/>
  <c r="AF491" i="1"/>
  <c r="AE491" i="1"/>
  <c r="BE499" i="1"/>
  <c r="BF499" i="1"/>
  <c r="BD499" i="1"/>
  <c r="AG499" i="1"/>
  <c r="AD491" i="1"/>
  <c r="BK490" i="1"/>
  <c r="BI490" i="1"/>
  <c r="AM490" i="1"/>
  <c r="AR490" i="1"/>
  <c r="BN490" i="1"/>
  <c r="BO490" i="1" s="1"/>
  <c r="BP490" i="1" s="1"/>
  <c r="BJ490" i="1"/>
  <c r="BH490" i="1" s="1" a="1"/>
  <c r="BH490" i="1" s="1"/>
  <c r="BA499" i="1"/>
  <c r="AA499" i="1"/>
  <c r="S500" i="1"/>
  <c r="AB492" i="1"/>
  <c r="AC492" i="1" s="1"/>
  <c r="AP492" i="1" s="1"/>
  <c r="T493" i="1"/>
  <c r="U492" i="1"/>
  <c r="AT492" i="1" s="1"/>
  <c r="V492" i="1"/>
  <c r="AU492" i="1" s="1"/>
  <c r="AW493" i="1" l="1" a="1"/>
  <c r="AW493" i="1" s="1"/>
  <c r="AV493" i="1" a="1"/>
  <c r="AV493" i="1" s="1"/>
  <c r="AX493" i="1" a="1"/>
  <c r="AX493" i="1" s="1"/>
  <c r="AO492" i="1"/>
  <c r="AN492" i="1"/>
  <c r="AQ490" i="1"/>
  <c r="Y490" i="1" a="1"/>
  <c r="Y490" i="1" s="1"/>
  <c r="AH490" i="1" s="1"/>
  <c r="AI492" i="1"/>
  <c r="AJ492" i="1"/>
  <c r="AF492" i="1"/>
  <c r="BI492" i="1" s="1"/>
  <c r="AE492" i="1"/>
  <c r="AG500" i="1"/>
  <c r="BR500" i="1"/>
  <c r="BQ500" i="1" s="1"/>
  <c r="AD492" i="1"/>
  <c r="BN491" i="1"/>
  <c r="BO491" i="1" s="1"/>
  <c r="BP491" i="1" s="1"/>
  <c r="BJ491" i="1"/>
  <c r="BK491" i="1" s="1"/>
  <c r="BH491" i="1" s="1" a="1"/>
  <c r="BH491" i="1" s="1"/>
  <c r="BI491" i="1"/>
  <c r="BA500" i="1"/>
  <c r="S501" i="1"/>
  <c r="AA500" i="1"/>
  <c r="AB493" i="1"/>
  <c r="AC493" i="1" s="1"/>
  <c r="AP493" i="1" s="1"/>
  <c r="V493" i="1"/>
  <c r="AU493" i="1" s="1"/>
  <c r="U493" i="1"/>
  <c r="AT493" i="1" s="1"/>
  <c r="T494" i="1"/>
  <c r="BH492" i="1" l="1" a="1"/>
  <c r="BH492" i="1" s="1"/>
  <c r="AS490" i="1"/>
  <c r="BR490" i="1"/>
  <c r="BQ490" i="1" s="1"/>
  <c r="BT490" i="1"/>
  <c r="BS490" i="1" s="1"/>
  <c r="AX494" i="1" a="1"/>
  <c r="AX494" i="1" s="1"/>
  <c r="AW494" i="1" a="1"/>
  <c r="AW494" i="1" s="1"/>
  <c r="AV494" i="1" a="1"/>
  <c r="AV494" i="1" s="1"/>
  <c r="AJ493" i="1"/>
  <c r="AI493" i="1"/>
  <c r="AO493" i="1"/>
  <c r="AM492" i="1"/>
  <c r="AR492" i="1"/>
  <c r="AF493" i="1"/>
  <c r="AE493" i="1"/>
  <c r="BN493" i="1" s="1"/>
  <c r="BO493" i="1" s="1"/>
  <c r="AN493" i="1"/>
  <c r="AG501" i="1"/>
  <c r="BD501" i="1"/>
  <c r="BE501" i="1"/>
  <c r="BE502" i="1" s="1"/>
  <c r="BF501" i="1"/>
  <c r="BG501" i="1"/>
  <c r="AD493" i="1"/>
  <c r="BJ492" i="1"/>
  <c r="BK492" i="1" s="1"/>
  <c r="BN492" i="1"/>
  <c r="BO492" i="1" s="1"/>
  <c r="BP492" i="1" s="1"/>
  <c r="BA501" i="1"/>
  <c r="S502" i="1"/>
  <c r="AA501" i="1"/>
  <c r="AB494" i="1"/>
  <c r="AC494" i="1" s="1"/>
  <c r="T495" i="1"/>
  <c r="V494" i="1"/>
  <c r="AU494" i="1" s="1"/>
  <c r="U494" i="1"/>
  <c r="AT494" i="1" s="1"/>
  <c r="AX495" i="1" l="1" a="1"/>
  <c r="AX495" i="1" s="1"/>
  <c r="AV495" i="1" a="1"/>
  <c r="AV495" i="1" s="1"/>
  <c r="AW495" i="1" a="1"/>
  <c r="AW495" i="1" s="1"/>
  <c r="BJ493" i="1"/>
  <c r="BF502" i="1"/>
  <c r="BH493" i="1" a="1"/>
  <c r="BH493" i="1" s="1"/>
  <c r="AQ492" i="1"/>
  <c r="Y492" i="1" a="1"/>
  <c r="Y492" i="1" s="1"/>
  <c r="AH492" i="1" s="1"/>
  <c r="AD494" i="1"/>
  <c r="AF494" i="1"/>
  <c r="BI493" i="1"/>
  <c r="BP493" i="1" s="1"/>
  <c r="BK493" i="1"/>
  <c r="BG502" i="1"/>
  <c r="AG502" i="1"/>
  <c r="BD502" i="1"/>
  <c r="AR493" i="1"/>
  <c r="AM493" i="1"/>
  <c r="BA502" i="1"/>
  <c r="AA502" i="1"/>
  <c r="S503" i="1"/>
  <c r="BR503" i="1" s="1"/>
  <c r="BQ503" i="1" s="1"/>
  <c r="AB495" i="1"/>
  <c r="AC495" i="1" s="1"/>
  <c r="U495" i="1"/>
  <c r="AT495" i="1" s="1"/>
  <c r="V495" i="1"/>
  <c r="AU495" i="1" s="1"/>
  <c r="T496" i="1"/>
  <c r="AW496" i="1" s="1" a="1"/>
  <c r="AW496" i="1" s="1"/>
  <c r="BH494" i="1" l="1" a="1"/>
  <c r="BH494" i="1" s="1"/>
  <c r="AS492" i="1"/>
  <c r="BR492" i="1"/>
  <c r="BQ492" i="1" s="1"/>
  <c r="BT492" i="1"/>
  <c r="BS492" i="1" s="1"/>
  <c r="AF495" i="1"/>
  <c r="AP495" i="1"/>
  <c r="BK494" i="1"/>
  <c r="BI494" i="1"/>
  <c r="AD495" i="1"/>
  <c r="AO495" i="1"/>
  <c r="BJ494" i="1"/>
  <c r="BN494" i="1"/>
  <c r="BO494" i="1" s="1"/>
  <c r="AI495" i="1"/>
  <c r="AJ495" i="1"/>
  <c r="AN495" i="1"/>
  <c r="AE495" i="1"/>
  <c r="BG503" i="1"/>
  <c r="AG503" i="1"/>
  <c r="AQ493" i="1"/>
  <c r="Y493" i="1" a="1"/>
  <c r="Y493" i="1" s="1"/>
  <c r="AH493" i="1" s="1"/>
  <c r="BA503" i="1"/>
  <c r="AA503" i="1"/>
  <c r="S504" i="1"/>
  <c r="AB496" i="1"/>
  <c r="AC496" i="1" s="1"/>
  <c r="AE496" i="1" s="1"/>
  <c r="T497" i="1"/>
  <c r="AW497" i="1" s="1" a="1"/>
  <c r="AW497" i="1" s="1"/>
  <c r="U496" i="1"/>
  <c r="AT496" i="1" s="1"/>
  <c r="V496" i="1"/>
  <c r="AU496" i="1" s="1"/>
  <c r="AS493" i="1" l="1"/>
  <c r="BR493" i="1"/>
  <c r="BQ493" i="1" s="1"/>
  <c r="BP494" i="1"/>
  <c r="BT493" i="1"/>
  <c r="BS493" i="1" s="1"/>
  <c r="BH495" i="1" a="1"/>
  <c r="BH495" i="1" s="1"/>
  <c r="AF496" i="1"/>
  <c r="AD496" i="1"/>
  <c r="BJ495" i="1"/>
  <c r="BN495" i="1"/>
  <c r="BO495" i="1" s="1"/>
  <c r="BI495" i="1"/>
  <c r="BP495" i="1" s="1"/>
  <c r="BK495" i="1"/>
  <c r="AF497" i="1"/>
  <c r="BI496" i="1"/>
  <c r="BE504" i="1"/>
  <c r="AS504" i="1" s="1"/>
  <c r="BF504" i="1"/>
  <c r="BG504" i="1"/>
  <c r="BR504" i="1"/>
  <c r="BQ504" i="1" s="1"/>
  <c r="AM495" i="1"/>
  <c r="AR495" i="1"/>
  <c r="BA504" i="1"/>
  <c r="AA504" i="1"/>
  <c r="S505" i="1"/>
  <c r="AB497" i="1"/>
  <c r="AC497" i="1" s="1"/>
  <c r="AE497" i="1" s="1"/>
  <c r="U497" i="1"/>
  <c r="AT497" i="1" s="1"/>
  <c r="V497" i="1"/>
  <c r="AU497" i="1" s="1"/>
  <c r="T498" i="1"/>
  <c r="AV498" i="1" l="1" a="1"/>
  <c r="AV498" i="1" s="1"/>
  <c r="AX498" i="1" a="1"/>
  <c r="AX498" i="1" s="1"/>
  <c r="AW498" i="1" a="1"/>
  <c r="AW498" i="1" s="1"/>
  <c r="AO497" i="1"/>
  <c r="AP497" i="1"/>
  <c r="AD497" i="1"/>
  <c r="BI497" i="1"/>
  <c r="BN496" i="1"/>
  <c r="BO496" i="1" s="1"/>
  <c r="BP496" i="1" s="1"/>
  <c r="BJ496" i="1"/>
  <c r="BK496" i="1" s="1"/>
  <c r="BH496" i="1" s="1" a="1"/>
  <c r="BH496" i="1" s="1"/>
  <c r="AI497" i="1"/>
  <c r="AJ497" i="1"/>
  <c r="AN497" i="1"/>
  <c r="BF505" i="1"/>
  <c r="BF506" i="1" s="1"/>
  <c r="BG505" i="1"/>
  <c r="AG505" i="1"/>
  <c r="BR505" i="1"/>
  <c r="BQ505" i="1" s="1"/>
  <c r="AQ495" i="1"/>
  <c r="Y495" i="1" a="1"/>
  <c r="Y495" i="1" s="1"/>
  <c r="AH495" i="1" s="1"/>
  <c r="BA505" i="1"/>
  <c r="AA505" i="1"/>
  <c r="S506" i="1"/>
  <c r="AB498" i="1"/>
  <c r="AC498" i="1" s="1"/>
  <c r="T499" i="1"/>
  <c r="U498" i="1"/>
  <c r="AT498" i="1" s="1"/>
  <c r="V498" i="1"/>
  <c r="AU498" i="1" s="1"/>
  <c r="BH497" i="1" l="1" a="1"/>
  <c r="BH497" i="1" s="1"/>
  <c r="AV499" i="1" a="1"/>
  <c r="AV499" i="1" s="1"/>
  <c r="AX499" i="1" a="1"/>
  <c r="AX499" i="1" s="1"/>
  <c r="AW499" i="1" a="1"/>
  <c r="AW499" i="1" s="1"/>
  <c r="AS495" i="1"/>
  <c r="BR495" i="1"/>
  <c r="BQ495" i="1" s="1"/>
  <c r="BT495" i="1"/>
  <c r="BS495" i="1" s="1"/>
  <c r="BG506" i="1"/>
  <c r="AE498" i="1"/>
  <c r="AD498" i="1"/>
  <c r="AF498" i="1"/>
  <c r="BN497" i="1"/>
  <c r="BO497" i="1" s="1"/>
  <c r="BP497" i="1" s="1"/>
  <c r="BJ497" i="1"/>
  <c r="BK497" i="1" s="1"/>
  <c r="AG506" i="1"/>
  <c r="BD506" i="1"/>
  <c r="BE506" i="1"/>
  <c r="AM497" i="1"/>
  <c r="AR497" i="1"/>
  <c r="BA506" i="1"/>
  <c r="AA506" i="1"/>
  <c r="S507" i="1"/>
  <c r="BR507" i="1" s="1"/>
  <c r="BQ507" i="1" s="1"/>
  <c r="AB499" i="1"/>
  <c r="AC499" i="1" s="1"/>
  <c r="U499" i="1"/>
  <c r="AT499" i="1" s="1"/>
  <c r="V499" i="1"/>
  <c r="AU499" i="1" s="1"/>
  <c r="T500" i="1"/>
  <c r="AX500" i="1" l="1" a="1"/>
  <c r="AX500" i="1" s="1"/>
  <c r="AW500" i="1" a="1"/>
  <c r="AW500" i="1" s="1"/>
  <c r="AV500" i="1" a="1"/>
  <c r="AV500" i="1" s="1"/>
  <c r="AE499" i="1"/>
  <c r="BH498" i="1" a="1"/>
  <c r="BH498" i="1" s="1"/>
  <c r="AO499" i="1"/>
  <c r="AP499" i="1"/>
  <c r="AD499" i="1"/>
  <c r="AF499" i="1"/>
  <c r="BI498" i="1"/>
  <c r="BK498" i="1"/>
  <c r="BN498" i="1"/>
  <c r="BO498" i="1" s="1"/>
  <c r="BJ498" i="1"/>
  <c r="AJ499" i="1"/>
  <c r="AI499" i="1"/>
  <c r="AN499" i="1"/>
  <c r="BF507" i="1"/>
  <c r="AQ497" i="1"/>
  <c r="Y497" i="1" a="1"/>
  <c r="Y497" i="1" s="1"/>
  <c r="AH497" i="1" s="1"/>
  <c r="BA507" i="1"/>
  <c r="S508" i="1"/>
  <c r="AA507" i="1"/>
  <c r="AB500" i="1"/>
  <c r="AC500" i="1" s="1"/>
  <c r="AD500" i="1" s="1"/>
  <c r="T501" i="1"/>
  <c r="V500" i="1"/>
  <c r="AU500" i="1" s="1"/>
  <c r="U500" i="1"/>
  <c r="AT500" i="1" s="1"/>
  <c r="BP498" i="1" l="1"/>
  <c r="AW501" i="1" a="1"/>
  <c r="AW501" i="1" s="1"/>
  <c r="AV501" i="1" a="1"/>
  <c r="AV501" i="1" s="1"/>
  <c r="AY501" i="1" a="1"/>
  <c r="AY501" i="1" s="1"/>
  <c r="AX501" i="1" a="1"/>
  <c r="AX501" i="1" s="1"/>
  <c r="BH499" i="1" a="1"/>
  <c r="BH499" i="1" s="1"/>
  <c r="AS497" i="1"/>
  <c r="BR497" i="1"/>
  <c r="BQ497" i="1" s="1"/>
  <c r="BT497" i="1"/>
  <c r="BS497" i="1" s="1"/>
  <c r="BF508" i="1"/>
  <c r="BN500" i="1"/>
  <c r="BO500" i="1" s="1"/>
  <c r="BJ500" i="1"/>
  <c r="BK499" i="1"/>
  <c r="BI499" i="1"/>
  <c r="BP499" i="1" s="1"/>
  <c r="BJ499" i="1"/>
  <c r="BN499" i="1"/>
  <c r="BO499" i="1" s="1"/>
  <c r="AE500" i="1"/>
  <c r="AF500" i="1"/>
  <c r="BE508" i="1"/>
  <c r="BG508" i="1"/>
  <c r="BD508" i="1"/>
  <c r="AG508" i="1"/>
  <c r="AR499" i="1"/>
  <c r="AM499" i="1"/>
  <c r="BA508" i="1"/>
  <c r="S509" i="1"/>
  <c r="AA508" i="1"/>
  <c r="AB501" i="1"/>
  <c r="AC501" i="1" s="1"/>
  <c r="T502" i="1"/>
  <c r="U501" i="1"/>
  <c r="AT501" i="1" s="1"/>
  <c r="V501" i="1"/>
  <c r="AU501" i="1" s="1"/>
  <c r="BF509" i="1" l="1"/>
  <c r="BH500" i="1" a="1"/>
  <c r="BH500" i="1" s="1"/>
  <c r="BD509" i="1"/>
  <c r="BK500" i="1"/>
  <c r="BE509" i="1"/>
  <c r="AE501" i="1"/>
  <c r="AW502" i="1" a="1"/>
  <c r="AW502" i="1" s="1"/>
  <c r="AV502" i="1" a="1"/>
  <c r="AV502" i="1" s="1"/>
  <c r="AX502" i="1" a="1"/>
  <c r="AX502" i="1" s="1"/>
  <c r="AO501" i="1"/>
  <c r="AP501" i="1"/>
  <c r="AD501" i="1"/>
  <c r="AQ499" i="1"/>
  <c r="Y499" i="1" a="1"/>
  <c r="Y499" i="1" s="1"/>
  <c r="AH499" i="1" s="1"/>
  <c r="AJ501" i="1"/>
  <c r="AI501" i="1"/>
  <c r="AN501" i="1"/>
  <c r="BG509" i="1"/>
  <c r="AG509" i="1"/>
  <c r="AF501" i="1"/>
  <c r="BI500" i="1"/>
  <c r="BP500" i="1" s="1"/>
  <c r="BA509" i="1"/>
  <c r="AA509" i="1"/>
  <c r="S510" i="1"/>
  <c r="T503" i="1"/>
  <c r="V502" i="1"/>
  <c r="AU502" i="1" s="1"/>
  <c r="AB502" i="1"/>
  <c r="AC502" i="1" s="1"/>
  <c r="AD502" i="1" s="1"/>
  <c r="U502" i="1"/>
  <c r="AT502" i="1" s="1"/>
  <c r="BT499" i="1" l="1"/>
  <c r="BS499" i="1" s="1"/>
  <c r="AS499" i="1"/>
  <c r="BR499" i="1"/>
  <c r="BQ499" i="1" s="1"/>
  <c r="AY503" i="1" a="1"/>
  <c r="AY503" i="1" s="1"/>
  <c r="AX503" i="1" a="1"/>
  <c r="AX503" i="1" s="1"/>
  <c r="AV503" i="1" a="1"/>
  <c r="AV503" i="1" s="1"/>
  <c r="AW503" i="1" a="1"/>
  <c r="AW503" i="1" s="1"/>
  <c r="AO502" i="1"/>
  <c r="AP502" i="1"/>
  <c r="BH501" i="1" a="1"/>
  <c r="BH501" i="1" s="1"/>
  <c r="AI502" i="1"/>
  <c r="AJ502" i="1"/>
  <c r="BJ502" i="1"/>
  <c r="BN502" i="1"/>
  <c r="BO502" i="1" s="1"/>
  <c r="BI501" i="1"/>
  <c r="BK501" i="1"/>
  <c r="BN501" i="1"/>
  <c r="BO501" i="1" s="1"/>
  <c r="BP501" i="1" s="1"/>
  <c r="BJ501" i="1"/>
  <c r="AE502" i="1"/>
  <c r="AF502" i="1"/>
  <c r="AG510" i="1"/>
  <c r="BR510" i="1"/>
  <c r="BQ510" i="1" s="1"/>
  <c r="AN502" i="1"/>
  <c r="AM501" i="1"/>
  <c r="AR501" i="1"/>
  <c r="BA510" i="1"/>
  <c r="S511" i="1"/>
  <c r="AA510" i="1"/>
  <c r="AB503" i="1"/>
  <c r="AC503" i="1" s="1"/>
  <c r="T504" i="1"/>
  <c r="U503" i="1"/>
  <c r="AT503" i="1" s="1"/>
  <c r="V503" i="1"/>
  <c r="AU503" i="1" s="1"/>
  <c r="BH502" i="1" l="1" a="1"/>
  <c r="BH502" i="1" s="1"/>
  <c r="AG511" i="1"/>
  <c r="AY504" i="1" a="1"/>
  <c r="AY504" i="1" s="1"/>
  <c r="AV504" i="1" a="1"/>
  <c r="AV504" i="1" s="1"/>
  <c r="AX504" i="1" a="1"/>
  <c r="AX504" i="1" s="1"/>
  <c r="AW504" i="1" a="1"/>
  <c r="AW504" i="1" s="1"/>
  <c r="AF503" i="1"/>
  <c r="AD503" i="1"/>
  <c r="BI502" i="1"/>
  <c r="BP502" i="1" s="1"/>
  <c r="BK502" i="1"/>
  <c r="BE511" i="1"/>
  <c r="BG511" i="1"/>
  <c r="BD511" i="1"/>
  <c r="BF511" i="1"/>
  <c r="AQ501" i="1"/>
  <c r="Y501" i="1" a="1"/>
  <c r="Y501" i="1" s="1"/>
  <c r="AH501" i="1" s="1"/>
  <c r="AR502" i="1"/>
  <c r="AM502" i="1"/>
  <c r="BA511" i="1"/>
  <c r="S512" i="1"/>
  <c r="AA511" i="1"/>
  <c r="AB504" i="1"/>
  <c r="AC504" i="1" s="1"/>
  <c r="T505" i="1"/>
  <c r="V504" i="1"/>
  <c r="AU504" i="1" s="1"/>
  <c r="U504" i="1"/>
  <c r="AT504" i="1" s="1"/>
  <c r="AS501" i="1" l="1"/>
  <c r="BR501" i="1"/>
  <c r="BQ501" i="1" s="1"/>
  <c r="AY505" i="1" a="1"/>
  <c r="AY505" i="1" s="1"/>
  <c r="AV505" i="1" a="1"/>
  <c r="AV505" i="1" s="1"/>
  <c r="AW505" i="1" a="1"/>
  <c r="AW505" i="1" s="1"/>
  <c r="AX505" i="1" a="1"/>
  <c r="AX505" i="1" s="1"/>
  <c r="BT501" i="1"/>
  <c r="BS501" i="1" s="1"/>
  <c r="BF512" i="1"/>
  <c r="AE504" i="1"/>
  <c r="AD504" i="1"/>
  <c r="AF504" i="1"/>
  <c r="BJ503" i="1"/>
  <c r="BK503" i="1" s="1"/>
  <c r="BH503" i="1" s="1" a="1"/>
  <c r="BH503" i="1" s="1"/>
  <c r="BN503" i="1"/>
  <c r="BO503" i="1" s="1"/>
  <c r="BI503" i="1"/>
  <c r="AQ502" i="1"/>
  <c r="Y502" i="1" a="1"/>
  <c r="Y502" i="1" s="1"/>
  <c r="AH502" i="1" s="1"/>
  <c r="BD512" i="1"/>
  <c r="AG512" i="1"/>
  <c r="BE512" i="1"/>
  <c r="BG512" i="1"/>
  <c r="BA512" i="1"/>
  <c r="S513" i="1"/>
  <c r="AA512" i="1"/>
  <c r="AB505" i="1"/>
  <c r="AC505" i="1" s="1"/>
  <c r="AD505" i="1" s="1"/>
  <c r="V505" i="1"/>
  <c r="AU505" i="1" s="1"/>
  <c r="T506" i="1"/>
  <c r="U505" i="1"/>
  <c r="AT505" i="1" s="1"/>
  <c r="BH504" i="1" l="1" a="1"/>
  <c r="BH504" i="1" s="1"/>
  <c r="BF513" i="1"/>
  <c r="BD513" i="1"/>
  <c r="AS502" i="1"/>
  <c r="BR502" i="1"/>
  <c r="BQ502" i="1" s="1"/>
  <c r="AV506" i="1" a="1"/>
  <c r="AV506" i="1" s="1"/>
  <c r="AW506" i="1" a="1"/>
  <c r="AW506" i="1" s="1"/>
  <c r="AY506" i="1" a="1"/>
  <c r="AY506" i="1" s="1"/>
  <c r="AX506" i="1" a="1"/>
  <c r="AX506" i="1" s="1"/>
  <c r="BT502" i="1"/>
  <c r="BS502" i="1" s="1"/>
  <c r="BP503" i="1"/>
  <c r="BJ505" i="1"/>
  <c r="BN505" i="1"/>
  <c r="BO505" i="1" s="1"/>
  <c r="BI504" i="1"/>
  <c r="BP504" i="1" s="1"/>
  <c r="BK504" i="1"/>
  <c r="BJ504" i="1"/>
  <c r="BN504" i="1"/>
  <c r="BO504" i="1" s="1"/>
  <c r="AF505" i="1"/>
  <c r="AE505" i="1"/>
  <c r="BG513" i="1"/>
  <c r="BE513" i="1"/>
  <c r="AG513" i="1"/>
  <c r="BA513" i="1"/>
  <c r="AA513" i="1"/>
  <c r="S514" i="1"/>
  <c r="AB506" i="1"/>
  <c r="AC506" i="1" s="1"/>
  <c r="T507" i="1"/>
  <c r="AW507" i="1" s="1" a="1"/>
  <c r="AW507" i="1" s="1"/>
  <c r="U506" i="1"/>
  <c r="AT506" i="1" s="1"/>
  <c r="V506" i="1"/>
  <c r="AU506" i="1" s="1"/>
  <c r="BH505" i="1" l="1" a="1"/>
  <c r="BH505" i="1" s="1"/>
  <c r="W46" i="8"/>
  <c r="W56" i="8"/>
  <c r="W54" i="8"/>
  <c r="W69" i="8"/>
  <c r="W2" i="8"/>
  <c r="W3" i="8"/>
  <c r="W19" i="8"/>
  <c r="W35" i="8"/>
  <c r="W20" i="8"/>
  <c r="W36" i="8"/>
  <c r="W57" i="8"/>
  <c r="W59" i="8"/>
  <c r="W61" i="8"/>
  <c r="W4" i="8"/>
  <c r="W74" i="8"/>
  <c r="W63" i="8"/>
  <c r="W5" i="8"/>
  <c r="W21" i="8"/>
  <c r="W37" i="8"/>
  <c r="W53" i="8"/>
  <c r="W47" i="8"/>
  <c r="W6" i="8"/>
  <c r="W22" i="8"/>
  <c r="W38" i="8"/>
  <c r="W7" i="8"/>
  <c r="W23" i="8"/>
  <c r="W39" i="8"/>
  <c r="W55" i="8"/>
  <c r="W71" i="8"/>
  <c r="W72" i="8"/>
  <c r="W25" i="8"/>
  <c r="W8" i="8"/>
  <c r="W24" i="8"/>
  <c r="W40" i="8"/>
  <c r="W41" i="8"/>
  <c r="W27" i="8"/>
  <c r="W60" i="8"/>
  <c r="W31" i="8"/>
  <c r="W9" i="8"/>
  <c r="W10" i="8"/>
  <c r="W26" i="8"/>
  <c r="W42" i="8"/>
  <c r="W76" i="8"/>
  <c r="W11" i="8"/>
  <c r="W12" i="8"/>
  <c r="W13" i="8"/>
  <c r="W29" i="8"/>
  <c r="W45" i="8"/>
  <c r="W79" i="8"/>
  <c r="W14" i="8"/>
  <c r="W30" i="8"/>
  <c r="W15" i="8"/>
  <c r="W16" i="8"/>
  <c r="W32" i="8"/>
  <c r="W48" i="8"/>
  <c r="W64" i="8"/>
  <c r="W65" i="8"/>
  <c r="W51" i="8"/>
  <c r="W67" i="8"/>
  <c r="W52" i="8"/>
  <c r="W73" i="8"/>
  <c r="W28" i="8"/>
  <c r="W78" i="8"/>
  <c r="W17" i="8"/>
  <c r="W33" i="8"/>
  <c r="W49" i="8"/>
  <c r="W50" i="8"/>
  <c r="W70" i="8"/>
  <c r="W43" i="8"/>
  <c r="W44" i="8"/>
  <c r="W62" i="8"/>
  <c r="W18" i="8"/>
  <c r="W34" i="8"/>
  <c r="W66" i="8"/>
  <c r="W68" i="8"/>
  <c r="W58" i="8"/>
  <c r="W75" i="8"/>
  <c r="W77" i="8"/>
  <c r="AP506" i="1"/>
  <c r="AD506" i="1"/>
  <c r="BI505" i="1"/>
  <c r="BP505" i="1" s="1"/>
  <c r="BK505" i="1"/>
  <c r="AG514" i="1"/>
  <c r="AN506" i="1"/>
  <c r="AO506" i="1"/>
  <c r="AI506" i="1"/>
  <c r="AJ506" i="1"/>
  <c r="AF506" i="1"/>
  <c r="AE506" i="1"/>
  <c r="BA514" i="1"/>
  <c r="AA514" i="1"/>
  <c r="S515" i="1"/>
  <c r="U507" i="1"/>
  <c r="AT507" i="1" s="1"/>
  <c r="T508" i="1"/>
  <c r="AB507" i="1"/>
  <c r="AC507" i="1" s="1"/>
  <c r="V507" i="1"/>
  <c r="AU507" i="1" s="1"/>
  <c r="AW508" i="1" l="1" a="1"/>
  <c r="AW508" i="1" s="1"/>
  <c r="AV508" i="1" a="1"/>
  <c r="AV508" i="1" s="1"/>
  <c r="AX508" i="1" a="1"/>
  <c r="AX508" i="1" s="1"/>
  <c r="AD507" i="1"/>
  <c r="AF507" i="1"/>
  <c r="BI506" i="1"/>
  <c r="BJ506" i="1"/>
  <c r="BK506" i="1" s="1"/>
  <c r="BH506" i="1" s="1" a="1"/>
  <c r="BH506" i="1" s="1"/>
  <c r="BN506" i="1"/>
  <c r="BO506" i="1" s="1"/>
  <c r="BP506" i="1" s="1"/>
  <c r="AM506" i="1"/>
  <c r="AR506" i="1"/>
  <c r="AG515" i="1"/>
  <c r="BD515" i="1"/>
  <c r="BE515" i="1"/>
  <c r="BF515" i="1"/>
  <c r="BG515" i="1"/>
  <c r="BA515" i="1"/>
  <c r="AA515" i="1"/>
  <c r="S516" i="1"/>
  <c r="AB508" i="1"/>
  <c r="AC508" i="1" s="1"/>
  <c r="T509" i="1"/>
  <c r="V508" i="1"/>
  <c r="AU508" i="1" s="1"/>
  <c r="U508" i="1"/>
  <c r="AT508" i="1" s="1"/>
  <c r="BH507" i="1" l="1" a="1"/>
  <c r="BH507" i="1" s="1"/>
  <c r="AW509" i="1" a="1"/>
  <c r="AW509" i="1" s="1"/>
  <c r="AX509" i="1" a="1"/>
  <c r="AX509" i="1" s="1"/>
  <c r="AV509" i="1" a="1"/>
  <c r="AV509" i="1" s="1"/>
  <c r="BG516" i="1"/>
  <c r="BF516" i="1"/>
  <c r="BF517" i="1" s="1"/>
  <c r="BE516" i="1"/>
  <c r="AD508" i="1"/>
  <c r="AF508" i="1"/>
  <c r="BK507" i="1"/>
  <c r="BI507" i="1"/>
  <c r="BP507" i="1" s="1"/>
  <c r="BJ507" i="1"/>
  <c r="BN507" i="1"/>
  <c r="BO507" i="1" s="1"/>
  <c r="AP508" i="1"/>
  <c r="AP509" i="1" s="1"/>
  <c r="AO508" i="1"/>
  <c r="AQ506" i="1"/>
  <c r="Y506" i="1" a="1"/>
  <c r="Y506" i="1" s="1"/>
  <c r="AH506" i="1" s="1"/>
  <c r="AJ508" i="1"/>
  <c r="AI508" i="1"/>
  <c r="AI509" i="1" s="1"/>
  <c r="AE508" i="1"/>
  <c r="AN508" i="1"/>
  <c r="BD516" i="1"/>
  <c r="AG516" i="1"/>
  <c r="BA516" i="1"/>
  <c r="AA516" i="1"/>
  <c r="S517" i="1"/>
  <c r="U509" i="1"/>
  <c r="AT509" i="1" s="1"/>
  <c r="T510" i="1"/>
  <c r="AB509" i="1"/>
  <c r="AC509" i="1" s="1"/>
  <c r="V509" i="1"/>
  <c r="AU509" i="1" s="1"/>
  <c r="AJ509" i="1" l="1"/>
  <c r="BE517" i="1"/>
  <c r="AS506" i="1"/>
  <c r="BR506" i="1"/>
  <c r="BQ506" i="1" s="1"/>
  <c r="BT506" i="1"/>
  <c r="BS506" i="1" s="1"/>
  <c r="BG517" i="1"/>
  <c r="AO509" i="1"/>
  <c r="BH508" i="1" a="1"/>
  <c r="BH508" i="1" s="1"/>
  <c r="AD509" i="1"/>
  <c r="AF509" i="1"/>
  <c r="BI508" i="1"/>
  <c r="BP508" i="1" s="1"/>
  <c r="BK508" i="1"/>
  <c r="BJ508" i="1"/>
  <c r="BN508" i="1"/>
  <c r="BO508" i="1" s="1"/>
  <c r="AE509" i="1"/>
  <c r="AN509" i="1"/>
  <c r="BD517" i="1"/>
  <c r="AG517" i="1"/>
  <c r="AR508" i="1"/>
  <c r="AM508" i="1"/>
  <c r="BA517" i="1"/>
  <c r="AA517" i="1"/>
  <c r="S518" i="1"/>
  <c r="BR518" i="1" s="1"/>
  <c r="BQ518" i="1" s="1"/>
  <c r="AB510" i="1"/>
  <c r="AC510" i="1" s="1"/>
  <c r="AD510" i="1" s="1"/>
  <c r="T511" i="1"/>
  <c r="U510" i="1"/>
  <c r="AT510" i="1" s="1"/>
  <c r="V510" i="1"/>
  <c r="AU510" i="1" s="1"/>
  <c r="BH509" i="1" l="1" a="1"/>
  <c r="BH509" i="1" s="1"/>
  <c r="BK509" i="1"/>
  <c r="BI509" i="1"/>
  <c r="BJ509" i="1"/>
  <c r="BN509" i="1"/>
  <c r="BO509" i="1" s="1"/>
  <c r="AQ508" i="1"/>
  <c r="Y508" i="1" a="1"/>
  <c r="Y508" i="1" s="1"/>
  <c r="AH508" i="1" s="1"/>
  <c r="AE510" i="1"/>
  <c r="AE511" i="1" s="1"/>
  <c r="AF510" i="1"/>
  <c r="BF518" i="1"/>
  <c r="AR509" i="1"/>
  <c r="AM509" i="1"/>
  <c r="BA518" i="1"/>
  <c r="AA518" i="1"/>
  <c r="S519" i="1"/>
  <c r="BR519" i="1" s="1"/>
  <c r="BQ519" i="1" s="1"/>
  <c r="AB511" i="1"/>
  <c r="AC511" i="1" s="1"/>
  <c r="AD511" i="1" s="1"/>
  <c r="T512" i="1"/>
  <c r="U511" i="1"/>
  <c r="AT511" i="1" s="1"/>
  <c r="V511" i="1"/>
  <c r="AU511" i="1" s="1"/>
  <c r="AS508" i="1" l="1"/>
  <c r="BR508" i="1"/>
  <c r="BQ508" i="1" s="1"/>
  <c r="BT508" i="1"/>
  <c r="BS508" i="1" s="1"/>
  <c r="BP509" i="1"/>
  <c r="BN510" i="1"/>
  <c r="BO510" i="1" s="1"/>
  <c r="BJ510" i="1"/>
  <c r="BK510" i="1" s="1"/>
  <c r="BH510" i="1" s="1" a="1"/>
  <c r="BH510" i="1" s="1"/>
  <c r="BN511" i="1"/>
  <c r="BO511" i="1" s="1"/>
  <c r="BJ511" i="1"/>
  <c r="AO511" i="1"/>
  <c r="AP511" i="1"/>
  <c r="AP512" i="1" s="1"/>
  <c r="AQ509" i="1"/>
  <c r="Y509" i="1" a="1"/>
  <c r="Y509" i="1" s="1"/>
  <c r="AH509" i="1" s="1"/>
  <c r="AI511" i="1"/>
  <c r="AI512" i="1" s="1"/>
  <c r="AJ511" i="1"/>
  <c r="AJ512" i="1" s="1"/>
  <c r="AN511" i="1"/>
  <c r="AF511" i="1"/>
  <c r="BI510" i="1"/>
  <c r="BA519" i="1"/>
  <c r="AA519" i="1"/>
  <c r="S520" i="1"/>
  <c r="BR520" i="1" s="1"/>
  <c r="BQ520" i="1" s="1"/>
  <c r="AB512" i="1"/>
  <c r="AC512" i="1" s="1"/>
  <c r="AE512" i="1" s="1"/>
  <c r="T513" i="1"/>
  <c r="U512" i="1"/>
  <c r="AT512" i="1" s="1"/>
  <c r="V512" i="1"/>
  <c r="AU512" i="1" s="1"/>
  <c r="BH511" i="1" l="1" a="1"/>
  <c r="BH511" i="1" s="1"/>
  <c r="BK511" i="1"/>
  <c r="BP510" i="1"/>
  <c r="AS509" i="1"/>
  <c r="BR509" i="1"/>
  <c r="BQ509" i="1" s="1"/>
  <c r="BT509" i="1"/>
  <c r="BS509" i="1" s="1"/>
  <c r="AO512" i="1"/>
  <c r="AN512" i="1"/>
  <c r="AD512" i="1"/>
  <c r="AM512" i="1"/>
  <c r="AR512" i="1"/>
  <c r="AG520" i="1"/>
  <c r="AF512" i="1"/>
  <c r="BI511" i="1"/>
  <c r="BP511" i="1" s="1"/>
  <c r="AM511" i="1"/>
  <c r="AR511" i="1"/>
  <c r="BA520" i="1"/>
  <c r="S521" i="1"/>
  <c r="AA520" i="1"/>
  <c r="AB513" i="1"/>
  <c r="AC513" i="1" s="1"/>
  <c r="AE513" i="1" s="1"/>
  <c r="T514" i="1"/>
  <c r="U513" i="1"/>
  <c r="AT513" i="1" s="1"/>
  <c r="V513" i="1"/>
  <c r="AU513" i="1" s="1"/>
  <c r="AI513" i="1" l="1"/>
  <c r="AJ513" i="1"/>
  <c r="X514" i="1" a="1"/>
  <c r="X514" i="1" s="1"/>
  <c r="W514" i="1" s="1" a="1"/>
  <c r="W514" i="1" s="1"/>
  <c r="AN514" i="1" s="1"/>
  <c r="AO513" i="1"/>
  <c r="AP513" i="1"/>
  <c r="BK512" i="1"/>
  <c r="BH512" i="1" a="1"/>
  <c r="BH512" i="1" s="1"/>
  <c r="AN513" i="1"/>
  <c r="AR513" i="1" s="1"/>
  <c r="AD513" i="1"/>
  <c r="BJ512" i="1"/>
  <c r="BN512" i="1"/>
  <c r="BO512" i="1" s="1"/>
  <c r="AQ512" i="1"/>
  <c r="Y512" i="1" a="1"/>
  <c r="Y512" i="1" s="1"/>
  <c r="AH512" i="1" s="1"/>
  <c r="BD521" i="1"/>
  <c r="BG521" i="1"/>
  <c r="AG521" i="1"/>
  <c r="BF521" i="1"/>
  <c r="BE521" i="1"/>
  <c r="AQ511" i="1"/>
  <c r="Y511" i="1" a="1"/>
  <c r="Y511" i="1" s="1"/>
  <c r="AH511" i="1" s="1"/>
  <c r="AF513" i="1"/>
  <c r="BI512" i="1"/>
  <c r="BA521" i="1"/>
  <c r="AA521" i="1"/>
  <c r="S522" i="1"/>
  <c r="BR522" i="1" s="1"/>
  <c r="BQ522" i="1" s="1"/>
  <c r="V514" i="1"/>
  <c r="AU514" i="1" s="1"/>
  <c r="U514" i="1"/>
  <c r="AT514" i="1" s="1"/>
  <c r="AB514" i="1"/>
  <c r="AC514" i="1" s="1"/>
  <c r="AD514" i="1" s="1"/>
  <c r="T515" i="1"/>
  <c r="X515" i="1" l="1" a="1"/>
  <c r="X515" i="1" s="1"/>
  <c r="W515" i="1" s="1" a="1"/>
  <c r="W515" i="1" s="1"/>
  <c r="AK515" i="1" s="1"/>
  <c r="AM513" i="1"/>
  <c r="AK514" i="1"/>
  <c r="AL514" i="1" s="1"/>
  <c r="AP514" i="1" s="1"/>
  <c r="AS512" i="1"/>
  <c r="BR512" i="1"/>
  <c r="BQ512" i="1" s="1"/>
  <c r="BT512" i="1"/>
  <c r="AS511" i="1"/>
  <c r="BR511" i="1"/>
  <c r="BQ511" i="1" s="1"/>
  <c r="BT511" i="1"/>
  <c r="BP512" i="1"/>
  <c r="BJ514" i="1"/>
  <c r="BN514" i="1"/>
  <c r="BO514" i="1" s="1"/>
  <c r="BI513" i="1"/>
  <c r="BN513" i="1"/>
  <c r="BO513" i="1" s="1"/>
  <c r="BP513" i="1" s="1"/>
  <c r="BJ513" i="1"/>
  <c r="BK513" i="1" s="1"/>
  <c r="BH513" i="1" s="1" a="1"/>
  <c r="BH513" i="1" s="1"/>
  <c r="AQ513" i="1"/>
  <c r="Y513" i="1" a="1"/>
  <c r="Y513" i="1" s="1"/>
  <c r="AH513" i="1" s="1"/>
  <c r="AE514" i="1"/>
  <c r="AF514" i="1"/>
  <c r="AR514" i="1"/>
  <c r="AM514" i="1"/>
  <c r="BA522" i="1"/>
  <c r="S523" i="1"/>
  <c r="AA522" i="1"/>
  <c r="AB515" i="1"/>
  <c r="AC515" i="1" s="1"/>
  <c r="AD515" i="1" s="1"/>
  <c r="T516" i="1"/>
  <c r="V515" i="1"/>
  <c r="AU515" i="1" s="1"/>
  <c r="U515" i="1"/>
  <c r="AT515" i="1" s="1"/>
  <c r="BH514" i="1" l="1" a="1"/>
  <c r="BH514" i="1" s="1"/>
  <c r="BT513" i="1"/>
  <c r="AN515" i="1"/>
  <c r="AO514" i="1"/>
  <c r="AO515" i="1" s="1"/>
  <c r="BS511" i="1"/>
  <c r="BK514" i="1"/>
  <c r="AE515" i="1"/>
  <c r="BS512" i="1"/>
  <c r="X516" i="1" a="1"/>
  <c r="X516" i="1" s="1"/>
  <c r="W516" i="1" s="1" a="1"/>
  <c r="W516" i="1" s="1"/>
  <c r="AN516" i="1" s="1"/>
  <c r="AL515" i="1"/>
  <c r="AP515" i="1" s="1"/>
  <c r="AS513" i="1"/>
  <c r="BR513" i="1"/>
  <c r="BQ513" i="1" s="1"/>
  <c r="BN515" i="1"/>
  <c r="BO515" i="1" s="1"/>
  <c r="AQ514" i="1"/>
  <c r="Y514" i="1" a="1"/>
  <c r="Y514" i="1" s="1"/>
  <c r="AH514" i="1" s="1"/>
  <c r="AF515" i="1"/>
  <c r="BI514" i="1"/>
  <c r="BP514" i="1" s="1"/>
  <c r="AI515" i="1"/>
  <c r="AJ515" i="1"/>
  <c r="BD523" i="1"/>
  <c r="BD524" i="1" s="1"/>
  <c r="AG523" i="1"/>
  <c r="AG524" i="1" s="1"/>
  <c r="BF523" i="1"/>
  <c r="BF524" i="1" s="1"/>
  <c r="BE523" i="1"/>
  <c r="BG523" i="1"/>
  <c r="AM515" i="1"/>
  <c r="AR515" i="1"/>
  <c r="BA523" i="1"/>
  <c r="S524" i="1"/>
  <c r="AA523" i="1"/>
  <c r="AB516" i="1"/>
  <c r="AC516" i="1" s="1"/>
  <c r="V516" i="1"/>
  <c r="AU516" i="1" s="1"/>
  <c r="U516" i="1"/>
  <c r="AT516" i="1" s="1"/>
  <c r="T517" i="1"/>
  <c r="AJ516" i="1" l="1"/>
  <c r="AJ517" i="1" s="1"/>
  <c r="AI516" i="1"/>
  <c r="AK516" i="1"/>
  <c r="AL516" i="1"/>
  <c r="AP516" i="1" s="1"/>
  <c r="AS514" i="1"/>
  <c r="BR514" i="1"/>
  <c r="BQ514" i="1" s="1"/>
  <c r="BG524" i="1"/>
  <c r="BT514" i="1"/>
  <c r="AE516" i="1"/>
  <c r="BJ515" i="1"/>
  <c r="BK515" i="1" s="1"/>
  <c r="BH515" i="1" s="1" a="1"/>
  <c r="BH515" i="1" s="1"/>
  <c r="AO516" i="1"/>
  <c r="X517" i="1" a="1"/>
  <c r="X517" i="1" s="1"/>
  <c r="W517" i="1" s="1" a="1"/>
  <c r="W517" i="1" s="1"/>
  <c r="AK517" i="1" s="1"/>
  <c r="BS513" i="1"/>
  <c r="AF516" i="1"/>
  <c r="AD516" i="1"/>
  <c r="BI515" i="1"/>
  <c r="BP515" i="1" s="1"/>
  <c r="AQ515" i="1"/>
  <c r="Y515" i="1" a="1"/>
  <c r="Y515" i="1" s="1"/>
  <c r="AH515" i="1" s="1"/>
  <c r="BR515" i="1" s="1"/>
  <c r="BE524" i="1"/>
  <c r="AM516" i="1"/>
  <c r="AR516" i="1"/>
  <c r="BA524" i="1"/>
  <c r="AA524" i="1"/>
  <c r="S525" i="1"/>
  <c r="V517" i="1"/>
  <c r="AU517" i="1" s="1"/>
  <c r="AB517" i="1"/>
  <c r="AC517" i="1" s="1"/>
  <c r="U517" i="1"/>
  <c r="AT517" i="1" s="1"/>
  <c r="T518" i="1"/>
  <c r="BH516" i="1" l="1" a="1"/>
  <c r="BH516" i="1" s="1"/>
  <c r="AN517" i="1"/>
  <c r="AL517" i="1"/>
  <c r="AP517" i="1" s="1"/>
  <c r="AO517" i="1"/>
  <c r="AD517" i="1"/>
  <c r="BT515" i="1"/>
  <c r="BS514" i="1"/>
  <c r="AY518" i="1" a="1"/>
  <c r="AY518" i="1" s="1"/>
  <c r="AW518" i="1" a="1"/>
  <c r="AW518" i="1" s="1"/>
  <c r="AI517" i="1"/>
  <c r="BJ516" i="1"/>
  <c r="BN516" i="1"/>
  <c r="BO516" i="1" s="1"/>
  <c r="BI516" i="1"/>
  <c r="BK516" i="1"/>
  <c r="AE517" i="1"/>
  <c r="BN517" i="1" s="1"/>
  <c r="BO517" i="1" s="1"/>
  <c r="AF517" i="1"/>
  <c r="AQ516" i="1"/>
  <c r="Y516" i="1" a="1"/>
  <c r="Y516" i="1" s="1"/>
  <c r="AH516" i="1" s="1"/>
  <c r="AS515" i="1"/>
  <c r="BQ515" i="1"/>
  <c r="AG525" i="1"/>
  <c r="BR525" i="1"/>
  <c r="BQ525" i="1" s="1"/>
  <c r="AR517" i="1"/>
  <c r="AM517" i="1"/>
  <c r="BA525" i="1"/>
  <c r="S526" i="1"/>
  <c r="AA525" i="1"/>
  <c r="AB518" i="1"/>
  <c r="AC518" i="1" s="1"/>
  <c r="T519" i="1"/>
  <c r="U518" i="1"/>
  <c r="AT518" i="1" s="1"/>
  <c r="V518" i="1"/>
  <c r="AU518" i="1" s="1"/>
  <c r="AS516" i="1" l="1"/>
  <c r="BR516" i="1"/>
  <c r="BQ516" i="1" s="1"/>
  <c r="BP516" i="1"/>
  <c r="BT516" i="1"/>
  <c r="AW519" i="1" a="1"/>
  <c r="AW519" i="1" s="1"/>
  <c r="AY519" i="1" a="1"/>
  <c r="AY519" i="1" s="1"/>
  <c r="AV519" i="1" a="1"/>
  <c r="AV519" i="1" s="1"/>
  <c r="AX519" i="1" a="1"/>
  <c r="AX519" i="1" s="1"/>
  <c r="BJ517" i="1"/>
  <c r="BK517" i="1" s="1"/>
  <c r="BH517" i="1" s="1" a="1"/>
  <c r="BH517" i="1" s="1"/>
  <c r="BS515" i="1"/>
  <c r="AD518" i="1"/>
  <c r="AF518" i="1" s="1"/>
  <c r="BI517" i="1"/>
  <c r="BP517" i="1" s="1"/>
  <c r="AQ517" i="1"/>
  <c r="Y517" i="1" a="1"/>
  <c r="Y517" i="1" s="1"/>
  <c r="AH517" i="1" s="1"/>
  <c r="AG526" i="1"/>
  <c r="BF526" i="1"/>
  <c r="BG526" i="1"/>
  <c r="BE526" i="1"/>
  <c r="BD526" i="1"/>
  <c r="BA526" i="1"/>
  <c r="S527" i="1"/>
  <c r="AA526" i="1"/>
  <c r="AB519" i="1"/>
  <c r="AC519" i="1" s="1"/>
  <c r="T520" i="1"/>
  <c r="V519" i="1"/>
  <c r="AU519" i="1" s="1"/>
  <c r="U519" i="1"/>
  <c r="AT519" i="1" s="1"/>
  <c r="BH518" i="1" l="1" a="1"/>
  <c r="BH518" i="1" s="1"/>
  <c r="AS517" i="1"/>
  <c r="BR517" i="1"/>
  <c r="BQ517" i="1" s="1"/>
  <c r="BT517" i="1"/>
  <c r="AX520" i="1" a="1"/>
  <c r="AX520" i="1" s="1"/>
  <c r="AY520" i="1" a="1"/>
  <c r="AY520" i="1" s="1"/>
  <c r="AV520" i="1" a="1"/>
  <c r="AV520" i="1" s="1"/>
  <c r="AW520" i="1" a="1"/>
  <c r="AW520" i="1" s="1"/>
  <c r="BS516" i="1"/>
  <c r="AE519" i="1"/>
  <c r="AD519" i="1"/>
  <c r="AF519" i="1"/>
  <c r="BI518" i="1"/>
  <c r="BK518" i="1"/>
  <c r="BN518" i="1"/>
  <c r="BO518" i="1" s="1"/>
  <c r="BJ518" i="1"/>
  <c r="BG527" i="1"/>
  <c r="AG527" i="1"/>
  <c r="BR527" i="1"/>
  <c r="BQ527" i="1" s="1"/>
  <c r="BA527" i="1"/>
  <c r="S528" i="1"/>
  <c r="AA527" i="1"/>
  <c r="T521" i="1"/>
  <c r="AB520" i="1"/>
  <c r="AC520" i="1" s="1"/>
  <c r="AD520" i="1" s="1"/>
  <c r="V520" i="1"/>
  <c r="AU520" i="1" s="1"/>
  <c r="U520" i="1"/>
  <c r="AT520" i="1" s="1"/>
  <c r="BP518" i="1" l="1"/>
  <c r="AX521" i="1" a="1"/>
  <c r="AX521" i="1" s="1"/>
  <c r="AV521" i="1" a="1"/>
  <c r="AV521" i="1" s="1"/>
  <c r="AY521" i="1" a="1"/>
  <c r="AY521" i="1" s="1"/>
  <c r="AW521" i="1" a="1"/>
  <c r="AW521" i="1" s="1"/>
  <c r="BS517" i="1"/>
  <c r="BH519" i="1" a="1"/>
  <c r="BH519" i="1" s="1"/>
  <c r="BI519" i="1"/>
  <c r="BK519" i="1"/>
  <c r="BN519" i="1"/>
  <c r="BO519" i="1" s="1"/>
  <c r="BJ519" i="1"/>
  <c r="AF520" i="1"/>
  <c r="AE520" i="1"/>
  <c r="BN520" i="1" s="1"/>
  <c r="BO520" i="1" s="1"/>
  <c r="BF528" i="1"/>
  <c r="BG528" i="1"/>
  <c r="AG528" i="1"/>
  <c r="BD528" i="1"/>
  <c r="BE528" i="1"/>
  <c r="BA528" i="1"/>
  <c r="S529" i="1"/>
  <c r="AA528" i="1"/>
  <c r="T522" i="1"/>
  <c r="V521" i="1"/>
  <c r="AU521" i="1" s="1"/>
  <c r="AB521" i="1"/>
  <c r="AC521" i="1" s="1"/>
  <c r="AD521" i="1" s="1"/>
  <c r="U521" i="1"/>
  <c r="AT521" i="1" s="1"/>
  <c r="AY522" i="1" l="1" a="1"/>
  <c r="AY522" i="1" s="1"/>
  <c r="AV522" i="1" a="1"/>
  <c r="AV522" i="1" s="1"/>
  <c r="AW522" i="1" a="1"/>
  <c r="AW522" i="1" s="1"/>
  <c r="AX522" i="1" a="1"/>
  <c r="AX522" i="1" s="1"/>
  <c r="BH520" i="1" a="1"/>
  <c r="BH520" i="1" s="1"/>
  <c r="BP519" i="1"/>
  <c r="BJ520" i="1"/>
  <c r="BN521" i="1"/>
  <c r="BO521" i="1" s="1"/>
  <c r="BJ521" i="1"/>
  <c r="BR529" i="1"/>
  <c r="BQ529" i="1" s="1"/>
  <c r="BI520" i="1"/>
  <c r="BP520" i="1" s="1"/>
  <c r="BK520" i="1"/>
  <c r="AP521" i="1"/>
  <c r="AO521" i="1"/>
  <c r="AJ521" i="1"/>
  <c r="AI521" i="1"/>
  <c r="AF521" i="1"/>
  <c r="AE521" i="1"/>
  <c r="AN521" i="1"/>
  <c r="BF529" i="1"/>
  <c r="BG529" i="1"/>
  <c r="AG529" i="1"/>
  <c r="BA529" i="1"/>
  <c r="S530" i="1"/>
  <c r="AA529" i="1"/>
  <c r="AB522" i="1"/>
  <c r="AC522" i="1" s="1"/>
  <c r="T523" i="1"/>
  <c r="V522" i="1"/>
  <c r="AU522" i="1" s="1"/>
  <c r="U522" i="1"/>
  <c r="AT522" i="1" s="1"/>
  <c r="AV523" i="1" l="1" a="1"/>
  <c r="AV523" i="1" s="1"/>
  <c r="AX523" i="1" a="1"/>
  <c r="AX523" i="1" s="1"/>
  <c r="AY523" i="1" a="1"/>
  <c r="AY523" i="1" s="1"/>
  <c r="AW523" i="1" a="1"/>
  <c r="AW523" i="1" s="1"/>
  <c r="BP521" i="1"/>
  <c r="AE522" i="1"/>
  <c r="AE523" i="1" s="1"/>
  <c r="BH521" i="1" a="1"/>
  <c r="BH521" i="1" s="1"/>
  <c r="AD522" i="1"/>
  <c r="AF522" i="1" s="1"/>
  <c r="BI521" i="1"/>
  <c r="BK521" i="1"/>
  <c r="BF530" i="1"/>
  <c r="BR530" i="1"/>
  <c r="BQ530" i="1" s="1"/>
  <c r="AM521" i="1"/>
  <c r="AR521" i="1"/>
  <c r="BA530" i="1"/>
  <c r="AA530" i="1"/>
  <c r="S531" i="1"/>
  <c r="BR531" i="1" s="1"/>
  <c r="BQ531" i="1" s="1"/>
  <c r="AB523" i="1"/>
  <c r="AC523" i="1" s="1"/>
  <c r="T524" i="1"/>
  <c r="U523" i="1"/>
  <c r="AT523" i="1" s="1"/>
  <c r="V523" i="1"/>
  <c r="AU523" i="1" s="1"/>
  <c r="BH522" i="1" l="1" a="1"/>
  <c r="BH522" i="1" s="1"/>
  <c r="AX524" i="1" a="1"/>
  <c r="AX524" i="1" s="1"/>
  <c r="AW524" i="1" a="1"/>
  <c r="AW524" i="1" s="1"/>
  <c r="AY524" i="1" a="1"/>
  <c r="AY524" i="1" s="1"/>
  <c r="AV524" i="1" a="1"/>
  <c r="AV524" i="1" s="1"/>
  <c r="AD523" i="1"/>
  <c r="AF523" i="1"/>
  <c r="BI522" i="1"/>
  <c r="BK522" i="1"/>
  <c r="BJ522" i="1"/>
  <c r="BN522" i="1"/>
  <c r="BO522" i="1" s="1"/>
  <c r="AO523" i="1"/>
  <c r="AP523" i="1"/>
  <c r="AI523" i="1"/>
  <c r="AJ523" i="1"/>
  <c r="AN523" i="1"/>
  <c r="AG531" i="1"/>
  <c r="AQ521" i="1"/>
  <c r="Y521" i="1" a="1"/>
  <c r="Y521" i="1" s="1"/>
  <c r="AH521" i="1" s="1"/>
  <c r="BA531" i="1"/>
  <c r="AA531" i="1"/>
  <c r="S532" i="1"/>
  <c r="T525" i="1"/>
  <c r="U524" i="1"/>
  <c r="AT524" i="1" s="1"/>
  <c r="AB524" i="1"/>
  <c r="AC524" i="1" s="1"/>
  <c r="AE524" i="1" s="1"/>
  <c r="V524" i="1"/>
  <c r="AU524" i="1" s="1"/>
  <c r="BT521" i="1" l="1"/>
  <c r="BS521" i="1" s="1"/>
  <c r="AI524" i="1"/>
  <c r="AP524" i="1"/>
  <c r="AJ524" i="1"/>
  <c r="AO524" i="1"/>
  <c r="BP522" i="1"/>
  <c r="AS521" i="1"/>
  <c r="BR521" i="1"/>
  <c r="BQ521" i="1" s="1"/>
  <c r="BH523" i="1" a="1"/>
  <c r="BH523" i="1" s="1"/>
  <c r="AN524" i="1"/>
  <c r="AD524" i="1"/>
  <c r="AF524" i="1"/>
  <c r="BI523" i="1"/>
  <c r="BK523" i="1"/>
  <c r="BJ523" i="1"/>
  <c r="BN523" i="1"/>
  <c r="BO523" i="1" s="1"/>
  <c r="AR524" i="1"/>
  <c r="AM524" i="1"/>
  <c r="BD532" i="1"/>
  <c r="BD533" i="1" s="1"/>
  <c r="BE532" i="1"/>
  <c r="BG532" i="1"/>
  <c r="BG533" i="1" s="1"/>
  <c r="AG532" i="1"/>
  <c r="BF532" i="1"/>
  <c r="AM523" i="1"/>
  <c r="AR523" i="1"/>
  <c r="BA532" i="1"/>
  <c r="S533" i="1"/>
  <c r="AA532" i="1"/>
  <c r="AB525" i="1"/>
  <c r="AC525" i="1" s="1"/>
  <c r="AE525" i="1" s="1"/>
  <c r="T526" i="1"/>
  <c r="U525" i="1"/>
  <c r="AT525" i="1" s="1"/>
  <c r="V525" i="1"/>
  <c r="AU525" i="1" s="1"/>
  <c r="BF533" i="1" l="1"/>
  <c r="BH524" i="1" a="1"/>
  <c r="BH524" i="1" s="1"/>
  <c r="BP523" i="1"/>
  <c r="AF525" i="1"/>
  <c r="AD525" i="1"/>
  <c r="BI524" i="1"/>
  <c r="BP524" i="1" s="1"/>
  <c r="BK524" i="1"/>
  <c r="BN524" i="1"/>
  <c r="BO524" i="1" s="1"/>
  <c r="BJ524" i="1"/>
  <c r="AQ524" i="1"/>
  <c r="Y524" i="1" a="1"/>
  <c r="Y524" i="1" s="1"/>
  <c r="AH524" i="1" s="1"/>
  <c r="AF526" i="1"/>
  <c r="BI525" i="1"/>
  <c r="BE533" i="1"/>
  <c r="AG533" i="1"/>
  <c r="AQ523" i="1"/>
  <c r="Y523" i="1" a="1"/>
  <c r="Y523" i="1" s="1"/>
  <c r="AH523" i="1" s="1"/>
  <c r="BA533" i="1"/>
  <c r="AA533" i="1"/>
  <c r="S534" i="1"/>
  <c r="AB526" i="1"/>
  <c r="AC526" i="1" s="1"/>
  <c r="AD526" i="1" s="1"/>
  <c r="T527" i="1"/>
  <c r="U526" i="1"/>
  <c r="AT526" i="1" s="1"/>
  <c r="V526" i="1"/>
  <c r="AU526" i="1" s="1"/>
  <c r="AS524" i="1" l="1"/>
  <c r="BR524" i="1"/>
  <c r="BQ524" i="1" s="1"/>
  <c r="BT524" i="1"/>
  <c r="BS524" i="1" s="1"/>
  <c r="AS523" i="1"/>
  <c r="BR523" i="1"/>
  <c r="BQ523" i="1" s="1"/>
  <c r="BT523" i="1"/>
  <c r="BS523" i="1" s="1"/>
  <c r="AE526" i="1"/>
  <c r="BN526" i="1"/>
  <c r="BO526" i="1" s="1"/>
  <c r="BP526" i="1" s="1"/>
  <c r="BJ526" i="1"/>
  <c r="BK526" i="1" s="1"/>
  <c r="BJ525" i="1"/>
  <c r="BK525" i="1" s="1"/>
  <c r="BH525" i="1" s="1" a="1"/>
  <c r="BH525" i="1" s="1"/>
  <c r="BH526" i="1" s="1" a="1"/>
  <c r="BH526" i="1" s="1"/>
  <c r="BN525" i="1"/>
  <c r="BO525" i="1" s="1"/>
  <c r="BP525" i="1" s="1"/>
  <c r="AO526" i="1"/>
  <c r="AP526" i="1"/>
  <c r="AJ526" i="1"/>
  <c r="AI526" i="1"/>
  <c r="AN526" i="1"/>
  <c r="BR534" i="1"/>
  <c r="BQ534" i="1" s="1"/>
  <c r="BI526" i="1"/>
  <c r="BA534" i="1"/>
  <c r="AA534" i="1"/>
  <c r="S535" i="1"/>
  <c r="AB527" i="1"/>
  <c r="AC527" i="1" s="1"/>
  <c r="AD527" i="1" s="1"/>
  <c r="T528" i="1"/>
  <c r="U527" i="1"/>
  <c r="AT527" i="1" s="1"/>
  <c r="V527" i="1"/>
  <c r="AU527" i="1" s="1"/>
  <c r="AE527" i="1" l="1"/>
  <c r="AE528" i="1" s="1"/>
  <c r="AF527" i="1"/>
  <c r="BD535" i="1"/>
  <c r="BE535" i="1"/>
  <c r="BE536" i="1" s="1"/>
  <c r="BF535" i="1"/>
  <c r="BF536" i="1" s="1"/>
  <c r="AG535" i="1"/>
  <c r="BG535" i="1"/>
  <c r="BG536" i="1" s="1"/>
  <c r="AF528" i="1"/>
  <c r="BI527" i="1"/>
  <c r="AM526" i="1"/>
  <c r="AR526" i="1"/>
  <c r="BA535" i="1"/>
  <c r="AA535" i="1"/>
  <c r="S536" i="1"/>
  <c r="AB528" i="1"/>
  <c r="AC528" i="1" s="1"/>
  <c r="AD528" i="1" s="1"/>
  <c r="V528" i="1"/>
  <c r="AU528" i="1" s="1"/>
  <c r="T529" i="1"/>
  <c r="U528" i="1"/>
  <c r="AT528" i="1" s="1"/>
  <c r="BJ527" i="1" l="1"/>
  <c r="BN527" i="1"/>
  <c r="BO527" i="1" s="1"/>
  <c r="BP527" i="1" s="1"/>
  <c r="BN528" i="1"/>
  <c r="BO528" i="1" s="1"/>
  <c r="BP528" i="1" s="1"/>
  <c r="BJ528" i="1"/>
  <c r="BK528" i="1" s="1"/>
  <c r="AP528" i="1"/>
  <c r="AO528" i="1"/>
  <c r="AQ526" i="1"/>
  <c r="Y526" i="1" a="1"/>
  <c r="Y526" i="1" s="1"/>
  <c r="AH526" i="1" s="1"/>
  <c r="AI528" i="1"/>
  <c r="AJ528" i="1"/>
  <c r="AN528" i="1"/>
  <c r="BD536" i="1"/>
  <c r="AG536" i="1"/>
  <c r="BI528" i="1"/>
  <c r="BA536" i="1"/>
  <c r="AA536" i="1"/>
  <c r="S537" i="1"/>
  <c r="AB529" i="1"/>
  <c r="AC529" i="1" s="1"/>
  <c r="AD529" i="1" s="1"/>
  <c r="V529" i="1"/>
  <c r="AU529" i="1" s="1"/>
  <c r="U529" i="1"/>
  <c r="AT529" i="1" s="1"/>
  <c r="T530" i="1"/>
  <c r="BH527" i="1" l="1" a="1"/>
  <c r="BH527" i="1" s="1"/>
  <c r="BH528" i="1" s="1" a="1"/>
  <c r="BH528" i="1" s="1"/>
  <c r="BH529" i="1" s="1" a="1"/>
  <c r="BH529" i="1" s="1"/>
  <c r="AY530" i="1" a="1"/>
  <c r="AY530" i="1" s="1"/>
  <c r="AW530" i="1" a="1"/>
  <c r="AW530" i="1" s="1"/>
  <c r="AS526" i="1"/>
  <c r="BR526" i="1"/>
  <c r="BQ526" i="1" s="1"/>
  <c r="BT526" i="1"/>
  <c r="AE529" i="1"/>
  <c r="AF529" i="1"/>
  <c r="BK527" i="1"/>
  <c r="BN529" i="1"/>
  <c r="BO529" i="1" s="1"/>
  <c r="BJ529" i="1"/>
  <c r="BI529" i="1"/>
  <c r="BK529" i="1"/>
  <c r="BE537" i="1"/>
  <c r="AS537" i="1" s="1"/>
  <c r="BF537" i="1"/>
  <c r="BG537" i="1"/>
  <c r="BR537" i="1"/>
  <c r="BQ537" i="1" s="1"/>
  <c r="AM528" i="1"/>
  <c r="AR528" i="1"/>
  <c r="BA537" i="1"/>
  <c r="AA537" i="1"/>
  <c r="S538" i="1"/>
  <c r="AB530" i="1"/>
  <c r="AC530" i="1" s="1"/>
  <c r="T531" i="1"/>
  <c r="U530" i="1"/>
  <c r="AT530" i="1" s="1"/>
  <c r="V530" i="1"/>
  <c r="AU530" i="1" s="1"/>
  <c r="AV531" i="1" l="1" a="1"/>
  <c r="AV531" i="1" s="1"/>
  <c r="AW531" i="1" a="1"/>
  <c r="AW531" i="1" s="1"/>
  <c r="AX531" i="1" a="1"/>
  <c r="AX531" i="1" s="1"/>
  <c r="BP529" i="1"/>
  <c r="BS526" i="1"/>
  <c r="AP530" i="1"/>
  <c r="AD530" i="1"/>
  <c r="AF530" i="1" s="1"/>
  <c r="AI530" i="1"/>
  <c r="AK530" i="1" s="1"/>
  <c r="AO530" i="1" s="1"/>
  <c r="AJ530" i="1"/>
  <c r="AG538" i="1"/>
  <c r="BR538" i="1"/>
  <c r="BQ538" i="1" s="1"/>
  <c r="AQ528" i="1"/>
  <c r="Y528" i="1" a="1"/>
  <c r="Y528" i="1" s="1"/>
  <c r="AH528" i="1" s="1"/>
  <c r="BA538" i="1"/>
  <c r="S539" i="1"/>
  <c r="AA538" i="1"/>
  <c r="AB531" i="1"/>
  <c r="AC531" i="1" s="1"/>
  <c r="U531" i="1"/>
  <c r="AT531" i="1" s="1"/>
  <c r="V531" i="1"/>
  <c r="AU531" i="1" s="1"/>
  <c r="T532" i="1"/>
  <c r="AS528" i="1" l="1"/>
  <c r="BR528" i="1"/>
  <c r="BQ528" i="1" s="1"/>
  <c r="BT528" i="1"/>
  <c r="AW532" i="1" a="1"/>
  <c r="AW532" i="1" s="1"/>
  <c r="AY532" i="1" a="1"/>
  <c r="AY532" i="1" s="1"/>
  <c r="AV532" i="1" a="1"/>
  <c r="AV532" i="1" s="1"/>
  <c r="AX532" i="1" a="1"/>
  <c r="AX532" i="1" s="1"/>
  <c r="AD531" i="1"/>
  <c r="BN531" i="1" s="1"/>
  <c r="BO531" i="1" s="1"/>
  <c r="BI530" i="1"/>
  <c r="BP530" i="1" s="1"/>
  <c r="BK530" i="1"/>
  <c r="BN530" i="1"/>
  <c r="BO530" i="1" s="1"/>
  <c r="BJ530" i="1"/>
  <c r="BH530" i="1" s="1" a="1"/>
  <c r="BH530" i="1" s="1"/>
  <c r="AE531" i="1"/>
  <c r="AF531" i="1"/>
  <c r="BF539" i="1"/>
  <c r="AG539" i="1"/>
  <c r="BE539" i="1"/>
  <c r="BD539" i="1"/>
  <c r="BG539" i="1"/>
  <c r="BA539" i="1"/>
  <c r="S540" i="1"/>
  <c r="AA539" i="1"/>
  <c r="AB532" i="1"/>
  <c r="AC532" i="1" s="1"/>
  <c r="AD532" i="1" s="1"/>
  <c r="U532" i="1"/>
  <c r="AT532" i="1" s="1"/>
  <c r="V532" i="1"/>
  <c r="AU532" i="1" s="1"/>
  <c r="T533" i="1"/>
  <c r="BD540" i="1" l="1"/>
  <c r="BE540" i="1"/>
  <c r="BJ531" i="1"/>
  <c r="BK531" i="1" s="1"/>
  <c r="BH531" i="1" s="1" a="1"/>
  <c r="BH531" i="1" s="1"/>
  <c r="BH532" i="1" s="1" a="1"/>
  <c r="BH532" i="1" s="1"/>
  <c r="BS528" i="1"/>
  <c r="AE532" i="1"/>
  <c r="AW533" i="1" a="1"/>
  <c r="AW533" i="1" s="1"/>
  <c r="AX533" i="1" a="1"/>
  <c r="AX533" i="1" s="1"/>
  <c r="BN532" i="1"/>
  <c r="BO532" i="1" s="1"/>
  <c r="BJ532" i="1"/>
  <c r="AO532" i="1"/>
  <c r="AO533" i="1" s="1"/>
  <c r="AP532" i="1"/>
  <c r="AP533" i="1" s="1"/>
  <c r="AJ532" i="1"/>
  <c r="AJ533" i="1" s="1"/>
  <c r="AI532" i="1"/>
  <c r="AI533" i="1" s="1"/>
  <c r="AN532" i="1"/>
  <c r="AG540" i="1"/>
  <c r="BG540" i="1"/>
  <c r="BF540" i="1"/>
  <c r="AF532" i="1"/>
  <c r="BK532" i="1" s="1"/>
  <c r="BI531" i="1"/>
  <c r="BP531" i="1" s="1"/>
  <c r="BA540" i="1"/>
  <c r="AA540" i="1"/>
  <c r="S541" i="1"/>
  <c r="AB533" i="1"/>
  <c r="AC533" i="1" s="1"/>
  <c r="T534" i="1"/>
  <c r="V533" i="1"/>
  <c r="AU533" i="1" s="1"/>
  <c r="U533" i="1"/>
  <c r="AT533" i="1" s="1"/>
  <c r="AV534" i="1" l="1" a="1"/>
  <c r="AV534" i="1" s="1"/>
  <c r="AW534" i="1" a="1"/>
  <c r="AW534" i="1" s="1"/>
  <c r="AX534" i="1" a="1"/>
  <c r="AX534" i="1" s="1"/>
  <c r="AE533" i="1"/>
  <c r="AN533" i="1"/>
  <c r="AD533" i="1"/>
  <c r="BR541" i="1"/>
  <c r="BQ541" i="1" s="1"/>
  <c r="AR533" i="1"/>
  <c r="AM533" i="1"/>
  <c r="BG541" i="1"/>
  <c r="AG541" i="1"/>
  <c r="AG542" i="1" s="1"/>
  <c r="AF533" i="1"/>
  <c r="BI532" i="1"/>
  <c r="BP532" i="1" s="1"/>
  <c r="AM532" i="1"/>
  <c r="AR532" i="1"/>
  <c r="BA541" i="1"/>
  <c r="S542" i="1"/>
  <c r="AA541" i="1"/>
  <c r="AB534" i="1"/>
  <c r="AC534" i="1" s="1"/>
  <c r="V534" i="1"/>
  <c r="AU534" i="1" s="1"/>
  <c r="T535" i="1"/>
  <c r="U534" i="1"/>
  <c r="AT534" i="1" s="1"/>
  <c r="AY535" i="1" l="1" a="1"/>
  <c r="AY535" i="1" s="1"/>
  <c r="AX535" i="1" a="1"/>
  <c r="AX535" i="1" s="1"/>
  <c r="AV535" i="1" a="1"/>
  <c r="AV535" i="1" s="1"/>
  <c r="AW535" i="1" a="1"/>
  <c r="AW535" i="1" s="1"/>
  <c r="AE534" i="1"/>
  <c r="AD534" i="1"/>
  <c r="AF534" i="1"/>
  <c r="BI533" i="1"/>
  <c r="BN533" i="1"/>
  <c r="BO533" i="1" s="1"/>
  <c r="BP533" i="1" s="1"/>
  <c r="BJ533" i="1"/>
  <c r="AQ533" i="1"/>
  <c r="Y533" i="1" a="1"/>
  <c r="Y533" i="1" s="1"/>
  <c r="AH533" i="1" s="1"/>
  <c r="AQ532" i="1"/>
  <c r="Y532" i="1" a="1"/>
  <c r="Y532" i="1" s="1"/>
  <c r="AH532" i="1" s="1"/>
  <c r="BF542" i="1"/>
  <c r="BG542" i="1"/>
  <c r="BE542" i="1"/>
  <c r="BD542" i="1"/>
  <c r="BA542" i="1"/>
  <c r="AA542" i="1"/>
  <c r="S543" i="1"/>
  <c r="AB535" i="1"/>
  <c r="AC535" i="1" s="1"/>
  <c r="V535" i="1"/>
  <c r="AU535" i="1" s="1"/>
  <c r="T536" i="1"/>
  <c r="U535" i="1"/>
  <c r="AT535" i="1" s="1"/>
  <c r="AS533" i="1" l="1"/>
  <c r="BR533" i="1"/>
  <c r="BQ533" i="1" s="1"/>
  <c r="BT533" i="1"/>
  <c r="BS533" i="1" s="1"/>
  <c r="BH533" i="1" a="1"/>
  <c r="BH533" i="1" s="1"/>
  <c r="BH534" i="1" s="1" a="1"/>
  <c r="BH534" i="1" s="1"/>
  <c r="AW536" i="1" a="1"/>
  <c r="AW536" i="1" s="1"/>
  <c r="AX536" i="1" a="1"/>
  <c r="AX536" i="1" s="1"/>
  <c r="AV536" i="1" a="1"/>
  <c r="AV536" i="1" s="1"/>
  <c r="BK533" i="1"/>
  <c r="BD543" i="1"/>
  <c r="BE543" i="1"/>
  <c r="BG543" i="1"/>
  <c r="BF543" i="1"/>
  <c r="AE535" i="1"/>
  <c r="AE536" i="1" s="1"/>
  <c r="AS532" i="1"/>
  <c r="BR532" i="1"/>
  <c r="BQ532" i="1" s="1"/>
  <c r="BT532" i="1"/>
  <c r="BS532" i="1" s="1"/>
  <c r="AD535" i="1"/>
  <c r="AF535" i="1"/>
  <c r="BK534" i="1"/>
  <c r="BI534" i="1"/>
  <c r="BJ534" i="1"/>
  <c r="BN534" i="1"/>
  <c r="BO534" i="1" s="1"/>
  <c r="BP534" i="1" s="1"/>
  <c r="AG543" i="1"/>
  <c r="AN535" i="1"/>
  <c r="AO535" i="1"/>
  <c r="AO536" i="1" s="1"/>
  <c r="AP535" i="1"/>
  <c r="AP536" i="1" s="1"/>
  <c r="AI535" i="1"/>
  <c r="AI536" i="1" s="1"/>
  <c r="AJ535" i="1"/>
  <c r="BA543" i="1"/>
  <c r="AA543" i="1"/>
  <c r="S544" i="1"/>
  <c r="T537" i="1"/>
  <c r="AB536" i="1"/>
  <c r="AC536" i="1" s="1"/>
  <c r="U536" i="1"/>
  <c r="AT536" i="1" s="1"/>
  <c r="V536" i="1"/>
  <c r="AU536" i="1" s="1"/>
  <c r="AY537" i="1" l="1" a="1"/>
  <c r="AY537" i="1" s="1"/>
  <c r="AV537" i="1" a="1"/>
  <c r="AV537" i="1" s="1"/>
  <c r="AW537" i="1" a="1"/>
  <c r="AW537" i="1" s="1"/>
  <c r="AX537" i="1" a="1"/>
  <c r="AX537" i="1" s="1"/>
  <c r="BH535" i="1" a="1"/>
  <c r="BH535" i="1" s="1"/>
  <c r="AJ536" i="1"/>
  <c r="AN536" i="1"/>
  <c r="AD536" i="1"/>
  <c r="AF536" i="1"/>
  <c r="BR544" i="1"/>
  <c r="BQ544" i="1" s="1"/>
  <c r="BK535" i="1"/>
  <c r="BI535" i="1"/>
  <c r="BN535" i="1"/>
  <c r="BO535" i="1" s="1"/>
  <c r="BJ535" i="1"/>
  <c r="AM535" i="1"/>
  <c r="AR535" i="1"/>
  <c r="AM536" i="1"/>
  <c r="AR536" i="1"/>
  <c r="BF544" i="1"/>
  <c r="BG544" i="1"/>
  <c r="AG544" i="1"/>
  <c r="BA544" i="1"/>
  <c r="AA544" i="1"/>
  <c r="S545" i="1"/>
  <c r="AB537" i="1"/>
  <c r="AC537" i="1" s="1"/>
  <c r="AE537" i="1" s="1"/>
  <c r="T538" i="1"/>
  <c r="V537" i="1"/>
  <c r="AU537" i="1" s="1"/>
  <c r="U537" i="1"/>
  <c r="AT537" i="1" s="1"/>
  <c r="BP535" i="1" l="1"/>
  <c r="BH536" i="1" a="1"/>
  <c r="BH536" i="1" s="1"/>
  <c r="AD537" i="1"/>
  <c r="AF537" i="1"/>
  <c r="BI536" i="1"/>
  <c r="BK536" i="1"/>
  <c r="BN536" i="1"/>
  <c r="BO536" i="1" s="1"/>
  <c r="BJ536" i="1"/>
  <c r="AQ535" i="1"/>
  <c r="Y535" i="1" a="1"/>
  <c r="Y535" i="1" s="1"/>
  <c r="AH535" i="1" s="1"/>
  <c r="AQ536" i="1"/>
  <c r="Y536" i="1" a="1"/>
  <c r="Y536" i="1" s="1"/>
  <c r="AH536" i="1" s="1"/>
  <c r="BF545" i="1"/>
  <c r="BR545" i="1"/>
  <c r="BQ545" i="1" s="1"/>
  <c r="BA545" i="1"/>
  <c r="AA545" i="1"/>
  <c r="S546" i="1"/>
  <c r="AB538" i="1"/>
  <c r="AC538" i="1" s="1"/>
  <c r="AD538" i="1" s="1"/>
  <c r="U538" i="1"/>
  <c r="AT538" i="1" s="1"/>
  <c r="V538" i="1"/>
  <c r="AU538" i="1" s="1"/>
  <c r="T539" i="1"/>
  <c r="AS536" i="1" l="1"/>
  <c r="BR536" i="1"/>
  <c r="BQ536" i="1" s="1"/>
  <c r="BT536" i="1"/>
  <c r="BS536" i="1" s="1"/>
  <c r="BT535" i="1"/>
  <c r="BS535" i="1" s="1"/>
  <c r="BP536" i="1"/>
  <c r="AS535" i="1"/>
  <c r="BR535" i="1"/>
  <c r="BQ535" i="1" s="1"/>
  <c r="BH537" i="1" a="1"/>
  <c r="BH537" i="1" s="1"/>
  <c r="BN538" i="1"/>
  <c r="BO538" i="1" s="1"/>
  <c r="BI537" i="1"/>
  <c r="BP537" i="1" s="1"/>
  <c r="BK537" i="1"/>
  <c r="BN537" i="1"/>
  <c r="BO537" i="1" s="1"/>
  <c r="BJ537" i="1"/>
  <c r="AF538" i="1"/>
  <c r="AE538" i="1"/>
  <c r="BJ538" i="1" s="1"/>
  <c r="BG546" i="1"/>
  <c r="BE546" i="1"/>
  <c r="BF546" i="1"/>
  <c r="BD546" i="1"/>
  <c r="AG546" i="1"/>
  <c r="BA546" i="1"/>
  <c r="AA546" i="1"/>
  <c r="S547" i="1"/>
  <c r="AB539" i="1"/>
  <c r="AC539" i="1" s="1"/>
  <c r="T540" i="1"/>
  <c r="U539" i="1"/>
  <c r="AT539" i="1" s="1"/>
  <c r="V539" i="1"/>
  <c r="AU539" i="1" s="1"/>
  <c r="BH538" i="1" l="1" a="1"/>
  <c r="BH538" i="1" s="1"/>
  <c r="AP539" i="1"/>
  <c r="AD539" i="1"/>
  <c r="BI538" i="1"/>
  <c r="BP538" i="1" s="1"/>
  <c r="BK538" i="1"/>
  <c r="AG547" i="1"/>
  <c r="BR547" i="1"/>
  <c r="BQ547" i="1" s="1"/>
  <c r="AN539" i="1"/>
  <c r="AO539" i="1"/>
  <c r="AI539" i="1"/>
  <c r="AJ539" i="1"/>
  <c r="AF539" i="1"/>
  <c r="AE539" i="1"/>
  <c r="BA547" i="1"/>
  <c r="AA547" i="1"/>
  <c r="S548" i="1"/>
  <c r="AB540" i="1"/>
  <c r="AC540" i="1" s="1"/>
  <c r="T541" i="1"/>
  <c r="U540" i="1"/>
  <c r="AT540" i="1" s="1"/>
  <c r="V540" i="1"/>
  <c r="AU540" i="1" s="1"/>
  <c r="AP540" i="1" l="1"/>
  <c r="AE540" i="1"/>
  <c r="AE541" i="1" s="1"/>
  <c r="BH539" i="1" a="1"/>
  <c r="BH539" i="1" s="1"/>
  <c r="BK539" i="1"/>
  <c r="AJ540" i="1"/>
  <c r="AI540" i="1"/>
  <c r="AO540" i="1"/>
  <c r="AN540" i="1"/>
  <c r="AM540" i="1" s="1"/>
  <c r="AD540" i="1"/>
  <c r="BJ539" i="1"/>
  <c r="BN539" i="1"/>
  <c r="BO539" i="1" s="1"/>
  <c r="AR539" i="1"/>
  <c r="AM539" i="1"/>
  <c r="BD548" i="1"/>
  <c r="BE548" i="1"/>
  <c r="BF548" i="1"/>
  <c r="BG548" i="1"/>
  <c r="BG549" i="1" s="1"/>
  <c r="AG548" i="1"/>
  <c r="AG549" i="1" s="1"/>
  <c r="AF540" i="1"/>
  <c r="BI539" i="1"/>
  <c r="BA548" i="1"/>
  <c r="S549" i="1"/>
  <c r="AA548" i="1"/>
  <c r="AB541" i="1"/>
  <c r="AC541" i="1" s="1"/>
  <c r="V541" i="1"/>
  <c r="AU541" i="1" s="1"/>
  <c r="U541" i="1"/>
  <c r="AT541" i="1" s="1"/>
  <c r="T542" i="1"/>
  <c r="AR540" i="1" l="1"/>
  <c r="BP539" i="1"/>
  <c r="AD541" i="1"/>
  <c r="BN541" i="1"/>
  <c r="BO541" i="1" s="1"/>
  <c r="BJ541" i="1"/>
  <c r="BJ540" i="1"/>
  <c r="BK540" i="1" s="1"/>
  <c r="BH540" i="1" s="1" a="1"/>
  <c r="BH540" i="1" s="1"/>
  <c r="BN540" i="1"/>
  <c r="BO540" i="1" s="1"/>
  <c r="AQ539" i="1"/>
  <c r="Y539" i="1" a="1"/>
  <c r="Y539" i="1" s="1"/>
  <c r="AH539" i="1" s="1"/>
  <c r="AQ540" i="1"/>
  <c r="Y540" i="1" a="1"/>
  <c r="Y540" i="1" s="1"/>
  <c r="AH540" i="1" s="1"/>
  <c r="BD549" i="1"/>
  <c r="BE549" i="1"/>
  <c r="BF549" i="1"/>
  <c r="AF541" i="1"/>
  <c r="BI540" i="1"/>
  <c r="BA549" i="1"/>
  <c r="AA549" i="1"/>
  <c r="S550" i="1"/>
  <c r="AB542" i="1"/>
  <c r="AC542" i="1" s="1"/>
  <c r="AE542" i="1" s="1"/>
  <c r="T543" i="1"/>
  <c r="U542" i="1"/>
  <c r="AT542" i="1" s="1"/>
  <c r="V542" i="1"/>
  <c r="AU542" i="1" s="1"/>
  <c r="BH541" i="1" l="1" a="1"/>
  <c r="BH541" i="1" s="1"/>
  <c r="BK541" i="1"/>
  <c r="AS540" i="1"/>
  <c r="BR540" i="1"/>
  <c r="BQ540" i="1" s="1"/>
  <c r="BT540" i="1"/>
  <c r="BT539" i="1"/>
  <c r="AS539" i="1"/>
  <c r="BR539" i="1"/>
  <c r="BQ539" i="1" s="1"/>
  <c r="BP540" i="1"/>
  <c r="AD542" i="1"/>
  <c r="BN542" i="1" s="1"/>
  <c r="BO542" i="1" s="1"/>
  <c r="AP542" i="1"/>
  <c r="AP543" i="1" s="1"/>
  <c r="AO542" i="1"/>
  <c r="AO543" i="1" s="1"/>
  <c r="AJ542" i="1"/>
  <c r="AJ543" i="1" s="1"/>
  <c r="AI542" i="1"/>
  <c r="AI543" i="1" s="1"/>
  <c r="AN542" i="1"/>
  <c r="BG550" i="1"/>
  <c r="BE550" i="1"/>
  <c r="BF550" i="1"/>
  <c r="BF551" i="1" s="1"/>
  <c r="AG550" i="1"/>
  <c r="AF542" i="1"/>
  <c r="BI541" i="1"/>
  <c r="BP541" i="1" s="1"/>
  <c r="BA550" i="1"/>
  <c r="AA550" i="1"/>
  <c r="S551" i="1"/>
  <c r="AB543" i="1"/>
  <c r="AC543" i="1" s="1"/>
  <c r="AE543" i="1" s="1"/>
  <c r="T544" i="1"/>
  <c r="U543" i="1"/>
  <c r="AT543" i="1" s="1"/>
  <c r="V543" i="1"/>
  <c r="AU543" i="1" s="1"/>
  <c r="BS539" i="1" l="1"/>
  <c r="BS540" i="1"/>
  <c r="BJ542" i="1"/>
  <c r="BK542" i="1"/>
  <c r="AG551" i="1"/>
  <c r="BH542" i="1" a="1"/>
  <c r="BH542" i="1" s="1"/>
  <c r="AN543" i="1"/>
  <c r="AM543" i="1" s="1"/>
  <c r="AD543" i="1"/>
  <c r="BE551" i="1"/>
  <c r="BG551" i="1"/>
  <c r="BD551" i="1"/>
  <c r="AF543" i="1"/>
  <c r="BI542" i="1"/>
  <c r="BP542" i="1" s="1"/>
  <c r="AR542" i="1"/>
  <c r="AM542" i="1"/>
  <c r="BA551" i="1"/>
  <c r="AA551" i="1"/>
  <c r="S552" i="1"/>
  <c r="BF552" i="1" s="1"/>
  <c r="AB544" i="1"/>
  <c r="AC544" i="1" s="1"/>
  <c r="U544" i="1"/>
  <c r="AT544" i="1" s="1"/>
  <c r="V544" i="1"/>
  <c r="AU544" i="1" s="1"/>
  <c r="T545" i="1"/>
  <c r="BD552" i="1" l="1"/>
  <c r="BG552" i="1"/>
  <c r="BE552" i="1"/>
  <c r="AR543" i="1"/>
  <c r="AY545" i="1" a="1"/>
  <c r="AY545" i="1" s="1"/>
  <c r="AW545" i="1" a="1"/>
  <c r="AW545" i="1" s="1"/>
  <c r="AG552" i="1"/>
  <c r="AD544" i="1"/>
  <c r="BN544" i="1" s="1"/>
  <c r="BO544" i="1" s="1"/>
  <c r="BH543" i="1" a="1"/>
  <c r="BH543" i="1" s="1"/>
  <c r="BK543" i="1"/>
  <c r="AE544" i="1"/>
  <c r="BJ544" i="1"/>
  <c r="BJ543" i="1"/>
  <c r="BN543" i="1"/>
  <c r="BO543" i="1" s="1"/>
  <c r="AQ542" i="1"/>
  <c r="Y542" i="1" a="1"/>
  <c r="Y542" i="1" s="1"/>
  <c r="AH542" i="1" s="1"/>
  <c r="AQ543" i="1"/>
  <c r="Y543" i="1" a="1"/>
  <c r="Y543" i="1" s="1"/>
  <c r="AH543" i="1" s="1"/>
  <c r="AF544" i="1"/>
  <c r="BI543" i="1"/>
  <c r="BA552" i="1"/>
  <c r="AA552" i="1"/>
  <c r="S553" i="1"/>
  <c r="BR553" i="1" s="1"/>
  <c r="BQ553" i="1" s="1"/>
  <c r="AB545" i="1"/>
  <c r="AC545" i="1" s="1"/>
  <c r="T546" i="1"/>
  <c r="U545" i="1"/>
  <c r="AT545" i="1" s="1"/>
  <c r="V545" i="1"/>
  <c r="AU545" i="1" s="1"/>
  <c r="AS543" i="1" l="1"/>
  <c r="BR543" i="1"/>
  <c r="BQ543" i="1" s="1"/>
  <c r="BT543" i="1"/>
  <c r="BP543" i="1"/>
  <c r="AS542" i="1"/>
  <c r="BR542" i="1"/>
  <c r="BQ542" i="1" s="1"/>
  <c r="BT542" i="1"/>
  <c r="AX546" i="1" a="1"/>
  <c r="AX546" i="1" s="1"/>
  <c r="AW546" i="1" a="1"/>
  <c r="AW546" i="1" s="1"/>
  <c r="AY546" i="1" a="1"/>
  <c r="AY546" i="1" s="1"/>
  <c r="AV546" i="1" a="1"/>
  <c r="AV546" i="1" s="1"/>
  <c r="AD545" i="1"/>
  <c r="BN545" i="1"/>
  <c r="BO545" i="1" s="1"/>
  <c r="BJ545" i="1"/>
  <c r="BI545" i="1"/>
  <c r="BI544" i="1"/>
  <c r="BP544" i="1" s="1"/>
  <c r="BK544" i="1"/>
  <c r="BH544" i="1" s="1" a="1"/>
  <c r="BH544" i="1" s="1"/>
  <c r="BH545" i="1" s="1" a="1"/>
  <c r="BH545" i="1" s="1"/>
  <c r="BE553" i="1"/>
  <c r="BF553" i="1"/>
  <c r="BG553" i="1"/>
  <c r="BA553" i="1"/>
  <c r="AA553" i="1"/>
  <c r="S554" i="1"/>
  <c r="T547" i="1"/>
  <c r="U546" i="1"/>
  <c r="AT546" i="1" s="1"/>
  <c r="AB546" i="1"/>
  <c r="AC546" i="1" s="1"/>
  <c r="AD546" i="1" s="1"/>
  <c r="V546" i="1"/>
  <c r="AU546" i="1" s="1"/>
  <c r="BF554" i="1" l="1"/>
  <c r="BP545" i="1"/>
  <c r="BS542" i="1"/>
  <c r="BS543" i="1"/>
  <c r="BN546" i="1"/>
  <c r="BO546" i="1" s="1"/>
  <c r="BP546" i="1" s="1"/>
  <c r="BJ546" i="1"/>
  <c r="BE554" i="1"/>
  <c r="AS553" i="1"/>
  <c r="AO546" i="1"/>
  <c r="AP546" i="1"/>
  <c r="AI546" i="1"/>
  <c r="AJ546" i="1"/>
  <c r="AE546" i="1"/>
  <c r="AF546" i="1"/>
  <c r="BI546" i="1" s="1"/>
  <c r="AN546" i="1"/>
  <c r="BG554" i="1"/>
  <c r="BD554" i="1"/>
  <c r="AG554" i="1"/>
  <c r="BA554" i="1"/>
  <c r="AA554" i="1"/>
  <c r="S555" i="1"/>
  <c r="BR555" i="1" s="1"/>
  <c r="BQ555" i="1" s="1"/>
  <c r="AB547" i="1"/>
  <c r="AC547" i="1" s="1"/>
  <c r="T548" i="1"/>
  <c r="U547" i="1"/>
  <c r="AT547" i="1" s="1"/>
  <c r="V547" i="1"/>
  <c r="AU547" i="1" s="1"/>
  <c r="BH546" i="1" l="1" a="1"/>
  <c r="BH546" i="1" s="1"/>
  <c r="AF547" i="1"/>
  <c r="BI547" i="1" s="1"/>
  <c r="AE547" i="1"/>
  <c r="AG555" i="1"/>
  <c r="AM546" i="1"/>
  <c r="AR546" i="1"/>
  <c r="AD547" i="1"/>
  <c r="BK546" i="1"/>
  <c r="BA555" i="1"/>
  <c r="S556" i="1"/>
  <c r="AA555" i="1"/>
  <c r="AB548" i="1"/>
  <c r="AC548" i="1" s="1"/>
  <c r="AF548" i="1" s="1"/>
  <c r="T549" i="1"/>
  <c r="U548" i="1"/>
  <c r="AT548" i="1" s="1"/>
  <c r="V548" i="1"/>
  <c r="AU548" i="1" s="1"/>
  <c r="AE548" i="1" l="1"/>
  <c r="AP548" i="1"/>
  <c r="AO548" i="1"/>
  <c r="AQ546" i="1"/>
  <c r="Y546" i="1" a="1"/>
  <c r="Y546" i="1" s="1"/>
  <c r="AH546" i="1" s="1"/>
  <c r="AI548" i="1"/>
  <c r="AJ548" i="1"/>
  <c r="AN548" i="1"/>
  <c r="BD556" i="1"/>
  <c r="BE556" i="1"/>
  <c r="BG556" i="1"/>
  <c r="BF556" i="1"/>
  <c r="BF557" i="1" s="1"/>
  <c r="AG556" i="1"/>
  <c r="AD548" i="1"/>
  <c r="BN547" i="1"/>
  <c r="BO547" i="1" s="1"/>
  <c r="BP547" i="1" s="1"/>
  <c r="BJ547" i="1"/>
  <c r="BK547" i="1" s="1"/>
  <c r="BI548" i="1"/>
  <c r="BA556" i="1"/>
  <c r="S557" i="1"/>
  <c r="AA556" i="1"/>
  <c r="T550" i="1"/>
  <c r="U549" i="1"/>
  <c r="AT549" i="1" s="1"/>
  <c r="AB549" i="1"/>
  <c r="AC549" i="1" s="1"/>
  <c r="AF549" i="1" s="1"/>
  <c r="V549" i="1"/>
  <c r="AU549" i="1" s="1"/>
  <c r="X550" i="1" l="1" a="1"/>
  <c r="X550" i="1" s="1"/>
  <c r="W550" i="1" s="1" a="1"/>
  <c r="W550" i="1" s="1"/>
  <c r="AN550" i="1" s="1"/>
  <c r="AJ549" i="1"/>
  <c r="AI549" i="1"/>
  <c r="AS546" i="1"/>
  <c r="BR546" i="1"/>
  <c r="BQ546" i="1" s="1"/>
  <c r="BT546" i="1"/>
  <c r="BS546" i="1" s="1"/>
  <c r="AO549" i="1"/>
  <c r="AP549" i="1"/>
  <c r="BH547" i="1" a="1"/>
  <c r="BH547" i="1" s="1"/>
  <c r="BH548" i="1" s="1" a="1"/>
  <c r="BH548" i="1" s="1"/>
  <c r="BI549" i="1"/>
  <c r="AE549" i="1"/>
  <c r="AN549" i="1"/>
  <c r="BG557" i="1"/>
  <c r="BE557" i="1"/>
  <c r="AG557" i="1"/>
  <c r="BD557" i="1"/>
  <c r="AD549" i="1"/>
  <c r="BJ548" i="1"/>
  <c r="BK548" i="1" s="1"/>
  <c r="BN548" i="1"/>
  <c r="BO548" i="1" s="1"/>
  <c r="BP548" i="1" s="1"/>
  <c r="AM548" i="1"/>
  <c r="AR548" i="1"/>
  <c r="BA557" i="1"/>
  <c r="AA557" i="1"/>
  <c r="S558" i="1"/>
  <c r="AB550" i="1"/>
  <c r="AC550" i="1" s="1"/>
  <c r="AF550" i="1" s="1"/>
  <c r="T551" i="1"/>
  <c r="U550" i="1"/>
  <c r="AT550" i="1" s="1"/>
  <c r="V550" i="1"/>
  <c r="AU550" i="1" s="1"/>
  <c r="X551" i="1" l="1" a="1"/>
  <c r="X551" i="1" s="1"/>
  <c r="W551" i="1" s="1" a="1"/>
  <c r="W551" i="1" s="1"/>
  <c r="AK551" i="1" s="1"/>
  <c r="AL550" i="1"/>
  <c r="AP550" i="1" s="1"/>
  <c r="AK550" i="1"/>
  <c r="AO550" i="1" s="1"/>
  <c r="AG558" i="1"/>
  <c r="AE550" i="1"/>
  <c r="BH549" i="1" a="1"/>
  <c r="BH549" i="1" s="1"/>
  <c r="BE558" i="1"/>
  <c r="AQ548" i="1"/>
  <c r="Y548" i="1" a="1"/>
  <c r="Y548" i="1" s="1"/>
  <c r="AH548" i="1" s="1"/>
  <c r="BI550" i="1"/>
  <c r="BD558" i="1"/>
  <c r="BF558" i="1"/>
  <c r="BG558" i="1"/>
  <c r="AD550" i="1"/>
  <c r="BJ549" i="1"/>
  <c r="BK549" i="1" s="1"/>
  <c r="BN549" i="1"/>
  <c r="BO549" i="1" s="1"/>
  <c r="BP549" i="1" s="1"/>
  <c r="AR550" i="1"/>
  <c r="AM550" i="1"/>
  <c r="AR549" i="1"/>
  <c r="AM549" i="1"/>
  <c r="BA558" i="1"/>
  <c r="AA558" i="1"/>
  <c r="S559" i="1"/>
  <c r="BR559" i="1" s="1"/>
  <c r="BQ559" i="1" s="1"/>
  <c r="AB551" i="1"/>
  <c r="AC551" i="1" s="1"/>
  <c r="AF551" i="1" s="1"/>
  <c r="U551" i="1"/>
  <c r="AT551" i="1" s="1"/>
  <c r="T552" i="1"/>
  <c r="V551" i="1"/>
  <c r="AU551" i="1" s="1"/>
  <c r="BH550" i="1" l="1" a="1"/>
  <c r="BH550" i="1" s="1"/>
  <c r="AE551" i="1"/>
  <c r="X552" i="1" a="1"/>
  <c r="X552" i="1" s="1"/>
  <c r="W552" i="1" s="1" a="1"/>
  <c r="W552" i="1" s="1"/>
  <c r="AN552" i="1" s="1"/>
  <c r="AP551" i="1"/>
  <c r="AN551" i="1"/>
  <c r="AL551" i="1"/>
  <c r="AS548" i="1"/>
  <c r="BR548" i="1"/>
  <c r="BQ548" i="1" s="1"/>
  <c r="BT548" i="1"/>
  <c r="AO551" i="1"/>
  <c r="AQ549" i="1"/>
  <c r="Y549" i="1" a="1"/>
  <c r="Y549" i="1" s="1"/>
  <c r="AH549" i="1" s="1"/>
  <c r="BR549" i="1" s="1"/>
  <c r="AQ550" i="1"/>
  <c r="Y550" i="1" a="1"/>
  <c r="Y550" i="1" s="1"/>
  <c r="AH550" i="1" s="1"/>
  <c r="AI551" i="1"/>
  <c r="AI552" i="1" s="1"/>
  <c r="AJ551" i="1"/>
  <c r="AJ552" i="1" s="1"/>
  <c r="BF559" i="1"/>
  <c r="AD551" i="1"/>
  <c r="BJ550" i="1"/>
  <c r="BK550" i="1" s="1"/>
  <c r="BN550" i="1"/>
  <c r="BO550" i="1" s="1"/>
  <c r="BP550" i="1" s="1"/>
  <c r="BI551" i="1"/>
  <c r="AM551" i="1"/>
  <c r="AR551" i="1"/>
  <c r="BA559" i="1"/>
  <c r="AA559" i="1"/>
  <c r="S560" i="1"/>
  <c r="BR560" i="1" s="1"/>
  <c r="BQ560" i="1" s="1"/>
  <c r="AB552" i="1"/>
  <c r="AC552" i="1" s="1"/>
  <c r="AF552" i="1" s="1"/>
  <c r="T553" i="1"/>
  <c r="U552" i="1"/>
  <c r="AT552" i="1" s="1"/>
  <c r="V552" i="1"/>
  <c r="AU552" i="1" s="1"/>
  <c r="AL552" i="1" l="1"/>
  <c r="AK552" i="1"/>
  <c r="AS550" i="1"/>
  <c r="BR550" i="1"/>
  <c r="BQ550" i="1" s="1"/>
  <c r="BT550" i="1"/>
  <c r="AW553" i="1" a="1"/>
  <c r="AW553" i="1" s="1"/>
  <c r="AX553" i="1" a="1"/>
  <c r="AX553" i="1" s="1"/>
  <c r="AV553" i="1" a="1"/>
  <c r="AV553" i="1" s="1"/>
  <c r="AP552" i="1"/>
  <c r="BT549" i="1"/>
  <c r="AO552" i="1"/>
  <c r="BS548" i="1"/>
  <c r="AE552" i="1"/>
  <c r="BH551" i="1" a="1"/>
  <c r="BH551" i="1" s="1"/>
  <c r="AQ551" i="1"/>
  <c r="Y551" i="1" a="1"/>
  <c r="Y551" i="1" s="1"/>
  <c r="AH551" i="1" s="1"/>
  <c r="BR551" i="1" s="1"/>
  <c r="AS549" i="1"/>
  <c r="BQ549" i="1"/>
  <c r="BI552" i="1"/>
  <c r="AG560" i="1"/>
  <c r="AD552" i="1"/>
  <c r="BN551" i="1"/>
  <c r="BO551" i="1" s="1"/>
  <c r="BP551" i="1" s="1"/>
  <c r="BJ551" i="1"/>
  <c r="BK551" i="1" s="1"/>
  <c r="AM552" i="1"/>
  <c r="AR552" i="1"/>
  <c r="BA560" i="1"/>
  <c r="AA560" i="1"/>
  <c r="S561" i="1"/>
  <c r="AB553" i="1"/>
  <c r="AC553" i="1" s="1"/>
  <c r="AF553" i="1" s="1"/>
  <c r="T554" i="1"/>
  <c r="U553" i="1"/>
  <c r="AT553" i="1" s="1"/>
  <c r="V553" i="1"/>
  <c r="AU553" i="1" s="1"/>
  <c r="AW554" i="1" l="1" a="1"/>
  <c r="AW554" i="1" s="1"/>
  <c r="AX554" i="1" a="1"/>
  <c r="AX554" i="1" s="1"/>
  <c r="AV554" i="1" a="1"/>
  <c r="AV554" i="1" s="1"/>
  <c r="BT551" i="1"/>
  <c r="BH552" i="1" a="1"/>
  <c r="BH552" i="1" s="1"/>
  <c r="BH553" i="1" s="1" a="1"/>
  <c r="BH553" i="1" s="1"/>
  <c r="BS549" i="1"/>
  <c r="BS550" i="1"/>
  <c r="AQ552" i="1"/>
  <c r="Y552" i="1" a="1"/>
  <c r="Y552" i="1" s="1"/>
  <c r="AH552" i="1" s="1"/>
  <c r="AS551" i="1"/>
  <c r="BQ551" i="1"/>
  <c r="BI553" i="1"/>
  <c r="BP553" i="1" s="1"/>
  <c r="BK553" i="1"/>
  <c r="BF561" i="1"/>
  <c r="AG561" i="1"/>
  <c r="BR561" i="1"/>
  <c r="BQ561" i="1" s="1"/>
  <c r="BJ552" i="1"/>
  <c r="BK552" i="1" s="1"/>
  <c r="BN552" i="1"/>
  <c r="BO552" i="1" s="1"/>
  <c r="BP552" i="1" s="1"/>
  <c r="BA561" i="1"/>
  <c r="AA561" i="1"/>
  <c r="S562" i="1"/>
  <c r="AB554" i="1"/>
  <c r="AC554" i="1" s="1"/>
  <c r="AF554" i="1" s="1"/>
  <c r="T555" i="1"/>
  <c r="V554" i="1"/>
  <c r="AU554" i="1" s="1"/>
  <c r="U554" i="1"/>
  <c r="AT554" i="1" s="1"/>
  <c r="BT552" i="1" l="1"/>
  <c r="BS551" i="1"/>
  <c r="AV555" i="1" a="1"/>
  <c r="AV555" i="1" s="1"/>
  <c r="AX555" i="1" a="1"/>
  <c r="AX555" i="1" s="1"/>
  <c r="AW555" i="1" a="1"/>
  <c r="AW555" i="1" s="1"/>
  <c r="AS552" i="1"/>
  <c r="BR552" i="1"/>
  <c r="BQ552" i="1" s="1"/>
  <c r="AO554" i="1"/>
  <c r="AP554" i="1"/>
  <c r="AJ554" i="1"/>
  <c r="AI554" i="1"/>
  <c r="AN554" i="1"/>
  <c r="AD554" i="1"/>
  <c r="AE554" i="1"/>
  <c r="AG562" i="1"/>
  <c r="BR562" i="1"/>
  <c r="BQ562" i="1" s="1"/>
  <c r="BI554" i="1"/>
  <c r="BK554" i="1"/>
  <c r="BA562" i="1"/>
  <c r="AA562" i="1"/>
  <c r="S563" i="1"/>
  <c r="AB555" i="1"/>
  <c r="AC555" i="1" s="1"/>
  <c r="T556" i="1"/>
  <c r="U555" i="1"/>
  <c r="AT555" i="1" s="1"/>
  <c r="V555" i="1"/>
  <c r="AU555" i="1" s="1"/>
  <c r="AV556" i="1" l="1" a="1"/>
  <c r="AV556" i="1" s="1"/>
  <c r="AW556" i="1" a="1"/>
  <c r="AW556" i="1" s="1"/>
  <c r="AX556" i="1" a="1"/>
  <c r="AX556" i="1" s="1"/>
  <c r="AY556" i="1" a="1"/>
  <c r="AY556" i="1" s="1"/>
  <c r="BS552" i="1"/>
  <c r="AG563" i="1"/>
  <c r="AE555" i="1"/>
  <c r="AE556" i="1" s="1"/>
  <c r="AD555" i="1"/>
  <c r="AF555" i="1"/>
  <c r="BN554" i="1"/>
  <c r="BO554" i="1" s="1"/>
  <c r="BP554" i="1" s="1"/>
  <c r="BJ554" i="1"/>
  <c r="BH554" i="1" s="1" a="1"/>
  <c r="BH554" i="1" s="1"/>
  <c r="AR554" i="1"/>
  <c r="AM554" i="1"/>
  <c r="BA563" i="1"/>
  <c r="AA563" i="1"/>
  <c r="S564" i="1"/>
  <c r="BR564" i="1" s="1"/>
  <c r="BQ564" i="1" s="1"/>
  <c r="AB556" i="1"/>
  <c r="AC556" i="1" s="1"/>
  <c r="T557" i="1"/>
  <c r="U556" i="1"/>
  <c r="AT556" i="1" s="1"/>
  <c r="V556" i="1"/>
  <c r="AU556" i="1" s="1"/>
  <c r="AW557" i="1" l="1" a="1"/>
  <c r="AW557" i="1" s="1"/>
  <c r="AX557" i="1" a="1"/>
  <c r="AX557" i="1" s="1"/>
  <c r="AO556" i="1"/>
  <c r="AO557" i="1" s="1"/>
  <c r="AP556" i="1"/>
  <c r="AI556" i="1"/>
  <c r="AI557" i="1" s="1"/>
  <c r="AJ556" i="1"/>
  <c r="AJ557" i="1" s="1"/>
  <c r="AF556" i="1"/>
  <c r="AN556" i="1"/>
  <c r="BF564" i="1"/>
  <c r="AQ554" i="1"/>
  <c r="Y554" i="1" a="1"/>
  <c r="Y554" i="1" s="1"/>
  <c r="AH554" i="1" s="1"/>
  <c r="BI555" i="1"/>
  <c r="AD556" i="1"/>
  <c r="BJ555" i="1"/>
  <c r="BK555" i="1" s="1"/>
  <c r="BH555" i="1" s="1" a="1"/>
  <c r="BH555" i="1" s="1"/>
  <c r="BN555" i="1"/>
  <c r="BO555" i="1" s="1"/>
  <c r="BP555" i="1" s="1"/>
  <c r="BA564" i="1"/>
  <c r="AA564" i="1"/>
  <c r="S565" i="1"/>
  <c r="AB557" i="1"/>
  <c r="AC557" i="1" s="1"/>
  <c r="AE557" i="1" s="1"/>
  <c r="T558" i="1"/>
  <c r="U557" i="1"/>
  <c r="AT557" i="1" s="1"/>
  <c r="V557" i="1"/>
  <c r="AU557" i="1" s="1"/>
  <c r="BH556" i="1" l="1" a="1"/>
  <c r="BH556" i="1" s="1"/>
  <c r="AX558" i="1" a="1"/>
  <c r="AX558" i="1" s="1"/>
  <c r="AW558" i="1" a="1"/>
  <c r="AW558" i="1" s="1"/>
  <c r="AY558" i="1" a="1"/>
  <c r="AY558" i="1" s="1"/>
  <c r="AP557" i="1"/>
  <c r="BT554" i="1"/>
  <c r="BS554" i="1" s="1"/>
  <c r="AS554" i="1"/>
  <c r="BR554" i="1"/>
  <c r="BQ554" i="1" s="1"/>
  <c r="BI556" i="1"/>
  <c r="BK556" i="1"/>
  <c r="AF557" i="1"/>
  <c r="AN557" i="1"/>
  <c r="AG565" i="1"/>
  <c r="BR565" i="1"/>
  <c r="BQ565" i="1" s="1"/>
  <c r="AD557" i="1"/>
  <c r="BN556" i="1"/>
  <c r="BO556" i="1" s="1"/>
  <c r="BP556" i="1" s="1"/>
  <c r="BJ556" i="1"/>
  <c r="AM556" i="1"/>
  <c r="AR556" i="1"/>
  <c r="BA565" i="1"/>
  <c r="S566" i="1"/>
  <c r="AA565" i="1"/>
  <c r="AB558" i="1"/>
  <c r="AC558" i="1" s="1"/>
  <c r="T559" i="1"/>
  <c r="U558" i="1"/>
  <c r="AT558" i="1" s="1"/>
  <c r="V558" i="1"/>
  <c r="AU558" i="1" s="1"/>
  <c r="AY559" i="1" l="1" a="1"/>
  <c r="AY559" i="1" s="1"/>
  <c r="AW559" i="1" a="1"/>
  <c r="AW559" i="1" s="1"/>
  <c r="BK557" i="1"/>
  <c r="AN558" i="1"/>
  <c r="AO558" i="1"/>
  <c r="AP558" i="1"/>
  <c r="AI558" i="1"/>
  <c r="AJ558" i="1"/>
  <c r="AE558" i="1"/>
  <c r="BH557" i="1" a="1"/>
  <c r="BH557" i="1" s="1"/>
  <c r="AM558" i="1"/>
  <c r="AR558" i="1"/>
  <c r="BD566" i="1"/>
  <c r="BF566" i="1"/>
  <c r="BG566" i="1"/>
  <c r="AG566" i="1"/>
  <c r="BE566" i="1"/>
  <c r="AQ556" i="1"/>
  <c r="Y556" i="1" a="1"/>
  <c r="Y556" i="1" s="1"/>
  <c r="AH556" i="1" s="1"/>
  <c r="AD558" i="1"/>
  <c r="BJ557" i="1"/>
  <c r="BN557" i="1"/>
  <c r="BO557" i="1" s="1"/>
  <c r="AR557" i="1"/>
  <c r="AM557" i="1"/>
  <c r="AF558" i="1"/>
  <c r="BI558" i="1" s="1"/>
  <c r="BI557" i="1"/>
  <c r="BA566" i="1"/>
  <c r="AA566" i="1"/>
  <c r="S567" i="1"/>
  <c r="BR567" i="1" s="1"/>
  <c r="BQ567" i="1" s="1"/>
  <c r="AB559" i="1"/>
  <c r="AC559" i="1" s="1"/>
  <c r="T560" i="1"/>
  <c r="V559" i="1"/>
  <c r="AU559" i="1" s="1"/>
  <c r="U559" i="1"/>
  <c r="AT559" i="1" s="1"/>
  <c r="AS556" i="1" l="1"/>
  <c r="BR556" i="1"/>
  <c r="BQ556" i="1" s="1"/>
  <c r="BT556" i="1"/>
  <c r="BS556" i="1" s="1"/>
  <c r="AX560" i="1" a="1"/>
  <c r="AX560" i="1" s="1"/>
  <c r="AY560" i="1" a="1"/>
  <c r="AY560" i="1" s="1"/>
  <c r="AV560" i="1" a="1"/>
  <c r="AV560" i="1" s="1"/>
  <c r="AW560" i="1" a="1"/>
  <c r="AW560" i="1" s="1"/>
  <c r="AD559" i="1"/>
  <c r="AF559" i="1" s="1"/>
  <c r="BP557" i="1"/>
  <c r="BH558" i="1" a="1"/>
  <c r="BH558" i="1" s="1"/>
  <c r="BE567" i="1"/>
  <c r="AS567" i="1" s="1"/>
  <c r="BF567" i="1"/>
  <c r="BG567" i="1"/>
  <c r="AQ557" i="1"/>
  <c r="Y557" i="1" a="1"/>
  <c r="Y557" i="1" s="1"/>
  <c r="AH557" i="1" s="1"/>
  <c r="BN558" i="1"/>
  <c r="BO558" i="1" s="1"/>
  <c r="BP558" i="1" s="1"/>
  <c r="BJ558" i="1"/>
  <c r="BK558" i="1" s="1"/>
  <c r="AQ558" i="1"/>
  <c r="Y558" i="1" a="1"/>
  <c r="Y558" i="1" s="1"/>
  <c r="AH558" i="1" s="1"/>
  <c r="BA567" i="1"/>
  <c r="AA567" i="1"/>
  <c r="S568" i="1"/>
  <c r="AB560" i="1"/>
  <c r="AC560" i="1" s="1"/>
  <c r="T561" i="1"/>
  <c r="U560" i="1"/>
  <c r="AT560" i="1" s="1"/>
  <c r="V560" i="1"/>
  <c r="AU560" i="1" s="1"/>
  <c r="BT557" i="1" l="1"/>
  <c r="BS557" i="1" s="1"/>
  <c r="AS557" i="1"/>
  <c r="BR557" i="1"/>
  <c r="BQ557" i="1" s="1"/>
  <c r="AW561" i="1" a="1"/>
  <c r="AW561" i="1" s="1"/>
  <c r="AY561" i="1" a="1"/>
  <c r="AY561" i="1" s="1"/>
  <c r="BN559" i="1"/>
  <c r="BO559" i="1" s="1"/>
  <c r="BJ559" i="1"/>
  <c r="BH559" i="1" a="1"/>
  <c r="BH559" i="1" s="1"/>
  <c r="AS558" i="1"/>
  <c r="BR558" i="1"/>
  <c r="BQ558" i="1" s="1"/>
  <c r="BT558" i="1"/>
  <c r="BS558" i="1" s="1"/>
  <c r="AF560" i="1"/>
  <c r="AE560" i="1"/>
  <c r="AE561" i="1" s="1"/>
  <c r="BF568" i="1"/>
  <c r="BG568" i="1"/>
  <c r="BD568" i="1"/>
  <c r="BE568" i="1"/>
  <c r="AG568" i="1"/>
  <c r="AD560" i="1"/>
  <c r="BN560" i="1" s="1"/>
  <c r="BO560" i="1" s="1"/>
  <c r="BK559" i="1"/>
  <c r="BI559" i="1"/>
  <c r="BA568" i="1"/>
  <c r="AA568" i="1"/>
  <c r="S569" i="1"/>
  <c r="AB561" i="1"/>
  <c r="AC561" i="1" s="1"/>
  <c r="AF561" i="1" s="1"/>
  <c r="BI561" i="1" s="1"/>
  <c r="T562" i="1"/>
  <c r="U561" i="1"/>
  <c r="AT561" i="1" s="1"/>
  <c r="V561" i="1"/>
  <c r="AU561" i="1" s="1"/>
  <c r="BP559" i="1" l="1"/>
  <c r="AG569" i="1"/>
  <c r="AG570" i="1" s="1"/>
  <c r="BR569" i="1"/>
  <c r="BQ569" i="1" s="1"/>
  <c r="BI560" i="1"/>
  <c r="BP560" i="1" s="1"/>
  <c r="AD561" i="1"/>
  <c r="BJ560" i="1"/>
  <c r="BK560" i="1" s="1"/>
  <c r="BH560" i="1" s="1" a="1"/>
  <c r="BH560" i="1" s="1"/>
  <c r="BA569" i="1"/>
  <c r="S570" i="1"/>
  <c r="AA569" i="1"/>
  <c r="U562" i="1"/>
  <c r="AT562" i="1" s="1"/>
  <c r="AB562" i="1"/>
  <c r="AC562" i="1" s="1"/>
  <c r="AF562" i="1" s="1"/>
  <c r="V562" i="1"/>
  <c r="AU562" i="1" s="1"/>
  <c r="T563" i="1"/>
  <c r="BH561" i="1" l="1" a="1"/>
  <c r="BH561" i="1" s="1"/>
  <c r="BH562" i="1" s="1" a="1"/>
  <c r="BH562" i="1" s="1"/>
  <c r="X563" i="1" a="1"/>
  <c r="X563" i="1" s="1"/>
  <c r="W563" i="1" s="1" a="1"/>
  <c r="W563" i="1" s="1"/>
  <c r="AN563" i="1" s="1"/>
  <c r="AD562" i="1"/>
  <c r="BJ562" i="1" s="1"/>
  <c r="BK562" i="1" s="1"/>
  <c r="BN561" i="1"/>
  <c r="BO561" i="1" s="1"/>
  <c r="BP561" i="1" s="1"/>
  <c r="BJ561" i="1"/>
  <c r="BK561" i="1" s="1"/>
  <c r="AF563" i="1"/>
  <c r="BI563" i="1" s="1"/>
  <c r="BI562" i="1"/>
  <c r="BE570" i="1"/>
  <c r="BF570" i="1"/>
  <c r="BG570" i="1"/>
  <c r="BD570" i="1"/>
  <c r="BA570" i="1"/>
  <c r="AA570" i="1"/>
  <c r="S571" i="1"/>
  <c r="AB563" i="1"/>
  <c r="AC563" i="1" s="1"/>
  <c r="AE563" i="1" s="1"/>
  <c r="U563" i="1"/>
  <c r="AT563" i="1" s="1"/>
  <c r="V563" i="1"/>
  <c r="AU563" i="1" s="1"/>
  <c r="T564" i="1"/>
  <c r="BN562" i="1" l="1"/>
  <c r="BO562" i="1" s="1"/>
  <c r="BP562" i="1" s="1"/>
  <c r="AK563" i="1"/>
  <c r="AO563" i="1" s="1"/>
  <c r="AD563" i="1"/>
  <c r="BN563" i="1" s="1"/>
  <c r="BO563" i="1" s="1"/>
  <c r="BP563" i="1" s="1"/>
  <c r="AW564" i="1" a="1"/>
  <c r="AW564" i="1" s="1"/>
  <c r="AY564" i="1" a="1"/>
  <c r="AY564" i="1" s="1"/>
  <c r="BH563" i="1" a="1"/>
  <c r="BH563" i="1" s="1"/>
  <c r="AG571" i="1"/>
  <c r="BJ563" i="1"/>
  <c r="BK563" i="1" s="1"/>
  <c r="AM563" i="1"/>
  <c r="AR563" i="1"/>
  <c r="BA571" i="1"/>
  <c r="AA571" i="1"/>
  <c r="S572" i="1"/>
  <c r="AB564" i="1"/>
  <c r="AC564" i="1" s="1"/>
  <c r="AD564" i="1" s="1"/>
  <c r="T565" i="1"/>
  <c r="V564" i="1"/>
  <c r="AU564" i="1" s="1"/>
  <c r="U564" i="1"/>
  <c r="AT564" i="1" s="1"/>
  <c r="AW565" i="1" l="1" a="1"/>
  <c r="AW565" i="1" s="1"/>
  <c r="AV565" i="1" a="1"/>
  <c r="AV565" i="1" s="1"/>
  <c r="AX565" i="1" a="1"/>
  <c r="AX565" i="1" s="1"/>
  <c r="AY565" i="1" a="1"/>
  <c r="AY565" i="1" s="1"/>
  <c r="AL563" i="1"/>
  <c r="AP563" i="1" s="1"/>
  <c r="AQ563" i="1"/>
  <c r="Y563" i="1" a="1"/>
  <c r="Y563" i="1" s="1"/>
  <c r="AH563" i="1" s="1"/>
  <c r="BR563" i="1" s="1"/>
  <c r="AF564" i="1"/>
  <c r="BN564" i="1"/>
  <c r="BO564" i="1" s="1"/>
  <c r="BJ564" i="1"/>
  <c r="BG572" i="1"/>
  <c r="BD572" i="1"/>
  <c r="BE572" i="1"/>
  <c r="BF572" i="1"/>
  <c r="AG572" i="1"/>
  <c r="BA572" i="1"/>
  <c r="AA572" i="1"/>
  <c r="S573" i="1"/>
  <c r="BR573" i="1" s="1"/>
  <c r="BQ573" i="1" s="1"/>
  <c r="AB565" i="1"/>
  <c r="AC565" i="1" s="1"/>
  <c r="T566" i="1"/>
  <c r="V565" i="1"/>
  <c r="AU565" i="1" s="1"/>
  <c r="U565" i="1"/>
  <c r="AT565" i="1" s="1"/>
  <c r="AX566" i="1" l="1" a="1"/>
  <c r="AX566" i="1" s="1"/>
  <c r="AY566" i="1" a="1"/>
  <c r="AY566" i="1" s="1"/>
  <c r="AV566" i="1" a="1"/>
  <c r="AV566" i="1" s="1"/>
  <c r="AW566" i="1" a="1"/>
  <c r="AW566" i="1" s="1"/>
  <c r="BI564" i="1"/>
  <c r="BP564" i="1" s="1"/>
  <c r="BK564" i="1"/>
  <c r="BH564" i="1" s="1" a="1"/>
  <c r="BH564" i="1" s="1"/>
  <c r="AD565" i="1"/>
  <c r="BT563" i="1"/>
  <c r="AS563" i="1"/>
  <c r="BQ563" i="1"/>
  <c r="AF565" i="1"/>
  <c r="AE565" i="1"/>
  <c r="BE573" i="1"/>
  <c r="BF573" i="1"/>
  <c r="BG573" i="1"/>
  <c r="BA573" i="1"/>
  <c r="AA573" i="1"/>
  <c r="S574" i="1"/>
  <c r="AB566" i="1"/>
  <c r="AC566" i="1" s="1"/>
  <c r="AD566" i="1" s="1"/>
  <c r="T567" i="1"/>
  <c r="U566" i="1"/>
  <c r="AT566" i="1" s="1"/>
  <c r="V566" i="1"/>
  <c r="AU566" i="1" s="1"/>
  <c r="BJ565" i="1" l="1"/>
  <c r="BK565" i="1" s="1"/>
  <c r="BN565" i="1"/>
  <c r="BO565" i="1" s="1"/>
  <c r="AE566" i="1"/>
  <c r="BJ566" i="1" s="1"/>
  <c r="BK566" i="1" s="1"/>
  <c r="BH565" i="1" a="1"/>
  <c r="BH565" i="1" s="1"/>
  <c r="BS563" i="1"/>
  <c r="BF574" i="1"/>
  <c r="BN566" i="1"/>
  <c r="BO566" i="1" s="1"/>
  <c r="AV567" i="1" a="1"/>
  <c r="AV567" i="1" s="1"/>
  <c r="AW567" i="1" a="1"/>
  <c r="AW567" i="1" s="1"/>
  <c r="AX567" i="1" a="1"/>
  <c r="AX567" i="1" s="1"/>
  <c r="BE574" i="1"/>
  <c r="AS573" i="1"/>
  <c r="AP566" i="1"/>
  <c r="AO566" i="1"/>
  <c r="AI566" i="1"/>
  <c r="AJ566" i="1"/>
  <c r="AN566" i="1"/>
  <c r="BD574" i="1"/>
  <c r="BG574" i="1"/>
  <c r="AG574" i="1"/>
  <c r="AF566" i="1"/>
  <c r="BI566" i="1" s="1"/>
  <c r="BI565" i="1"/>
  <c r="BA574" i="1"/>
  <c r="AA574" i="1"/>
  <c r="S575" i="1"/>
  <c r="BR575" i="1" s="1"/>
  <c r="BQ575" i="1" s="1"/>
  <c r="AB567" i="1"/>
  <c r="AC567" i="1" s="1"/>
  <c r="T568" i="1"/>
  <c r="U567" i="1"/>
  <c r="AT567" i="1" s="1"/>
  <c r="V567" i="1"/>
  <c r="AU567" i="1" s="1"/>
  <c r="BP566" i="1" l="1"/>
  <c r="BH566" i="1" a="1"/>
  <c r="BH566" i="1" s="1"/>
  <c r="AD567" i="1"/>
  <c r="BP565" i="1"/>
  <c r="AX568" i="1" a="1"/>
  <c r="AX568" i="1" s="1"/>
  <c r="AV568" i="1" a="1"/>
  <c r="AV568" i="1" s="1"/>
  <c r="AW568" i="1" a="1"/>
  <c r="AW568" i="1" s="1"/>
  <c r="AG575" i="1"/>
  <c r="AG576" i="1" s="1"/>
  <c r="AM566" i="1"/>
  <c r="AR566" i="1"/>
  <c r="BA575" i="1"/>
  <c r="AA575" i="1"/>
  <c r="S576" i="1"/>
  <c r="AB568" i="1"/>
  <c r="AC568" i="1" s="1"/>
  <c r="U568" i="1"/>
  <c r="AT568" i="1" s="1"/>
  <c r="T569" i="1"/>
  <c r="V568" i="1"/>
  <c r="AU568" i="1" s="1"/>
  <c r="BJ567" i="1" l="1"/>
  <c r="BN567" i="1"/>
  <c r="BO567" i="1" s="1"/>
  <c r="AF567" i="1"/>
  <c r="AF568" i="1"/>
  <c r="AP568" i="1"/>
  <c r="AD568" i="1"/>
  <c r="AO568" i="1"/>
  <c r="AI568" i="1"/>
  <c r="AJ568" i="1"/>
  <c r="AE568" i="1"/>
  <c r="AN568" i="1"/>
  <c r="BD576" i="1"/>
  <c r="BD577" i="1" s="1"/>
  <c r="BF576" i="1"/>
  <c r="BG576" i="1"/>
  <c r="BE576" i="1"/>
  <c r="AQ566" i="1"/>
  <c r="Y566" i="1" a="1"/>
  <c r="Y566" i="1" s="1"/>
  <c r="AH566" i="1" s="1"/>
  <c r="BA576" i="1"/>
  <c r="S577" i="1"/>
  <c r="AA576" i="1"/>
  <c r="AB569" i="1"/>
  <c r="AC569" i="1" s="1"/>
  <c r="T570" i="1"/>
  <c r="V569" i="1"/>
  <c r="AU569" i="1" s="1"/>
  <c r="U569" i="1"/>
  <c r="AT569" i="1" s="1"/>
  <c r="BT566" i="1" l="1"/>
  <c r="BS566" i="1" s="1"/>
  <c r="BE577" i="1"/>
  <c r="BI567" i="1"/>
  <c r="BP567" i="1" s="1"/>
  <c r="BK567" i="1"/>
  <c r="BH567" i="1" s="1" a="1"/>
  <c r="BH567" i="1" s="1"/>
  <c r="BH568" i="1" s="1" a="1"/>
  <c r="BH568" i="1" s="1"/>
  <c r="AS566" i="1"/>
  <c r="BR566" i="1"/>
  <c r="BQ566" i="1" s="1"/>
  <c r="AG577" i="1"/>
  <c r="AF569" i="1"/>
  <c r="AD569" i="1"/>
  <c r="BN568" i="1"/>
  <c r="BO568" i="1" s="1"/>
  <c r="BJ568" i="1"/>
  <c r="BK568" i="1"/>
  <c r="BI568" i="1"/>
  <c r="BP568" i="1" s="1"/>
  <c r="BG577" i="1"/>
  <c r="BF577" i="1"/>
  <c r="AM568" i="1"/>
  <c r="AR568" i="1"/>
  <c r="BA577" i="1"/>
  <c r="AA577" i="1"/>
  <c r="S578" i="1"/>
  <c r="BD578" i="1" s="1"/>
  <c r="AB570" i="1"/>
  <c r="AC570" i="1" s="1"/>
  <c r="T571" i="1"/>
  <c r="V570" i="1"/>
  <c r="AU570" i="1" s="1"/>
  <c r="U570" i="1"/>
  <c r="AT570" i="1" s="1"/>
  <c r="X571" i="1" l="1" a="1"/>
  <c r="X571" i="1" s="1"/>
  <c r="W571" i="1" s="1" a="1"/>
  <c r="W571" i="1" s="1"/>
  <c r="AK571" i="1" s="1"/>
  <c r="AO571" i="1" s="1"/>
  <c r="BH569" i="1" a="1"/>
  <c r="BH569" i="1" s="1"/>
  <c r="AG578" i="1"/>
  <c r="AP570" i="1"/>
  <c r="AD570" i="1"/>
  <c r="BN569" i="1"/>
  <c r="BO569" i="1" s="1"/>
  <c r="BJ569" i="1"/>
  <c r="BI569" i="1"/>
  <c r="BK569" i="1"/>
  <c r="AO570" i="1"/>
  <c r="AN570" i="1"/>
  <c r="AQ568" i="1"/>
  <c r="Y568" i="1" a="1"/>
  <c r="Y568" i="1" s="1"/>
  <c r="AH568" i="1" s="1"/>
  <c r="AJ570" i="1"/>
  <c r="AI570" i="1"/>
  <c r="AF570" i="1"/>
  <c r="AE570" i="1"/>
  <c r="BE578" i="1"/>
  <c r="BF578" i="1"/>
  <c r="BG578" i="1"/>
  <c r="BA578" i="1"/>
  <c r="AA578" i="1"/>
  <c r="S579" i="1"/>
  <c r="AB571" i="1"/>
  <c r="AC571" i="1" s="1"/>
  <c r="AD571" i="1" s="1"/>
  <c r="T572" i="1"/>
  <c r="V571" i="1"/>
  <c r="AU571" i="1" s="1"/>
  <c r="U571" i="1"/>
  <c r="AT571" i="1" s="1"/>
  <c r="AS568" i="1" l="1"/>
  <c r="BR568" i="1"/>
  <c r="BQ568" i="1" s="1"/>
  <c r="AE571" i="1"/>
  <c r="BN571" i="1" s="1"/>
  <c r="BO571" i="1" s="1"/>
  <c r="AN571" i="1"/>
  <c r="AR571" i="1" s="1"/>
  <c r="BT568" i="1"/>
  <c r="BS568" i="1" s="1"/>
  <c r="BP569" i="1"/>
  <c r="AL571" i="1"/>
  <c r="AP571" i="1" s="1"/>
  <c r="X572" i="1" a="1"/>
  <c r="X572" i="1" s="1"/>
  <c r="W572" i="1" s="1" a="1"/>
  <c r="W572" i="1" s="1"/>
  <c r="AK572" i="1" s="1"/>
  <c r="AO572" i="1" s="1"/>
  <c r="BJ571" i="1"/>
  <c r="AM570" i="1"/>
  <c r="AR570" i="1"/>
  <c r="BN570" i="1"/>
  <c r="BO570" i="1" s="1"/>
  <c r="BJ570" i="1"/>
  <c r="BK570" i="1" s="1"/>
  <c r="BH570" i="1" s="1" a="1"/>
  <c r="BH570" i="1" s="1"/>
  <c r="BH571" i="1" s="1" a="1"/>
  <c r="BH571" i="1" s="1"/>
  <c r="BF579" i="1"/>
  <c r="AG579" i="1"/>
  <c r="BR579" i="1"/>
  <c r="BQ579" i="1" s="1"/>
  <c r="AF571" i="1"/>
  <c r="BK571" i="1" s="1"/>
  <c r="BI570" i="1"/>
  <c r="AM571" i="1"/>
  <c r="BA579" i="1"/>
  <c r="AA579" i="1"/>
  <c r="S580" i="1"/>
  <c r="BR580" i="1" s="1"/>
  <c r="BQ580" i="1" s="1"/>
  <c r="AB572" i="1"/>
  <c r="AC572" i="1" s="1"/>
  <c r="AD572" i="1" s="1"/>
  <c r="T573" i="1"/>
  <c r="U572" i="1"/>
  <c r="AT572" i="1" s="1"/>
  <c r="V572" i="1"/>
  <c r="AU572" i="1" s="1"/>
  <c r="AN572" i="1" l="1"/>
  <c r="AL572" i="1"/>
  <c r="AP572" i="1" s="1"/>
  <c r="AW573" i="1" a="1"/>
  <c r="AW573" i="1" s="1"/>
  <c r="AX573" i="1" a="1"/>
  <c r="AX573" i="1" s="1"/>
  <c r="AY573" i="1" a="1"/>
  <c r="AY573" i="1" s="1"/>
  <c r="BP570" i="1"/>
  <c r="AQ570" i="1"/>
  <c r="Y570" i="1" a="1"/>
  <c r="Y570" i="1" s="1"/>
  <c r="AH570" i="1" s="1"/>
  <c r="AQ571" i="1"/>
  <c r="Y571" i="1" a="1"/>
  <c r="Y571" i="1" s="1"/>
  <c r="AH571" i="1" s="1"/>
  <c r="AI572" i="1"/>
  <c r="AJ572" i="1"/>
  <c r="AE572" i="1"/>
  <c r="AE573" i="1" s="1"/>
  <c r="AG580" i="1"/>
  <c r="AF572" i="1"/>
  <c r="BI571" i="1"/>
  <c r="BP571" i="1" s="1"/>
  <c r="AM572" i="1"/>
  <c r="AR572" i="1"/>
  <c r="BA580" i="1"/>
  <c r="AA580" i="1"/>
  <c r="S581" i="1"/>
  <c r="AB573" i="1"/>
  <c r="AC573" i="1" s="1"/>
  <c r="T574" i="1"/>
  <c r="U573" i="1"/>
  <c r="AT573" i="1" s="1"/>
  <c r="V573" i="1"/>
  <c r="AU573" i="1" s="1"/>
  <c r="BT571" i="1" l="1"/>
  <c r="AS571" i="1"/>
  <c r="BR571" i="1"/>
  <c r="BQ571" i="1" s="1"/>
  <c r="AW574" i="1" a="1"/>
  <c r="AW574" i="1" s="1"/>
  <c r="AY574" i="1" a="1"/>
  <c r="AY574" i="1" s="1"/>
  <c r="AV574" i="1" a="1"/>
  <c r="AV574" i="1" s="1"/>
  <c r="AX574" i="1" a="1"/>
  <c r="AX574" i="1" s="1"/>
  <c r="AS570" i="1"/>
  <c r="BR570" i="1"/>
  <c r="BQ570" i="1" s="1"/>
  <c r="BT570" i="1"/>
  <c r="BJ572" i="1"/>
  <c r="AE574" i="1"/>
  <c r="BN572" i="1"/>
  <c r="BO572" i="1" s="1"/>
  <c r="BP572" i="1" s="1"/>
  <c r="AD573" i="1"/>
  <c r="AF573" i="1"/>
  <c r="BI572" i="1"/>
  <c r="AQ572" i="1"/>
  <c r="Y572" i="1" a="1"/>
  <c r="Y572" i="1" s="1"/>
  <c r="AH572" i="1" s="1"/>
  <c r="BE581" i="1"/>
  <c r="BF581" i="1"/>
  <c r="BG581" i="1"/>
  <c r="AG581" i="1"/>
  <c r="BD581" i="1"/>
  <c r="BA581" i="1"/>
  <c r="AA581" i="1"/>
  <c r="S582" i="1"/>
  <c r="AB574" i="1"/>
  <c r="AC574" i="1" s="1"/>
  <c r="U574" i="1"/>
  <c r="AT574" i="1" s="1"/>
  <c r="T575" i="1"/>
  <c r="V574" i="1"/>
  <c r="AU574" i="1" s="1"/>
  <c r="BH572" i="1" l="1" a="1"/>
  <c r="BH572" i="1" s="1"/>
  <c r="BH573" i="1" s="1" a="1"/>
  <c r="BH573" i="1" s="1"/>
  <c r="BS570" i="1"/>
  <c r="AS572" i="1"/>
  <c r="BR572" i="1"/>
  <c r="BQ572" i="1" s="1"/>
  <c r="AV575" i="1" a="1"/>
  <c r="AV575" i="1" s="1"/>
  <c r="AW575" i="1" a="1"/>
  <c r="AW575" i="1" s="1"/>
  <c r="AX575" i="1" a="1"/>
  <c r="AX575" i="1" s="1"/>
  <c r="BT572" i="1"/>
  <c r="BK572" i="1"/>
  <c r="BS571" i="1"/>
  <c r="AO574" i="1"/>
  <c r="AP574" i="1"/>
  <c r="AD574" i="1"/>
  <c r="AF574" i="1"/>
  <c r="BI573" i="1"/>
  <c r="BK573" i="1"/>
  <c r="BN573" i="1"/>
  <c r="BO573" i="1" s="1"/>
  <c r="BJ573" i="1"/>
  <c r="AJ574" i="1"/>
  <c r="AI574" i="1"/>
  <c r="AN574" i="1"/>
  <c r="BE582" i="1"/>
  <c r="AS582" i="1" s="1"/>
  <c r="BF582" i="1"/>
  <c r="BG582" i="1"/>
  <c r="BR582" i="1"/>
  <c r="BQ582" i="1" s="1"/>
  <c r="BA582" i="1"/>
  <c r="AA582" i="1"/>
  <c r="S583" i="1"/>
  <c r="AB575" i="1"/>
  <c r="AC575" i="1" s="1"/>
  <c r="AE575" i="1" s="1"/>
  <c r="T576" i="1"/>
  <c r="V575" i="1"/>
  <c r="AU575" i="1" s="1"/>
  <c r="U575" i="1"/>
  <c r="AT575" i="1" s="1"/>
  <c r="BS572" i="1" l="1"/>
  <c r="AY576" i="1" a="1"/>
  <c r="AY576" i="1" s="1"/>
  <c r="AX576" i="1" a="1"/>
  <c r="AX576" i="1" s="1"/>
  <c r="AV576" i="1" a="1"/>
  <c r="AV576" i="1" s="1"/>
  <c r="AW576" i="1" a="1"/>
  <c r="AW576" i="1" s="1"/>
  <c r="BP573" i="1"/>
  <c r="BH574" i="1" a="1"/>
  <c r="BH574" i="1" s="1"/>
  <c r="AF575" i="1"/>
  <c r="AD575" i="1"/>
  <c r="BI574" i="1"/>
  <c r="BK574" i="1"/>
  <c r="BN574" i="1"/>
  <c r="BO574" i="1" s="1"/>
  <c r="BP574" i="1" s="1"/>
  <c r="BJ574" i="1"/>
  <c r="AG583" i="1"/>
  <c r="BR583" i="1"/>
  <c r="BQ583" i="1" s="1"/>
  <c r="AM574" i="1"/>
  <c r="AR574" i="1"/>
  <c r="BA583" i="1"/>
  <c r="S584" i="1"/>
  <c r="AA583" i="1"/>
  <c r="AB576" i="1"/>
  <c r="AC576" i="1" s="1"/>
  <c r="AD576" i="1" s="1"/>
  <c r="T577" i="1"/>
  <c r="U576" i="1"/>
  <c r="AT576" i="1" s="1"/>
  <c r="V576" i="1"/>
  <c r="AU576" i="1" s="1"/>
  <c r="AV577" i="1" l="1" a="1"/>
  <c r="AV577" i="1" s="1"/>
  <c r="AW577" i="1" a="1"/>
  <c r="AW577" i="1" s="1"/>
  <c r="AX577" i="1" a="1"/>
  <c r="AX577" i="1" s="1"/>
  <c r="AG584" i="1"/>
  <c r="BI575" i="1"/>
  <c r="AF576" i="1"/>
  <c r="AE576" i="1"/>
  <c r="BJ576" i="1"/>
  <c r="BN576" i="1"/>
  <c r="BO576" i="1" s="1"/>
  <c r="BN575" i="1"/>
  <c r="BO575" i="1" s="1"/>
  <c r="BP575" i="1" s="1"/>
  <c r="BJ575" i="1"/>
  <c r="BK575" i="1" s="1"/>
  <c r="BH575" i="1" s="1" a="1"/>
  <c r="BH575" i="1" s="1"/>
  <c r="AP576" i="1"/>
  <c r="AO576" i="1"/>
  <c r="AO577" i="1" s="1"/>
  <c r="AI576" i="1"/>
  <c r="AJ576" i="1"/>
  <c r="AN576" i="1"/>
  <c r="BF584" i="1"/>
  <c r="BD584" i="1"/>
  <c r="BE584" i="1"/>
  <c r="BG584" i="1"/>
  <c r="Y574" i="1" a="1"/>
  <c r="Y574" i="1" s="1"/>
  <c r="AH574" i="1" s="1"/>
  <c r="AQ574" i="1"/>
  <c r="BI576" i="1"/>
  <c r="BA584" i="1"/>
  <c r="S585" i="1"/>
  <c r="AA584" i="1"/>
  <c r="AB577" i="1"/>
  <c r="AC577" i="1" s="1"/>
  <c r="AD577" i="1" s="1"/>
  <c r="V577" i="1"/>
  <c r="AU577" i="1" s="1"/>
  <c r="U577" i="1"/>
  <c r="AT577" i="1" s="1"/>
  <c r="T578" i="1"/>
  <c r="BH576" i="1" l="1" a="1"/>
  <c r="BH576" i="1" s="1"/>
  <c r="AO578" i="1"/>
  <c r="AP577" i="1"/>
  <c r="AS574" i="1"/>
  <c r="BR574" i="1"/>
  <c r="BQ574" i="1" s="1"/>
  <c r="BK576" i="1"/>
  <c r="AF577" i="1"/>
  <c r="BT574" i="1"/>
  <c r="BS574" i="1" s="1"/>
  <c r="BP576" i="1"/>
  <c r="AW578" i="1" a="1"/>
  <c r="AW578" i="1" s="1"/>
  <c r="AX578" i="1" a="1"/>
  <c r="AX578" i="1" s="1"/>
  <c r="AY578" i="1" a="1"/>
  <c r="AY578" i="1" s="1"/>
  <c r="AJ577" i="1"/>
  <c r="AJ578" i="1" s="1"/>
  <c r="AG585" i="1"/>
  <c r="AG586" i="1" s="1"/>
  <c r="AI577" i="1"/>
  <c r="AE577" i="1"/>
  <c r="AE578" i="1" s="1"/>
  <c r="AN577" i="1"/>
  <c r="BD585" i="1"/>
  <c r="BE585" i="1"/>
  <c r="BF585" i="1"/>
  <c r="BG585" i="1"/>
  <c r="BG586" i="1" s="1"/>
  <c r="AF578" i="1"/>
  <c r="BI577" i="1"/>
  <c r="AR576" i="1"/>
  <c r="AM576" i="1"/>
  <c r="BA585" i="1"/>
  <c r="S586" i="1"/>
  <c r="AA585" i="1"/>
  <c r="AB578" i="1"/>
  <c r="AC578" i="1" s="1"/>
  <c r="U578" i="1"/>
  <c r="AT578" i="1" s="1"/>
  <c r="V578" i="1"/>
  <c r="AU578" i="1" s="1"/>
  <c r="T579" i="1"/>
  <c r="AW579" i="1" l="1" a="1"/>
  <c r="AW579" i="1" s="1"/>
  <c r="AY579" i="1" a="1"/>
  <c r="AY579" i="1" s="1"/>
  <c r="BJ577" i="1"/>
  <c r="BK577" i="1" s="1"/>
  <c r="BH577" i="1" s="1" a="1"/>
  <c r="BH577" i="1" s="1"/>
  <c r="BN577" i="1"/>
  <c r="BO577" i="1" s="1"/>
  <c r="BP577" i="1" s="1"/>
  <c r="AI578" i="1"/>
  <c r="AP578" i="1"/>
  <c r="AN578" i="1"/>
  <c r="AD578" i="1"/>
  <c r="BI578" i="1"/>
  <c r="AQ576" i="1"/>
  <c r="Y576" i="1" a="1"/>
  <c r="Y576" i="1" s="1"/>
  <c r="AH576" i="1" s="1"/>
  <c r="AM578" i="1"/>
  <c r="AR578" i="1"/>
  <c r="BD586" i="1"/>
  <c r="BE586" i="1"/>
  <c r="BF586" i="1"/>
  <c r="AR577" i="1"/>
  <c r="AM577" i="1"/>
  <c r="BA586" i="1"/>
  <c r="AA586" i="1"/>
  <c r="S587" i="1"/>
  <c r="AB579" i="1"/>
  <c r="AC579" i="1" s="1"/>
  <c r="T580" i="1"/>
  <c r="U579" i="1"/>
  <c r="AT579" i="1" s="1"/>
  <c r="V579" i="1"/>
  <c r="AU579" i="1" s="1"/>
  <c r="BH578" i="1" l="1" a="1"/>
  <c r="BH578" i="1" s="1"/>
  <c r="AW580" i="1" a="1"/>
  <c r="AW580" i="1" s="1"/>
  <c r="AY580" i="1" a="1"/>
  <c r="AY580" i="1" s="1"/>
  <c r="BT576" i="1"/>
  <c r="BS576" i="1" s="1"/>
  <c r="AS576" i="1"/>
  <c r="BR576" i="1"/>
  <c r="BQ576" i="1" s="1"/>
  <c r="AF579" i="1"/>
  <c r="AD579" i="1"/>
  <c r="BN578" i="1"/>
  <c r="BO578" i="1" s="1"/>
  <c r="BP578" i="1" s="1"/>
  <c r="BJ578" i="1"/>
  <c r="BK578" i="1" s="1"/>
  <c r="AG587" i="1"/>
  <c r="AQ577" i="1"/>
  <c r="Y577" i="1" a="1"/>
  <c r="Y577" i="1" s="1"/>
  <c r="AH577" i="1" s="1"/>
  <c r="AQ578" i="1"/>
  <c r="Y578" i="1" a="1"/>
  <c r="Y578" i="1" s="1"/>
  <c r="AH578" i="1" s="1"/>
  <c r="BA587" i="1"/>
  <c r="AA587" i="1"/>
  <c r="S588" i="1"/>
  <c r="V580" i="1"/>
  <c r="AU580" i="1" s="1"/>
  <c r="AB580" i="1"/>
  <c r="AC580" i="1" s="1"/>
  <c r="AD580" i="1" s="1"/>
  <c r="U580" i="1"/>
  <c r="AT580" i="1" s="1"/>
  <c r="T581" i="1"/>
  <c r="AV581" i="1" l="1" a="1"/>
  <c r="AV581" i="1" s="1"/>
  <c r="AX581" i="1" a="1"/>
  <c r="AX581" i="1" s="1"/>
  <c r="AW581" i="1" a="1"/>
  <c r="AW581" i="1" s="1"/>
  <c r="AY581" i="1" a="1"/>
  <c r="AY581" i="1" s="1"/>
  <c r="AS577" i="1"/>
  <c r="BR577" i="1"/>
  <c r="BQ577" i="1" s="1"/>
  <c r="BT577" i="1"/>
  <c r="BS577" i="1" s="1"/>
  <c r="BR578" i="1"/>
  <c r="BQ578" i="1" s="1"/>
  <c r="BT578" i="1"/>
  <c r="BS578" i="1" s="1"/>
  <c r="BH579" i="1" a="1"/>
  <c r="BH579" i="1" s="1"/>
  <c r="BJ579" i="1"/>
  <c r="BN579" i="1"/>
  <c r="BO579" i="1" s="1"/>
  <c r="BI579" i="1"/>
  <c r="BK579" i="1"/>
  <c r="AS578" i="1"/>
  <c r="AF580" i="1"/>
  <c r="AE580" i="1"/>
  <c r="BJ580" i="1" s="1"/>
  <c r="BD588" i="1"/>
  <c r="BE588" i="1"/>
  <c r="BF588" i="1"/>
  <c r="BG588" i="1"/>
  <c r="AG588" i="1"/>
  <c r="BA588" i="1"/>
  <c r="AA588" i="1"/>
  <c r="S589" i="1"/>
  <c r="AB581" i="1"/>
  <c r="AC581" i="1" s="1"/>
  <c r="AD581" i="1" s="1"/>
  <c r="V581" i="1"/>
  <c r="AU581" i="1" s="1"/>
  <c r="U581" i="1"/>
  <c r="AT581" i="1" s="1"/>
  <c r="T582" i="1"/>
  <c r="BK580" i="1" l="1"/>
  <c r="BP579" i="1"/>
  <c r="AG589" i="1"/>
  <c r="BF589" i="1"/>
  <c r="BF590" i="1" s="1"/>
  <c r="BN580" i="1"/>
  <c r="BO580" i="1" s="1"/>
  <c r="BG589" i="1"/>
  <c r="BG590" i="1" s="1"/>
  <c r="BE589" i="1"/>
  <c r="BE590" i="1" s="1"/>
  <c r="BH580" i="1" a="1"/>
  <c r="BH580" i="1" s="1"/>
  <c r="AW582" i="1" a="1"/>
  <c r="AW582" i="1" s="1"/>
  <c r="AX582" i="1" a="1"/>
  <c r="AX582" i="1" s="1"/>
  <c r="AV582" i="1" a="1"/>
  <c r="AV582" i="1" s="1"/>
  <c r="AY582" i="1" a="1"/>
  <c r="AY582" i="1" s="1"/>
  <c r="AO581" i="1"/>
  <c r="AP581" i="1"/>
  <c r="BD589" i="1"/>
  <c r="AI581" i="1"/>
  <c r="AJ581" i="1"/>
  <c r="AE581" i="1"/>
  <c r="BN581" i="1" s="1"/>
  <c r="BO581" i="1" s="1"/>
  <c r="AN581" i="1"/>
  <c r="AF581" i="1"/>
  <c r="BI580" i="1"/>
  <c r="BA589" i="1"/>
  <c r="AA589" i="1"/>
  <c r="S590" i="1"/>
  <c r="AB582" i="1"/>
  <c r="AC582" i="1" s="1"/>
  <c r="T583" i="1"/>
  <c r="U582" i="1"/>
  <c r="AT582" i="1" s="1"/>
  <c r="V582" i="1"/>
  <c r="AU582" i="1" s="1"/>
  <c r="BH581" i="1" l="1" a="1"/>
  <c r="BH581" i="1" s="1"/>
  <c r="BP580" i="1"/>
  <c r="AG590" i="1"/>
  <c r="BJ581" i="1"/>
  <c r="AD582" i="1"/>
  <c r="AF582" i="1" s="1"/>
  <c r="BI581" i="1"/>
  <c r="BP581" i="1" s="1"/>
  <c r="BK581" i="1"/>
  <c r="BD590" i="1"/>
  <c r="AR581" i="1"/>
  <c r="AM581" i="1"/>
  <c r="BA590" i="1"/>
  <c r="AA590" i="1"/>
  <c r="S591" i="1"/>
  <c r="AB583" i="1"/>
  <c r="AC583" i="1" s="1"/>
  <c r="T584" i="1"/>
  <c r="V583" i="1"/>
  <c r="AU583" i="1" s="1"/>
  <c r="U583" i="1"/>
  <c r="AT583" i="1" s="1"/>
  <c r="AD583" i="1" l="1"/>
  <c r="BJ583" i="1" s="1"/>
  <c r="BH582" i="1" a="1"/>
  <c r="BH582" i="1" s="1"/>
  <c r="BK582" i="1"/>
  <c r="BI582" i="1"/>
  <c r="BJ582" i="1"/>
  <c r="BN582" i="1"/>
  <c r="BO582" i="1" s="1"/>
  <c r="BP582" i="1" s="1"/>
  <c r="AQ581" i="1"/>
  <c r="Y581" i="1" a="1"/>
  <c r="Y581" i="1" s="1"/>
  <c r="AH581" i="1" s="1"/>
  <c r="AF583" i="1"/>
  <c r="AE583" i="1"/>
  <c r="BF591" i="1"/>
  <c r="BR591" i="1"/>
  <c r="BQ591" i="1" s="1"/>
  <c r="BA591" i="1"/>
  <c r="AA591" i="1"/>
  <c r="S592" i="1"/>
  <c r="AB584" i="1"/>
  <c r="AC584" i="1" s="1"/>
  <c r="AD584" i="1" s="1"/>
  <c r="T585" i="1"/>
  <c r="V584" i="1"/>
  <c r="AU584" i="1" s="1"/>
  <c r="U584" i="1"/>
  <c r="AT584" i="1" s="1"/>
  <c r="AE584" i="1" l="1"/>
  <c r="BK583" i="1"/>
  <c r="BT581" i="1"/>
  <c r="BS581" i="1" s="1"/>
  <c r="AS581" i="1"/>
  <c r="BR581" i="1"/>
  <c r="BQ581" i="1" s="1"/>
  <c r="BN583" i="1"/>
  <c r="BO583" i="1" s="1"/>
  <c r="BH583" i="1" a="1"/>
  <c r="BH583" i="1" s="1"/>
  <c r="BJ584" i="1"/>
  <c r="BN584" i="1"/>
  <c r="BO584" i="1" s="1"/>
  <c r="AG592" i="1"/>
  <c r="BR592" i="1"/>
  <c r="BQ592" i="1" s="1"/>
  <c r="AP584" i="1"/>
  <c r="AO584" i="1"/>
  <c r="AI584" i="1"/>
  <c r="AJ584" i="1"/>
  <c r="AN584" i="1"/>
  <c r="AF584" i="1"/>
  <c r="BI583" i="1"/>
  <c r="BA592" i="1"/>
  <c r="S593" i="1"/>
  <c r="AA592" i="1"/>
  <c r="AB585" i="1"/>
  <c r="AC585" i="1" s="1"/>
  <c r="T586" i="1"/>
  <c r="U585" i="1"/>
  <c r="AT585" i="1" s="1"/>
  <c r="V585" i="1"/>
  <c r="AU585" i="1" s="1"/>
  <c r="BH584" i="1" l="1" a="1"/>
  <c r="BH584" i="1" s="1"/>
  <c r="BP583" i="1"/>
  <c r="BK584" i="1"/>
  <c r="AJ585" i="1"/>
  <c r="AI585" i="1"/>
  <c r="AP585" i="1"/>
  <c r="AO585" i="1"/>
  <c r="AG593" i="1"/>
  <c r="AE585" i="1"/>
  <c r="AN585" i="1"/>
  <c r="AM585" i="1" s="1"/>
  <c r="AD585" i="1"/>
  <c r="BE593" i="1"/>
  <c r="BF593" i="1"/>
  <c r="BG593" i="1"/>
  <c r="BD593" i="1"/>
  <c r="AF585" i="1"/>
  <c r="BI584" i="1"/>
  <c r="BP584" i="1" s="1"/>
  <c r="AM584" i="1"/>
  <c r="AR584" i="1"/>
  <c r="BA593" i="1"/>
  <c r="AA593" i="1"/>
  <c r="S594" i="1"/>
  <c r="V586" i="1"/>
  <c r="AU586" i="1" s="1"/>
  <c r="AB586" i="1"/>
  <c r="AC586" i="1" s="1"/>
  <c r="T587" i="1"/>
  <c r="U586" i="1"/>
  <c r="AT586" i="1" s="1"/>
  <c r="AO586" i="1" l="1"/>
  <c r="AP586" i="1"/>
  <c r="AI586" i="1"/>
  <c r="AJ586" i="1"/>
  <c r="AR585" i="1"/>
  <c r="X587" i="1" a="1"/>
  <c r="X587" i="1" s="1"/>
  <c r="W587" i="1" s="1" a="1"/>
  <c r="W587" i="1" s="1"/>
  <c r="AN587" i="1" s="1"/>
  <c r="AD586" i="1"/>
  <c r="BJ586" i="1" s="1"/>
  <c r="BN585" i="1"/>
  <c r="BO585" i="1" s="1"/>
  <c r="BP585" i="1" s="1"/>
  <c r="BJ585" i="1"/>
  <c r="BK585" i="1" s="1"/>
  <c r="BH585" i="1" s="1" a="1"/>
  <c r="BH585" i="1" s="1"/>
  <c r="AQ584" i="1"/>
  <c r="Y584" i="1" a="1"/>
  <c r="Y584" i="1" s="1"/>
  <c r="AH584" i="1" s="1"/>
  <c r="AQ585" i="1"/>
  <c r="Y585" i="1" a="1"/>
  <c r="Y585" i="1" s="1"/>
  <c r="AH585" i="1" s="1"/>
  <c r="AE586" i="1"/>
  <c r="AE587" i="1" s="1"/>
  <c r="AN586" i="1"/>
  <c r="AG594" i="1"/>
  <c r="AF586" i="1"/>
  <c r="BI585" i="1"/>
  <c r="BA594" i="1"/>
  <c r="AA594" i="1"/>
  <c r="S595" i="1"/>
  <c r="AB587" i="1"/>
  <c r="AC587" i="1" s="1"/>
  <c r="U587" i="1"/>
  <c r="AT587" i="1" s="1"/>
  <c r="T588" i="1"/>
  <c r="V587" i="1"/>
  <c r="AU587" i="1" s="1"/>
  <c r="BH586" i="1" l="1" a="1"/>
  <c r="BH586" i="1" s="1"/>
  <c r="AK587" i="1"/>
  <c r="AO587" i="1" s="1"/>
  <c r="AS585" i="1"/>
  <c r="BR585" i="1"/>
  <c r="BQ585" i="1" s="1"/>
  <c r="X588" i="1" a="1"/>
  <c r="X588" i="1" s="1"/>
  <c r="W588" i="1" s="1" a="1"/>
  <c r="W588" i="1" s="1"/>
  <c r="AL588" i="1" s="1"/>
  <c r="BT585" i="1"/>
  <c r="AD587" i="1"/>
  <c r="BJ587" i="1" s="1"/>
  <c r="BK586" i="1"/>
  <c r="AS584" i="1"/>
  <c r="BR584" i="1"/>
  <c r="BQ584" i="1" s="1"/>
  <c r="BT584" i="1"/>
  <c r="BN586" i="1"/>
  <c r="BO586" i="1" s="1"/>
  <c r="BP586" i="1" s="1"/>
  <c r="BE595" i="1"/>
  <c r="BF595" i="1"/>
  <c r="AG595" i="1"/>
  <c r="BG595" i="1"/>
  <c r="BD595" i="1"/>
  <c r="AF587" i="1"/>
  <c r="BI586" i="1"/>
  <c r="AM586" i="1"/>
  <c r="AR586" i="1"/>
  <c r="AM587" i="1"/>
  <c r="AR587" i="1"/>
  <c r="BA595" i="1"/>
  <c r="AA595" i="1"/>
  <c r="S596" i="1"/>
  <c r="U588" i="1"/>
  <c r="AT588" i="1" s="1"/>
  <c r="AB588" i="1"/>
  <c r="AC588" i="1" s="1"/>
  <c r="AD588" i="1" s="1"/>
  <c r="T589" i="1"/>
  <c r="V588" i="1"/>
  <c r="AU588" i="1" s="1"/>
  <c r="BK587" i="1" l="1"/>
  <c r="BS584" i="1"/>
  <c r="X589" i="1" a="1"/>
  <c r="X589" i="1" s="1"/>
  <c r="W589" i="1" s="1" a="1"/>
  <c r="W589" i="1" s="1"/>
  <c r="AL589" i="1" s="1"/>
  <c r="AK588" i="1"/>
  <c r="BN587" i="1"/>
  <c r="BO587" i="1" s="1"/>
  <c r="AL587" i="1"/>
  <c r="AP587" i="1" s="1"/>
  <c r="AP588" i="1" s="1"/>
  <c r="AN588" i="1"/>
  <c r="BS585" i="1"/>
  <c r="AO588" i="1"/>
  <c r="BH587" i="1" a="1"/>
  <c r="BH587" i="1" s="1"/>
  <c r="BN588" i="1"/>
  <c r="BO588" i="1" s="1"/>
  <c r="BJ588" i="1"/>
  <c r="AQ587" i="1"/>
  <c r="Y587" i="1" a="1"/>
  <c r="Y587" i="1" s="1"/>
  <c r="AH587" i="1" s="1"/>
  <c r="AQ586" i="1"/>
  <c r="Y586" i="1" a="1"/>
  <c r="Y586" i="1" s="1"/>
  <c r="AH586" i="1" s="1"/>
  <c r="AJ588" i="1"/>
  <c r="AI588" i="1"/>
  <c r="AE588" i="1"/>
  <c r="BF596" i="1"/>
  <c r="AG596" i="1"/>
  <c r="BR596" i="1"/>
  <c r="BQ596" i="1" s="1"/>
  <c r="AF588" i="1"/>
  <c r="BI587" i="1"/>
  <c r="AM588" i="1"/>
  <c r="AR588" i="1"/>
  <c r="BA596" i="1"/>
  <c r="AA596" i="1"/>
  <c r="S597" i="1"/>
  <c r="AB589" i="1"/>
  <c r="AC589" i="1" s="1"/>
  <c r="AD589" i="1" s="1"/>
  <c r="T590" i="1"/>
  <c r="V589" i="1"/>
  <c r="AU589" i="1" s="1"/>
  <c r="U589" i="1"/>
  <c r="AT589" i="1" s="1"/>
  <c r="BH588" i="1" l="1" a="1"/>
  <c r="BH588" i="1" s="1"/>
  <c r="X590" i="1" a="1"/>
  <c r="X590" i="1" s="1"/>
  <c r="W590" i="1" s="1" a="1"/>
  <c r="W590" i="1" s="1"/>
  <c r="AL590" i="1" s="1"/>
  <c r="AN589" i="1"/>
  <c r="BP587" i="1"/>
  <c r="BT587" i="1"/>
  <c r="BK588" i="1"/>
  <c r="AG597" i="1"/>
  <c r="AK589" i="1"/>
  <c r="AO589" i="1" s="1"/>
  <c r="AS587" i="1"/>
  <c r="BR587" i="1"/>
  <c r="BQ587" i="1" s="1"/>
  <c r="AS586" i="1"/>
  <c r="BR586" i="1"/>
  <c r="BQ586" i="1" s="1"/>
  <c r="BT586" i="1"/>
  <c r="AE589" i="1"/>
  <c r="AE590" i="1" s="1"/>
  <c r="AI589" i="1"/>
  <c r="AI590" i="1" s="1"/>
  <c r="AJ589" i="1"/>
  <c r="AJ590" i="1" s="1"/>
  <c r="AP589" i="1"/>
  <c r="BE597" i="1"/>
  <c r="BF597" i="1"/>
  <c r="BG597" i="1"/>
  <c r="BD597" i="1"/>
  <c r="Y588" i="1" a="1"/>
  <c r="Y588" i="1" s="1"/>
  <c r="AH588" i="1" s="1"/>
  <c r="AQ588" i="1"/>
  <c r="AF589" i="1"/>
  <c r="BI588" i="1"/>
  <c r="BP588" i="1" s="1"/>
  <c r="AM589" i="1"/>
  <c r="AR589" i="1"/>
  <c r="BA597" i="1"/>
  <c r="AA597" i="1"/>
  <c r="S598" i="1"/>
  <c r="U590" i="1"/>
  <c r="AT590" i="1" s="1"/>
  <c r="V590" i="1"/>
  <c r="AU590" i="1" s="1"/>
  <c r="AB590" i="1"/>
  <c r="AC590" i="1" s="1"/>
  <c r="AD590" i="1" s="1"/>
  <c r="T591" i="1"/>
  <c r="BT588" i="1" l="1"/>
  <c r="BS586" i="1"/>
  <c r="AY591" i="1" a="1"/>
  <c r="AY591" i="1" s="1"/>
  <c r="AW591" i="1" a="1"/>
  <c r="AW591" i="1" s="1"/>
  <c r="AN590" i="1"/>
  <c r="AK590" i="1"/>
  <c r="AO590" i="1" s="1"/>
  <c r="AS588" i="1"/>
  <c r="BR588" i="1"/>
  <c r="BQ588" i="1" s="1"/>
  <c r="BS587" i="1"/>
  <c r="BJ589" i="1"/>
  <c r="BK589" i="1" s="1"/>
  <c r="BH589" i="1" s="1" a="1"/>
  <c r="BH589" i="1" s="1"/>
  <c r="BN589" i="1"/>
  <c r="BO589" i="1" s="1"/>
  <c r="BP589" i="1" s="1"/>
  <c r="AP590" i="1"/>
  <c r="BJ590" i="1"/>
  <c r="BN590" i="1"/>
  <c r="BO590" i="1" s="1"/>
  <c r="AQ589" i="1"/>
  <c r="Y589" i="1" a="1"/>
  <c r="Y589" i="1" s="1"/>
  <c r="AH589" i="1" s="1"/>
  <c r="AG598" i="1"/>
  <c r="BR598" i="1"/>
  <c r="BQ598" i="1" s="1"/>
  <c r="AF590" i="1"/>
  <c r="BI589" i="1"/>
  <c r="AR590" i="1"/>
  <c r="AM590" i="1"/>
  <c r="BA598" i="1"/>
  <c r="AA598" i="1"/>
  <c r="S599" i="1"/>
  <c r="BR599" i="1" s="1"/>
  <c r="BQ599" i="1" s="1"/>
  <c r="AB591" i="1"/>
  <c r="AC591" i="1" s="1"/>
  <c r="T592" i="1"/>
  <c r="V591" i="1"/>
  <c r="AU591" i="1" s="1"/>
  <c r="U591" i="1"/>
  <c r="AT591" i="1" s="1"/>
  <c r="BH590" i="1" l="1" a="1"/>
  <c r="BH590" i="1" s="1"/>
  <c r="AS589" i="1"/>
  <c r="BR589" i="1"/>
  <c r="BQ589" i="1" s="1"/>
  <c r="BT589" i="1"/>
  <c r="BS588" i="1"/>
  <c r="AD591" i="1"/>
  <c r="AF591" i="1"/>
  <c r="BI590" i="1"/>
  <c r="BP590" i="1" s="1"/>
  <c r="BK590" i="1"/>
  <c r="AQ590" i="1"/>
  <c r="Y590" i="1" a="1"/>
  <c r="Y590" i="1" s="1"/>
  <c r="AH590" i="1" s="1"/>
  <c r="AG599" i="1"/>
  <c r="BA599" i="1"/>
  <c r="S600" i="1"/>
  <c r="AA599" i="1"/>
  <c r="V592" i="1"/>
  <c r="AU592" i="1" s="1"/>
  <c r="U592" i="1"/>
  <c r="AT592" i="1" s="1"/>
  <c r="T593" i="1"/>
  <c r="AB592" i="1"/>
  <c r="AC592" i="1" s="1"/>
  <c r="AD592" i="1" s="1"/>
  <c r="AS590" i="1" l="1"/>
  <c r="BR590" i="1"/>
  <c r="BQ590" i="1" s="1"/>
  <c r="BS589" i="1"/>
  <c r="BT590" i="1"/>
  <c r="BH591" i="1" a="1"/>
  <c r="BH591" i="1" s="1"/>
  <c r="BJ592" i="1"/>
  <c r="BN592" i="1"/>
  <c r="BO592" i="1" s="1"/>
  <c r="BI591" i="1"/>
  <c r="BK591" i="1"/>
  <c r="BN591" i="1"/>
  <c r="BO591" i="1" s="1"/>
  <c r="BJ591" i="1"/>
  <c r="AE592" i="1"/>
  <c r="AF592" i="1"/>
  <c r="BF600" i="1"/>
  <c r="AG600" i="1"/>
  <c r="BR600" i="1"/>
  <c r="BQ600" i="1" s="1"/>
  <c r="BA600" i="1"/>
  <c r="AA600" i="1"/>
  <c r="S601" i="1"/>
  <c r="T594" i="1"/>
  <c r="AB593" i="1"/>
  <c r="AC593" i="1" s="1"/>
  <c r="AD593" i="1" s="1"/>
  <c r="U593" i="1"/>
  <c r="AT593" i="1" s="1"/>
  <c r="V593" i="1"/>
  <c r="AU593" i="1" s="1"/>
  <c r="AG601" i="1" l="1"/>
  <c r="BK592" i="1"/>
  <c r="AE593" i="1"/>
  <c r="BP591" i="1"/>
  <c r="BH592" i="1" a="1"/>
  <c r="BH592" i="1" s="1"/>
  <c r="X594" i="1" a="1"/>
  <c r="X594" i="1" s="1"/>
  <c r="W594" i="1" s="1" a="1"/>
  <c r="W594" i="1" s="1"/>
  <c r="BS590" i="1"/>
  <c r="BN593" i="1"/>
  <c r="BO593" i="1" s="1"/>
  <c r="BJ593" i="1"/>
  <c r="AP593" i="1"/>
  <c r="AO593" i="1"/>
  <c r="AI593" i="1"/>
  <c r="AJ593" i="1"/>
  <c r="AN593" i="1"/>
  <c r="BE601" i="1"/>
  <c r="BF601" i="1"/>
  <c r="BD601" i="1"/>
  <c r="BG601" i="1"/>
  <c r="AF593" i="1"/>
  <c r="BI592" i="1"/>
  <c r="BP592" i="1" s="1"/>
  <c r="BA601" i="1"/>
  <c r="AA601" i="1"/>
  <c r="S602" i="1"/>
  <c r="BR602" i="1" s="1"/>
  <c r="BQ602" i="1" s="1"/>
  <c r="AB594" i="1"/>
  <c r="AC594" i="1" s="1"/>
  <c r="AD594" i="1" s="1"/>
  <c r="T595" i="1"/>
  <c r="V594" i="1"/>
  <c r="AU594" i="1" s="1"/>
  <c r="U594" i="1"/>
  <c r="AT594" i="1" s="1"/>
  <c r="AL594" i="1" l="1"/>
  <c r="AN594" i="1"/>
  <c r="X595" i="1" a="1"/>
  <c r="X595" i="1" s="1"/>
  <c r="W595" i="1" s="1" a="1"/>
  <c r="W595" i="1" s="1"/>
  <c r="AJ594" i="1"/>
  <c r="AI594" i="1"/>
  <c r="AK594" i="1" s="1"/>
  <c r="AO594" i="1" s="1"/>
  <c r="AO595" i="1" s="1"/>
  <c r="AP594" i="1"/>
  <c r="BK593" i="1"/>
  <c r="BH593" i="1" a="1"/>
  <c r="BH593" i="1" s="1"/>
  <c r="AE594" i="1"/>
  <c r="AE595" i="1" s="1"/>
  <c r="AK595" i="1"/>
  <c r="AL595" i="1"/>
  <c r="AG602" i="1"/>
  <c r="AF594" i="1"/>
  <c r="BI593" i="1"/>
  <c r="BP593" i="1" s="1"/>
  <c r="AN595" i="1"/>
  <c r="AM594" i="1"/>
  <c r="AR594" i="1"/>
  <c r="AR593" i="1"/>
  <c r="AM593" i="1"/>
  <c r="BA602" i="1"/>
  <c r="S603" i="1"/>
  <c r="AA602" i="1"/>
  <c r="AB595" i="1"/>
  <c r="AC595" i="1" s="1"/>
  <c r="U595" i="1"/>
  <c r="AT595" i="1" s="1"/>
  <c r="V595" i="1"/>
  <c r="AU595" i="1" s="1"/>
  <c r="T596" i="1"/>
  <c r="AW596" i="1" l="1" a="1"/>
  <c r="AW596" i="1" s="1"/>
  <c r="BN594" i="1"/>
  <c r="BO594" i="1" s="1"/>
  <c r="BJ594" i="1"/>
  <c r="BK594" i="1" s="1"/>
  <c r="BH594" i="1" s="1" a="1"/>
  <c r="BH594" i="1" s="1"/>
  <c r="AP595" i="1"/>
  <c r="AJ595" i="1"/>
  <c r="AI595" i="1"/>
  <c r="AD595" i="1"/>
  <c r="BD603" i="1"/>
  <c r="BE603" i="1"/>
  <c r="AG603" i="1"/>
  <c r="BF603" i="1"/>
  <c r="BG603" i="1"/>
  <c r="AQ593" i="1"/>
  <c r="Y593" i="1" a="1"/>
  <c r="Y593" i="1" s="1"/>
  <c r="AH593" i="1" s="1"/>
  <c r="BR593" i="1" s="1"/>
  <c r="AQ594" i="1"/>
  <c r="Y594" i="1" a="1"/>
  <c r="Y594" i="1" s="1"/>
  <c r="AH594" i="1" s="1"/>
  <c r="AM595" i="1"/>
  <c r="AR595" i="1"/>
  <c r="AF595" i="1"/>
  <c r="BI594" i="1"/>
  <c r="BA603" i="1"/>
  <c r="AA603" i="1"/>
  <c r="S604" i="1"/>
  <c r="AB596" i="1"/>
  <c r="AC596" i="1" s="1"/>
  <c r="T597" i="1"/>
  <c r="V596" i="1"/>
  <c r="AU596" i="1" s="1"/>
  <c r="U596" i="1"/>
  <c r="AT596" i="1" s="1"/>
  <c r="BT593" i="1" l="1"/>
  <c r="AW597" i="1" a="1"/>
  <c r="AW597" i="1" s="1"/>
  <c r="AS594" i="1"/>
  <c r="BR594" i="1"/>
  <c r="BQ594" i="1" s="1"/>
  <c r="BT594" i="1"/>
  <c r="BP594" i="1"/>
  <c r="AF596" i="1"/>
  <c r="AD596" i="1"/>
  <c r="BI595" i="1"/>
  <c r="BN595" i="1"/>
  <c r="BO595" i="1" s="1"/>
  <c r="BP595" i="1" s="1"/>
  <c r="BJ595" i="1"/>
  <c r="BK595" i="1" s="1"/>
  <c r="BH595" i="1" s="1" a="1"/>
  <c r="BH595" i="1" s="1"/>
  <c r="AS593" i="1"/>
  <c r="BQ593" i="1"/>
  <c r="BF604" i="1"/>
  <c r="BR604" i="1"/>
  <c r="BQ604" i="1" s="1"/>
  <c r="AQ595" i="1"/>
  <c r="Y595" i="1" a="1"/>
  <c r="Y595" i="1" s="1"/>
  <c r="AH595" i="1" s="1"/>
  <c r="BA604" i="1"/>
  <c r="AA604" i="1"/>
  <c r="S605" i="1"/>
  <c r="V597" i="1"/>
  <c r="AU597" i="1" s="1"/>
  <c r="U597" i="1"/>
  <c r="AT597" i="1" s="1"/>
  <c r="AB597" i="1"/>
  <c r="AC597" i="1" s="1"/>
  <c r="T598" i="1"/>
  <c r="BS594" i="1" l="1"/>
  <c r="BI596" i="1"/>
  <c r="AS595" i="1"/>
  <c r="BR595" i="1"/>
  <c r="BQ595" i="1" s="1"/>
  <c r="BT595" i="1"/>
  <c r="AF597" i="1"/>
  <c r="AW598" i="1" a="1"/>
  <c r="AW598" i="1" s="1"/>
  <c r="AY598" i="1" a="1"/>
  <c r="AY598" i="1" s="1"/>
  <c r="AD597" i="1"/>
  <c r="BS593" i="1"/>
  <c r="BJ597" i="1"/>
  <c r="BI597" i="1"/>
  <c r="BK597" i="1"/>
  <c r="BN596" i="1"/>
  <c r="BO596" i="1" s="1"/>
  <c r="BP596" i="1" s="1"/>
  <c r="BJ596" i="1"/>
  <c r="AO597" i="1"/>
  <c r="AP597" i="1"/>
  <c r="AG605" i="1"/>
  <c r="BR605" i="1"/>
  <c r="BQ605" i="1" s="1"/>
  <c r="AI597" i="1"/>
  <c r="AJ597" i="1"/>
  <c r="AE597" i="1"/>
  <c r="BN597" i="1" s="1"/>
  <c r="BO597" i="1" s="1"/>
  <c r="BP597" i="1" s="1"/>
  <c r="AN597" i="1"/>
  <c r="BA605" i="1"/>
  <c r="AA605" i="1"/>
  <c r="S606" i="1"/>
  <c r="AB598" i="1"/>
  <c r="AC598" i="1" s="1"/>
  <c r="AE598" i="1" s="1"/>
  <c r="T599" i="1"/>
  <c r="V598" i="1"/>
  <c r="AU598" i="1" s="1"/>
  <c r="U598" i="1"/>
  <c r="AT598" i="1" s="1"/>
  <c r="BH596" i="1" l="1" a="1"/>
  <c r="BH596" i="1" s="1"/>
  <c r="BH597" i="1" s="1" a="1"/>
  <c r="BH597" i="1" s="1"/>
  <c r="AV599" i="1" a="1"/>
  <c r="AV599" i="1" s="1"/>
  <c r="AW599" i="1" a="1"/>
  <c r="AW599" i="1" s="1"/>
  <c r="AX599" i="1" a="1"/>
  <c r="AX599" i="1" s="1"/>
  <c r="AY599" i="1" a="1"/>
  <c r="AY599" i="1" s="1"/>
  <c r="BS595" i="1"/>
  <c r="BK596" i="1"/>
  <c r="AF598" i="1"/>
  <c r="AD598" i="1"/>
  <c r="AG606" i="1"/>
  <c r="BR606" i="1"/>
  <c r="BQ606" i="1" s="1"/>
  <c r="AR597" i="1"/>
  <c r="AM597" i="1"/>
  <c r="BA606" i="1"/>
  <c r="AA606" i="1"/>
  <c r="S607" i="1"/>
  <c r="AB599" i="1"/>
  <c r="AC599" i="1" s="1"/>
  <c r="T600" i="1"/>
  <c r="U599" i="1"/>
  <c r="AT599" i="1" s="1"/>
  <c r="V599" i="1"/>
  <c r="AU599" i="1" s="1"/>
  <c r="BH598" i="1" l="1" a="1"/>
  <c r="BH598" i="1" s="1"/>
  <c r="AF599" i="1"/>
  <c r="AD599" i="1"/>
  <c r="BN598" i="1"/>
  <c r="BO598" i="1" s="1"/>
  <c r="BJ598" i="1"/>
  <c r="BI598" i="1"/>
  <c r="BK598" i="1"/>
  <c r="BF607" i="1"/>
  <c r="AG607" i="1"/>
  <c r="BR607" i="1"/>
  <c r="BQ607" i="1" s="1"/>
  <c r="AQ597" i="1"/>
  <c r="Y597" i="1" a="1"/>
  <c r="Y597" i="1" s="1"/>
  <c r="AH597" i="1" s="1"/>
  <c r="BA607" i="1"/>
  <c r="AA607" i="1"/>
  <c r="S608" i="1"/>
  <c r="T601" i="1"/>
  <c r="AB600" i="1"/>
  <c r="AC600" i="1" s="1"/>
  <c r="AE600" i="1" s="1"/>
  <c r="V600" i="1"/>
  <c r="AU600" i="1" s="1"/>
  <c r="U600" i="1"/>
  <c r="AT600" i="1" s="1"/>
  <c r="AS597" i="1" l="1"/>
  <c r="BR597" i="1"/>
  <c r="BQ597" i="1" s="1"/>
  <c r="BT597" i="1"/>
  <c r="BS597" i="1" s="1"/>
  <c r="BF608" i="1"/>
  <c r="BP598" i="1"/>
  <c r="AW601" i="1" a="1"/>
  <c r="AW601" i="1" s="1"/>
  <c r="AX601" i="1" a="1"/>
  <c r="AX601" i="1" s="1"/>
  <c r="AP600" i="1"/>
  <c r="AD600" i="1"/>
  <c r="BN599" i="1"/>
  <c r="BO599" i="1" s="1"/>
  <c r="BP599" i="1" s="1"/>
  <c r="BJ599" i="1"/>
  <c r="BK599" i="1" s="1"/>
  <c r="BH599" i="1" s="1" a="1"/>
  <c r="BH599" i="1" s="1"/>
  <c r="BI599" i="1"/>
  <c r="AI600" i="1"/>
  <c r="AK600" i="1" s="1"/>
  <c r="AO600" i="1" s="1"/>
  <c r="AJ600" i="1"/>
  <c r="AF600" i="1"/>
  <c r="BE608" i="1"/>
  <c r="AG608" i="1"/>
  <c r="BG608" i="1"/>
  <c r="BD608" i="1"/>
  <c r="BA608" i="1"/>
  <c r="AA608" i="1"/>
  <c r="S609" i="1"/>
  <c r="T602" i="1"/>
  <c r="V601" i="1"/>
  <c r="AU601" i="1" s="1"/>
  <c r="AB601" i="1"/>
  <c r="AC601" i="1" s="1"/>
  <c r="AD601" i="1" s="1"/>
  <c r="U601" i="1"/>
  <c r="AT601" i="1" s="1"/>
  <c r="AJ601" i="1" l="1"/>
  <c r="AW602" i="1" a="1"/>
  <c r="AW602" i="1" s="1"/>
  <c r="BN600" i="1"/>
  <c r="BO600" i="1" s="1"/>
  <c r="BP600" i="1" s="1"/>
  <c r="BJ600" i="1"/>
  <c r="BK600" i="1" s="1"/>
  <c r="BH600" i="1" s="1" a="1"/>
  <c r="BH600" i="1" s="1"/>
  <c r="AP601" i="1"/>
  <c r="AO601" i="1"/>
  <c r="AI601" i="1"/>
  <c r="AE601" i="1"/>
  <c r="AE602" i="1" s="1"/>
  <c r="AN601" i="1"/>
  <c r="AG609" i="1"/>
  <c r="BR609" i="1"/>
  <c r="BQ609" i="1" s="1"/>
  <c r="AF601" i="1"/>
  <c r="BI600" i="1"/>
  <c r="BA609" i="1"/>
  <c r="S610" i="1"/>
  <c r="AA609" i="1"/>
  <c r="AB602" i="1"/>
  <c r="AC602" i="1" s="1"/>
  <c r="T603" i="1"/>
  <c r="U602" i="1"/>
  <c r="AT602" i="1" s="1"/>
  <c r="V602" i="1"/>
  <c r="AU602" i="1" s="1"/>
  <c r="BH601" i="1" l="1" a="1"/>
  <c r="BH601" i="1" s="1"/>
  <c r="BN601" i="1"/>
  <c r="BO601" i="1" s="1"/>
  <c r="BJ601" i="1"/>
  <c r="AG610" i="1"/>
  <c r="AW603" i="1" a="1"/>
  <c r="AW603" i="1" s="1"/>
  <c r="AP602" i="1"/>
  <c r="AD602" i="1"/>
  <c r="BI601" i="1"/>
  <c r="BK601" i="1"/>
  <c r="AI602" i="1"/>
  <c r="AK602" i="1" s="1"/>
  <c r="AO602" i="1" s="1"/>
  <c r="AJ602" i="1"/>
  <c r="AJ603" i="1" s="1"/>
  <c r="AF602" i="1"/>
  <c r="BE610" i="1"/>
  <c r="BF610" i="1"/>
  <c r="BG610" i="1"/>
  <c r="BD610" i="1"/>
  <c r="AM601" i="1"/>
  <c r="AR601" i="1"/>
  <c r="BA610" i="1"/>
  <c r="S611" i="1"/>
  <c r="AA610" i="1"/>
  <c r="AB603" i="1"/>
  <c r="AC603" i="1" s="1"/>
  <c r="AE603" i="1" s="1"/>
  <c r="T604" i="1"/>
  <c r="U603" i="1"/>
  <c r="AT603" i="1" s="1"/>
  <c r="V603" i="1"/>
  <c r="AU603" i="1" s="1"/>
  <c r="BF611" i="1" l="1"/>
  <c r="BK602" i="1"/>
  <c r="AG611" i="1"/>
  <c r="BG611" i="1"/>
  <c r="AW604" i="1" a="1"/>
  <c r="AW604" i="1" s="1"/>
  <c r="AY604" i="1" a="1"/>
  <c r="AY604" i="1" s="1"/>
  <c r="AO603" i="1"/>
  <c r="BP601" i="1"/>
  <c r="BH602" i="1" a="1"/>
  <c r="BH602" i="1" s="1"/>
  <c r="AP603" i="1"/>
  <c r="AD603" i="1"/>
  <c r="BJ602" i="1"/>
  <c r="BN602" i="1"/>
  <c r="BO602" i="1" s="1"/>
  <c r="AI603" i="1"/>
  <c r="AN603" i="1"/>
  <c r="BE611" i="1"/>
  <c r="BD611" i="1"/>
  <c r="AQ601" i="1"/>
  <c r="Y601" i="1" a="1"/>
  <c r="Y601" i="1" s="1"/>
  <c r="AH601" i="1" s="1"/>
  <c r="AF603" i="1"/>
  <c r="BI602" i="1"/>
  <c r="BA611" i="1"/>
  <c r="AA611" i="1"/>
  <c r="S612" i="1"/>
  <c r="U604" i="1"/>
  <c r="AT604" i="1" s="1"/>
  <c r="AB604" i="1"/>
  <c r="AC604" i="1" s="1"/>
  <c r="V604" i="1"/>
  <c r="AU604" i="1" s="1"/>
  <c r="T605" i="1"/>
  <c r="BH603" i="1" l="1" a="1"/>
  <c r="BH603" i="1" s="1"/>
  <c r="AS601" i="1"/>
  <c r="BR601" i="1"/>
  <c r="BQ601" i="1" s="1"/>
  <c r="BT601" i="1"/>
  <c r="BS601" i="1" s="1"/>
  <c r="BP602" i="1"/>
  <c r="AD604" i="1"/>
  <c r="AF604" i="1"/>
  <c r="BI603" i="1"/>
  <c r="BK603" i="1"/>
  <c r="BN603" i="1"/>
  <c r="BO603" i="1" s="1"/>
  <c r="BJ603" i="1"/>
  <c r="BE612" i="1"/>
  <c r="AS612" i="1" s="1"/>
  <c r="BF612" i="1"/>
  <c r="BG612" i="1"/>
  <c r="BR612" i="1"/>
  <c r="BQ612" i="1" s="1"/>
  <c r="AM603" i="1"/>
  <c r="AR603" i="1"/>
  <c r="BA612" i="1"/>
  <c r="AA612" i="1"/>
  <c r="S613" i="1"/>
  <c r="AB605" i="1"/>
  <c r="AC605" i="1" s="1"/>
  <c r="AD605" i="1" s="1"/>
  <c r="T606" i="1"/>
  <c r="V605" i="1"/>
  <c r="AU605" i="1" s="1"/>
  <c r="U605" i="1"/>
  <c r="AT605" i="1" s="1"/>
  <c r="BG613" i="1" l="1"/>
  <c r="BF613" i="1"/>
  <c r="BP603" i="1"/>
  <c r="BH604" i="1" a="1"/>
  <c r="BH604" i="1" s="1"/>
  <c r="BK604" i="1"/>
  <c r="BI604" i="1"/>
  <c r="BN604" i="1"/>
  <c r="BO604" i="1" s="1"/>
  <c r="BJ604" i="1"/>
  <c r="AF605" i="1"/>
  <c r="AE605" i="1"/>
  <c r="BN605" i="1" s="1"/>
  <c r="BO605" i="1" s="1"/>
  <c r="BE613" i="1"/>
  <c r="AG613" i="1"/>
  <c r="BD613" i="1"/>
  <c r="AQ603" i="1"/>
  <c r="Y603" i="1" a="1"/>
  <c r="Y603" i="1" s="1"/>
  <c r="AH603" i="1" s="1"/>
  <c r="BA613" i="1"/>
  <c r="AA613" i="1"/>
  <c r="S614" i="1"/>
  <c r="AB606" i="1"/>
  <c r="AC606" i="1" s="1"/>
  <c r="U606" i="1"/>
  <c r="AT606" i="1" s="1"/>
  <c r="V606" i="1"/>
  <c r="AU606" i="1" s="1"/>
  <c r="T607" i="1"/>
  <c r="AW607" i="1" l="1" a="1"/>
  <c r="AW607" i="1" s="1"/>
  <c r="AY607" i="1" a="1"/>
  <c r="AY607" i="1" s="1"/>
  <c r="BK605" i="1"/>
  <c r="BJ605" i="1"/>
  <c r="BH605" i="1" a="1"/>
  <c r="BH605" i="1" s="1"/>
  <c r="AS603" i="1"/>
  <c r="BR603" i="1"/>
  <c r="BQ603" i="1" s="1"/>
  <c r="BP604" i="1"/>
  <c r="BT603" i="1"/>
  <c r="BS603" i="1" s="1"/>
  <c r="AE606" i="1"/>
  <c r="AD606" i="1"/>
  <c r="AG614" i="1"/>
  <c r="BR614" i="1"/>
  <c r="BQ614" i="1" s="1"/>
  <c r="AF606" i="1"/>
  <c r="BI605" i="1"/>
  <c r="BP605" i="1" s="1"/>
  <c r="BA614" i="1"/>
  <c r="S615" i="1"/>
  <c r="AA614" i="1"/>
  <c r="T608" i="1"/>
  <c r="AB607" i="1"/>
  <c r="AC607" i="1" s="1"/>
  <c r="U607" i="1"/>
  <c r="AT607" i="1" s="1"/>
  <c r="V607" i="1"/>
  <c r="AU607" i="1" s="1"/>
  <c r="AW608" i="1" l="1" a="1"/>
  <c r="AW608" i="1" s="1"/>
  <c r="AX608" i="1" a="1"/>
  <c r="AX608" i="1" s="1"/>
  <c r="AV608" i="1" a="1"/>
  <c r="AV608" i="1" s="1"/>
  <c r="AY608" i="1" a="1"/>
  <c r="AY608" i="1" s="1"/>
  <c r="BH606" i="1" a="1"/>
  <c r="BH606" i="1" s="1"/>
  <c r="AG615" i="1"/>
  <c r="AF607" i="1"/>
  <c r="AD607" i="1"/>
  <c r="BI606" i="1"/>
  <c r="BK606" i="1"/>
  <c r="BN606" i="1"/>
  <c r="BO606" i="1" s="1"/>
  <c r="BP606" i="1" s="1"/>
  <c r="BJ606" i="1"/>
  <c r="BD615" i="1"/>
  <c r="BE615" i="1"/>
  <c r="BG615" i="1"/>
  <c r="BF615" i="1"/>
  <c r="BA615" i="1"/>
  <c r="S616" i="1"/>
  <c r="AA615" i="1"/>
  <c r="AB608" i="1"/>
  <c r="AC608" i="1" s="1"/>
  <c r="V608" i="1"/>
  <c r="AU608" i="1" s="1"/>
  <c r="T609" i="1"/>
  <c r="U608" i="1"/>
  <c r="AT608" i="1" s="1"/>
  <c r="AW609" i="1" l="1" a="1"/>
  <c r="AW609" i="1" s="1"/>
  <c r="BG616" i="1"/>
  <c r="AD608" i="1"/>
  <c r="AG616" i="1"/>
  <c r="BE616" i="1"/>
  <c r="BJ608" i="1"/>
  <c r="BN608" i="1"/>
  <c r="BO608" i="1" s="1"/>
  <c r="BN607" i="1"/>
  <c r="BO607" i="1" s="1"/>
  <c r="BJ607" i="1"/>
  <c r="BK607" i="1" s="1"/>
  <c r="BH607" i="1" s="1" a="1"/>
  <c r="BH607" i="1" s="1"/>
  <c r="BI607" i="1"/>
  <c r="AO608" i="1"/>
  <c r="AP608" i="1"/>
  <c r="AJ608" i="1"/>
  <c r="AI608" i="1"/>
  <c r="AE608" i="1"/>
  <c r="AF608" i="1"/>
  <c r="AN608" i="1"/>
  <c r="BD616" i="1"/>
  <c r="BF616" i="1"/>
  <c r="BA616" i="1"/>
  <c r="AA616" i="1"/>
  <c r="S617" i="1"/>
  <c r="BR617" i="1" s="1"/>
  <c r="BQ617" i="1" s="1"/>
  <c r="AB609" i="1"/>
  <c r="AC609" i="1" s="1"/>
  <c r="AE609" i="1" s="1"/>
  <c r="U609" i="1"/>
  <c r="AT609" i="1" s="1"/>
  <c r="V609" i="1"/>
  <c r="AU609" i="1" s="1"/>
  <c r="T610" i="1"/>
  <c r="BH608" i="1" l="1" a="1"/>
  <c r="BH608" i="1" s="1"/>
  <c r="AX610" i="1" a="1"/>
  <c r="AX610" i="1" s="1"/>
  <c r="AV610" i="1" a="1"/>
  <c r="AV610" i="1" s="1"/>
  <c r="AW610" i="1" a="1"/>
  <c r="AW610" i="1" s="1"/>
  <c r="AY610" i="1" a="1"/>
  <c r="AY610" i="1" s="1"/>
  <c r="BP607" i="1"/>
  <c r="AF609" i="1"/>
  <c r="AD609" i="1"/>
  <c r="BI608" i="1"/>
  <c r="BP608" i="1" s="1"/>
  <c r="BK608" i="1"/>
  <c r="AM608" i="1"/>
  <c r="AR608" i="1"/>
  <c r="BA617" i="1"/>
  <c r="AA617" i="1"/>
  <c r="S618" i="1"/>
  <c r="AB610" i="1"/>
  <c r="AC610" i="1" s="1"/>
  <c r="AD610" i="1" s="1"/>
  <c r="T611" i="1"/>
  <c r="U610" i="1"/>
  <c r="AT610" i="1" s="1"/>
  <c r="V610" i="1"/>
  <c r="AU610" i="1" s="1"/>
  <c r="AE610" i="1" l="1"/>
  <c r="AX611" i="1" a="1"/>
  <c r="AX611" i="1" s="1"/>
  <c r="AW611" i="1" a="1"/>
  <c r="AW611" i="1" s="1"/>
  <c r="AF610" i="1"/>
  <c r="BI609" i="1"/>
  <c r="BN610" i="1"/>
  <c r="BO610" i="1" s="1"/>
  <c r="BJ610" i="1"/>
  <c r="BN609" i="1"/>
  <c r="BO609" i="1" s="1"/>
  <c r="BP609" i="1" s="1"/>
  <c r="BJ609" i="1"/>
  <c r="BK609" i="1" s="1"/>
  <c r="BH609" i="1" s="1" a="1"/>
  <c r="BH609" i="1" s="1"/>
  <c r="AP610" i="1"/>
  <c r="AP611" i="1" s="1"/>
  <c r="AO610" i="1"/>
  <c r="AJ610" i="1"/>
  <c r="AI610" i="1"/>
  <c r="AN610" i="1"/>
  <c r="BD618" i="1"/>
  <c r="BE618" i="1"/>
  <c r="BF618" i="1"/>
  <c r="BG618" i="1"/>
  <c r="AG618" i="1"/>
  <c r="AQ608" i="1"/>
  <c r="Y608" i="1" a="1"/>
  <c r="Y608" i="1" s="1"/>
  <c r="AH608" i="1" s="1"/>
  <c r="BR608" i="1" s="1"/>
  <c r="AF611" i="1"/>
  <c r="BA618" i="1"/>
  <c r="AA618" i="1"/>
  <c r="S619" i="1"/>
  <c r="BR619" i="1" s="1"/>
  <c r="BQ619" i="1" s="1"/>
  <c r="T612" i="1"/>
  <c r="AB611" i="1"/>
  <c r="AC611" i="1" s="1"/>
  <c r="AD611" i="1" s="1"/>
  <c r="U611" i="1"/>
  <c r="AT611" i="1" s="1"/>
  <c r="V611" i="1"/>
  <c r="AU611" i="1" s="1"/>
  <c r="BH610" i="1" l="1" a="1"/>
  <c r="BH610" i="1" s="1"/>
  <c r="BH611" i="1" s="1" a="1"/>
  <c r="BH611" i="1" s="1"/>
  <c r="BK610" i="1"/>
  <c r="BT608" i="1"/>
  <c r="BS608" i="1" s="1"/>
  <c r="AX612" i="1" a="1"/>
  <c r="AX612" i="1" s="1"/>
  <c r="AW612" i="1" a="1"/>
  <c r="AW612" i="1" s="1"/>
  <c r="AI611" i="1"/>
  <c r="AJ611" i="1"/>
  <c r="AE611" i="1"/>
  <c r="BI610" i="1"/>
  <c r="BP610" i="1" s="1"/>
  <c r="AO611" i="1"/>
  <c r="BN611" i="1"/>
  <c r="BO611" i="1" s="1"/>
  <c r="BP611" i="1" s="1"/>
  <c r="BJ611" i="1"/>
  <c r="BK611" i="1" s="1"/>
  <c r="BI611" i="1"/>
  <c r="AS608" i="1"/>
  <c r="BQ608" i="1"/>
  <c r="AG619" i="1"/>
  <c r="AN611" i="1"/>
  <c r="AM610" i="1"/>
  <c r="AR610" i="1"/>
  <c r="BA619" i="1"/>
  <c r="S620" i="1"/>
  <c r="AA619" i="1"/>
  <c r="AB612" i="1"/>
  <c r="AC612" i="1" s="1"/>
  <c r="T613" i="1"/>
  <c r="U612" i="1"/>
  <c r="AT612" i="1" s="1"/>
  <c r="V612" i="1"/>
  <c r="AU612" i="1" s="1"/>
  <c r="AG620" i="1" l="1"/>
  <c r="AW613" i="1" a="1"/>
  <c r="AW613" i="1" s="1"/>
  <c r="AX613" i="1" a="1"/>
  <c r="AX613" i="1" s="1"/>
  <c r="AV613" i="1" a="1"/>
  <c r="AV613" i="1" s="1"/>
  <c r="AD612" i="1"/>
  <c r="AF612" i="1"/>
  <c r="AQ610" i="1"/>
  <c r="Y610" i="1" a="1"/>
  <c r="Y610" i="1" s="1"/>
  <c r="AH610" i="1" s="1"/>
  <c r="BE620" i="1"/>
  <c r="BF620" i="1"/>
  <c r="BG620" i="1"/>
  <c r="BD620" i="1"/>
  <c r="AM611" i="1"/>
  <c r="AR611" i="1"/>
  <c r="BA620" i="1"/>
  <c r="AA620" i="1"/>
  <c r="S621" i="1"/>
  <c r="BR621" i="1" s="1"/>
  <c r="BQ621" i="1" s="1"/>
  <c r="AB613" i="1"/>
  <c r="AC613" i="1" s="1"/>
  <c r="T614" i="1"/>
  <c r="V613" i="1"/>
  <c r="AU613" i="1" s="1"/>
  <c r="U613" i="1"/>
  <c r="AT613" i="1" s="1"/>
  <c r="BT610" i="1" l="1"/>
  <c r="BS610" i="1" s="1"/>
  <c r="AV614" i="1" a="1"/>
  <c r="AV614" i="1" s="1"/>
  <c r="AW614" i="1" a="1"/>
  <c r="AW614" i="1" s="1"/>
  <c r="AX614" i="1" a="1"/>
  <c r="AX614" i="1" s="1"/>
  <c r="AS610" i="1"/>
  <c r="BR610" i="1"/>
  <c r="BQ610" i="1" s="1"/>
  <c r="AD613" i="1"/>
  <c r="AF613" i="1"/>
  <c r="BK612" i="1"/>
  <c r="BI612" i="1"/>
  <c r="BP612" i="1" s="1"/>
  <c r="BN612" i="1"/>
  <c r="BO612" i="1" s="1"/>
  <c r="BJ612" i="1"/>
  <c r="BH612" i="1" s="1" a="1"/>
  <c r="BH612" i="1" s="1"/>
  <c r="AQ611" i="1"/>
  <c r="Y611" i="1" a="1"/>
  <c r="Y611" i="1" s="1"/>
  <c r="AH611" i="1" s="1"/>
  <c r="AP613" i="1"/>
  <c r="AO613" i="1"/>
  <c r="AJ613" i="1"/>
  <c r="AI613" i="1"/>
  <c r="AE613" i="1"/>
  <c r="AN613" i="1"/>
  <c r="AG621" i="1"/>
  <c r="BF621" i="1"/>
  <c r="BA621" i="1"/>
  <c r="AA621" i="1"/>
  <c r="S622" i="1"/>
  <c r="U614" i="1"/>
  <c r="AT614" i="1" s="1"/>
  <c r="V614" i="1"/>
  <c r="AU614" i="1" s="1"/>
  <c r="AB614" i="1"/>
  <c r="AC614" i="1" s="1"/>
  <c r="AE614" i="1" s="1"/>
  <c r="T615" i="1"/>
  <c r="BH613" i="1" l="1" a="1"/>
  <c r="BH613" i="1" s="1"/>
  <c r="AG622" i="1"/>
  <c r="AW615" i="1" a="1"/>
  <c r="AW615" i="1" s="1"/>
  <c r="AV615" i="1" a="1"/>
  <c r="AV615" i="1" s="1"/>
  <c r="AY615" i="1" a="1"/>
  <c r="AY615" i="1" s="1"/>
  <c r="AX615" i="1" a="1"/>
  <c r="AX615" i="1" s="1"/>
  <c r="AS611" i="1"/>
  <c r="BR611" i="1"/>
  <c r="BQ611" i="1" s="1"/>
  <c r="BT611" i="1"/>
  <c r="BS611" i="1" s="1"/>
  <c r="AF614" i="1"/>
  <c r="AD614" i="1"/>
  <c r="BK613" i="1"/>
  <c r="BI613" i="1"/>
  <c r="BJ613" i="1"/>
  <c r="BN613" i="1"/>
  <c r="BO613" i="1" s="1"/>
  <c r="AF615" i="1"/>
  <c r="BF622" i="1"/>
  <c r="BE622" i="1"/>
  <c r="BG622" i="1"/>
  <c r="BD622" i="1"/>
  <c r="AR613" i="1"/>
  <c r="AM613" i="1"/>
  <c r="BA622" i="1"/>
  <c r="AA622" i="1"/>
  <c r="S623" i="1"/>
  <c r="AB615" i="1"/>
  <c r="AC615" i="1" s="1"/>
  <c r="AD615" i="1" s="1"/>
  <c r="T616" i="1"/>
  <c r="V615" i="1"/>
  <c r="AU615" i="1" s="1"/>
  <c r="U615" i="1"/>
  <c r="AT615" i="1" s="1"/>
  <c r="AV616" i="1" l="1" a="1"/>
  <c r="AV616" i="1" s="1"/>
  <c r="AX616" i="1" a="1"/>
  <c r="AX616" i="1" s="1"/>
  <c r="AW616" i="1" a="1"/>
  <c r="AW616" i="1" s="1"/>
  <c r="AE615" i="1"/>
  <c r="BP613" i="1"/>
  <c r="BI614" i="1"/>
  <c r="BN615" i="1"/>
  <c r="BO615" i="1" s="1"/>
  <c r="BP615" i="1" s="1"/>
  <c r="BJ615" i="1"/>
  <c r="BK615" i="1" s="1"/>
  <c r="BN614" i="1"/>
  <c r="BO614" i="1" s="1"/>
  <c r="BP614" i="1" s="1"/>
  <c r="BJ614" i="1"/>
  <c r="BK614" i="1" s="1"/>
  <c r="BH614" i="1" s="1" a="1"/>
  <c r="BH614" i="1" s="1"/>
  <c r="BH615" i="1" s="1" a="1"/>
  <c r="BH615" i="1" s="1"/>
  <c r="AO615" i="1"/>
  <c r="AP615" i="1"/>
  <c r="AQ613" i="1"/>
  <c r="Y613" i="1" a="1"/>
  <c r="Y613" i="1" s="1"/>
  <c r="AH613" i="1" s="1"/>
  <c r="BR613" i="1" s="1"/>
  <c r="AI615" i="1"/>
  <c r="AJ615" i="1"/>
  <c r="AN615" i="1"/>
  <c r="AG623" i="1"/>
  <c r="BR623" i="1"/>
  <c r="BQ623" i="1" s="1"/>
  <c r="BI615" i="1"/>
  <c r="BA623" i="1"/>
  <c r="S624" i="1"/>
  <c r="AA623" i="1"/>
  <c r="U616" i="1"/>
  <c r="AT616" i="1" s="1"/>
  <c r="T617" i="1"/>
  <c r="AB616" i="1"/>
  <c r="AC616" i="1" s="1"/>
  <c r="AF616" i="1" s="1"/>
  <c r="V616" i="1"/>
  <c r="AU616" i="1" s="1"/>
  <c r="AO616" i="1" l="1"/>
  <c r="AY617" i="1" a="1"/>
  <c r="AY617" i="1" s="1"/>
  <c r="AW617" i="1" a="1"/>
  <c r="AW617" i="1" s="1"/>
  <c r="AG624" i="1"/>
  <c r="AE616" i="1"/>
  <c r="AP616" i="1"/>
  <c r="AJ616" i="1"/>
  <c r="AI616" i="1"/>
  <c r="BT613" i="1"/>
  <c r="BS613" i="1" s="1"/>
  <c r="AN616" i="1"/>
  <c r="AD616" i="1"/>
  <c r="BI616" i="1"/>
  <c r="AS613" i="1"/>
  <c r="BQ613" i="1"/>
  <c r="AM616" i="1"/>
  <c r="AR616" i="1"/>
  <c r="BD624" i="1"/>
  <c r="BE624" i="1"/>
  <c r="BF624" i="1"/>
  <c r="BG624" i="1"/>
  <c r="AM615" i="1"/>
  <c r="AR615" i="1"/>
  <c r="BA624" i="1"/>
  <c r="S625" i="1"/>
  <c r="AA624" i="1"/>
  <c r="AB617" i="1"/>
  <c r="AC617" i="1" s="1"/>
  <c r="T618" i="1"/>
  <c r="V617" i="1"/>
  <c r="AU617" i="1" s="1"/>
  <c r="U617" i="1"/>
  <c r="AT617" i="1" s="1"/>
  <c r="BG625" i="1" l="1"/>
  <c r="AG625" i="1"/>
  <c r="AW618" i="1" a="1"/>
  <c r="AW618" i="1" s="1"/>
  <c r="AY618" i="1" a="1"/>
  <c r="AY618" i="1" s="1"/>
  <c r="AV618" i="1" a="1"/>
  <c r="AV618" i="1" s="1"/>
  <c r="AX618" i="1" a="1"/>
  <c r="AX618" i="1" s="1"/>
  <c r="BE625" i="1"/>
  <c r="AD617" i="1"/>
  <c r="AF617" i="1"/>
  <c r="BJ616" i="1"/>
  <c r="BN616" i="1"/>
  <c r="BO616" i="1" s="1"/>
  <c r="BP616" i="1" s="1"/>
  <c r="AQ616" i="1"/>
  <c r="Y616" i="1" a="1"/>
  <c r="Y616" i="1" s="1"/>
  <c r="AH616" i="1" s="1"/>
  <c r="BD625" i="1"/>
  <c r="BF625" i="1"/>
  <c r="AQ615" i="1"/>
  <c r="Y615" i="1" a="1"/>
  <c r="Y615" i="1" s="1"/>
  <c r="AH615" i="1" s="1"/>
  <c r="BA625" i="1"/>
  <c r="AA625" i="1"/>
  <c r="S626" i="1"/>
  <c r="BR626" i="1" s="1"/>
  <c r="BQ626" i="1" s="1"/>
  <c r="V618" i="1"/>
  <c r="AU618" i="1" s="1"/>
  <c r="AB618" i="1"/>
  <c r="AC618" i="1" s="1"/>
  <c r="U618" i="1"/>
  <c r="AT618" i="1" s="1"/>
  <c r="T619" i="1"/>
  <c r="AS616" i="1" l="1"/>
  <c r="BR616" i="1"/>
  <c r="BQ616" i="1" s="1"/>
  <c r="BH616" i="1" a="1"/>
  <c r="BH616" i="1" s="1"/>
  <c r="BH617" i="1" s="1" a="1"/>
  <c r="BH617" i="1" s="1"/>
  <c r="BK616" i="1"/>
  <c r="BT616" i="1"/>
  <c r="BS616" i="1" s="1"/>
  <c r="BT615" i="1"/>
  <c r="BS615" i="1" s="1"/>
  <c r="AV619" i="1" a="1"/>
  <c r="AV619" i="1" s="1"/>
  <c r="AX619" i="1" a="1"/>
  <c r="AX619" i="1" s="1"/>
  <c r="AW619" i="1" a="1"/>
  <c r="AW619" i="1" s="1"/>
  <c r="AS615" i="1"/>
  <c r="BR615" i="1"/>
  <c r="BQ615" i="1" s="1"/>
  <c r="AD618" i="1"/>
  <c r="AF618" i="1"/>
  <c r="BK617" i="1"/>
  <c r="BI617" i="1"/>
  <c r="BN617" i="1"/>
  <c r="BO617" i="1" s="1"/>
  <c r="BP617" i="1" s="1"/>
  <c r="BJ617" i="1"/>
  <c r="AP618" i="1"/>
  <c r="AO618" i="1"/>
  <c r="AI618" i="1"/>
  <c r="AJ618" i="1"/>
  <c r="AE618" i="1"/>
  <c r="AN618" i="1"/>
  <c r="BE626" i="1"/>
  <c r="BG626" i="1"/>
  <c r="BF626" i="1"/>
  <c r="BA626" i="1"/>
  <c r="S627" i="1"/>
  <c r="AA626" i="1"/>
  <c r="AB619" i="1"/>
  <c r="AC619" i="1" s="1"/>
  <c r="T620" i="1"/>
  <c r="AX620" i="1" s="1" a="1"/>
  <c r="AX620" i="1" s="1"/>
  <c r="U619" i="1"/>
  <c r="AT619" i="1" s="1"/>
  <c r="V619" i="1"/>
  <c r="AU619" i="1" s="1"/>
  <c r="BH618" i="1" l="1" a="1"/>
  <c r="BH618" i="1" s="1"/>
  <c r="AD619" i="1"/>
  <c r="BJ619" i="1" s="1"/>
  <c r="BI618" i="1"/>
  <c r="BK618" i="1"/>
  <c r="BJ618" i="1"/>
  <c r="BN618" i="1"/>
  <c r="BO618" i="1" s="1"/>
  <c r="BP618" i="1" s="1"/>
  <c r="BE627" i="1"/>
  <c r="AS626" i="1"/>
  <c r="AE619" i="1"/>
  <c r="AF619" i="1"/>
  <c r="BF627" i="1"/>
  <c r="BD627" i="1"/>
  <c r="BG627" i="1"/>
  <c r="AG627" i="1"/>
  <c r="AM618" i="1"/>
  <c r="AR618" i="1"/>
  <c r="BA627" i="1"/>
  <c r="AA627" i="1"/>
  <c r="S628" i="1"/>
  <c r="AB620" i="1"/>
  <c r="AC620" i="1" s="1"/>
  <c r="T621" i="1"/>
  <c r="AW621" i="1" s="1" a="1"/>
  <c r="AW621" i="1" s="1"/>
  <c r="U620" i="1"/>
  <c r="AT620" i="1" s="1"/>
  <c r="V620" i="1"/>
  <c r="AU620" i="1" s="1"/>
  <c r="AD620" i="1" l="1"/>
  <c r="BK619" i="1"/>
  <c r="BN619" i="1"/>
  <c r="BO619" i="1" s="1"/>
  <c r="BH619" i="1" a="1"/>
  <c r="BH619" i="1" s="1"/>
  <c r="BN620" i="1"/>
  <c r="BO620" i="1" s="1"/>
  <c r="AP620" i="1"/>
  <c r="AO620" i="1"/>
  <c r="AJ620" i="1"/>
  <c r="AI620" i="1"/>
  <c r="AE620" i="1"/>
  <c r="BJ620" i="1" s="1"/>
  <c r="AN620" i="1"/>
  <c r="AG628" i="1"/>
  <c r="AG629" i="1" s="1"/>
  <c r="BR628" i="1"/>
  <c r="BQ628" i="1" s="1"/>
  <c r="AQ618" i="1"/>
  <c r="Y618" i="1" a="1"/>
  <c r="Y618" i="1" s="1"/>
  <c r="AH618" i="1" s="1"/>
  <c r="AF620" i="1"/>
  <c r="BI619" i="1"/>
  <c r="BA628" i="1"/>
  <c r="S629" i="1"/>
  <c r="AA628" i="1"/>
  <c r="AB621" i="1"/>
  <c r="AC621" i="1" s="1"/>
  <c r="U621" i="1"/>
  <c r="AT621" i="1" s="1"/>
  <c r="V621" i="1"/>
  <c r="AU621" i="1" s="1"/>
  <c r="T622" i="1"/>
  <c r="AW622" i="1" l="1" a="1"/>
  <c r="AW622" i="1" s="1"/>
  <c r="AX622" i="1" a="1"/>
  <c r="AX622" i="1" s="1"/>
  <c r="AV622" i="1" a="1"/>
  <c r="AV622" i="1" s="1"/>
  <c r="BH620" i="1" a="1"/>
  <c r="BH620" i="1" s="1"/>
  <c r="AS618" i="1"/>
  <c r="BR618" i="1"/>
  <c r="BQ618" i="1" s="1"/>
  <c r="BP619" i="1"/>
  <c r="BT618" i="1"/>
  <c r="BS618" i="1" s="1"/>
  <c r="AF621" i="1"/>
  <c r="AD621" i="1"/>
  <c r="BI620" i="1"/>
  <c r="BP620" i="1" s="1"/>
  <c r="BK620" i="1"/>
  <c r="BG629" i="1"/>
  <c r="BE629" i="1"/>
  <c r="BD629" i="1"/>
  <c r="BF629" i="1"/>
  <c r="AM620" i="1"/>
  <c r="AR620" i="1"/>
  <c r="BA629" i="1"/>
  <c r="S630" i="1"/>
  <c r="AA629" i="1"/>
  <c r="AB622" i="1"/>
  <c r="AC622" i="1" s="1"/>
  <c r="AD622" i="1" s="1"/>
  <c r="T623" i="1"/>
  <c r="AW623" i="1" s="1" a="1"/>
  <c r="AW623" i="1" s="1"/>
  <c r="U622" i="1"/>
  <c r="AT622" i="1" s="1"/>
  <c r="V622" i="1"/>
  <c r="AU622" i="1" s="1"/>
  <c r="BE630" i="1" l="1"/>
  <c r="AF622" i="1"/>
  <c r="BD630" i="1"/>
  <c r="BF630" i="1"/>
  <c r="BG630" i="1"/>
  <c r="BI621" i="1"/>
  <c r="AG630" i="1"/>
  <c r="BN622" i="1"/>
  <c r="BO622" i="1" s="1"/>
  <c r="BP622" i="1" s="1"/>
  <c r="BJ622" i="1"/>
  <c r="BK622" i="1" s="1"/>
  <c r="BI622" i="1"/>
  <c r="BN621" i="1"/>
  <c r="BO621" i="1" s="1"/>
  <c r="BP621" i="1" s="1"/>
  <c r="BJ621" i="1"/>
  <c r="BK621" i="1" s="1"/>
  <c r="BH621" i="1" s="1" a="1"/>
  <c r="BH621" i="1" s="1"/>
  <c r="BH622" i="1" s="1" a="1"/>
  <c r="BH622" i="1" s="1"/>
  <c r="AO622" i="1"/>
  <c r="AP622" i="1"/>
  <c r="AI622" i="1"/>
  <c r="AJ622" i="1"/>
  <c r="AN622" i="1"/>
  <c r="AE622" i="1"/>
  <c r="AQ620" i="1"/>
  <c r="Y620" i="1" a="1"/>
  <c r="Y620" i="1" s="1"/>
  <c r="AH620" i="1" s="1"/>
  <c r="BA630" i="1"/>
  <c r="AA630" i="1"/>
  <c r="S631" i="1"/>
  <c r="T624" i="1"/>
  <c r="U623" i="1"/>
  <c r="AT623" i="1" s="1"/>
  <c r="V623" i="1"/>
  <c r="AU623" i="1" s="1"/>
  <c r="AB623" i="1"/>
  <c r="AC623" i="1" s="1"/>
  <c r="AY624" i="1" l="1" a="1"/>
  <c r="AY624" i="1" s="1"/>
  <c r="AV624" i="1" a="1"/>
  <c r="AV624" i="1" s="1"/>
  <c r="AW624" i="1" a="1"/>
  <c r="AW624" i="1" s="1"/>
  <c r="AX624" i="1" a="1"/>
  <c r="AX624" i="1" s="1"/>
  <c r="BT620" i="1"/>
  <c r="BS620" i="1" s="1"/>
  <c r="AS620" i="1"/>
  <c r="BR620" i="1"/>
  <c r="BQ620" i="1" s="1"/>
  <c r="AE623" i="1"/>
  <c r="AF623" i="1"/>
  <c r="AD623" i="1"/>
  <c r="BE631" i="1"/>
  <c r="AS631" i="1" s="1"/>
  <c r="BF631" i="1"/>
  <c r="BG631" i="1"/>
  <c r="BR631" i="1"/>
  <c r="BQ631" i="1" s="1"/>
  <c r="AM622" i="1"/>
  <c r="AR622" i="1"/>
  <c r="BA631" i="1"/>
  <c r="AA631" i="1"/>
  <c r="S632" i="1"/>
  <c r="AB624" i="1"/>
  <c r="AC624" i="1" s="1"/>
  <c r="U624" i="1"/>
  <c r="AT624" i="1" s="1"/>
  <c r="T625" i="1"/>
  <c r="V624" i="1"/>
  <c r="AU624" i="1" s="1"/>
  <c r="AX625" i="1" l="1" a="1"/>
  <c r="AX625" i="1" s="1"/>
  <c r="AV625" i="1" a="1"/>
  <c r="AV625" i="1" s="1"/>
  <c r="AW625" i="1" a="1"/>
  <c r="AW625" i="1" s="1"/>
  <c r="AD624" i="1"/>
  <c r="AE624" i="1"/>
  <c r="BJ624" i="1" s="1"/>
  <c r="BN624" i="1"/>
  <c r="BO624" i="1" s="1"/>
  <c r="BN623" i="1"/>
  <c r="BO623" i="1" s="1"/>
  <c r="BJ623" i="1"/>
  <c r="BI623" i="1"/>
  <c r="AP624" i="1"/>
  <c r="AO624" i="1"/>
  <c r="AJ624" i="1"/>
  <c r="AI624" i="1"/>
  <c r="AF624" i="1"/>
  <c r="AN624" i="1"/>
  <c r="AG632" i="1"/>
  <c r="BR632" i="1"/>
  <c r="BQ632" i="1" s="1"/>
  <c r="AQ622" i="1"/>
  <c r="Y622" i="1" a="1"/>
  <c r="Y622" i="1" s="1"/>
  <c r="AH622" i="1" s="1"/>
  <c r="BA632" i="1"/>
  <c r="S633" i="1"/>
  <c r="AA632" i="1"/>
  <c r="AB625" i="1"/>
  <c r="AC625" i="1" s="1"/>
  <c r="T626" i="1"/>
  <c r="V625" i="1"/>
  <c r="AU625" i="1" s="1"/>
  <c r="U625" i="1"/>
  <c r="AT625" i="1" s="1"/>
  <c r="BT622" i="1" l="1"/>
  <c r="BS622" i="1" s="1"/>
  <c r="AX626" i="1" a="1"/>
  <c r="AX626" i="1" s="1"/>
  <c r="AV626" i="1" a="1"/>
  <c r="AV626" i="1" s="1"/>
  <c r="AW626" i="1" a="1"/>
  <c r="AW626" i="1" s="1"/>
  <c r="BP623" i="1"/>
  <c r="BH623" i="1" a="1"/>
  <c r="BH623" i="1" s="1"/>
  <c r="BH624" i="1" s="1" a="1"/>
  <c r="BH624" i="1" s="1"/>
  <c r="AP625" i="1"/>
  <c r="BK623" i="1"/>
  <c r="AE625" i="1"/>
  <c r="BK624" i="1"/>
  <c r="AS622" i="1"/>
  <c r="BR622" i="1"/>
  <c r="BQ622" i="1" s="1"/>
  <c r="AJ625" i="1"/>
  <c r="AI625" i="1"/>
  <c r="AO625" i="1"/>
  <c r="AN625" i="1"/>
  <c r="AR625" i="1" s="1"/>
  <c r="AD625" i="1"/>
  <c r="BF633" i="1"/>
  <c r="BG633" i="1"/>
  <c r="AG633" i="1"/>
  <c r="AG634" i="1" s="1"/>
  <c r="BD633" i="1"/>
  <c r="BD634" i="1" s="1"/>
  <c r="BE633" i="1"/>
  <c r="AR624" i="1"/>
  <c r="AM624" i="1"/>
  <c r="AF625" i="1"/>
  <c r="BI624" i="1"/>
  <c r="BP624" i="1" s="1"/>
  <c r="BA633" i="1"/>
  <c r="S634" i="1"/>
  <c r="AA633" i="1"/>
  <c r="T627" i="1"/>
  <c r="V626" i="1"/>
  <c r="AU626" i="1" s="1"/>
  <c r="AB626" i="1"/>
  <c r="AC626" i="1" s="1"/>
  <c r="U626" i="1"/>
  <c r="AT626" i="1" s="1"/>
  <c r="AM625" i="1" l="1"/>
  <c r="AX627" i="1" a="1"/>
  <c r="AX627" i="1" s="1"/>
  <c r="AW627" i="1" a="1"/>
  <c r="AW627" i="1" s="1"/>
  <c r="BI625" i="1"/>
  <c r="BN625" i="1"/>
  <c r="BO625" i="1" s="1"/>
  <c r="BP625" i="1" s="1"/>
  <c r="BJ625" i="1"/>
  <c r="BK625" i="1" s="1"/>
  <c r="BH625" i="1" s="1" a="1"/>
  <c r="BH625" i="1" s="1"/>
  <c r="BH626" i="1" s="1" a="1"/>
  <c r="BH626" i="1" s="1"/>
  <c r="BF634" i="1"/>
  <c r="BE634" i="1"/>
  <c r="BG634" i="1"/>
  <c r="AQ624" i="1"/>
  <c r="Y624" i="1" a="1"/>
  <c r="Y624" i="1" s="1"/>
  <c r="AH624" i="1" s="1"/>
  <c r="BR624" i="1" s="1"/>
  <c r="AQ625" i="1"/>
  <c r="Y625" i="1" a="1"/>
  <c r="Y625" i="1" s="1"/>
  <c r="AH625" i="1" s="1"/>
  <c r="BA634" i="1"/>
  <c r="AA634" i="1"/>
  <c r="S635" i="1"/>
  <c r="AB627" i="1"/>
  <c r="AC627" i="1" s="1"/>
  <c r="T628" i="1"/>
  <c r="V627" i="1"/>
  <c r="AU627" i="1" s="1"/>
  <c r="U627" i="1"/>
  <c r="AT627" i="1" s="1"/>
  <c r="BT624" i="1" l="1"/>
  <c r="BS624" i="1" s="1"/>
  <c r="AW628" i="1" a="1"/>
  <c r="AW628" i="1" s="1"/>
  <c r="AV628" i="1" a="1"/>
  <c r="AV628" i="1" s="1"/>
  <c r="AX628" i="1" a="1"/>
  <c r="AX628" i="1" s="1"/>
  <c r="AS625" i="1"/>
  <c r="BR625" i="1"/>
  <c r="BQ625" i="1" s="1"/>
  <c r="BT625" i="1"/>
  <c r="BS625" i="1" s="1"/>
  <c r="AO627" i="1"/>
  <c r="AP627" i="1"/>
  <c r="AJ627" i="1"/>
  <c r="AI627" i="1"/>
  <c r="AE627" i="1"/>
  <c r="AF627" i="1"/>
  <c r="AD627" i="1"/>
  <c r="AN627" i="1"/>
  <c r="AG635" i="1"/>
  <c r="AS624" i="1"/>
  <c r="BQ624" i="1"/>
  <c r="BA635" i="1"/>
  <c r="AA635" i="1"/>
  <c r="S636" i="1"/>
  <c r="AB628" i="1"/>
  <c r="AC628" i="1" s="1"/>
  <c r="T629" i="1"/>
  <c r="V628" i="1"/>
  <c r="AU628" i="1" s="1"/>
  <c r="U628" i="1"/>
  <c r="AT628" i="1" s="1"/>
  <c r="AW629" i="1" l="1" a="1"/>
  <c r="AW629" i="1" s="1"/>
  <c r="AX629" i="1" a="1"/>
  <c r="AX629" i="1" s="1"/>
  <c r="AY629" i="1" a="1"/>
  <c r="AY629" i="1" s="1"/>
  <c r="AV629" i="1" a="1"/>
  <c r="AV629" i="1" s="1"/>
  <c r="AF628" i="1"/>
  <c r="AE628" i="1"/>
  <c r="BI628" i="1"/>
  <c r="BE636" i="1"/>
  <c r="BE637" i="1" s="1"/>
  <c r="BF636" i="1"/>
  <c r="AG636" i="1"/>
  <c r="AG637" i="1" s="1"/>
  <c r="BD636" i="1"/>
  <c r="BG636" i="1"/>
  <c r="AM627" i="1"/>
  <c r="AR627" i="1"/>
  <c r="BN627" i="1"/>
  <c r="BO627" i="1" s="1"/>
  <c r="BJ627" i="1"/>
  <c r="BH627" i="1" s="1" a="1"/>
  <c r="BH627" i="1" s="1"/>
  <c r="AD628" i="1"/>
  <c r="BK627" i="1"/>
  <c r="BI627" i="1"/>
  <c r="BA636" i="1"/>
  <c r="S637" i="1"/>
  <c r="AA636" i="1"/>
  <c r="AB629" i="1"/>
  <c r="AC629" i="1" s="1"/>
  <c r="AF629" i="1" s="1"/>
  <c r="V629" i="1"/>
  <c r="AU629" i="1" s="1"/>
  <c r="U629" i="1"/>
  <c r="AT629" i="1" s="1"/>
  <c r="T630" i="1"/>
  <c r="BP627" i="1" l="1"/>
  <c r="AE629" i="1"/>
  <c r="BG637" i="1"/>
  <c r="BH628" i="1" a="1"/>
  <c r="BH628" i="1" s="1"/>
  <c r="AX630" i="1" a="1"/>
  <c r="AX630" i="1" s="1"/>
  <c r="AW630" i="1" a="1"/>
  <c r="AW630" i="1" s="1"/>
  <c r="BD637" i="1"/>
  <c r="AO629" i="1"/>
  <c r="AP629" i="1"/>
  <c r="AI629" i="1"/>
  <c r="AJ629" i="1"/>
  <c r="AJ630" i="1" s="1"/>
  <c r="AN629" i="1"/>
  <c r="BF637" i="1"/>
  <c r="AD629" i="1"/>
  <c r="BN628" i="1"/>
  <c r="BO628" i="1" s="1"/>
  <c r="BP628" i="1" s="1"/>
  <c r="BJ628" i="1"/>
  <c r="BK628" i="1" s="1"/>
  <c r="AQ627" i="1"/>
  <c r="Y627" i="1" a="1"/>
  <c r="Y627" i="1" s="1"/>
  <c r="AH627" i="1" s="1"/>
  <c r="BI629" i="1"/>
  <c r="BA637" i="1"/>
  <c r="AA637" i="1"/>
  <c r="S638" i="1"/>
  <c r="AB630" i="1"/>
  <c r="AC630" i="1" s="1"/>
  <c r="AN630" i="1" s="1"/>
  <c r="V630" i="1"/>
  <c r="AU630" i="1" s="1"/>
  <c r="T631" i="1"/>
  <c r="U630" i="1"/>
  <c r="AT630" i="1" s="1"/>
  <c r="AI630" i="1" l="1"/>
  <c r="AV631" i="1" a="1"/>
  <c r="AV631" i="1" s="1"/>
  <c r="AW631" i="1" a="1"/>
  <c r="AW631" i="1" s="1"/>
  <c r="AX631" i="1" a="1"/>
  <c r="AX631" i="1" s="1"/>
  <c r="AY631" i="1" a="1"/>
  <c r="AY631" i="1" s="1"/>
  <c r="AP630" i="1"/>
  <c r="AS627" i="1"/>
  <c r="BR627" i="1"/>
  <c r="BQ627" i="1" s="1"/>
  <c r="AO630" i="1"/>
  <c r="BH629" i="1" a="1"/>
  <c r="BH629" i="1" s="1"/>
  <c r="AE630" i="1"/>
  <c r="AF630" i="1"/>
  <c r="BI630" i="1" s="1"/>
  <c r="BT627" i="1"/>
  <c r="BS627" i="1" s="1"/>
  <c r="AR630" i="1"/>
  <c r="AM630" i="1"/>
  <c r="BF638" i="1"/>
  <c r="BR638" i="1"/>
  <c r="BQ638" i="1" s="1"/>
  <c r="AD630" i="1"/>
  <c r="BJ629" i="1"/>
  <c r="BK629" i="1" s="1"/>
  <c r="BN629" i="1"/>
  <c r="BO629" i="1" s="1"/>
  <c r="BP629" i="1" s="1"/>
  <c r="AM629" i="1"/>
  <c r="AR629" i="1"/>
  <c r="BA638" i="1"/>
  <c r="AA638" i="1"/>
  <c r="S639" i="1"/>
  <c r="BR639" i="1" s="1"/>
  <c r="BQ639" i="1" s="1"/>
  <c r="U631" i="1"/>
  <c r="AT631" i="1" s="1"/>
  <c r="AB631" i="1"/>
  <c r="AC631" i="1" s="1"/>
  <c r="T632" i="1"/>
  <c r="V631" i="1"/>
  <c r="AU631" i="1" s="1"/>
  <c r="AD631" i="1" l="1"/>
  <c r="BN631" i="1" s="1"/>
  <c r="BO631" i="1" s="1"/>
  <c r="BJ631" i="1"/>
  <c r="AG639" i="1"/>
  <c r="AQ629" i="1"/>
  <c r="Y629" i="1" a="1"/>
  <c r="Y629" i="1" s="1"/>
  <c r="AH629" i="1" s="1"/>
  <c r="BJ630" i="1"/>
  <c r="BK630" i="1" s="1"/>
  <c r="BH630" i="1" s="1" a="1"/>
  <c r="BH630" i="1" s="1"/>
  <c r="BN630" i="1"/>
  <c r="BO630" i="1" s="1"/>
  <c r="BP630" i="1" s="1"/>
  <c r="AQ630" i="1"/>
  <c r="Y630" i="1" a="1"/>
  <c r="Y630" i="1" s="1"/>
  <c r="AH630" i="1" s="1"/>
  <c r="BA639" i="1"/>
  <c r="AA639" i="1"/>
  <c r="S640" i="1"/>
  <c r="AB632" i="1"/>
  <c r="AC632" i="1" s="1"/>
  <c r="U632" i="1"/>
  <c r="AT632" i="1" s="1"/>
  <c r="V632" i="1"/>
  <c r="AU632" i="1" s="1"/>
  <c r="T633" i="1"/>
  <c r="BT629" i="1" l="1"/>
  <c r="BS629" i="1" s="1"/>
  <c r="AS629" i="1"/>
  <c r="BR629" i="1"/>
  <c r="BQ629" i="1" s="1"/>
  <c r="AF631" i="1"/>
  <c r="AD632" i="1" s="1"/>
  <c r="AS630" i="1"/>
  <c r="BR630" i="1"/>
  <c r="BQ630" i="1" s="1"/>
  <c r="BT630" i="1"/>
  <c r="BS630" i="1" s="1"/>
  <c r="AF632" i="1"/>
  <c r="AE632" i="1"/>
  <c r="BE640" i="1"/>
  <c r="BE641" i="1" s="1"/>
  <c r="AG640" i="1"/>
  <c r="BD640" i="1"/>
  <c r="BF640" i="1"/>
  <c r="BG640" i="1"/>
  <c r="BA640" i="1"/>
  <c r="AA640" i="1"/>
  <c r="S641" i="1"/>
  <c r="AB633" i="1"/>
  <c r="AC633" i="1" s="1"/>
  <c r="T634" i="1"/>
  <c r="U633" i="1"/>
  <c r="AT633" i="1" s="1"/>
  <c r="V633" i="1"/>
  <c r="AU633" i="1" s="1"/>
  <c r="BK631" i="1" l="1"/>
  <c r="BH631" i="1" s="1" a="1"/>
  <c r="BH631" i="1" s="1"/>
  <c r="BI631" i="1"/>
  <c r="BP631" i="1" s="1"/>
  <c r="BG641" i="1"/>
  <c r="BF641" i="1"/>
  <c r="BD641" i="1"/>
  <c r="AO633" i="1"/>
  <c r="AO634" i="1" s="1"/>
  <c r="AP633" i="1"/>
  <c r="AP634" i="1" s="1"/>
  <c r="AI633" i="1"/>
  <c r="AI634" i="1" s="1"/>
  <c r="AJ633" i="1"/>
  <c r="AE633" i="1"/>
  <c r="AN633" i="1"/>
  <c r="AG641" i="1"/>
  <c r="AD633" i="1"/>
  <c r="BJ632" i="1"/>
  <c r="BK632" i="1" s="1"/>
  <c r="BN632" i="1"/>
  <c r="BO632" i="1" s="1"/>
  <c r="BP632" i="1" s="1"/>
  <c r="AF633" i="1"/>
  <c r="BI632" i="1"/>
  <c r="BA641" i="1"/>
  <c r="AA641" i="1"/>
  <c r="S642" i="1"/>
  <c r="T635" i="1"/>
  <c r="AB634" i="1"/>
  <c r="AC634" i="1" s="1"/>
  <c r="U634" i="1"/>
  <c r="AT634" i="1" s="1"/>
  <c r="V634" i="1"/>
  <c r="AU634" i="1" s="1"/>
  <c r="AN634" i="1" l="1"/>
  <c r="X635" i="1" a="1"/>
  <c r="X635" i="1" s="1"/>
  <c r="W635" i="1" s="1" a="1"/>
  <c r="W635" i="1" s="1"/>
  <c r="AK635" i="1" s="1"/>
  <c r="AO635" i="1" s="1"/>
  <c r="AE634" i="1"/>
  <c r="AE635" i="1" s="1"/>
  <c r="AJ634" i="1"/>
  <c r="BH632" i="1" a="1"/>
  <c r="BH632" i="1" s="1"/>
  <c r="AM634" i="1"/>
  <c r="AR634" i="1"/>
  <c r="BE642" i="1"/>
  <c r="AS642" i="1" s="1"/>
  <c r="BF642" i="1"/>
  <c r="BG642" i="1"/>
  <c r="BR642" i="1"/>
  <c r="BQ642" i="1" s="1"/>
  <c r="AF634" i="1"/>
  <c r="BI633" i="1"/>
  <c r="AD634" i="1"/>
  <c r="BJ634" i="1" s="1"/>
  <c r="BK634" i="1" s="1"/>
  <c r="BN633" i="1"/>
  <c r="BO633" i="1" s="1"/>
  <c r="BP633" i="1" s="1"/>
  <c r="BJ633" i="1"/>
  <c r="BK633" i="1" s="1"/>
  <c r="AM633" i="1"/>
  <c r="AR633" i="1"/>
  <c r="BA642" i="1"/>
  <c r="AA642" i="1"/>
  <c r="S643" i="1"/>
  <c r="AB635" i="1"/>
  <c r="AC635" i="1" s="1"/>
  <c r="V635" i="1"/>
  <c r="AU635" i="1" s="1"/>
  <c r="U635" i="1"/>
  <c r="AT635" i="1" s="1"/>
  <c r="T636" i="1"/>
  <c r="BH633" i="1" l="1" a="1"/>
  <c r="BH633" i="1" s="1"/>
  <c r="BH634" i="1" s="1" a="1"/>
  <c r="BH634" i="1" s="1"/>
  <c r="AL635" i="1"/>
  <c r="AP635" i="1" s="1"/>
  <c r="AN635" i="1"/>
  <c r="AE636" i="1"/>
  <c r="X636" i="1" a="1"/>
  <c r="X636" i="1" s="1"/>
  <c r="W636" i="1" s="1" a="1"/>
  <c r="W636" i="1" s="1"/>
  <c r="AK636" i="1" s="1"/>
  <c r="AO636" i="1" s="1"/>
  <c r="AG643" i="1"/>
  <c r="BR643" i="1"/>
  <c r="BQ643" i="1" s="1"/>
  <c r="AQ633" i="1"/>
  <c r="Y633" i="1" a="1"/>
  <c r="Y633" i="1" s="1"/>
  <c r="AH633" i="1" s="1"/>
  <c r="AD635" i="1"/>
  <c r="BN634" i="1"/>
  <c r="BO634" i="1" s="1"/>
  <c r="AF635" i="1"/>
  <c r="BI634" i="1"/>
  <c r="AM635" i="1"/>
  <c r="AR635" i="1"/>
  <c r="AQ634" i="1"/>
  <c r="Y634" i="1" a="1"/>
  <c r="Y634" i="1" s="1"/>
  <c r="AH634" i="1" s="1"/>
  <c r="BR634" i="1" s="1"/>
  <c r="BA643" i="1"/>
  <c r="AA643" i="1"/>
  <c r="S644" i="1"/>
  <c r="AB636" i="1"/>
  <c r="AC636" i="1" s="1"/>
  <c r="T637" i="1"/>
  <c r="U636" i="1"/>
  <c r="AT636" i="1" s="1"/>
  <c r="V636" i="1"/>
  <c r="AU636" i="1" s="1"/>
  <c r="BT634" i="1" l="1"/>
  <c r="AN636" i="1"/>
  <c r="BP634" i="1"/>
  <c r="AS633" i="1"/>
  <c r="BR633" i="1"/>
  <c r="BQ633" i="1" s="1"/>
  <c r="X637" i="1" a="1"/>
  <c r="X637" i="1" s="1"/>
  <c r="W637" i="1" s="1" a="1"/>
  <c r="W637" i="1" s="1"/>
  <c r="AK637" i="1" s="1"/>
  <c r="AO637" i="1" s="1"/>
  <c r="BT633" i="1"/>
  <c r="AP636" i="1"/>
  <c r="AL636" i="1"/>
  <c r="AI636" i="1"/>
  <c r="AJ636" i="1"/>
  <c r="BD644" i="1"/>
  <c r="BE644" i="1"/>
  <c r="AG644" i="1"/>
  <c r="BG644" i="1"/>
  <c r="BF644" i="1"/>
  <c r="BF645" i="1" s="1"/>
  <c r="AS634" i="1"/>
  <c r="BQ634" i="1"/>
  <c r="AQ635" i="1"/>
  <c r="Y635" i="1" a="1"/>
  <c r="Y635" i="1" s="1"/>
  <c r="AH635" i="1" s="1"/>
  <c r="AM636" i="1"/>
  <c r="AR636" i="1"/>
  <c r="AF636" i="1"/>
  <c r="BI635" i="1"/>
  <c r="AD636" i="1"/>
  <c r="BJ635" i="1"/>
  <c r="BK635" i="1" s="1"/>
  <c r="BH635" i="1" s="1" a="1"/>
  <c r="BH635" i="1" s="1"/>
  <c r="BN635" i="1"/>
  <c r="BO635" i="1" s="1"/>
  <c r="BP635" i="1" s="1"/>
  <c r="BA644" i="1"/>
  <c r="AA644" i="1"/>
  <c r="S645" i="1"/>
  <c r="AB637" i="1"/>
  <c r="AC637" i="1" s="1"/>
  <c r="AE637" i="1" s="1"/>
  <c r="T638" i="1"/>
  <c r="V637" i="1"/>
  <c r="AU637" i="1" s="1"/>
  <c r="U637" i="1"/>
  <c r="AT637" i="1" s="1"/>
  <c r="BH636" i="1" l="1" a="1"/>
  <c r="BH636" i="1" s="1"/>
  <c r="BS633" i="1"/>
  <c r="AY638" i="1" a="1"/>
  <c r="AY638" i="1" s="1"/>
  <c r="AV638" i="1" a="1"/>
  <c r="AV638" i="1" s="1"/>
  <c r="AW638" i="1" a="1"/>
  <c r="AW638" i="1" s="1"/>
  <c r="AX638" i="1" a="1"/>
  <c r="AX638" i="1" s="1"/>
  <c r="AP637" i="1"/>
  <c r="BE645" i="1"/>
  <c r="BD645" i="1"/>
  <c r="AJ637" i="1"/>
  <c r="AN637" i="1"/>
  <c r="AM637" i="1" s="1"/>
  <c r="AI637" i="1"/>
  <c r="AL637" i="1"/>
  <c r="BT635" i="1"/>
  <c r="BS634" i="1"/>
  <c r="AS635" i="1"/>
  <c r="BR635" i="1"/>
  <c r="BQ635" i="1" s="1"/>
  <c r="BG645" i="1"/>
  <c r="AG645" i="1"/>
  <c r="AD637" i="1"/>
  <c r="BJ636" i="1"/>
  <c r="BK636" i="1" s="1"/>
  <c r="BN636" i="1"/>
  <c r="BO636" i="1" s="1"/>
  <c r="AF637" i="1"/>
  <c r="BI637" i="1" s="1"/>
  <c r="BI636" i="1"/>
  <c r="AQ636" i="1"/>
  <c r="Y636" i="1" a="1"/>
  <c r="Y636" i="1" s="1"/>
  <c r="AH636" i="1" s="1"/>
  <c r="BA645" i="1"/>
  <c r="AA645" i="1"/>
  <c r="S646" i="1"/>
  <c r="T639" i="1"/>
  <c r="V638" i="1"/>
  <c r="AU638" i="1" s="1"/>
  <c r="AB638" i="1"/>
  <c r="AC638" i="1" s="1"/>
  <c r="U638" i="1"/>
  <c r="AT638" i="1" s="1"/>
  <c r="AX639" i="1" l="1" a="1"/>
  <c r="AX639" i="1" s="1"/>
  <c r="AV639" i="1" a="1"/>
  <c r="AV639" i="1" s="1"/>
  <c r="AW639" i="1" a="1"/>
  <c r="AW639" i="1" s="1"/>
  <c r="AR637" i="1"/>
  <c r="AS636" i="1"/>
  <c r="BR636" i="1"/>
  <c r="BQ636" i="1" s="1"/>
  <c r="BT636" i="1"/>
  <c r="BS635" i="1"/>
  <c r="BP636" i="1"/>
  <c r="BH637" i="1" a="1"/>
  <c r="BH637" i="1" s="1"/>
  <c r="AG646" i="1"/>
  <c r="BR646" i="1"/>
  <c r="BQ646" i="1" s="1"/>
  <c r="AQ637" i="1"/>
  <c r="Y637" i="1" a="1"/>
  <c r="Y637" i="1" s="1"/>
  <c r="AH637" i="1" s="1"/>
  <c r="AD638" i="1"/>
  <c r="AF638" i="1" s="1"/>
  <c r="BN637" i="1"/>
  <c r="BO637" i="1" s="1"/>
  <c r="BP637" i="1" s="1"/>
  <c r="BJ637" i="1"/>
  <c r="BK637" i="1" s="1"/>
  <c r="BA646" i="1"/>
  <c r="AA646" i="1"/>
  <c r="S647" i="1"/>
  <c r="AB639" i="1"/>
  <c r="AC639" i="1" s="1"/>
  <c r="T640" i="1"/>
  <c r="V639" i="1"/>
  <c r="AU639" i="1" s="1"/>
  <c r="U639" i="1"/>
  <c r="AT639" i="1" s="1"/>
  <c r="BI638" i="1" l="1"/>
  <c r="BK638" i="1"/>
  <c r="BH638" i="1" a="1"/>
  <c r="BH638" i="1" s="1"/>
  <c r="AS637" i="1"/>
  <c r="BR637" i="1"/>
  <c r="BQ637" i="1" s="1"/>
  <c r="BT637" i="1"/>
  <c r="AD639" i="1"/>
  <c r="BS636" i="1"/>
  <c r="AG647" i="1"/>
  <c r="AV640" i="1" a="1"/>
  <c r="AV640" i="1" s="1"/>
  <c r="AW640" i="1" a="1"/>
  <c r="AW640" i="1" s="1"/>
  <c r="AY640" i="1" a="1"/>
  <c r="AY640" i="1" s="1"/>
  <c r="AX640" i="1" a="1"/>
  <c r="AX640" i="1" s="1"/>
  <c r="BN638" i="1"/>
  <c r="BO638" i="1" s="1"/>
  <c r="BJ638" i="1"/>
  <c r="AF639" i="1"/>
  <c r="AE639" i="1"/>
  <c r="AE640" i="1" s="1"/>
  <c r="BF647" i="1"/>
  <c r="BD647" i="1"/>
  <c r="BG647" i="1"/>
  <c r="BE647" i="1"/>
  <c r="BA647" i="1"/>
  <c r="AA647" i="1"/>
  <c r="S648" i="1"/>
  <c r="AB640" i="1"/>
  <c r="AC640" i="1" s="1"/>
  <c r="AD640" i="1" s="1"/>
  <c r="V640" i="1"/>
  <c r="AU640" i="1" s="1"/>
  <c r="T641" i="1"/>
  <c r="U640" i="1"/>
  <c r="AT640" i="1" s="1"/>
  <c r="BD648" i="1" l="1"/>
  <c r="BK639" i="1"/>
  <c r="BJ639" i="1"/>
  <c r="AX641" i="1" a="1"/>
  <c r="AX641" i="1" s="1"/>
  <c r="AV641" i="1" a="1"/>
  <c r="AV641" i="1" s="1"/>
  <c r="AW641" i="1" a="1"/>
  <c r="AW641" i="1" s="1"/>
  <c r="BN639" i="1"/>
  <c r="BO639" i="1" s="1"/>
  <c r="BP639" i="1" s="1"/>
  <c r="BS637" i="1"/>
  <c r="BH639" i="1" a="1"/>
  <c r="BH639" i="1" s="1"/>
  <c r="BP638" i="1"/>
  <c r="BJ640" i="1"/>
  <c r="BN640" i="1"/>
  <c r="BO640" i="1" s="1"/>
  <c r="AP640" i="1"/>
  <c r="AO640" i="1"/>
  <c r="AO641" i="1" s="1"/>
  <c r="AI640" i="1"/>
  <c r="AI641" i="1" s="1"/>
  <c r="AJ640" i="1"/>
  <c r="AJ641" i="1" s="1"/>
  <c r="AN640" i="1"/>
  <c r="BE648" i="1"/>
  <c r="BG648" i="1"/>
  <c r="BF648" i="1"/>
  <c r="AG648" i="1"/>
  <c r="AF640" i="1"/>
  <c r="BI639" i="1"/>
  <c r="BA648" i="1"/>
  <c r="AA648" i="1"/>
  <c r="S649" i="1"/>
  <c r="V641" i="1"/>
  <c r="AU641" i="1" s="1"/>
  <c r="T642" i="1"/>
  <c r="AB641" i="1"/>
  <c r="AC641" i="1" s="1"/>
  <c r="AE641" i="1" s="1"/>
  <c r="U641" i="1"/>
  <c r="AT641" i="1" s="1"/>
  <c r="AV642" i="1" l="1" a="1"/>
  <c r="AV642" i="1" s="1"/>
  <c r="AX642" i="1" a="1"/>
  <c r="AX642" i="1" s="1"/>
  <c r="AW642" i="1" a="1"/>
  <c r="AW642" i="1" s="1"/>
  <c r="AY642" i="1" a="1"/>
  <c r="AY642" i="1" s="1"/>
  <c r="AP641" i="1"/>
  <c r="BK640" i="1"/>
  <c r="BH640" i="1" a="1"/>
  <c r="BH640" i="1" s="1"/>
  <c r="AN641" i="1"/>
  <c r="AD641" i="1"/>
  <c r="AR641" i="1"/>
  <c r="AM641" i="1"/>
  <c r="AG649" i="1"/>
  <c r="BR649" i="1"/>
  <c r="BQ649" i="1" s="1"/>
  <c r="AF641" i="1"/>
  <c r="BI640" i="1"/>
  <c r="BP640" i="1" s="1"/>
  <c r="AM640" i="1"/>
  <c r="AR640" i="1"/>
  <c r="BA649" i="1"/>
  <c r="S650" i="1"/>
  <c r="AA649" i="1"/>
  <c r="AB642" i="1"/>
  <c r="AC642" i="1" s="1"/>
  <c r="T643" i="1"/>
  <c r="V642" i="1"/>
  <c r="AU642" i="1" s="1"/>
  <c r="U642" i="1"/>
  <c r="AT642" i="1" s="1"/>
  <c r="AG650" i="1" l="1"/>
  <c r="AD642" i="1"/>
  <c r="AF642" i="1"/>
  <c r="BI641" i="1"/>
  <c r="BN641" i="1"/>
  <c r="BO641" i="1" s="1"/>
  <c r="BP641" i="1" s="1"/>
  <c r="BJ641" i="1"/>
  <c r="BK641" i="1" s="1"/>
  <c r="BH641" i="1" s="1" a="1"/>
  <c r="BH641" i="1" s="1"/>
  <c r="BE650" i="1"/>
  <c r="BE651" i="1" s="1"/>
  <c r="BG650" i="1"/>
  <c r="BD650" i="1"/>
  <c r="BD651" i="1" s="1"/>
  <c r="BF650" i="1"/>
  <c r="BF651" i="1" s="1"/>
  <c r="AQ640" i="1"/>
  <c r="Y640" i="1" a="1"/>
  <c r="Y640" i="1" s="1"/>
  <c r="AH640" i="1" s="1"/>
  <c r="AQ641" i="1"/>
  <c r="Y641" i="1" a="1"/>
  <c r="Y641" i="1" s="1"/>
  <c r="AH641" i="1" s="1"/>
  <c r="BA650" i="1"/>
  <c r="AA650" i="1"/>
  <c r="S651" i="1"/>
  <c r="AB643" i="1"/>
  <c r="AC643" i="1" s="1"/>
  <c r="AD643" i="1" s="1"/>
  <c r="T644" i="1"/>
  <c r="U643" i="1"/>
  <c r="AT643" i="1" s="1"/>
  <c r="V643" i="1"/>
  <c r="AU643" i="1" s="1"/>
  <c r="BH642" i="1" l="1" a="1"/>
  <c r="BH642" i="1" s="1"/>
  <c r="AS641" i="1"/>
  <c r="BR641" i="1"/>
  <c r="BQ641" i="1" s="1"/>
  <c r="BT640" i="1"/>
  <c r="BS640" i="1" s="1"/>
  <c r="BT641" i="1"/>
  <c r="BS641" i="1" s="1"/>
  <c r="AS640" i="1"/>
  <c r="BR640" i="1"/>
  <c r="BQ640" i="1" s="1"/>
  <c r="AG651" i="1"/>
  <c r="BI642" i="1"/>
  <c r="BK642" i="1"/>
  <c r="BN642" i="1"/>
  <c r="BO642" i="1" s="1"/>
  <c r="BJ642" i="1"/>
  <c r="AE643" i="1"/>
  <c r="AE644" i="1" s="1"/>
  <c r="AF643" i="1"/>
  <c r="BG651" i="1"/>
  <c r="BG652" i="1" s="1"/>
  <c r="BA651" i="1"/>
  <c r="AA651" i="1"/>
  <c r="S652" i="1"/>
  <c r="BF652" i="1" s="1"/>
  <c r="AB644" i="1"/>
  <c r="AC644" i="1" s="1"/>
  <c r="AD644" i="1" s="1"/>
  <c r="T645" i="1"/>
  <c r="U644" i="1"/>
  <c r="AT644" i="1" s="1"/>
  <c r="V644" i="1"/>
  <c r="AU644" i="1" s="1"/>
  <c r="BP642" i="1" l="1"/>
  <c r="BN643" i="1"/>
  <c r="BO643" i="1" s="1"/>
  <c r="BJ643" i="1"/>
  <c r="BE652" i="1"/>
  <c r="BD652" i="1"/>
  <c r="AG652" i="1"/>
  <c r="BK643" i="1"/>
  <c r="BH643" i="1" a="1"/>
  <c r="BH643" i="1" s="1"/>
  <c r="BJ644" i="1"/>
  <c r="BN644" i="1"/>
  <c r="BO644" i="1" s="1"/>
  <c r="AO644" i="1"/>
  <c r="AO645" i="1" s="1"/>
  <c r="AP644" i="1"/>
  <c r="AP645" i="1" s="1"/>
  <c r="AJ644" i="1"/>
  <c r="AJ645" i="1" s="1"/>
  <c r="AI644" i="1"/>
  <c r="AN644" i="1"/>
  <c r="AF644" i="1"/>
  <c r="BI643" i="1"/>
  <c r="BA652" i="1"/>
  <c r="AA652" i="1"/>
  <c r="S653" i="1"/>
  <c r="AB645" i="1"/>
  <c r="AC645" i="1" s="1"/>
  <c r="AE645" i="1" s="1"/>
  <c r="T646" i="1"/>
  <c r="V645" i="1"/>
  <c r="AU645" i="1" s="1"/>
  <c r="U645" i="1"/>
  <c r="AT645" i="1" s="1"/>
  <c r="BK644" i="1" l="1"/>
  <c r="BP643" i="1"/>
  <c r="BH644" i="1" a="1"/>
  <c r="BH644" i="1" s="1"/>
  <c r="AI645" i="1"/>
  <c r="AN645" i="1"/>
  <c r="AR645" i="1" s="1"/>
  <c r="AD645" i="1"/>
  <c r="BF653" i="1"/>
  <c r="BG653" i="1"/>
  <c r="BR653" i="1"/>
  <c r="BQ653" i="1" s="1"/>
  <c r="AF645" i="1"/>
  <c r="BI644" i="1"/>
  <c r="BP644" i="1" s="1"/>
  <c r="AM644" i="1"/>
  <c r="AR644" i="1"/>
  <c r="BA653" i="1"/>
  <c r="AA653" i="1"/>
  <c r="S654" i="1"/>
  <c r="AB646" i="1"/>
  <c r="AC646" i="1" s="1"/>
  <c r="AD646" i="1" s="1"/>
  <c r="T647" i="1"/>
  <c r="U646" i="1"/>
  <c r="AT646" i="1" s="1"/>
  <c r="V646" i="1"/>
  <c r="AU646" i="1" s="1"/>
  <c r="BG654" i="1" l="1"/>
  <c r="AM645" i="1"/>
  <c r="AE646" i="1"/>
  <c r="AE647" i="1" s="1"/>
  <c r="BJ646" i="1"/>
  <c r="BN646" i="1"/>
  <c r="BO646" i="1" s="1"/>
  <c r="BN645" i="1"/>
  <c r="BO645" i="1" s="1"/>
  <c r="BJ645" i="1"/>
  <c r="BK645" i="1" s="1"/>
  <c r="BH645" i="1" s="1" a="1"/>
  <c r="BH645" i="1" s="1"/>
  <c r="BF654" i="1"/>
  <c r="AG654" i="1"/>
  <c r="BE654" i="1"/>
  <c r="BD654" i="1"/>
  <c r="AQ644" i="1"/>
  <c r="Y644" i="1" a="1"/>
  <c r="Y644" i="1" s="1"/>
  <c r="AH644" i="1" s="1"/>
  <c r="AF646" i="1"/>
  <c r="BI645" i="1"/>
  <c r="AQ645" i="1"/>
  <c r="Y645" i="1" a="1"/>
  <c r="Y645" i="1" s="1"/>
  <c r="AH645" i="1" s="1"/>
  <c r="BA654" i="1"/>
  <c r="AA654" i="1"/>
  <c r="S655" i="1"/>
  <c r="AB647" i="1"/>
  <c r="AC647" i="1" s="1"/>
  <c r="AD647" i="1" s="1"/>
  <c r="T648" i="1"/>
  <c r="V647" i="1"/>
  <c r="AU647" i="1" s="1"/>
  <c r="U647" i="1"/>
  <c r="AT647" i="1" s="1"/>
  <c r="BH646" i="1" l="1" a="1"/>
  <c r="BH646" i="1" s="1"/>
  <c r="BH647" i="1" s="1" a="1"/>
  <c r="BH647" i="1" s="1"/>
  <c r="BT645" i="1"/>
  <c r="AS645" i="1"/>
  <c r="BR645" i="1"/>
  <c r="BQ645" i="1" s="1"/>
  <c r="BK646" i="1"/>
  <c r="AS644" i="1"/>
  <c r="BR644" i="1"/>
  <c r="BQ644" i="1" s="1"/>
  <c r="BT644" i="1"/>
  <c r="BP645" i="1"/>
  <c r="BN647" i="1"/>
  <c r="BO647" i="1" s="1"/>
  <c r="BJ647" i="1"/>
  <c r="AO647" i="1"/>
  <c r="AP647" i="1"/>
  <c r="AI647" i="1"/>
  <c r="AJ647" i="1"/>
  <c r="AJ648" i="1" s="1"/>
  <c r="AN647" i="1"/>
  <c r="AG655" i="1"/>
  <c r="BR655" i="1"/>
  <c r="BQ655" i="1" s="1"/>
  <c r="AF647" i="1"/>
  <c r="BK647" i="1" s="1"/>
  <c r="BI646" i="1"/>
  <c r="BP646" i="1" s="1"/>
  <c r="BA655" i="1"/>
  <c r="AA655" i="1"/>
  <c r="S656" i="1"/>
  <c r="T649" i="1"/>
  <c r="U648" i="1"/>
  <c r="AT648" i="1" s="1"/>
  <c r="V648" i="1"/>
  <c r="AU648" i="1" s="1"/>
  <c r="AB648" i="1"/>
  <c r="AC648" i="1" s="1"/>
  <c r="AE648" i="1" s="1"/>
  <c r="AI648" i="1" l="1"/>
  <c r="AP648" i="1"/>
  <c r="BS644" i="1"/>
  <c r="AO648" i="1"/>
  <c r="BS645" i="1"/>
  <c r="AN648" i="1"/>
  <c r="AR648" i="1" s="1"/>
  <c r="AD648" i="1"/>
  <c r="AM648" i="1"/>
  <c r="BE656" i="1"/>
  <c r="BF656" i="1"/>
  <c r="BG656" i="1"/>
  <c r="BG657" i="1" s="1"/>
  <c r="AG656" i="1"/>
  <c r="AG657" i="1" s="1"/>
  <c r="BD656" i="1"/>
  <c r="AF648" i="1"/>
  <c r="BI647" i="1"/>
  <c r="BP647" i="1" s="1"/>
  <c r="AR647" i="1"/>
  <c r="AM647" i="1"/>
  <c r="BA656" i="1"/>
  <c r="AA656" i="1"/>
  <c r="S657" i="1"/>
  <c r="AB649" i="1"/>
  <c r="AC649" i="1" s="1"/>
  <c r="T650" i="1"/>
  <c r="V649" i="1"/>
  <c r="AU649" i="1" s="1"/>
  <c r="U649" i="1"/>
  <c r="AT649" i="1" s="1"/>
  <c r="AD649" i="1" l="1"/>
  <c r="BE657" i="1"/>
  <c r="AE649" i="1"/>
  <c r="BN649" i="1"/>
  <c r="BO649" i="1" s="1"/>
  <c r="BJ649" i="1"/>
  <c r="BJ648" i="1"/>
  <c r="BN648" i="1"/>
  <c r="BO648" i="1" s="1"/>
  <c r="BP648" i="1" s="1"/>
  <c r="BD657" i="1"/>
  <c r="BF657" i="1"/>
  <c r="AQ647" i="1"/>
  <c r="Y647" i="1" a="1"/>
  <c r="Y647" i="1" s="1"/>
  <c r="AH647" i="1" s="1"/>
  <c r="BR647" i="1" s="1"/>
  <c r="AF649" i="1"/>
  <c r="BK649" i="1" s="1"/>
  <c r="BI648" i="1"/>
  <c r="AQ648" i="1"/>
  <c r="Y648" i="1" a="1"/>
  <c r="Y648" i="1" s="1"/>
  <c r="AH648" i="1" s="1"/>
  <c r="BA657" i="1"/>
  <c r="AA657" i="1"/>
  <c r="S658" i="1"/>
  <c r="BR658" i="1" s="1"/>
  <c r="BQ658" i="1" s="1"/>
  <c r="AB650" i="1"/>
  <c r="AC650" i="1" s="1"/>
  <c r="AD650" i="1" s="1"/>
  <c r="T651" i="1"/>
  <c r="V650" i="1"/>
  <c r="AU650" i="1" s="1"/>
  <c r="U650" i="1"/>
  <c r="AT650" i="1" s="1"/>
  <c r="BT647" i="1" l="1"/>
  <c r="BH648" i="1" a="1"/>
  <c r="BH648" i="1" s="1"/>
  <c r="BH649" i="1" s="1" a="1"/>
  <c r="BH649" i="1" s="1"/>
  <c r="AE650" i="1"/>
  <c r="AS648" i="1"/>
  <c r="BR648" i="1"/>
  <c r="BQ648" i="1" s="1"/>
  <c r="BK648" i="1"/>
  <c r="BT648" i="1"/>
  <c r="BN650" i="1"/>
  <c r="BO650" i="1" s="1"/>
  <c r="BJ650" i="1"/>
  <c r="AO650" i="1"/>
  <c r="AP650" i="1"/>
  <c r="AP651" i="1" s="1"/>
  <c r="AS647" i="1"/>
  <c r="BQ647" i="1"/>
  <c r="AJ650" i="1"/>
  <c r="AJ651" i="1" s="1"/>
  <c r="AI650" i="1"/>
  <c r="AI651" i="1" s="1"/>
  <c r="AN650" i="1"/>
  <c r="AF650" i="1"/>
  <c r="BI649" i="1"/>
  <c r="BP649" i="1" s="1"/>
  <c r="BA658" i="1"/>
  <c r="AA658" i="1"/>
  <c r="S659" i="1"/>
  <c r="AB651" i="1"/>
  <c r="AC651" i="1" s="1"/>
  <c r="T652" i="1"/>
  <c r="U651" i="1"/>
  <c r="AT651" i="1" s="1"/>
  <c r="V651" i="1"/>
  <c r="AU651" i="1" s="1"/>
  <c r="X652" i="1" l="1" a="1"/>
  <c r="X652" i="1" s="1"/>
  <c r="W652" i="1" s="1" a="1"/>
  <c r="W652" i="1" s="1"/>
  <c r="AL652" i="1" s="1"/>
  <c r="AP652" i="1" s="1"/>
  <c r="AO651" i="1"/>
  <c r="BS648" i="1"/>
  <c r="BK650" i="1"/>
  <c r="AE651" i="1"/>
  <c r="AE652" i="1" s="1"/>
  <c r="BH650" i="1" a="1"/>
  <c r="BH650" i="1" s="1"/>
  <c r="BS647" i="1"/>
  <c r="AN651" i="1"/>
  <c r="AD651" i="1"/>
  <c r="AM651" i="1"/>
  <c r="AR651" i="1"/>
  <c r="BF659" i="1"/>
  <c r="BG659" i="1"/>
  <c r="BE659" i="1"/>
  <c r="AG659" i="1"/>
  <c r="BD659" i="1"/>
  <c r="AF651" i="1"/>
  <c r="BI650" i="1"/>
  <c r="BP650" i="1" s="1"/>
  <c r="AM650" i="1"/>
  <c r="AR650" i="1"/>
  <c r="BA659" i="1"/>
  <c r="AA659" i="1"/>
  <c r="S660" i="1"/>
  <c r="AB652" i="1"/>
  <c r="AC652" i="1" s="1"/>
  <c r="AD652" i="1" s="1"/>
  <c r="T653" i="1"/>
  <c r="U652" i="1"/>
  <c r="AT652" i="1" s="1"/>
  <c r="V652" i="1"/>
  <c r="AU652" i="1" s="1"/>
  <c r="AW653" i="1" l="1" a="1"/>
  <c r="AW653" i="1" s="1"/>
  <c r="AV653" i="1" a="1"/>
  <c r="AV653" i="1" s="1"/>
  <c r="AX653" i="1" a="1"/>
  <c r="AX653" i="1" s="1"/>
  <c r="AK652" i="1"/>
  <c r="AO652" i="1" s="1"/>
  <c r="AN652" i="1"/>
  <c r="AM652" i="1" s="1"/>
  <c r="AJ652" i="1"/>
  <c r="AI652" i="1"/>
  <c r="BJ652" i="1"/>
  <c r="BN652" i="1"/>
  <c r="BO652" i="1" s="1"/>
  <c r="BJ651" i="1"/>
  <c r="BK651" i="1" s="1"/>
  <c r="BH651" i="1" s="1" a="1"/>
  <c r="BH651" i="1" s="1"/>
  <c r="BN651" i="1"/>
  <c r="BO651" i="1" s="1"/>
  <c r="BP651" i="1" s="1"/>
  <c r="AG660" i="1"/>
  <c r="AG661" i="1" s="1"/>
  <c r="BR660" i="1"/>
  <c r="BQ660" i="1" s="1"/>
  <c r="AQ650" i="1"/>
  <c r="Y650" i="1" a="1"/>
  <c r="Y650" i="1" s="1"/>
  <c r="AH650" i="1" s="1"/>
  <c r="AF652" i="1"/>
  <c r="BI651" i="1"/>
  <c r="AQ651" i="1"/>
  <c r="Y651" i="1" a="1"/>
  <c r="Y651" i="1" s="1"/>
  <c r="AH651" i="1" s="1"/>
  <c r="BA660" i="1"/>
  <c r="AA660" i="1"/>
  <c r="S661" i="1"/>
  <c r="AB653" i="1"/>
  <c r="AC653" i="1" s="1"/>
  <c r="U653" i="1"/>
  <c r="AT653" i="1" s="1"/>
  <c r="T654" i="1"/>
  <c r="V653" i="1"/>
  <c r="AU653" i="1" s="1"/>
  <c r="BH652" i="1" l="1" a="1"/>
  <c r="BH652" i="1" s="1"/>
  <c r="AS650" i="1"/>
  <c r="BR650" i="1"/>
  <c r="BQ650" i="1" s="1"/>
  <c r="BT650" i="1"/>
  <c r="AR652" i="1"/>
  <c r="AS651" i="1"/>
  <c r="BR651" i="1"/>
  <c r="BQ651" i="1" s="1"/>
  <c r="BT651" i="1"/>
  <c r="AW654" i="1" a="1"/>
  <c r="AW654" i="1" s="1"/>
  <c r="AV654" i="1" a="1"/>
  <c r="AV654" i="1" s="1"/>
  <c r="AX654" i="1" a="1"/>
  <c r="AX654" i="1" s="1"/>
  <c r="AD653" i="1"/>
  <c r="AF653" i="1"/>
  <c r="BI652" i="1"/>
  <c r="BP652" i="1" s="1"/>
  <c r="BK652" i="1"/>
  <c r="BF661" i="1"/>
  <c r="BE661" i="1"/>
  <c r="BG661" i="1"/>
  <c r="BD661" i="1"/>
  <c r="AQ652" i="1"/>
  <c r="Y652" i="1" a="1"/>
  <c r="Y652" i="1" s="1"/>
  <c r="AH652" i="1" s="1"/>
  <c r="BA661" i="1"/>
  <c r="AA661" i="1"/>
  <c r="S662" i="1"/>
  <c r="AB654" i="1"/>
  <c r="AC654" i="1" s="1"/>
  <c r="T655" i="1"/>
  <c r="V654" i="1"/>
  <c r="AU654" i="1" s="1"/>
  <c r="U654" i="1"/>
  <c r="AT654" i="1" s="1"/>
  <c r="AW655" i="1" l="1" a="1"/>
  <c r="AW655" i="1" s="1"/>
  <c r="AV655" i="1" a="1"/>
  <c r="AV655" i="1" s="1"/>
  <c r="AX655" i="1" a="1"/>
  <c r="AX655" i="1" s="1"/>
  <c r="BS651" i="1"/>
  <c r="BS650" i="1"/>
  <c r="AS652" i="1"/>
  <c r="BR652" i="1"/>
  <c r="BQ652" i="1" s="1"/>
  <c r="BT652" i="1"/>
  <c r="BH653" i="1" a="1"/>
  <c r="BH653" i="1" s="1"/>
  <c r="AD654" i="1"/>
  <c r="AF654" i="1"/>
  <c r="BK653" i="1"/>
  <c r="BI653" i="1"/>
  <c r="BJ653" i="1"/>
  <c r="BN653" i="1"/>
  <c r="BO653" i="1" s="1"/>
  <c r="AO654" i="1"/>
  <c r="AP654" i="1"/>
  <c r="AG662" i="1"/>
  <c r="AG663" i="1" s="1"/>
  <c r="AJ654" i="1"/>
  <c r="AI654" i="1"/>
  <c r="AE654" i="1"/>
  <c r="AN654" i="1"/>
  <c r="BA662" i="1"/>
  <c r="AA662" i="1"/>
  <c r="S663" i="1"/>
  <c r="T656" i="1"/>
  <c r="V655" i="1"/>
  <c r="AU655" i="1" s="1"/>
  <c r="AB655" i="1"/>
  <c r="AC655" i="1" s="1"/>
  <c r="AE655" i="1" s="1"/>
  <c r="U655" i="1"/>
  <c r="AT655" i="1" s="1"/>
  <c r="BP653" i="1" l="1"/>
  <c r="AV656" i="1" a="1"/>
  <c r="AV656" i="1" s="1"/>
  <c r="AW656" i="1" a="1"/>
  <c r="AW656" i="1" s="1"/>
  <c r="AX656" i="1" a="1"/>
  <c r="AX656" i="1" s="1"/>
  <c r="AY656" i="1" a="1"/>
  <c r="AY656" i="1" s="1"/>
  <c r="BH654" i="1" a="1"/>
  <c r="BH654" i="1" s="1"/>
  <c r="BS652" i="1"/>
  <c r="AF655" i="1"/>
  <c r="AD655" i="1"/>
  <c r="BK654" i="1"/>
  <c r="BI654" i="1"/>
  <c r="BJ654" i="1"/>
  <c r="BN654" i="1"/>
  <c r="BO654" i="1" s="1"/>
  <c r="BP654" i="1" s="1"/>
  <c r="BI655" i="1"/>
  <c r="BD663" i="1"/>
  <c r="BE663" i="1"/>
  <c r="BF663" i="1"/>
  <c r="BG663" i="1"/>
  <c r="AR654" i="1"/>
  <c r="AM654" i="1"/>
  <c r="BA663" i="1"/>
  <c r="AA663" i="1"/>
  <c r="S664" i="1"/>
  <c r="T657" i="1"/>
  <c r="U656" i="1"/>
  <c r="AT656" i="1" s="1"/>
  <c r="AB656" i="1"/>
  <c r="AC656" i="1" s="1"/>
  <c r="AD656" i="1" s="1"/>
  <c r="V656" i="1"/>
  <c r="AU656" i="1" s="1"/>
  <c r="AF656" i="1" l="1"/>
  <c r="AX657" i="1" a="1"/>
  <c r="AX657" i="1" s="1"/>
  <c r="AW657" i="1" a="1"/>
  <c r="AW657" i="1" s="1"/>
  <c r="AE656" i="1"/>
  <c r="BJ656" i="1" s="1"/>
  <c r="BJ655" i="1"/>
  <c r="BK655" i="1" s="1"/>
  <c r="BH655" i="1" s="1" a="1"/>
  <c r="BH655" i="1" s="1"/>
  <c r="BN655" i="1"/>
  <c r="BO655" i="1" s="1"/>
  <c r="BP655" i="1" s="1"/>
  <c r="AO656" i="1"/>
  <c r="AP656" i="1"/>
  <c r="AI656" i="1"/>
  <c r="AJ656" i="1"/>
  <c r="AN656" i="1"/>
  <c r="BG664" i="1"/>
  <c r="AG664" i="1"/>
  <c r="BF664" i="1"/>
  <c r="BR664" i="1"/>
  <c r="BQ664" i="1" s="1"/>
  <c r="AQ654" i="1"/>
  <c r="Y654" i="1" a="1"/>
  <c r="Y654" i="1" s="1"/>
  <c r="AH654" i="1" s="1"/>
  <c r="BI656" i="1"/>
  <c r="BA664" i="1"/>
  <c r="AA664" i="1"/>
  <c r="S665" i="1"/>
  <c r="AB657" i="1"/>
  <c r="AC657" i="1" s="1"/>
  <c r="AF657" i="1" s="1"/>
  <c r="T658" i="1"/>
  <c r="U657" i="1"/>
  <c r="AT657" i="1" s="1"/>
  <c r="V657" i="1"/>
  <c r="AU657" i="1" s="1"/>
  <c r="BH656" i="1" l="1" a="1"/>
  <c r="BH656" i="1" s="1"/>
  <c r="AV658" i="1" a="1"/>
  <c r="AV658" i="1" s="1"/>
  <c r="AY658" i="1" a="1"/>
  <c r="AY658" i="1" s="1"/>
  <c r="AW658" i="1" a="1"/>
  <c r="AW658" i="1" s="1"/>
  <c r="AX658" i="1" a="1"/>
  <c r="AX658" i="1" s="1"/>
  <c r="AJ657" i="1"/>
  <c r="AI657" i="1"/>
  <c r="AP657" i="1"/>
  <c r="AO657" i="1"/>
  <c r="BT654" i="1"/>
  <c r="BS654" i="1" s="1"/>
  <c r="BN656" i="1"/>
  <c r="BO656" i="1" s="1"/>
  <c r="BP656" i="1" s="1"/>
  <c r="AS654" i="1"/>
  <c r="BR654" i="1"/>
  <c r="BQ654" i="1" s="1"/>
  <c r="AE657" i="1"/>
  <c r="BK656" i="1"/>
  <c r="AN657" i="1"/>
  <c r="AM657" i="1" s="1"/>
  <c r="AD657" i="1"/>
  <c r="BI657" i="1"/>
  <c r="AG665" i="1"/>
  <c r="BR665" i="1"/>
  <c r="BQ665" i="1" s="1"/>
  <c r="AR656" i="1"/>
  <c r="AM656" i="1"/>
  <c r="BA665" i="1"/>
  <c r="AA665" i="1"/>
  <c r="S666" i="1"/>
  <c r="U658" i="1"/>
  <c r="AT658" i="1" s="1"/>
  <c r="T659" i="1"/>
  <c r="AB658" i="1"/>
  <c r="AC658" i="1" s="1"/>
  <c r="V658" i="1"/>
  <c r="AU658" i="1" s="1"/>
  <c r="AR657" i="1" l="1"/>
  <c r="AX659" i="1" a="1"/>
  <c r="AX659" i="1" s="1"/>
  <c r="AY659" i="1" a="1"/>
  <c r="AY659" i="1" s="1"/>
  <c r="AV659" i="1" a="1"/>
  <c r="AV659" i="1" s="1"/>
  <c r="AW659" i="1" a="1"/>
  <c r="AW659" i="1" s="1"/>
  <c r="BH657" i="1" a="1"/>
  <c r="BH657" i="1" s="1"/>
  <c r="AD658" i="1"/>
  <c r="AF658" i="1"/>
  <c r="BJ657" i="1"/>
  <c r="BK657" i="1" s="1"/>
  <c r="BN657" i="1"/>
  <c r="BO657" i="1" s="1"/>
  <c r="BP657" i="1" s="1"/>
  <c r="BF666" i="1"/>
  <c r="BG666" i="1"/>
  <c r="BD666" i="1"/>
  <c r="BE666" i="1"/>
  <c r="AG666" i="1"/>
  <c r="AQ656" i="1"/>
  <c r="Y656" i="1" a="1"/>
  <c r="Y656" i="1" s="1"/>
  <c r="AH656" i="1" s="1"/>
  <c r="AQ657" i="1"/>
  <c r="Y657" i="1" a="1"/>
  <c r="Y657" i="1" s="1"/>
  <c r="AH657" i="1" s="1"/>
  <c r="BA666" i="1"/>
  <c r="AA666" i="1"/>
  <c r="S667" i="1"/>
  <c r="AB659" i="1"/>
  <c r="AC659" i="1" s="1"/>
  <c r="T660" i="1"/>
  <c r="U659" i="1"/>
  <c r="AT659" i="1" s="1"/>
  <c r="V659" i="1"/>
  <c r="AU659" i="1" s="1"/>
  <c r="AS656" i="1" l="1"/>
  <c r="BR656" i="1"/>
  <c r="BQ656" i="1" s="1"/>
  <c r="BH658" i="1" a="1"/>
  <c r="BH658" i="1" s="1"/>
  <c r="BT656" i="1"/>
  <c r="BS656" i="1" s="1"/>
  <c r="AS657" i="1"/>
  <c r="BR657" i="1"/>
  <c r="BQ657" i="1" s="1"/>
  <c r="BT657" i="1"/>
  <c r="BS657" i="1" s="1"/>
  <c r="AD659" i="1"/>
  <c r="AF659" i="1"/>
  <c r="BK658" i="1"/>
  <c r="BI658" i="1"/>
  <c r="BP658" i="1" s="1"/>
  <c r="BN658" i="1"/>
  <c r="BO658" i="1" s="1"/>
  <c r="BJ658" i="1"/>
  <c r="AP659" i="1"/>
  <c r="AO659" i="1"/>
  <c r="AJ659" i="1"/>
  <c r="AI659" i="1"/>
  <c r="AE659" i="1"/>
  <c r="AN659" i="1"/>
  <c r="AG667" i="1"/>
  <c r="BA667" i="1"/>
  <c r="AA667" i="1"/>
  <c r="S668" i="1"/>
  <c r="T661" i="1"/>
  <c r="V660" i="1"/>
  <c r="AU660" i="1" s="1"/>
  <c r="AB660" i="1"/>
  <c r="AC660" i="1" s="1"/>
  <c r="U660" i="1"/>
  <c r="AT660" i="1" s="1"/>
  <c r="AD660" i="1" l="1"/>
  <c r="BH659" i="1" a="1"/>
  <c r="BH659" i="1" s="1"/>
  <c r="BI659" i="1"/>
  <c r="BK659" i="1"/>
  <c r="BN659" i="1"/>
  <c r="BO659" i="1" s="1"/>
  <c r="BJ659" i="1"/>
  <c r="AE660" i="1"/>
  <c r="AE661" i="1" s="1"/>
  <c r="AF660" i="1"/>
  <c r="BE668" i="1"/>
  <c r="BD668" i="1"/>
  <c r="AG668" i="1"/>
  <c r="BG668" i="1"/>
  <c r="BF668" i="1"/>
  <c r="AR659" i="1"/>
  <c r="AM659" i="1"/>
  <c r="BA668" i="1"/>
  <c r="AA668" i="1"/>
  <c r="S669" i="1"/>
  <c r="T662" i="1"/>
  <c r="U661" i="1"/>
  <c r="AT661" i="1" s="1"/>
  <c r="AB661" i="1"/>
  <c r="AC661" i="1" s="1"/>
  <c r="AD661" i="1" s="1"/>
  <c r="V661" i="1"/>
  <c r="AU661" i="1" s="1"/>
  <c r="BJ660" i="1" l="1"/>
  <c r="BN660" i="1"/>
  <c r="BO660" i="1" s="1"/>
  <c r="BH660" i="1" a="1"/>
  <c r="BH660" i="1" s="1"/>
  <c r="X662" i="1" a="1"/>
  <c r="X662" i="1" s="1"/>
  <c r="W662" i="1" s="1" a="1"/>
  <c r="W662" i="1" s="1"/>
  <c r="BP659" i="1"/>
  <c r="BJ661" i="1"/>
  <c r="BN661" i="1"/>
  <c r="BO661" i="1" s="1"/>
  <c r="BI660" i="1"/>
  <c r="BK660" i="1"/>
  <c r="AO661" i="1"/>
  <c r="AP661" i="1"/>
  <c r="AI661" i="1"/>
  <c r="AJ661" i="1"/>
  <c r="AF661" i="1"/>
  <c r="AN661" i="1"/>
  <c r="BF669" i="1"/>
  <c r="AG669" i="1"/>
  <c r="BR669" i="1"/>
  <c r="BQ669" i="1" s="1"/>
  <c r="AQ659" i="1"/>
  <c r="Y659" i="1" a="1"/>
  <c r="Y659" i="1" s="1"/>
  <c r="AH659" i="1" s="1"/>
  <c r="BA669" i="1"/>
  <c r="AA669" i="1"/>
  <c r="S670" i="1"/>
  <c r="T663" i="1"/>
  <c r="U662" i="1"/>
  <c r="AT662" i="1" s="1"/>
  <c r="V662" i="1"/>
  <c r="AU662" i="1" s="1"/>
  <c r="AB662" i="1"/>
  <c r="AC662" i="1" s="1"/>
  <c r="AE662" i="1" s="1"/>
  <c r="AL662" i="1" l="1"/>
  <c r="AP662" i="1" s="1"/>
  <c r="AK662" i="1"/>
  <c r="AO662" i="1" s="1"/>
  <c r="AN662" i="1"/>
  <c r="X663" i="1" a="1"/>
  <c r="X663" i="1" s="1"/>
  <c r="W663" i="1" s="1" a="1"/>
  <c r="W663" i="1" s="1"/>
  <c r="AL663" i="1" s="1"/>
  <c r="BT659" i="1"/>
  <c r="BS659" i="1" s="1"/>
  <c r="BH661" i="1" a="1"/>
  <c r="BH661" i="1" s="1"/>
  <c r="BP661" i="1"/>
  <c r="BP660" i="1"/>
  <c r="AS659" i="1"/>
  <c r="BR659" i="1"/>
  <c r="BQ659" i="1" s="1"/>
  <c r="AF662" i="1"/>
  <c r="AD662" i="1"/>
  <c r="BI661" i="1"/>
  <c r="BK661" i="1"/>
  <c r="BI662" i="1"/>
  <c r="BR670" i="1"/>
  <c r="BQ670" i="1" s="1"/>
  <c r="AR662" i="1"/>
  <c r="AM662" i="1"/>
  <c r="AM661" i="1"/>
  <c r="AR661" i="1"/>
  <c r="BA670" i="1"/>
  <c r="AA670" i="1"/>
  <c r="S671" i="1"/>
  <c r="AB663" i="1"/>
  <c r="AC663" i="1" s="1"/>
  <c r="AD663" i="1" s="1"/>
  <c r="T664" i="1"/>
  <c r="V663" i="1"/>
  <c r="AU663" i="1" s="1"/>
  <c r="U663" i="1"/>
  <c r="AT663" i="1" s="1"/>
  <c r="BH662" i="1" l="1" a="1"/>
  <c r="BH662" i="1" s="1"/>
  <c r="AK663" i="1"/>
  <c r="AY664" i="1" a="1"/>
  <c r="AY664" i="1" s="1"/>
  <c r="AV664" i="1" a="1"/>
  <c r="AV664" i="1" s="1"/>
  <c r="AW664" i="1" a="1"/>
  <c r="AW664" i="1" s="1"/>
  <c r="AX664" i="1" a="1"/>
  <c r="AX664" i="1" s="1"/>
  <c r="AF663" i="1"/>
  <c r="BK663" i="1" s="1"/>
  <c r="AO663" i="1"/>
  <c r="AN663" i="1"/>
  <c r="AM663" i="1" s="1"/>
  <c r="AP663" i="1"/>
  <c r="BK662" i="1"/>
  <c r="AE663" i="1"/>
  <c r="BJ663" i="1"/>
  <c r="BN663" i="1"/>
  <c r="BO663" i="1" s="1"/>
  <c r="BP663" i="1" s="1"/>
  <c r="BI663" i="1"/>
  <c r="BN662" i="1"/>
  <c r="BO662" i="1" s="1"/>
  <c r="BP662" i="1" s="1"/>
  <c r="BJ662" i="1"/>
  <c r="AI663" i="1"/>
  <c r="AJ663" i="1"/>
  <c r="BG671" i="1"/>
  <c r="BF671" i="1"/>
  <c r="BD671" i="1"/>
  <c r="AG671" i="1"/>
  <c r="BE671" i="1"/>
  <c r="AQ661" i="1"/>
  <c r="Y661" i="1" a="1"/>
  <c r="Y661" i="1" s="1"/>
  <c r="AH661" i="1" s="1"/>
  <c r="AQ662" i="1"/>
  <c r="Y662" i="1" a="1"/>
  <c r="Y662" i="1" s="1"/>
  <c r="AH662" i="1" s="1"/>
  <c r="BA671" i="1"/>
  <c r="AA671" i="1"/>
  <c r="S672" i="1"/>
  <c r="AB664" i="1"/>
  <c r="AC664" i="1" s="1"/>
  <c r="V664" i="1"/>
  <c r="AU664" i="1" s="1"/>
  <c r="T665" i="1"/>
  <c r="U664" i="1"/>
  <c r="AT664" i="1" s="1"/>
  <c r="BT661" i="1" l="1"/>
  <c r="AR663" i="1"/>
  <c r="AS662" i="1"/>
  <c r="BR662" i="1"/>
  <c r="BQ662" i="1" s="1"/>
  <c r="BT662" i="1"/>
  <c r="AS661" i="1"/>
  <c r="BR661" i="1"/>
  <c r="BQ661" i="1" s="1"/>
  <c r="BH663" i="1" a="1"/>
  <c r="BH663" i="1" s="1"/>
  <c r="AF664" i="1"/>
  <c r="AD664" i="1"/>
  <c r="AG672" i="1"/>
  <c r="BR672" i="1"/>
  <c r="BQ672" i="1" s="1"/>
  <c r="AQ663" i="1"/>
  <c r="Y663" i="1" a="1"/>
  <c r="Y663" i="1" s="1"/>
  <c r="AH663" i="1" s="1"/>
  <c r="BA672" i="1"/>
  <c r="S673" i="1"/>
  <c r="AA672" i="1"/>
  <c r="AB665" i="1"/>
  <c r="AC665" i="1" s="1"/>
  <c r="AE665" i="1" s="1"/>
  <c r="T666" i="1"/>
  <c r="V665" i="1"/>
  <c r="AU665" i="1" s="1"/>
  <c r="U665" i="1"/>
  <c r="AT665" i="1" s="1"/>
  <c r="BH664" i="1" l="1" a="1"/>
  <c r="BH664" i="1" s="1"/>
  <c r="BS662" i="1"/>
  <c r="AS663" i="1"/>
  <c r="BR663" i="1"/>
  <c r="BQ663" i="1" s="1"/>
  <c r="BT663" i="1"/>
  <c r="BS661" i="1"/>
  <c r="AF665" i="1"/>
  <c r="AD665" i="1"/>
  <c r="BJ664" i="1"/>
  <c r="BN664" i="1"/>
  <c r="BO664" i="1" s="1"/>
  <c r="BI664" i="1"/>
  <c r="BK664" i="1"/>
  <c r="BD673" i="1"/>
  <c r="BG673" i="1"/>
  <c r="AG673" i="1"/>
  <c r="BE673" i="1"/>
  <c r="BF673" i="1"/>
  <c r="BA673" i="1"/>
  <c r="AA673" i="1"/>
  <c r="S674" i="1"/>
  <c r="AB666" i="1"/>
  <c r="AC666" i="1" s="1"/>
  <c r="T667" i="1"/>
  <c r="U666" i="1"/>
  <c r="AT666" i="1" s="1"/>
  <c r="V666" i="1"/>
  <c r="AU666" i="1" s="1"/>
  <c r="BS663" i="1" l="1"/>
  <c r="BI665" i="1"/>
  <c r="AF666" i="1"/>
  <c r="BP664" i="1"/>
  <c r="X667" i="1" a="1"/>
  <c r="X667" i="1" s="1"/>
  <c r="W667" i="1" s="1" a="1"/>
  <c r="W667" i="1" s="1"/>
  <c r="AN667" i="1" s="1"/>
  <c r="AD666" i="1"/>
  <c r="BJ666" i="1" s="1"/>
  <c r="AE666" i="1"/>
  <c r="AE667" i="1" s="1"/>
  <c r="BN666" i="1"/>
  <c r="BO666" i="1" s="1"/>
  <c r="BP666" i="1" s="1"/>
  <c r="BN665" i="1"/>
  <c r="BO665" i="1" s="1"/>
  <c r="BP665" i="1" s="1"/>
  <c r="BJ665" i="1"/>
  <c r="BK665" i="1" s="1"/>
  <c r="BH665" i="1" s="1" a="1"/>
  <c r="BH665" i="1" s="1"/>
  <c r="AO666" i="1"/>
  <c r="AP666" i="1"/>
  <c r="AG674" i="1"/>
  <c r="AG675" i="1" s="1"/>
  <c r="AI666" i="1"/>
  <c r="AJ666" i="1"/>
  <c r="AN666" i="1"/>
  <c r="BI666" i="1"/>
  <c r="BA674" i="1"/>
  <c r="S675" i="1"/>
  <c r="AA674" i="1"/>
  <c r="U667" i="1"/>
  <c r="AT667" i="1" s="1"/>
  <c r="V667" i="1"/>
  <c r="AU667" i="1" s="1"/>
  <c r="AB667" i="1"/>
  <c r="AC667" i="1" s="1"/>
  <c r="T668" i="1"/>
  <c r="BH666" i="1" l="1" a="1"/>
  <c r="BH666" i="1" s="1"/>
  <c r="AK667" i="1"/>
  <c r="AO667" i="1" s="1"/>
  <c r="X668" i="1" a="1"/>
  <c r="X668" i="1" s="1"/>
  <c r="W668" i="1" s="1" a="1"/>
  <c r="W668" i="1" s="1"/>
  <c r="AL668" i="1" s="1"/>
  <c r="AD667" i="1"/>
  <c r="BJ667" i="1" s="1"/>
  <c r="AF667" i="1"/>
  <c r="BK666" i="1"/>
  <c r="BD675" i="1"/>
  <c r="BG675" i="1"/>
  <c r="BE675" i="1"/>
  <c r="BF675" i="1"/>
  <c r="BI667" i="1"/>
  <c r="AR666" i="1"/>
  <c r="AM666" i="1"/>
  <c r="AM667" i="1"/>
  <c r="AR667" i="1"/>
  <c r="BA675" i="1"/>
  <c r="AA675" i="1"/>
  <c r="S676" i="1"/>
  <c r="V668" i="1"/>
  <c r="AU668" i="1" s="1"/>
  <c r="T669" i="1"/>
  <c r="AB668" i="1"/>
  <c r="AC668" i="1" s="1"/>
  <c r="AD668" i="1" s="1"/>
  <c r="U668" i="1"/>
  <c r="AT668" i="1" s="1"/>
  <c r="AN668" i="1" l="1"/>
  <c r="AW669" i="1" a="1"/>
  <c r="AW669" i="1" s="1"/>
  <c r="AY669" i="1" a="1"/>
  <c r="AY669" i="1" s="1"/>
  <c r="AK668" i="1"/>
  <c r="AO668" i="1" s="1"/>
  <c r="BN667" i="1"/>
  <c r="BO667" i="1" s="1"/>
  <c r="BP667" i="1" s="1"/>
  <c r="AF668" i="1"/>
  <c r="BI668" i="1" s="1"/>
  <c r="BK667" i="1"/>
  <c r="AE668" i="1"/>
  <c r="BN668" i="1" s="1"/>
  <c r="BO668" i="1" s="1"/>
  <c r="BP668" i="1" s="1"/>
  <c r="AL667" i="1"/>
  <c r="AP667" i="1" s="1"/>
  <c r="AP668" i="1" s="1"/>
  <c r="BH667" i="1" a="1"/>
  <c r="BH667" i="1" s="1"/>
  <c r="AJ668" i="1"/>
  <c r="AI668" i="1"/>
  <c r="BF676" i="1"/>
  <c r="AG676" i="1"/>
  <c r="BR676" i="1"/>
  <c r="BQ676" i="1" s="1"/>
  <c r="AQ667" i="1"/>
  <c r="Y667" i="1" a="1"/>
  <c r="Y667" i="1" s="1"/>
  <c r="AH667" i="1" s="1"/>
  <c r="AQ666" i="1"/>
  <c r="Y666" i="1" a="1"/>
  <c r="Y666" i="1" s="1"/>
  <c r="AH666" i="1" s="1"/>
  <c r="AM668" i="1"/>
  <c r="AR668" i="1"/>
  <c r="BA676" i="1"/>
  <c r="S677" i="1"/>
  <c r="AA676" i="1"/>
  <c r="AB669" i="1"/>
  <c r="AC669" i="1" s="1"/>
  <c r="V669" i="1"/>
  <c r="AU669" i="1" s="1"/>
  <c r="T670" i="1"/>
  <c r="U669" i="1"/>
  <c r="AT669" i="1" s="1"/>
  <c r="AS667" i="1" l="1"/>
  <c r="BR667" i="1"/>
  <c r="BQ667" i="1" s="1"/>
  <c r="BT667" i="1"/>
  <c r="BH668" i="1" a="1"/>
  <c r="BH668" i="1" s="1"/>
  <c r="AS666" i="1"/>
  <c r="BR666" i="1"/>
  <c r="BQ666" i="1" s="1"/>
  <c r="AX670" i="1" a="1"/>
  <c r="AX670" i="1" s="1"/>
  <c r="AW670" i="1" a="1"/>
  <c r="AW670" i="1" s="1"/>
  <c r="AV670" i="1" a="1"/>
  <c r="AV670" i="1" s="1"/>
  <c r="BJ668" i="1"/>
  <c r="BK668" i="1" s="1"/>
  <c r="BT666" i="1"/>
  <c r="AF669" i="1"/>
  <c r="AD669" i="1"/>
  <c r="AG677" i="1"/>
  <c r="BR677" i="1"/>
  <c r="BQ677" i="1" s="1"/>
  <c r="AQ668" i="1"/>
  <c r="Y668" i="1" a="1"/>
  <c r="Y668" i="1" s="1"/>
  <c r="AH668" i="1" s="1"/>
  <c r="BR668" i="1" s="1"/>
  <c r="BA677" i="1"/>
  <c r="AA677" i="1"/>
  <c r="S678" i="1"/>
  <c r="AB670" i="1"/>
  <c r="AC670" i="1" s="1"/>
  <c r="AE670" i="1" s="1"/>
  <c r="U670" i="1"/>
  <c r="AT670" i="1" s="1"/>
  <c r="T671" i="1"/>
  <c r="V670" i="1"/>
  <c r="AU670" i="1" s="1"/>
  <c r="AV671" i="1" l="1" a="1"/>
  <c r="AV671" i="1" s="1"/>
  <c r="AW671" i="1" a="1"/>
  <c r="AW671" i="1" s="1"/>
  <c r="AX671" i="1" a="1"/>
  <c r="AX671" i="1" s="1"/>
  <c r="BT668" i="1"/>
  <c r="BS667" i="1"/>
  <c r="BS666" i="1"/>
  <c r="AD670" i="1"/>
  <c r="AF670" i="1"/>
  <c r="BJ669" i="1"/>
  <c r="BN669" i="1"/>
  <c r="BO669" i="1" s="1"/>
  <c r="BP669" i="1" s="1"/>
  <c r="BI669" i="1"/>
  <c r="AS668" i="1"/>
  <c r="BQ668" i="1"/>
  <c r="AG678" i="1"/>
  <c r="BR678" i="1"/>
  <c r="BQ678" i="1" s="1"/>
  <c r="BA678" i="1"/>
  <c r="AA678" i="1"/>
  <c r="S679" i="1"/>
  <c r="BR679" i="1" s="1"/>
  <c r="BQ679" i="1" s="1"/>
  <c r="AB671" i="1"/>
  <c r="AC671" i="1" s="1"/>
  <c r="AE671" i="1" s="1"/>
  <c r="V671" i="1"/>
  <c r="AU671" i="1" s="1"/>
  <c r="U671" i="1"/>
  <c r="AT671" i="1" s="1"/>
  <c r="T672" i="1"/>
  <c r="BH669" i="1" l="1" a="1"/>
  <c r="BH669" i="1" s="1"/>
  <c r="BH670" i="1" s="1" a="1"/>
  <c r="BH670" i="1" s="1"/>
  <c r="BK669" i="1"/>
  <c r="BS668" i="1"/>
  <c r="AD671" i="1"/>
  <c r="AF671" i="1"/>
  <c r="BI670" i="1"/>
  <c r="BK670" i="1"/>
  <c r="BN670" i="1"/>
  <c r="BO670" i="1" s="1"/>
  <c r="BJ670" i="1"/>
  <c r="AO671" i="1"/>
  <c r="AP671" i="1"/>
  <c r="AI671" i="1"/>
  <c r="AJ671" i="1"/>
  <c r="AN671" i="1"/>
  <c r="BE679" i="1"/>
  <c r="AS679" i="1" s="1"/>
  <c r="BF679" i="1"/>
  <c r="BG679" i="1"/>
  <c r="BA679" i="1"/>
  <c r="AA679" i="1"/>
  <c r="S680" i="1"/>
  <c r="AB672" i="1"/>
  <c r="AC672" i="1" s="1"/>
  <c r="AE672" i="1" s="1"/>
  <c r="T673" i="1"/>
  <c r="U672" i="1"/>
  <c r="AT672" i="1" s="1"/>
  <c r="V672" i="1"/>
  <c r="AU672" i="1" s="1"/>
  <c r="AE673" i="1" l="1"/>
  <c r="BP670" i="1"/>
  <c r="BH671" i="1" a="1"/>
  <c r="BH671" i="1" s="1"/>
  <c r="AF672" i="1"/>
  <c r="AF673" i="1" s="1"/>
  <c r="AD672" i="1"/>
  <c r="BK671" i="1"/>
  <c r="BI671" i="1"/>
  <c r="BN671" i="1"/>
  <c r="BO671" i="1" s="1"/>
  <c r="BJ671" i="1"/>
  <c r="AG680" i="1"/>
  <c r="BR680" i="1"/>
  <c r="BQ680" i="1" s="1"/>
  <c r="AM671" i="1"/>
  <c r="AR671" i="1"/>
  <c r="BA680" i="1"/>
  <c r="S681" i="1"/>
  <c r="AA680" i="1"/>
  <c r="T674" i="1"/>
  <c r="V673" i="1"/>
  <c r="AU673" i="1" s="1"/>
  <c r="AB673" i="1"/>
  <c r="AC673" i="1" s="1"/>
  <c r="U673" i="1"/>
  <c r="AT673" i="1" s="1"/>
  <c r="BI672" i="1" l="1"/>
  <c r="AG681" i="1"/>
  <c r="BP671" i="1"/>
  <c r="AD673" i="1"/>
  <c r="X674" i="1" a="1"/>
  <c r="X674" i="1" s="1"/>
  <c r="W674" i="1" s="1" a="1"/>
  <c r="W674" i="1" s="1"/>
  <c r="AN674" i="1" s="1"/>
  <c r="BJ673" i="1"/>
  <c r="BK673" i="1" s="1"/>
  <c r="BN673" i="1"/>
  <c r="BO673" i="1" s="1"/>
  <c r="BJ672" i="1"/>
  <c r="BK672" i="1" s="1"/>
  <c r="BH672" i="1" s="1" a="1"/>
  <c r="BH672" i="1" s="1"/>
  <c r="BH673" i="1" s="1" a="1"/>
  <c r="BH673" i="1" s="1"/>
  <c r="BN672" i="1"/>
  <c r="BO672" i="1" s="1"/>
  <c r="BP672" i="1" s="1"/>
  <c r="AO673" i="1"/>
  <c r="AP673" i="1"/>
  <c r="AI673" i="1"/>
  <c r="AJ673" i="1"/>
  <c r="AN673" i="1"/>
  <c r="BG681" i="1"/>
  <c r="BF681" i="1"/>
  <c r="BF682" i="1" s="1"/>
  <c r="BE681" i="1"/>
  <c r="BD681" i="1"/>
  <c r="AQ671" i="1"/>
  <c r="Y671" i="1" a="1"/>
  <c r="Y671" i="1" s="1"/>
  <c r="AH671" i="1" s="1"/>
  <c r="BR671" i="1" s="1"/>
  <c r="BI673" i="1"/>
  <c r="BA681" i="1"/>
  <c r="AA681" i="1"/>
  <c r="S682" i="1"/>
  <c r="AB674" i="1"/>
  <c r="AC674" i="1" s="1"/>
  <c r="AD674" i="1" s="1"/>
  <c r="T675" i="1"/>
  <c r="V674" i="1"/>
  <c r="AU674" i="1" s="1"/>
  <c r="U674" i="1"/>
  <c r="AT674" i="1" s="1"/>
  <c r="BH674" i="1" l="1" a="1"/>
  <c r="BH674" i="1" s="1"/>
  <c r="X675" i="1" a="1"/>
  <c r="X675" i="1" s="1"/>
  <c r="W675" i="1" s="1" a="1"/>
  <c r="W675" i="1" s="1"/>
  <c r="AK675" i="1" s="1"/>
  <c r="AK674" i="1"/>
  <c r="AF674" i="1"/>
  <c r="BT671" i="1"/>
  <c r="BS671" i="1" s="1"/>
  <c r="BD682" i="1"/>
  <c r="BP673" i="1"/>
  <c r="BE682" i="1"/>
  <c r="AG682" i="1"/>
  <c r="AE674" i="1"/>
  <c r="BJ674" i="1"/>
  <c r="BN674" i="1"/>
  <c r="BO674" i="1" s="1"/>
  <c r="BI674" i="1"/>
  <c r="BK674" i="1"/>
  <c r="AS671" i="1"/>
  <c r="BQ671" i="1"/>
  <c r="BG682" i="1"/>
  <c r="AL674" i="1"/>
  <c r="AP674" i="1" s="1"/>
  <c r="AO674" i="1"/>
  <c r="AR674" i="1"/>
  <c r="AM674" i="1"/>
  <c r="AR673" i="1"/>
  <c r="AM673" i="1"/>
  <c r="BA682" i="1"/>
  <c r="AA682" i="1"/>
  <c r="S683" i="1"/>
  <c r="AB675" i="1"/>
  <c r="AC675" i="1" s="1"/>
  <c r="AD675" i="1" s="1"/>
  <c r="T676" i="1"/>
  <c r="V675" i="1"/>
  <c r="AU675" i="1" s="1"/>
  <c r="U675" i="1"/>
  <c r="AT675" i="1" s="1"/>
  <c r="BP674" i="1" l="1"/>
  <c r="AE675" i="1"/>
  <c r="AN675" i="1"/>
  <c r="AO675" i="1"/>
  <c r="AL675" i="1"/>
  <c r="AP675" i="1" s="1"/>
  <c r="AY676" i="1" a="1"/>
  <c r="AY676" i="1" s="1"/>
  <c r="AW676" i="1" a="1"/>
  <c r="AW676" i="1" s="1"/>
  <c r="BJ675" i="1"/>
  <c r="BN675" i="1"/>
  <c r="BO675" i="1" s="1"/>
  <c r="AJ675" i="1"/>
  <c r="AI675" i="1"/>
  <c r="AF675" i="1"/>
  <c r="AG683" i="1"/>
  <c r="AG684" i="1" s="1"/>
  <c r="AQ673" i="1"/>
  <c r="Y673" i="1" a="1"/>
  <c r="Y673" i="1" s="1"/>
  <c r="AH673" i="1" s="1"/>
  <c r="Y674" i="1" a="1"/>
  <c r="Y674" i="1" s="1"/>
  <c r="AH674" i="1" s="1"/>
  <c r="AQ674" i="1"/>
  <c r="AM675" i="1"/>
  <c r="AR675" i="1"/>
  <c r="BA683" i="1"/>
  <c r="AA683" i="1"/>
  <c r="S684" i="1"/>
  <c r="AB676" i="1"/>
  <c r="AC676" i="1" s="1"/>
  <c r="U676" i="1"/>
  <c r="AT676" i="1" s="1"/>
  <c r="V676" i="1"/>
  <c r="AU676" i="1" s="1"/>
  <c r="T677" i="1"/>
  <c r="AS673" i="1" l="1"/>
  <c r="BR673" i="1"/>
  <c r="BQ673" i="1" s="1"/>
  <c r="BT674" i="1"/>
  <c r="BT673" i="1"/>
  <c r="AY677" i="1" a="1"/>
  <c r="AY677" i="1" s="1"/>
  <c r="AD676" i="1"/>
  <c r="BN676" i="1" s="1"/>
  <c r="BO676" i="1" s="1"/>
  <c r="BP675" i="1"/>
  <c r="AS674" i="1"/>
  <c r="BR674" i="1"/>
  <c r="BQ674" i="1" s="1"/>
  <c r="BI675" i="1"/>
  <c r="BK675" i="1"/>
  <c r="BH675" i="1" s="1" a="1"/>
  <c r="BH675" i="1" s="1"/>
  <c r="AQ675" i="1"/>
  <c r="Y675" i="1" a="1"/>
  <c r="Y675" i="1" s="1"/>
  <c r="AH675" i="1" s="1"/>
  <c r="BR675" i="1" s="1"/>
  <c r="AF676" i="1"/>
  <c r="AE676" i="1"/>
  <c r="BD684" i="1"/>
  <c r="BF684" i="1"/>
  <c r="BF685" i="1" s="1"/>
  <c r="BG684" i="1"/>
  <c r="BE684" i="1"/>
  <c r="BE685" i="1" s="1"/>
  <c r="BA684" i="1"/>
  <c r="AA684" i="1"/>
  <c r="S685" i="1"/>
  <c r="AG685" i="1" s="1"/>
  <c r="AB677" i="1"/>
  <c r="AC677" i="1" s="1"/>
  <c r="T678" i="1"/>
  <c r="V677" i="1"/>
  <c r="AU677" i="1" s="1"/>
  <c r="U677" i="1"/>
  <c r="AT677" i="1" s="1"/>
  <c r="AD677" i="1" l="1"/>
  <c r="BT675" i="1"/>
  <c r="AX678" i="1" a="1"/>
  <c r="AX678" i="1" s="1"/>
  <c r="AW678" i="1" a="1"/>
  <c r="AW678" i="1" s="1"/>
  <c r="AY678" i="1" a="1"/>
  <c r="AY678" i="1" s="1"/>
  <c r="AV678" i="1" a="1"/>
  <c r="AV678" i="1" s="1"/>
  <c r="BJ676" i="1"/>
  <c r="BS673" i="1"/>
  <c r="BS674" i="1"/>
  <c r="BG685" i="1"/>
  <c r="BJ677" i="1"/>
  <c r="BN677" i="1"/>
  <c r="BO677" i="1" s="1"/>
  <c r="BI676" i="1"/>
  <c r="BP676" i="1" s="1"/>
  <c r="AS675" i="1"/>
  <c r="BQ675" i="1"/>
  <c r="AF677" i="1"/>
  <c r="AE677" i="1"/>
  <c r="BD685" i="1"/>
  <c r="BA685" i="1"/>
  <c r="AA685" i="1"/>
  <c r="S686" i="1"/>
  <c r="AB678" i="1"/>
  <c r="AC678" i="1" s="1"/>
  <c r="T679" i="1"/>
  <c r="U678" i="1"/>
  <c r="AT678" i="1" s="1"/>
  <c r="V678" i="1"/>
  <c r="AU678" i="1" s="1"/>
  <c r="BH676" i="1" l="1" a="1"/>
  <c r="BH676" i="1" s="1"/>
  <c r="BH677" i="1" s="1" a="1"/>
  <c r="BH677" i="1" s="1"/>
  <c r="BS675" i="1"/>
  <c r="BK676" i="1"/>
  <c r="AX679" i="1" a="1"/>
  <c r="AX679" i="1" s="1"/>
  <c r="AY679" i="1" a="1"/>
  <c r="AY679" i="1" s="1"/>
  <c r="AV679" i="1" a="1"/>
  <c r="AV679" i="1" s="1"/>
  <c r="AW679" i="1" a="1"/>
  <c r="AW679" i="1" s="1"/>
  <c r="AF678" i="1"/>
  <c r="AD678" i="1"/>
  <c r="BI677" i="1"/>
  <c r="BP677" i="1" s="1"/>
  <c r="BK677" i="1"/>
  <c r="BE686" i="1"/>
  <c r="AS686" i="1" s="1"/>
  <c r="BF686" i="1"/>
  <c r="BG686" i="1"/>
  <c r="BR686" i="1"/>
  <c r="BQ686" i="1" s="1"/>
  <c r="BA686" i="1"/>
  <c r="AA686" i="1"/>
  <c r="S687" i="1"/>
  <c r="AB679" i="1"/>
  <c r="AC679" i="1" s="1"/>
  <c r="U679" i="1"/>
  <c r="AT679" i="1" s="1"/>
  <c r="V679" i="1"/>
  <c r="AU679" i="1" s="1"/>
  <c r="T680" i="1"/>
  <c r="BH678" i="1" l="1" a="1"/>
  <c r="BH678" i="1" s="1"/>
  <c r="AE679" i="1"/>
  <c r="AD679" i="1"/>
  <c r="AF679" i="1"/>
  <c r="BN678" i="1"/>
  <c r="BO678" i="1" s="1"/>
  <c r="BJ678" i="1"/>
  <c r="BI678" i="1"/>
  <c r="BK678" i="1"/>
  <c r="BR687" i="1"/>
  <c r="BQ687" i="1" s="1"/>
  <c r="BA687" i="1"/>
  <c r="AA687" i="1"/>
  <c r="S688" i="1"/>
  <c r="AB680" i="1"/>
  <c r="AC680" i="1" s="1"/>
  <c r="AD680" i="1" s="1"/>
  <c r="T681" i="1"/>
  <c r="U680" i="1"/>
  <c r="AT680" i="1" s="1"/>
  <c r="V680" i="1"/>
  <c r="AU680" i="1" s="1"/>
  <c r="BP678" i="1" l="1"/>
  <c r="BH679" i="1" a="1"/>
  <c r="BH679" i="1" s="1"/>
  <c r="BH680" i="1" s="1" a="1"/>
  <c r="BH680" i="1" s="1"/>
  <c r="BJ680" i="1"/>
  <c r="BN680" i="1"/>
  <c r="BO680" i="1" s="1"/>
  <c r="BK679" i="1"/>
  <c r="BI679" i="1"/>
  <c r="BJ679" i="1"/>
  <c r="BN679" i="1"/>
  <c r="BO679" i="1" s="1"/>
  <c r="AF680" i="1"/>
  <c r="BK680" i="1" s="1"/>
  <c r="AE680" i="1"/>
  <c r="BG688" i="1"/>
  <c r="BE688" i="1"/>
  <c r="AS688" i="1" s="1"/>
  <c r="BF688" i="1"/>
  <c r="BR688" i="1"/>
  <c r="BQ688" i="1" s="1"/>
  <c r="BA688" i="1"/>
  <c r="AA688" i="1"/>
  <c r="S689" i="1"/>
  <c r="AB681" i="1"/>
  <c r="AC681" i="1" s="1"/>
  <c r="AD681" i="1" s="1"/>
  <c r="V681" i="1"/>
  <c r="AU681" i="1" s="1"/>
  <c r="U681" i="1"/>
  <c r="AT681" i="1" s="1"/>
  <c r="T682" i="1"/>
  <c r="BP679" i="1" l="1"/>
  <c r="AE681" i="1"/>
  <c r="AO681" i="1"/>
  <c r="AP681" i="1"/>
  <c r="AI681" i="1"/>
  <c r="AJ681" i="1"/>
  <c r="AN681" i="1"/>
  <c r="BR689" i="1"/>
  <c r="BQ689" i="1" s="1"/>
  <c r="AF681" i="1"/>
  <c r="BI680" i="1"/>
  <c r="BP680" i="1" s="1"/>
  <c r="BA689" i="1"/>
  <c r="AA689" i="1"/>
  <c r="S690" i="1"/>
  <c r="AB682" i="1"/>
  <c r="AC682" i="1" s="1"/>
  <c r="T683" i="1"/>
  <c r="U682" i="1"/>
  <c r="AT682" i="1" s="1"/>
  <c r="V682" i="1"/>
  <c r="AU682" i="1" s="1"/>
  <c r="X683" i="1" l="1" a="1"/>
  <c r="X683" i="1" s="1"/>
  <c r="W683" i="1" s="1" a="1"/>
  <c r="W683" i="1" s="1"/>
  <c r="AN683" i="1" s="1"/>
  <c r="AE682" i="1"/>
  <c r="AP682" i="1"/>
  <c r="BJ681" i="1"/>
  <c r="AJ682" i="1"/>
  <c r="AI682" i="1"/>
  <c r="AO682" i="1"/>
  <c r="BN681" i="1"/>
  <c r="BO681" i="1" s="1"/>
  <c r="AN682" i="1"/>
  <c r="AD682" i="1"/>
  <c r="AM682" i="1"/>
  <c r="AR682" i="1"/>
  <c r="BD690" i="1"/>
  <c r="BE690" i="1"/>
  <c r="BF690" i="1"/>
  <c r="BG690" i="1"/>
  <c r="AG690" i="1"/>
  <c r="AF682" i="1"/>
  <c r="BI681" i="1"/>
  <c r="AR681" i="1"/>
  <c r="AM681" i="1"/>
  <c r="BA690" i="1"/>
  <c r="AA690" i="1"/>
  <c r="S691" i="1"/>
  <c r="AB683" i="1"/>
  <c r="AC683" i="1" s="1"/>
  <c r="AD683" i="1" s="1"/>
  <c r="T684" i="1"/>
  <c r="U683" i="1"/>
  <c r="AT683" i="1" s="1"/>
  <c r="V683" i="1"/>
  <c r="AU683" i="1" s="1"/>
  <c r="X684" i="1" l="1" a="1"/>
  <c r="X684" i="1" s="1"/>
  <c r="W684" i="1" s="1" a="1"/>
  <c r="W684" i="1" s="1"/>
  <c r="AL684" i="1" s="1"/>
  <c r="AP684" i="1" s="1"/>
  <c r="AK683" i="1"/>
  <c r="BP681" i="1"/>
  <c r="BH681" i="1" a="1"/>
  <c r="BH681" i="1" s="1"/>
  <c r="BK681" i="1"/>
  <c r="AE683" i="1"/>
  <c r="AE684" i="1" s="1"/>
  <c r="BJ683" i="1"/>
  <c r="BN683" i="1"/>
  <c r="BO683" i="1" s="1"/>
  <c r="BN682" i="1"/>
  <c r="BO682" i="1" s="1"/>
  <c r="BP682" i="1" s="1"/>
  <c r="BJ682" i="1"/>
  <c r="BK682" i="1" s="1"/>
  <c r="BE691" i="1"/>
  <c r="AS691" i="1" s="1"/>
  <c r="BF691" i="1"/>
  <c r="BG691" i="1"/>
  <c r="BR691" i="1"/>
  <c r="BQ691" i="1" s="1"/>
  <c r="AQ681" i="1"/>
  <c r="Y681" i="1" a="1"/>
  <c r="Y681" i="1" s="1"/>
  <c r="AH681" i="1" s="1"/>
  <c r="AF683" i="1"/>
  <c r="BK683" i="1" s="1"/>
  <c r="BI682" i="1"/>
  <c r="AQ682" i="1"/>
  <c r="Y682" i="1" a="1"/>
  <c r="Y682" i="1" s="1"/>
  <c r="AH682" i="1" s="1"/>
  <c r="BR682" i="1" s="1"/>
  <c r="AL683" i="1"/>
  <c r="AP683" i="1" s="1"/>
  <c r="AO683" i="1"/>
  <c r="AR683" i="1"/>
  <c r="AM683" i="1"/>
  <c r="BA691" i="1"/>
  <c r="AA691" i="1"/>
  <c r="S692" i="1"/>
  <c r="AB684" i="1"/>
  <c r="AC684" i="1" s="1"/>
  <c r="AD684" i="1" s="1"/>
  <c r="T685" i="1"/>
  <c r="U684" i="1"/>
  <c r="AT684" i="1" s="1"/>
  <c r="V684" i="1"/>
  <c r="AU684" i="1" s="1"/>
  <c r="BH682" i="1" l="1" a="1"/>
  <c r="BH682" i="1" s="1"/>
  <c r="BH683" i="1" s="1" a="1"/>
  <c r="BH683" i="1" s="1"/>
  <c r="BH684" i="1" s="1" a="1"/>
  <c r="BH684" i="1" s="1"/>
  <c r="X685" i="1" a="1"/>
  <c r="X685" i="1" s="1"/>
  <c r="W685" i="1" s="1" a="1"/>
  <c r="W685" i="1" s="1"/>
  <c r="AN685" i="1" s="1"/>
  <c r="BG692" i="1"/>
  <c r="BG693" i="1" s="1"/>
  <c r="AS681" i="1"/>
  <c r="BR681" i="1"/>
  <c r="BQ681" i="1" s="1"/>
  <c r="BT681" i="1"/>
  <c r="AN684" i="1"/>
  <c r="AK684" i="1"/>
  <c r="AO684" i="1" s="1"/>
  <c r="BT682" i="1"/>
  <c r="BN684" i="1"/>
  <c r="BO684" i="1" s="1"/>
  <c r="BJ684" i="1"/>
  <c r="AJ684" i="1"/>
  <c r="AJ685" i="1" s="1"/>
  <c r="AI684" i="1"/>
  <c r="AI685" i="1" s="1"/>
  <c r="BF692" i="1"/>
  <c r="BD692" i="1"/>
  <c r="BE692" i="1"/>
  <c r="AG692" i="1"/>
  <c r="AQ683" i="1"/>
  <c r="Y683" i="1" a="1"/>
  <c r="Y683" i="1" s="1"/>
  <c r="AH683" i="1" s="1"/>
  <c r="AS682" i="1"/>
  <c r="BQ682" i="1"/>
  <c r="AF684" i="1"/>
  <c r="BK684" i="1" s="1"/>
  <c r="BI683" i="1"/>
  <c r="BP683" i="1" s="1"/>
  <c r="AR684" i="1"/>
  <c r="AM684" i="1"/>
  <c r="BA692" i="1"/>
  <c r="AA692" i="1"/>
  <c r="S693" i="1"/>
  <c r="AB685" i="1"/>
  <c r="AC685" i="1" s="1"/>
  <c r="AD685" i="1" s="1"/>
  <c r="T686" i="1"/>
  <c r="V685" i="1"/>
  <c r="AU685" i="1" s="1"/>
  <c r="U685" i="1"/>
  <c r="AT685" i="1" s="1"/>
  <c r="AL685" i="1" l="1"/>
  <c r="AP685" i="1" s="1"/>
  <c r="AK685" i="1"/>
  <c r="AO685" i="1" s="1"/>
  <c r="AV686" i="1" a="1"/>
  <c r="AV686" i="1" s="1"/>
  <c r="AW686" i="1" a="1"/>
  <c r="AW686" i="1" s="1"/>
  <c r="AX686" i="1" a="1"/>
  <c r="AX686" i="1" s="1"/>
  <c r="AY686" i="1" a="1"/>
  <c r="AY686" i="1" s="1"/>
  <c r="BS681" i="1"/>
  <c r="BD693" i="1"/>
  <c r="AS683" i="1"/>
  <c r="BR683" i="1"/>
  <c r="BQ683" i="1" s="1"/>
  <c r="AE685" i="1"/>
  <c r="BT683" i="1"/>
  <c r="BS682" i="1"/>
  <c r="AG693" i="1"/>
  <c r="BJ685" i="1"/>
  <c r="BN685" i="1"/>
  <c r="BO685" i="1" s="1"/>
  <c r="BE693" i="1"/>
  <c r="BF693" i="1"/>
  <c r="AQ684" i="1"/>
  <c r="Y684" i="1" a="1"/>
  <c r="Y684" i="1" s="1"/>
  <c r="AH684" i="1" s="1"/>
  <c r="BR684" i="1" s="1"/>
  <c r="AF685" i="1"/>
  <c r="BI684" i="1"/>
  <c r="BP684" i="1" s="1"/>
  <c r="AM685" i="1"/>
  <c r="AR685" i="1"/>
  <c r="BA693" i="1"/>
  <c r="AA693" i="1"/>
  <c r="S694" i="1"/>
  <c r="AB686" i="1"/>
  <c r="AC686" i="1" s="1"/>
  <c r="AE686" i="1" s="1"/>
  <c r="T687" i="1"/>
  <c r="U686" i="1"/>
  <c r="AT686" i="1" s="1"/>
  <c r="V686" i="1"/>
  <c r="AU686" i="1" s="1"/>
  <c r="AW687" i="1" l="1" a="1"/>
  <c r="AW687" i="1" s="1"/>
  <c r="AX687" i="1" a="1"/>
  <c r="AX687" i="1" s="1"/>
  <c r="AY687" i="1" a="1"/>
  <c r="AY687" i="1" s="1"/>
  <c r="AV687" i="1" a="1"/>
  <c r="AV687" i="1" s="1"/>
  <c r="BS683" i="1"/>
  <c r="BT684" i="1"/>
  <c r="AD686" i="1"/>
  <c r="AF686" i="1"/>
  <c r="BI685" i="1"/>
  <c r="BP685" i="1" s="1"/>
  <c r="BK685" i="1"/>
  <c r="BH685" i="1" s="1" a="1"/>
  <c r="BH685" i="1" s="1"/>
  <c r="AS684" i="1"/>
  <c r="BQ684" i="1"/>
  <c r="AG694" i="1"/>
  <c r="BR694" i="1"/>
  <c r="BQ694" i="1" s="1"/>
  <c r="Y685" i="1" a="1"/>
  <c r="Y685" i="1" s="1"/>
  <c r="AH685" i="1" s="1"/>
  <c r="BR685" i="1" s="1"/>
  <c r="AQ685" i="1"/>
  <c r="BA694" i="1"/>
  <c r="AA694" i="1"/>
  <c r="S695" i="1"/>
  <c r="AB687" i="1"/>
  <c r="AC687" i="1" s="1"/>
  <c r="T688" i="1"/>
  <c r="U687" i="1"/>
  <c r="AT687" i="1" s="1"/>
  <c r="V687" i="1"/>
  <c r="AU687" i="1" s="1"/>
  <c r="BH686" i="1" l="1" a="1"/>
  <c r="BH686" i="1" s="1"/>
  <c r="AY688" i="1" a="1"/>
  <c r="AY688" i="1" s="1"/>
  <c r="AV688" i="1" a="1"/>
  <c r="AV688" i="1" s="1"/>
  <c r="AW688" i="1" a="1"/>
  <c r="AW688" i="1" s="1"/>
  <c r="AX688" i="1" a="1"/>
  <c r="AX688" i="1" s="1"/>
  <c r="BS684" i="1"/>
  <c r="BT685" i="1"/>
  <c r="AE687" i="1"/>
  <c r="AD687" i="1"/>
  <c r="AF687" i="1"/>
  <c r="BK686" i="1"/>
  <c r="BI686" i="1"/>
  <c r="BN686" i="1"/>
  <c r="BO686" i="1" s="1"/>
  <c r="BJ686" i="1"/>
  <c r="BF695" i="1"/>
  <c r="BF696" i="1" s="1"/>
  <c r="BG695" i="1"/>
  <c r="AG695" i="1"/>
  <c r="BE695" i="1"/>
  <c r="BE696" i="1" s="1"/>
  <c r="BD695" i="1"/>
  <c r="AS685" i="1"/>
  <c r="BQ685" i="1"/>
  <c r="BA695" i="1"/>
  <c r="S696" i="1"/>
  <c r="AA695" i="1"/>
  <c r="AB688" i="1"/>
  <c r="AC688" i="1" s="1"/>
  <c r="U688" i="1"/>
  <c r="AT688" i="1" s="1"/>
  <c r="V688" i="1"/>
  <c r="AU688" i="1" s="1"/>
  <c r="T689" i="1"/>
  <c r="AW689" i="1" l="1" a="1"/>
  <c r="AW689" i="1" s="1"/>
  <c r="BP686" i="1"/>
  <c r="BD696" i="1"/>
  <c r="BS685" i="1"/>
  <c r="BH687" i="1" a="1"/>
  <c r="BH687" i="1" s="1"/>
  <c r="AE688" i="1"/>
  <c r="AD688" i="1"/>
  <c r="AF688" i="1" s="1"/>
  <c r="BI687" i="1"/>
  <c r="BK687" i="1"/>
  <c r="BN687" i="1"/>
  <c r="BO687" i="1" s="1"/>
  <c r="BJ687" i="1"/>
  <c r="BG696" i="1"/>
  <c r="AG696" i="1"/>
  <c r="BA696" i="1"/>
  <c r="AA696" i="1"/>
  <c r="S697" i="1"/>
  <c r="AB689" i="1"/>
  <c r="AC689" i="1" s="1"/>
  <c r="T690" i="1"/>
  <c r="V689" i="1"/>
  <c r="AU689" i="1" s="1"/>
  <c r="U689" i="1"/>
  <c r="AT689" i="1" s="1"/>
  <c r="BH688" i="1" l="1" a="1"/>
  <c r="BH688" i="1" s="1"/>
  <c r="AV690" i="1" a="1"/>
  <c r="AV690" i="1" s="1"/>
  <c r="AW690" i="1" a="1"/>
  <c r="AW690" i="1" s="1"/>
  <c r="AX690" i="1" a="1"/>
  <c r="AX690" i="1" s="1"/>
  <c r="BP687" i="1"/>
  <c r="AE689" i="1"/>
  <c r="AD689" i="1"/>
  <c r="AF689" i="1"/>
  <c r="BK688" i="1"/>
  <c r="BI688" i="1"/>
  <c r="BN688" i="1"/>
  <c r="BO688" i="1" s="1"/>
  <c r="BJ688" i="1"/>
  <c r="BE697" i="1"/>
  <c r="AS697" i="1" s="1"/>
  <c r="BF697" i="1"/>
  <c r="BG697" i="1"/>
  <c r="BR697" i="1"/>
  <c r="BQ697" i="1" s="1"/>
  <c r="BA697" i="1"/>
  <c r="AA697" i="1"/>
  <c r="S698" i="1"/>
  <c r="AB690" i="1"/>
  <c r="AC690" i="1" s="1"/>
  <c r="T691" i="1"/>
  <c r="U690" i="1"/>
  <c r="AT690" i="1" s="1"/>
  <c r="V690" i="1"/>
  <c r="AU690" i="1" s="1"/>
  <c r="AE690" i="1" l="1"/>
  <c r="BP688" i="1"/>
  <c r="AV691" i="1" a="1"/>
  <c r="AV691" i="1" s="1"/>
  <c r="AW691" i="1" a="1"/>
  <c r="AW691" i="1" s="1"/>
  <c r="AX691" i="1" a="1"/>
  <c r="AX691" i="1" s="1"/>
  <c r="BH689" i="1" a="1"/>
  <c r="BH689" i="1" s="1"/>
  <c r="AD690" i="1"/>
  <c r="AF690" i="1"/>
  <c r="BK689" i="1"/>
  <c r="BI689" i="1"/>
  <c r="BJ689" i="1"/>
  <c r="BN689" i="1"/>
  <c r="BO689" i="1" s="1"/>
  <c r="BP689" i="1" s="1"/>
  <c r="AO690" i="1"/>
  <c r="AP690" i="1"/>
  <c r="AJ690" i="1"/>
  <c r="AI690" i="1"/>
  <c r="AN690" i="1"/>
  <c r="BG698" i="1"/>
  <c r="AG698" i="1"/>
  <c r="BR698" i="1"/>
  <c r="BQ698" i="1" s="1"/>
  <c r="BA698" i="1"/>
  <c r="AA698" i="1"/>
  <c r="S699" i="1"/>
  <c r="AB691" i="1"/>
  <c r="AC691" i="1" s="1"/>
  <c r="AE691" i="1" s="1"/>
  <c r="U691" i="1"/>
  <c r="AT691" i="1" s="1"/>
  <c r="V691" i="1"/>
  <c r="AU691" i="1" s="1"/>
  <c r="T692" i="1"/>
  <c r="BH690" i="1" l="1" a="1"/>
  <c r="BH690" i="1" s="1"/>
  <c r="AX692" i="1" a="1"/>
  <c r="AX692" i="1" s="1"/>
  <c r="AW692" i="1" a="1"/>
  <c r="AW692" i="1" s="1"/>
  <c r="AD691" i="1"/>
  <c r="AF691" i="1" s="1"/>
  <c r="BK690" i="1"/>
  <c r="BI690" i="1"/>
  <c r="BP690" i="1" s="1"/>
  <c r="BN690" i="1"/>
  <c r="BO690" i="1" s="1"/>
  <c r="BJ690" i="1"/>
  <c r="AI691" i="1"/>
  <c r="AK691" i="1" s="1"/>
  <c r="AJ691" i="1"/>
  <c r="AJ692" i="1" s="1"/>
  <c r="BF699" i="1"/>
  <c r="BF700" i="1" s="1"/>
  <c r="AG699" i="1"/>
  <c r="BR699" i="1"/>
  <c r="BQ699" i="1" s="1"/>
  <c r="AR690" i="1"/>
  <c r="AM690" i="1"/>
  <c r="BA699" i="1"/>
  <c r="AA699" i="1"/>
  <c r="S700" i="1"/>
  <c r="AB692" i="1"/>
  <c r="AC692" i="1" s="1"/>
  <c r="T693" i="1"/>
  <c r="V692" i="1"/>
  <c r="AU692" i="1" s="1"/>
  <c r="U692" i="1"/>
  <c r="AT692" i="1" s="1"/>
  <c r="AW693" i="1" l="1" a="1"/>
  <c r="AW693" i="1" s="1"/>
  <c r="AV693" i="1" a="1"/>
  <c r="AV693" i="1" s="1"/>
  <c r="AX693" i="1" a="1"/>
  <c r="AX693" i="1" s="1"/>
  <c r="AJ693" i="1"/>
  <c r="BH691" i="1" a="1"/>
  <c r="BH691" i="1" s="1"/>
  <c r="AO691" i="1"/>
  <c r="AO692" i="1" s="1"/>
  <c r="AO693" i="1" s="1"/>
  <c r="AL691" i="1"/>
  <c r="AP691" i="1" s="1"/>
  <c r="AP692" i="1" s="1"/>
  <c r="AP693" i="1" s="1"/>
  <c r="AD692" i="1"/>
  <c r="AF692" i="1"/>
  <c r="BI691" i="1"/>
  <c r="BK691" i="1"/>
  <c r="BN691" i="1"/>
  <c r="BO691" i="1" s="1"/>
  <c r="BP691" i="1" s="1"/>
  <c r="BJ691" i="1"/>
  <c r="AI692" i="1"/>
  <c r="AE692" i="1"/>
  <c r="AE693" i="1" s="1"/>
  <c r="AN692" i="1"/>
  <c r="BE700" i="1"/>
  <c r="AG700" i="1"/>
  <c r="BD700" i="1"/>
  <c r="BG700" i="1"/>
  <c r="AQ690" i="1"/>
  <c r="Y690" i="1" a="1"/>
  <c r="Y690" i="1" s="1"/>
  <c r="AH690" i="1" s="1"/>
  <c r="BA700" i="1"/>
  <c r="AA700" i="1"/>
  <c r="S701" i="1"/>
  <c r="AB693" i="1"/>
  <c r="AC693" i="1" s="1"/>
  <c r="T694" i="1"/>
  <c r="V693" i="1"/>
  <c r="AU693" i="1" s="1"/>
  <c r="U693" i="1"/>
  <c r="AT693" i="1" s="1"/>
  <c r="BH692" i="1" l="1" a="1"/>
  <c r="BH692" i="1" s="1"/>
  <c r="AW694" i="1" a="1"/>
  <c r="AW694" i="1" s="1"/>
  <c r="AI693" i="1"/>
  <c r="AS690" i="1"/>
  <c r="BR690" i="1"/>
  <c r="BQ690" i="1" s="1"/>
  <c r="BT690" i="1"/>
  <c r="BS690" i="1" s="1"/>
  <c r="AN693" i="1"/>
  <c r="AR693" i="1" s="1"/>
  <c r="AD693" i="1"/>
  <c r="AF693" i="1"/>
  <c r="BI692" i="1"/>
  <c r="BP692" i="1" s="1"/>
  <c r="BK692" i="1"/>
  <c r="BJ692" i="1"/>
  <c r="BN692" i="1"/>
  <c r="BO692" i="1" s="1"/>
  <c r="BG701" i="1"/>
  <c r="AG701" i="1"/>
  <c r="BR701" i="1"/>
  <c r="BQ701" i="1" s="1"/>
  <c r="AR692" i="1"/>
  <c r="AM692" i="1"/>
  <c r="BA701" i="1"/>
  <c r="AA701" i="1"/>
  <c r="S702" i="1"/>
  <c r="AB694" i="1"/>
  <c r="AC694" i="1" s="1"/>
  <c r="AE694" i="1" s="1"/>
  <c r="T695" i="1"/>
  <c r="V694" i="1"/>
  <c r="AU694" i="1" s="1"/>
  <c r="U694" i="1"/>
  <c r="AT694" i="1" s="1"/>
  <c r="AV695" i="1" l="1" a="1"/>
  <c r="AV695" i="1" s="1"/>
  <c r="AW695" i="1" a="1"/>
  <c r="AW695" i="1" s="1"/>
  <c r="AX695" i="1" a="1"/>
  <c r="AX695" i="1" s="1"/>
  <c r="AY695" i="1" a="1"/>
  <c r="AY695" i="1" s="1"/>
  <c r="BG702" i="1"/>
  <c r="AM693" i="1"/>
  <c r="AQ693" i="1" s="1"/>
  <c r="BT693" i="1" s="1"/>
  <c r="BS693" i="1" s="1"/>
  <c r="BH693" i="1" a="1"/>
  <c r="BH693" i="1" s="1"/>
  <c r="AD694" i="1"/>
  <c r="BI693" i="1"/>
  <c r="BP693" i="1" s="1"/>
  <c r="BK693" i="1"/>
  <c r="BJ693" i="1"/>
  <c r="BN693" i="1"/>
  <c r="BO693" i="1" s="1"/>
  <c r="AI694" i="1"/>
  <c r="AJ694" i="1"/>
  <c r="AF694" i="1"/>
  <c r="BF702" i="1"/>
  <c r="BE702" i="1"/>
  <c r="AG702" i="1"/>
  <c r="BD702" i="1"/>
  <c r="AQ692" i="1"/>
  <c r="Y692" i="1" a="1"/>
  <c r="Y692" i="1" s="1"/>
  <c r="AH692" i="1" s="1"/>
  <c r="Y693" i="1" a="1"/>
  <c r="Y693" i="1" s="1"/>
  <c r="AH693" i="1" s="1"/>
  <c r="BR693" i="1" s="1"/>
  <c r="BA702" i="1"/>
  <c r="AA702" i="1"/>
  <c r="S703" i="1"/>
  <c r="AB695" i="1"/>
  <c r="AC695" i="1" s="1"/>
  <c r="AE695" i="1" s="1"/>
  <c r="U695" i="1"/>
  <c r="AT695" i="1" s="1"/>
  <c r="V695" i="1"/>
  <c r="AU695" i="1" s="1"/>
  <c r="T696" i="1"/>
  <c r="AJ695" i="1" l="1"/>
  <c r="AS692" i="1"/>
  <c r="BR692" i="1"/>
  <c r="BQ692" i="1" s="1"/>
  <c r="AV696" i="1" a="1"/>
  <c r="AV696" i="1" s="1"/>
  <c r="AW696" i="1" a="1"/>
  <c r="AW696" i="1" s="1"/>
  <c r="AX696" i="1" a="1"/>
  <c r="AX696" i="1" s="1"/>
  <c r="BT692" i="1"/>
  <c r="BS692" i="1" s="1"/>
  <c r="AD695" i="1"/>
  <c r="BI694" i="1"/>
  <c r="BJ694" i="1"/>
  <c r="BK694" i="1" s="1"/>
  <c r="BH694" i="1" s="1" a="1"/>
  <c r="BH694" i="1" s="1"/>
  <c r="BN694" i="1"/>
  <c r="BO694" i="1" s="1"/>
  <c r="BP694" i="1" s="1"/>
  <c r="AF695" i="1"/>
  <c r="AN695" i="1"/>
  <c r="BF703" i="1"/>
  <c r="BR703" i="1"/>
  <c r="BQ703" i="1" s="1"/>
  <c r="AS693" i="1"/>
  <c r="BQ693" i="1"/>
  <c r="AI695" i="1"/>
  <c r="AK694" i="1"/>
  <c r="BA703" i="1"/>
  <c r="AA703" i="1"/>
  <c r="S704" i="1"/>
  <c r="AB696" i="1"/>
  <c r="AC696" i="1" s="1"/>
  <c r="AE696" i="1" s="1"/>
  <c r="T697" i="1"/>
  <c r="U696" i="1"/>
  <c r="AT696" i="1" s="1"/>
  <c r="V696" i="1"/>
  <c r="AU696" i="1" s="1"/>
  <c r="AY697" i="1" l="1" a="1"/>
  <c r="AY697" i="1" s="1"/>
  <c r="AV697" i="1" a="1"/>
  <c r="AV697" i="1" s="1"/>
  <c r="AW697" i="1" a="1"/>
  <c r="AW697" i="1" s="1"/>
  <c r="AX697" i="1" a="1"/>
  <c r="AX697" i="1" s="1"/>
  <c r="AI696" i="1"/>
  <c r="AJ696" i="1"/>
  <c r="AO694" i="1"/>
  <c r="AO695" i="1" s="1"/>
  <c r="AO696" i="1" s="1"/>
  <c r="AL694" i="1"/>
  <c r="AP694" i="1" s="1"/>
  <c r="AP695" i="1" s="1"/>
  <c r="AP696" i="1" s="1"/>
  <c r="AN696" i="1"/>
  <c r="AD696" i="1"/>
  <c r="BJ695" i="1"/>
  <c r="BK695" i="1" s="1"/>
  <c r="BH695" i="1" s="1" a="1"/>
  <c r="BH695" i="1" s="1"/>
  <c r="BN695" i="1"/>
  <c r="BO695" i="1" s="1"/>
  <c r="BP695" i="1" s="1"/>
  <c r="AM696" i="1"/>
  <c r="AR696" i="1"/>
  <c r="BD704" i="1"/>
  <c r="BE704" i="1"/>
  <c r="BF704" i="1"/>
  <c r="BG704" i="1"/>
  <c r="AG704" i="1"/>
  <c r="AM695" i="1"/>
  <c r="AR695" i="1"/>
  <c r="AF696" i="1"/>
  <c r="BI695" i="1"/>
  <c r="BA704" i="1"/>
  <c r="AA704" i="1"/>
  <c r="S705" i="1"/>
  <c r="AB697" i="1"/>
  <c r="AC697" i="1" s="1"/>
  <c r="V697" i="1"/>
  <c r="AU697" i="1" s="1"/>
  <c r="U697" i="1"/>
  <c r="AT697" i="1" s="1"/>
  <c r="T698" i="1"/>
  <c r="BG705" i="1" l="1"/>
  <c r="BD705" i="1"/>
  <c r="AG705" i="1"/>
  <c r="AX698" i="1" a="1"/>
  <c r="AX698" i="1" s="1"/>
  <c r="AY698" i="1" a="1"/>
  <c r="AY698" i="1" s="1"/>
  <c r="AV698" i="1" a="1"/>
  <c r="AV698" i="1" s="1"/>
  <c r="AW698" i="1" a="1"/>
  <c r="AW698" i="1" s="1"/>
  <c r="BF705" i="1"/>
  <c r="BE705" i="1"/>
  <c r="AD697" i="1"/>
  <c r="AF697" i="1"/>
  <c r="BI696" i="1"/>
  <c r="BN696" i="1"/>
  <c r="BO696" i="1" s="1"/>
  <c r="BP696" i="1" s="1"/>
  <c r="BJ696" i="1"/>
  <c r="BK696" i="1" s="1"/>
  <c r="BH696" i="1" s="1" a="1"/>
  <c r="BH696" i="1" s="1"/>
  <c r="AI697" i="1"/>
  <c r="AK697" i="1" s="1"/>
  <c r="AJ697" i="1"/>
  <c r="AQ695" i="1"/>
  <c r="Y695" i="1" a="1"/>
  <c r="Y695" i="1" s="1"/>
  <c r="AH695" i="1" s="1"/>
  <c r="BR695" i="1" s="1"/>
  <c r="AQ696" i="1"/>
  <c r="Y696" i="1" a="1"/>
  <c r="Y696" i="1" s="1"/>
  <c r="AH696" i="1" s="1"/>
  <c r="BA705" i="1"/>
  <c r="AA705" i="1"/>
  <c r="S706" i="1"/>
  <c r="BR706" i="1" s="1"/>
  <c r="BQ706" i="1" s="1"/>
  <c r="AB698" i="1"/>
  <c r="AC698" i="1" s="1"/>
  <c r="T699" i="1"/>
  <c r="AW699" i="1" s="1" a="1"/>
  <c r="AW699" i="1" s="1"/>
  <c r="U698" i="1"/>
  <c r="AT698" i="1" s="1"/>
  <c r="V698" i="1"/>
  <c r="AU698" i="1" s="1"/>
  <c r="BH697" i="1" l="1" a="1"/>
  <c r="BH697" i="1" s="1"/>
  <c r="BR696" i="1"/>
  <c r="BQ696" i="1" s="1"/>
  <c r="BT695" i="1"/>
  <c r="BS695" i="1" s="1"/>
  <c r="BT696" i="1"/>
  <c r="BS696" i="1" s="1"/>
  <c r="AO697" i="1"/>
  <c r="AL697" i="1"/>
  <c r="AP697" i="1" s="1"/>
  <c r="AD698" i="1"/>
  <c r="BI697" i="1"/>
  <c r="BK697" i="1"/>
  <c r="BJ697" i="1"/>
  <c r="BN697" i="1"/>
  <c r="BO697" i="1" s="1"/>
  <c r="AS696" i="1"/>
  <c r="AS695" i="1"/>
  <c r="BQ695" i="1"/>
  <c r="AI698" i="1"/>
  <c r="AK698" i="1" s="1"/>
  <c r="AJ698" i="1"/>
  <c r="AF698" i="1"/>
  <c r="AE698" i="1"/>
  <c r="AG706" i="1"/>
  <c r="BA706" i="1"/>
  <c r="AA706" i="1"/>
  <c r="S707" i="1"/>
  <c r="AB699" i="1"/>
  <c r="AC699" i="1" s="1"/>
  <c r="U699" i="1"/>
  <c r="AT699" i="1" s="1"/>
  <c r="T700" i="1"/>
  <c r="V699" i="1"/>
  <c r="AU699" i="1" s="1"/>
  <c r="BP697" i="1" l="1"/>
  <c r="AV700" i="1" a="1"/>
  <c r="AV700" i="1" s="1"/>
  <c r="AW700" i="1" a="1"/>
  <c r="AW700" i="1" s="1"/>
  <c r="AX700" i="1" a="1"/>
  <c r="AX700" i="1" s="1"/>
  <c r="AO698" i="1"/>
  <c r="AL698" i="1"/>
  <c r="AP698" i="1" s="1"/>
  <c r="BI698" i="1"/>
  <c r="BJ698" i="1"/>
  <c r="BK698" i="1" s="1"/>
  <c r="BH698" i="1" s="1" a="1"/>
  <c r="BH698" i="1" s="1"/>
  <c r="BN698" i="1"/>
  <c r="BO698" i="1" s="1"/>
  <c r="BP698" i="1" s="1"/>
  <c r="AI699" i="1"/>
  <c r="AK699" i="1" s="1"/>
  <c r="AJ699" i="1"/>
  <c r="AF699" i="1"/>
  <c r="BD707" i="1"/>
  <c r="BD708" i="1" s="1"/>
  <c r="BE707" i="1"/>
  <c r="BG707" i="1"/>
  <c r="AG707" i="1"/>
  <c r="BF707" i="1"/>
  <c r="BA707" i="1"/>
  <c r="S708" i="1"/>
  <c r="AA707" i="1"/>
  <c r="AB700" i="1"/>
  <c r="AC700" i="1" s="1"/>
  <c r="T701" i="1"/>
  <c r="U700" i="1"/>
  <c r="AT700" i="1" s="1"/>
  <c r="V700" i="1"/>
  <c r="AU700" i="1" s="1"/>
  <c r="BH699" i="1" l="1" a="1"/>
  <c r="BH699" i="1" s="1"/>
  <c r="AX701" i="1" a="1"/>
  <c r="AX701" i="1" s="1"/>
  <c r="AW701" i="1" a="1"/>
  <c r="AW701" i="1" s="1"/>
  <c r="AJ700" i="1"/>
  <c r="BF708" i="1"/>
  <c r="BG708" i="1"/>
  <c r="BE708" i="1"/>
  <c r="AO699" i="1"/>
  <c r="AO700" i="1" s="1"/>
  <c r="AL699" i="1"/>
  <c r="AP699" i="1" s="1"/>
  <c r="AP700" i="1" s="1"/>
  <c r="BI699" i="1"/>
  <c r="BP699" i="1" s="1"/>
  <c r="BK699" i="1"/>
  <c r="AI700" i="1"/>
  <c r="AE700" i="1"/>
  <c r="AF700" i="1"/>
  <c r="AN700" i="1"/>
  <c r="AD700" i="1"/>
  <c r="AG708" i="1"/>
  <c r="BA708" i="1"/>
  <c r="AA708" i="1"/>
  <c r="S709" i="1"/>
  <c r="AB701" i="1"/>
  <c r="AC701" i="1" s="1"/>
  <c r="V701" i="1"/>
  <c r="AU701" i="1" s="1"/>
  <c r="T702" i="1"/>
  <c r="U701" i="1"/>
  <c r="AT701" i="1" s="1"/>
  <c r="AV702" i="1" l="1" a="1"/>
  <c r="AV702" i="1" s="1"/>
  <c r="AX702" i="1" a="1"/>
  <c r="AX702" i="1" s="1"/>
  <c r="AW702" i="1" a="1"/>
  <c r="AW702" i="1" s="1"/>
  <c r="AE701" i="1"/>
  <c r="AI701" i="1"/>
  <c r="AJ701" i="1"/>
  <c r="AF701" i="1"/>
  <c r="AD701" i="1"/>
  <c r="BJ701" i="1" s="1"/>
  <c r="BK701" i="1" s="1"/>
  <c r="AG709" i="1"/>
  <c r="BR709" i="1"/>
  <c r="BQ709" i="1" s="1"/>
  <c r="BJ700" i="1"/>
  <c r="BK700" i="1" s="1"/>
  <c r="BH700" i="1" s="1" a="1"/>
  <c r="BH700" i="1" s="1"/>
  <c r="BH701" i="1" s="1" a="1"/>
  <c r="BH701" i="1" s="1"/>
  <c r="BN700" i="1"/>
  <c r="BO700" i="1" s="1"/>
  <c r="BP700" i="1" s="1"/>
  <c r="AR700" i="1"/>
  <c r="AM700" i="1"/>
  <c r="BI700" i="1"/>
  <c r="BA709" i="1"/>
  <c r="AA709" i="1"/>
  <c r="S710" i="1"/>
  <c r="T703" i="1"/>
  <c r="V702" i="1"/>
  <c r="AU702" i="1" s="1"/>
  <c r="AB702" i="1"/>
  <c r="AC702" i="1" s="1"/>
  <c r="U702" i="1"/>
  <c r="AT702" i="1" s="1"/>
  <c r="AE702" i="1" l="1"/>
  <c r="AJ702" i="1"/>
  <c r="AY703" i="1" a="1"/>
  <c r="AY703" i="1" s="1"/>
  <c r="AW703" i="1" a="1"/>
  <c r="AW703" i="1" s="1"/>
  <c r="AN702" i="1"/>
  <c r="AM702" i="1" s="1"/>
  <c r="AR702" i="1"/>
  <c r="BF710" i="1"/>
  <c r="BG710" i="1"/>
  <c r="BE710" i="1"/>
  <c r="AG710" i="1"/>
  <c r="BD710" i="1"/>
  <c r="AQ700" i="1"/>
  <c r="Y700" i="1" a="1"/>
  <c r="Y700" i="1" s="1"/>
  <c r="AH700" i="1" s="1"/>
  <c r="AD702" i="1"/>
  <c r="BN701" i="1"/>
  <c r="BO701" i="1" s="1"/>
  <c r="BP701" i="1" s="1"/>
  <c r="AF702" i="1"/>
  <c r="BI702" i="1" s="1"/>
  <c r="BI701" i="1"/>
  <c r="AI702" i="1"/>
  <c r="AK701" i="1"/>
  <c r="BA710" i="1"/>
  <c r="AA710" i="1"/>
  <c r="S711" i="1"/>
  <c r="AB703" i="1"/>
  <c r="AC703" i="1" s="1"/>
  <c r="T704" i="1"/>
  <c r="V703" i="1"/>
  <c r="AU703" i="1" s="1"/>
  <c r="U703" i="1"/>
  <c r="AT703" i="1" s="1"/>
  <c r="AV704" i="1" l="1" a="1"/>
  <c r="AV704" i="1" s="1"/>
  <c r="AW704" i="1" a="1"/>
  <c r="AW704" i="1" s="1"/>
  <c r="AX704" i="1" a="1"/>
  <c r="AX704" i="1" s="1"/>
  <c r="AY704" i="1" a="1"/>
  <c r="AY704" i="1" s="1"/>
  <c r="AS700" i="1"/>
  <c r="BR700" i="1"/>
  <c r="BQ700" i="1" s="1"/>
  <c r="BT700" i="1"/>
  <c r="BS700" i="1" s="1"/>
  <c r="AO701" i="1"/>
  <c r="AO702" i="1" s="1"/>
  <c r="AL701" i="1"/>
  <c r="AP701" i="1" s="1"/>
  <c r="AP702" i="1" s="1"/>
  <c r="AD703" i="1"/>
  <c r="AF703" i="1" s="1"/>
  <c r="BN702" i="1"/>
  <c r="BO702" i="1" s="1"/>
  <c r="BP702" i="1" s="1"/>
  <c r="BJ702" i="1"/>
  <c r="AI703" i="1"/>
  <c r="AJ703" i="1"/>
  <c r="AJ704" i="1" s="1"/>
  <c r="BE711" i="1"/>
  <c r="AS711" i="1" s="1"/>
  <c r="BF711" i="1"/>
  <c r="BG711" i="1"/>
  <c r="BR711" i="1"/>
  <c r="BQ711" i="1" s="1"/>
  <c r="AQ702" i="1"/>
  <c r="Y702" i="1" a="1"/>
  <c r="Y702" i="1" s="1"/>
  <c r="AH702" i="1" s="1"/>
  <c r="BA711" i="1"/>
  <c r="AA711" i="1"/>
  <c r="S712" i="1"/>
  <c r="AB704" i="1"/>
  <c r="AC704" i="1" s="1"/>
  <c r="T705" i="1"/>
  <c r="U704" i="1"/>
  <c r="AT704" i="1" s="1"/>
  <c r="V704" i="1"/>
  <c r="AU704" i="1" s="1"/>
  <c r="BK702" i="1" l="1"/>
  <c r="BH702" i="1" a="1"/>
  <c r="BH702" i="1" s="1"/>
  <c r="BH703" i="1" s="1" a="1"/>
  <c r="BH703" i="1" s="1"/>
  <c r="BT702" i="1"/>
  <c r="BS702" i="1" s="1"/>
  <c r="AF704" i="1"/>
  <c r="AJ705" i="1"/>
  <c r="AX705" i="1" a="1"/>
  <c r="AX705" i="1" s="1"/>
  <c r="AY705" i="1" a="1"/>
  <c r="AY705" i="1" s="1"/>
  <c r="AW705" i="1" a="1"/>
  <c r="AW705" i="1" s="1"/>
  <c r="AS702" i="1"/>
  <c r="BR702" i="1"/>
  <c r="BQ702" i="1" s="1"/>
  <c r="BK704" i="1"/>
  <c r="BK703" i="1"/>
  <c r="BI703" i="1"/>
  <c r="AD704" i="1"/>
  <c r="BI704" i="1" s="1"/>
  <c r="BN703" i="1"/>
  <c r="BO703" i="1" s="1"/>
  <c r="BJ703" i="1"/>
  <c r="AN704" i="1"/>
  <c r="AE704" i="1"/>
  <c r="AE705" i="1" s="1"/>
  <c r="BF712" i="1"/>
  <c r="BG712" i="1"/>
  <c r="BD712" i="1"/>
  <c r="BE712" i="1"/>
  <c r="AG712" i="1"/>
  <c r="AI704" i="1"/>
  <c r="AI705" i="1" s="1"/>
  <c r="AK703" i="1"/>
  <c r="BA712" i="1"/>
  <c r="AA712" i="1"/>
  <c r="S713" i="1"/>
  <c r="V705" i="1"/>
  <c r="AU705" i="1" s="1"/>
  <c r="AB705" i="1"/>
  <c r="AC705" i="1" s="1"/>
  <c r="T706" i="1"/>
  <c r="U705" i="1"/>
  <c r="AT705" i="1" s="1"/>
  <c r="BP703" i="1" l="1"/>
  <c r="AV706" i="1" a="1"/>
  <c r="AV706" i="1" s="1"/>
  <c r="AW706" i="1" a="1"/>
  <c r="AW706" i="1" s="1"/>
  <c r="AY706" i="1" a="1"/>
  <c r="AY706" i="1" s="1"/>
  <c r="AX706" i="1" a="1"/>
  <c r="AX706" i="1" s="1"/>
  <c r="BH704" i="1" a="1"/>
  <c r="BH704" i="1" s="1"/>
  <c r="AO703" i="1"/>
  <c r="AO704" i="1" s="1"/>
  <c r="AO705" i="1" s="1"/>
  <c r="AL703" i="1"/>
  <c r="AP703" i="1" s="1"/>
  <c r="AP704" i="1" s="1"/>
  <c r="AP705" i="1" s="1"/>
  <c r="AN705" i="1"/>
  <c r="AD705" i="1"/>
  <c r="AF705" i="1"/>
  <c r="BN704" i="1"/>
  <c r="BO704" i="1" s="1"/>
  <c r="BP704" i="1" s="1"/>
  <c r="BJ704" i="1"/>
  <c r="AM705" i="1"/>
  <c r="AR705" i="1"/>
  <c r="BR713" i="1"/>
  <c r="BQ713" i="1" s="1"/>
  <c r="AG713" i="1"/>
  <c r="AM704" i="1"/>
  <c r="AR704" i="1"/>
  <c r="BA713" i="1"/>
  <c r="AA713" i="1"/>
  <c r="S714" i="1"/>
  <c r="AB706" i="1"/>
  <c r="AC706" i="1" s="1"/>
  <c r="AE706" i="1" s="1"/>
  <c r="T707" i="1"/>
  <c r="V706" i="1"/>
  <c r="AU706" i="1" s="1"/>
  <c r="U706" i="1"/>
  <c r="AT706" i="1" s="1"/>
  <c r="BH705" i="1" l="1" a="1"/>
  <c r="BH705" i="1" s="1"/>
  <c r="AV707" i="1" a="1"/>
  <c r="AV707" i="1" s="1"/>
  <c r="AW707" i="1" a="1"/>
  <c r="AW707" i="1" s="1"/>
  <c r="AX707" i="1" a="1"/>
  <c r="AX707" i="1" s="1"/>
  <c r="AY707" i="1" a="1"/>
  <c r="AY707" i="1" s="1"/>
  <c r="AD706" i="1"/>
  <c r="BI705" i="1"/>
  <c r="BK705" i="1"/>
  <c r="BN705" i="1"/>
  <c r="BO705" i="1" s="1"/>
  <c r="BJ705" i="1"/>
  <c r="AI706" i="1"/>
  <c r="AK706" i="1" s="1"/>
  <c r="AJ706" i="1"/>
  <c r="AF706" i="1"/>
  <c r="AG714" i="1"/>
  <c r="BE714" i="1"/>
  <c r="BD714" i="1"/>
  <c r="BF714" i="1"/>
  <c r="BG714" i="1"/>
  <c r="AQ704" i="1"/>
  <c r="Y704" i="1" a="1"/>
  <c r="Y704" i="1" s="1"/>
  <c r="AH704" i="1" s="1"/>
  <c r="Y705" i="1" a="1"/>
  <c r="Y705" i="1" s="1"/>
  <c r="AH705" i="1" s="1"/>
  <c r="BR705" i="1" s="1"/>
  <c r="AQ705" i="1"/>
  <c r="BA714" i="1"/>
  <c r="AA714" i="1"/>
  <c r="S715" i="1"/>
  <c r="AB707" i="1"/>
  <c r="AC707" i="1" s="1"/>
  <c r="AD707" i="1" s="1"/>
  <c r="V707" i="1"/>
  <c r="AU707" i="1" s="1"/>
  <c r="T708" i="1"/>
  <c r="U707" i="1"/>
  <c r="AT707" i="1" s="1"/>
  <c r="AS704" i="1" l="1"/>
  <c r="BR704" i="1"/>
  <c r="BQ704" i="1" s="1"/>
  <c r="BT704" i="1"/>
  <c r="BS704" i="1" s="1"/>
  <c r="BF715" i="1"/>
  <c r="BD715" i="1"/>
  <c r="BE715" i="1"/>
  <c r="BE716" i="1" s="1"/>
  <c r="AE707" i="1"/>
  <c r="BT705" i="1"/>
  <c r="BS705" i="1" s="1"/>
  <c r="AV708" i="1" a="1"/>
  <c r="AV708" i="1" s="1"/>
  <c r="AY708" i="1" a="1"/>
  <c r="AY708" i="1" s="1"/>
  <c r="AW708" i="1" a="1"/>
  <c r="AW708" i="1" s="1"/>
  <c r="AX708" i="1" a="1"/>
  <c r="AX708" i="1" s="1"/>
  <c r="BP705" i="1"/>
  <c r="AJ707" i="1"/>
  <c r="AJ708" i="1" s="1"/>
  <c r="BH706" i="1" a="1"/>
  <c r="BH706" i="1" s="1"/>
  <c r="AO706" i="1"/>
  <c r="AO707" i="1" s="1"/>
  <c r="AO708" i="1" s="1"/>
  <c r="AL706" i="1"/>
  <c r="AP706" i="1" s="1"/>
  <c r="BN706" i="1"/>
  <c r="BO706" i="1" s="1"/>
  <c r="BP706" i="1" s="1"/>
  <c r="BJ706" i="1"/>
  <c r="BK706" i="1" s="1"/>
  <c r="AI707" i="1"/>
  <c r="AP707" i="1"/>
  <c r="AN707" i="1"/>
  <c r="AG715" i="1"/>
  <c r="BG715" i="1"/>
  <c r="BG716" i="1" s="1"/>
  <c r="AS705" i="1"/>
  <c r="BQ705" i="1"/>
  <c r="AF707" i="1"/>
  <c r="BI706" i="1"/>
  <c r="BA715" i="1"/>
  <c r="S716" i="1"/>
  <c r="AA715" i="1"/>
  <c r="AB708" i="1"/>
  <c r="AC708" i="1" s="1"/>
  <c r="T709" i="1"/>
  <c r="V708" i="1"/>
  <c r="AU708" i="1" s="1"/>
  <c r="U708" i="1"/>
  <c r="AT708" i="1" s="1"/>
  <c r="AE708" i="1" l="1"/>
  <c r="AW709" i="1" a="1"/>
  <c r="AW709" i="1" s="1"/>
  <c r="AY709" i="1" a="1"/>
  <c r="AY709" i="1" s="1"/>
  <c r="BJ707" i="1"/>
  <c r="BK707" i="1" s="1"/>
  <c r="BD716" i="1"/>
  <c r="AP708" i="1"/>
  <c r="BF716" i="1"/>
  <c r="BH707" i="1" a="1"/>
  <c r="BH707" i="1" s="1"/>
  <c r="AI708" i="1"/>
  <c r="BN707" i="1"/>
  <c r="BO707" i="1" s="1"/>
  <c r="BP707" i="1" s="1"/>
  <c r="AN708" i="1"/>
  <c r="AR708" i="1" s="1"/>
  <c r="AD708" i="1"/>
  <c r="AR707" i="1"/>
  <c r="AM707" i="1"/>
  <c r="AG716" i="1"/>
  <c r="AF708" i="1"/>
  <c r="BI708" i="1" s="1"/>
  <c r="BI707" i="1"/>
  <c r="BA716" i="1"/>
  <c r="AA716" i="1"/>
  <c r="S717" i="1"/>
  <c r="U709" i="1"/>
  <c r="AT709" i="1" s="1"/>
  <c r="AB709" i="1"/>
  <c r="AC709" i="1" s="1"/>
  <c r="V709" i="1"/>
  <c r="AU709" i="1" s="1"/>
  <c r="T710" i="1"/>
  <c r="AW710" i="1" l="1" a="1"/>
  <c r="AW710" i="1" s="1"/>
  <c r="AV710" i="1" a="1"/>
  <c r="AV710" i="1" s="1"/>
  <c r="AX710" i="1" a="1"/>
  <c r="AX710" i="1" s="1"/>
  <c r="BH708" i="1" a="1"/>
  <c r="BH708" i="1" s="1"/>
  <c r="AM708" i="1"/>
  <c r="AD709" i="1"/>
  <c r="AQ707" i="1"/>
  <c r="Y707" i="1" a="1"/>
  <c r="Y707" i="1" s="1"/>
  <c r="AH707" i="1" s="1"/>
  <c r="BN708" i="1"/>
  <c r="BO708" i="1" s="1"/>
  <c r="BP708" i="1" s="1"/>
  <c r="BJ708" i="1"/>
  <c r="BK708" i="1" s="1"/>
  <c r="AI709" i="1"/>
  <c r="AK709" i="1" s="1"/>
  <c r="AJ709" i="1"/>
  <c r="AF709" i="1"/>
  <c r="BI709" i="1" s="1"/>
  <c r="AG717" i="1"/>
  <c r="Y708" i="1" a="1"/>
  <c r="Y708" i="1" s="1"/>
  <c r="AH708" i="1" s="1"/>
  <c r="BR708" i="1" s="1"/>
  <c r="AQ708" i="1"/>
  <c r="BA717" i="1"/>
  <c r="AA717" i="1"/>
  <c r="S718" i="1"/>
  <c r="AB710" i="1"/>
  <c r="AC710" i="1" s="1"/>
  <c r="T711" i="1"/>
  <c r="V710" i="1"/>
  <c r="AU710" i="1" s="1"/>
  <c r="U710" i="1"/>
  <c r="AT710" i="1" s="1"/>
  <c r="BT707" i="1" l="1"/>
  <c r="BS707" i="1" s="1"/>
  <c r="AS707" i="1"/>
  <c r="BR707" i="1"/>
  <c r="BQ707" i="1" s="1"/>
  <c r="AX711" i="1" a="1"/>
  <c r="AX711" i="1" s="1"/>
  <c r="AV711" i="1" a="1"/>
  <c r="AV711" i="1" s="1"/>
  <c r="AW711" i="1" a="1"/>
  <c r="AW711" i="1" s="1"/>
  <c r="AD710" i="1"/>
  <c r="BN710" i="1" s="1"/>
  <c r="BO710" i="1" s="1"/>
  <c r="BP710" i="1" s="1"/>
  <c r="BH709" i="1" a="1"/>
  <c r="BH709" i="1" s="1"/>
  <c r="BT708" i="1"/>
  <c r="BS708" i="1" s="1"/>
  <c r="AJ710" i="1"/>
  <c r="AO709" i="1"/>
  <c r="AO710" i="1" s="1"/>
  <c r="AL709" i="1"/>
  <c r="AP709" i="1" s="1"/>
  <c r="AP710" i="1" s="1"/>
  <c r="BN709" i="1"/>
  <c r="BO709" i="1" s="1"/>
  <c r="BP709" i="1" s="1"/>
  <c r="BJ709" i="1"/>
  <c r="BK709" i="1" s="1"/>
  <c r="AN710" i="1"/>
  <c r="AI710" i="1"/>
  <c r="AE710" i="1"/>
  <c r="BJ710" i="1" s="1"/>
  <c r="BK710" i="1" s="1"/>
  <c r="AF710" i="1"/>
  <c r="BI710" i="1" s="1"/>
  <c r="AG718" i="1"/>
  <c r="BF718" i="1"/>
  <c r="BF719" i="1" s="1"/>
  <c r="BE718" i="1"/>
  <c r="BE719" i="1" s="1"/>
  <c r="BG718" i="1"/>
  <c r="BG719" i="1" s="1"/>
  <c r="BD718" i="1"/>
  <c r="AS708" i="1"/>
  <c r="BQ708" i="1"/>
  <c r="BA718" i="1"/>
  <c r="AA718" i="1"/>
  <c r="S719" i="1"/>
  <c r="AB711" i="1"/>
  <c r="AC711" i="1" s="1"/>
  <c r="T712" i="1"/>
  <c r="V711" i="1"/>
  <c r="AU711" i="1" s="1"/>
  <c r="U711" i="1"/>
  <c r="AT711" i="1" s="1"/>
  <c r="BH710" i="1" l="1" a="1"/>
  <c r="BH710" i="1" s="1"/>
  <c r="AW712" i="1" a="1"/>
  <c r="AW712" i="1" s="1"/>
  <c r="AX712" i="1" a="1"/>
  <c r="AX712" i="1" s="1"/>
  <c r="AY712" i="1" a="1"/>
  <c r="AY712" i="1" s="1"/>
  <c r="AD711" i="1"/>
  <c r="AF711" i="1" s="1"/>
  <c r="AM710" i="1"/>
  <c r="AR710" i="1"/>
  <c r="AI711" i="1"/>
  <c r="AJ711" i="1"/>
  <c r="AJ712" i="1" s="1"/>
  <c r="AG719" i="1"/>
  <c r="BD719" i="1"/>
  <c r="BA719" i="1"/>
  <c r="AA719" i="1"/>
  <c r="S720" i="1"/>
  <c r="BF720" i="1" s="1"/>
  <c r="U712" i="1"/>
  <c r="AT712" i="1" s="1"/>
  <c r="AB712" i="1"/>
  <c r="AC712" i="1" s="1"/>
  <c r="V712" i="1"/>
  <c r="AU712" i="1" s="1"/>
  <c r="T713" i="1"/>
  <c r="BG720" i="1" l="1"/>
  <c r="AF712" i="1"/>
  <c r="BD720" i="1"/>
  <c r="BH711" i="1" a="1"/>
  <c r="BH711" i="1" s="1"/>
  <c r="BK712" i="1"/>
  <c r="BI711" i="1"/>
  <c r="BP711" i="1" s="1"/>
  <c r="BK711" i="1"/>
  <c r="AD712" i="1"/>
  <c r="BI712" i="1" s="1"/>
  <c r="AQ710" i="1"/>
  <c r="Y710" i="1" a="1"/>
  <c r="Y710" i="1" s="1"/>
  <c r="AH710" i="1" s="1"/>
  <c r="BN711" i="1"/>
  <c r="BO711" i="1" s="1"/>
  <c r="BJ711" i="1"/>
  <c r="AE712" i="1"/>
  <c r="AN712" i="1"/>
  <c r="AG720" i="1"/>
  <c r="BE720" i="1"/>
  <c r="AI712" i="1"/>
  <c r="AK711" i="1"/>
  <c r="BA720" i="1"/>
  <c r="AA720" i="1"/>
  <c r="S721" i="1"/>
  <c r="AB713" i="1"/>
  <c r="AC713" i="1" s="1"/>
  <c r="V713" i="1"/>
  <c r="T714" i="1"/>
  <c r="U713" i="1"/>
  <c r="BH712" i="1" l="1" a="1"/>
  <c r="BH712" i="1" s="1"/>
  <c r="BT710" i="1"/>
  <c r="BS710" i="1" s="1"/>
  <c r="AS710" i="1"/>
  <c r="BR710" i="1"/>
  <c r="BQ710" i="1" s="1"/>
  <c r="AO711" i="1"/>
  <c r="AO712" i="1" s="1"/>
  <c r="AL711" i="1"/>
  <c r="AP711" i="1" s="1"/>
  <c r="AP712" i="1" s="1"/>
  <c r="AD713" i="1"/>
  <c r="BN712" i="1"/>
  <c r="BO712" i="1" s="1"/>
  <c r="BP712" i="1" s="1"/>
  <c r="BJ712" i="1"/>
  <c r="AI713" i="1"/>
  <c r="AK713" i="1" s="1"/>
  <c r="AJ713" i="1"/>
  <c r="AE713" i="1"/>
  <c r="AF713" i="1"/>
  <c r="BR721" i="1"/>
  <c r="BQ721" i="1" s="1"/>
  <c r="AG721" i="1"/>
  <c r="AM712" i="1"/>
  <c r="AR712" i="1"/>
  <c r="BA721" i="1"/>
  <c r="AA721" i="1"/>
  <c r="S722" i="1"/>
  <c r="AB714" i="1"/>
  <c r="AC714" i="1" s="1"/>
  <c r="T715" i="1"/>
  <c r="U714" i="1"/>
  <c r="V714" i="1"/>
  <c r="AD714" i="1" l="1"/>
  <c r="AJ714" i="1"/>
  <c r="AJ715" i="1" s="1"/>
  <c r="AO713" i="1"/>
  <c r="AL713" i="1"/>
  <c r="AP713" i="1" s="1"/>
  <c r="BI713" i="1"/>
  <c r="BJ713" i="1"/>
  <c r="BK713" i="1" s="1"/>
  <c r="BH713" i="1" s="1" a="1"/>
  <c r="BH713" i="1" s="1"/>
  <c r="BN713" i="1"/>
  <c r="BO713" i="1" s="1"/>
  <c r="BP713" i="1" s="1"/>
  <c r="AP714" i="1"/>
  <c r="AP715" i="1" s="1"/>
  <c r="AO714" i="1"/>
  <c r="AO715" i="1" s="1"/>
  <c r="AN714" i="1"/>
  <c r="AE714" i="1"/>
  <c r="BJ714" i="1" s="1"/>
  <c r="AF714" i="1"/>
  <c r="AI714" i="1"/>
  <c r="AG722" i="1"/>
  <c r="BE722" i="1"/>
  <c r="BF722" i="1"/>
  <c r="BD722" i="1"/>
  <c r="BG722" i="1"/>
  <c r="AQ712" i="1"/>
  <c r="Y712" i="1" a="1"/>
  <c r="Y712" i="1" s="1"/>
  <c r="AH712" i="1" s="1"/>
  <c r="BA722" i="1"/>
  <c r="AA722" i="1"/>
  <c r="S723" i="1"/>
  <c r="AB715" i="1"/>
  <c r="AC715" i="1" s="1"/>
  <c r="AD715" i="1" s="1"/>
  <c r="T716" i="1"/>
  <c r="V715" i="1"/>
  <c r="U715" i="1"/>
  <c r="BH714" i="1" l="1" a="1"/>
  <c r="BH714" i="1" s="1"/>
  <c r="BF723" i="1"/>
  <c r="BN714" i="1"/>
  <c r="BO714" i="1" s="1"/>
  <c r="BT712" i="1"/>
  <c r="BS712" i="1" s="1"/>
  <c r="AS712" i="1"/>
  <c r="BR712" i="1"/>
  <c r="BQ712" i="1" s="1"/>
  <c r="BG723" i="1"/>
  <c r="AI715" i="1"/>
  <c r="BN715" i="1"/>
  <c r="BO715" i="1" s="1"/>
  <c r="BJ715" i="1"/>
  <c r="BI714" i="1"/>
  <c r="BK714" i="1"/>
  <c r="AM714" i="1"/>
  <c r="AR714" i="1"/>
  <c r="AE715" i="1"/>
  <c r="AF715" i="1"/>
  <c r="AN715" i="1"/>
  <c r="AG723" i="1"/>
  <c r="BE723" i="1"/>
  <c r="BD723" i="1"/>
  <c r="BA723" i="1"/>
  <c r="AA723" i="1"/>
  <c r="S724" i="1"/>
  <c r="AB716" i="1"/>
  <c r="AC716" i="1" s="1"/>
  <c r="AD716" i="1" s="1"/>
  <c r="U716" i="1"/>
  <c r="T717" i="1"/>
  <c r="V716" i="1"/>
  <c r="AI716" i="1" l="1"/>
  <c r="AI717" i="1" s="1"/>
  <c r="AJ716" i="1"/>
  <c r="AJ717" i="1" s="1"/>
  <c r="AP716" i="1"/>
  <c r="BP714" i="1"/>
  <c r="X717" i="1" a="1"/>
  <c r="X717" i="1" s="1"/>
  <c r="W717" i="1" s="1" a="1"/>
  <c r="W717" i="1" s="1"/>
  <c r="AO716" i="1"/>
  <c r="BH715" i="1" a="1"/>
  <c r="BH715" i="1" s="1"/>
  <c r="BJ716" i="1"/>
  <c r="BN716" i="1"/>
  <c r="BO716" i="1" s="1"/>
  <c r="BI715" i="1"/>
  <c r="BP715" i="1" s="1"/>
  <c r="BK715" i="1"/>
  <c r="AQ714" i="1"/>
  <c r="Y714" i="1" a="1"/>
  <c r="Y714" i="1" s="1"/>
  <c r="AH714" i="1" s="1"/>
  <c r="BR714" i="1" s="1"/>
  <c r="AE716" i="1"/>
  <c r="AF716" i="1"/>
  <c r="AN716" i="1"/>
  <c r="AG724" i="1"/>
  <c r="BR724" i="1"/>
  <c r="BQ724" i="1" s="1"/>
  <c r="BF724" i="1"/>
  <c r="AR715" i="1"/>
  <c r="AM715" i="1"/>
  <c r="BA724" i="1"/>
  <c r="AA724" i="1"/>
  <c r="S725" i="1"/>
  <c r="AB717" i="1"/>
  <c r="AC717" i="1" s="1"/>
  <c r="AD717" i="1" s="1"/>
  <c r="V717" i="1"/>
  <c r="T718" i="1"/>
  <c r="U717" i="1"/>
  <c r="BH716" i="1" l="1" a="1"/>
  <c r="BH716" i="1" s="1"/>
  <c r="AN717" i="1"/>
  <c r="X718" i="1" a="1"/>
  <c r="X718" i="1" s="1"/>
  <c r="W718" i="1" s="1" a="1"/>
  <c r="W718" i="1" s="1"/>
  <c r="AN718" i="1" s="1"/>
  <c r="AK717" i="1"/>
  <c r="AO717" i="1" s="1"/>
  <c r="BT714" i="1"/>
  <c r="BJ717" i="1"/>
  <c r="BN717" i="1"/>
  <c r="BO717" i="1" s="1"/>
  <c r="BI716" i="1"/>
  <c r="BP716" i="1" s="1"/>
  <c r="BK716" i="1"/>
  <c r="AS714" i="1"/>
  <c r="BQ714" i="1"/>
  <c r="AE717" i="1"/>
  <c r="AF717" i="1"/>
  <c r="AG725" i="1"/>
  <c r="BF725" i="1"/>
  <c r="BG725" i="1"/>
  <c r="BD725" i="1"/>
  <c r="BE725" i="1"/>
  <c r="Y715" i="1" a="1"/>
  <c r="Y715" i="1" s="1"/>
  <c r="AH715" i="1" s="1"/>
  <c r="BR715" i="1" s="1"/>
  <c r="AQ715" i="1"/>
  <c r="AR716" i="1"/>
  <c r="AM716" i="1"/>
  <c r="AM717" i="1"/>
  <c r="AR717" i="1"/>
  <c r="BA725" i="1"/>
  <c r="AA725" i="1"/>
  <c r="S726" i="1"/>
  <c r="T719" i="1"/>
  <c r="V718" i="1"/>
  <c r="AB718" i="1"/>
  <c r="AC718" i="1" s="1"/>
  <c r="AD718" i="1" s="1"/>
  <c r="U718" i="1"/>
  <c r="BS714" i="1" l="1"/>
  <c r="AJ718" i="1"/>
  <c r="X719" i="1" a="1"/>
  <c r="X719" i="1" s="1"/>
  <c r="W719" i="1" s="1" a="1"/>
  <c r="W719" i="1" s="1"/>
  <c r="AN719" i="1" s="1"/>
  <c r="AL718" i="1"/>
  <c r="AK718" i="1"/>
  <c r="AO718" i="1" s="1"/>
  <c r="BH717" i="1" a="1"/>
  <c r="BH717" i="1" s="1"/>
  <c r="AE718" i="1"/>
  <c r="BT715" i="1"/>
  <c r="AL717" i="1"/>
  <c r="AP717" i="1" s="1"/>
  <c r="AP718" i="1" s="1"/>
  <c r="BJ718" i="1"/>
  <c r="BN718" i="1"/>
  <c r="BO718" i="1" s="1"/>
  <c r="BI717" i="1"/>
  <c r="BP717" i="1" s="1"/>
  <c r="BK717" i="1"/>
  <c r="AI718" i="1"/>
  <c r="AF718" i="1"/>
  <c r="BR726" i="1"/>
  <c r="BQ726" i="1" s="1"/>
  <c r="AG726" i="1"/>
  <c r="AQ717" i="1"/>
  <c r="Y717" i="1" a="1"/>
  <c r="Y717" i="1" s="1"/>
  <c r="AH717" i="1" s="1"/>
  <c r="BR717" i="1" s="1"/>
  <c r="AQ716" i="1"/>
  <c r="Y716" i="1" a="1"/>
  <c r="Y716" i="1" s="1"/>
  <c r="AH716" i="1" s="1"/>
  <c r="BR716" i="1" s="1"/>
  <c r="AS715" i="1"/>
  <c r="BQ715" i="1"/>
  <c r="AR718" i="1"/>
  <c r="AM718" i="1"/>
  <c r="BA726" i="1"/>
  <c r="AA726" i="1"/>
  <c r="S727" i="1"/>
  <c r="U719" i="1"/>
  <c r="T720" i="1"/>
  <c r="AB719" i="1"/>
  <c r="AC719" i="1" s="1"/>
  <c r="AD719" i="1" s="1"/>
  <c r="V719" i="1"/>
  <c r="BT717" i="1" l="1"/>
  <c r="BT716" i="1"/>
  <c r="BS715" i="1"/>
  <c r="X720" i="1" a="1"/>
  <c r="X720" i="1" s="1"/>
  <c r="W720" i="1" s="1" a="1"/>
  <c r="W720" i="1" s="1"/>
  <c r="AK720" i="1" s="1"/>
  <c r="AL719" i="1"/>
  <c r="AP719" i="1" s="1"/>
  <c r="AK719" i="1"/>
  <c r="AO719" i="1" s="1"/>
  <c r="AO720" i="1" s="1"/>
  <c r="BH718" i="1" a="1"/>
  <c r="BH718" i="1" s="1"/>
  <c r="AI719" i="1"/>
  <c r="AJ719" i="1"/>
  <c r="BI718" i="1"/>
  <c r="BP718" i="1" s="1"/>
  <c r="BK718" i="1"/>
  <c r="AE719" i="1"/>
  <c r="BN719" i="1" s="1"/>
  <c r="BO719" i="1" s="1"/>
  <c r="AF719" i="1"/>
  <c r="AG727" i="1"/>
  <c r="BE727" i="1"/>
  <c r="BF727" i="1"/>
  <c r="BD727" i="1"/>
  <c r="BG727" i="1"/>
  <c r="Y718" i="1" a="1"/>
  <c r="Y718" i="1" s="1"/>
  <c r="AH718" i="1" s="1"/>
  <c r="BR718" i="1" s="1"/>
  <c r="AQ718" i="1"/>
  <c r="AS716" i="1"/>
  <c r="BQ716" i="1"/>
  <c r="AS717" i="1"/>
  <c r="BQ717" i="1"/>
  <c r="AM719" i="1"/>
  <c r="AR719" i="1"/>
  <c r="BA727" i="1"/>
  <c r="AA727" i="1"/>
  <c r="S728" i="1"/>
  <c r="AB720" i="1"/>
  <c r="AC720" i="1" s="1"/>
  <c r="AD720" i="1" s="1"/>
  <c r="U720" i="1"/>
  <c r="T721" i="1"/>
  <c r="V720" i="1"/>
  <c r="BH719" i="1" l="1" a="1"/>
  <c r="BH719" i="1" s="1"/>
  <c r="AN720" i="1"/>
  <c r="AL720" i="1"/>
  <c r="AP720" i="1" s="1"/>
  <c r="BS716" i="1"/>
  <c r="BG728" i="1"/>
  <c r="BS717" i="1"/>
  <c r="BT718" i="1"/>
  <c r="BD728" i="1"/>
  <c r="BJ719" i="1"/>
  <c r="BF728" i="1"/>
  <c r="AJ720" i="1"/>
  <c r="AW721" i="1" a="1"/>
  <c r="AW721" i="1" s="1"/>
  <c r="AX721" i="1" a="1"/>
  <c r="AX721" i="1" s="1"/>
  <c r="AV721" i="1" a="1"/>
  <c r="AV721" i="1" s="1"/>
  <c r="BE728" i="1"/>
  <c r="AI720" i="1"/>
  <c r="BJ720" i="1"/>
  <c r="BN720" i="1"/>
  <c r="BO720" i="1" s="1"/>
  <c r="BI719" i="1"/>
  <c r="BP719" i="1" s="1"/>
  <c r="BK719" i="1"/>
  <c r="AE720" i="1"/>
  <c r="AF720" i="1"/>
  <c r="AG728" i="1"/>
  <c r="AQ719" i="1"/>
  <c r="Y719" i="1" a="1"/>
  <c r="Y719" i="1" s="1"/>
  <c r="AH719" i="1" s="1"/>
  <c r="BR719" i="1" s="1"/>
  <c r="AM720" i="1"/>
  <c r="AR720" i="1"/>
  <c r="BQ718" i="1"/>
  <c r="AS718" i="1"/>
  <c r="BA728" i="1"/>
  <c r="AA728" i="1"/>
  <c r="S729" i="1"/>
  <c r="AB721" i="1"/>
  <c r="AC721" i="1" s="1"/>
  <c r="T722" i="1"/>
  <c r="U721" i="1"/>
  <c r="V721" i="1"/>
  <c r="BS718" i="1" l="1"/>
  <c r="BH720" i="1" a="1"/>
  <c r="BH720" i="1" s="1"/>
  <c r="BT719" i="1"/>
  <c r="AX722" i="1" a="1"/>
  <c r="AX722" i="1" s="1"/>
  <c r="AY722" i="1" a="1"/>
  <c r="AY722" i="1" s="1"/>
  <c r="AV722" i="1" a="1"/>
  <c r="AV722" i="1" s="1"/>
  <c r="AW722" i="1" a="1"/>
  <c r="AW722" i="1" s="1"/>
  <c r="AD721" i="1"/>
  <c r="BI720" i="1"/>
  <c r="BP720" i="1" s="1"/>
  <c r="BK720" i="1"/>
  <c r="AI721" i="1"/>
  <c r="AK721" i="1" s="1"/>
  <c r="AJ721" i="1"/>
  <c r="AJ722" i="1" s="1"/>
  <c r="AF721" i="1"/>
  <c r="BR729" i="1"/>
  <c r="BQ729" i="1" s="1"/>
  <c r="BF729" i="1"/>
  <c r="BF730" i="1" s="1"/>
  <c r="BG729" i="1"/>
  <c r="BG730" i="1" s="1"/>
  <c r="AQ720" i="1"/>
  <c r="Y720" i="1" a="1"/>
  <c r="Y720" i="1" s="1"/>
  <c r="AH720" i="1" s="1"/>
  <c r="BR720" i="1" s="1"/>
  <c r="AS719" i="1"/>
  <c r="BQ719" i="1"/>
  <c r="BA729" i="1"/>
  <c r="AA729" i="1"/>
  <c r="S730" i="1"/>
  <c r="AB722" i="1"/>
  <c r="AC722" i="1" s="1"/>
  <c r="T723" i="1"/>
  <c r="U722" i="1"/>
  <c r="V722" i="1"/>
  <c r="BT720" i="1" l="1"/>
  <c r="BS719" i="1"/>
  <c r="AX723" i="1" a="1"/>
  <c r="AX723" i="1" s="1"/>
  <c r="AW723" i="1" a="1"/>
  <c r="AW723" i="1" s="1"/>
  <c r="AJ723" i="1"/>
  <c r="AD722" i="1"/>
  <c r="BN722" i="1" s="1"/>
  <c r="BO722" i="1" s="1"/>
  <c r="AO721" i="1"/>
  <c r="AO722" i="1" s="1"/>
  <c r="AO723" i="1" s="1"/>
  <c r="AL721" i="1"/>
  <c r="AP721" i="1" s="1"/>
  <c r="BI721" i="1"/>
  <c r="BJ721" i="1"/>
  <c r="BK721" i="1" s="1"/>
  <c r="BH721" i="1" s="1" a="1"/>
  <c r="BH721" i="1" s="1"/>
  <c r="BN721" i="1"/>
  <c r="BO721" i="1" s="1"/>
  <c r="BP721" i="1" s="1"/>
  <c r="AP722" i="1"/>
  <c r="AE722" i="1"/>
  <c r="AF722" i="1"/>
  <c r="AI722" i="1"/>
  <c r="AI723" i="1" s="1"/>
  <c r="AN722" i="1"/>
  <c r="AG730" i="1"/>
  <c r="BE730" i="1"/>
  <c r="BD730" i="1"/>
  <c r="BQ720" i="1"/>
  <c r="AS720" i="1"/>
  <c r="BA730" i="1"/>
  <c r="AA730" i="1"/>
  <c r="S731" i="1"/>
  <c r="AB723" i="1"/>
  <c r="AC723" i="1" s="1"/>
  <c r="T724" i="1"/>
  <c r="U723" i="1"/>
  <c r="V723" i="1"/>
  <c r="AW724" i="1" l="1" a="1"/>
  <c r="AW724" i="1" s="1"/>
  <c r="AD723" i="1"/>
  <c r="BN723" i="1" s="1"/>
  <c r="BO723" i="1" s="1"/>
  <c r="AP723" i="1"/>
  <c r="BJ722" i="1"/>
  <c r="BK722" i="1" s="1"/>
  <c r="BH722" i="1" s="1" a="1"/>
  <c r="BH722" i="1" s="1"/>
  <c r="BS720" i="1"/>
  <c r="BI722" i="1"/>
  <c r="BP722" i="1" s="1"/>
  <c r="AE723" i="1"/>
  <c r="AF723" i="1"/>
  <c r="AN723" i="1"/>
  <c r="AG731" i="1"/>
  <c r="BR731" i="1"/>
  <c r="BQ731" i="1" s="1"/>
  <c r="AR722" i="1"/>
  <c r="AM722" i="1"/>
  <c r="BA731" i="1"/>
  <c r="AA731" i="1"/>
  <c r="S732" i="1"/>
  <c r="AB724" i="1"/>
  <c r="AC724" i="1" s="1"/>
  <c r="T725" i="1"/>
  <c r="V724" i="1"/>
  <c r="U724" i="1"/>
  <c r="AW725" i="1" l="1" a="1"/>
  <c r="AW725" i="1" s="1"/>
  <c r="AX725" i="1" a="1"/>
  <c r="AX725" i="1" s="1"/>
  <c r="BJ723" i="1"/>
  <c r="AD724" i="1"/>
  <c r="BI723" i="1"/>
  <c r="BP723" i="1" s="1"/>
  <c r="BK723" i="1"/>
  <c r="BH723" i="1" s="1" a="1"/>
  <c r="BH723" i="1" s="1"/>
  <c r="AF724" i="1"/>
  <c r="BI724" i="1" s="1"/>
  <c r="AI724" i="1"/>
  <c r="AK724" i="1" s="1"/>
  <c r="AJ724" i="1"/>
  <c r="AJ725" i="1" s="1"/>
  <c r="AG732" i="1"/>
  <c r="BD732" i="1"/>
  <c r="BF732" i="1"/>
  <c r="BG732" i="1"/>
  <c r="BE732" i="1"/>
  <c r="AQ722" i="1"/>
  <c r="Y722" i="1" a="1"/>
  <c r="Y722" i="1" s="1"/>
  <c r="AH722" i="1" s="1"/>
  <c r="BR722" i="1" s="1"/>
  <c r="AM723" i="1"/>
  <c r="AR723" i="1"/>
  <c r="BA732" i="1"/>
  <c r="AA732" i="1"/>
  <c r="S733" i="1"/>
  <c r="T726" i="1"/>
  <c r="AB725" i="1"/>
  <c r="AC725" i="1" s="1"/>
  <c r="U725" i="1"/>
  <c r="V725" i="1"/>
  <c r="BH724" i="1" l="1" a="1"/>
  <c r="BH724" i="1" s="1"/>
  <c r="AW726" i="1" a="1"/>
  <c r="AW726" i="1" s="1"/>
  <c r="BT722" i="1"/>
  <c r="BS722" i="1" s="1"/>
  <c r="AO724" i="1"/>
  <c r="AO725" i="1" s="1"/>
  <c r="AL724" i="1"/>
  <c r="AP724" i="1" s="1"/>
  <c r="AP725" i="1"/>
  <c r="AD725" i="1"/>
  <c r="BJ724" i="1"/>
  <c r="BK724" i="1" s="1"/>
  <c r="BN724" i="1"/>
  <c r="BO724" i="1" s="1"/>
  <c r="BP724" i="1" s="1"/>
  <c r="AE725" i="1"/>
  <c r="AF725" i="1"/>
  <c r="BI725" i="1" s="1"/>
  <c r="AI725" i="1"/>
  <c r="AN725" i="1"/>
  <c r="AG733" i="1"/>
  <c r="AQ723" i="1"/>
  <c r="Y723" i="1" a="1"/>
  <c r="Y723" i="1" s="1"/>
  <c r="AH723" i="1" s="1"/>
  <c r="BR723" i="1" s="1"/>
  <c r="AS722" i="1"/>
  <c r="BQ722" i="1"/>
  <c r="BA733" i="1"/>
  <c r="S734" i="1"/>
  <c r="AA733" i="1"/>
  <c r="AB726" i="1"/>
  <c r="AC726" i="1" s="1"/>
  <c r="T727" i="1"/>
  <c r="V726" i="1"/>
  <c r="U726" i="1"/>
  <c r="BT723" i="1" l="1"/>
  <c r="BS723" i="1" s="1"/>
  <c r="AV727" i="1" a="1"/>
  <c r="AV727" i="1" s="1"/>
  <c r="AW727" i="1" a="1"/>
  <c r="AW727" i="1" s="1"/>
  <c r="AY727" i="1" a="1"/>
  <c r="AY727" i="1" s="1"/>
  <c r="AX727" i="1" a="1"/>
  <c r="AX727" i="1" s="1"/>
  <c r="BH725" i="1" a="1"/>
  <c r="BH725" i="1" s="1"/>
  <c r="AD726" i="1"/>
  <c r="BJ725" i="1"/>
  <c r="BK725" i="1" s="1"/>
  <c r="BN725" i="1"/>
  <c r="BO725" i="1" s="1"/>
  <c r="BP725" i="1" s="1"/>
  <c r="AJ726" i="1"/>
  <c r="AI726" i="1"/>
  <c r="AK726" i="1" s="1"/>
  <c r="AE726" i="1"/>
  <c r="AF726" i="1"/>
  <c r="BI726" i="1" s="1"/>
  <c r="AG734" i="1"/>
  <c r="BE734" i="1"/>
  <c r="BF734" i="1"/>
  <c r="BD734" i="1"/>
  <c r="BG734" i="1"/>
  <c r="AS723" i="1"/>
  <c r="BQ723" i="1"/>
  <c r="AM725" i="1"/>
  <c r="AR725" i="1"/>
  <c r="BA734" i="1"/>
  <c r="AA734" i="1"/>
  <c r="S735" i="1"/>
  <c r="AB727" i="1"/>
  <c r="AC727" i="1" s="1"/>
  <c r="AD727" i="1" s="1"/>
  <c r="U727" i="1"/>
  <c r="V727" i="1"/>
  <c r="T728" i="1"/>
  <c r="AX728" i="1" l="1" a="1"/>
  <c r="AX728" i="1" s="1"/>
  <c r="AW728" i="1" a="1"/>
  <c r="AW728" i="1" s="1"/>
  <c r="AJ727" i="1"/>
  <c r="BH726" i="1" a="1"/>
  <c r="BH726" i="1" s="1"/>
  <c r="BH727" i="1" s="1" a="1"/>
  <c r="BH727" i="1" s="1"/>
  <c r="AO726" i="1"/>
  <c r="AO727" i="1" s="1"/>
  <c r="AO728" i="1" s="1"/>
  <c r="AL726" i="1"/>
  <c r="AP726" i="1" s="1"/>
  <c r="AP727" i="1" s="1"/>
  <c r="AP728" i="1" s="1"/>
  <c r="BN727" i="1"/>
  <c r="BO727" i="1" s="1"/>
  <c r="BP727" i="1" s="1"/>
  <c r="BJ727" i="1"/>
  <c r="BK727" i="1" s="1"/>
  <c r="BJ726" i="1"/>
  <c r="BK726" i="1" s="1"/>
  <c r="BN726" i="1"/>
  <c r="BO726" i="1" s="1"/>
  <c r="BP726" i="1" s="1"/>
  <c r="AN727" i="1"/>
  <c r="AE727" i="1"/>
  <c r="AE728" i="1" s="1"/>
  <c r="AF727" i="1"/>
  <c r="BI727" i="1" s="1"/>
  <c r="AI727" i="1"/>
  <c r="AI728" i="1" s="1"/>
  <c r="AG735" i="1"/>
  <c r="Y725" i="1" a="1"/>
  <c r="Y725" i="1" s="1"/>
  <c r="AH725" i="1" s="1"/>
  <c r="AQ725" i="1"/>
  <c r="BA735" i="1"/>
  <c r="AA735" i="1"/>
  <c r="S736" i="1"/>
  <c r="AB728" i="1"/>
  <c r="AC728" i="1" s="1"/>
  <c r="AD728" i="1" s="1"/>
  <c r="T729" i="1"/>
  <c r="U728" i="1"/>
  <c r="V728" i="1"/>
  <c r="BT725" i="1" l="1"/>
  <c r="BS725" i="1" s="1"/>
  <c r="BH728" i="1" a="1"/>
  <c r="BH728" i="1" s="1"/>
  <c r="AJ728" i="1"/>
  <c r="AS725" i="1"/>
  <c r="BR725" i="1"/>
  <c r="BQ725" i="1" s="1"/>
  <c r="AW729" i="1" a="1"/>
  <c r="AW729" i="1" s="1"/>
  <c r="AX729" i="1" a="1"/>
  <c r="AX729" i="1" s="1"/>
  <c r="AV729" i="1" a="1"/>
  <c r="AV729" i="1" s="1"/>
  <c r="BJ728" i="1"/>
  <c r="BK728" i="1" s="1"/>
  <c r="BN728" i="1"/>
  <c r="BO728" i="1" s="1"/>
  <c r="BP728" i="1" s="1"/>
  <c r="AM727" i="1"/>
  <c r="AR727" i="1"/>
  <c r="AF728" i="1"/>
  <c r="BI728" i="1" s="1"/>
  <c r="AN728" i="1"/>
  <c r="AG736" i="1"/>
  <c r="BE736" i="1"/>
  <c r="BD736" i="1"/>
  <c r="BG736" i="1"/>
  <c r="BF736" i="1"/>
  <c r="BA736" i="1"/>
  <c r="AA736" i="1"/>
  <c r="S737" i="1"/>
  <c r="AB729" i="1"/>
  <c r="AC729" i="1" s="1"/>
  <c r="V729" i="1"/>
  <c r="U729" i="1"/>
  <c r="T730" i="1"/>
  <c r="AW730" i="1" l="1" a="1"/>
  <c r="AW730" i="1" s="1"/>
  <c r="AV730" i="1" a="1"/>
  <c r="AV730" i="1" s="1"/>
  <c r="AX730" i="1" a="1"/>
  <c r="AX730" i="1" s="1"/>
  <c r="AD729" i="1"/>
  <c r="AF729" i="1"/>
  <c r="Y727" i="1" a="1"/>
  <c r="Y727" i="1" s="1"/>
  <c r="AH727" i="1" s="1"/>
  <c r="BR727" i="1" s="1"/>
  <c r="AQ727" i="1"/>
  <c r="AI729" i="1"/>
  <c r="AK729" i="1" s="1"/>
  <c r="AJ729" i="1"/>
  <c r="AG737" i="1"/>
  <c r="AM728" i="1"/>
  <c r="AR728" i="1"/>
  <c r="BA737" i="1"/>
  <c r="AA737" i="1"/>
  <c r="S738" i="1"/>
  <c r="T731" i="1"/>
  <c r="V730" i="1"/>
  <c r="AB730" i="1"/>
  <c r="AC730" i="1" s="1"/>
  <c r="U730" i="1"/>
  <c r="AJ730" i="1" l="1"/>
  <c r="BT727" i="1"/>
  <c r="BS727" i="1" s="1"/>
  <c r="AO729" i="1"/>
  <c r="AL729" i="1"/>
  <c r="AP729" i="1" s="1"/>
  <c r="AD730" i="1"/>
  <c r="AF730" i="1"/>
  <c r="BI729" i="1"/>
  <c r="BK729" i="1"/>
  <c r="BJ729" i="1"/>
  <c r="BH729" i="1" s="1" a="1"/>
  <c r="BH729" i="1" s="1"/>
  <c r="BN729" i="1"/>
  <c r="BO729" i="1" s="1"/>
  <c r="AS727" i="1"/>
  <c r="BQ727" i="1"/>
  <c r="AO730" i="1"/>
  <c r="AP730" i="1"/>
  <c r="AE730" i="1"/>
  <c r="AI730" i="1"/>
  <c r="AN730" i="1"/>
  <c r="AA738" i="1"/>
  <c r="AG738" i="1"/>
  <c r="BG738" i="1"/>
  <c r="BF738" i="1"/>
  <c r="BE738" i="1"/>
  <c r="BD738" i="1"/>
  <c r="AQ728" i="1"/>
  <c r="Y728" i="1" a="1"/>
  <c r="Y728" i="1" s="1"/>
  <c r="AH728" i="1" s="1"/>
  <c r="BA738" i="1"/>
  <c r="U731" i="1"/>
  <c r="V731" i="1"/>
  <c r="AB731" i="1"/>
  <c r="AC731" i="1" s="1"/>
  <c r="AD731" i="1" s="1"/>
  <c r="T732" i="1"/>
  <c r="BH730" i="1" l="1" a="1"/>
  <c r="BH730" i="1" s="1"/>
  <c r="BT728" i="1"/>
  <c r="BS728" i="1" s="1"/>
  <c r="BP729" i="1"/>
  <c r="AS728" i="1"/>
  <c r="BR728" i="1"/>
  <c r="BQ728" i="1" s="1"/>
  <c r="BI730" i="1"/>
  <c r="BK730" i="1"/>
  <c r="BJ730" i="1"/>
  <c r="BN730" i="1"/>
  <c r="BO730" i="1" s="1"/>
  <c r="AE731" i="1"/>
  <c r="BN731" i="1" s="1"/>
  <c r="BO731" i="1" s="1"/>
  <c r="BP731" i="1" s="1"/>
  <c r="AF731" i="1"/>
  <c r="BI731" i="1" s="1"/>
  <c r="AR730" i="1"/>
  <c r="AM730" i="1"/>
  <c r="U732" i="1"/>
  <c r="T733" i="1"/>
  <c r="AB732" i="1"/>
  <c r="AC732" i="1" s="1"/>
  <c r="AD732" i="1" s="1"/>
  <c r="V732" i="1"/>
  <c r="BJ731" i="1" l="1"/>
  <c r="BK731" i="1" s="1"/>
  <c r="BP730" i="1"/>
  <c r="X733" i="1" a="1"/>
  <c r="X733" i="1" s="1"/>
  <c r="W733" i="1" s="1" a="1"/>
  <c r="W733" i="1" s="1"/>
  <c r="AN733" i="1" s="1"/>
  <c r="BH731" i="1" a="1"/>
  <c r="BH731" i="1" s="1"/>
  <c r="AP732" i="1"/>
  <c r="AO732" i="1"/>
  <c r="AE732" i="1"/>
  <c r="BN732" i="1" s="1"/>
  <c r="BO732" i="1" s="1"/>
  <c r="AF732" i="1"/>
  <c r="AJ732" i="1"/>
  <c r="AI732" i="1"/>
  <c r="AN732" i="1"/>
  <c r="AQ730" i="1"/>
  <c r="Y730" i="1" a="1"/>
  <c r="Y730" i="1" s="1"/>
  <c r="AH730" i="1" s="1"/>
  <c r="BR730" i="1" s="1"/>
  <c r="AB733" i="1"/>
  <c r="AC733" i="1" s="1"/>
  <c r="T734" i="1"/>
  <c r="V733" i="1"/>
  <c r="U733" i="1"/>
  <c r="BH732" i="1" l="1" a="1"/>
  <c r="BH732" i="1" s="1"/>
  <c r="BJ732" i="1"/>
  <c r="BK732" i="1" s="1"/>
  <c r="X734" i="1" a="1"/>
  <c r="X734" i="1" s="1"/>
  <c r="W734" i="1" s="1" a="1"/>
  <c r="W734" i="1" s="1"/>
  <c r="AK734" i="1" s="1"/>
  <c r="BT730" i="1"/>
  <c r="BS730" i="1" s="1"/>
  <c r="AK733" i="1"/>
  <c r="AO733" i="1" s="1"/>
  <c r="AL733" i="1"/>
  <c r="AP733" i="1" s="1"/>
  <c r="AE733" i="1"/>
  <c r="AD733" i="1"/>
  <c r="AS730" i="1"/>
  <c r="BQ730" i="1"/>
  <c r="AM733" i="1"/>
  <c r="AR733" i="1"/>
  <c r="AR732" i="1"/>
  <c r="AM732" i="1"/>
  <c r="AF733" i="1"/>
  <c r="BI733" i="1" s="1"/>
  <c r="BI732" i="1"/>
  <c r="BP732" i="1" s="1"/>
  <c r="T735" i="1"/>
  <c r="V734" i="1"/>
  <c r="AB734" i="1"/>
  <c r="AC734" i="1" s="1"/>
  <c r="AD734" i="1" s="1"/>
  <c r="U734" i="1"/>
  <c r="AL734" i="1" l="1"/>
  <c r="AN734" i="1"/>
  <c r="AP734" i="1"/>
  <c r="AO734" i="1"/>
  <c r="X735" i="1" a="1"/>
  <c r="X735" i="1" s="1"/>
  <c r="W735" i="1" s="1" a="1"/>
  <c r="W735" i="1" s="1"/>
  <c r="AN735" i="1" s="1"/>
  <c r="BH733" i="1" a="1"/>
  <c r="BH733" i="1" s="1"/>
  <c r="BH734" i="1" s="1" a="1"/>
  <c r="BH734" i="1" s="1"/>
  <c r="BJ734" i="1"/>
  <c r="BK734" i="1" s="1"/>
  <c r="BN734" i="1"/>
  <c r="BO734" i="1" s="1"/>
  <c r="BP734" i="1" s="1"/>
  <c r="BJ733" i="1"/>
  <c r="BK733" i="1" s="1"/>
  <c r="BN733" i="1"/>
  <c r="BO733" i="1" s="1"/>
  <c r="BP733" i="1" s="1"/>
  <c r="AE734" i="1"/>
  <c r="AF734" i="1"/>
  <c r="BI734" i="1" s="1"/>
  <c r="AI734" i="1"/>
  <c r="AJ734" i="1"/>
  <c r="AQ732" i="1"/>
  <c r="Y732" i="1" a="1"/>
  <c r="Y732" i="1" s="1"/>
  <c r="AH732" i="1" s="1"/>
  <c r="AQ733" i="1"/>
  <c r="Y733" i="1" a="1"/>
  <c r="Y733" i="1" s="1"/>
  <c r="AH733" i="1" s="1"/>
  <c r="BR733" i="1" s="1"/>
  <c r="AM734" i="1"/>
  <c r="AR734" i="1"/>
  <c r="U735" i="1"/>
  <c r="V735" i="1"/>
  <c r="AB735" i="1"/>
  <c r="AC735" i="1" s="1"/>
  <c r="T736" i="1"/>
  <c r="BT732" i="1" l="1"/>
  <c r="AS732" i="1"/>
  <c r="BR732" i="1"/>
  <c r="BQ732" i="1" s="1"/>
  <c r="BT733" i="1"/>
  <c r="AK735" i="1"/>
  <c r="AO735" i="1" s="1"/>
  <c r="AL735" i="1"/>
  <c r="AP735" i="1" s="1"/>
  <c r="X736" i="1" a="1"/>
  <c r="X736" i="1" s="1"/>
  <c r="W736" i="1" s="1" a="1"/>
  <c r="W736" i="1" s="1"/>
  <c r="AN736" i="1" s="1"/>
  <c r="AE735" i="1"/>
  <c r="AF735" i="1"/>
  <c r="BI735" i="1" s="1"/>
  <c r="AD735" i="1"/>
  <c r="AQ734" i="1"/>
  <c r="Y734" i="1" a="1"/>
  <c r="Y734" i="1" s="1"/>
  <c r="AH734" i="1" s="1"/>
  <c r="BR734" i="1" s="1"/>
  <c r="AS733" i="1"/>
  <c r="BQ733" i="1"/>
  <c r="AM735" i="1"/>
  <c r="AR735" i="1"/>
  <c r="V736" i="1"/>
  <c r="T737" i="1"/>
  <c r="AB736" i="1"/>
  <c r="AC736" i="1" s="1"/>
  <c r="U736" i="1"/>
  <c r="AK736" i="1" l="1"/>
  <c r="AL736" i="1"/>
  <c r="AP736" i="1" s="1"/>
  <c r="AD736" i="1"/>
  <c r="X737" i="1" a="1"/>
  <c r="X737" i="1" s="1"/>
  <c r="W737" i="1" s="1" a="1"/>
  <c r="W737" i="1" s="1"/>
  <c r="AO736" i="1"/>
  <c r="BS733" i="1"/>
  <c r="BT734" i="1"/>
  <c r="BS732" i="1"/>
  <c r="BJ736" i="1"/>
  <c r="BK736" i="1" s="1"/>
  <c r="BN736" i="1"/>
  <c r="BO736" i="1" s="1"/>
  <c r="BP736" i="1" s="1"/>
  <c r="BJ735" i="1"/>
  <c r="BN735" i="1"/>
  <c r="BO735" i="1" s="1"/>
  <c r="BP735" i="1" s="1"/>
  <c r="AE736" i="1"/>
  <c r="AI736" i="1"/>
  <c r="AJ736" i="1"/>
  <c r="AF736" i="1"/>
  <c r="BI736" i="1" s="1"/>
  <c r="AQ735" i="1"/>
  <c r="Y735" i="1" a="1"/>
  <c r="Y735" i="1" s="1"/>
  <c r="AH735" i="1" s="1"/>
  <c r="BQ734" i="1"/>
  <c r="AS734" i="1"/>
  <c r="AM736" i="1"/>
  <c r="AR736" i="1"/>
  <c r="T738" i="1"/>
  <c r="AB737" i="1"/>
  <c r="AC737" i="1" s="1"/>
  <c r="AD737" i="1" s="1"/>
  <c r="V737" i="1"/>
  <c r="U737" i="1"/>
  <c r="AK737" i="1" l="1"/>
  <c r="AO737" i="1" s="1"/>
  <c r="AN737" i="1"/>
  <c r="BK735" i="1"/>
  <c r="BH735" i="1" a="1"/>
  <c r="BH735" i="1" s="1"/>
  <c r="BH736" i="1" s="1" a="1"/>
  <c r="BH736" i="1" s="1"/>
  <c r="X738" i="1" a="1"/>
  <c r="X738" i="1" s="1"/>
  <c r="W738" i="1" s="1" a="1"/>
  <c r="W738" i="1" s="1"/>
  <c r="AS735" i="1"/>
  <c r="BR735" i="1"/>
  <c r="BQ735" i="1" s="1"/>
  <c r="BT735" i="1"/>
  <c r="BS734" i="1"/>
  <c r="AE737" i="1"/>
  <c r="BN737" i="1" s="1"/>
  <c r="BO737" i="1" s="1"/>
  <c r="BP737" i="1" s="1"/>
  <c r="AF737" i="1"/>
  <c r="BI737" i="1" s="1"/>
  <c r="AK738" i="1"/>
  <c r="AL738" i="1"/>
  <c r="AQ736" i="1"/>
  <c r="BT736" i="1" s="1"/>
  <c r="Y736" i="1" a="1"/>
  <c r="Y736" i="1" s="1"/>
  <c r="AH736" i="1" s="1"/>
  <c r="AM737" i="1"/>
  <c r="AR737" i="1"/>
  <c r="V738" i="1"/>
  <c r="U738" i="1"/>
  <c r="AB738" i="1"/>
  <c r="AC738" i="1" s="1"/>
  <c r="AD738" i="1" s="1"/>
  <c r="BS735" i="1" l="1"/>
  <c r="AS736" i="1"/>
  <c r="BR736" i="1"/>
  <c r="BQ736" i="1" s="1"/>
  <c r="BH737" i="1" a="1"/>
  <c r="BH737" i="1" s="1"/>
  <c r="BJ737" i="1"/>
  <c r="BK737" i="1" s="1"/>
  <c r="BS736" i="1"/>
  <c r="AN738" i="1"/>
  <c r="AO738" i="1"/>
  <c r="AL737" i="1"/>
  <c r="AP737" i="1" s="1"/>
  <c r="AP738" i="1" s="1"/>
  <c r="AE738" i="1"/>
  <c r="BJ738" i="1" s="1"/>
  <c r="BK738" i="1" s="1"/>
  <c r="AJ738" i="1"/>
  <c r="AI738" i="1"/>
  <c r="AF738" i="1"/>
  <c r="BI738" i="1" s="1"/>
  <c r="Y737" i="1" a="1"/>
  <c r="Y737" i="1" s="1"/>
  <c r="AH737" i="1" s="1"/>
  <c r="BR737" i="1" s="1"/>
  <c r="AQ737" i="1"/>
  <c r="BT737" i="1" s="1"/>
  <c r="AM738" i="1"/>
  <c r="AR738" i="1"/>
  <c r="W3" i="1" a="1"/>
  <c r="W3" i="1" s="1"/>
  <c r="AK3" i="1" s="1"/>
  <c r="BH738" i="1" l="1" a="1"/>
  <c r="BH738" i="1" s="1"/>
  <c r="BS737" i="1"/>
  <c r="BN738" i="1"/>
  <c r="BO738" i="1" s="1"/>
  <c r="BP738" i="1" s="1"/>
  <c r="Y738" i="1" a="1"/>
  <c r="Y738" i="1" s="1"/>
  <c r="AH738" i="1" s="1"/>
  <c r="BR738" i="1" s="1"/>
  <c r="AQ738" i="1"/>
  <c r="AS737" i="1"/>
  <c r="BQ737" i="1"/>
  <c r="AG11" i="11"/>
  <c r="AO3" i="1"/>
  <c r="AN3" i="1"/>
  <c r="AL3" i="1"/>
  <c r="AP3" i="1" s="1"/>
  <c r="BT738" i="1" l="1"/>
  <c r="BQ738" i="1"/>
  <c r="AS738" i="1"/>
  <c r="AF12" i="11"/>
  <c r="AF11" i="11"/>
  <c r="AH11" i="11" s="1"/>
  <c r="AK11" i="11" s="1"/>
  <c r="AF7" i="11"/>
  <c r="AG14" i="11"/>
  <c r="AG4" i="11"/>
  <c r="AF19" i="11"/>
  <c r="AF5" i="11"/>
  <c r="AG8" i="11"/>
  <c r="AF23" i="11"/>
  <c r="AG12" i="11"/>
  <c r="AF27" i="11"/>
  <c r="AG16" i="11"/>
  <c r="AG26" i="11"/>
  <c r="AG19" i="11"/>
  <c r="AF3" i="11"/>
  <c r="AF24" i="11"/>
  <c r="AF16" i="11"/>
  <c r="AF21" i="11"/>
  <c r="AF20" i="11"/>
  <c r="AF26" i="11"/>
  <c r="AF9" i="11"/>
  <c r="AF25" i="11"/>
  <c r="AG27" i="11"/>
  <c r="AG5" i="11"/>
  <c r="AG9" i="11"/>
  <c r="AG6" i="11"/>
  <c r="AF17" i="11"/>
  <c r="AF18" i="11"/>
  <c r="AG18" i="11"/>
  <c r="AG7" i="11"/>
  <c r="AG20" i="11"/>
  <c r="AF8" i="11"/>
  <c r="AF6" i="11"/>
  <c r="AG3" i="11"/>
  <c r="AF15" i="11"/>
  <c r="AG10" i="11"/>
  <c r="AF4" i="11"/>
  <c r="AG21" i="11"/>
  <c r="AG24" i="11"/>
  <c r="AG17" i="11"/>
  <c r="AG15" i="11"/>
  <c r="AG25" i="11"/>
  <c r="AE15" i="11"/>
  <c r="AJ15" i="11" s="1"/>
  <c r="AE18" i="11"/>
  <c r="AJ18" i="11" s="1"/>
  <c r="AE10" i="11"/>
  <c r="AJ10" i="11" s="1"/>
  <c r="AE24" i="11"/>
  <c r="AJ24" i="11" s="1"/>
  <c r="AE16" i="11"/>
  <c r="AJ16" i="11" s="1"/>
  <c r="AD9" i="11"/>
  <c r="AI9" i="11" s="1"/>
  <c r="AE17" i="11"/>
  <c r="AJ17" i="11" s="1"/>
  <c r="AE11" i="11"/>
  <c r="AJ11" i="11" s="1"/>
  <c r="AD24" i="11"/>
  <c r="AI24" i="11" s="1"/>
  <c r="AD16" i="11"/>
  <c r="AI16" i="11" s="1"/>
  <c r="AE19" i="11"/>
  <c r="AJ19" i="11" s="1"/>
  <c r="AE20" i="11"/>
  <c r="AJ20" i="11" s="1"/>
  <c r="AD12" i="11"/>
  <c r="AI12" i="11" s="1"/>
  <c r="AD4" i="11"/>
  <c r="AI4" i="11" s="1"/>
  <c r="AD27" i="11"/>
  <c r="AI27" i="11" s="1"/>
  <c r="AD23" i="11"/>
  <c r="AI23" i="11" s="1"/>
  <c r="AE4" i="11"/>
  <c r="AJ4" i="11" s="1"/>
  <c r="AD21" i="11"/>
  <c r="AI21" i="11" s="1"/>
  <c r="AD25" i="11"/>
  <c r="AI25" i="11" s="1"/>
  <c r="AE25" i="11"/>
  <c r="AJ25" i="11" s="1"/>
  <c r="AD14" i="11"/>
  <c r="AI14" i="11" s="1"/>
  <c r="AD6" i="11"/>
  <c r="AI6" i="11" s="1"/>
  <c r="AD10" i="11"/>
  <c r="AI10" i="11" s="1"/>
  <c r="AE27" i="11"/>
  <c r="AJ27" i="11" s="1"/>
  <c r="AE26" i="11"/>
  <c r="AJ26" i="11" s="1"/>
  <c r="AD5" i="11"/>
  <c r="AI5" i="11" s="1"/>
  <c r="AE6" i="11"/>
  <c r="AJ6" i="11" s="1"/>
  <c r="AD26" i="11"/>
  <c r="AI26" i="11" s="1"/>
  <c r="AD3" i="11"/>
  <c r="AI3" i="11" s="1"/>
  <c r="AE3" i="11"/>
  <c r="AJ3" i="11" s="1"/>
  <c r="AD8" i="11"/>
  <c r="AI8" i="11" s="1"/>
  <c r="AE14" i="11"/>
  <c r="AJ14" i="11" s="1"/>
  <c r="AE21" i="11"/>
  <c r="AJ21" i="11" s="1"/>
  <c r="AD20" i="11"/>
  <c r="AI20" i="11" s="1"/>
  <c r="AE9" i="11"/>
  <c r="AJ9" i="11" s="1"/>
  <c r="AE5" i="11"/>
  <c r="AJ5" i="11" s="1"/>
  <c r="AD15" i="11"/>
  <c r="AI15" i="11" s="1"/>
  <c r="AE23" i="11"/>
  <c r="AJ23" i="11" s="1"/>
  <c r="AD7" i="11"/>
  <c r="AI7" i="11" s="1"/>
  <c r="AE12" i="11"/>
  <c r="AJ12" i="11" s="1"/>
  <c r="AE7" i="11"/>
  <c r="AJ7" i="11" s="1"/>
  <c r="AD18" i="11"/>
  <c r="AI18" i="11" s="1"/>
  <c r="AD17" i="11"/>
  <c r="AI17" i="11" s="1"/>
  <c r="AD19" i="11"/>
  <c r="AI19" i="11" s="1"/>
  <c r="AE8" i="11"/>
  <c r="AJ8" i="11" s="1"/>
  <c r="AD11" i="11"/>
  <c r="AI11" i="11" s="1"/>
  <c r="W4" i="1" a="1"/>
  <c r="W4" i="1" s="1"/>
  <c r="AK4" i="1" s="1"/>
  <c r="AO4" i="1" s="1"/>
  <c r="AF14" i="11"/>
  <c r="AF10" i="11"/>
  <c r="AG23" i="11"/>
  <c r="W5" i="1" a="1"/>
  <c r="W5" i="1" s="1"/>
  <c r="AR3" i="1"/>
  <c r="AM3" i="1"/>
  <c r="BS738" i="1" l="1"/>
  <c r="AY738" i="1" a="1"/>
  <c r="AY738" i="1" s="1"/>
  <c r="AV738" i="1" a="1"/>
  <c r="AV738" i="1" s="1"/>
  <c r="AW738" i="1" a="1"/>
  <c r="AW738" i="1" s="1"/>
  <c r="AX738" i="1" a="1"/>
  <c r="AX738" i="1" s="1"/>
  <c r="AW69" i="1" a="1"/>
  <c r="AW69" i="1" s="1"/>
  <c r="AY430" i="1" a="1"/>
  <c r="AY430" i="1" s="1"/>
  <c r="AV186" i="1" a="1"/>
  <c r="AV186" i="1" s="1"/>
  <c r="AV428" i="1" a="1"/>
  <c r="AV428" i="1" s="1"/>
  <c r="AW643" i="1" a="1"/>
  <c r="AW643" i="1" s="1"/>
  <c r="AV249" i="1" a="1"/>
  <c r="AV249" i="1" s="1"/>
  <c r="AX113" i="1" a="1"/>
  <c r="AX113" i="1" s="1"/>
  <c r="AX247" i="1" a="1"/>
  <c r="AX247" i="1" s="1"/>
  <c r="AW407" i="1" a="1"/>
  <c r="AW407" i="1" s="1"/>
  <c r="AY249" i="1" a="1"/>
  <c r="AY249" i="1" s="1"/>
  <c r="AW146" i="1" a="1"/>
  <c r="AW146" i="1" s="1"/>
  <c r="AW68" i="1" a="1"/>
  <c r="AW68" i="1" s="1"/>
  <c r="AX409" i="1" a="1"/>
  <c r="AX409" i="1" s="1"/>
  <c r="AX408" i="1" a="1"/>
  <c r="AX408" i="1" s="1"/>
  <c r="AW544" i="1" a="1"/>
  <c r="AW544" i="1" s="1"/>
  <c r="AW665" i="1" a="1"/>
  <c r="AW665" i="1" s="1"/>
  <c r="AV650" i="1" a="1"/>
  <c r="AV650" i="1" s="1"/>
  <c r="AX649" i="1" a="1"/>
  <c r="AX649" i="1" s="1"/>
  <c r="AV343" i="1" a="1"/>
  <c r="AV343" i="1" s="1"/>
  <c r="AX472" i="1" a="1"/>
  <c r="AX472" i="1" s="1"/>
  <c r="AW113" i="1" a="1"/>
  <c r="AW113" i="1" s="1"/>
  <c r="AX106" i="1" a="1"/>
  <c r="AX106" i="1" s="1"/>
  <c r="AV399" i="1" a="1"/>
  <c r="AV399" i="1" s="1"/>
  <c r="AW308" i="1" a="1"/>
  <c r="AW308" i="1" s="1"/>
  <c r="AX637" i="1" a="1"/>
  <c r="AX637" i="1" s="1"/>
  <c r="AW365" i="1" a="1"/>
  <c r="AW365" i="1" s="1"/>
  <c r="AW647" i="1" a="1"/>
  <c r="AW647" i="1" s="1"/>
  <c r="AW445" i="1" a="1"/>
  <c r="AW445" i="1" s="1"/>
  <c r="AX451" i="1" a="1"/>
  <c r="AX451" i="1" s="1"/>
  <c r="AV468" i="1" a="1"/>
  <c r="AV468" i="1" s="1"/>
  <c r="AY562" i="1" a="1"/>
  <c r="AY562" i="1" s="1"/>
  <c r="AW196" i="1" a="1"/>
  <c r="AW196" i="1" s="1"/>
  <c r="AX652" i="1" a="1"/>
  <c r="AX652" i="1" s="1"/>
  <c r="AV457" i="1" a="1"/>
  <c r="AV457" i="1" s="1"/>
  <c r="AV548" i="1" a="1"/>
  <c r="AV548" i="1" s="1"/>
  <c r="AY368" i="1" a="1"/>
  <c r="AY368" i="1" s="1"/>
  <c r="AW571" i="1" a="1"/>
  <c r="AW571" i="1" s="1"/>
  <c r="AW310" i="1" a="1"/>
  <c r="AW310" i="1" s="1"/>
  <c r="AY73" i="1" a="1"/>
  <c r="AY73" i="1" s="1"/>
  <c r="AW72" i="1" a="1"/>
  <c r="AW72" i="1" s="1"/>
  <c r="AX457" i="1" a="1"/>
  <c r="AX457" i="1" s="1"/>
  <c r="AY297" i="1" a="1"/>
  <c r="AY297" i="1" s="1"/>
  <c r="AW468" i="1" a="1"/>
  <c r="AW468" i="1" s="1"/>
  <c r="AX178" i="1" a="1"/>
  <c r="AX178" i="1" s="1"/>
  <c r="AY448" i="1" a="1"/>
  <c r="AY448" i="1" s="1"/>
  <c r="AW451" i="1" a="1"/>
  <c r="AW451" i="1" s="1"/>
  <c r="AX175" i="1" a="1"/>
  <c r="AX175" i="1" s="1"/>
  <c r="AV179" i="1" a="1"/>
  <c r="AV179" i="1" s="1"/>
  <c r="AY717" i="1" a="1"/>
  <c r="AY717" i="1" s="1"/>
  <c r="AX538" i="1" a="1"/>
  <c r="AX538" i="1" s="1"/>
  <c r="AX428" i="1" a="1"/>
  <c r="AX428" i="1" s="1"/>
  <c r="AV588" i="1" a="1"/>
  <c r="AV588" i="1" s="1"/>
  <c r="AV73" i="1" a="1"/>
  <c r="AV73" i="1" s="1"/>
  <c r="AX529" i="1" a="1"/>
  <c r="AX529" i="1" s="1"/>
  <c r="AW79" i="1" a="1"/>
  <c r="AW79" i="1" s="1"/>
  <c r="AY469" i="1" a="1"/>
  <c r="AY469" i="1" s="1"/>
  <c r="AV52" i="1" a="1"/>
  <c r="AV52" i="1" s="1"/>
  <c r="AY198" i="1" a="1"/>
  <c r="AY198" i="1" s="1"/>
  <c r="AY197" i="1" a="1"/>
  <c r="AY197" i="1" s="1"/>
  <c r="AX203" i="1" a="1"/>
  <c r="AX203" i="1" s="1"/>
  <c r="AX510" i="1" a="1"/>
  <c r="AX510" i="1" s="1"/>
  <c r="AX733" i="1" a="1"/>
  <c r="AX733" i="1" s="1"/>
  <c r="AW426" i="1" a="1"/>
  <c r="AW426" i="1" s="1"/>
  <c r="AY318" i="1" a="1"/>
  <c r="AY318" i="1" s="1"/>
  <c r="AW717" i="1" a="1"/>
  <c r="AW717" i="1" s="1"/>
  <c r="AV176" i="1" a="1"/>
  <c r="AV176" i="1" s="1"/>
  <c r="AX540" i="1" a="1"/>
  <c r="AX540" i="1" s="1"/>
  <c r="AY684" i="1" a="1"/>
  <c r="AY684" i="1" s="1"/>
  <c r="AY77" i="1" a="1"/>
  <c r="AY77" i="1" s="1"/>
  <c r="AW648" i="1" a="1"/>
  <c r="AW648" i="1" s="1"/>
  <c r="AY472" i="1" a="1"/>
  <c r="AY472" i="1" s="1"/>
  <c r="AV94" i="1" a="1"/>
  <c r="AV94" i="1" s="1"/>
  <c r="AW250" i="1" a="1"/>
  <c r="AW250" i="1" s="1"/>
  <c r="AY316" i="1" a="1"/>
  <c r="AY316" i="1" s="1"/>
  <c r="AY643" i="1" a="1"/>
  <c r="AY643" i="1" s="1"/>
  <c r="AX410" i="1" a="1"/>
  <c r="AX410" i="1" s="1"/>
  <c r="AW583" i="1" a="1"/>
  <c r="AW583" i="1" s="1"/>
  <c r="AX632" i="1" a="1"/>
  <c r="AX632" i="1" s="1"/>
  <c r="AX644" i="1" a="1"/>
  <c r="AX644" i="1" s="1"/>
  <c r="AV293" i="1" a="1"/>
  <c r="AV293" i="1" s="1"/>
  <c r="AX343" i="1" a="1"/>
  <c r="AX343" i="1" s="1"/>
  <c r="AW512" i="1" a="1"/>
  <c r="AW512" i="1" s="1"/>
  <c r="AX245" i="1" a="1"/>
  <c r="AX245" i="1" s="1"/>
  <c r="AV309" i="1" a="1"/>
  <c r="AV309" i="1" s="1"/>
  <c r="AX382" i="1" a="1"/>
  <c r="AX382" i="1" s="1"/>
  <c r="AX715" i="1" a="1"/>
  <c r="AX715" i="1" s="1"/>
  <c r="AY293" i="1" a="1"/>
  <c r="AY293" i="1" s="1"/>
  <c r="AY161" i="1" a="1"/>
  <c r="AY161" i="1" s="1"/>
  <c r="AW714" i="1" a="1"/>
  <c r="AW714" i="1" s="1"/>
  <c r="AV544" i="1" a="1"/>
  <c r="AV544" i="1" s="1"/>
  <c r="AW297" i="1" a="1"/>
  <c r="AW297" i="1" s="1"/>
  <c r="AW563" i="1" a="1"/>
  <c r="AW563" i="1" s="1"/>
  <c r="AX296" i="1" a="1"/>
  <c r="AX296" i="1" s="1"/>
  <c r="AW190" i="1" a="1"/>
  <c r="AW190" i="1" s="1"/>
  <c r="AW590" i="1" a="1"/>
  <c r="AW590" i="1" s="1"/>
  <c r="AX185" i="1" a="1"/>
  <c r="AX185" i="1" s="1"/>
  <c r="AV254" i="1" a="1"/>
  <c r="AV254" i="1" s="1"/>
  <c r="AX88" i="1" a="1"/>
  <c r="AX88" i="1" s="1"/>
  <c r="AW52" i="1" a="1"/>
  <c r="AW52" i="1" s="1"/>
  <c r="AW248" i="1" a="1"/>
  <c r="AW248" i="1" s="1"/>
  <c r="AY634" i="1" a="1"/>
  <c r="AY634" i="1" s="1"/>
  <c r="AY735" i="1" a="1"/>
  <c r="AY735" i="1" s="1"/>
  <c r="AV366" i="1" a="1"/>
  <c r="AV366" i="1" s="1"/>
  <c r="AV371" i="1" a="1"/>
  <c r="AV371" i="1" s="1"/>
  <c r="AX569" i="1" a="1"/>
  <c r="AX569" i="1" s="1"/>
  <c r="AV320" i="1" a="1"/>
  <c r="AV320" i="1" s="1"/>
  <c r="AY181" i="1" a="1"/>
  <c r="AY181" i="1" s="1"/>
  <c r="AW589" i="1" a="1"/>
  <c r="AW589" i="1" s="1"/>
  <c r="AY93" i="1" a="1"/>
  <c r="AY93" i="1" s="1"/>
  <c r="AY633" i="1" a="1"/>
  <c r="AY633" i="1" s="1"/>
  <c r="AX147" i="1" a="1"/>
  <c r="AX147" i="1" s="1"/>
  <c r="AX321" i="1" a="1"/>
  <c r="AX321" i="1" s="1"/>
  <c r="AW181" i="1" a="1"/>
  <c r="AW181" i="1" s="1"/>
  <c r="AY714" i="1" a="1"/>
  <c r="AY714" i="1" s="1"/>
  <c r="AV387" i="1" a="1"/>
  <c r="AV387" i="1" s="1"/>
  <c r="AW652" i="1" a="1"/>
  <c r="AW652" i="1" s="1"/>
  <c r="AV50" i="1" a="1"/>
  <c r="AV50" i="1" s="1"/>
  <c r="AV318" i="1" a="1"/>
  <c r="AV318" i="1" s="1"/>
  <c r="AW50" i="1" a="1"/>
  <c r="AW50" i="1" s="1"/>
  <c r="AY636" i="1" a="1"/>
  <c r="AY636" i="1" s="1"/>
  <c r="AV668" i="1" a="1"/>
  <c r="AV668" i="1" s="1"/>
  <c r="AX146" i="1" a="1"/>
  <c r="AX146" i="1" s="1"/>
  <c r="AV453" i="1" a="1"/>
  <c r="AV453" i="1" s="1"/>
  <c r="AY406" i="1" a="1"/>
  <c r="AY406" i="1" s="1"/>
  <c r="AW251" i="1" a="1"/>
  <c r="AW251" i="1" s="1"/>
  <c r="AX153" i="1" a="1"/>
  <c r="AX153" i="1" s="1"/>
  <c r="AX105" i="1" a="1"/>
  <c r="AX105" i="1" s="1"/>
  <c r="AW424" i="1" a="1"/>
  <c r="AW424" i="1" s="1"/>
  <c r="AX526" i="1" a="1"/>
  <c r="AX526" i="1" s="1"/>
  <c r="AY87" i="1" a="1"/>
  <c r="AY87" i="1" s="1"/>
  <c r="AY149" i="1" a="1"/>
  <c r="AY149" i="1" s="1"/>
  <c r="AX248" i="1" a="1"/>
  <c r="AX248" i="1" s="1"/>
  <c r="AV587" i="1" a="1"/>
  <c r="AV587" i="1" s="1"/>
  <c r="AW400" i="1" a="1"/>
  <c r="AW400" i="1" s="1"/>
  <c r="AW399" i="1" a="1"/>
  <c r="AW399" i="1" s="1"/>
  <c r="AV445" i="1" a="1"/>
  <c r="AV445" i="1" s="1"/>
  <c r="AX445" i="1" a="1"/>
  <c r="AX445" i="1" s="1"/>
  <c r="AX737" i="1" a="1"/>
  <c r="AX737" i="1" s="1"/>
  <c r="AY650" i="1" a="1"/>
  <c r="AY650" i="1" s="1"/>
  <c r="AV684" i="1" a="1"/>
  <c r="AV684" i="1" s="1"/>
  <c r="AW104" i="1" a="1"/>
  <c r="AW104" i="1" s="1"/>
  <c r="AV397" i="1" a="1"/>
  <c r="AV397" i="1" s="1"/>
  <c r="AX674" i="1" a="1"/>
  <c r="AX674" i="1" s="1"/>
  <c r="AY527" i="1" a="1"/>
  <c r="AY527" i="1" s="1"/>
  <c r="AV319" i="1" a="1"/>
  <c r="AV319" i="1" s="1"/>
  <c r="AX543" i="1" a="1"/>
  <c r="AX543" i="1" s="1"/>
  <c r="AX344" i="1" a="1"/>
  <c r="AX344" i="1" s="1"/>
  <c r="AV472" i="1" a="1"/>
  <c r="AV472" i="1" s="1"/>
  <c r="AY572" i="1" a="1"/>
  <c r="AY572" i="1" s="1"/>
  <c r="AY185" i="1" a="1"/>
  <c r="AY185" i="1" s="1"/>
  <c r="AV93" i="1" a="1"/>
  <c r="AV93" i="1" s="1"/>
  <c r="AW595" i="1" a="1"/>
  <c r="AW595" i="1" s="1"/>
  <c r="AW198" i="1" a="1"/>
  <c r="AW198" i="1" s="1"/>
  <c r="AV386" i="1" a="1"/>
  <c r="AV386" i="1" s="1"/>
  <c r="AY515" i="1" a="1"/>
  <c r="AY515" i="1" s="1"/>
  <c r="AV315" i="1" a="1"/>
  <c r="AV315" i="1" s="1"/>
  <c r="AX458" i="1" a="1"/>
  <c r="AX458" i="1" s="1"/>
  <c r="AW247" i="1" a="1"/>
  <c r="AW247" i="1" s="1"/>
  <c r="AW452" i="1" a="1"/>
  <c r="AW452" i="1" s="1"/>
  <c r="AW586" i="1" a="1"/>
  <c r="AW586" i="1" s="1"/>
  <c r="AY246" i="1" a="1"/>
  <c r="AY246" i="1" s="1"/>
  <c r="AY78" i="1" a="1"/>
  <c r="AY78" i="1" s="1"/>
  <c r="AV86" i="1" a="1"/>
  <c r="AV86" i="1" s="1"/>
  <c r="AW293" i="1" a="1"/>
  <c r="AW293" i="1" s="1"/>
  <c r="AX184" i="1" a="1"/>
  <c r="AX184" i="1" s="1"/>
  <c r="AX253" i="1" a="1"/>
  <c r="AX253" i="1" s="1"/>
  <c r="AX541" i="1" a="1"/>
  <c r="AX541" i="1" s="1"/>
  <c r="AY88" i="1" a="1"/>
  <c r="AY88" i="1" s="1"/>
  <c r="AW605" i="1" a="1"/>
  <c r="AW605" i="1" s="1"/>
  <c r="AW202" i="1" a="1"/>
  <c r="AW202" i="1" s="1"/>
  <c r="AW550" i="1" a="1"/>
  <c r="AW550" i="1" s="1"/>
  <c r="AV71" i="1" a="1"/>
  <c r="AV71" i="1" s="1"/>
  <c r="AX585" i="1" a="1"/>
  <c r="AX585" i="1" s="1"/>
  <c r="AV316" i="1" a="1"/>
  <c r="AV316" i="1" s="1"/>
  <c r="AY525" i="1" a="1"/>
  <c r="AY525" i="1" s="1"/>
  <c r="AX456" i="1" a="1"/>
  <c r="AX456" i="1" s="1"/>
  <c r="AW466" i="1" a="1"/>
  <c r="AW466" i="1" s="1"/>
  <c r="AW95" i="1" a="1"/>
  <c r="AW95" i="1" s="1"/>
  <c r="AY411" i="1" a="1"/>
  <c r="AY411" i="1" s="1"/>
  <c r="AV346" i="1" a="1"/>
  <c r="AV346" i="1" s="1"/>
  <c r="AX636" i="1" a="1"/>
  <c r="AX636" i="1" s="1"/>
  <c r="AW456" i="1" a="1"/>
  <c r="AW456" i="1" s="1"/>
  <c r="AW383" i="1" a="1"/>
  <c r="AW383" i="1" s="1"/>
  <c r="AX563" i="1" a="1"/>
  <c r="AX563" i="1" s="1"/>
  <c r="AV250" i="1" a="1"/>
  <c r="AV250" i="1" s="1"/>
  <c r="AW349" i="1" a="1"/>
  <c r="AW349" i="1" s="1"/>
  <c r="AY685" i="1" a="1"/>
  <c r="AY685" i="1" s="1"/>
  <c r="AV153" i="1" a="1"/>
  <c r="AV153" i="1" s="1"/>
  <c r="AX77" i="1" a="1"/>
  <c r="AX77" i="1" s="1"/>
  <c r="AX634" i="1" a="1"/>
  <c r="AX634" i="1" s="1"/>
  <c r="AV370" i="1" a="1"/>
  <c r="AV370" i="1" s="1"/>
  <c r="AW467" i="1" a="1"/>
  <c r="AW467" i="1" s="1"/>
  <c r="AX193" i="1" a="1"/>
  <c r="AX193" i="1" s="1"/>
  <c r="AV605" i="1" a="1"/>
  <c r="AV605" i="1" s="1"/>
  <c r="AW409" i="1" a="1"/>
  <c r="AW409" i="1" s="1"/>
  <c r="AV737" i="1" a="1"/>
  <c r="AV737" i="1" s="1"/>
  <c r="AV637" i="1" a="1"/>
  <c r="AV637" i="1" s="1"/>
  <c r="AX675" i="1" a="1"/>
  <c r="AX675" i="1" s="1"/>
  <c r="AW457" i="1" a="1"/>
  <c r="AW457" i="1" s="1"/>
  <c r="AX549" i="1" a="1"/>
  <c r="AX549" i="1" s="1"/>
  <c r="AY409" i="1" a="1"/>
  <c r="AY409" i="1" s="1"/>
  <c r="AV365" i="1" a="1"/>
  <c r="AV365" i="1" s="1"/>
  <c r="AX587" i="1" a="1"/>
  <c r="AX587" i="1" s="1"/>
  <c r="AY343" i="1" a="1"/>
  <c r="AY343" i="1" s="1"/>
  <c r="AX315" i="1" a="1"/>
  <c r="AX315" i="1" s="1"/>
  <c r="AY665" i="1" a="1"/>
  <c r="AY665" i="1" s="1"/>
  <c r="AV106" i="1" a="1"/>
  <c r="AV106" i="1" s="1"/>
  <c r="AX370" i="1" a="1"/>
  <c r="AX370" i="1" s="1"/>
  <c r="AV154" i="1" a="1"/>
  <c r="AV154" i="1" s="1"/>
  <c r="AV426" i="1" a="1"/>
  <c r="AV426" i="1" s="1"/>
  <c r="AW86" i="1" a="1"/>
  <c r="AW86" i="1" s="1"/>
  <c r="AV632" i="1" a="1"/>
  <c r="AV632" i="1" s="1"/>
  <c r="AV675" i="1" a="1"/>
  <c r="AV675" i="1" s="1"/>
  <c r="AX387" i="1" a="1"/>
  <c r="AX387" i="1" s="1"/>
  <c r="AX645" i="1" a="1"/>
  <c r="AX645" i="1" s="1"/>
  <c r="AV584" i="1" a="1"/>
  <c r="AV584" i="1" s="1"/>
  <c r="AV646" i="1" a="1"/>
  <c r="AV646" i="1" s="1"/>
  <c r="AX424" i="1" a="1"/>
  <c r="AX424" i="1" s="1"/>
  <c r="AW458" i="1" a="1"/>
  <c r="AW458" i="1" s="1"/>
  <c r="AX366" i="1" a="1"/>
  <c r="AX366" i="1" s="1"/>
  <c r="AV112" i="1" a="1"/>
  <c r="AV112" i="1" s="1"/>
  <c r="AW193" i="1" a="1"/>
  <c r="AW193" i="1" s="1"/>
  <c r="AW585" i="1" a="1"/>
  <c r="AW585" i="1" s="1"/>
  <c r="AY184" i="1" a="1"/>
  <c r="AY184" i="1" s="1"/>
  <c r="AW396" i="1" a="1"/>
  <c r="AW396" i="1" s="1"/>
  <c r="AW592" i="1" a="1"/>
  <c r="AW592" i="1" s="1"/>
  <c r="AV569" i="1" a="1"/>
  <c r="AV569" i="1" s="1"/>
  <c r="AW321" i="1" a="1"/>
  <c r="AW321" i="1" s="1"/>
  <c r="AW295" i="1" a="1"/>
  <c r="AW295" i="1" s="1"/>
  <c r="AX471" i="1" a="1"/>
  <c r="AX471" i="1" s="1"/>
  <c r="AX87" i="1" a="1"/>
  <c r="AX87" i="1" s="1"/>
  <c r="AY200" i="1" a="1"/>
  <c r="AY200" i="1" s="1"/>
  <c r="AX429" i="1" a="1"/>
  <c r="AX429" i="1" s="1"/>
  <c r="AV253" i="1" a="1"/>
  <c r="AV253" i="1" s="1"/>
  <c r="AY683" i="1" a="1"/>
  <c r="AY683" i="1" s="1"/>
  <c r="AV516" i="1" a="1"/>
  <c r="AV516" i="1" s="1"/>
  <c r="AY647" i="1" a="1"/>
  <c r="AY647" i="1" s="1"/>
  <c r="AV196" i="1" a="1"/>
  <c r="AV196" i="1" s="1"/>
  <c r="AY321" i="1" a="1"/>
  <c r="AY321" i="1" s="1"/>
  <c r="AY512" i="1" a="1"/>
  <c r="AY512" i="1" s="1"/>
  <c r="AW200" i="1" a="1"/>
  <c r="AW200" i="1" s="1"/>
  <c r="AW106" i="1" a="1"/>
  <c r="AW106" i="1" s="1"/>
  <c r="AY592" i="1" a="1"/>
  <c r="AY592" i="1" s="1"/>
  <c r="AW245" i="1" a="1"/>
  <c r="AW245" i="1" s="1"/>
  <c r="AX69" i="1" a="1"/>
  <c r="AX69" i="1" s="1"/>
  <c r="AX595" i="1" a="1"/>
  <c r="AX595" i="1" s="1"/>
  <c r="AX162" i="1" a="1"/>
  <c r="AX162" i="1" s="1"/>
  <c r="AX551" i="1" a="1"/>
  <c r="AX551" i="1" s="1"/>
  <c r="AX515" i="1" a="1"/>
  <c r="AX515" i="1" s="1"/>
  <c r="AW731" i="1" a="1"/>
  <c r="AW731" i="1" s="1"/>
  <c r="AV368" i="1" a="1"/>
  <c r="AV368" i="1" s="1"/>
  <c r="AX294" i="1" a="1"/>
  <c r="AX294" i="1" s="1"/>
  <c r="AW541" i="1" a="1"/>
  <c r="AW541" i="1" s="1"/>
  <c r="AY70" i="1" a="1"/>
  <c r="AY70" i="1" s="1"/>
  <c r="AX514" i="1" a="1"/>
  <c r="AX514" i="1" s="1"/>
  <c r="AW737" i="1" a="1"/>
  <c r="AW737" i="1" s="1"/>
  <c r="AY637" i="1" a="1"/>
  <c r="AY637" i="1" s="1"/>
  <c r="AW720" i="1" a="1"/>
  <c r="AW720" i="1" s="1"/>
  <c r="AY649" i="1" a="1"/>
  <c r="AY649" i="1" s="1"/>
  <c r="AX94" i="1" a="1"/>
  <c r="AX94" i="1" s="1"/>
  <c r="AV184" i="1" a="1"/>
  <c r="AV184" i="1" s="1"/>
  <c r="AY162" i="1" a="1"/>
  <c r="AY162" i="1" s="1"/>
  <c r="AY349" i="1" a="1"/>
  <c r="AY349" i="1" s="1"/>
  <c r="AX181" i="1" a="1"/>
  <c r="AX181" i="1" s="1"/>
  <c r="AY588" i="1" a="1"/>
  <c r="AY588" i="1" s="1"/>
  <c r="AV411" i="1" a="1"/>
  <c r="AV411" i="1" s="1"/>
  <c r="AY91" i="1" a="1"/>
  <c r="AY91" i="1" s="1"/>
  <c r="AX606" i="1" a="1"/>
  <c r="AX606" i="1" s="1"/>
  <c r="AX552" i="1" a="1"/>
  <c r="AX552" i="1" s="1"/>
  <c r="AV113" i="1" a="1"/>
  <c r="AV113" i="1" s="1"/>
  <c r="AX465" i="1" a="1"/>
  <c r="AX465" i="1" s="1"/>
  <c r="AY366" i="1" a="1"/>
  <c r="AY366" i="1" s="1"/>
  <c r="AY179" i="1" a="1"/>
  <c r="AY179" i="1" s="1"/>
  <c r="AV477" i="1" a="1"/>
  <c r="AV477" i="1" s="1"/>
  <c r="AY68" i="1" a="1"/>
  <c r="AY68" i="1" s="1"/>
  <c r="AY112" i="1" a="1"/>
  <c r="AY112" i="1" s="1"/>
  <c r="AX385" i="1" a="1"/>
  <c r="AX385" i="1" s="1"/>
  <c r="AV408" i="1" a="1"/>
  <c r="AV408" i="1" s="1"/>
  <c r="AV644" i="1" a="1"/>
  <c r="AV644" i="1" s="1"/>
  <c r="AV538" i="1" a="1"/>
  <c r="AV538" i="1" s="1"/>
  <c r="AW635" i="1" a="1"/>
  <c r="AW635" i="1" s="1"/>
  <c r="AX93" i="1" a="1"/>
  <c r="AX93" i="1" s="1"/>
  <c r="AW160" i="1" a="1"/>
  <c r="AW160" i="1" s="1"/>
  <c r="AX177" i="1" a="1"/>
  <c r="AX177" i="1" s="1"/>
  <c r="AV469" i="1" a="1"/>
  <c r="AV469" i="1" s="1"/>
  <c r="AY196" i="1" a="1"/>
  <c r="AY196" i="1" s="1"/>
  <c r="AW662" i="1" a="1"/>
  <c r="AW662" i="1" s="1"/>
  <c r="AV407" i="1" a="1"/>
  <c r="AV407" i="1" s="1"/>
  <c r="AV589" i="1" a="1"/>
  <c r="AV589" i="1" s="1"/>
  <c r="AW185" i="1" a="1"/>
  <c r="AW185" i="1" s="1"/>
  <c r="AY543" i="1" a="1"/>
  <c r="AY543" i="1" s="1"/>
  <c r="AV182" i="1" a="1"/>
  <c r="AV182" i="1" s="1"/>
  <c r="AW680" i="1" a="1"/>
  <c r="AW680" i="1" s="1"/>
  <c r="AV89" i="1" a="1"/>
  <c r="AV89" i="1" s="1"/>
  <c r="AX525" i="1" a="1"/>
  <c r="AX525" i="1" s="1"/>
  <c r="AY584" i="1" a="1"/>
  <c r="AY584" i="1" s="1"/>
  <c r="AY672" i="1" a="1"/>
  <c r="AY672" i="1" s="1"/>
  <c r="AY152" i="1" a="1"/>
  <c r="AY152" i="1" s="1"/>
  <c r="AX95" i="1" a="1"/>
  <c r="AX95" i="1" s="1"/>
  <c r="AY733" i="1" a="1"/>
  <c r="AY733" i="1" s="1"/>
  <c r="AW105" i="1" a="1"/>
  <c r="AW105" i="1" s="1"/>
  <c r="AX148" i="1" a="1"/>
  <c r="AX148" i="1" s="1"/>
  <c r="AX348" i="1" a="1"/>
  <c r="AX348" i="1" s="1"/>
  <c r="AW430" i="1" a="1"/>
  <c r="AW430" i="1" s="1"/>
  <c r="AV317" i="1" a="1"/>
  <c r="AV317" i="1" s="1"/>
  <c r="AW538" i="1" a="1"/>
  <c r="AW538" i="1" s="1"/>
  <c r="AY370" i="1" a="1"/>
  <c r="AY370" i="1" s="1"/>
  <c r="AX470" i="1" a="1"/>
  <c r="AX470" i="1" s="1"/>
  <c r="AW176" i="1" a="1"/>
  <c r="AW176" i="1" s="1"/>
  <c r="AW408" i="1" a="1"/>
  <c r="AW408" i="1" s="1"/>
  <c r="AY176" i="1" a="1"/>
  <c r="AY176" i="1" s="1"/>
  <c r="AY674" i="1" a="1"/>
  <c r="AY674" i="1" s="1"/>
  <c r="AY737" i="1" a="1"/>
  <c r="AY737" i="1" s="1"/>
  <c r="AW661" i="1" a="1"/>
  <c r="AW661" i="1" s="1"/>
  <c r="AV651" i="1" a="1"/>
  <c r="AV651" i="1" s="1"/>
  <c r="AW384" i="1" a="1"/>
  <c r="AW384" i="1" s="1"/>
  <c r="AX92" i="1" a="1"/>
  <c r="AX92" i="1" s="1"/>
  <c r="AW588" i="1" a="1"/>
  <c r="AW588" i="1" s="1"/>
  <c r="AX544" i="1" a="1"/>
  <c r="AX544" i="1" s="1"/>
  <c r="AV400" i="1" a="1"/>
  <c r="AV400" i="1" s="1"/>
  <c r="AY151" i="1" a="1"/>
  <c r="AY151" i="1" s="1"/>
  <c r="AX68" i="1" a="1"/>
  <c r="AX68" i="1" s="1"/>
  <c r="AW397" i="1" a="1"/>
  <c r="AW397" i="1" s="1"/>
  <c r="AX466" i="1" a="1"/>
  <c r="AX466" i="1" s="1"/>
  <c r="AW446" i="1" a="1"/>
  <c r="AW446" i="1" s="1"/>
  <c r="AW149" i="1" a="1"/>
  <c r="AW149" i="1" s="1"/>
  <c r="AW511" i="1" a="1"/>
  <c r="AW511" i="1" s="1"/>
  <c r="AX648" i="1" a="1"/>
  <c r="AX648" i="1" s="1"/>
  <c r="AW309" i="1" a="1"/>
  <c r="AW309" i="1" s="1"/>
  <c r="AX112" i="1" a="1"/>
  <c r="AX112" i="1" s="1"/>
  <c r="AV665" i="1" a="1"/>
  <c r="AV665" i="1" s="1"/>
  <c r="AX187" i="1" a="1"/>
  <c r="AX187" i="1" s="1"/>
  <c r="AW253" i="1" a="1"/>
  <c r="AW253" i="1" s="1"/>
  <c r="AX476" i="1" a="1"/>
  <c r="AX476" i="1" s="1"/>
  <c r="AY201" i="1" a="1"/>
  <c r="AY201" i="1" s="1"/>
  <c r="AX717" i="1" a="1"/>
  <c r="AX717" i="1" s="1"/>
  <c r="AW49" i="1" a="1"/>
  <c r="AW49" i="1" s="1"/>
  <c r="AY471" i="1" a="1"/>
  <c r="AY471" i="1" s="1"/>
  <c r="AW401" i="1" a="1"/>
  <c r="AW401" i="1" s="1"/>
  <c r="AW246" i="1" a="1"/>
  <c r="AW246" i="1" s="1"/>
  <c r="AW719" i="1" a="1"/>
  <c r="AW719" i="1" s="1"/>
  <c r="AV680" i="1" a="1"/>
  <c r="AV680" i="1" s="1"/>
  <c r="AV735" i="1" a="1"/>
  <c r="AV735" i="1" s="1"/>
  <c r="AW91" i="1" a="1"/>
  <c r="AW91" i="1" s="1"/>
  <c r="AX293" i="1" a="1"/>
  <c r="AX293" i="1" s="1"/>
  <c r="AV652" i="1" a="1"/>
  <c r="AV652" i="1" s="1"/>
  <c r="AX517" i="1" a="1"/>
  <c r="AX517" i="1" s="1"/>
  <c r="AX72" i="1" a="1"/>
  <c r="AX72" i="1" s="1"/>
  <c r="AV465" i="1" a="1"/>
  <c r="AV465" i="1" s="1"/>
  <c r="AW428" i="1" a="1"/>
  <c r="AW428" i="1" s="1"/>
  <c r="AW145" i="1" a="1"/>
  <c r="AW145" i="1" s="1"/>
  <c r="AY110" i="1" a="1"/>
  <c r="AY110" i="1" s="1"/>
  <c r="AV87" i="1" a="1"/>
  <c r="AV87" i="1" s="1"/>
  <c r="AX202" i="1" a="1"/>
  <c r="AX202" i="1" s="1"/>
  <c r="AX154" i="1" a="1"/>
  <c r="AX154" i="1" s="1"/>
  <c r="AV683" i="1" a="1"/>
  <c r="AV683" i="1" s="1"/>
  <c r="AW344" i="1" a="1"/>
  <c r="AW344" i="1" s="1"/>
  <c r="AY86" i="1" a="1"/>
  <c r="AY86" i="1" s="1"/>
  <c r="AV540" i="1" a="1"/>
  <c r="AV540" i="1" s="1"/>
  <c r="AW472" i="1" a="1"/>
  <c r="AW472" i="1" s="1"/>
  <c r="AX179" i="1" a="1"/>
  <c r="AX179" i="1" s="1"/>
  <c r="AX454" i="1" a="1"/>
  <c r="AX454" i="1" s="1"/>
  <c r="AW148" i="1" a="1"/>
  <c r="AW148" i="1" s="1"/>
  <c r="AX160" i="1" a="1"/>
  <c r="AX160" i="1" s="1"/>
  <c r="AX586" i="1" a="1"/>
  <c r="AX586" i="1" s="1"/>
  <c r="AY182" i="1" a="1"/>
  <c r="AY182" i="1" s="1"/>
  <c r="AW342" i="1" a="1"/>
  <c r="AW342" i="1" s="1"/>
  <c r="AX91" i="1" a="1"/>
  <c r="AX91" i="1" s="1"/>
  <c r="AY662" i="1" a="1"/>
  <c r="AY662" i="1" s="1"/>
  <c r="AX478" i="1" a="1"/>
  <c r="AX478" i="1" s="1"/>
  <c r="AY203" i="1" a="1"/>
  <c r="AY203" i="1" s="1"/>
  <c r="AV529" i="1" a="1"/>
  <c r="AV529" i="1" s="1"/>
  <c r="AW319" i="1" a="1"/>
  <c r="AW319" i="1" s="1"/>
  <c r="AV717" i="1" a="1"/>
  <c r="AV717" i="1" s="1"/>
  <c r="AW734" i="1" a="1"/>
  <c r="AW734" i="1" s="1"/>
  <c r="AX720" i="1" a="1"/>
  <c r="AX720" i="1" s="1"/>
  <c r="AW398" i="1" a="1"/>
  <c r="AW398" i="1" s="1"/>
  <c r="AW179" i="1" a="1"/>
  <c r="AW179" i="1" s="1"/>
  <c r="AX317" i="1" a="1"/>
  <c r="AX317" i="1" s="1"/>
  <c r="AX365" i="1" a="1"/>
  <c r="AX365" i="1" s="1"/>
  <c r="AW469" i="1" a="1"/>
  <c r="AW469" i="1" s="1"/>
  <c r="AV635" i="1" a="1"/>
  <c r="AV635" i="1" s="1"/>
  <c r="AY199" i="1" a="1"/>
  <c r="AY199" i="1" s="1"/>
  <c r="AV562" i="1" a="1"/>
  <c r="AV562" i="1" s="1"/>
  <c r="AV647" i="1" a="1"/>
  <c r="AV647" i="1" s="1"/>
  <c r="AX201" i="1" a="1"/>
  <c r="AX201" i="1" s="1"/>
  <c r="AX369" i="1" a="1"/>
  <c r="AX369" i="1" s="1"/>
  <c r="AX672" i="1" a="1"/>
  <c r="AX672" i="1" s="1"/>
  <c r="AY320" i="1" a="1"/>
  <c r="AY320" i="1" s="1"/>
  <c r="AW528" i="1" a="1"/>
  <c r="AW528" i="1" s="1"/>
  <c r="AX584" i="1" a="1"/>
  <c r="AX584" i="1" s="1"/>
  <c r="AW88" i="1" a="1"/>
  <c r="AW88" i="1" s="1"/>
  <c r="AW551" i="1" a="1"/>
  <c r="AW551" i="1" s="1"/>
  <c r="AW54" i="1" a="1"/>
  <c r="AW54" i="1" s="1"/>
  <c r="AW526" i="1" a="1"/>
  <c r="AW526" i="1" s="1"/>
  <c r="AX666" i="1" a="1"/>
  <c r="AX666" i="1" s="1"/>
  <c r="AW386" i="1" a="1"/>
  <c r="AW386" i="1" s="1"/>
  <c r="AY398" i="1" a="1"/>
  <c r="AY398" i="1" s="1"/>
  <c r="AX662" i="1" a="1"/>
  <c r="AX662" i="1" s="1"/>
  <c r="AY447" i="1" a="1"/>
  <c r="AY447" i="1" s="1"/>
  <c r="AX250" i="1" a="1"/>
  <c r="AX250" i="1" s="1"/>
  <c r="AY429" i="1" a="1"/>
  <c r="AY429" i="1" s="1"/>
  <c r="AW552" i="1" a="1"/>
  <c r="AW552" i="1" s="1"/>
  <c r="AX319" i="1" a="1"/>
  <c r="AX319" i="1" s="1"/>
  <c r="AW681" i="1" a="1"/>
  <c r="AW681" i="1" s="1"/>
  <c r="AY96" i="1" a="1"/>
  <c r="AY96" i="1" s="1"/>
  <c r="AV648" i="1" a="1"/>
  <c r="AV648" i="1" s="1"/>
  <c r="AY202" i="1" a="1"/>
  <c r="AY202" i="1" s="1"/>
  <c r="AV88" i="1" a="1"/>
  <c r="AV88" i="1" s="1"/>
  <c r="AX199" i="1" a="1"/>
  <c r="AX199" i="1" s="1"/>
  <c r="AV606" i="1" a="1"/>
  <c r="AV606" i="1" s="1"/>
  <c r="AW296" i="1" a="1"/>
  <c r="AW296" i="1" s="1"/>
  <c r="AV543" i="1" a="1"/>
  <c r="AV543" i="1" s="1"/>
  <c r="AW76" i="1" a="1"/>
  <c r="AW76" i="1" s="1"/>
  <c r="AV430" i="1" a="1"/>
  <c r="AV430" i="1" s="1"/>
  <c r="AW71" i="1" a="1"/>
  <c r="AW71" i="1" s="1"/>
  <c r="AY445" i="1" a="1"/>
  <c r="AY445" i="1" s="1"/>
  <c r="AX295" i="1" a="1"/>
  <c r="AX295" i="1" s="1"/>
  <c r="AW93" i="1" a="1"/>
  <c r="AW93" i="1" s="1"/>
  <c r="AW645" i="1" a="1"/>
  <c r="AW645" i="1" s="1"/>
  <c r="AX469" i="1" a="1"/>
  <c r="AX469" i="1" s="1"/>
  <c r="AW516" i="1" a="1"/>
  <c r="AW516" i="1" s="1"/>
  <c r="AY295" i="1" a="1"/>
  <c r="AY295" i="1" s="1"/>
  <c r="AW471" i="1" a="1"/>
  <c r="AW471" i="1" s="1"/>
  <c r="AX71" i="1" a="1"/>
  <c r="AX71" i="1" s="1"/>
  <c r="AV541" i="1" a="1"/>
  <c r="AV541" i="1" s="1"/>
  <c r="AY346" i="1" a="1"/>
  <c r="AY346" i="1" s="1"/>
  <c r="AY401" i="1" a="1"/>
  <c r="AY401" i="1" s="1"/>
  <c r="AW562" i="1" a="1"/>
  <c r="AW562" i="1" s="1"/>
  <c r="AV714" i="1" a="1"/>
  <c r="AV714" i="1" s="1"/>
  <c r="AX196" i="1" a="1"/>
  <c r="AX196" i="1" s="1"/>
  <c r="AY666" i="1" a="1"/>
  <c r="AY666" i="1" s="1"/>
  <c r="AY716" i="1" a="1"/>
  <c r="AY716" i="1" s="1"/>
  <c r="AX683" i="1" a="1"/>
  <c r="AX683" i="1" s="1"/>
  <c r="AX542" i="1" a="1"/>
  <c r="AX542" i="1" s="1"/>
  <c r="AY635" i="1" a="1"/>
  <c r="AY635" i="1" s="1"/>
  <c r="AW89" i="1" a="1"/>
  <c r="AW89" i="1" s="1"/>
  <c r="AW411" i="1" a="1"/>
  <c r="AW411" i="1" s="1"/>
  <c r="AY652" i="1" a="1"/>
  <c r="AY652" i="1" s="1"/>
  <c r="AV78" i="1" a="1"/>
  <c r="AV78" i="1" s="1"/>
  <c r="AY514" i="1" a="1"/>
  <c r="AY514" i="1" s="1"/>
  <c r="AV736" i="1" a="1"/>
  <c r="AV736" i="1" s="1"/>
  <c r="AX400" i="1" a="1"/>
  <c r="AX400" i="1" s="1"/>
  <c r="AY540" i="1" a="1"/>
  <c r="AY540" i="1" s="1"/>
  <c r="AW584" i="1" a="1"/>
  <c r="AW584" i="1" s="1"/>
  <c r="AX735" i="1" a="1"/>
  <c r="AX735" i="1" s="1"/>
  <c r="AY347" i="1" a="1"/>
  <c r="AY347" i="1" s="1"/>
  <c r="AV424" i="1" a="1"/>
  <c r="AV424" i="1" s="1"/>
  <c r="AV187" i="1" a="1"/>
  <c r="AV187" i="1" s="1"/>
  <c r="AW366" i="1" a="1"/>
  <c r="AW366" i="1" s="1"/>
  <c r="AY296" i="1" a="1"/>
  <c r="AY296" i="1" s="1"/>
  <c r="AY387" i="1" a="1"/>
  <c r="AY387" i="1" s="1"/>
  <c r="AX685" i="1" a="1"/>
  <c r="AX685" i="1" s="1"/>
  <c r="AY386" i="1" a="1"/>
  <c r="AY386" i="1" s="1"/>
  <c r="AW547" i="1" a="1"/>
  <c r="AW547" i="1" s="1"/>
  <c r="AW70" i="1" a="1"/>
  <c r="AW70" i="1" s="1"/>
  <c r="AW517" i="1" a="1"/>
  <c r="AW517" i="1" s="1"/>
  <c r="AX161" i="1" a="1"/>
  <c r="AX161" i="1" s="1"/>
  <c r="AW147" i="1" a="1"/>
  <c r="AW147" i="1" s="1"/>
  <c r="AY92" i="1" a="1"/>
  <c r="AY92" i="1" s="1"/>
  <c r="AV349" i="1" a="1"/>
  <c r="AV349" i="1" s="1"/>
  <c r="AV552" i="1" a="1"/>
  <c r="AV552" i="1" s="1"/>
  <c r="AY113" i="1" a="1"/>
  <c r="AY113" i="1" s="1"/>
  <c r="AW448" i="1" a="1"/>
  <c r="AW448" i="1" s="1"/>
  <c r="AV570" i="1" a="1"/>
  <c r="AV570" i="1" s="1"/>
  <c r="AV383" i="1" a="1"/>
  <c r="AV383" i="1" s="1"/>
  <c r="AV514" i="1" a="1"/>
  <c r="AV514" i="1" s="1"/>
  <c r="AW453" i="1" a="1"/>
  <c r="AW453" i="1" s="1"/>
  <c r="AW454" i="1" a="1"/>
  <c r="AW454" i="1" s="1"/>
  <c r="AW249" i="1" a="1"/>
  <c r="AW249" i="1" s="1"/>
  <c r="AX571" i="1" a="1"/>
  <c r="AX571" i="1" s="1"/>
  <c r="AV734" i="1" a="1"/>
  <c r="AV734" i="1" s="1"/>
  <c r="AW110" i="1" a="1"/>
  <c r="AW110" i="1" s="1"/>
  <c r="AX475" i="1" a="1"/>
  <c r="AX475" i="1" s="1"/>
  <c r="AV563" i="1" a="1"/>
  <c r="AV563" i="1" s="1"/>
  <c r="AY67" i="1" a="1"/>
  <c r="AY67" i="1" s="1"/>
  <c r="AY675" i="1" a="1"/>
  <c r="AY675" i="1" s="1"/>
  <c r="AX516" i="1" a="1"/>
  <c r="AX516" i="1" s="1"/>
  <c r="AV425" i="1" a="1"/>
  <c r="AV425" i="1" s="1"/>
  <c r="AX89" i="1" a="1"/>
  <c r="AX89" i="1" s="1"/>
  <c r="AX680" i="1" a="1"/>
  <c r="AX680" i="1" s="1"/>
  <c r="AX399" i="1" a="1"/>
  <c r="AX399" i="1" s="1"/>
  <c r="AV662" i="1" a="1"/>
  <c r="AV662" i="1" s="1"/>
  <c r="AW634" i="1" a="1"/>
  <c r="AW634" i="1" s="1"/>
  <c r="AX718" i="1" a="1"/>
  <c r="AX718" i="1" s="1"/>
  <c r="AW153" i="1" a="1"/>
  <c r="AW153" i="1" s="1"/>
  <c r="AX254" i="1" a="1"/>
  <c r="AX254" i="1" s="1"/>
  <c r="AW111" i="1" a="1"/>
  <c r="AW111" i="1" s="1"/>
  <c r="AV448" i="1" a="1"/>
  <c r="AV448" i="1" s="1"/>
  <c r="AY569" i="1" a="1"/>
  <c r="AY569" i="1" s="1"/>
  <c r="AW666" i="1" a="1"/>
  <c r="AW666" i="1" s="1"/>
  <c r="AV649" i="1" a="1"/>
  <c r="AV649" i="1" s="1"/>
  <c r="AW650" i="1" a="1"/>
  <c r="AW650" i="1" s="1"/>
  <c r="AW736" i="1" a="1"/>
  <c r="AW736" i="1" s="1"/>
  <c r="AV53" i="1" a="1"/>
  <c r="AV53" i="1" s="1"/>
  <c r="AV525" i="1" a="1"/>
  <c r="AV525" i="1" s="1"/>
  <c r="AY552" i="1" a="1"/>
  <c r="AY552" i="1" s="1"/>
  <c r="AY732" i="1" a="1"/>
  <c r="AY732" i="1" s="1"/>
  <c r="AX401" i="1" a="1"/>
  <c r="AX401" i="1" s="1"/>
  <c r="AV369" i="1" a="1"/>
  <c r="AV369" i="1" s="1"/>
  <c r="AV429" i="1" a="1"/>
  <c r="AV429" i="1" s="1"/>
  <c r="AV449" i="1" a="1"/>
  <c r="AV449" i="1" s="1"/>
  <c r="AY719" i="1" a="1"/>
  <c r="AY719" i="1" s="1"/>
  <c r="AY425" i="1" a="1"/>
  <c r="AY425" i="1" s="1"/>
  <c r="AY407" i="1" a="1"/>
  <c r="AY407" i="1" s="1"/>
  <c r="AY539" i="1" a="1"/>
  <c r="AY539" i="1" s="1"/>
  <c r="AW112" i="1" a="1"/>
  <c r="AW112" i="1" s="1"/>
  <c r="AW345" i="1" a="1"/>
  <c r="AW345" i="1" s="1"/>
  <c r="AX572" i="1" a="1"/>
  <c r="AX572" i="1" s="1"/>
  <c r="AX448" i="1" a="1"/>
  <c r="AX448" i="1" s="1"/>
  <c r="AV595" i="1" a="1"/>
  <c r="AV595" i="1" s="1"/>
  <c r="AW735" i="1" a="1"/>
  <c r="AW735" i="1" s="1"/>
  <c r="AY180" i="1" a="1"/>
  <c r="AY180" i="1" s="1"/>
  <c r="AX449" i="1" a="1"/>
  <c r="AX449" i="1" s="1"/>
  <c r="AY595" i="1" a="1"/>
  <c r="AY595" i="1" s="1"/>
  <c r="AW682" i="1" a="1"/>
  <c r="AW682" i="1" s="1"/>
  <c r="AY253" i="1" a="1"/>
  <c r="AY253" i="1" s="1"/>
  <c r="AW73" i="1" a="1"/>
  <c r="AW73" i="1" s="1"/>
  <c r="AV583" i="1" a="1"/>
  <c r="AV583" i="1" s="1"/>
  <c r="AW540" i="1" a="1"/>
  <c r="AW540" i="1" s="1"/>
  <c r="AV160" i="1" a="1"/>
  <c r="AV160" i="1" s="1"/>
  <c r="AW543" i="1" a="1"/>
  <c r="AW543" i="1" s="1"/>
  <c r="AW94" i="1" a="1"/>
  <c r="AW94" i="1" s="1"/>
  <c r="AW542" i="1" a="1"/>
  <c r="AW542" i="1" s="1"/>
  <c r="AV92" i="1" a="1"/>
  <c r="AV92" i="1" s="1"/>
  <c r="AW92" i="1" a="1"/>
  <c r="AW92" i="1" s="1"/>
  <c r="AV199" i="1" a="1"/>
  <c r="AV199" i="1" s="1"/>
  <c r="AW673" i="1" a="1"/>
  <c r="AW673" i="1" s="1"/>
  <c r="AW513" i="1" a="1"/>
  <c r="AW513" i="1" s="1"/>
  <c r="AY644" i="1" a="1"/>
  <c r="AY644" i="1" s="1"/>
  <c r="AV396" i="1" a="1"/>
  <c r="AV396" i="1" s="1"/>
  <c r="AW733" i="1" a="1"/>
  <c r="AW733" i="1" s="1"/>
  <c r="AW444" i="1" a="1"/>
  <c r="AW444" i="1" s="1"/>
  <c r="AV245" i="1" a="1"/>
  <c r="AV245" i="1" s="1"/>
  <c r="AW663" i="1" a="1"/>
  <c r="AW663" i="1" s="1"/>
  <c r="AV427" i="1" a="1"/>
  <c r="AV427" i="1" s="1"/>
  <c r="AV458" i="1" a="1"/>
  <c r="AV458" i="1" s="1"/>
  <c r="AX425" i="1" a="1"/>
  <c r="AX425" i="1" s="1"/>
  <c r="AX682" i="1" a="1"/>
  <c r="AX682" i="1" s="1"/>
  <c r="AV447" i="1" a="1"/>
  <c r="AV447" i="1" s="1"/>
  <c r="AV321" i="1" a="1"/>
  <c r="AV321" i="1" s="1"/>
  <c r="AY294" i="1" a="1"/>
  <c r="AY294" i="1" s="1"/>
  <c r="AV511" i="1" a="1"/>
  <c r="AV511" i="1" s="1"/>
  <c r="AV372" i="1" a="1"/>
  <c r="AV372" i="1" s="1"/>
  <c r="AW201" i="1" a="1"/>
  <c r="AW201" i="1" s="1"/>
  <c r="AY111" i="1" a="1"/>
  <c r="AY111" i="1" s="1"/>
  <c r="AW569" i="1" a="1"/>
  <c r="AW569" i="1" s="1"/>
  <c r="AW527" i="1" a="1"/>
  <c r="AW527" i="1" s="1"/>
  <c r="AW371" i="1" a="1"/>
  <c r="AW371" i="1" s="1"/>
  <c r="AV185" i="1" a="1"/>
  <c r="AV185" i="1" s="1"/>
  <c r="AX316" i="1" a="1"/>
  <c r="AX316" i="1" s="1"/>
  <c r="AV720" i="1" a="1"/>
  <c r="AV720" i="1" s="1"/>
  <c r="AW632" i="1" a="1"/>
  <c r="AW632" i="1" s="1"/>
  <c r="AV594" i="1" a="1"/>
  <c r="AV594" i="1" s="1"/>
  <c r="AV296" i="1" a="1"/>
  <c r="AV296" i="1" s="1"/>
  <c r="AV198" i="1" a="1"/>
  <c r="AV198" i="1" s="1"/>
  <c r="AW683" i="1" a="1"/>
  <c r="AW683" i="1" s="1"/>
  <c r="AW178" i="1" a="1"/>
  <c r="AW178" i="1" s="1"/>
  <c r="AY428" i="1" a="1"/>
  <c r="AY428" i="1" s="1"/>
  <c r="AY517" i="1" a="1"/>
  <c r="AY517" i="1" s="1"/>
  <c r="AW369" i="1" a="1"/>
  <c r="AW369" i="1" s="1"/>
  <c r="AV148" i="1" a="1"/>
  <c r="AV148" i="1" s="1"/>
  <c r="AV550" i="1" a="1"/>
  <c r="AV550" i="1" s="1"/>
  <c r="AX347" i="1" a="1"/>
  <c r="AX347" i="1" s="1"/>
  <c r="AV347" i="1" a="1"/>
  <c r="AV347" i="1" s="1"/>
  <c r="AX70" i="1" a="1"/>
  <c r="AX70" i="1" s="1"/>
  <c r="AX246" i="1" a="1"/>
  <c r="AX246" i="1" s="1"/>
  <c r="AX548" i="1" a="1"/>
  <c r="AX548" i="1" s="1"/>
  <c r="AW633" i="1" a="1"/>
  <c r="AW633" i="1" s="1"/>
  <c r="AX186" i="1" a="1"/>
  <c r="AX186" i="1" s="1"/>
  <c r="AX453" i="1" a="1"/>
  <c r="AX453" i="1" s="1"/>
  <c r="AW152" i="1" a="1"/>
  <c r="AW152" i="1" s="1"/>
  <c r="AY49" i="1" a="1"/>
  <c r="AY49" i="1" s="1"/>
  <c r="AV551" i="1" a="1"/>
  <c r="AV551" i="1" s="1"/>
  <c r="AW320" i="1" a="1"/>
  <c r="AW320" i="1" s="1"/>
  <c r="AY54" i="1" a="1"/>
  <c r="AY54" i="1" s="1"/>
  <c r="AW53" i="1" a="1"/>
  <c r="AW53" i="1" s="1"/>
  <c r="AW651" i="1" a="1"/>
  <c r="AW651" i="1" s="1"/>
  <c r="AV547" i="1" a="1"/>
  <c r="AV547" i="1" s="1"/>
  <c r="AY72" i="1" a="1"/>
  <c r="AY72" i="1" s="1"/>
  <c r="AW367" i="1" a="1"/>
  <c r="AW367" i="1" s="1"/>
  <c r="AX583" i="1" a="1"/>
  <c r="AX583" i="1" s="1"/>
  <c r="AW425" i="1" a="1"/>
  <c r="AW425" i="1" s="1"/>
  <c r="AV539" i="1" a="1"/>
  <c r="AV539" i="1" s="1"/>
  <c r="AV295" i="1" a="1"/>
  <c r="AV295" i="1" s="1"/>
  <c r="AV672" i="1" a="1"/>
  <c r="AV672" i="1" s="1"/>
  <c r="AV202" i="1" a="1"/>
  <c r="AV202" i="1" s="1"/>
  <c r="AW514" i="1" a="1"/>
  <c r="AW514" i="1" s="1"/>
  <c r="AY410" i="1" a="1"/>
  <c r="AY410" i="1" s="1"/>
  <c r="AV193" i="1" a="1"/>
  <c r="AV193" i="1" s="1"/>
  <c r="AW368" i="1" a="1"/>
  <c r="AW368" i="1" s="1"/>
  <c r="AY146" i="1" a="1"/>
  <c r="AY146" i="1" s="1"/>
  <c r="AY150" i="1" a="1"/>
  <c r="AY150" i="1" s="1"/>
  <c r="AW644" i="1" a="1"/>
  <c r="AW644" i="1" s="1"/>
  <c r="AW294" i="1" a="1"/>
  <c r="AW294" i="1" s="1"/>
  <c r="AY154" i="1" a="1"/>
  <c r="AY154" i="1" s="1"/>
  <c r="AX547" i="1" a="1"/>
  <c r="AX547" i="1" s="1"/>
  <c r="AW478" i="1" a="1"/>
  <c r="AW478" i="1" s="1"/>
  <c r="AX190" i="1" a="1"/>
  <c r="AX190" i="1" s="1"/>
  <c r="AX673" i="1" a="1"/>
  <c r="AX673" i="1" s="1"/>
  <c r="AW254" i="1" a="1"/>
  <c r="AW254" i="1" s="1"/>
  <c r="AX251" i="1" a="1"/>
  <c r="AX251" i="1" s="1"/>
  <c r="AX309" i="1" a="1"/>
  <c r="AX309" i="1" s="1"/>
  <c r="AW66" i="1" a="1"/>
  <c r="AW66" i="1" s="1"/>
  <c r="AV69" i="1" a="1"/>
  <c r="AV69" i="1" s="1"/>
  <c r="AX455" i="1" a="1"/>
  <c r="AX455" i="1" s="1"/>
  <c r="AX592" i="1" a="1"/>
  <c r="AX592" i="1" s="1"/>
  <c r="AX411" i="1" a="1"/>
  <c r="AX411" i="1" s="1"/>
  <c r="AX734" i="1" a="1"/>
  <c r="AX734" i="1" s="1"/>
  <c r="AW649" i="1" a="1"/>
  <c r="AW649" i="1" s="1"/>
  <c r="AW675" i="1" a="1"/>
  <c r="AW675" i="1" s="1"/>
  <c r="AY160" i="1" a="1"/>
  <c r="AY160" i="1" s="1"/>
  <c r="AX539" i="1" a="1"/>
  <c r="AX539" i="1" s="1"/>
  <c r="AY190" i="1" a="1"/>
  <c r="AY190" i="1" s="1"/>
  <c r="AW77" i="1" a="1"/>
  <c r="AW77" i="1" s="1"/>
  <c r="AX396" i="1" a="1"/>
  <c r="AX396" i="1" s="1"/>
  <c r="AX681" i="1" a="1"/>
  <c r="AX681" i="1" s="1"/>
  <c r="AY538" i="1" a="1"/>
  <c r="AY538" i="1" s="1"/>
  <c r="AV590" i="1" a="1"/>
  <c r="AV590" i="1" s="1"/>
  <c r="AW177" i="1" a="1"/>
  <c r="AW177" i="1" s="1"/>
  <c r="AX111" i="1" a="1"/>
  <c r="AX111" i="1" s="1"/>
  <c r="AW510" i="1" a="1"/>
  <c r="AW510" i="1" s="1"/>
  <c r="AW587" i="1" a="1"/>
  <c r="AW587" i="1" s="1"/>
  <c r="AX54" i="1" a="1"/>
  <c r="AX54" i="1" s="1"/>
  <c r="AX200" i="1" a="1"/>
  <c r="AX200" i="1" s="1"/>
  <c r="AX52" i="1" a="1"/>
  <c r="AX52" i="1" s="1"/>
  <c r="AX78" i="1" a="1"/>
  <c r="AX78" i="1" s="1"/>
  <c r="AW636" i="1" a="1"/>
  <c r="AW636" i="1" s="1"/>
  <c r="AW385" i="1" a="1"/>
  <c r="AW385" i="1" s="1"/>
  <c r="AV252" i="1" a="1"/>
  <c r="AV252" i="1" s="1"/>
  <c r="AX198" i="1" a="1"/>
  <c r="AX198" i="1" s="1"/>
  <c r="AX570" i="1" a="1"/>
  <c r="AX570" i="1" s="1"/>
  <c r="AV444" i="1" a="1"/>
  <c r="AV444" i="1" s="1"/>
  <c r="AX371" i="1" a="1"/>
  <c r="AX371" i="1" s="1"/>
  <c r="AW154" i="1" a="1"/>
  <c r="AW154" i="1" s="1"/>
  <c r="AX320" i="1" a="1"/>
  <c r="AX320" i="1" s="1"/>
  <c r="AX650" i="1" a="1"/>
  <c r="AX650" i="1" s="1"/>
  <c r="AY511" i="1" a="1"/>
  <c r="AY511" i="1" s="1"/>
  <c r="AW348" i="1" a="1"/>
  <c r="AW348" i="1" s="1"/>
  <c r="AW184" i="1" a="1"/>
  <c r="AW184" i="1" s="1"/>
  <c r="AV455" i="1" a="1"/>
  <c r="AV455" i="1" s="1"/>
  <c r="AV310" i="1" a="1"/>
  <c r="AV310" i="1" s="1"/>
  <c r="AX589" i="1" a="1"/>
  <c r="AX589" i="1" s="1"/>
  <c r="AY94" i="1" a="1"/>
  <c r="AY94" i="1" s="1"/>
  <c r="AX50" i="1" a="1"/>
  <c r="AX50" i="1" s="1"/>
  <c r="AV80" i="1" a="1"/>
  <c r="AV80" i="1" s="1"/>
  <c r="AY51" i="1" a="1"/>
  <c r="AY51" i="1" s="1"/>
  <c r="AW674" i="1" a="1"/>
  <c r="AW674" i="1" s="1"/>
  <c r="AV72" i="1" a="1"/>
  <c r="AV72" i="1" s="1"/>
  <c r="AW606" i="1" a="1"/>
  <c r="AW606" i="1" s="1"/>
  <c r="AW162" i="1" a="1"/>
  <c r="AW162" i="1" s="1"/>
  <c r="AW317" i="1" a="1"/>
  <c r="AW317" i="1" s="1"/>
  <c r="AY470" i="1" a="1"/>
  <c r="AY470" i="1" s="1"/>
  <c r="AY399" i="1" a="1"/>
  <c r="AY399" i="1" s="1"/>
  <c r="AX49" i="1" a="1"/>
  <c r="AX49" i="1" s="1"/>
  <c r="AX182" i="1" a="1"/>
  <c r="AX182" i="1" s="1"/>
  <c r="AV175" i="1" a="1"/>
  <c r="AV175" i="1" s="1"/>
  <c r="AV515" i="1" a="1"/>
  <c r="AV515" i="1" s="1"/>
  <c r="AV542" i="1" a="1"/>
  <c r="AV542" i="1" s="1"/>
  <c r="AX249" i="1" a="1"/>
  <c r="AX249" i="1" s="1"/>
  <c r="AY547" i="1" a="1"/>
  <c r="AY547" i="1" s="1"/>
  <c r="AW529" i="1" a="1"/>
  <c r="AW529" i="1" s="1"/>
  <c r="AX590" i="1" a="1"/>
  <c r="AX590" i="1" s="1"/>
  <c r="AX79" i="1" a="1"/>
  <c r="AX79" i="1" s="1"/>
  <c r="AX80" i="1" a="1"/>
  <c r="AX80" i="1" s="1"/>
  <c r="AX646" i="1" a="1"/>
  <c r="AX646" i="1" s="1"/>
  <c r="AY250" i="1" a="1"/>
  <c r="AY250" i="1" s="1"/>
  <c r="AV471" i="1" a="1"/>
  <c r="AV471" i="1" s="1"/>
  <c r="AV674" i="1" a="1"/>
  <c r="AV674" i="1" s="1"/>
  <c r="AX714" i="1" a="1"/>
  <c r="AX714" i="1" s="1"/>
  <c r="AY589" i="1" a="1"/>
  <c r="AY589" i="1" s="1"/>
  <c r="AW570" i="1" a="1"/>
  <c r="AW570" i="1" s="1"/>
  <c r="AW718" i="1" a="1"/>
  <c r="AW718" i="1" s="1"/>
  <c r="AV79" i="1" a="1"/>
  <c r="AV79" i="1" s="1"/>
  <c r="AX468" i="1" a="1"/>
  <c r="AX468" i="1" s="1"/>
  <c r="AY563" i="1" a="1"/>
  <c r="AY563" i="1" s="1"/>
  <c r="AY193" i="1" a="1"/>
  <c r="AY193" i="1" s="1"/>
  <c r="AW192" i="1" a="1"/>
  <c r="AW192" i="1" s="1"/>
  <c r="AX426" i="1" a="1"/>
  <c r="AX426" i="1" s="1"/>
  <c r="AW343" i="1" a="1"/>
  <c r="AW343" i="1" s="1"/>
  <c r="AY594" i="1" a="1"/>
  <c r="AY594" i="1" s="1"/>
  <c r="AY668" i="1" a="1"/>
  <c r="AY668" i="1" s="1"/>
  <c r="AV190" i="1" a="1"/>
  <c r="AV190" i="1" s="1"/>
  <c r="AV409" i="1" a="1"/>
  <c r="AV409" i="1" s="1"/>
  <c r="AV446" i="1" a="1"/>
  <c r="AV446" i="1" s="1"/>
  <c r="AW103" i="1" a="1"/>
  <c r="AW103" i="1" s="1"/>
  <c r="AW470" i="1" a="1"/>
  <c r="AW470" i="1" s="1"/>
  <c r="AX86" i="1" a="1"/>
  <c r="AX86" i="1" s="1"/>
  <c r="AV527" i="1" a="1"/>
  <c r="AV527" i="1" s="1"/>
  <c r="AY605" i="1" a="1"/>
  <c r="AY605" i="1" s="1"/>
  <c r="AW318" i="1" a="1"/>
  <c r="AW318" i="1" s="1"/>
  <c r="AV162" i="1" a="1"/>
  <c r="AV162" i="1" s="1"/>
  <c r="AW464" i="1" a="1"/>
  <c r="AW464" i="1" s="1"/>
  <c r="AY590" i="1" a="1"/>
  <c r="AY590" i="1" s="1"/>
  <c r="AV470" i="1" a="1"/>
  <c r="AV470" i="1" s="1"/>
  <c r="AV111" i="1" a="1"/>
  <c r="AV111" i="1" s="1"/>
  <c r="AX511" i="1" a="1"/>
  <c r="AX511" i="1" s="1"/>
  <c r="AV146" i="1" a="1"/>
  <c r="AV146" i="1" s="1"/>
  <c r="AW646" i="1" a="1"/>
  <c r="AW646" i="1" s="1"/>
  <c r="AV150" i="1" a="1"/>
  <c r="AV150" i="1" s="1"/>
  <c r="AX310" i="1" a="1"/>
  <c r="AX310" i="1" s="1"/>
  <c r="AX383" i="1" a="1"/>
  <c r="AX383" i="1" s="1"/>
  <c r="AW594" i="1" a="1"/>
  <c r="AW594" i="1" s="1"/>
  <c r="AX386" i="1" a="1"/>
  <c r="AX386" i="1" s="1"/>
  <c r="AW539" i="1" a="1"/>
  <c r="AW539" i="1" s="1"/>
  <c r="AY195" i="1" a="1"/>
  <c r="AY195" i="1" s="1"/>
  <c r="AW477" i="1" a="1"/>
  <c r="AW477" i="1" s="1"/>
  <c r="AY53" i="1" a="1"/>
  <c r="AY53" i="1" s="1"/>
  <c r="AY251" i="1" a="1"/>
  <c r="AY251" i="1" s="1"/>
  <c r="AV526" i="1" a="1"/>
  <c r="AV526" i="1" s="1"/>
  <c r="AV660" i="1" a="1"/>
  <c r="AV660" i="1" s="1"/>
  <c r="AW429" i="1" a="1"/>
  <c r="AW429" i="1" s="1"/>
  <c r="AV510" i="1" a="1"/>
  <c r="AV510" i="1" s="1"/>
  <c r="AW572" i="1" a="1"/>
  <c r="AW572" i="1" s="1"/>
  <c r="AV297" i="1" a="1"/>
  <c r="AV297" i="1" s="1"/>
  <c r="AY52" i="1" a="1"/>
  <c r="AY52" i="1" s="1"/>
  <c r="AX447" i="1" a="1"/>
  <c r="AX447" i="1" s="1"/>
  <c r="AV385" i="1" a="1"/>
  <c r="AV385" i="1" s="1"/>
  <c r="AX368" i="1" a="1"/>
  <c r="AX368" i="1" s="1"/>
  <c r="AW685" i="1" a="1"/>
  <c r="AW685" i="1" s="1"/>
  <c r="AY187" i="1" a="1"/>
  <c r="AY187" i="1" s="1"/>
  <c r="AV476" i="1" a="1"/>
  <c r="AV476" i="1" s="1"/>
  <c r="AX430" i="1" a="1"/>
  <c r="AX430" i="1" s="1"/>
  <c r="AX732" i="1" a="1"/>
  <c r="AX732" i="1" s="1"/>
  <c r="AV105" i="1" a="1"/>
  <c r="AV105" i="1" s="1"/>
  <c r="AW175" i="1" a="1"/>
  <c r="AW175" i="1" s="1"/>
  <c r="AW716" i="1" a="1"/>
  <c r="AW716" i="1" s="1"/>
  <c r="AW637" i="1" a="1"/>
  <c r="AW637" i="1" s="1"/>
  <c r="AX594" i="1" a="1"/>
  <c r="AX594" i="1" s="1"/>
  <c r="AX397" i="1" a="1"/>
  <c r="AX397" i="1" s="1"/>
  <c r="AX150" i="1" a="1"/>
  <c r="AX150" i="1" s="1"/>
  <c r="AY586" i="1" a="1"/>
  <c r="AY586" i="1" s="1"/>
  <c r="AY651" i="1" a="1"/>
  <c r="AY651" i="1" s="1"/>
  <c r="AY384" i="1" a="1"/>
  <c r="AY384" i="1" s="1"/>
  <c r="AW180" i="1" a="1"/>
  <c r="AW180" i="1" s="1"/>
  <c r="AY319" i="1" a="1"/>
  <c r="AY319" i="1" s="1"/>
  <c r="AV49" i="1" a="1"/>
  <c r="AV49" i="1" s="1"/>
  <c r="AW455" i="1" a="1"/>
  <c r="AW455" i="1" s="1"/>
  <c r="AW195" i="1" a="1"/>
  <c r="AW195" i="1" s="1"/>
  <c r="AX53" i="1" a="1"/>
  <c r="AX53" i="1" s="1"/>
  <c r="AY50" i="1" a="1"/>
  <c r="AY50" i="1" s="1"/>
  <c r="AV636" i="1" a="1"/>
  <c r="AV636" i="1" s="1"/>
  <c r="AY571" i="1" a="1"/>
  <c r="AY571" i="1" s="1"/>
  <c r="AY516" i="1" a="1"/>
  <c r="AY516" i="1" s="1"/>
  <c r="AW660" i="1" a="1"/>
  <c r="AW660" i="1" s="1"/>
  <c r="AW67" i="1" a="1"/>
  <c r="AW67" i="1" s="1"/>
  <c r="AX684" i="1" a="1"/>
  <c r="AX684" i="1" s="1"/>
  <c r="AW427" i="1" a="1"/>
  <c r="AW427" i="1" s="1"/>
  <c r="AX467" i="1" a="1"/>
  <c r="AX467" i="1" s="1"/>
  <c r="AY89" i="1" a="1"/>
  <c r="AY89" i="1" s="1"/>
  <c r="AY648" i="1" a="1"/>
  <c r="AY648" i="1" s="1"/>
  <c r="AX96" i="1" a="1"/>
  <c r="AX96" i="1" s="1"/>
  <c r="AV467" i="1" a="1"/>
  <c r="AV467" i="1" s="1"/>
  <c r="AW182" i="1" a="1"/>
  <c r="AW182" i="1" s="1"/>
  <c r="AY76" i="1" a="1"/>
  <c r="AY76" i="1" s="1"/>
  <c r="AX660" i="1" a="1"/>
  <c r="AX660" i="1" s="1"/>
  <c r="AW197" i="1" a="1"/>
  <c r="AW197" i="1" s="1"/>
  <c r="AY673" i="1" a="1"/>
  <c r="AY673" i="1" s="1"/>
  <c r="AX318" i="1" a="1"/>
  <c r="AX318" i="1" s="1"/>
  <c r="AX477" i="1" a="1"/>
  <c r="AX477" i="1" s="1"/>
  <c r="AV348" i="1" a="1"/>
  <c r="AV348" i="1" s="1"/>
  <c r="AX346" i="1" a="1"/>
  <c r="AX346" i="1" s="1"/>
  <c r="AW199" i="1" a="1"/>
  <c r="AW199" i="1" s="1"/>
  <c r="AX562" i="1" a="1"/>
  <c r="AX562" i="1" s="1"/>
  <c r="AV719" i="1" a="1"/>
  <c r="AV719" i="1" s="1"/>
  <c r="AV410" i="1" a="1"/>
  <c r="AV410" i="1" s="1"/>
  <c r="AY663" i="1" a="1"/>
  <c r="AY663" i="1" s="1"/>
  <c r="AV77" i="1" a="1"/>
  <c r="AV77" i="1" s="1"/>
  <c r="AW150" i="1" a="1"/>
  <c r="AW150" i="1" s="1"/>
  <c r="AV685" i="1" a="1"/>
  <c r="AV685" i="1" s="1"/>
  <c r="AV342" i="1" a="1"/>
  <c r="AV342" i="1" s="1"/>
  <c r="AY528" i="1" a="1"/>
  <c r="AY528" i="1" s="1"/>
  <c r="AW668" i="1" a="1"/>
  <c r="AW668" i="1" s="1"/>
  <c r="AW346" i="1" a="1"/>
  <c r="AW346" i="1" s="1"/>
  <c r="AY467" i="1" a="1"/>
  <c r="AY467" i="1" s="1"/>
  <c r="AV592" i="1" a="1"/>
  <c r="AV592" i="1" s="1"/>
  <c r="AV203" i="1" a="1"/>
  <c r="AV203" i="1" s="1"/>
  <c r="AV572" i="1" a="1"/>
  <c r="AV572" i="1" s="1"/>
  <c r="AX349" i="1" a="1"/>
  <c r="AX349" i="1" s="1"/>
  <c r="AW406" i="1" a="1"/>
  <c r="AW406" i="1" s="1"/>
  <c r="AV200" i="1" a="1"/>
  <c r="AV200" i="1" s="1"/>
  <c r="AX667" i="1" a="1"/>
  <c r="AX667" i="1" s="1"/>
  <c r="AY544" i="1" a="1"/>
  <c r="AY544" i="1" s="1"/>
  <c r="AV161" i="1" a="1"/>
  <c r="AV161" i="1" s="1"/>
  <c r="AW476" i="1" a="1"/>
  <c r="AW476" i="1" s="1"/>
  <c r="AY71" i="1" a="1"/>
  <c r="AY71" i="1" s="1"/>
  <c r="AY593" i="1" a="1"/>
  <c r="AY593" i="1" s="1"/>
  <c r="AX668" i="1" a="1"/>
  <c r="AX668" i="1" s="1"/>
  <c r="AX716" i="1" a="1"/>
  <c r="AX716" i="1" s="1"/>
  <c r="AY400" i="1" a="1"/>
  <c r="AY400" i="1" s="1"/>
  <c r="AY186" i="1" a="1"/>
  <c r="AY186" i="1" s="1"/>
  <c r="AW447" i="1" a="1"/>
  <c r="AW447" i="1" s="1"/>
  <c r="AY153" i="1" a="1"/>
  <c r="AY153" i="1" s="1"/>
  <c r="AV95" i="1" a="1"/>
  <c r="AV95" i="1" s="1"/>
  <c r="AX593" i="1" a="1"/>
  <c r="AX593" i="1" s="1"/>
  <c r="AW548" i="1" a="1"/>
  <c r="AW548" i="1" s="1"/>
  <c r="AW475" i="1" a="1"/>
  <c r="AW475" i="1" s="1"/>
  <c r="AY645" i="1" a="1"/>
  <c r="AY645" i="1" s="1"/>
  <c r="AV382" i="1" a="1"/>
  <c r="AV382" i="1" s="1"/>
  <c r="AY177" i="1" a="1"/>
  <c r="AY177" i="1" s="1"/>
  <c r="AV401" i="1" a="1"/>
  <c r="AV401" i="1" s="1"/>
  <c r="AX67" i="1" a="1"/>
  <c r="AX67" i="1" s="1"/>
  <c r="AX367" i="1" a="1"/>
  <c r="AX367" i="1" s="1"/>
  <c r="AW667" i="1" a="1"/>
  <c r="AW667" i="1" s="1"/>
  <c r="AV201" i="1" a="1"/>
  <c r="AV201" i="1" s="1"/>
  <c r="AX635" i="1" a="1"/>
  <c r="AX635" i="1" s="1"/>
  <c r="AX444" i="1" a="1"/>
  <c r="AX444" i="1" s="1"/>
  <c r="AV732" i="1" a="1"/>
  <c r="AV732" i="1" s="1"/>
  <c r="AW370" i="1" a="1"/>
  <c r="AW370" i="1" s="1"/>
  <c r="AX588" i="1" a="1"/>
  <c r="AX588" i="1" s="1"/>
  <c r="AY408" i="1" a="1"/>
  <c r="AY408" i="1" s="1"/>
  <c r="AV528" i="1" a="1"/>
  <c r="AV528" i="1" s="1"/>
  <c r="AY468" i="1" a="1"/>
  <c r="AY468" i="1" s="1"/>
  <c r="AX342" i="1" a="1"/>
  <c r="AX342" i="1" s="1"/>
  <c r="AY385" i="1" a="1"/>
  <c r="AY385" i="1" s="1"/>
  <c r="AW715" i="1" a="1"/>
  <c r="AW715" i="1" s="1"/>
  <c r="AX427" i="1" a="1"/>
  <c r="AX427" i="1" s="1"/>
  <c r="AV70" i="1" a="1"/>
  <c r="AV70" i="1" s="1"/>
  <c r="AX651" i="1" a="1"/>
  <c r="AX651" i="1" s="1"/>
  <c r="AY80" i="1" a="1"/>
  <c r="AY80" i="1" s="1"/>
  <c r="AX605" i="1" a="1"/>
  <c r="AX605" i="1" s="1"/>
  <c r="AX73" i="1" a="1"/>
  <c r="AX73" i="1" s="1"/>
  <c r="AV456" i="1" a="1"/>
  <c r="AV456" i="1" s="1"/>
  <c r="AW203" i="1" a="1"/>
  <c r="AW203" i="1" s="1"/>
  <c r="AV517" i="1" a="1"/>
  <c r="AV517" i="1" s="1"/>
  <c r="AW161" i="1" a="1"/>
  <c r="AW161" i="1" s="1"/>
  <c r="AW186" i="1" a="1"/>
  <c r="AW186" i="1" s="1"/>
  <c r="AX297" i="1" a="1"/>
  <c r="AX297" i="1" s="1"/>
  <c r="AV667" i="1" a="1"/>
  <c r="AV667" i="1" s="1"/>
  <c r="AW515" i="1" a="1"/>
  <c r="AW515" i="1" s="1"/>
  <c r="AY632" i="1" a="1"/>
  <c r="AY632" i="1" s="1"/>
  <c r="AX719" i="1" a="1"/>
  <c r="AX719" i="1" s="1"/>
  <c r="AV67" i="1" a="1"/>
  <c r="AV67" i="1" s="1"/>
  <c r="AY465" i="1" a="1"/>
  <c r="AY465" i="1" s="1"/>
  <c r="AY606" i="1" a="1"/>
  <c r="AY606" i="1" s="1"/>
  <c r="AY79" i="1" a="1"/>
  <c r="AY79" i="1" s="1"/>
  <c r="AX252" i="1" a="1"/>
  <c r="AX252" i="1" s="1"/>
  <c r="AV454" i="1" a="1"/>
  <c r="AV454" i="1" s="1"/>
  <c r="AW449" i="1" a="1"/>
  <c r="AW449" i="1" s="1"/>
  <c r="AX372" i="1" a="1"/>
  <c r="AX372" i="1" s="1"/>
  <c r="AV663" i="1" a="1"/>
  <c r="AV663" i="1" s="1"/>
  <c r="AW307" i="1" a="1"/>
  <c r="AW307" i="1" s="1"/>
  <c r="AW525" i="1" a="1"/>
  <c r="AW525" i="1" s="1"/>
  <c r="AY570" i="1" a="1"/>
  <c r="AY570" i="1" s="1"/>
  <c r="AW672" i="1" a="1"/>
  <c r="AW672" i="1" s="1"/>
  <c r="AY526" i="1" a="1"/>
  <c r="AY526" i="1" s="1"/>
  <c r="AV54" i="1" a="1"/>
  <c r="AV54" i="1" s="1"/>
  <c r="AV475" i="1" a="1"/>
  <c r="AV475" i="1" s="1"/>
  <c r="AY344" i="1" a="1"/>
  <c r="AY344" i="1" s="1"/>
  <c r="AV478" i="1" a="1"/>
  <c r="AV478" i="1" s="1"/>
  <c r="AX345" i="1" a="1"/>
  <c r="AX345" i="1" s="1"/>
  <c r="AW410" i="1" a="1"/>
  <c r="AW410" i="1" s="1"/>
  <c r="AW347" i="1" a="1"/>
  <c r="AW347" i="1" s="1"/>
  <c r="AY369" i="1" a="1"/>
  <c r="AY369" i="1" s="1"/>
  <c r="AX407" i="1" a="1"/>
  <c r="AX407" i="1" s="1"/>
  <c r="AW159" i="1" a="1"/>
  <c r="AW159" i="1" s="1"/>
  <c r="AW78" i="1" a="1"/>
  <c r="AW78" i="1" s="1"/>
  <c r="AX550" i="1" a="1"/>
  <c r="AX550" i="1" s="1"/>
  <c r="AW151" i="1" a="1"/>
  <c r="AW151" i="1" s="1"/>
  <c r="AV180" i="1" a="1"/>
  <c r="AV180" i="1" s="1"/>
  <c r="AY477" i="1" a="1"/>
  <c r="AY477" i="1" s="1"/>
  <c r="AW315" i="1" a="1"/>
  <c r="AW315" i="1" s="1"/>
  <c r="AX176" i="1" a="1"/>
  <c r="AX176" i="1" s="1"/>
  <c r="AY731" i="1" a="1"/>
  <c r="AY731" i="1" s="1"/>
  <c r="AY95" i="1" a="1"/>
  <c r="AY95" i="1" s="1"/>
  <c r="AW80" i="1" a="1"/>
  <c r="AW80" i="1" s="1"/>
  <c r="AY550" i="1" a="1"/>
  <c r="AY550" i="1" s="1"/>
  <c r="AY681" i="1" a="1"/>
  <c r="AY681" i="1" s="1"/>
  <c r="AW189" i="1" a="1"/>
  <c r="AW189" i="1" s="1"/>
  <c r="AX149" i="1" a="1"/>
  <c r="AX149" i="1" s="1"/>
  <c r="AY542" i="1" a="1"/>
  <c r="AY542" i="1" s="1"/>
  <c r="AY371" i="1" a="1"/>
  <c r="AY371" i="1" s="1"/>
  <c r="AY449" i="1" a="1"/>
  <c r="AY449" i="1" s="1"/>
  <c r="AW684" i="1" a="1"/>
  <c r="AW684" i="1" s="1"/>
  <c r="AY720" i="1" a="1"/>
  <c r="AY720" i="1" s="1"/>
  <c r="AV96" i="1" a="1"/>
  <c r="AV96" i="1" s="1"/>
  <c r="AX647" i="1" a="1"/>
  <c r="AX647" i="1" s="1"/>
  <c r="AY159" i="1" a="1"/>
  <c r="AY159" i="1" s="1"/>
  <c r="AY478" i="1" a="1"/>
  <c r="AY478" i="1" s="1"/>
  <c r="AW549" i="1" a="1"/>
  <c r="AW549" i="1" s="1"/>
  <c r="AY646" i="1" a="1"/>
  <c r="AY646" i="1" s="1"/>
  <c r="AV178" i="1" a="1"/>
  <c r="AV178" i="1" s="1"/>
  <c r="AV571" i="1" a="1"/>
  <c r="AV571" i="1" s="1"/>
  <c r="AV733" i="1" a="1"/>
  <c r="AV733" i="1" s="1"/>
  <c r="AX51" i="1" a="1"/>
  <c r="AX51" i="1" s="1"/>
  <c r="AX446" i="1" a="1"/>
  <c r="AX446" i="1" s="1"/>
  <c r="AX736" i="1" a="1"/>
  <c r="AX736" i="1" s="1"/>
  <c r="AV149" i="1" a="1"/>
  <c r="AV149" i="1" s="1"/>
  <c r="AY718" i="1" a="1"/>
  <c r="AY718" i="1" s="1"/>
  <c r="AW713" i="1" a="1"/>
  <c r="AW713" i="1" s="1"/>
  <c r="AW187" i="1" a="1"/>
  <c r="AW187" i="1" s="1"/>
  <c r="AX663" i="1" a="1"/>
  <c r="AX663" i="1" s="1"/>
  <c r="AY189" i="1" a="1"/>
  <c r="AY189" i="1" s="1"/>
  <c r="AV666" i="1" a="1"/>
  <c r="AV666" i="1" s="1"/>
  <c r="AY148" i="1" a="1"/>
  <c r="AY148" i="1" s="1"/>
  <c r="AW593" i="1" a="1"/>
  <c r="AW593" i="1" s="1"/>
  <c r="AW387" i="1" a="1"/>
  <c r="AW387" i="1" s="1"/>
  <c r="AY549" i="1" a="1"/>
  <c r="AY549" i="1" s="1"/>
  <c r="AV246" i="1" a="1"/>
  <c r="AV246" i="1" s="1"/>
  <c r="AY427" i="1" a="1"/>
  <c r="AY427" i="1" s="1"/>
  <c r="AY587" i="1" a="1"/>
  <c r="AY587" i="1" s="1"/>
  <c r="AW382" i="1" a="1"/>
  <c r="AW382" i="1" s="1"/>
  <c r="AW372" i="1" a="1"/>
  <c r="AW372" i="1" s="1"/>
  <c r="AY541" i="1" a="1"/>
  <c r="AY541" i="1" s="1"/>
  <c r="AY667" i="1" a="1"/>
  <c r="AY667" i="1" s="1"/>
  <c r="AV251" i="1" a="1"/>
  <c r="AV251" i="1" s="1"/>
  <c r="AX527" i="1" a="1"/>
  <c r="AX527" i="1" s="1"/>
  <c r="AY348" i="1" a="1"/>
  <c r="AY348" i="1" s="1"/>
  <c r="AW465" i="1" a="1"/>
  <c r="AW465" i="1" s="1"/>
  <c r="AY252" i="1" a="1"/>
  <c r="AY252" i="1" s="1"/>
  <c r="AW252" i="1" a="1"/>
  <c r="AW252" i="1" s="1"/>
  <c r="AY551" i="1" a="1"/>
  <c r="AY551" i="1" s="1"/>
  <c r="AV451" i="1" a="1"/>
  <c r="AV451" i="1" s="1"/>
  <c r="AV718" i="1" a="1"/>
  <c r="AV718" i="1" s="1"/>
  <c r="AY192" i="1" a="1"/>
  <c r="AY192" i="1" s="1"/>
  <c r="AY254" i="1" a="1"/>
  <c r="AY254" i="1" s="1"/>
  <c r="AX661" i="1" a="1"/>
  <c r="AX661" i="1" s="1"/>
  <c r="AX665" i="1" a="1"/>
  <c r="AX665" i="1" s="1"/>
  <c r="AY548" i="1" a="1"/>
  <c r="AY548" i="1" s="1"/>
  <c r="AW732" i="1" a="1"/>
  <c r="AW732" i="1" s="1"/>
  <c r="AV294" i="1" a="1"/>
  <c r="AV294" i="1" s="1"/>
  <c r="AW316" i="1" a="1"/>
  <c r="AW316" i="1" s="1"/>
  <c r="AY736" i="1" a="1"/>
  <c r="AY736" i="1" s="1"/>
  <c r="AV91" i="1" a="1"/>
  <c r="AV91" i="1" s="1"/>
  <c r="AX528" i="1" a="1"/>
  <c r="AX528" i="1" s="1"/>
  <c r="AX180" i="1" a="1"/>
  <c r="AX180" i="1" s="1"/>
  <c r="AY372" i="1" a="1"/>
  <c r="AY372" i="1" s="1"/>
  <c r="AY529" i="1" a="1"/>
  <c r="AY529" i="1" s="1"/>
  <c r="AV181" i="1" a="1"/>
  <c r="AV181" i="1" s="1"/>
  <c r="AW96" i="1" a="1"/>
  <c r="AW96" i="1" s="1"/>
  <c r="AW87" i="1" a="1"/>
  <c r="AW87" i="1" s="1"/>
  <c r="AY734" i="1" a="1"/>
  <c r="AY734" i="1" s="1"/>
  <c r="AH23" i="11"/>
  <c r="AK23" i="11" s="1"/>
  <c r="AH14" i="11"/>
  <c r="AK14" i="11" s="1"/>
  <c r="AH9" i="11"/>
  <c r="AK9" i="11" s="1"/>
  <c r="AH8" i="11"/>
  <c r="AK8" i="11" s="1"/>
  <c r="AH7" i="11"/>
  <c r="AK7" i="11" s="1"/>
  <c r="AH27" i="11"/>
  <c r="AK27" i="11" s="1"/>
  <c r="AH20" i="11"/>
  <c r="AK20" i="11" s="1"/>
  <c r="AH4" i="11"/>
  <c r="AK4" i="11" s="1"/>
  <c r="AH17" i="11"/>
  <c r="AK17" i="11" s="1"/>
  <c r="AH5" i="11"/>
  <c r="AK5" i="11" s="1"/>
  <c r="AH3" i="11"/>
  <c r="AK3" i="11" s="1"/>
  <c r="AH26" i="11"/>
  <c r="AK26" i="11" s="1"/>
  <c r="AH16" i="11"/>
  <c r="AK16" i="11" s="1"/>
  <c r="AH12" i="11"/>
  <c r="AK12" i="11" s="1"/>
  <c r="AH18" i="11"/>
  <c r="AK18" i="11" s="1"/>
  <c r="AH25" i="11"/>
  <c r="AK25" i="11" s="1"/>
  <c r="AH24" i="11"/>
  <c r="AK24" i="11" s="1"/>
  <c r="AH21" i="11"/>
  <c r="AK21" i="11" s="1"/>
  <c r="AH19" i="11"/>
  <c r="AK19" i="11" s="1"/>
  <c r="AH6" i="11"/>
  <c r="AK6" i="11" s="1"/>
  <c r="AH10" i="11"/>
  <c r="AK10" i="11" s="1"/>
  <c r="AH15" i="11"/>
  <c r="AK15" i="11" s="1"/>
  <c r="AN4" i="1"/>
  <c r="AM4" i="1" s="1"/>
  <c r="AL4" i="1"/>
  <c r="AP4" i="1" s="1"/>
  <c r="AQ3" i="1"/>
  <c r="Y3" i="1" a="1"/>
  <c r="Y3" i="1" s="1"/>
  <c r="AH3" i="1" s="1"/>
  <c r="AR4" i="1" l="1"/>
  <c r="AG22" i="11"/>
  <c r="AF22" i="11"/>
  <c r="AE22" i="11"/>
  <c r="AJ22" i="11" s="1"/>
  <c r="AD22" i="11"/>
  <c r="AI22" i="11" s="1"/>
  <c r="AH4" i="1"/>
  <c r="AQ4" i="1"/>
  <c r="W6" i="1" a="1"/>
  <c r="W6" i="1" s="1"/>
  <c r="BR3" i="1"/>
  <c r="BQ3" i="1" s="1"/>
  <c r="AS3" i="1"/>
  <c r="AP3" i="11" a="1"/>
  <c r="AP3" i="11" s="1"/>
  <c r="BT3" i="1"/>
  <c r="BS3" i="1" s="1"/>
  <c r="AT3" i="11" a="1"/>
  <c r="AT3" i="11" s="1"/>
  <c r="AU3" i="11" a="1"/>
  <c r="AU3" i="11" s="1"/>
  <c r="AQ3" i="11" a="1"/>
  <c r="AQ3" i="11" s="1"/>
  <c r="AS3" i="11" a="1"/>
  <c r="AS3" i="11" s="1"/>
  <c r="AR3" i="11" a="1"/>
  <c r="AR3" i="11" s="1"/>
  <c r="AF13" i="11" l="1"/>
  <c r="AG13" i="11"/>
  <c r="AH22" i="11"/>
  <c r="AK22" i="11" s="1"/>
  <c r="AD13" i="11"/>
  <c r="AI13" i="11" s="1"/>
  <c r="AE13" i="11"/>
  <c r="AJ13" i="11" s="1"/>
  <c r="BT4" i="1"/>
  <c r="BR4" i="1"/>
  <c r="BQ4" i="1" s="1"/>
  <c r="AS4" i="1"/>
  <c r="BS4" i="1" l="1"/>
  <c r="AV18" i="1" a="1"/>
  <c r="AV18" i="1" s="1"/>
  <c r="AX18" i="1" a="1"/>
  <c r="AX18" i="1" s="1"/>
  <c r="AV16" i="1" a="1"/>
  <c r="AV16" i="1" s="1"/>
  <c r="AV20" i="1" a="1"/>
  <c r="AV20" i="1" s="1"/>
  <c r="AW18" i="1" a="1"/>
  <c r="AW18" i="1" s="1"/>
  <c r="AW16" i="1" a="1"/>
  <c r="AW16" i="1" s="1"/>
  <c r="AX20" i="1" a="1"/>
  <c r="AX20" i="1" s="1"/>
  <c r="AY16" i="1" a="1"/>
  <c r="AY16" i="1" s="1"/>
  <c r="AW20" i="1" a="1"/>
  <c r="AW20" i="1" s="1"/>
  <c r="AW17" i="1" a="1"/>
  <c r="AW17" i="1" s="1"/>
  <c r="AY20" i="1" a="1"/>
  <c r="AY20" i="1" s="1"/>
  <c r="AW15" i="1" a="1"/>
  <c r="AW15" i="1" s="1"/>
  <c r="AV17" i="1" a="1"/>
  <c r="AV17" i="1" s="1"/>
  <c r="AX16" i="1" a="1"/>
  <c r="AX16" i="1" s="1"/>
  <c r="AY15" i="1" a="1"/>
  <c r="AY15" i="1" s="1"/>
  <c r="AX17" i="1" a="1"/>
  <c r="AX17" i="1" s="1"/>
  <c r="AY17" i="1" a="1"/>
  <c r="AY17" i="1" s="1"/>
  <c r="AY18" i="1" a="1"/>
  <c r="AY18" i="1" s="1"/>
  <c r="AX19" i="1" a="1"/>
  <c r="AX19" i="1" s="1"/>
  <c r="AV21" i="1" a="1"/>
  <c r="AV21" i="1" s="1"/>
  <c r="AY21" i="1" a="1"/>
  <c r="AY21" i="1" s="1"/>
  <c r="AW21" i="1" a="1"/>
  <c r="AW21" i="1" s="1"/>
  <c r="AX21" i="1" a="1"/>
  <c r="AX21" i="1" s="1"/>
  <c r="AV19" i="1" a="1"/>
  <c r="AV19" i="1" s="1"/>
  <c r="AW19" i="1" a="1"/>
  <c r="AW19" i="1" s="1"/>
  <c r="AY19" i="1" a="1"/>
  <c r="AY19" i="1" s="1"/>
  <c r="AW25" i="1" a="1"/>
  <c r="AW25" i="1" s="1"/>
  <c r="AY22" i="1" a="1"/>
  <c r="AY22" i="1" s="1"/>
  <c r="AV22" i="1" a="1"/>
  <c r="AV22" i="1" s="1"/>
  <c r="AX25" i="1" a="1"/>
  <c r="AX25" i="1" s="1"/>
  <c r="AW22" i="1" a="1"/>
  <c r="AW22" i="1" s="1"/>
  <c r="AX22" i="1" a="1"/>
  <c r="AX22" i="1" s="1"/>
  <c r="AX26" i="1" a="1"/>
  <c r="AX26" i="1" s="1"/>
  <c r="AV26" i="1" a="1"/>
  <c r="AV26" i="1" s="1"/>
  <c r="AW26" i="1" a="1"/>
  <c r="AW26" i="1" s="1"/>
  <c r="AW27" i="1" a="1"/>
  <c r="AW27" i="1" s="1"/>
  <c r="AX27" i="1" a="1"/>
  <c r="AX27" i="1" s="1"/>
  <c r="AV27" i="1" a="1"/>
  <c r="AV27" i="1" s="1"/>
  <c r="AH13" i="11"/>
  <c r="AK13" i="11" s="1"/>
  <c r="W7" i="1" a="1"/>
  <c r="W7" i="1" s="1"/>
  <c r="W19" i="1" a="1"/>
  <c r="W19" i="1" s="1"/>
  <c r="W24" i="1" a="1"/>
  <c r="W24" i="1" s="1"/>
  <c r="W23" i="1" a="1"/>
  <c r="W23" i="1" s="1"/>
  <c r="W22" i="1" a="1"/>
  <c r="W22" i="1" s="1"/>
  <c r="W12" i="1" a="1"/>
  <c r="W12" i="1" s="1"/>
  <c r="W10" i="1" a="1"/>
  <c r="W10" i="1" s="1"/>
  <c r="W21" i="1" a="1"/>
  <c r="W21" i="1" s="1"/>
  <c r="W9" i="1" a="1"/>
  <c r="W9" i="1" s="1"/>
  <c r="W14" i="1" l="1" a="1"/>
  <c r="W14" i="1" s="1"/>
  <c r="W18" i="1" a="1"/>
  <c r="W18" i="1" s="1"/>
  <c r="W25" i="1" a="1"/>
  <c r="W25" i="1" s="1"/>
  <c r="W20" i="1" a="1"/>
  <c r="W20" i="1" s="1"/>
  <c r="W16" i="1" a="1"/>
  <c r="W16" i="1" s="1"/>
  <c r="W17" i="1" a="1"/>
  <c r="W17" i="1" s="1"/>
  <c r="W11" i="1" a="1"/>
  <c r="W11" i="1" s="1"/>
  <c r="W15" i="1" a="1"/>
  <c r="W15" i="1" s="1"/>
  <c r="W8" i="1" a="1"/>
  <c r="W8" i="1" s="1"/>
  <c r="W13" i="1" a="1"/>
  <c r="W13" i="1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2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</futureMetadata>
  <cellMetadata count="1">
    <bk>
      <rc t="1" v="0"/>
    </bk>
  </cellMetadata>
  <valueMetadata count="2">
    <bk>
      <rc t="2" v="0"/>
    </bk>
    <bk>
      <rc t="2" v="1"/>
    </bk>
  </valueMetadata>
</metadata>
</file>

<file path=xl/python.xml><?xml version="1.0" encoding="utf-8"?>
<python xmlns="http://schemas.microsoft.com/office/spreadsheetml/2023/python">
  <environmentDefinition id="{882DD1B0-6546-4DFA-8A08-902A380B44EA}">
    <initialization>
      <code xml:space="preserve">import numpy as np
import pandas as pd
import matplotlib.pyplot as plt
import seaborn as sns
import statsmodels as sm
import excel
import warnings
warnings.simplefilter('ignore')
excel.set_xl_scalar_conversion(excel.convert_to_scalar)
excel.set_xl_array_conversion(excel.convert_to_dataframe)
</code>
    </initialization>
  </environmentDefinition>
</python>
</file>

<file path=xl/sharedStrings.xml><?xml version="1.0" encoding="utf-8"?>
<sst xmlns="http://schemas.openxmlformats.org/spreadsheetml/2006/main" count="4857" uniqueCount="1073">
  <si>
    <t>Period</t>
  </si>
  <si>
    <t>EventType</t>
  </si>
  <si>
    <t>OffensivePlay</t>
  </si>
  <si>
    <t>DefensivePlay</t>
  </si>
  <si>
    <t>Player</t>
  </si>
  <si>
    <t>Faceoff</t>
  </si>
  <si>
    <t>Shot</t>
  </si>
  <si>
    <t>Pass</t>
  </si>
  <si>
    <t>Goal</t>
  </si>
  <si>
    <t>Turnover</t>
  </si>
  <si>
    <t>Penalty</t>
  </si>
  <si>
    <t>Stoppage</t>
  </si>
  <si>
    <t>Hit</t>
  </si>
  <si>
    <t>Possession</t>
  </si>
  <si>
    <t>LoosePuck</t>
  </si>
  <si>
    <t>Save</t>
  </si>
  <si>
    <t>TeamPossessionChange</t>
  </si>
  <si>
    <t>Faceoff-AfterPenalty</t>
  </si>
  <si>
    <t>Faceoff-AfterGoal</t>
  </si>
  <si>
    <t>Faceoff-PeriodStart</t>
  </si>
  <si>
    <t>Shot-OnNet</t>
  </si>
  <si>
    <t>Shot-Missed</t>
  </si>
  <si>
    <t>Shot-Blocked</t>
  </si>
  <si>
    <t>Shot-BlockedSameTeam</t>
  </si>
  <si>
    <t>Shot-Deflected</t>
  </si>
  <si>
    <t>Shot-DeflectedOnNet</t>
  </si>
  <si>
    <t>Shot-Tipped</t>
  </si>
  <si>
    <t>Pass-Completed</t>
  </si>
  <si>
    <t>Pass-Missed</t>
  </si>
  <si>
    <t>Pass-Deflected</t>
  </si>
  <si>
    <t>Pass-Intercepted</t>
  </si>
  <si>
    <t>Turnover-Giveaway</t>
  </si>
  <si>
    <t>Turnover-Takeaway</t>
  </si>
  <si>
    <t>Zone-Entry</t>
  </si>
  <si>
    <t>Zone-Exit</t>
  </si>
  <si>
    <t>Zone-Keepin</t>
  </si>
  <si>
    <t>Penalty-Offsetting</t>
  </si>
  <si>
    <t>Stoppage-Freeze</t>
  </si>
  <si>
    <t>Stoppage-OutfofPlay</t>
  </si>
  <si>
    <t>Stoppage-PeriodEnd</t>
  </si>
  <si>
    <t>Stoppage-Goal</t>
  </si>
  <si>
    <t>Stoppage-Penalty</t>
  </si>
  <si>
    <t>Shootout-OnNet</t>
  </si>
  <si>
    <t>Shootout-Missed</t>
  </si>
  <si>
    <t>Shootout-Saved</t>
  </si>
  <si>
    <t>PenaltyShot-OnNet</t>
  </si>
  <si>
    <t>PenaltyShot-Missed</t>
  </si>
  <si>
    <t>PenaltyShot-Saved</t>
  </si>
  <si>
    <t>LoosePuck-Forecheck</t>
  </si>
  <si>
    <t>LoosePuck-Battle</t>
  </si>
  <si>
    <t>EventTypeDetail</t>
  </si>
  <si>
    <t>Shot-Wrist</t>
  </si>
  <si>
    <t>Shot-Slap</t>
  </si>
  <si>
    <t>Shot-Backhand</t>
  </si>
  <si>
    <t>Shot-Tip</t>
  </si>
  <si>
    <t>Shot-Snap</t>
  </si>
  <si>
    <t>Shot-WrapAround</t>
  </si>
  <si>
    <t>Shot-Bat</t>
  </si>
  <si>
    <t>Shot-Cradle</t>
  </si>
  <si>
    <t>Shot-Poke</t>
  </si>
  <si>
    <t>Shot-BetweenLegs</t>
  </si>
  <si>
    <t>Shot-Dumpin</t>
  </si>
  <si>
    <t>Shot-Deflection</t>
  </si>
  <si>
    <t>Shot-OneTime</t>
  </si>
  <si>
    <t>Shot-Other</t>
  </si>
  <si>
    <t>Pass-Stretch</t>
  </si>
  <si>
    <t>Pass-Rim/Wrap</t>
  </si>
  <si>
    <t>Pass-Backhand</t>
  </si>
  <si>
    <t>Pass-Forehand</t>
  </si>
  <si>
    <t>Pass-Bank</t>
  </si>
  <si>
    <t>Pass-Other</t>
  </si>
  <si>
    <t>Giveaway-Misplayed</t>
  </si>
  <si>
    <t>Giveaway-BattleLost</t>
  </si>
  <si>
    <t>Giveaway-PassIntercepted</t>
  </si>
  <si>
    <t>Giveaway-PassMissed</t>
  </si>
  <si>
    <t>Giveaway-PassBlocked</t>
  </si>
  <si>
    <t>Giveaway-ShotBlocked</t>
  </si>
  <si>
    <t>Giveaway-ShotMissed</t>
  </si>
  <si>
    <t>Giveaway-Other</t>
  </si>
  <si>
    <t>Takeaway-BattleWon</t>
  </si>
  <si>
    <t>Takeaway-PokeCheck</t>
  </si>
  <si>
    <t>Takeaway-PassIntercepted</t>
  </si>
  <si>
    <t>Takeaway-PassBlocked</t>
  </si>
  <si>
    <t>Takeaway-ShotBlocked</t>
  </si>
  <si>
    <t>Takeaway-Other</t>
  </si>
  <si>
    <t>ZoneEntry-Rush</t>
  </si>
  <si>
    <t>ZoneEntry-Pass</t>
  </si>
  <si>
    <t>ZoneEntry-DumpIn</t>
  </si>
  <si>
    <t>ZoneExit-Rush</t>
  </si>
  <si>
    <t>ZoneExit-Pass</t>
  </si>
  <si>
    <t>ZoneExit-Clear</t>
  </si>
  <si>
    <t>Zone-KeepIn</t>
  </si>
  <si>
    <t>Zone-Pinch</t>
  </si>
  <si>
    <t>Zone-Other</t>
  </si>
  <si>
    <t>Save-Glove</t>
  </si>
  <si>
    <t>Save-Blocker</t>
  </si>
  <si>
    <t>Save-LeftPad</t>
  </si>
  <si>
    <t>Save-RightPad</t>
  </si>
  <si>
    <t>Save-Stick</t>
  </si>
  <si>
    <t>Save-Scramble</t>
  </si>
  <si>
    <t>Save-Butterfly</t>
  </si>
  <si>
    <t>Save-Chest</t>
  </si>
  <si>
    <t>Save-Other</t>
  </si>
  <si>
    <t>Stoppage-StartofShootout</t>
  </si>
  <si>
    <t>Stoppage-PeriodStart</t>
  </si>
  <si>
    <t>Stoppage-PuckOutofPlay</t>
  </si>
  <si>
    <t>Stoppage-Icing</t>
  </si>
  <si>
    <t>Stoppage-Offsides</t>
  </si>
  <si>
    <t>Stoppage-GoalieStoppage</t>
  </si>
  <si>
    <t>Stoppage-ClockProblem</t>
  </si>
  <si>
    <t>Stoppage-HighStick</t>
  </si>
  <si>
    <t>Stoppage-ObjectsonIce</t>
  </si>
  <si>
    <t>Stoppage-HandPass</t>
  </si>
  <si>
    <t>Stoppage-NetDislodged</t>
  </si>
  <si>
    <t>Stoppage-HomeTimeout</t>
  </si>
  <si>
    <t>Stoppage-VisitorTimeout</t>
  </si>
  <si>
    <t>Stoppage-Injury</t>
  </si>
  <si>
    <t>Stoppage-OfficialInjury</t>
  </si>
  <si>
    <t>Stoppage-RinkRepair</t>
  </si>
  <si>
    <t>Stoppage-PlayerEquipment</t>
  </si>
  <si>
    <t>Stoppage-Challenge</t>
  </si>
  <si>
    <t>Stoppage-Other</t>
  </si>
  <si>
    <t>Penalty-Bench Penalty</t>
  </si>
  <si>
    <t>Penalty-Boarding</t>
  </si>
  <si>
    <t>Penalty-Charging</t>
  </si>
  <si>
    <t>Penalty-CrossChecking</t>
  </si>
  <si>
    <t>Penalty-DelayofGame</t>
  </si>
  <si>
    <t>Penalty-Diving</t>
  </si>
  <si>
    <t>Penalty-Elbowing</t>
  </si>
  <si>
    <t>Penalty-GoalieInterference</t>
  </si>
  <si>
    <t>Penalty-HighSticking</t>
  </si>
  <si>
    <t>Penalty-Holding</t>
  </si>
  <si>
    <t>Penalty-Interference</t>
  </si>
  <si>
    <t>Penalty-Fighting</t>
  </si>
  <si>
    <t>Penalty-Hooking</t>
  </si>
  <si>
    <t>Penalty-Roughing</t>
  </si>
  <si>
    <t>Penalty-Slashing</t>
  </si>
  <si>
    <t>Penalty-Misconduct</t>
  </si>
  <si>
    <t>Penalty-TooManyMenontheIce</t>
  </si>
  <si>
    <t>Penalty-Tripping</t>
  </si>
  <si>
    <t>Penalty-UnsportsmanlikeConduct</t>
  </si>
  <si>
    <t>Penalty-Other</t>
  </si>
  <si>
    <t>EventTypeDetail2</t>
  </si>
  <si>
    <t>DriveMiddle</t>
  </si>
  <si>
    <t>DriveWide</t>
  </si>
  <si>
    <t>DriveCorner</t>
  </si>
  <si>
    <t>DriveNetMiddle</t>
  </si>
  <si>
    <t>DriveNetWide</t>
  </si>
  <si>
    <t>CrashNet</t>
  </si>
  <si>
    <t>Delay</t>
  </si>
  <si>
    <t>Deke</t>
  </si>
  <si>
    <t>Chip</t>
  </si>
  <si>
    <t>Other</t>
  </si>
  <si>
    <t>DumpChase</t>
  </si>
  <si>
    <t>Forecheck</t>
  </si>
  <si>
    <t>Speed</t>
  </si>
  <si>
    <t>PokeCheck</t>
  </si>
  <si>
    <t>PokeCheckFailed</t>
  </si>
  <si>
    <t>SeperateFromPuck</t>
  </si>
  <si>
    <t>Backcheck</t>
  </si>
  <si>
    <t>FroceWide</t>
  </si>
  <si>
    <t>Contain</t>
  </si>
  <si>
    <t>BeatMiddle</t>
  </si>
  <si>
    <t>BeatWide</t>
  </si>
  <si>
    <t>BeatDeke</t>
  </si>
  <si>
    <t>BeatSpeed</t>
  </si>
  <si>
    <t>BoxOut</t>
  </si>
  <si>
    <t>Save-Rebound</t>
  </si>
  <si>
    <t>Save-Freeze</t>
  </si>
  <si>
    <t>ZoneEntry-Other</t>
  </si>
  <si>
    <t>ZoneExit-Other</t>
  </si>
  <si>
    <t>PenaltyShot/Shootout</t>
  </si>
  <si>
    <t>Pass_Completed</t>
  </si>
  <si>
    <t>Turnover_Giveaway</t>
  </si>
  <si>
    <t>Zone_Entry</t>
  </si>
  <si>
    <t>Penalty_Minor</t>
  </si>
  <si>
    <t>PenaltyShot_OnNet</t>
  </si>
  <si>
    <t>Stoppage_Period</t>
  </si>
  <si>
    <t>LoosePuck_Forecheck</t>
  </si>
  <si>
    <t>Save_Rebound</t>
  </si>
  <si>
    <t>Faceoff_AfterPenalty</t>
  </si>
  <si>
    <t>Shot_Missed</t>
  </si>
  <si>
    <t>Pass_Missed</t>
  </si>
  <si>
    <t>Turnover_Takeaway</t>
  </si>
  <si>
    <t>Zone_Exit</t>
  </si>
  <si>
    <t>Penalty_Offsetting</t>
  </si>
  <si>
    <t>PenaltyShot_Missed</t>
  </si>
  <si>
    <t>Stoppage_Play</t>
  </si>
  <si>
    <t>LoosePuck_Battle</t>
  </si>
  <si>
    <t>Save_Freeze</t>
  </si>
  <si>
    <t>Faceoff_AfterGoal</t>
  </si>
  <si>
    <t>Shot_Blocked</t>
  </si>
  <si>
    <t>Pass_Deflected</t>
  </si>
  <si>
    <t>Zone_Keepin</t>
  </si>
  <si>
    <t>Penalty_Major</t>
  </si>
  <si>
    <t>PenaltyShot_Saved</t>
  </si>
  <si>
    <t>Stoppage_Other</t>
  </si>
  <si>
    <t>Faceoff_PeriodStart</t>
  </si>
  <si>
    <t>Shot_BlockedSameTeam</t>
  </si>
  <si>
    <t>Pass_Intercepted</t>
  </si>
  <si>
    <t>ShootoutShot_OnNet</t>
  </si>
  <si>
    <t>Shot_Deflected</t>
  </si>
  <si>
    <t>ShootoutShot_Missed</t>
  </si>
  <si>
    <t>ShootoutShot_Saved</t>
  </si>
  <si>
    <t>Shot_Tipped</t>
  </si>
  <si>
    <t>Shot_OnNetSaved</t>
  </si>
  <si>
    <t>Shot_DeflectedOnNetSaved</t>
  </si>
  <si>
    <t>Shot_TippedOnNetSaved</t>
  </si>
  <si>
    <t>Shot_OnNetGoal</t>
  </si>
  <si>
    <t>Shot_TippedGoal</t>
  </si>
  <si>
    <t>Shot_DeflectedGoal</t>
  </si>
  <si>
    <t>Shot_OnNetTippedGoal</t>
  </si>
  <si>
    <t>Shot_OnNetDeflectedGoal</t>
  </si>
  <si>
    <t>Goal_Scored</t>
  </si>
  <si>
    <t>Goal_Shootout</t>
  </si>
  <si>
    <t>Goal_PenaltyShot</t>
  </si>
  <si>
    <t>Goal-Wrist</t>
  </si>
  <si>
    <t>Goal-Slap</t>
  </si>
  <si>
    <t>Goal-Backhand</t>
  </si>
  <si>
    <t>Goal-Tip</t>
  </si>
  <si>
    <t>Goal-Snap</t>
  </si>
  <si>
    <t>Goal-WrapAround</t>
  </si>
  <si>
    <t>Goal-Bat</t>
  </si>
  <si>
    <t>Goal-Cradle</t>
  </si>
  <si>
    <t>Goal-Poke</t>
  </si>
  <si>
    <t>Goal-BetweenLegs</t>
  </si>
  <si>
    <t>Goal-Dumpin</t>
  </si>
  <si>
    <t>Goal-Deflection</t>
  </si>
  <si>
    <t>Goal-OneTime</t>
  </si>
  <si>
    <t>Goal-Other</t>
  </si>
  <si>
    <t>Play</t>
  </si>
  <si>
    <t>Rebound</t>
  </si>
  <si>
    <t>Rebound_TeamRecovered</t>
  </si>
  <si>
    <t>Rebound_OppTeamRecovered</t>
  </si>
  <si>
    <t>Rebound_ShotGenerated</t>
  </si>
  <si>
    <t>Rebound_FlurryGenerated</t>
  </si>
  <si>
    <t>Faceoff_AfterStoppage</t>
  </si>
  <si>
    <t>PenaltyShot_Shootout</t>
  </si>
  <si>
    <t>Zone_Entry_Exit</t>
  </si>
  <si>
    <t>Type</t>
  </si>
  <si>
    <t>Shot_Goal</t>
  </si>
  <si>
    <t>DeadIce</t>
  </si>
  <si>
    <t>event_index</t>
  </si>
  <si>
    <t>sequence_index</t>
  </si>
  <si>
    <t>play_index</t>
  </si>
  <si>
    <t>player_role</t>
  </si>
  <si>
    <t>event_detail</t>
  </si>
  <si>
    <t>event_detail_2</t>
  </si>
  <si>
    <t>game_id</t>
  </si>
  <si>
    <t>home_team</t>
  </si>
  <si>
    <t>away_team</t>
  </si>
  <si>
    <t>-</t>
  </si>
  <si>
    <t>event_start_min</t>
  </si>
  <si>
    <t>event_start_sec</t>
  </si>
  <si>
    <t>event_end_min</t>
  </si>
  <si>
    <t>event_end_sec</t>
  </si>
  <si>
    <t>shift_index</t>
  </si>
  <si>
    <t>shift_start_type</t>
  </si>
  <si>
    <t>shift_stop_type</t>
  </si>
  <si>
    <t>shift_start_min</t>
  </si>
  <si>
    <t>shift_start_sec</t>
  </si>
  <si>
    <t>shift_end_min</t>
  </si>
  <si>
    <t>shift_end_sec</t>
  </si>
  <si>
    <t>home_forward_1</t>
  </si>
  <si>
    <t>home_forward_2</t>
  </si>
  <si>
    <t>home_forward_3</t>
  </si>
  <si>
    <t>home_defense_1</t>
  </si>
  <si>
    <t>home_defense_2</t>
  </si>
  <si>
    <t>home_goalie</t>
  </si>
  <si>
    <t>home_xtra</t>
  </si>
  <si>
    <t>away_forward_1</t>
  </si>
  <si>
    <t>away_forward_2</t>
  </si>
  <si>
    <t>away_forward_3</t>
  </si>
  <si>
    <t>away_defense_1</t>
  </si>
  <si>
    <t>away_defense_2</t>
  </si>
  <si>
    <t>away_goalie</t>
  </si>
  <si>
    <t>away_xtra</t>
  </si>
  <si>
    <t>stoppage_time</t>
  </si>
  <si>
    <t>home_ozone_start</t>
  </si>
  <si>
    <t>home_ozone_end</t>
  </si>
  <si>
    <t>home_dzone_start</t>
  </si>
  <si>
    <t>home_dzone_end</t>
  </si>
  <si>
    <t>home_nzone_start</t>
  </si>
  <si>
    <t>home_nzone_end</t>
  </si>
  <si>
    <t>PeriodStart</t>
  </si>
  <si>
    <t>Home Goalie Stoppage</t>
  </si>
  <si>
    <t>FaceoffAfterGoal</t>
  </si>
  <si>
    <t>GameStart</t>
  </si>
  <si>
    <t>FaceoffAfterPenalty</t>
  </si>
  <si>
    <t>OtherFaceoff</t>
  </si>
  <si>
    <t>DeadIce/Stoppage</t>
  </si>
  <si>
    <t>Period Start</t>
  </si>
  <si>
    <t>Period End</t>
  </si>
  <si>
    <t>Puck Out of Play</t>
  </si>
  <si>
    <t>Injury</t>
  </si>
  <si>
    <t>Home Penalty</t>
  </si>
  <si>
    <t>Away Penalty</t>
  </si>
  <si>
    <t>Away Goalie Stoppage</t>
  </si>
  <si>
    <t>Home Offside</t>
  </si>
  <si>
    <t>Home Icing</t>
  </si>
  <si>
    <t>Away Offside</t>
  </si>
  <si>
    <t>Away Icing</t>
  </si>
  <si>
    <t>Clock Problem</t>
  </si>
  <si>
    <t>Puck Frozen</t>
  </si>
  <si>
    <t>Puck in Crowd</t>
  </si>
  <si>
    <t>Goalie Stopped (after SOG)</t>
  </si>
  <si>
    <t>Referee or Linesperson</t>
  </si>
  <si>
    <t>High Stick</t>
  </si>
  <si>
    <t>Objects on Ice</t>
  </si>
  <si>
    <t>Hand Pass</t>
  </si>
  <si>
    <t>Premature Substitution</t>
  </si>
  <si>
    <t>Puck in Netting</t>
  </si>
  <si>
    <t>Puck in Benches</t>
  </si>
  <si>
    <t>Net Dislodged Offensive Skater</t>
  </si>
  <si>
    <t>Puck Frzn-Goalie-Bynd Ctr</t>
  </si>
  <si>
    <t>Skater Puck Frozen</t>
  </si>
  <si>
    <t>Valid stoppage type reasons (reason):</t>
  </si>
  <si>
    <t>TV timeout</t>
  </si>
  <si>
    <t>Home Timeout</t>
  </si>
  <si>
    <t>Visitor Timeout</t>
  </si>
  <si>
    <t>Player Injury</t>
  </si>
  <si>
    <t>Official Injury</t>
  </si>
  <si>
    <t>Rink Repair</t>
  </si>
  <si>
    <t>Ice problem</t>
  </si>
  <si>
    <t>Player Equipment</t>
  </si>
  <si>
    <t>Video Review</t>
  </si>
  <si>
    <t>Chlg Hm - off-side</t>
  </si>
  <si>
    <t>Chlg Vis - off-side</t>
  </si>
  <si>
    <t>Chlg Hm - goal interference</t>
  </si>
  <si>
    <t>Chlg Vis - goal interference</t>
  </si>
  <si>
    <t>Chlg League - off-side</t>
  </si>
  <si>
    <t>Chlg League - goal interference</t>
  </si>
  <si>
    <t>Switch sides</t>
  </si>
  <si>
    <t>Chlg Hm - Missed stoppage</t>
  </si>
  <si>
    <t>Chlg Vis - Missed stoppage</t>
  </si>
  <si>
    <t>Chlg League - Missed stoppage</t>
  </si>
  <si>
    <t>Chlg Hm - puck over glass</t>
  </si>
  <si>
    <t>Chlg Vis - puck over glass</t>
  </si>
  <si>
    <t>Chlg League - puck over glass</t>
  </si>
  <si>
    <t>Home Goal</t>
  </si>
  <si>
    <t>Away Goal</t>
  </si>
  <si>
    <t>Away Goalie Stopped (after Home SOG)</t>
  </si>
  <si>
    <t>Home Goalie Stopped (after Away SOG)</t>
  </si>
  <si>
    <t>shift_start</t>
  </si>
  <si>
    <t>shift_end</t>
  </si>
  <si>
    <t>home_team_strength</t>
  </si>
  <si>
    <t>away_team_strength</t>
  </si>
  <si>
    <t>home_team_en</t>
  </si>
  <si>
    <t>away_team_en</t>
  </si>
  <si>
    <t>home_team_pp</t>
  </si>
  <si>
    <t>home_team_pk</t>
  </si>
  <si>
    <t>away_team_pp</t>
  </si>
  <si>
    <t>away_team_pk</t>
  </si>
  <si>
    <t>situation</t>
  </si>
  <si>
    <t>Giveaway-ZoneClear/Dump</t>
  </si>
  <si>
    <t>Takeaway-ZoneClear/Dump</t>
  </si>
  <si>
    <t>duration</t>
  </si>
  <si>
    <t>time_start_total_seconds</t>
  </si>
  <si>
    <t>time_end_total_seconds</t>
  </si>
  <si>
    <t>shift_end_total_seconds</t>
  </si>
  <si>
    <t>shift_start_total_seconds</t>
  </si>
  <si>
    <t>shift_duration</t>
  </si>
  <si>
    <t>strength</t>
  </si>
  <si>
    <t>home_goals</t>
  </si>
  <si>
    <t>away_goals</t>
  </si>
  <si>
    <t>Giveaway-AttemptedZoneClear/Dump</t>
  </si>
  <si>
    <t>Takeaway-AttemptedZoneClear/Dump</t>
  </si>
  <si>
    <t>e</t>
  </si>
  <si>
    <t>o</t>
  </si>
  <si>
    <t>role_abrev</t>
  </si>
  <si>
    <t>role_number</t>
  </si>
  <si>
    <t>Pass-Dump</t>
  </si>
  <si>
    <t>Pass-Tipped</t>
  </si>
  <si>
    <t>ZoneEntry-Chip</t>
  </si>
  <si>
    <t>ZoneExit-Chip</t>
  </si>
  <si>
    <t>ZoneEntry-FromExitClear</t>
  </si>
  <si>
    <t>ZoneExit-PassMiss/Misplay</t>
  </si>
  <si>
    <t>ZoneEntry-OppTeam</t>
  </si>
  <si>
    <t>ZoneExit-OppTeam</t>
  </si>
  <si>
    <t>ZoneEntry-Lob</t>
  </si>
  <si>
    <t>ZoneExit-Lob</t>
  </si>
  <si>
    <t>Pass-Lob</t>
  </si>
  <si>
    <t>ZoneEntry-RushBreakaway</t>
  </si>
  <si>
    <t>Giveaway-ZoneEntry/ExitMisplay</t>
  </si>
  <si>
    <t>Save_Played</t>
  </si>
  <si>
    <t>Pass-Drop</t>
  </si>
  <si>
    <t>Play-Offensive</t>
  </si>
  <si>
    <t>Play-Defensive</t>
  </si>
  <si>
    <t>Play_Offensive</t>
  </si>
  <si>
    <t>Play_Defensive</t>
  </si>
  <si>
    <t>ZoneEntry-PassMiss/Misplay</t>
  </si>
  <si>
    <t>Giveaway-DumpInZone</t>
  </si>
  <si>
    <t>Timeout</t>
  </si>
  <si>
    <t>Intermission</t>
  </si>
  <si>
    <t>event_running_start</t>
  </si>
  <si>
    <t>event_running_end</t>
  </si>
  <si>
    <t>period_start_total_running_seconds</t>
  </si>
  <si>
    <t>running_intermission_duration</t>
  </si>
  <si>
    <t>Clockstop</t>
  </si>
  <si>
    <t>Faceoff-GameStart</t>
  </si>
  <si>
    <t>GameEnd</t>
  </si>
  <si>
    <t>Faceoff_GameStart</t>
  </si>
  <si>
    <t>Stoppage_GameEnd</t>
  </si>
  <si>
    <t>running_video_time</t>
  </si>
  <si>
    <t>shift_start_running_time</t>
  </si>
  <si>
    <t>shift_end_running_time</t>
  </si>
  <si>
    <t>Type_</t>
  </si>
  <si>
    <t>event_detail_</t>
  </si>
  <si>
    <t>event_detail_2_</t>
  </si>
  <si>
    <t>event_start_min_</t>
  </si>
  <si>
    <t>event_start_sec_</t>
  </si>
  <si>
    <t>event_end_min_</t>
  </si>
  <si>
    <t>event_end_sec_</t>
  </si>
  <si>
    <t>00</t>
  </si>
  <si>
    <t>ZoneEntry-CausedTurnover</t>
  </si>
  <si>
    <t>ZoneExit-CausedTurnover</t>
  </si>
  <si>
    <t>Save-Shoulder</t>
  </si>
  <si>
    <t>Penalty_Delayed</t>
  </si>
  <si>
    <t>Breakaway</t>
  </si>
  <si>
    <t>Play-DriveMiddle</t>
  </si>
  <si>
    <t>Play-DriveWide</t>
  </si>
  <si>
    <t>Play-DriveCorner</t>
  </si>
  <si>
    <t>Play-DriveNetMiddle</t>
  </si>
  <si>
    <t>Play-DriveNetWide</t>
  </si>
  <si>
    <t>Play-CrashNet</t>
  </si>
  <si>
    <t>Play-Delay</t>
  </si>
  <si>
    <t>Play-Chip</t>
  </si>
  <si>
    <t>Play-Other</t>
  </si>
  <si>
    <t>Play-DumpChase</t>
  </si>
  <si>
    <t>Play-Forecheck</t>
  </si>
  <si>
    <t>Play-Speed</t>
  </si>
  <si>
    <t>Play-Dump/RimInZone</t>
  </si>
  <si>
    <t>Play-PokeCheck</t>
  </si>
  <si>
    <t>Play-PokeCheckFailed</t>
  </si>
  <si>
    <t>Play-SeperateFromPuck</t>
  </si>
  <si>
    <t>Play-Backcheck</t>
  </si>
  <si>
    <t>Play-FroceWide</t>
  </si>
  <si>
    <t>Play-Contain</t>
  </si>
  <si>
    <t>Play-BeatMiddle</t>
  </si>
  <si>
    <t>Play-BeatWide</t>
  </si>
  <si>
    <t>Play-BeatDeke</t>
  </si>
  <si>
    <t>Play-BeatSpeed</t>
  </si>
  <si>
    <t>Play-BoxOut</t>
  </si>
  <si>
    <t>Save-Skate</t>
  </si>
  <si>
    <t>Pass-Deflected/TippedShot</t>
  </si>
  <si>
    <t>Pass-ReceiverMissed</t>
  </si>
  <si>
    <t>Giveaway-PassReceiverMissed</t>
  </si>
  <si>
    <t>Play-Deke</t>
  </si>
  <si>
    <t>Play-AttemptedClear</t>
  </si>
  <si>
    <t>successful</t>
  </si>
  <si>
    <t>Breakout</t>
  </si>
  <si>
    <t>play_detail1</t>
  </si>
  <si>
    <t>play_detail2</t>
  </si>
  <si>
    <t>play_detail_successful</t>
  </si>
  <si>
    <t>event_team_zone</t>
  </si>
  <si>
    <t>home_team_zone</t>
  </si>
  <si>
    <t>away_team_zone</t>
  </si>
  <si>
    <t>next_event</t>
  </si>
  <si>
    <t>last_event</t>
  </si>
  <si>
    <t>event_id</t>
  </si>
  <si>
    <t>play_id</t>
  </si>
  <si>
    <t>sequence_id</t>
  </si>
  <si>
    <t>next_faceoff</t>
  </si>
  <si>
    <t>last_faceoff</t>
  </si>
  <si>
    <t>next_team_zone_entry</t>
  </si>
  <si>
    <t>last_team_zone_entry</t>
  </si>
  <si>
    <t>next_team_zone_exit</t>
  </si>
  <si>
    <t>next_team_shot</t>
  </si>
  <si>
    <t>last_team_shot</t>
  </si>
  <si>
    <t>next_team_goal</t>
  </si>
  <si>
    <t>last_team_goal</t>
  </si>
  <si>
    <t>associated_faceoff_id</t>
  </si>
  <si>
    <t>associated_pass_id2</t>
  </si>
  <si>
    <t>associated_pass_id1</t>
  </si>
  <si>
    <t>associated_pass_id3</t>
  </si>
  <si>
    <t>associated_pass_id4</t>
  </si>
  <si>
    <t>associated_zone_entry</t>
  </si>
  <si>
    <t>assocaited_zone_exit</t>
  </si>
  <si>
    <t>assocaited_penalty</t>
  </si>
  <si>
    <t>assocaited_shot1</t>
  </si>
  <si>
    <t>assocaited_shot2</t>
  </si>
  <si>
    <t>assocaited_shot3</t>
  </si>
  <si>
    <t>assocaited_shot4</t>
  </si>
  <si>
    <t>associated_save1</t>
  </si>
  <si>
    <t>associated_save2</t>
  </si>
  <si>
    <t>associated_save3</t>
  </si>
  <si>
    <t>associated_save4</t>
  </si>
  <si>
    <t>associated_turnover1</t>
  </si>
  <si>
    <t>associated_turnover2</t>
  </si>
  <si>
    <t>associated_turnover3</t>
  </si>
  <si>
    <t>associated_turnover4</t>
  </si>
  <si>
    <t>assocaited_possession1</t>
  </si>
  <si>
    <t>assocaited_possession2</t>
  </si>
  <si>
    <t>assocaited_possession3</t>
  </si>
  <si>
    <t>assocaited_possession4</t>
  </si>
  <si>
    <t>associated_breakout</t>
  </si>
  <si>
    <t>assocaited_assist_secondary</t>
  </si>
  <si>
    <t>assocaited_assist_primary</t>
  </si>
  <si>
    <t>faceoff_id</t>
  </si>
  <si>
    <t>pass_id</t>
  </si>
  <si>
    <t>turnover_id</t>
  </si>
  <si>
    <t>shot_id</t>
  </si>
  <si>
    <t>save_id</t>
  </si>
  <si>
    <t>rebound_id</t>
  </si>
  <si>
    <t>goal_id</t>
  </si>
  <si>
    <t>penalty_id</t>
  </si>
  <si>
    <t>zone_entry_id</t>
  </si>
  <si>
    <t>zone_exit_id</t>
  </si>
  <si>
    <t>possession_id</t>
  </si>
  <si>
    <t>pre_shot_pass</t>
  </si>
  <si>
    <t>failed_entry</t>
  </si>
  <si>
    <t>failed_exit</t>
  </si>
  <si>
    <t>botched_retreivals</t>
  </si>
  <si>
    <t>retreival_lead_to_breakout</t>
  </si>
  <si>
    <t>possession_change</t>
  </si>
  <si>
    <t>side_of_puck</t>
  </si>
  <si>
    <t>Offensive</t>
  </si>
  <si>
    <t>Defensive</t>
  </si>
  <si>
    <t>linked_event_index</t>
  </si>
  <si>
    <t>DelayedPenalty</t>
  </si>
  <si>
    <t>Offset Penalty</t>
  </si>
  <si>
    <t>Velodrome</t>
  </si>
  <si>
    <t>Team_</t>
  </si>
  <si>
    <t>ZoneEntry-PenaltyKillClear</t>
  </si>
  <si>
    <t>ZoneExit-PenaltyKillClear</t>
  </si>
  <si>
    <t>play_tag1</t>
  </si>
  <si>
    <t>play_tag2</t>
  </si>
  <si>
    <t>Cycle</t>
  </si>
  <si>
    <t>Rush</t>
  </si>
  <si>
    <t>Zone_Change</t>
  </si>
  <si>
    <t>Slot</t>
  </si>
  <si>
    <t>LowToHigh</t>
  </si>
  <si>
    <t>HighToLow</t>
  </si>
  <si>
    <t>CrossIce</t>
  </si>
  <si>
    <t>forced_forcer</t>
  </si>
  <si>
    <t>pressured_pressurer</t>
  </si>
  <si>
    <t>high_danger</t>
  </si>
  <si>
    <t>Dump/RimInZone</t>
  </si>
  <si>
    <t>AssistPrimary</t>
  </si>
  <si>
    <t>AssistSecondary</t>
  </si>
  <si>
    <t>OpenIceDeke</t>
  </si>
  <si>
    <t>PuckRetrievalDumpIn</t>
  </si>
  <si>
    <t>PuckRetrievalShot</t>
  </si>
  <si>
    <t>PuckRetreivalTurnover</t>
  </si>
  <si>
    <t>PuckRetreivalPass</t>
  </si>
  <si>
    <t>EndToEndRush</t>
  </si>
  <si>
    <t>FrontofNet</t>
  </si>
  <si>
    <t>DumpInAttempt</t>
  </si>
  <si>
    <t>CutBack</t>
  </si>
  <si>
    <t>GiveAndGo</t>
  </si>
  <si>
    <t>Wheel</t>
  </si>
  <si>
    <t>Reverse</t>
  </si>
  <si>
    <t>QuickUp</t>
  </si>
  <si>
    <t>Screen</t>
  </si>
  <si>
    <t>ForecedOutside</t>
  </si>
  <si>
    <t>Zone</t>
  </si>
  <si>
    <t>BlockedShot</t>
  </si>
  <si>
    <t>PassIntercepted</t>
  </si>
  <si>
    <t>ClearingAttempt</t>
  </si>
  <si>
    <t>Pressure</t>
  </si>
  <si>
    <t>ZoneEntryDenial</t>
  </si>
  <si>
    <t>ZoneExitDenial</t>
  </si>
  <si>
    <t>PenaltyKillClear</t>
  </si>
  <si>
    <t>ManOnMan</t>
  </si>
  <si>
    <t>Tracker</t>
  </si>
  <si>
    <t>Surf</t>
  </si>
  <si>
    <t>InShotPassLane</t>
  </si>
  <si>
    <t>StickCheck</t>
  </si>
  <si>
    <t>OffensivePlay_Possession-DriveMiddle</t>
  </si>
  <si>
    <t>OffensivePlay_Zone-Breakout</t>
  </si>
  <si>
    <t>OffensivePlay_Possession-CutBack</t>
  </si>
  <si>
    <t>OffensivePlay_Zone-Dump/RimInZone</t>
  </si>
  <si>
    <t>Defensive_PlayShot-BlockedShot</t>
  </si>
  <si>
    <t>OffensivePlay_Zone-PuckRetrievalShot</t>
  </si>
  <si>
    <t>Regroup</t>
  </si>
  <si>
    <t>Counter</t>
  </si>
  <si>
    <t>SecondTouch</t>
  </si>
  <si>
    <t>ZoneExit</t>
  </si>
  <si>
    <t>ZoneEntry</t>
  </si>
  <si>
    <t>PuckRecoveryDumpIn</t>
  </si>
  <si>
    <t>PuckRecoveryShot</t>
  </si>
  <si>
    <t>PuckRecoveryTurnover</t>
  </si>
  <si>
    <t>PuckRecoveryPass</t>
  </si>
  <si>
    <t>PuckRetrievalRebound</t>
  </si>
  <si>
    <t>ForcedDumpin/Clear</t>
  </si>
  <si>
    <t>PuckRecoveryRebound</t>
  </si>
  <si>
    <t>PuckRetrieval</t>
  </si>
  <si>
    <t>PuckRecovery</t>
  </si>
  <si>
    <t>Pass-OneTouch</t>
  </si>
  <si>
    <t>Pass-SecondTouch</t>
  </si>
  <si>
    <t>Pass-QuickUp</t>
  </si>
  <si>
    <t>Pass-GiveAndGo</t>
  </si>
  <si>
    <t>Pass-Reverse</t>
  </si>
  <si>
    <t>ReceiverMissed</t>
  </si>
  <si>
    <t>u</t>
  </si>
  <si>
    <t>s</t>
  </si>
  <si>
    <t>AssistTertiary</t>
  </si>
  <si>
    <t>Context</t>
  </si>
  <si>
    <t>Dumpin</t>
  </si>
  <si>
    <t>Clear</t>
  </si>
  <si>
    <t>OffensivePlay_Zone-PuckRetreivalTurnover</t>
  </si>
  <si>
    <t>Defensive_PlayPossession-PokeCheck</t>
  </si>
  <si>
    <t>Defensive_PlayPossession-StickCheck</t>
  </si>
  <si>
    <t>OffensivePlay_Zone-DumpChase</t>
  </si>
  <si>
    <t>OffensivePlay_Zone-PuckRetrievalDumpIn</t>
  </si>
  <si>
    <t>Defensive_PlayPass-InShotPassLane</t>
  </si>
  <si>
    <t>Defensive_PlayPass-PassIntercepted</t>
  </si>
  <si>
    <t>OffensivePlay_Zone-PuckRetreivalPass</t>
  </si>
  <si>
    <t>OffensivePlay_Possession-DriveWide</t>
  </si>
  <si>
    <t>Defensive_PlayPossession-FroceWide</t>
  </si>
  <si>
    <t>Offensive_Zone-AttemptedKeepin</t>
  </si>
  <si>
    <t>OffensivePlay_Zone-PuckRecoveryShot</t>
  </si>
  <si>
    <t>Defensive_Zone-AttemptedBreakOutPass</t>
  </si>
  <si>
    <t>Defensive_Zone-AttemptedBreakOutRush</t>
  </si>
  <si>
    <t>Defensive_Zone-AttemptedBreakOutClear</t>
  </si>
  <si>
    <t>Offensive_Zone-AttemptedEntryPass</t>
  </si>
  <si>
    <t>Offensive_Zone-AttemptedEntryDumpIn</t>
  </si>
  <si>
    <t>Offensive_Zone-AttemptedEntryRush</t>
  </si>
  <si>
    <t>OffensivePlay_Zone-PuckRecoveryTurnover</t>
  </si>
  <si>
    <t>OffensivePlay_Pass-ReceiverMissed</t>
  </si>
  <si>
    <t>OffensivePlay_Zone-PuckRecoveryPass</t>
  </si>
  <si>
    <t>zone_change_index</t>
  </si>
  <si>
    <t>OffensivePlay_Possession-Chip</t>
  </si>
  <si>
    <t>Defensive_PlayZone-PuckRecoveryDumpIn</t>
  </si>
  <si>
    <t>OffensivePlay_Possession-OpenIceDeke</t>
  </si>
  <si>
    <t>Defensive_PlayPossession-BeatDeke</t>
  </si>
  <si>
    <t>Defensive_PlayPossession-Pressure</t>
  </si>
  <si>
    <t>OffensivePlay_Possession-Deke</t>
  </si>
  <si>
    <t>Defensive_PlayShot-FrontofNet</t>
  </si>
  <si>
    <t>OffensivePlay_Possession-FrontofNet</t>
  </si>
  <si>
    <t>OffensivePlay_Possession-CrashNet</t>
  </si>
  <si>
    <t>Defensive_PlayPossession-SeperateFromPuck</t>
  </si>
  <si>
    <t>Defensive_PlayZone-PuckRecoveryTurnover</t>
  </si>
  <si>
    <t>OffensivePlay_Possession-Delay</t>
  </si>
  <si>
    <t>Defensive_PlayPossession-BeatMiddle</t>
  </si>
  <si>
    <t>Defensive_PlayZone-PuckRetrievalShot</t>
  </si>
  <si>
    <t>OffensivePlay_Pass-Reverse</t>
  </si>
  <si>
    <t>Defensive_PlayPossession-BeatWide</t>
  </si>
  <si>
    <t>context</t>
  </si>
  <si>
    <t>LeadToBreakout</t>
  </si>
  <si>
    <t>LeadToZoneEntry</t>
  </si>
  <si>
    <t>LeadToTurnover</t>
  </si>
  <si>
    <t>LeadToShot</t>
  </si>
  <si>
    <t>LeadToGoal</t>
  </si>
  <si>
    <t>LeadToPenalty</t>
  </si>
  <si>
    <t>LeadToFailedBreakout</t>
  </si>
  <si>
    <t>LeadToFailedZoneEntry</t>
  </si>
  <si>
    <t>Defensive_PlayPossession-Surf</t>
  </si>
  <si>
    <t>OffensivePlay_Pass-QuickUp</t>
  </si>
  <si>
    <t>linked_event_id</t>
  </si>
  <si>
    <t>zone_change_id</t>
  </si>
  <si>
    <t>Defensive_PlayShot-BoxOut</t>
  </si>
  <si>
    <t>OffensivePlay_Zone-PuckRecoveryRebound</t>
  </si>
  <si>
    <t>OffensivePlay_Possession-DriveCorner</t>
  </si>
  <si>
    <t>OffensivePlay_Pass-SecondTouch</t>
  </si>
  <si>
    <t>OffensivePlay_Zone-DumpInAttempt</t>
  </si>
  <si>
    <t>Zone_Entryfailed</t>
  </si>
  <si>
    <t>Zone_ExitFailed</t>
  </si>
  <si>
    <t>Zone_KeepinFailed</t>
  </si>
  <si>
    <t>Zone-EntryFailed</t>
  </si>
  <si>
    <t>Zone-ExitFailed</t>
  </si>
  <si>
    <t>Zone-KeepinFailed</t>
  </si>
  <si>
    <t>Defensive_PlayPossession-Backcheck</t>
  </si>
  <si>
    <t>OffensivePlay_Possession-DriveNetMiddle</t>
  </si>
  <si>
    <t>OffensivePlay_Possession-DriveNetWide</t>
  </si>
  <si>
    <t>Defensive_PlayPossession-Contain</t>
  </si>
  <si>
    <t>Defensive_PlayPossession-BeatSpeed</t>
  </si>
  <si>
    <t>OffensivePlay_Possession-Other</t>
  </si>
  <si>
    <t>OffensivePlay_Possession-Speed</t>
  </si>
  <si>
    <t>Defensive_PlayPossession-Zone</t>
  </si>
  <si>
    <t>Defensive_PlayPossession-ManOnMan</t>
  </si>
  <si>
    <t>OffensivePlay_Possession-EndToEndRush</t>
  </si>
  <si>
    <t>Defensive_PlayPossession-Tracker</t>
  </si>
  <si>
    <t>OffensivePlay_Possession-Wheel</t>
  </si>
  <si>
    <t>OffensivePlay_Possession-ForecedOutside</t>
  </si>
  <si>
    <t>OffensivePlay_Pass-AssistPrimary</t>
  </si>
  <si>
    <t>OffensivePlay_Pass-AssistSecondary</t>
  </si>
  <si>
    <t>OffensivePlay_Pass-AssistTertiary</t>
  </si>
  <si>
    <t>OffensivePlay_Pass-GiveAndGo</t>
  </si>
  <si>
    <t>Defensive_PlayZone-ClearingAttempt</t>
  </si>
  <si>
    <t>Defensive_PlayZone-ZoneEntryDenial</t>
  </si>
  <si>
    <t>Defensive_PlayZone-ZoneExitDenial</t>
  </si>
  <si>
    <t>Defensive_PlayZone-PenaltyKillClear</t>
  </si>
  <si>
    <t>Defensive_PlayZone-PuckRetrievalDumpIn</t>
  </si>
  <si>
    <t>OffensivePlay_Shot-Screen</t>
  </si>
  <si>
    <t>Defensive_PlayZone-PuckRetreivalTurnover</t>
  </si>
  <si>
    <t>Defensive_PlayZone-PuckRetreivalPass</t>
  </si>
  <si>
    <t>OffensivePlay_Zone-Forecheck</t>
  </si>
  <si>
    <t>Defensive_PlayZone-PuckRetrievalRebound</t>
  </si>
  <si>
    <t>Defensive_PlayZone-PuckRecoveryShot</t>
  </si>
  <si>
    <t>OffensivePlay_Zone-Cycle</t>
  </si>
  <si>
    <t>Defensive_PlayZone-PuckRecoveryPass</t>
  </si>
  <si>
    <t>Defensive_PlayZone-PuckRecoveryRebound</t>
  </si>
  <si>
    <t>Defensive_PlayZone-ForcedDumpin/Clear</t>
  </si>
  <si>
    <t>OffensivePlay_Zone-PuckRetreivalRebound</t>
  </si>
  <si>
    <t>OffensivePlay_Zone-PuckRetreivalShot</t>
  </si>
  <si>
    <t>OffensivePlay_Zone-PuckRecoveryDumpIn</t>
  </si>
  <si>
    <t>Definition</t>
  </si>
  <si>
    <t>Next Event</t>
  </si>
  <si>
    <t>Linked Events</t>
  </si>
  <si>
    <t>Uses</t>
  </si>
  <si>
    <t>Pass, Turnover, Attempted Failed, Keepins</t>
  </si>
  <si>
    <t>Save Freeze</t>
  </si>
  <si>
    <t>Shot, Stoppage, Deadice</t>
  </si>
  <si>
    <t>Shot, Save</t>
  </si>
  <si>
    <t>Pass, Shot, Play</t>
  </si>
  <si>
    <t>Successful/Unsuccessful</t>
  </si>
  <si>
    <t>Successful Def</t>
  </si>
  <si>
    <t>Possession on zone entry when on breakaway</t>
  </si>
  <si>
    <t>Puck reterived after opp team touch/turnover'</t>
  </si>
  <si>
    <t>Puck recovered after same team touch/turnover</t>
  </si>
  <si>
    <t>Circle back in Nzone/Dzone</t>
  </si>
  <si>
    <t>Cut to middle of ice</t>
  </si>
  <si>
    <t>drive wide either foreced /unforced</t>
  </si>
  <si>
    <t>drive to offensive corner forced/unforced</t>
  </si>
  <si>
    <t>drive to slot from middle</t>
  </si>
  <si>
    <t>drive to slot from wide</t>
  </si>
  <si>
    <t>crash net for rebound</t>
  </si>
  <si>
    <t>dumped into ozone form ozone/nzone</t>
  </si>
  <si>
    <t>offensive players crashing puck after dumpin</t>
  </si>
  <si>
    <t>s/u</t>
  </si>
  <si>
    <t>successful if positive play made next</t>
  </si>
  <si>
    <t>sucessful if next play positive</t>
  </si>
  <si>
    <t>successful if next play positive</t>
  </si>
  <si>
    <t>tracking_event_index</t>
  </si>
  <si>
    <t>linked_event_index_</t>
  </si>
  <si>
    <t>ZoneEntry-Shot</t>
  </si>
  <si>
    <t>ZoneExit-Shot</t>
  </si>
  <si>
    <t>role_abrev_binary</t>
  </si>
  <si>
    <t>x</t>
  </si>
  <si>
    <t>Shot_MissedPost</t>
  </si>
  <si>
    <t>a</t>
  </si>
  <si>
    <t>17</t>
  </si>
  <si>
    <t>56</t>
  </si>
  <si>
    <t>n</t>
  </si>
  <si>
    <t>h</t>
  </si>
  <si>
    <t>d</t>
  </si>
  <si>
    <t>46</t>
  </si>
  <si>
    <t>31</t>
  </si>
  <si>
    <t>26</t>
  </si>
  <si>
    <t>25</t>
  </si>
  <si>
    <t>21</t>
  </si>
  <si>
    <t>0</t>
  </si>
  <si>
    <t>18</t>
  </si>
  <si>
    <t>15</t>
  </si>
  <si>
    <t>14</t>
  </si>
  <si>
    <t>12</t>
  </si>
  <si>
    <t>07</t>
  </si>
  <si>
    <t>01</t>
  </si>
  <si>
    <t>39</t>
  </si>
  <si>
    <t>35</t>
  </si>
  <si>
    <t>49</t>
  </si>
  <si>
    <t>5</t>
  </si>
  <si>
    <t>55</t>
  </si>
  <si>
    <t>11</t>
  </si>
  <si>
    <t>0.01</t>
  </si>
  <si>
    <t/>
  </si>
  <si>
    <t>GapControl</t>
  </si>
  <si>
    <t>BeatFake</t>
  </si>
  <si>
    <t>ForcedTurnover</t>
  </si>
  <si>
    <t>ForcedLostPossession</t>
  </si>
  <si>
    <t>ForcedMissedShot</t>
  </si>
  <si>
    <t>ForcedMissedPass</t>
  </si>
  <si>
    <t>FakeShot</t>
  </si>
  <si>
    <t>LoosePuckBattleWon</t>
  </si>
  <si>
    <t>LoosePuckBattleLost</t>
  </si>
  <si>
    <t>AttemptedKeepin</t>
  </si>
  <si>
    <t>AttemptedBreakOutPass</t>
  </si>
  <si>
    <t>AttemptedBreakOutRush</t>
  </si>
  <si>
    <t>AttemptedBreakOutClear</t>
  </si>
  <si>
    <t>AttemptedEntryDumpIn</t>
  </si>
  <si>
    <t>AttemptedEntryPass</t>
  </si>
  <si>
    <t>AttemptedEntryRush</t>
  </si>
  <si>
    <t>CededZoneExit</t>
  </si>
  <si>
    <t>CededZoneEntry</t>
  </si>
  <si>
    <t>PuckRetreivalFaceoff</t>
  </si>
  <si>
    <t>PuckRecoveryFaceoff</t>
  </si>
  <si>
    <t>PuckRetreivalOther</t>
  </si>
  <si>
    <t>PuckRecoveryOther</t>
  </si>
  <si>
    <t>RegroupClear</t>
  </si>
  <si>
    <t>RegroupDumpin</t>
  </si>
  <si>
    <t>ZoneKeepin</t>
  </si>
  <si>
    <t>PassDeflected</t>
  </si>
  <si>
    <t>StoppedDeke</t>
  </si>
  <si>
    <t>MisplayedPuck</t>
  </si>
  <si>
    <t>LostPuck</t>
  </si>
  <si>
    <t>ForceWide</t>
  </si>
  <si>
    <t>AttemptedBlockedShot</t>
  </si>
  <si>
    <t>team_</t>
  </si>
  <si>
    <t>player_game_number</t>
  </si>
  <si>
    <t>role_abrev_binary_</t>
  </si>
  <si>
    <t>event_team_zone_</t>
  </si>
  <si>
    <t>event_type_</t>
  </si>
  <si>
    <t>team_venue</t>
  </si>
  <si>
    <t>team_venue_abv</t>
  </si>
  <si>
    <t>home_team_zone_</t>
  </si>
  <si>
    <t>away_team_zone_</t>
  </si>
  <si>
    <t>team_venue_</t>
  </si>
  <si>
    <t>team_venue_abv_</t>
  </si>
  <si>
    <t>event_successful</t>
  </si>
  <si>
    <t>event_successful_</t>
  </si>
  <si>
    <t>period</t>
  </si>
  <si>
    <t>event_index_</t>
  </si>
  <si>
    <t>Shootout_OnNet</t>
  </si>
  <si>
    <t>Shootout_Missed</t>
  </si>
  <si>
    <t>Shootout_Saved</t>
  </si>
  <si>
    <t>Zone_EntryFailed</t>
  </si>
  <si>
    <t>play_details</t>
  </si>
  <si>
    <t>DelayedOffside</t>
  </si>
  <si>
    <t>DeflectedShot</t>
  </si>
  <si>
    <t>player_id</t>
  </si>
  <si>
    <t>player_team</t>
  </si>
  <si>
    <t>index</t>
  </si>
  <si>
    <t>team_game_id</t>
  </si>
  <si>
    <t>opp_team_game_id</t>
  </si>
  <si>
    <t>player_game_id</t>
  </si>
  <si>
    <t>team_name</t>
  </si>
  <si>
    <t>opp_team_name</t>
  </si>
  <si>
    <t>n_player_url</t>
  </si>
  <si>
    <t>player_position</t>
  </si>
  <si>
    <t>games_played</t>
  </si>
  <si>
    <t>goals</t>
  </si>
  <si>
    <t>assist</t>
  </si>
  <si>
    <t>goals_against</t>
  </si>
  <si>
    <t>pim</t>
  </si>
  <si>
    <t>shutouts</t>
  </si>
  <si>
    <t>team_id</t>
  </si>
  <si>
    <t>opp_team_id</t>
  </si>
  <si>
    <t>key</t>
  </si>
  <si>
    <t>player_full_name</t>
  </si>
  <si>
    <t>date</t>
  </si>
  <si>
    <t>season</t>
  </si>
  <si>
    <t>sub</t>
  </si>
  <si>
    <t>skill_rating</t>
  </si>
  <si>
    <t>Away Team Goals</t>
  </si>
  <si>
    <t>Home Team Goals</t>
  </si>
  <si>
    <t>Home Team Assists</t>
  </si>
  <si>
    <t>Home Team Penalties</t>
  </si>
  <si>
    <t>Away Team Assists</t>
  </si>
  <si>
    <t>Away Team Penalties</t>
  </si>
  <si>
    <t>In cell B3</t>
  </si>
  <si>
    <t>Goals</t>
  </si>
  <si>
    <t>Penalties</t>
  </si>
  <si>
    <t>AssistP</t>
  </si>
  <si>
    <t>AssistS</t>
  </si>
  <si>
    <t>Total Assists</t>
  </si>
  <si>
    <t>Goal Diff</t>
  </si>
  <si>
    <t>Penalty Diff</t>
  </si>
  <si>
    <t>Assist Diff</t>
  </si>
  <si>
    <t>home</t>
  </si>
  <si>
    <t>Defense</t>
  </si>
  <si>
    <t>N10010</t>
  </si>
  <si>
    <t>Forward</t>
  </si>
  <si>
    <t>Goalie</t>
  </si>
  <si>
    <t>away</t>
  </si>
  <si>
    <t>Ronnie Pinnell (C) – 4</t>
  </si>
  <si>
    <t>Ronnie Pinnell</t>
  </si>
  <si>
    <t>P100105</t>
  </si>
  <si>
    <t>Nick Ciampoli – 4</t>
  </si>
  <si>
    <t>Nick Ciampoli</t>
  </si>
  <si>
    <t>P100132</t>
  </si>
  <si>
    <t>Robert Mayfield (S) – 3</t>
  </si>
  <si>
    <t>Robert Mayfield</t>
  </si>
  <si>
    <t>P100108</t>
  </si>
  <si>
    <t>Wyatt Crandall – 5</t>
  </si>
  <si>
    <t>Wyatt Crandall</t>
  </si>
  <si>
    <t>P100016</t>
  </si>
  <si>
    <t>James Rynearson – 3</t>
  </si>
  <si>
    <t>James Rynearson</t>
  </si>
  <si>
    <t>P100064</t>
  </si>
  <si>
    <t>Kaitlyn Shain – 3</t>
  </si>
  <si>
    <t>Kaitlyn Shain</t>
  </si>
  <si>
    <t>P100224</t>
  </si>
  <si>
    <t>Sam Downs (A) – 6</t>
  </si>
  <si>
    <t>Sam Downs</t>
  </si>
  <si>
    <t>P100001</t>
  </si>
  <si>
    <t>Nicole Downs – 2</t>
  </si>
  <si>
    <t>Nicole Downs</t>
  </si>
  <si>
    <t>P100039</t>
  </si>
  <si>
    <t>Maxwell Donaty – 4</t>
  </si>
  <si>
    <t>Maxwell Donaty</t>
  </si>
  <si>
    <t>P100198</t>
  </si>
  <si>
    <t>Kevin White – 4</t>
  </si>
  <si>
    <t>Kevin White</t>
  </si>
  <si>
    <t>P100002</t>
  </si>
  <si>
    <t>Pat Major – 3</t>
  </si>
  <si>
    <t>Pat Major</t>
  </si>
  <si>
    <t>P100093</t>
  </si>
  <si>
    <t>play_detail_2</t>
  </si>
  <si>
    <t>play_detail1_</t>
  </si>
  <si>
    <t>play_detail2_</t>
  </si>
  <si>
    <t>play_detail_successful_</t>
  </si>
  <si>
    <t>pressured_pressurer_</t>
  </si>
  <si>
    <t>event_index_flag_</t>
  </si>
  <si>
    <t>linked_event_index_flag_</t>
  </si>
  <si>
    <t>sequence_index_flag_</t>
  </si>
  <si>
    <t>play_index_flag_</t>
  </si>
  <si>
    <t>AttemptedTip/Deflection</t>
  </si>
  <si>
    <t>sequence_index_</t>
  </si>
  <si>
    <t>play_index_</t>
  </si>
  <si>
    <t>Home</t>
  </si>
  <si>
    <t>Away</t>
  </si>
  <si>
    <t>player_game_number_</t>
  </si>
  <si>
    <t>venue</t>
  </si>
  <si>
    <t>PuckRecoveryRetreivalDumpIn</t>
  </si>
  <si>
    <t>PuckRecoveryRetreivalFaceoff</t>
  </si>
  <si>
    <t>PuckRecoveryRetreivalOther</t>
  </si>
  <si>
    <t>PuckRecoveryRetreivalPass</t>
  </si>
  <si>
    <t>PuckRecoveryRetreivalRebound</t>
  </si>
  <si>
    <t>PuckRecoveryRetreivalShot</t>
  </si>
  <si>
    <t>PuckRecoveryRetreivalTurnover</t>
  </si>
  <si>
    <t>PuckRecoveryRetreivalAttemptedClear</t>
  </si>
  <si>
    <t>PuckRecoveryRetreivalClear</t>
  </si>
  <si>
    <t>PuckRecoveryRetreivalLoosePuckBattle</t>
  </si>
  <si>
    <t>RecoveryRetreivalDumpIn</t>
  </si>
  <si>
    <t>RecoveryRetreivalFaceoff</t>
  </si>
  <si>
    <t>RecoveryRetreivalOther</t>
  </si>
  <si>
    <t>RecoveryRetreivalPass</t>
  </si>
  <si>
    <t>RecoveryRetreivalRebound</t>
  </si>
  <si>
    <t>RecoveryRetreivalShot</t>
  </si>
  <si>
    <t>RecoveryRetreivalTurnover</t>
  </si>
  <si>
    <t>RecoveryRetrievalDumpIn</t>
  </si>
  <si>
    <t>RecoveryRetrievalShot</t>
  </si>
  <si>
    <t>AttemptedShot</t>
  </si>
  <si>
    <t>AttemptedPass</t>
  </si>
  <si>
    <t>PassForTip</t>
  </si>
  <si>
    <t>home_team_plus</t>
  </si>
  <si>
    <t>home_team_minus</t>
  </si>
  <si>
    <t>away_team_plus</t>
  </si>
  <si>
    <t>away_team_minus</t>
  </si>
  <si>
    <t>event_team_zone2_</t>
  </si>
  <si>
    <t>Triple J</t>
  </si>
  <si>
    <t>=FILTER([BLB_Tables.xlsx]fact_gameroster!$A:$AA,[BLB_Tables.xlsx]fact_gameroster!$B:$B=events!$BA$2)'</t>
  </si>
  <si>
    <t>18991N10009</t>
  </si>
  <si>
    <t>18991N10010</t>
  </si>
  <si>
    <t>18991N10009P100020</t>
  </si>
  <si>
    <t>Rick Haenke – 5</t>
  </si>
  <si>
    <t>N10009</t>
  </si>
  <si>
    <t>18991Triple J1</t>
  </si>
  <si>
    <t>Rick Haenke</t>
  </si>
  <si>
    <t>P100020</t>
  </si>
  <si>
    <t>18991N10009P100183</t>
  </si>
  <si>
    <t>Lucy Spreter – 2</t>
  </si>
  <si>
    <t>18991Triple J10</t>
  </si>
  <si>
    <t>Lucy Spreter</t>
  </si>
  <si>
    <t>P100183</t>
  </si>
  <si>
    <t>18991N10009P100094</t>
  </si>
  <si>
    <t>Ryan Lewis – 3</t>
  </si>
  <si>
    <t>18991Triple J16</t>
  </si>
  <si>
    <t>Ryan Lewis</t>
  </si>
  <si>
    <t>P100094</t>
  </si>
  <si>
    <t>18991N10009P100089</t>
  </si>
  <si>
    <t>Brian Myers – 4</t>
  </si>
  <si>
    <t>18991Triple J19</t>
  </si>
  <si>
    <t>Brian Myers</t>
  </si>
  <si>
    <t>P100089</t>
  </si>
  <si>
    <t>18991N10009P100019</t>
  </si>
  <si>
    <t>Matt Lee – 5</t>
  </si>
  <si>
    <t>18991Triple J21</t>
  </si>
  <si>
    <t>Matt Lee</t>
  </si>
  <si>
    <t>P100019</t>
  </si>
  <si>
    <t>18991N10009P100006</t>
  </si>
  <si>
    <t>Bob Colby (C) – 4</t>
  </si>
  <si>
    <t>18991Triple J37</t>
  </si>
  <si>
    <t>Bob Colby</t>
  </si>
  <si>
    <t>P100006</t>
  </si>
  <si>
    <t>18991N10009P100206</t>
  </si>
  <si>
    <t>Brad Hogan – 4</t>
  </si>
  <si>
    <t>18991Triple J41</t>
  </si>
  <si>
    <t>Brad Hogan</t>
  </si>
  <si>
    <t>P100206</t>
  </si>
  <si>
    <t>18991N10009P100007</t>
  </si>
  <si>
    <t>Jason Mantaro (A) – 5</t>
  </si>
  <si>
    <t>18991Triple J57</t>
  </si>
  <si>
    <t>Jason Mantaro</t>
  </si>
  <si>
    <t>P100007</t>
  </si>
  <si>
    <t>18991N10009P100014</t>
  </si>
  <si>
    <t>Jon Schuepbach – 3</t>
  </si>
  <si>
    <t>18991Triple J69</t>
  </si>
  <si>
    <t>Jon Schuepbach</t>
  </si>
  <si>
    <t>P100014</t>
  </si>
  <si>
    <t>18991N10009P100008</t>
  </si>
  <si>
    <t>Zach DeBlois – 4</t>
  </si>
  <si>
    <t>18991Triple J71</t>
  </si>
  <si>
    <t>Zach DeBlois</t>
  </si>
  <si>
    <t>P100008</t>
  </si>
  <si>
    <t>18991N10009P100021</t>
  </si>
  <si>
    <t>Mike Flood – 5</t>
  </si>
  <si>
    <t>18991Triple J73</t>
  </si>
  <si>
    <t>Mike Flood</t>
  </si>
  <si>
    <t>P100021</t>
  </si>
  <si>
    <t>18991N10009P100233</t>
  </si>
  <si>
    <t>Laura Hogan – 2</t>
  </si>
  <si>
    <t>18991Triple J90</t>
  </si>
  <si>
    <t>Laura Hogan</t>
  </si>
  <si>
    <t>P100233</t>
  </si>
  <si>
    <t>18991N10010P100105</t>
  </si>
  <si>
    <t>18991Velodrome9</t>
  </si>
  <si>
    <t>18991N10010P100132</t>
  </si>
  <si>
    <t>18991Velodrome14</t>
  </si>
  <si>
    <t>18991N10010P100108</t>
  </si>
  <si>
    <t>18991Velodrome22</t>
  </si>
  <si>
    <t>18991N10010P100230</t>
  </si>
  <si>
    <t>Jennifer Valente – 2</t>
  </si>
  <si>
    <t>18991Velodrome24</t>
  </si>
  <si>
    <t>Jennifer Valente</t>
  </si>
  <si>
    <t>P100230</t>
  </si>
  <si>
    <t>18991N10010P100016</t>
  </si>
  <si>
    <t>18991Velodrome39</t>
  </si>
  <si>
    <t>18991N10010P100064</t>
  </si>
  <si>
    <t>18991Velodrome55</t>
  </si>
  <si>
    <t>18991N10010P100224</t>
  </si>
  <si>
    <t>18991Velodrome61</t>
  </si>
  <si>
    <t>18991N10010P100001</t>
  </si>
  <si>
    <t>18991Velodrome70</t>
  </si>
  <si>
    <t>18991N10010P100039</t>
  </si>
  <si>
    <t>18991Velodrome75</t>
  </si>
  <si>
    <t>18991N10010P100198</t>
  </si>
  <si>
    <t>18991Velodrome84</t>
  </si>
  <si>
    <t>18991N10010P100159</t>
  </si>
  <si>
    <t>Josh Cronk – 5</t>
  </si>
  <si>
    <t>18991Velodrome87</t>
  </si>
  <si>
    <t>Josh Cronk</t>
  </si>
  <si>
    <t>P100159</t>
  </si>
  <si>
    <t>18991N10010P100002</t>
  </si>
  <si>
    <t>18991Velodrome91</t>
  </si>
  <si>
    <t>18991N10010P100093</t>
  </si>
  <si>
    <t>18991Velodrome93</t>
  </si>
  <si>
    <t>58</t>
  </si>
  <si>
    <t>44</t>
  </si>
  <si>
    <t>34</t>
  </si>
  <si>
    <t>47</t>
  </si>
  <si>
    <t>42</t>
  </si>
  <si>
    <t>57</t>
  </si>
  <si>
    <t>24</t>
  </si>
  <si>
    <t>38</t>
  </si>
  <si>
    <t>20</t>
  </si>
  <si>
    <t>41</t>
  </si>
  <si>
    <t>37</t>
  </si>
  <si>
    <t>27</t>
  </si>
  <si>
    <t>02</t>
  </si>
  <si>
    <t>43</t>
  </si>
  <si>
    <t>06</t>
  </si>
  <si>
    <t>33</t>
  </si>
  <si>
    <t>52</t>
  </si>
  <si>
    <t>50</t>
  </si>
  <si>
    <t>30</t>
  </si>
  <si>
    <t>09</t>
  </si>
  <si>
    <t>32</t>
  </si>
  <si>
    <t>45</t>
  </si>
  <si>
    <t>10</t>
  </si>
  <si>
    <t>04</t>
  </si>
  <si>
    <t>28</t>
  </si>
  <si>
    <t>53</t>
  </si>
  <si>
    <t>16</t>
  </si>
  <si>
    <t>23</t>
  </si>
  <si>
    <t>19</t>
  </si>
  <si>
    <t>03</t>
  </si>
  <si>
    <t>59</t>
  </si>
  <si>
    <t>54</t>
  </si>
  <si>
    <t>51</t>
  </si>
  <si>
    <t>,</t>
  </si>
  <si>
    <t>36</t>
  </si>
  <si>
    <t>29</t>
  </si>
  <si>
    <t>13</t>
  </si>
  <si>
    <t>08</t>
  </si>
  <si>
    <t>48</t>
  </si>
  <si>
    <t>22</t>
  </si>
  <si>
    <t>40</t>
  </si>
  <si>
    <t>05</t>
  </si>
  <si>
    <t>9</t>
  </si>
  <si>
    <t>8</t>
  </si>
  <si>
    <t>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</si>
</sst>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5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theme="1"/>
      <name val="Aptos Narrow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/>
        <bgColor indexed="64"/>
      </patternFill>
    </fill>
  </fills>
  <borders count="3"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57">
    <xf numFmtId="0" fontId="0" fillId="0" borderId="0" xfId="0"/>
    <xf numFmtId="0" fontId="3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49" fontId="0" fillId="0" borderId="0" xfId="0" applyNumberFormat="1"/>
    <xf numFmtId="0" fontId="0" fillId="0" borderId="1" xfId="0" applyBorder="1"/>
    <xf numFmtId="0" fontId="0" fillId="0" borderId="2" xfId="0" applyBorder="1"/>
    <xf numFmtId="0" fontId="3" fillId="0" borderId="1" xfId="0" applyFont="1" applyBorder="1" applyAlignment="1">
      <alignment horizontal="center" vertical="center" wrapText="1"/>
    </xf>
    <xf numFmtId="49" fontId="0" fillId="0" borderId="0" xfId="0" applyNumberFormat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2" borderId="2" xfId="0" applyFill="1" applyBorder="1" applyAlignment="1">
      <alignment horizontal="center" vertical="center" wrapText="1"/>
    </xf>
    <xf numFmtId="0" fontId="0" fillId="2" borderId="0" xfId="0" applyFill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49" fontId="0" fillId="0" borderId="0" xfId="1" applyNumberFormat="1" applyFont="1"/>
    <xf numFmtId="164" fontId="0" fillId="0" borderId="0" xfId="1" applyNumberFormat="1" applyFont="1"/>
    <xf numFmtId="0" fontId="0" fillId="3" borderId="0" xfId="0" applyFill="1" applyAlignment="1">
      <alignment horizontal="center" vertical="center" wrapText="1"/>
    </xf>
    <xf numFmtId="164" fontId="0" fillId="0" borderId="0" xfId="0" applyNumberFormat="1"/>
    <xf numFmtId="0" fontId="4" fillId="0" borderId="0" xfId="0" applyFont="1" applyAlignment="1">
      <alignment horizontal="center" vertical="center" wrapText="1"/>
    </xf>
    <xf numFmtId="164" fontId="0" fillId="0" borderId="0" xfId="0" applyNumberFormat="1" applyAlignment="1">
      <alignment horizontal="center"/>
    </xf>
    <xf numFmtId="0" fontId="3" fillId="4" borderId="0" xfId="0" applyFont="1" applyFill="1" applyAlignment="1">
      <alignment horizontal="center" vertical="center" wrapText="1"/>
    </xf>
    <xf numFmtId="49" fontId="3" fillId="4" borderId="0" xfId="0" applyNumberFormat="1" applyFont="1" applyFill="1" applyAlignment="1">
      <alignment horizontal="center" vertical="center" wrapText="1"/>
    </xf>
    <xf numFmtId="49" fontId="3" fillId="4" borderId="1" xfId="0" applyNumberFormat="1" applyFont="1" applyFill="1" applyBorder="1" applyAlignment="1">
      <alignment horizontal="center" vertical="center" wrapText="1"/>
    </xf>
    <xf numFmtId="0" fontId="3" fillId="5" borderId="0" xfId="0" applyFont="1" applyFill="1" applyAlignment="1">
      <alignment horizontal="center" vertical="center" wrapText="1"/>
    </xf>
    <xf numFmtId="0" fontId="3" fillId="0" borderId="0" xfId="0" applyFont="1"/>
    <xf numFmtId="0" fontId="3" fillId="6" borderId="0" xfId="0" applyFont="1" applyFill="1"/>
    <xf numFmtId="0" fontId="0" fillId="6" borderId="0" xfId="0" applyFill="1"/>
    <xf numFmtId="0" fontId="0" fillId="2" borderId="0" xfId="0" applyFill="1"/>
    <xf numFmtId="0" fontId="0" fillId="7" borderId="0" xfId="0" applyFill="1"/>
    <xf numFmtId="0" fontId="3" fillId="5" borderId="1" xfId="0" applyFont="1" applyFill="1" applyBorder="1" applyAlignment="1">
      <alignment horizontal="center" vertical="center" wrapText="1"/>
    </xf>
    <xf numFmtId="164" fontId="3" fillId="0" borderId="0" xfId="1" applyNumberFormat="1" applyFont="1" applyAlignment="1">
      <alignment horizontal="left" vertical="top"/>
    </xf>
    <xf numFmtId="0" fontId="3" fillId="0" borderId="0" xfId="0" applyFont="1" applyAlignment="1">
      <alignment horizontal="left" vertical="top"/>
    </xf>
    <xf numFmtId="0" fontId="3" fillId="0" borderId="1" xfId="0" applyFont="1" applyBorder="1" applyAlignment="1">
      <alignment horizontal="left" vertical="top"/>
    </xf>
    <xf numFmtId="0" fontId="3" fillId="0" borderId="0" xfId="0" applyFont="1" applyAlignment="1">
      <alignment horizontal="left" vertical="top" wrapText="1"/>
    </xf>
    <xf numFmtId="0" fontId="3" fillId="0" borderId="2" xfId="0" applyFont="1" applyBorder="1" applyAlignment="1">
      <alignment horizontal="center" vertical="center" wrapText="1"/>
    </xf>
    <xf numFmtId="164" fontId="3" fillId="2" borderId="0" xfId="1" applyNumberFormat="1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4" fillId="0" borderId="0" xfId="0" applyFont="1" applyAlignment="1">
      <alignment horizontal="left" vertical="top"/>
    </xf>
    <xf numFmtId="14" fontId="4" fillId="0" borderId="0" xfId="0" applyNumberFormat="1" applyFont="1" applyAlignment="1">
      <alignment horizontal="left" vertical="top"/>
    </xf>
    <xf numFmtId="0" fontId="0" fillId="0" borderId="0" xfId="0" quotePrefix="1"/>
    <xf numFmtId="0" fontId="0" fillId="4" borderId="0" xfId="0" applyFill="1"/>
    <xf numFmtId="0" fontId="4" fillId="4" borderId="0" xfId="0" applyFont="1" applyFill="1" applyAlignment="1">
      <alignment horizontal="left" vertical="top"/>
    </xf>
    <xf numFmtId="0" fontId="3" fillId="2" borderId="2" xfId="0" applyFont="1" applyFill="1" applyBorder="1" applyAlignment="1">
      <alignment horizontal="center" vertical="center" wrapText="1"/>
    </xf>
    <xf numFmtId="0" fontId="3" fillId="3" borderId="0" xfId="0" applyFont="1" applyFill="1" applyAlignment="1">
      <alignment horizontal="center" vertical="center" wrapText="1"/>
    </xf>
    <xf numFmtId="49" fontId="3" fillId="6" borderId="0" xfId="0" applyNumberFormat="1" applyFont="1" applyFill="1" applyAlignment="1">
      <alignment horizontal="center" vertical="center" wrapText="1"/>
    </xf>
    <xf numFmtId="49" fontId="0" fillId="6" borderId="0" xfId="0" applyNumberFormat="1" applyFill="1"/>
    <xf numFmtId="49" fontId="3" fillId="6" borderId="1" xfId="0" applyNumberFormat="1" applyFont="1" applyFill="1" applyBorder="1" applyAlignment="1">
      <alignment horizontal="center" vertical="center" wrapText="1"/>
    </xf>
    <xf numFmtId="49" fontId="0" fillId="6" borderId="1" xfId="0" applyNumberFormat="1" applyFill="1" applyBorder="1"/>
    <xf numFmtId="0" fontId="3" fillId="6" borderId="0" xfId="0" applyFont="1" applyFill="1" applyAlignment="1">
      <alignment horizontal="center" vertical="center" wrapText="1"/>
    </xf>
    <xf numFmtId="0" fontId="3" fillId="8" borderId="0" xfId="0" applyFont="1" applyFill="1" applyAlignment="1">
      <alignment horizontal="center" vertical="center" wrapText="1"/>
    </xf>
    <xf numFmtId="0" fontId="0" fillId="8" borderId="0" xfId="0" applyFill="1"/>
    <xf numFmtId="49" fontId="0" fillId="2" borderId="0" xfId="0" applyNumberFormat="1" applyFill="1"/>
    <xf numFmtId="49" fontId="0" fillId="2" borderId="1" xfId="0" applyNumberFormat="1" applyFill="1" applyBorder="1"/>
    <xf numFmtId="0" fontId="0" fillId="2" borderId="2" xfId="0" applyFill="1" applyBorder="1"/>
    <xf numFmtId="164" fontId="0" fillId="2" borderId="0" xfId="1" applyNumberFormat="1" applyFont="1" applyFill="1"/>
    <xf numFmtId="164" fontId="0" fillId="2" borderId="0" xfId="0" applyNumberFormat="1" applyFill="1" applyAlignment="1">
      <alignment horizontal="center"/>
    </xf>
    <xf numFmtId="164" fontId="0" fillId="2" borderId="0" xfId="0" applyNumberFormat="1" applyFill="1"/>
  </cellXfs>
  <cellStyles count="2">
    <cellStyle name="Comma" xfId="1" builtinId="3"/>
    <cellStyle name="Normal" xfId="0" builtinId="0"/>
  </cellStyles>
  <dxfs count="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microsoft.com/office/2017/06/relationships/rdRichValueStructure" Target="richData/rdrichvaluestructure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17/06/relationships/rdRichValue" Target="richData/rdrichvalue.xml"/><Relationship Id="rId2" Type="http://schemas.openxmlformats.org/officeDocument/2006/relationships/worksheet" Target="worksheets/sheet2.xml"/><Relationship Id="rId16" Type="http://schemas.microsoft.com/office/2023/09/relationships/Python" Target="pytho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microsoft.com/office/2017/06/relationships/rdRichValueTypes" Target="richData/rdRichValueTypes.xml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2">
  <rv s="0">
    <v>0</v>
    <v>8</v>
    <v>1</v>
    <v>1</v>
  </rv>
  <rv s="1">
    <v>13</v>
    <v>3</v>
  </rv>
</rvData>
</file>

<file path=xl/richData/rdrichvaluestructure.xml><?xml version="1.0" encoding="utf-8"?>
<rvStructures xmlns="http://schemas.microsoft.com/office/spreadsheetml/2017/richdata" count="2">
  <s t="_error">
    <k n="colOffset" t="i"/>
    <k n="errorType" t="i"/>
    <k n="rwOffset" t="i"/>
    <k n="subType" t="i"/>
  </s>
  <s t="_error">
    <k n="errorType" t="i"/>
    <k n="subType" t="i"/>
  </s>
</rvStructur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F39AB4-E8FF-9D43-AA82-D735CBAF8F65}">
  <dimension ref="A1:AY66"/>
  <sheetViews>
    <sheetView workbookViewId="0">
      <selection activeCell="G4" sqref="G4"/>
    </sheetView>
  </sheetViews>
  <sheetFormatPr baseColWidth="10" defaultRowHeight="16" x14ac:dyDescent="0.2"/>
  <sheetData>
    <row r="1" spans="1:51" ht="68" x14ac:dyDescent="0.2">
      <c r="A1" s="2" t="s">
        <v>256</v>
      </c>
      <c r="B1" s="9" t="s">
        <v>0</v>
      </c>
      <c r="C1" s="2" t="s">
        <v>259</v>
      </c>
      <c r="D1" s="8" t="s">
        <v>260</v>
      </c>
      <c r="E1" s="2" t="s">
        <v>261</v>
      </c>
      <c r="F1" s="8" t="s">
        <v>262</v>
      </c>
      <c r="G1" s="9" t="s">
        <v>257</v>
      </c>
      <c r="H1" s="12" t="s">
        <v>258</v>
      </c>
      <c r="I1" s="2" t="s">
        <v>263</v>
      </c>
      <c r="J1" s="2" t="s">
        <v>264</v>
      </c>
      <c r="K1" s="2" t="s">
        <v>265</v>
      </c>
      <c r="L1" s="2" t="s">
        <v>266</v>
      </c>
      <c r="M1" s="2" t="s">
        <v>267</v>
      </c>
      <c r="N1" s="2" t="s">
        <v>269</v>
      </c>
      <c r="O1" s="12" t="s">
        <v>268</v>
      </c>
      <c r="P1" s="9" t="s">
        <v>270</v>
      </c>
      <c r="Q1" s="2" t="s">
        <v>271</v>
      </c>
      <c r="R1" s="2" t="s">
        <v>272</v>
      </c>
      <c r="S1" s="2" t="s">
        <v>273</v>
      </c>
      <c r="T1" s="2" t="s">
        <v>274</v>
      </c>
      <c r="U1" s="2" t="s">
        <v>276</v>
      </c>
      <c r="V1" s="2" t="s">
        <v>275</v>
      </c>
      <c r="W1" s="10" t="s">
        <v>277</v>
      </c>
      <c r="X1" s="13" t="s">
        <v>278</v>
      </c>
      <c r="Y1" s="11" t="s">
        <v>279</v>
      </c>
      <c r="Z1" s="16" t="s">
        <v>280</v>
      </c>
      <c r="AA1" s="11" t="s">
        <v>281</v>
      </c>
      <c r="AB1" s="16" t="s">
        <v>282</v>
      </c>
      <c r="AC1" s="11" t="s">
        <v>283</v>
      </c>
      <c r="AD1" s="2" t="s">
        <v>248</v>
      </c>
      <c r="AE1" s="2" t="s">
        <v>249</v>
      </c>
      <c r="AF1" s="2" t="s">
        <v>250</v>
      </c>
      <c r="AG1" s="2" t="s">
        <v>360</v>
      </c>
      <c r="AH1" s="2" t="s">
        <v>359</v>
      </c>
      <c r="AI1" s="2" t="s">
        <v>361</v>
      </c>
      <c r="AJ1" s="2" t="s">
        <v>345</v>
      </c>
      <c r="AK1" s="2" t="s">
        <v>346</v>
      </c>
      <c r="AL1" s="2" t="s">
        <v>347</v>
      </c>
      <c r="AM1" s="2" t="s">
        <v>348</v>
      </c>
      <c r="AN1" s="2" t="s">
        <v>350</v>
      </c>
      <c r="AO1" s="2" t="s">
        <v>349</v>
      </c>
      <c r="AP1" s="2" t="s">
        <v>351</v>
      </c>
      <c r="AQ1" s="2" t="s">
        <v>352</v>
      </c>
      <c r="AR1" s="2" t="s">
        <v>353</v>
      </c>
      <c r="AS1" s="2" t="s">
        <v>362</v>
      </c>
      <c r="AT1" s="2" t="s">
        <v>363</v>
      </c>
      <c r="AU1" s="2" t="s">
        <v>364</v>
      </c>
      <c r="AV1" s="18" t="s">
        <v>396</v>
      </c>
      <c r="AW1" s="18" t="s">
        <v>403</v>
      </c>
      <c r="AX1" s="2" t="s">
        <v>404</v>
      </c>
      <c r="AY1" s="2" t="s">
        <v>405</v>
      </c>
    </row>
    <row r="2" spans="1:51" x14ac:dyDescent="0.2">
      <c r="A2">
        <v>40</v>
      </c>
      <c r="B2">
        <v>1</v>
      </c>
      <c r="C2">
        <v>2</v>
      </c>
      <c r="D2" t="s">
        <v>747</v>
      </c>
      <c r="E2">
        <v>0</v>
      </c>
      <c r="F2" t="s">
        <v>750</v>
      </c>
      <c r="G2" t="s">
        <v>289</v>
      </c>
      <c r="H2" t="s">
        <v>341</v>
      </c>
      <c r="I2">
        <v>42</v>
      </c>
      <c r="J2">
        <v>14</v>
      </c>
      <c r="K2">
        <v>61</v>
      </c>
      <c r="L2">
        <v>22</v>
      </c>
      <c r="M2">
        <v>9</v>
      </c>
      <c r="O2">
        <v>39</v>
      </c>
      <c r="P2">
        <v>91</v>
      </c>
      <c r="Q2">
        <v>80</v>
      </c>
      <c r="R2">
        <v>89</v>
      </c>
      <c r="S2">
        <v>4</v>
      </c>
      <c r="T2">
        <v>25</v>
      </c>
      <c r="V2">
        <v>30</v>
      </c>
      <c r="Y2">
        <v>1</v>
      </c>
    </row>
    <row r="3" spans="1:51" x14ac:dyDescent="0.2">
      <c r="A3">
        <v>41</v>
      </c>
      <c r="B3">
        <v>1</v>
      </c>
      <c r="C3">
        <v>0</v>
      </c>
      <c r="D3" t="s">
        <v>750</v>
      </c>
      <c r="E3">
        <v>0</v>
      </c>
      <c r="F3" t="s">
        <v>755</v>
      </c>
      <c r="G3" t="s">
        <v>289</v>
      </c>
      <c r="H3" t="s">
        <v>292</v>
      </c>
      <c r="I3">
        <v>42</v>
      </c>
      <c r="J3">
        <v>14</v>
      </c>
      <c r="K3">
        <v>61</v>
      </c>
      <c r="L3">
        <v>22</v>
      </c>
      <c r="M3">
        <v>9</v>
      </c>
      <c r="O3">
        <v>39</v>
      </c>
      <c r="P3">
        <v>77</v>
      </c>
      <c r="Q3">
        <v>13</v>
      </c>
      <c r="R3">
        <v>68</v>
      </c>
      <c r="S3">
        <v>4</v>
      </c>
      <c r="T3">
        <v>25</v>
      </c>
      <c r="V3">
        <v>30</v>
      </c>
      <c r="Y3">
        <v>1</v>
      </c>
    </row>
    <row r="4" spans="1:51" x14ac:dyDescent="0.2">
      <c r="A4">
        <v>42</v>
      </c>
      <c r="B4">
        <v>1</v>
      </c>
      <c r="G4" t="s">
        <v>393</v>
      </c>
    </row>
    <row r="5" spans="1:51" x14ac:dyDescent="0.2">
      <c r="A5">
        <v>43</v>
      </c>
      <c r="B5">
        <v>2</v>
      </c>
      <c r="C5">
        <v>18</v>
      </c>
      <c r="D5">
        <v>0</v>
      </c>
      <c r="E5">
        <v>17</v>
      </c>
      <c r="F5" t="s">
        <v>743</v>
      </c>
      <c r="G5" t="s">
        <v>284</v>
      </c>
      <c r="H5" t="s">
        <v>341</v>
      </c>
      <c r="I5">
        <v>70</v>
      </c>
      <c r="J5">
        <v>14</v>
      </c>
      <c r="K5">
        <v>55</v>
      </c>
      <c r="L5">
        <v>91</v>
      </c>
      <c r="M5">
        <v>84</v>
      </c>
      <c r="O5">
        <v>39</v>
      </c>
      <c r="P5">
        <v>77</v>
      </c>
      <c r="Q5">
        <v>13</v>
      </c>
      <c r="R5">
        <v>68</v>
      </c>
      <c r="S5">
        <v>44</v>
      </c>
      <c r="T5">
        <v>18</v>
      </c>
      <c r="V5">
        <v>30</v>
      </c>
      <c r="Y5">
        <v>1</v>
      </c>
    </row>
    <row r="8" spans="1:51" x14ac:dyDescent="0.2">
      <c r="A8">
        <v>105</v>
      </c>
      <c r="B8">
        <v>3</v>
      </c>
      <c r="C8">
        <v>1</v>
      </c>
      <c r="D8" t="s">
        <v>748</v>
      </c>
      <c r="E8">
        <v>0</v>
      </c>
      <c r="F8" t="s">
        <v>751</v>
      </c>
      <c r="I8">
        <v>42</v>
      </c>
      <c r="J8">
        <v>24</v>
      </c>
      <c r="K8">
        <v>61</v>
      </c>
      <c r="L8">
        <v>91</v>
      </c>
      <c r="M8">
        <v>84</v>
      </c>
      <c r="O8">
        <v>39</v>
      </c>
      <c r="P8">
        <v>77</v>
      </c>
      <c r="Q8">
        <v>12</v>
      </c>
      <c r="R8">
        <v>68</v>
      </c>
      <c r="S8">
        <v>44</v>
      </c>
      <c r="T8">
        <v>18</v>
      </c>
      <c r="V8">
        <v>30</v>
      </c>
      <c r="AA8">
        <v>1</v>
      </c>
    </row>
    <row r="9" spans="1:51" x14ac:dyDescent="0.2">
      <c r="A9">
        <v>106</v>
      </c>
      <c r="B9">
        <v>3</v>
      </c>
      <c r="C9">
        <v>0</v>
      </c>
      <c r="D9" t="s">
        <v>751</v>
      </c>
      <c r="E9">
        <v>0</v>
      </c>
      <c r="F9" t="s">
        <v>755</v>
      </c>
      <c r="H9" t="s">
        <v>400</v>
      </c>
      <c r="I9">
        <v>42</v>
      </c>
      <c r="J9">
        <v>24</v>
      </c>
      <c r="K9">
        <v>61</v>
      </c>
      <c r="L9">
        <v>91</v>
      </c>
      <c r="M9">
        <v>84</v>
      </c>
      <c r="O9">
        <v>39</v>
      </c>
      <c r="P9">
        <v>77</v>
      </c>
      <c r="Q9">
        <v>12</v>
      </c>
      <c r="R9">
        <v>56</v>
      </c>
      <c r="S9">
        <v>44</v>
      </c>
      <c r="T9">
        <v>18</v>
      </c>
      <c r="U9">
        <v>3</v>
      </c>
      <c r="AA9">
        <v>1</v>
      </c>
    </row>
    <row r="10" spans="1:51" x14ac:dyDescent="0.2">
      <c r="A10">
        <v>107</v>
      </c>
      <c r="B10">
        <v>3</v>
      </c>
      <c r="C10">
        <v>0</v>
      </c>
      <c r="D10" t="s">
        <v>755</v>
      </c>
    </row>
    <row r="25" spans="1:42" ht="34" x14ac:dyDescent="0.2">
      <c r="A25" s="20" t="s">
        <v>242</v>
      </c>
      <c r="B25" s="20" t="s">
        <v>725</v>
      </c>
      <c r="C25" s="20" t="s">
        <v>518</v>
      </c>
      <c r="D25" s="20" t="s">
        <v>724</v>
      </c>
      <c r="E25" s="23" t="s">
        <v>243</v>
      </c>
      <c r="F25" s="23" t="s">
        <v>244</v>
      </c>
      <c r="G25" s="29" t="s">
        <v>621</v>
      </c>
      <c r="H25" s="1" t="s">
        <v>0</v>
      </c>
      <c r="I25" s="21" t="s">
        <v>409</v>
      </c>
      <c r="J25" s="21" t="s">
        <v>410</v>
      </c>
      <c r="K25" s="21" t="s">
        <v>411</v>
      </c>
      <c r="L25" s="22" t="s">
        <v>412</v>
      </c>
      <c r="M25" s="1" t="s">
        <v>252</v>
      </c>
      <c r="N25" s="1" t="s">
        <v>253</v>
      </c>
      <c r="O25" s="1" t="s">
        <v>254</v>
      </c>
      <c r="P25" s="7" t="s">
        <v>255</v>
      </c>
      <c r="Q25" s="20" t="s">
        <v>522</v>
      </c>
      <c r="R25" s="20" t="s">
        <v>4</v>
      </c>
      <c r="S25" s="20" t="s">
        <v>728</v>
      </c>
      <c r="T25" s="20" t="s">
        <v>369</v>
      </c>
      <c r="U25" s="20" t="s">
        <v>406</v>
      </c>
      <c r="V25" s="20" t="s">
        <v>407</v>
      </c>
      <c r="W25" s="20" t="s">
        <v>408</v>
      </c>
      <c r="X25" s="23" t="s">
        <v>449</v>
      </c>
      <c r="Y25" s="20" t="s">
        <v>451</v>
      </c>
      <c r="Z25" s="20" t="s">
        <v>452</v>
      </c>
      <c r="AA25" s="23" t="s">
        <v>453</v>
      </c>
      <c r="AB25" s="23" t="s">
        <v>638</v>
      </c>
      <c r="AC25" s="23" t="s">
        <v>525</v>
      </c>
      <c r="AD25" s="23" t="s">
        <v>526</v>
      </c>
      <c r="AE25" s="23" t="s">
        <v>536</v>
      </c>
      <c r="AF25" s="20" t="s">
        <v>454</v>
      </c>
      <c r="AG25" s="1" t="s">
        <v>455</v>
      </c>
      <c r="AH25" s="1" t="s">
        <v>456</v>
      </c>
      <c r="AI25" s="20" t="s">
        <v>534</v>
      </c>
      <c r="AJ25" s="20" t="s">
        <v>535</v>
      </c>
    </row>
    <row r="27" spans="1:42" x14ac:dyDescent="0.2">
      <c r="A27">
        <v>599</v>
      </c>
      <c r="B27" t="s">
        <v>756</v>
      </c>
      <c r="C27" t="s">
        <v>756</v>
      </c>
      <c r="D27" t="s">
        <v>756</v>
      </c>
      <c r="H27">
        <v>1</v>
      </c>
      <c r="I27" t="s">
        <v>742</v>
      </c>
      <c r="J27" t="s">
        <v>748</v>
      </c>
      <c r="Q27" t="s">
        <v>731</v>
      </c>
      <c r="R27">
        <v>13</v>
      </c>
      <c r="S27">
        <v>1</v>
      </c>
      <c r="T27" t="s">
        <v>367</v>
      </c>
      <c r="U27" t="s">
        <v>6</v>
      </c>
      <c r="V27" t="s">
        <v>181</v>
      </c>
      <c r="W27" t="s">
        <v>53</v>
      </c>
      <c r="X27" t="s">
        <v>594</v>
      </c>
      <c r="AF27" t="s">
        <v>368</v>
      </c>
      <c r="AJ27">
        <v>1</v>
      </c>
      <c r="AM27" t="s">
        <v>6</v>
      </c>
      <c r="AN27" t="s">
        <v>181</v>
      </c>
      <c r="AP27" t="s">
        <v>516</v>
      </c>
    </row>
    <row r="28" spans="1:42" x14ac:dyDescent="0.2">
      <c r="A28">
        <v>599</v>
      </c>
      <c r="B28" t="s">
        <v>756</v>
      </c>
      <c r="C28" t="s">
        <v>756</v>
      </c>
      <c r="D28" t="s">
        <v>756</v>
      </c>
      <c r="H28">
        <v>1</v>
      </c>
      <c r="R28">
        <v>9</v>
      </c>
      <c r="T28" t="s">
        <v>368</v>
      </c>
      <c r="Y28" t="s">
        <v>602</v>
      </c>
      <c r="AA28" t="s">
        <v>595</v>
      </c>
      <c r="AJ28">
        <v>1</v>
      </c>
      <c r="AM28" t="s">
        <v>6</v>
      </c>
      <c r="AN28" t="s">
        <v>181</v>
      </c>
      <c r="AP28" t="s">
        <v>517</v>
      </c>
    </row>
    <row r="29" spans="1:42" x14ac:dyDescent="0.2">
      <c r="A29">
        <v>600</v>
      </c>
      <c r="B29" t="s">
        <v>756</v>
      </c>
      <c r="C29" t="s">
        <v>756</v>
      </c>
      <c r="D29" t="s">
        <v>756</v>
      </c>
      <c r="H29">
        <v>1</v>
      </c>
      <c r="I29" t="s">
        <v>742</v>
      </c>
      <c r="J29" t="s">
        <v>413</v>
      </c>
      <c r="T29" t="s">
        <v>368</v>
      </c>
      <c r="U29" t="s">
        <v>11</v>
      </c>
      <c r="V29" t="s">
        <v>177</v>
      </c>
      <c r="W29" t="s">
        <v>39</v>
      </c>
      <c r="AM29" t="s">
        <v>11</v>
      </c>
      <c r="AN29" t="s">
        <v>177</v>
      </c>
      <c r="AP29" t="s">
        <v>756</v>
      </c>
    </row>
    <row r="30" spans="1:42" x14ac:dyDescent="0.2">
      <c r="A30">
        <v>601</v>
      </c>
      <c r="B30" t="s">
        <v>756</v>
      </c>
      <c r="C30" t="s">
        <v>756</v>
      </c>
      <c r="D30" t="s">
        <v>756</v>
      </c>
      <c r="H30">
        <v>2</v>
      </c>
      <c r="I30" t="s">
        <v>733</v>
      </c>
      <c r="J30" t="s">
        <v>737</v>
      </c>
      <c r="K30" t="s">
        <v>753</v>
      </c>
      <c r="L30" t="s">
        <v>749</v>
      </c>
      <c r="T30" t="s">
        <v>368</v>
      </c>
      <c r="U30" t="s">
        <v>393</v>
      </c>
      <c r="AM30" t="s">
        <v>393</v>
      </c>
      <c r="AN30" t="s">
        <v>756</v>
      </c>
      <c r="AP30" t="s">
        <v>756</v>
      </c>
    </row>
    <row r="31" spans="1:42" x14ac:dyDescent="0.2">
      <c r="A31">
        <v>602</v>
      </c>
      <c r="B31" t="s">
        <v>756</v>
      </c>
      <c r="C31" t="s">
        <v>756</v>
      </c>
      <c r="D31" t="s">
        <v>756</v>
      </c>
      <c r="H31">
        <v>2</v>
      </c>
      <c r="I31" t="s">
        <v>743</v>
      </c>
      <c r="J31" t="s">
        <v>413</v>
      </c>
      <c r="Q31" t="s">
        <v>735</v>
      </c>
      <c r="R31">
        <v>70</v>
      </c>
      <c r="S31">
        <v>1</v>
      </c>
      <c r="T31" t="s">
        <v>367</v>
      </c>
      <c r="U31" t="s">
        <v>5</v>
      </c>
      <c r="V31" t="s">
        <v>197</v>
      </c>
      <c r="AF31" t="s">
        <v>734</v>
      </c>
      <c r="AM31" t="s">
        <v>5</v>
      </c>
      <c r="AN31" t="s">
        <v>197</v>
      </c>
      <c r="AP31" t="s">
        <v>516</v>
      </c>
    </row>
    <row r="34" spans="1:42" x14ac:dyDescent="0.2">
      <c r="A34">
        <v>1438</v>
      </c>
      <c r="B34">
        <v>223</v>
      </c>
      <c r="H34">
        <v>3</v>
      </c>
      <c r="I34" t="s">
        <v>752</v>
      </c>
      <c r="J34" t="s">
        <v>753</v>
      </c>
      <c r="Q34" t="s">
        <v>735</v>
      </c>
      <c r="R34">
        <v>61</v>
      </c>
      <c r="S34">
        <v>1</v>
      </c>
      <c r="T34" t="s">
        <v>367</v>
      </c>
      <c r="U34" t="s">
        <v>6</v>
      </c>
      <c r="V34" t="s">
        <v>240</v>
      </c>
      <c r="AF34" t="s">
        <v>368</v>
      </c>
      <c r="AM34" t="s">
        <v>6</v>
      </c>
      <c r="AN34" t="s">
        <v>240</v>
      </c>
      <c r="AP34" t="s">
        <v>516</v>
      </c>
    </row>
    <row r="35" spans="1:42" x14ac:dyDescent="0.2">
      <c r="A35">
        <v>1438</v>
      </c>
      <c r="B35">
        <v>223</v>
      </c>
      <c r="H35">
        <v>3</v>
      </c>
      <c r="R35">
        <v>30</v>
      </c>
      <c r="T35" t="s">
        <v>368</v>
      </c>
      <c r="AM35" t="s">
        <v>6</v>
      </c>
      <c r="AN35" t="s">
        <v>240</v>
      </c>
      <c r="AP35" t="s">
        <v>517</v>
      </c>
    </row>
    <row r="36" spans="1:42" x14ac:dyDescent="0.2">
      <c r="A36">
        <v>1439</v>
      </c>
      <c r="B36">
        <v>223</v>
      </c>
      <c r="H36">
        <v>3</v>
      </c>
      <c r="I36" t="s">
        <v>752</v>
      </c>
      <c r="J36" t="s">
        <v>753</v>
      </c>
      <c r="Q36" t="s">
        <v>735</v>
      </c>
      <c r="R36">
        <v>61</v>
      </c>
      <c r="S36">
        <v>1</v>
      </c>
      <c r="T36" t="s">
        <v>367</v>
      </c>
      <c r="U36" t="s">
        <v>8</v>
      </c>
      <c r="V36" t="s">
        <v>213</v>
      </c>
      <c r="W36" t="s">
        <v>216</v>
      </c>
      <c r="AF36" t="s">
        <v>368</v>
      </c>
      <c r="AM36" t="s">
        <v>8</v>
      </c>
      <c r="AN36" t="s">
        <v>213</v>
      </c>
      <c r="AP36" t="s">
        <v>516</v>
      </c>
    </row>
    <row r="37" spans="1:42" x14ac:dyDescent="0.2">
      <c r="A37">
        <v>1439</v>
      </c>
      <c r="B37">
        <v>223</v>
      </c>
      <c r="H37">
        <v>3</v>
      </c>
      <c r="R37">
        <v>30</v>
      </c>
      <c r="T37" t="s">
        <v>368</v>
      </c>
      <c r="AM37" t="s">
        <v>8</v>
      </c>
      <c r="AN37" t="s">
        <v>213</v>
      </c>
      <c r="AP37" t="s">
        <v>517</v>
      </c>
    </row>
    <row r="38" spans="1:42" x14ac:dyDescent="0.2">
      <c r="A38">
        <v>1440</v>
      </c>
      <c r="B38">
        <v>223</v>
      </c>
      <c r="H38">
        <v>3</v>
      </c>
      <c r="I38" t="s">
        <v>752</v>
      </c>
      <c r="J38" t="s">
        <v>753</v>
      </c>
      <c r="Q38" t="s">
        <v>735</v>
      </c>
      <c r="R38">
        <v>61</v>
      </c>
      <c r="S38">
        <v>1</v>
      </c>
      <c r="T38" t="s">
        <v>367</v>
      </c>
      <c r="U38" t="s">
        <v>11</v>
      </c>
      <c r="V38" t="s">
        <v>187</v>
      </c>
      <c r="W38" t="s">
        <v>40</v>
      </c>
      <c r="AF38" t="s">
        <v>368</v>
      </c>
      <c r="AJ38">
        <v>1</v>
      </c>
      <c r="AM38" t="s">
        <v>11</v>
      </c>
      <c r="AN38" t="s">
        <v>187</v>
      </c>
      <c r="AP38" t="s">
        <v>756</v>
      </c>
    </row>
    <row r="39" spans="1:42" x14ac:dyDescent="0.2">
      <c r="A39">
        <v>1441</v>
      </c>
      <c r="B39">
        <v>223</v>
      </c>
      <c r="H39">
        <v>3</v>
      </c>
      <c r="I39" t="s">
        <v>752</v>
      </c>
      <c r="J39" t="s">
        <v>753</v>
      </c>
      <c r="K39" t="s">
        <v>752</v>
      </c>
      <c r="L39" t="s">
        <v>738</v>
      </c>
      <c r="Q39" t="s">
        <v>735</v>
      </c>
      <c r="R39">
        <v>61</v>
      </c>
      <c r="S39">
        <v>1</v>
      </c>
      <c r="T39" t="s">
        <v>367</v>
      </c>
      <c r="U39" t="s">
        <v>241</v>
      </c>
      <c r="AF39" t="s">
        <v>368</v>
      </c>
      <c r="AJ39">
        <v>1</v>
      </c>
      <c r="AM39" t="s">
        <v>241</v>
      </c>
      <c r="AN39" t="s">
        <v>756</v>
      </c>
      <c r="AP39" t="s">
        <v>756</v>
      </c>
    </row>
    <row r="43" spans="1:42" x14ac:dyDescent="0.2">
      <c r="A43">
        <v>1590</v>
      </c>
      <c r="H43">
        <v>3</v>
      </c>
      <c r="I43" t="s">
        <v>742</v>
      </c>
      <c r="J43" t="s">
        <v>739</v>
      </c>
      <c r="Q43" t="s">
        <v>735</v>
      </c>
      <c r="R43">
        <v>84</v>
      </c>
      <c r="S43">
        <v>1</v>
      </c>
      <c r="T43" t="s">
        <v>367</v>
      </c>
      <c r="U43" t="s">
        <v>417</v>
      </c>
      <c r="AF43" t="s">
        <v>736</v>
      </c>
      <c r="AJ43">
        <v>1</v>
      </c>
      <c r="AM43" t="s">
        <v>417</v>
      </c>
      <c r="AN43" t="s">
        <v>756</v>
      </c>
      <c r="AP43" t="s">
        <v>516</v>
      </c>
    </row>
    <row r="44" spans="1:42" x14ac:dyDescent="0.2">
      <c r="A44">
        <v>1590</v>
      </c>
      <c r="H44">
        <v>3</v>
      </c>
      <c r="R44">
        <v>3</v>
      </c>
      <c r="T44" t="s">
        <v>368</v>
      </c>
      <c r="AJ44">
        <v>1</v>
      </c>
      <c r="AM44" t="s">
        <v>417</v>
      </c>
      <c r="AN44" t="s">
        <v>756</v>
      </c>
      <c r="AP44" t="s">
        <v>517</v>
      </c>
    </row>
    <row r="45" spans="1:42" x14ac:dyDescent="0.2">
      <c r="A45">
        <v>1591</v>
      </c>
      <c r="B45">
        <v>247</v>
      </c>
      <c r="H45">
        <v>3</v>
      </c>
      <c r="I45" t="s">
        <v>742</v>
      </c>
      <c r="J45" t="s">
        <v>740</v>
      </c>
      <c r="Q45" t="s">
        <v>731</v>
      </c>
      <c r="R45">
        <v>18</v>
      </c>
      <c r="S45">
        <v>1</v>
      </c>
      <c r="T45" t="s">
        <v>367</v>
      </c>
      <c r="U45" t="s">
        <v>6</v>
      </c>
      <c r="V45" t="s">
        <v>205</v>
      </c>
      <c r="W45" t="s">
        <v>51</v>
      </c>
      <c r="X45" t="s">
        <v>595</v>
      </c>
      <c r="AF45" t="s">
        <v>368</v>
      </c>
      <c r="AM45" t="s">
        <v>6</v>
      </c>
      <c r="AN45" t="s">
        <v>205</v>
      </c>
      <c r="AP45" t="s">
        <v>516</v>
      </c>
    </row>
    <row r="46" spans="1:42" x14ac:dyDescent="0.2">
      <c r="A46">
        <v>1591</v>
      </c>
      <c r="B46">
        <v>247</v>
      </c>
      <c r="H46">
        <v>3</v>
      </c>
      <c r="R46">
        <v>77</v>
      </c>
      <c r="S46">
        <v>1</v>
      </c>
      <c r="T46" t="s">
        <v>367</v>
      </c>
      <c r="Y46" t="s">
        <v>684</v>
      </c>
      <c r="AM46" t="s">
        <v>6</v>
      </c>
      <c r="AN46" t="s">
        <v>205</v>
      </c>
      <c r="AP46" t="s">
        <v>516</v>
      </c>
    </row>
    <row r="47" spans="1:42" x14ac:dyDescent="0.2">
      <c r="A47">
        <v>1591</v>
      </c>
      <c r="B47">
        <v>247</v>
      </c>
      <c r="H47">
        <v>3</v>
      </c>
      <c r="R47">
        <v>39</v>
      </c>
      <c r="T47" t="s">
        <v>368</v>
      </c>
      <c r="AM47" t="s">
        <v>6</v>
      </c>
      <c r="AN47" t="s">
        <v>205</v>
      </c>
      <c r="AP47" t="s">
        <v>517</v>
      </c>
    </row>
    <row r="48" spans="1:42" x14ac:dyDescent="0.2">
      <c r="A48">
        <v>1592</v>
      </c>
      <c r="B48">
        <v>247</v>
      </c>
      <c r="H48">
        <v>3</v>
      </c>
      <c r="I48" t="s">
        <v>742</v>
      </c>
      <c r="J48" t="s">
        <v>740</v>
      </c>
      <c r="Q48" t="s">
        <v>735</v>
      </c>
      <c r="R48">
        <v>39</v>
      </c>
      <c r="S48">
        <v>1</v>
      </c>
      <c r="T48" t="s">
        <v>367</v>
      </c>
      <c r="U48" t="s">
        <v>15</v>
      </c>
      <c r="V48" t="s">
        <v>179</v>
      </c>
      <c r="W48" t="s">
        <v>95</v>
      </c>
      <c r="AF48" t="s">
        <v>736</v>
      </c>
      <c r="AM48" t="s">
        <v>15</v>
      </c>
      <c r="AN48" t="s">
        <v>179</v>
      </c>
      <c r="AP48" t="s">
        <v>517</v>
      </c>
    </row>
    <row r="49" spans="1:42" x14ac:dyDescent="0.2">
      <c r="A49">
        <v>1592</v>
      </c>
      <c r="B49">
        <v>247</v>
      </c>
      <c r="H49">
        <v>3</v>
      </c>
      <c r="R49">
        <v>18</v>
      </c>
      <c r="T49" t="s">
        <v>368</v>
      </c>
      <c r="AM49" t="s">
        <v>15</v>
      </c>
      <c r="AN49" t="s">
        <v>179</v>
      </c>
      <c r="AP49" t="s">
        <v>516</v>
      </c>
    </row>
    <row r="50" spans="1:42" x14ac:dyDescent="0.2">
      <c r="A50">
        <v>1592</v>
      </c>
      <c r="B50">
        <v>247</v>
      </c>
      <c r="H50">
        <v>3</v>
      </c>
      <c r="R50">
        <v>77</v>
      </c>
      <c r="T50" t="s">
        <v>368</v>
      </c>
      <c r="Y50" t="s">
        <v>684</v>
      </c>
      <c r="AM50" t="s">
        <v>15</v>
      </c>
      <c r="AN50" t="s">
        <v>179</v>
      </c>
      <c r="AP50" t="s">
        <v>516</v>
      </c>
    </row>
    <row r="51" spans="1:42" x14ac:dyDescent="0.2">
      <c r="A51">
        <v>1593</v>
      </c>
      <c r="B51">
        <v>247</v>
      </c>
      <c r="H51">
        <v>3</v>
      </c>
      <c r="I51" t="s">
        <v>742</v>
      </c>
      <c r="J51" t="s">
        <v>740</v>
      </c>
      <c r="Q51" t="s">
        <v>735</v>
      </c>
      <c r="R51">
        <v>39</v>
      </c>
      <c r="S51">
        <v>1</v>
      </c>
      <c r="T51" t="s">
        <v>367</v>
      </c>
      <c r="AF51" t="s">
        <v>736</v>
      </c>
      <c r="AM51" t="s">
        <v>756</v>
      </c>
      <c r="AN51" t="s">
        <v>756</v>
      </c>
      <c r="AP51" t="s">
        <v>516</v>
      </c>
    </row>
    <row r="52" spans="1:42" x14ac:dyDescent="0.2">
      <c r="A52">
        <v>1594</v>
      </c>
      <c r="H52">
        <v>3</v>
      </c>
      <c r="I52" t="s">
        <v>742</v>
      </c>
      <c r="J52" t="s">
        <v>741</v>
      </c>
      <c r="Q52" t="s">
        <v>731</v>
      </c>
      <c r="R52">
        <v>56</v>
      </c>
      <c r="S52">
        <v>1</v>
      </c>
      <c r="T52" t="s">
        <v>367</v>
      </c>
      <c r="U52" t="s">
        <v>13</v>
      </c>
      <c r="V52" t="s">
        <v>587</v>
      </c>
      <c r="X52" t="s">
        <v>594</v>
      </c>
      <c r="Y52" t="s">
        <v>611</v>
      </c>
      <c r="AA52" t="s">
        <v>594</v>
      </c>
      <c r="AF52" t="s">
        <v>368</v>
      </c>
      <c r="AM52" t="s">
        <v>13</v>
      </c>
      <c r="AN52" t="s">
        <v>587</v>
      </c>
      <c r="AP52" t="s">
        <v>516</v>
      </c>
    </row>
    <row r="53" spans="1:42" x14ac:dyDescent="0.2">
      <c r="A53">
        <v>1595</v>
      </c>
      <c r="H53">
        <v>3</v>
      </c>
      <c r="I53" t="s">
        <v>742</v>
      </c>
      <c r="J53" t="s">
        <v>741</v>
      </c>
      <c r="Q53" t="s">
        <v>731</v>
      </c>
      <c r="R53">
        <v>56</v>
      </c>
      <c r="S53">
        <v>1</v>
      </c>
      <c r="T53" t="s">
        <v>367</v>
      </c>
      <c r="U53" t="s">
        <v>7</v>
      </c>
      <c r="V53" t="s">
        <v>182</v>
      </c>
      <c r="W53" t="s">
        <v>68</v>
      </c>
      <c r="X53" t="s">
        <v>594</v>
      </c>
      <c r="Y53" t="s">
        <v>654</v>
      </c>
      <c r="AA53" t="s">
        <v>594</v>
      </c>
      <c r="AF53" t="s">
        <v>368</v>
      </c>
      <c r="AJ53">
        <v>1</v>
      </c>
      <c r="AM53" t="s">
        <v>7</v>
      </c>
      <c r="AN53" t="s">
        <v>182</v>
      </c>
      <c r="AP53" t="s">
        <v>516</v>
      </c>
    </row>
    <row r="54" spans="1:42" x14ac:dyDescent="0.2">
      <c r="A54">
        <v>1595</v>
      </c>
      <c r="H54">
        <v>3</v>
      </c>
      <c r="R54">
        <v>3</v>
      </c>
      <c r="S54">
        <v>1</v>
      </c>
      <c r="T54" t="s">
        <v>367</v>
      </c>
      <c r="AM54" t="s">
        <v>7</v>
      </c>
      <c r="AN54" t="s">
        <v>182</v>
      </c>
      <c r="AP54" t="s">
        <v>516</v>
      </c>
    </row>
    <row r="55" spans="1:42" x14ac:dyDescent="0.2">
      <c r="A55">
        <v>1595</v>
      </c>
      <c r="H55">
        <v>3</v>
      </c>
      <c r="R55">
        <v>91</v>
      </c>
      <c r="T55" t="s">
        <v>368</v>
      </c>
      <c r="AJ55">
        <v>1</v>
      </c>
      <c r="AM55" t="s">
        <v>7</v>
      </c>
      <c r="AN55" t="s">
        <v>182</v>
      </c>
      <c r="AP55" t="s">
        <v>517</v>
      </c>
    </row>
    <row r="56" spans="1:42" x14ac:dyDescent="0.2">
      <c r="A56">
        <v>1596</v>
      </c>
      <c r="H56">
        <v>3</v>
      </c>
      <c r="I56" t="s">
        <v>742</v>
      </c>
      <c r="J56" t="s">
        <v>741</v>
      </c>
      <c r="Q56" t="s">
        <v>735</v>
      </c>
      <c r="S56">
        <v>1</v>
      </c>
      <c r="T56" t="s">
        <v>367</v>
      </c>
      <c r="U56" t="s">
        <v>238</v>
      </c>
      <c r="V56" t="s">
        <v>184</v>
      </c>
      <c r="W56" t="s">
        <v>378</v>
      </c>
      <c r="AF56" t="s">
        <v>736</v>
      </c>
      <c r="AM56" t="s">
        <v>238</v>
      </c>
      <c r="AN56" t="s">
        <v>184</v>
      </c>
      <c r="AP56" t="s">
        <v>516</v>
      </c>
    </row>
    <row r="57" spans="1:42" x14ac:dyDescent="0.2">
      <c r="A57">
        <v>1597</v>
      </c>
      <c r="H57">
        <v>3</v>
      </c>
      <c r="I57" t="s">
        <v>742</v>
      </c>
      <c r="J57" t="s">
        <v>732</v>
      </c>
      <c r="K57" t="s">
        <v>742</v>
      </c>
      <c r="L57" t="s">
        <v>744</v>
      </c>
      <c r="Q57" t="s">
        <v>731</v>
      </c>
      <c r="R57">
        <v>44</v>
      </c>
      <c r="S57">
        <v>1</v>
      </c>
      <c r="T57" t="s">
        <v>367</v>
      </c>
      <c r="U57" t="s">
        <v>13</v>
      </c>
      <c r="V57" t="s">
        <v>587</v>
      </c>
      <c r="X57" t="s">
        <v>595</v>
      </c>
      <c r="Y57" t="s">
        <v>618</v>
      </c>
      <c r="AA57" t="s">
        <v>595</v>
      </c>
      <c r="AF57" t="s">
        <v>734</v>
      </c>
      <c r="AM57" t="s">
        <v>13</v>
      </c>
      <c r="AN57" t="s">
        <v>587</v>
      </c>
      <c r="AP57" t="s">
        <v>516</v>
      </c>
    </row>
    <row r="58" spans="1:42" x14ac:dyDescent="0.2">
      <c r="A58">
        <v>1598</v>
      </c>
      <c r="H58">
        <v>3</v>
      </c>
      <c r="I58" t="s">
        <v>742</v>
      </c>
      <c r="J58" t="s">
        <v>744</v>
      </c>
      <c r="Q58" t="s">
        <v>731</v>
      </c>
      <c r="R58">
        <v>44</v>
      </c>
      <c r="S58">
        <v>1</v>
      </c>
      <c r="T58" t="s">
        <v>367</v>
      </c>
      <c r="U58" t="s">
        <v>7</v>
      </c>
      <c r="V58" t="s">
        <v>172</v>
      </c>
      <c r="W58" t="s">
        <v>68</v>
      </c>
      <c r="X58" t="s">
        <v>595</v>
      </c>
      <c r="AF58" t="s">
        <v>734</v>
      </c>
      <c r="AM58" t="s">
        <v>7</v>
      </c>
      <c r="AN58" t="s">
        <v>172</v>
      </c>
      <c r="AP58" t="s">
        <v>516</v>
      </c>
    </row>
    <row r="59" spans="1:42" x14ac:dyDescent="0.2">
      <c r="A59">
        <v>1598</v>
      </c>
      <c r="H59">
        <v>3</v>
      </c>
      <c r="R59">
        <v>18</v>
      </c>
      <c r="S59">
        <v>1</v>
      </c>
      <c r="T59" t="s">
        <v>367</v>
      </c>
      <c r="AM59" t="s">
        <v>7</v>
      </c>
      <c r="AN59" t="s">
        <v>172</v>
      </c>
      <c r="AP59" t="s">
        <v>516</v>
      </c>
    </row>
    <row r="60" spans="1:42" x14ac:dyDescent="0.2">
      <c r="A60">
        <v>1599</v>
      </c>
      <c r="H60">
        <v>3</v>
      </c>
      <c r="I60" t="s">
        <v>742</v>
      </c>
      <c r="J60" t="s">
        <v>745</v>
      </c>
      <c r="Q60" t="s">
        <v>731</v>
      </c>
      <c r="R60">
        <v>18</v>
      </c>
      <c r="S60">
        <v>1</v>
      </c>
      <c r="T60" t="s">
        <v>367</v>
      </c>
      <c r="U60" t="s">
        <v>238</v>
      </c>
      <c r="V60" t="s">
        <v>174</v>
      </c>
      <c r="W60" t="s">
        <v>85</v>
      </c>
      <c r="X60" t="s">
        <v>594</v>
      </c>
      <c r="AF60" t="s">
        <v>368</v>
      </c>
      <c r="AJ60">
        <v>1</v>
      </c>
      <c r="AM60" t="s">
        <v>238</v>
      </c>
      <c r="AN60" t="s">
        <v>174</v>
      </c>
      <c r="AP60" t="s">
        <v>516</v>
      </c>
    </row>
    <row r="61" spans="1:42" x14ac:dyDescent="0.2">
      <c r="A61">
        <v>1599</v>
      </c>
      <c r="H61">
        <v>3</v>
      </c>
      <c r="R61">
        <v>24</v>
      </c>
      <c r="T61" t="s">
        <v>368</v>
      </c>
      <c r="AJ61">
        <v>1</v>
      </c>
      <c r="AM61" t="s">
        <v>238</v>
      </c>
      <c r="AN61" t="s">
        <v>174</v>
      </c>
      <c r="AP61" t="s">
        <v>517</v>
      </c>
    </row>
    <row r="62" spans="1:42" x14ac:dyDescent="0.2">
      <c r="A62">
        <v>1600</v>
      </c>
      <c r="H62">
        <v>3</v>
      </c>
      <c r="I62" t="s">
        <v>742</v>
      </c>
      <c r="J62" t="s">
        <v>746</v>
      </c>
      <c r="Q62" t="s">
        <v>735</v>
      </c>
      <c r="R62">
        <v>24</v>
      </c>
      <c r="S62">
        <v>1</v>
      </c>
      <c r="T62" t="s">
        <v>367</v>
      </c>
      <c r="U62" t="s">
        <v>9</v>
      </c>
      <c r="V62" t="s">
        <v>183</v>
      </c>
      <c r="W62" t="s">
        <v>79</v>
      </c>
      <c r="X62" t="s">
        <v>595</v>
      </c>
      <c r="Y62" t="s">
        <v>631</v>
      </c>
      <c r="AA62" t="s">
        <v>595</v>
      </c>
      <c r="AF62" t="s">
        <v>736</v>
      </c>
      <c r="AJ62">
        <v>1</v>
      </c>
      <c r="AM62" t="s">
        <v>9</v>
      </c>
      <c r="AN62" t="s">
        <v>183</v>
      </c>
      <c r="AP62" t="s">
        <v>517</v>
      </c>
    </row>
    <row r="63" spans="1:42" x14ac:dyDescent="0.2">
      <c r="A63">
        <v>1600</v>
      </c>
      <c r="H63">
        <v>3</v>
      </c>
      <c r="R63">
        <v>91</v>
      </c>
      <c r="S63">
        <v>1</v>
      </c>
      <c r="T63" t="s">
        <v>367</v>
      </c>
      <c r="Y63" t="s">
        <v>602</v>
      </c>
      <c r="AA63" t="s">
        <v>595</v>
      </c>
      <c r="AJ63">
        <v>1</v>
      </c>
      <c r="AM63" t="s">
        <v>9</v>
      </c>
      <c r="AN63" t="s">
        <v>183</v>
      </c>
      <c r="AP63" t="s">
        <v>517</v>
      </c>
    </row>
    <row r="64" spans="1:42" x14ac:dyDescent="0.2">
      <c r="A64">
        <v>1600</v>
      </c>
      <c r="H64">
        <v>3</v>
      </c>
      <c r="R64">
        <v>18</v>
      </c>
      <c r="T64" t="s">
        <v>368</v>
      </c>
      <c r="AJ64">
        <v>1</v>
      </c>
      <c r="AM64" t="s">
        <v>9</v>
      </c>
      <c r="AN64" t="s">
        <v>183</v>
      </c>
      <c r="AP64" t="s">
        <v>516</v>
      </c>
    </row>
    <row r="65" spans="1:42" x14ac:dyDescent="0.2">
      <c r="A65">
        <v>1601</v>
      </c>
      <c r="B65">
        <v>248</v>
      </c>
      <c r="H65">
        <v>3</v>
      </c>
      <c r="I65" t="s">
        <v>742</v>
      </c>
      <c r="J65" t="s">
        <v>754</v>
      </c>
      <c r="Q65" t="s">
        <v>735</v>
      </c>
      <c r="R65">
        <v>84</v>
      </c>
      <c r="S65">
        <v>1</v>
      </c>
      <c r="T65" t="s">
        <v>367</v>
      </c>
      <c r="U65" t="s">
        <v>10</v>
      </c>
      <c r="V65" t="s">
        <v>175</v>
      </c>
      <c r="W65" t="s">
        <v>139</v>
      </c>
      <c r="AF65" t="s">
        <v>736</v>
      </c>
      <c r="AM65" t="s">
        <v>10</v>
      </c>
      <c r="AN65" t="s">
        <v>175</v>
      </c>
      <c r="AP65" t="s">
        <v>516</v>
      </c>
    </row>
    <row r="66" spans="1:42" x14ac:dyDescent="0.2">
      <c r="A66">
        <v>1602</v>
      </c>
      <c r="B66">
        <v>248</v>
      </c>
      <c r="H66">
        <v>3</v>
      </c>
      <c r="I66" t="s">
        <v>742</v>
      </c>
      <c r="J66" t="s">
        <v>754</v>
      </c>
      <c r="K66" t="s">
        <v>742</v>
      </c>
      <c r="L66" t="s">
        <v>413</v>
      </c>
      <c r="Q66" t="s">
        <v>735</v>
      </c>
      <c r="R66">
        <v>84</v>
      </c>
      <c r="S66">
        <v>1</v>
      </c>
      <c r="T66" t="s">
        <v>367</v>
      </c>
      <c r="U66" t="s">
        <v>11</v>
      </c>
      <c r="V66" t="s">
        <v>177</v>
      </c>
      <c r="W66" t="s">
        <v>39</v>
      </c>
      <c r="AF66" t="s">
        <v>736</v>
      </c>
      <c r="AM66" t="s">
        <v>11</v>
      </c>
      <c r="AN66" t="s">
        <v>177</v>
      </c>
      <c r="AP66" t="s">
        <v>756</v>
      </c>
    </row>
  </sheetData>
  <conditionalFormatting sqref="A25:AJ25">
    <cfRule type="expression" dxfId="7" priority="1" stopIfTrue="1">
      <formula>$A25&lt;$A26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2647B2-7444-B245-A004-A349BFD42DF6}">
  <dimension ref="A1:C72"/>
  <sheetViews>
    <sheetView workbookViewId="0">
      <selection activeCell="A7" sqref="A7"/>
    </sheetView>
  </sheetViews>
  <sheetFormatPr baseColWidth="10" defaultRowHeight="16" x14ac:dyDescent="0.2"/>
  <cols>
    <col min="1" max="1" width="57.6640625" customWidth="1"/>
    <col min="3" max="3" width="18.83203125" customWidth="1"/>
  </cols>
  <sheetData>
    <row r="1" spans="1:3" ht="17" x14ac:dyDescent="0.2">
      <c r="A1" s="30" t="s">
        <v>356</v>
      </c>
      <c r="C1" s="33" t="s">
        <v>638</v>
      </c>
    </row>
    <row r="2" spans="1:3" ht="17" x14ac:dyDescent="0.2">
      <c r="A2" s="31" t="s">
        <v>357</v>
      </c>
      <c r="C2" s="33" t="s">
        <v>525</v>
      </c>
    </row>
    <row r="3" spans="1:3" ht="17" x14ac:dyDescent="0.2">
      <c r="A3" s="31" t="s">
        <v>358</v>
      </c>
      <c r="C3" s="33" t="s">
        <v>526</v>
      </c>
    </row>
    <row r="4" spans="1:3" ht="17" x14ac:dyDescent="0.2">
      <c r="A4" s="31" t="s">
        <v>256</v>
      </c>
      <c r="C4" s="33" t="s">
        <v>536</v>
      </c>
    </row>
    <row r="5" spans="1:3" x14ac:dyDescent="0.2">
      <c r="A5" s="32" t="s">
        <v>245</v>
      </c>
    </row>
    <row r="6" spans="1:3" x14ac:dyDescent="0.2">
      <c r="A6" s="31" t="s">
        <v>370</v>
      </c>
    </row>
    <row r="7" spans="1:3" x14ac:dyDescent="0.2">
      <c r="A7" s="30" t="s">
        <v>397</v>
      </c>
    </row>
    <row r="8" spans="1:3" x14ac:dyDescent="0.2">
      <c r="A8" s="31" t="s">
        <v>396</v>
      </c>
    </row>
    <row r="9" spans="1:3" x14ac:dyDescent="0.2">
      <c r="A9" s="31" t="s">
        <v>403</v>
      </c>
    </row>
    <row r="10" spans="1:3" x14ac:dyDescent="0.2">
      <c r="A10" s="31" t="s">
        <v>394</v>
      </c>
    </row>
    <row r="11" spans="1:3" x14ac:dyDescent="0.2">
      <c r="A11" s="31" t="s">
        <v>395</v>
      </c>
    </row>
    <row r="12" spans="1:3" x14ac:dyDescent="0.2">
      <c r="A12" s="31" t="s">
        <v>459</v>
      </c>
    </row>
    <row r="13" spans="1:3" x14ac:dyDescent="0.2">
      <c r="A13" s="31" t="s">
        <v>649</v>
      </c>
    </row>
    <row r="14" spans="1:3" x14ac:dyDescent="0.2">
      <c r="A14" s="31" t="s">
        <v>460</v>
      </c>
    </row>
    <row r="15" spans="1:3" x14ac:dyDescent="0.2">
      <c r="A15" s="31" t="s">
        <v>461</v>
      </c>
    </row>
    <row r="16" spans="1:3" x14ac:dyDescent="0.2">
      <c r="A16" s="31" t="s">
        <v>650</v>
      </c>
    </row>
    <row r="17" spans="1:1" x14ac:dyDescent="0.2">
      <c r="A17" s="31" t="s">
        <v>457</v>
      </c>
    </row>
    <row r="18" spans="1:1" x14ac:dyDescent="0.2">
      <c r="A18" s="31" t="s">
        <v>458</v>
      </c>
    </row>
    <row r="19" spans="1:1" x14ac:dyDescent="0.2">
      <c r="A19" s="31" t="s">
        <v>462</v>
      </c>
    </row>
    <row r="20" spans="1:1" x14ac:dyDescent="0.2">
      <c r="A20" s="31" t="s">
        <v>463</v>
      </c>
    </row>
    <row r="21" spans="1:1" x14ac:dyDescent="0.2">
      <c r="A21" s="31" t="s">
        <v>464</v>
      </c>
    </row>
    <row r="22" spans="1:1" x14ac:dyDescent="0.2">
      <c r="A22" s="31" t="s">
        <v>465</v>
      </c>
    </row>
    <row r="23" spans="1:1" x14ac:dyDescent="0.2">
      <c r="A23" s="31" t="s">
        <v>466</v>
      </c>
    </row>
    <row r="24" spans="1:1" x14ac:dyDescent="0.2">
      <c r="A24" s="31" t="s">
        <v>466</v>
      </c>
    </row>
    <row r="25" spans="1:1" x14ac:dyDescent="0.2">
      <c r="A25" s="31" t="s">
        <v>467</v>
      </c>
    </row>
    <row r="26" spans="1:1" x14ac:dyDescent="0.2">
      <c r="A26" s="31" t="s">
        <v>468</v>
      </c>
    </row>
    <row r="27" spans="1:1" x14ac:dyDescent="0.2">
      <c r="A27" s="31" t="s">
        <v>469</v>
      </c>
    </row>
    <row r="28" spans="1:1" x14ac:dyDescent="0.2">
      <c r="A28" s="31" t="s">
        <v>470</v>
      </c>
    </row>
    <row r="29" spans="1:1" x14ac:dyDescent="0.2">
      <c r="A29" s="31" t="s">
        <v>471</v>
      </c>
    </row>
    <row r="30" spans="1:1" x14ac:dyDescent="0.2">
      <c r="A30" s="31" t="s">
        <v>473</v>
      </c>
    </row>
    <row r="31" spans="1:1" x14ac:dyDescent="0.2">
      <c r="A31" s="31" t="s">
        <v>472</v>
      </c>
    </row>
    <row r="32" spans="1:1" x14ac:dyDescent="0.2">
      <c r="A32" s="31" t="s">
        <v>474</v>
      </c>
    </row>
    <row r="33" spans="1:1" x14ac:dyDescent="0.2">
      <c r="A33" s="31" t="s">
        <v>475</v>
      </c>
    </row>
    <row r="34" spans="1:1" x14ac:dyDescent="0.2">
      <c r="A34" s="31" t="s">
        <v>476</v>
      </c>
    </row>
    <row r="35" spans="1:1" x14ac:dyDescent="0.2">
      <c r="A35" s="31" t="s">
        <v>477</v>
      </c>
    </row>
    <row r="36" spans="1:1" x14ac:dyDescent="0.2">
      <c r="A36" s="31" t="s">
        <v>478</v>
      </c>
    </row>
    <row r="37" spans="1:1" x14ac:dyDescent="0.2">
      <c r="A37" s="31" t="s">
        <v>479</v>
      </c>
    </row>
    <row r="38" spans="1:1" x14ac:dyDescent="0.2">
      <c r="A38" s="31" t="s">
        <v>480</v>
      </c>
    </row>
    <row r="39" spans="1:1" x14ac:dyDescent="0.2">
      <c r="A39" s="31" t="s">
        <v>481</v>
      </c>
    </row>
    <row r="40" spans="1:1" x14ac:dyDescent="0.2">
      <c r="A40" s="31" t="s">
        <v>482</v>
      </c>
    </row>
    <row r="41" spans="1:1" x14ac:dyDescent="0.2">
      <c r="A41" s="31" t="s">
        <v>483</v>
      </c>
    </row>
    <row r="42" spans="1:1" x14ac:dyDescent="0.2">
      <c r="A42" s="31" t="s">
        <v>484</v>
      </c>
    </row>
    <row r="43" spans="1:1" x14ac:dyDescent="0.2">
      <c r="A43" s="31" t="s">
        <v>485</v>
      </c>
    </row>
    <row r="44" spans="1:1" x14ac:dyDescent="0.2">
      <c r="A44" s="31" t="s">
        <v>486</v>
      </c>
    </row>
    <row r="45" spans="1:1" x14ac:dyDescent="0.2">
      <c r="A45" s="31" t="s">
        <v>487</v>
      </c>
    </row>
    <row r="46" spans="1:1" x14ac:dyDescent="0.2">
      <c r="A46" s="31" t="s">
        <v>488</v>
      </c>
    </row>
    <row r="47" spans="1:1" x14ac:dyDescent="0.2">
      <c r="A47" s="31" t="s">
        <v>489</v>
      </c>
    </row>
    <row r="48" spans="1:1" x14ac:dyDescent="0.2">
      <c r="A48" s="31" t="s">
        <v>490</v>
      </c>
    </row>
    <row r="49" spans="1:1" x14ac:dyDescent="0.2">
      <c r="A49" s="31" t="s">
        <v>491</v>
      </c>
    </row>
    <row r="50" spans="1:1" x14ac:dyDescent="0.2">
      <c r="A50" s="31" t="s">
        <v>492</v>
      </c>
    </row>
    <row r="51" spans="1:1" x14ac:dyDescent="0.2">
      <c r="A51" s="31" t="s">
        <v>493</v>
      </c>
    </row>
    <row r="52" spans="1:1" x14ac:dyDescent="0.2">
      <c r="A52" s="31" t="s">
        <v>494</v>
      </c>
    </row>
    <row r="53" spans="1:1" x14ac:dyDescent="0.2">
      <c r="A53" s="31" t="s">
        <v>495</v>
      </c>
    </row>
    <row r="54" spans="1:1" x14ac:dyDescent="0.2">
      <c r="A54" s="31" t="s">
        <v>497</v>
      </c>
    </row>
    <row r="55" spans="1:1" x14ac:dyDescent="0.2">
      <c r="A55" s="31" t="s">
        <v>496</v>
      </c>
    </row>
    <row r="56" spans="1:1" x14ac:dyDescent="0.2">
      <c r="A56" s="31" t="s">
        <v>498</v>
      </c>
    </row>
    <row r="57" spans="1:1" x14ac:dyDescent="0.2">
      <c r="A57" s="31" t="s">
        <v>499</v>
      </c>
    </row>
    <row r="58" spans="1:1" x14ac:dyDescent="0.2">
      <c r="A58" s="31" t="s">
        <v>500</v>
      </c>
    </row>
    <row r="59" spans="1:1" x14ac:dyDescent="0.2">
      <c r="A59" s="31" t="s">
        <v>501</v>
      </c>
    </row>
    <row r="60" spans="1:1" x14ac:dyDescent="0.2">
      <c r="A60" s="31" t="s">
        <v>502</v>
      </c>
    </row>
    <row r="61" spans="1:1" x14ac:dyDescent="0.2">
      <c r="A61" s="31" t="s">
        <v>503</v>
      </c>
    </row>
    <row r="62" spans="1:1" x14ac:dyDescent="0.2">
      <c r="A62" s="31" t="s">
        <v>504</v>
      </c>
    </row>
    <row r="63" spans="1:1" x14ac:dyDescent="0.2">
      <c r="A63" s="31" t="s">
        <v>505</v>
      </c>
    </row>
    <row r="64" spans="1:1" x14ac:dyDescent="0.2">
      <c r="A64" s="31" t="s">
        <v>506</v>
      </c>
    </row>
    <row r="65" spans="1:1" x14ac:dyDescent="0.2">
      <c r="A65" s="31" t="s">
        <v>507</v>
      </c>
    </row>
    <row r="66" spans="1:1" x14ac:dyDescent="0.2">
      <c r="A66" s="31" t="s">
        <v>508</v>
      </c>
    </row>
    <row r="67" spans="1:1" x14ac:dyDescent="0.2">
      <c r="A67" s="31" t="s">
        <v>509</v>
      </c>
    </row>
    <row r="68" spans="1:1" x14ac:dyDescent="0.2">
      <c r="A68" s="31" t="s">
        <v>510</v>
      </c>
    </row>
    <row r="69" spans="1:1" x14ac:dyDescent="0.2">
      <c r="A69" s="31" t="s">
        <v>511</v>
      </c>
    </row>
    <row r="70" spans="1:1" x14ac:dyDescent="0.2">
      <c r="A70" s="31" t="s">
        <v>513</v>
      </c>
    </row>
    <row r="71" spans="1:1" x14ac:dyDescent="0.2">
      <c r="A71" s="31" t="s">
        <v>512</v>
      </c>
    </row>
    <row r="72" spans="1:1" x14ac:dyDescent="0.2">
      <c r="A72" s="31" t="s">
        <v>514</v>
      </c>
    </row>
  </sheetData>
  <conditionalFormatting sqref="A1:A72">
    <cfRule type="expression" dxfId="6" priority="2" stopIfTrue="1">
      <formula>$A1&lt;$A2</formula>
    </cfRule>
  </conditionalFormatting>
  <conditionalFormatting sqref="C1:C4">
    <cfRule type="expression" dxfId="5" priority="1" stopIfTrue="1">
      <formula>$A1&lt;$A2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29BB87-8E62-5845-9DA4-9A73CBFF24F9}">
  <dimension ref="A1:BU147"/>
  <sheetViews>
    <sheetView topLeftCell="E1" workbookViewId="0">
      <pane ySplit="1" topLeftCell="A9" activePane="bottomLeft" state="frozen"/>
      <selection pane="bottomLeft" activeCell="P48" sqref="P48"/>
    </sheetView>
  </sheetViews>
  <sheetFormatPr baseColWidth="10" defaultRowHeight="16" x14ac:dyDescent="0.2"/>
  <cols>
    <col min="1" max="1" width="20.6640625" style="26" bestFit="1" customWidth="1"/>
    <col min="2" max="4" width="20" customWidth="1"/>
    <col min="5" max="5" width="35.1640625" bestFit="1" customWidth="1"/>
    <col min="6" max="7" width="12" customWidth="1"/>
    <col min="8" max="8" width="35.1640625" customWidth="1"/>
    <col min="9" max="9" width="3.5" customWidth="1"/>
    <col min="10" max="10" width="21" style="26" bestFit="1" customWidth="1"/>
    <col min="11" max="17" width="26.6640625" customWidth="1"/>
    <col min="18" max="18" width="4" customWidth="1"/>
    <col min="19" max="19" width="32.83203125" style="26" bestFit="1" customWidth="1"/>
    <col min="21" max="22" width="24" customWidth="1"/>
    <col min="23" max="26" width="21" customWidth="1"/>
    <col min="27" max="27" width="4.5" customWidth="1"/>
    <col min="28" max="28" width="36.6640625" style="26" bestFit="1" customWidth="1"/>
    <col min="36" max="36" width="4" customWidth="1"/>
    <col min="37" max="37" width="39" style="26" bestFit="1" customWidth="1"/>
    <col min="45" max="45" width="4.5" customWidth="1"/>
    <col min="46" max="46" width="9.83203125" style="26" bestFit="1" customWidth="1"/>
    <col min="52" max="52" width="10.83203125" style="26"/>
    <col min="58" max="58" width="20.1640625" style="26" bestFit="1" customWidth="1"/>
    <col min="65" max="65" width="17.1640625" style="26" bestFit="1" customWidth="1"/>
    <col min="70" max="70" width="33.33203125" style="26" bestFit="1" customWidth="1"/>
  </cols>
  <sheetData>
    <row r="1" spans="1:73" s="24" customFormat="1" x14ac:dyDescent="0.2">
      <c r="A1" s="25" t="s">
        <v>1</v>
      </c>
      <c r="B1" s="24" t="s">
        <v>697</v>
      </c>
      <c r="C1" s="24" t="s">
        <v>698</v>
      </c>
      <c r="D1" s="24" t="s">
        <v>700</v>
      </c>
      <c r="E1" s="24" t="s">
        <v>699</v>
      </c>
      <c r="F1" s="24" t="s">
        <v>706</v>
      </c>
      <c r="G1" s="24" t="s">
        <v>707</v>
      </c>
      <c r="J1" s="25" t="s">
        <v>50</v>
      </c>
      <c r="K1" s="24" t="s">
        <v>697</v>
      </c>
      <c r="L1" s="24" t="s">
        <v>698</v>
      </c>
      <c r="M1" s="24" t="s">
        <v>700</v>
      </c>
      <c r="N1" s="24" t="s">
        <v>699</v>
      </c>
      <c r="O1" s="24" t="s">
        <v>706</v>
      </c>
      <c r="P1" s="24" t="s">
        <v>707</v>
      </c>
      <c r="S1" s="25" t="s">
        <v>142</v>
      </c>
      <c r="T1" s="24" t="s">
        <v>697</v>
      </c>
      <c r="U1" s="24" t="s">
        <v>698</v>
      </c>
      <c r="V1" s="24" t="s">
        <v>700</v>
      </c>
      <c r="W1" s="24" t="s">
        <v>699</v>
      </c>
      <c r="X1" s="24" t="s">
        <v>706</v>
      </c>
      <c r="Y1" s="24" t="s">
        <v>707</v>
      </c>
      <c r="AC1" s="24" t="s">
        <v>697</v>
      </c>
      <c r="AD1" s="24" t="s">
        <v>698</v>
      </c>
      <c r="AE1" s="24" t="s">
        <v>700</v>
      </c>
      <c r="AF1" s="24" t="s">
        <v>699</v>
      </c>
      <c r="AG1" s="24" t="s">
        <v>706</v>
      </c>
      <c r="AH1" s="24" t="s">
        <v>707</v>
      </c>
      <c r="AL1" s="24" t="s">
        <v>697</v>
      </c>
      <c r="AM1" s="24" t="s">
        <v>698</v>
      </c>
      <c r="AN1" s="24" t="s">
        <v>700</v>
      </c>
      <c r="AO1" s="24" t="s">
        <v>699</v>
      </c>
      <c r="AP1" s="24" t="s">
        <v>699</v>
      </c>
      <c r="AQ1" s="24" t="s">
        <v>706</v>
      </c>
      <c r="AR1" s="24" t="s">
        <v>707</v>
      </c>
      <c r="AT1" s="25" t="s">
        <v>525</v>
      </c>
      <c r="AU1" s="24" t="s">
        <v>697</v>
      </c>
      <c r="AV1" s="24" t="s">
        <v>698</v>
      </c>
      <c r="AW1" s="24" t="s">
        <v>700</v>
      </c>
      <c r="AX1" s="24" t="s">
        <v>699</v>
      </c>
      <c r="AZ1" s="25" t="s">
        <v>526</v>
      </c>
      <c r="BA1" s="24" t="s">
        <v>697</v>
      </c>
      <c r="BB1" s="24" t="s">
        <v>698</v>
      </c>
      <c r="BC1" s="24" t="s">
        <v>700</v>
      </c>
      <c r="BD1" s="24" t="s">
        <v>699</v>
      </c>
      <c r="BF1" s="25" t="s">
        <v>597</v>
      </c>
      <c r="BG1" s="24" t="s">
        <v>697</v>
      </c>
      <c r="BH1" s="24" t="s">
        <v>698</v>
      </c>
      <c r="BI1" s="24" t="s">
        <v>700</v>
      </c>
      <c r="BJ1" s="24" t="s">
        <v>699</v>
      </c>
      <c r="BM1" s="25" t="s">
        <v>343</v>
      </c>
      <c r="BN1" s="24" t="s">
        <v>697</v>
      </c>
      <c r="BO1" s="24" t="s">
        <v>698</v>
      </c>
      <c r="BP1" s="24" t="s">
        <v>699</v>
      </c>
      <c r="BR1" s="25" t="s">
        <v>344</v>
      </c>
      <c r="BS1" s="24" t="s">
        <v>697</v>
      </c>
      <c r="BT1" s="24" t="s">
        <v>698</v>
      </c>
      <c r="BU1" s="24" t="s">
        <v>699</v>
      </c>
    </row>
    <row r="2" spans="1:73" x14ac:dyDescent="0.2">
      <c r="A2" s="26" t="s">
        <v>5</v>
      </c>
      <c r="J2" s="26" t="s">
        <v>5</v>
      </c>
      <c r="S2" s="26" t="s">
        <v>171</v>
      </c>
      <c r="AB2" s="25" t="s">
        <v>516</v>
      </c>
      <c r="AH2" t="s">
        <v>722</v>
      </c>
      <c r="AK2" s="25" t="s">
        <v>517</v>
      </c>
      <c r="AR2" t="s">
        <v>722</v>
      </c>
      <c r="AT2" s="26" t="s">
        <v>531</v>
      </c>
      <c r="AZ2" s="26" t="s">
        <v>528</v>
      </c>
      <c r="BF2" s="26" t="s">
        <v>639</v>
      </c>
      <c r="BM2" s="26" t="s">
        <v>284</v>
      </c>
      <c r="BR2" s="26" t="s">
        <v>251</v>
      </c>
    </row>
    <row r="3" spans="1:73" x14ac:dyDescent="0.2">
      <c r="A3" s="26" t="s">
        <v>6</v>
      </c>
      <c r="E3" t="s">
        <v>15</v>
      </c>
      <c r="J3" s="26" t="s">
        <v>17</v>
      </c>
      <c r="S3" s="26" t="s">
        <v>176</v>
      </c>
      <c r="X3" t="s">
        <v>595</v>
      </c>
      <c r="AB3" s="26" t="s">
        <v>568</v>
      </c>
      <c r="AK3" s="26" t="s">
        <v>601</v>
      </c>
      <c r="AT3" s="26" t="s">
        <v>532</v>
      </c>
      <c r="AZ3" s="26" t="s">
        <v>527</v>
      </c>
      <c r="BF3" s="26" t="s">
        <v>640</v>
      </c>
      <c r="BM3" s="26" t="s">
        <v>286</v>
      </c>
      <c r="BR3" s="26" t="s">
        <v>291</v>
      </c>
    </row>
    <row r="4" spans="1:73" x14ac:dyDescent="0.2">
      <c r="A4" s="26" t="s">
        <v>7</v>
      </c>
      <c r="J4" s="26" t="s">
        <v>18</v>
      </c>
      <c r="S4" s="26" t="s">
        <v>186</v>
      </c>
      <c r="X4" t="s">
        <v>594</v>
      </c>
      <c r="AB4" s="26" t="s">
        <v>608</v>
      </c>
      <c r="AK4" s="26" t="s">
        <v>631</v>
      </c>
      <c r="AT4" s="26" t="s">
        <v>533</v>
      </c>
      <c r="AZ4" s="26" t="s">
        <v>154</v>
      </c>
      <c r="BF4" s="26" t="s">
        <v>641</v>
      </c>
      <c r="BM4" s="26" t="s">
        <v>287</v>
      </c>
      <c r="BR4" s="26" t="s">
        <v>292</v>
      </c>
    </row>
    <row r="5" spans="1:73" x14ac:dyDescent="0.2">
      <c r="A5" s="26" t="s">
        <v>8</v>
      </c>
      <c r="E5" t="s">
        <v>6</v>
      </c>
      <c r="J5" s="26" t="s">
        <v>19</v>
      </c>
      <c r="S5" s="26" t="s">
        <v>195</v>
      </c>
      <c r="X5" t="s">
        <v>595</v>
      </c>
      <c r="AB5" s="26" t="s">
        <v>653</v>
      </c>
      <c r="AK5" s="26" t="s">
        <v>662</v>
      </c>
      <c r="AT5" s="26" t="s">
        <v>530</v>
      </c>
      <c r="AZ5" s="26" t="s">
        <v>598</v>
      </c>
      <c r="BF5" s="26" t="s">
        <v>642</v>
      </c>
      <c r="BM5" s="26" t="s">
        <v>288</v>
      </c>
      <c r="BR5" s="26" t="s">
        <v>293</v>
      </c>
    </row>
    <row r="6" spans="1:73" x14ac:dyDescent="0.2">
      <c r="A6" s="26" t="s">
        <v>9</v>
      </c>
      <c r="E6" t="s">
        <v>705</v>
      </c>
      <c r="J6" s="27" t="s">
        <v>20</v>
      </c>
      <c r="S6" s="26" t="s">
        <v>200</v>
      </c>
      <c r="X6" t="s">
        <v>595</v>
      </c>
      <c r="AB6" s="26" t="s">
        <v>663</v>
      </c>
      <c r="AK6" s="26" t="s">
        <v>609</v>
      </c>
      <c r="AZ6" s="26" t="s">
        <v>574</v>
      </c>
      <c r="BF6" s="26" t="s">
        <v>643</v>
      </c>
      <c r="BM6" s="26" t="s">
        <v>289</v>
      </c>
      <c r="BR6" s="26" t="s">
        <v>294</v>
      </c>
    </row>
    <row r="7" spans="1:73" x14ac:dyDescent="0.2">
      <c r="A7" s="26" t="s">
        <v>238</v>
      </c>
      <c r="E7" t="s">
        <v>701</v>
      </c>
      <c r="J7" s="26" t="s">
        <v>21</v>
      </c>
      <c r="S7" s="26" t="s">
        <v>202</v>
      </c>
      <c r="X7" t="s">
        <v>594</v>
      </c>
      <c r="AB7" s="26" t="s">
        <v>664</v>
      </c>
      <c r="AK7" s="26" t="s">
        <v>665</v>
      </c>
      <c r="AZ7" s="26" t="s">
        <v>575</v>
      </c>
      <c r="BF7" s="26" t="s">
        <v>644</v>
      </c>
      <c r="BM7" s="26" t="s">
        <v>290</v>
      </c>
      <c r="BR7" s="26" t="s">
        <v>295</v>
      </c>
    </row>
    <row r="8" spans="1:73" x14ac:dyDescent="0.2">
      <c r="A8" s="26" t="s">
        <v>10</v>
      </c>
      <c r="J8" s="26" t="s">
        <v>22</v>
      </c>
      <c r="S8" s="26" t="s">
        <v>203</v>
      </c>
      <c r="X8" t="s">
        <v>595</v>
      </c>
      <c r="AB8" s="26" t="s">
        <v>630</v>
      </c>
      <c r="AK8" s="26" t="s">
        <v>634</v>
      </c>
      <c r="AZ8" s="26" t="s">
        <v>577</v>
      </c>
      <c r="BF8" s="26" t="s">
        <v>645</v>
      </c>
      <c r="BM8" s="26" t="s">
        <v>393</v>
      </c>
      <c r="BR8" s="26" t="s">
        <v>296</v>
      </c>
    </row>
    <row r="9" spans="1:73" x14ac:dyDescent="0.2">
      <c r="A9" s="26" t="s">
        <v>237</v>
      </c>
      <c r="J9" s="26" t="s">
        <v>23</v>
      </c>
      <c r="AB9" s="26" t="s">
        <v>633</v>
      </c>
      <c r="AK9" s="26" t="s">
        <v>637</v>
      </c>
      <c r="AZ9" s="26" t="s">
        <v>578</v>
      </c>
      <c r="BF9" s="26" t="s">
        <v>646</v>
      </c>
      <c r="BM9" s="26" t="s">
        <v>519</v>
      </c>
      <c r="BR9" s="26" t="s">
        <v>285</v>
      </c>
    </row>
    <row r="10" spans="1:73" x14ac:dyDescent="0.2">
      <c r="A10" s="26" t="s">
        <v>11</v>
      </c>
      <c r="E10" t="s">
        <v>702</v>
      </c>
      <c r="J10" s="26" t="s">
        <v>24</v>
      </c>
      <c r="S10" s="26" t="s">
        <v>177</v>
      </c>
      <c r="AB10" s="26" t="s">
        <v>627</v>
      </c>
      <c r="AK10" s="26" t="s">
        <v>625</v>
      </c>
      <c r="AZ10" s="26" t="s">
        <v>599</v>
      </c>
      <c r="BM10" s="26" t="s">
        <v>287</v>
      </c>
      <c r="BR10" s="26" t="s">
        <v>297</v>
      </c>
    </row>
    <row r="11" spans="1:73" x14ac:dyDescent="0.2">
      <c r="A11" s="26" t="s">
        <v>12</v>
      </c>
      <c r="J11" s="28" t="s">
        <v>25</v>
      </c>
      <c r="S11" s="26" t="s">
        <v>187</v>
      </c>
      <c r="AB11" s="26" t="s">
        <v>622</v>
      </c>
      <c r="AK11" s="26" t="s">
        <v>666</v>
      </c>
      <c r="BR11" s="26" t="s">
        <v>298</v>
      </c>
    </row>
    <row r="12" spans="1:73" x14ac:dyDescent="0.2">
      <c r="A12" s="26" t="s">
        <v>13</v>
      </c>
      <c r="J12" s="26" t="s">
        <v>26</v>
      </c>
      <c r="S12" s="26" t="s">
        <v>196</v>
      </c>
      <c r="AB12" s="26" t="s">
        <v>667</v>
      </c>
      <c r="AK12" s="26" t="s">
        <v>626</v>
      </c>
      <c r="BR12" s="26" t="s">
        <v>299</v>
      </c>
    </row>
    <row r="13" spans="1:73" x14ac:dyDescent="0.2">
      <c r="A13" s="26" t="s">
        <v>14</v>
      </c>
      <c r="J13" s="26" t="s">
        <v>27</v>
      </c>
      <c r="S13" s="26" t="s">
        <v>402</v>
      </c>
      <c r="AB13" s="26" t="s">
        <v>668</v>
      </c>
      <c r="AK13" s="26" t="s">
        <v>669</v>
      </c>
      <c r="BR13" s="26" t="s">
        <v>300</v>
      </c>
    </row>
    <row r="14" spans="1:73" x14ac:dyDescent="0.2">
      <c r="A14" s="26" t="s">
        <v>15</v>
      </c>
      <c r="E14" t="s">
        <v>703</v>
      </c>
      <c r="J14" s="26" t="s">
        <v>28</v>
      </c>
      <c r="AB14" s="26" t="s">
        <v>624</v>
      </c>
      <c r="AK14" s="26" t="s">
        <v>670</v>
      </c>
      <c r="BR14" s="26" t="s">
        <v>301</v>
      </c>
    </row>
    <row r="15" spans="1:73" x14ac:dyDescent="0.2">
      <c r="A15" s="26" t="s">
        <v>16</v>
      </c>
      <c r="J15" s="26" t="s">
        <v>29</v>
      </c>
      <c r="S15" s="26" t="s">
        <v>179</v>
      </c>
      <c r="AB15" s="26" t="s">
        <v>671</v>
      </c>
      <c r="AK15" s="26" t="s">
        <v>672</v>
      </c>
      <c r="BR15" s="26" t="s">
        <v>302</v>
      </c>
    </row>
    <row r="16" spans="1:73" x14ac:dyDescent="0.2">
      <c r="A16" s="26" t="s">
        <v>231</v>
      </c>
      <c r="E16" t="s">
        <v>704</v>
      </c>
      <c r="J16" s="26" t="s">
        <v>30</v>
      </c>
      <c r="S16" s="26" t="s">
        <v>189</v>
      </c>
      <c r="AB16" s="26" t="s">
        <v>629</v>
      </c>
      <c r="AK16" s="26" t="s">
        <v>647</v>
      </c>
      <c r="BR16" s="26" t="s">
        <v>303</v>
      </c>
    </row>
    <row r="17" spans="1:70" x14ac:dyDescent="0.2">
      <c r="A17" s="26" t="s">
        <v>241</v>
      </c>
      <c r="J17" s="26" t="s">
        <v>31</v>
      </c>
      <c r="S17" s="26" t="s">
        <v>384</v>
      </c>
      <c r="AB17" s="26" t="s">
        <v>570</v>
      </c>
      <c r="AK17" s="26" t="s">
        <v>602</v>
      </c>
      <c r="BR17" s="26" t="s">
        <v>304</v>
      </c>
    </row>
    <row r="18" spans="1:70" x14ac:dyDescent="0.2">
      <c r="A18" s="26" t="s">
        <v>230</v>
      </c>
      <c r="J18" s="26" t="s">
        <v>32</v>
      </c>
      <c r="AB18" s="26" t="s">
        <v>673</v>
      </c>
      <c r="AK18" s="26" t="s">
        <v>606</v>
      </c>
      <c r="BR18" s="26" t="s">
        <v>305</v>
      </c>
    </row>
    <row r="19" spans="1:70" x14ac:dyDescent="0.2">
      <c r="A19" s="26" t="s">
        <v>392</v>
      </c>
      <c r="J19" s="26" t="s">
        <v>33</v>
      </c>
      <c r="S19" s="26" t="s">
        <v>65</v>
      </c>
      <c r="X19" t="s">
        <v>720</v>
      </c>
      <c r="AB19" s="26" t="s">
        <v>674</v>
      </c>
      <c r="AK19" s="26" t="s">
        <v>605</v>
      </c>
      <c r="BR19" s="26" t="s">
        <v>306</v>
      </c>
    </row>
    <row r="20" spans="1:70" x14ac:dyDescent="0.2">
      <c r="A20" s="26" t="s">
        <v>393</v>
      </c>
      <c r="J20" s="26" t="s">
        <v>34</v>
      </c>
      <c r="S20" s="26" t="s">
        <v>66</v>
      </c>
      <c r="X20" t="s">
        <v>720</v>
      </c>
      <c r="AB20" s="26" t="s">
        <v>675</v>
      </c>
      <c r="AK20" s="26" t="s">
        <v>651</v>
      </c>
      <c r="BR20" s="26" t="s">
        <v>307</v>
      </c>
    </row>
    <row r="21" spans="1:70" x14ac:dyDescent="0.2">
      <c r="A21" s="26" t="s">
        <v>398</v>
      </c>
      <c r="J21" s="26" t="s">
        <v>35</v>
      </c>
      <c r="S21" s="26" t="s">
        <v>67</v>
      </c>
      <c r="X21" t="s">
        <v>720</v>
      </c>
      <c r="AB21" s="26" t="s">
        <v>676</v>
      </c>
      <c r="AK21" s="26" t="s">
        <v>572</v>
      </c>
      <c r="BR21" s="26" t="s">
        <v>308</v>
      </c>
    </row>
    <row r="22" spans="1:70" x14ac:dyDescent="0.2">
      <c r="A22" s="26" t="s">
        <v>287</v>
      </c>
      <c r="J22" s="26" t="s">
        <v>656</v>
      </c>
      <c r="S22" s="26" t="s">
        <v>68</v>
      </c>
      <c r="X22" t="s">
        <v>720</v>
      </c>
      <c r="AB22" s="26" t="s">
        <v>677</v>
      </c>
      <c r="AK22" s="26" t="s">
        <v>628</v>
      </c>
      <c r="BR22" s="26" t="s">
        <v>309</v>
      </c>
    </row>
    <row r="23" spans="1:70" x14ac:dyDescent="0.2">
      <c r="A23" s="26" t="s">
        <v>400</v>
      </c>
      <c r="J23" s="26" t="s">
        <v>657</v>
      </c>
      <c r="S23" s="26" t="s">
        <v>69</v>
      </c>
      <c r="X23" t="s">
        <v>720</v>
      </c>
      <c r="AB23" s="26" t="s">
        <v>678</v>
      </c>
      <c r="AK23" s="26" t="s">
        <v>679</v>
      </c>
      <c r="BR23" s="26" t="s">
        <v>310</v>
      </c>
    </row>
    <row r="24" spans="1:70" x14ac:dyDescent="0.2">
      <c r="A24" s="26" t="s">
        <v>417</v>
      </c>
      <c r="J24" s="26" t="s">
        <v>658</v>
      </c>
      <c r="S24" s="26" t="s">
        <v>371</v>
      </c>
      <c r="X24" t="s">
        <v>720</v>
      </c>
      <c r="AB24" s="26" t="s">
        <v>636</v>
      </c>
      <c r="AK24" s="26" t="s">
        <v>680</v>
      </c>
      <c r="BR24" s="26" t="s">
        <v>311</v>
      </c>
    </row>
    <row r="25" spans="1:70" x14ac:dyDescent="0.2">
      <c r="A25" s="26" t="s">
        <v>529</v>
      </c>
      <c r="J25" s="26" t="s">
        <v>10</v>
      </c>
      <c r="S25" s="26" t="s">
        <v>372</v>
      </c>
      <c r="X25" t="s">
        <v>720</v>
      </c>
      <c r="AB25" s="26" t="s">
        <v>648</v>
      </c>
      <c r="AK25" s="26" t="s">
        <v>681</v>
      </c>
      <c r="BR25" s="26" t="s">
        <v>312</v>
      </c>
    </row>
    <row r="26" spans="1:70" x14ac:dyDescent="0.2">
      <c r="J26" s="26" t="s">
        <v>36</v>
      </c>
      <c r="S26" s="26" t="s">
        <v>381</v>
      </c>
      <c r="X26" t="s">
        <v>720</v>
      </c>
      <c r="AB26" s="26" t="s">
        <v>654</v>
      </c>
      <c r="AK26" s="26" t="s">
        <v>682</v>
      </c>
      <c r="BR26" s="26" t="s">
        <v>313</v>
      </c>
    </row>
    <row r="27" spans="1:70" x14ac:dyDescent="0.2">
      <c r="J27" s="26" t="s">
        <v>37</v>
      </c>
      <c r="S27" s="26" t="s">
        <v>385</v>
      </c>
      <c r="X27" t="s">
        <v>720</v>
      </c>
      <c r="AB27" s="26" t="s">
        <v>619</v>
      </c>
      <c r="AK27" s="26" t="s">
        <v>683</v>
      </c>
      <c r="BR27" s="26" t="s">
        <v>314</v>
      </c>
    </row>
    <row r="28" spans="1:70" x14ac:dyDescent="0.2">
      <c r="J28" s="26" t="s">
        <v>38</v>
      </c>
      <c r="S28" s="26" t="s">
        <v>444</v>
      </c>
      <c r="X28" t="s">
        <v>720</v>
      </c>
      <c r="AB28" s="26" t="s">
        <v>684</v>
      </c>
      <c r="AK28" s="26" t="s">
        <v>635</v>
      </c>
      <c r="BR28" s="26" t="s">
        <v>315</v>
      </c>
    </row>
    <row r="29" spans="1:70" x14ac:dyDescent="0.2">
      <c r="J29" s="26" t="s">
        <v>39</v>
      </c>
      <c r="S29" s="26" t="s">
        <v>445</v>
      </c>
      <c r="X29" t="s">
        <v>720</v>
      </c>
      <c r="AB29" s="26" t="s">
        <v>569</v>
      </c>
      <c r="AK29" s="26" t="s">
        <v>685</v>
      </c>
      <c r="BR29" s="26" t="s">
        <v>316</v>
      </c>
    </row>
    <row r="30" spans="1:70" x14ac:dyDescent="0.2">
      <c r="J30" s="26" t="s">
        <v>40</v>
      </c>
      <c r="S30" s="28" t="s">
        <v>588</v>
      </c>
      <c r="X30" t="s">
        <v>720</v>
      </c>
      <c r="AB30" s="26" t="s">
        <v>603</v>
      </c>
      <c r="AK30" s="26" t="s">
        <v>686</v>
      </c>
      <c r="BR30" s="26" t="s">
        <v>317</v>
      </c>
    </row>
    <row r="31" spans="1:70" x14ac:dyDescent="0.2">
      <c r="J31" s="26" t="s">
        <v>41</v>
      </c>
      <c r="S31" s="28" t="s">
        <v>589</v>
      </c>
      <c r="X31" t="s">
        <v>720</v>
      </c>
      <c r="AB31" s="26" t="s">
        <v>687</v>
      </c>
      <c r="AK31" s="26" t="s">
        <v>688</v>
      </c>
      <c r="BR31" s="26" t="s">
        <v>318</v>
      </c>
    </row>
    <row r="32" spans="1:70" x14ac:dyDescent="0.2">
      <c r="J32" s="26" t="s">
        <v>42</v>
      </c>
      <c r="S32" s="28" t="s">
        <v>590</v>
      </c>
      <c r="X32" t="s">
        <v>720</v>
      </c>
      <c r="AB32" s="26" t="s">
        <v>571</v>
      </c>
      <c r="AK32" s="26" t="s">
        <v>623</v>
      </c>
      <c r="BR32" s="26" t="s">
        <v>319</v>
      </c>
    </row>
    <row r="33" spans="10:70" x14ac:dyDescent="0.2">
      <c r="J33" s="26" t="s">
        <v>43</v>
      </c>
      <c r="S33" s="28" t="s">
        <v>591</v>
      </c>
      <c r="X33" t="s">
        <v>720</v>
      </c>
      <c r="AB33" s="26" t="s">
        <v>655</v>
      </c>
      <c r="AK33" s="26" t="s">
        <v>689</v>
      </c>
      <c r="BR33" s="26" t="s">
        <v>320</v>
      </c>
    </row>
    <row r="34" spans="10:70" x14ac:dyDescent="0.2">
      <c r="J34" s="26" t="s">
        <v>44</v>
      </c>
      <c r="S34" s="28" t="s">
        <v>592</v>
      </c>
      <c r="X34" t="s">
        <v>720</v>
      </c>
      <c r="AB34" s="26" t="s">
        <v>569</v>
      </c>
      <c r="AK34" s="26" t="s">
        <v>632</v>
      </c>
      <c r="BR34" s="26" t="s">
        <v>321</v>
      </c>
    </row>
    <row r="35" spans="10:70" x14ac:dyDescent="0.2">
      <c r="J35" s="26" t="s">
        <v>45</v>
      </c>
      <c r="S35" s="28" t="s">
        <v>70</v>
      </c>
      <c r="X35" t="s">
        <v>720</v>
      </c>
      <c r="AB35" s="26" t="s">
        <v>690</v>
      </c>
      <c r="AK35" s="26" t="s">
        <v>691</v>
      </c>
      <c r="BR35" s="26" t="s">
        <v>322</v>
      </c>
    </row>
    <row r="36" spans="10:70" x14ac:dyDescent="0.2">
      <c r="J36" s="26" t="s">
        <v>46</v>
      </c>
      <c r="AB36" s="26" t="s">
        <v>604</v>
      </c>
      <c r="AK36" s="26" t="s">
        <v>692</v>
      </c>
      <c r="BR36" s="26" t="s">
        <v>323</v>
      </c>
    </row>
    <row r="37" spans="10:70" x14ac:dyDescent="0.2">
      <c r="J37" s="26" t="s">
        <v>47</v>
      </c>
      <c r="S37" s="26" t="s">
        <v>71</v>
      </c>
      <c r="AB37" s="26" t="s">
        <v>573</v>
      </c>
      <c r="AK37" s="26" t="s">
        <v>693</v>
      </c>
      <c r="BR37" s="26" t="s">
        <v>324</v>
      </c>
    </row>
    <row r="38" spans="10:70" x14ac:dyDescent="0.2">
      <c r="J38" s="26" t="s">
        <v>48</v>
      </c>
      <c r="S38" s="26" t="s">
        <v>72</v>
      </c>
      <c r="AB38" s="26" t="s">
        <v>600</v>
      </c>
      <c r="AK38" s="26" t="s">
        <v>610</v>
      </c>
      <c r="BR38" s="26" t="s">
        <v>325</v>
      </c>
    </row>
    <row r="39" spans="10:70" x14ac:dyDescent="0.2">
      <c r="J39" s="26" t="s">
        <v>49</v>
      </c>
      <c r="S39" s="26" t="s">
        <v>73</v>
      </c>
      <c r="AB39" s="26" t="s">
        <v>607</v>
      </c>
      <c r="AK39" s="26" t="s">
        <v>612</v>
      </c>
      <c r="BR39" s="26" t="s">
        <v>326</v>
      </c>
    </row>
    <row r="40" spans="10:70" x14ac:dyDescent="0.2">
      <c r="J40" s="26" t="s">
        <v>167</v>
      </c>
      <c r="S40" s="26" t="s">
        <v>74</v>
      </c>
      <c r="AB40" s="26" t="s">
        <v>694</v>
      </c>
      <c r="AK40" s="26" t="s">
        <v>613</v>
      </c>
      <c r="BR40" s="26" t="s">
        <v>327</v>
      </c>
    </row>
    <row r="41" spans="10:70" x14ac:dyDescent="0.2">
      <c r="J41" s="26" t="s">
        <v>168</v>
      </c>
      <c r="S41" s="26" t="s">
        <v>75</v>
      </c>
      <c r="AB41" s="26" t="s">
        <v>695</v>
      </c>
      <c r="AK41" s="26" t="s">
        <v>614</v>
      </c>
      <c r="BR41" s="26" t="s">
        <v>328</v>
      </c>
    </row>
    <row r="42" spans="10:70" x14ac:dyDescent="0.2">
      <c r="J42" s="26" t="s">
        <v>15</v>
      </c>
      <c r="S42" s="26" t="s">
        <v>446</v>
      </c>
      <c r="AB42" s="26" t="s">
        <v>696</v>
      </c>
      <c r="AK42" s="26" t="s">
        <v>616</v>
      </c>
      <c r="BR42" s="26" t="s">
        <v>329</v>
      </c>
    </row>
    <row r="43" spans="10:70" x14ac:dyDescent="0.2">
      <c r="J43" s="26" t="s">
        <v>241</v>
      </c>
      <c r="S43" s="26" t="s">
        <v>76</v>
      </c>
      <c r="AB43" s="26" t="s">
        <v>611</v>
      </c>
      <c r="AK43" s="26" t="s">
        <v>615</v>
      </c>
      <c r="BR43" s="26" t="s">
        <v>330</v>
      </c>
    </row>
    <row r="44" spans="10:70" x14ac:dyDescent="0.2">
      <c r="J44" s="26" t="s">
        <v>230</v>
      </c>
      <c r="S44" s="26" t="s">
        <v>77</v>
      </c>
      <c r="AB44" s="26" t="s">
        <v>618</v>
      </c>
      <c r="AK44" s="26" t="s">
        <v>617</v>
      </c>
      <c r="BR44" s="26" t="s">
        <v>331</v>
      </c>
    </row>
    <row r="45" spans="10:70" x14ac:dyDescent="0.2">
      <c r="J45" s="26" t="s">
        <v>399</v>
      </c>
      <c r="S45" s="26" t="s">
        <v>354</v>
      </c>
      <c r="AB45" s="26" t="s">
        <v>620</v>
      </c>
      <c r="BR45" s="26" t="s">
        <v>332</v>
      </c>
    </row>
    <row r="46" spans="10:70" x14ac:dyDescent="0.2">
      <c r="J46" s="26" t="s">
        <v>418</v>
      </c>
      <c r="K46" t="s">
        <v>708</v>
      </c>
      <c r="S46" s="26" t="s">
        <v>365</v>
      </c>
      <c r="AB46" s="26" t="s">
        <v>652</v>
      </c>
      <c r="BR46" s="26" t="s">
        <v>333</v>
      </c>
    </row>
    <row r="47" spans="10:70" x14ac:dyDescent="0.2">
      <c r="J47" s="26" t="s">
        <v>586</v>
      </c>
      <c r="K47" t="s">
        <v>709</v>
      </c>
      <c r="O47" t="s">
        <v>720</v>
      </c>
      <c r="P47" t="s">
        <v>723</v>
      </c>
      <c r="S47" s="26" t="s">
        <v>383</v>
      </c>
      <c r="AB47" s="26" t="s">
        <v>610</v>
      </c>
      <c r="BR47" s="26" t="s">
        <v>334</v>
      </c>
    </row>
    <row r="48" spans="10:70" x14ac:dyDescent="0.2">
      <c r="J48" s="26" t="s">
        <v>587</v>
      </c>
      <c r="K48" t="s">
        <v>710</v>
      </c>
      <c r="O48" t="s">
        <v>720</v>
      </c>
      <c r="S48" s="26" t="s">
        <v>391</v>
      </c>
      <c r="AB48" s="26" t="s">
        <v>612</v>
      </c>
      <c r="BR48" s="26" t="s">
        <v>335</v>
      </c>
    </row>
    <row r="49" spans="10:70" x14ac:dyDescent="0.2">
      <c r="J49" s="26" t="s">
        <v>574</v>
      </c>
      <c r="K49" t="s">
        <v>711</v>
      </c>
      <c r="O49" t="s">
        <v>720</v>
      </c>
      <c r="S49" s="26" t="s">
        <v>78</v>
      </c>
      <c r="AB49" s="26" t="s">
        <v>613</v>
      </c>
      <c r="BR49" s="26" t="s">
        <v>336</v>
      </c>
    </row>
    <row r="50" spans="10:70" x14ac:dyDescent="0.2">
      <c r="O50" t="s">
        <v>720</v>
      </c>
      <c r="AB50" s="26" t="s">
        <v>614</v>
      </c>
      <c r="BR50" s="26" t="s">
        <v>337</v>
      </c>
    </row>
    <row r="51" spans="10:70" x14ac:dyDescent="0.2">
      <c r="S51" s="26" t="s">
        <v>79</v>
      </c>
      <c r="AB51" s="26" t="s">
        <v>616</v>
      </c>
      <c r="BR51" s="26" t="s">
        <v>338</v>
      </c>
    </row>
    <row r="52" spans="10:70" x14ac:dyDescent="0.2">
      <c r="S52" s="26" t="s">
        <v>80</v>
      </c>
      <c r="AB52" s="26" t="s">
        <v>615</v>
      </c>
      <c r="BR52" s="26" t="s">
        <v>339</v>
      </c>
    </row>
    <row r="53" spans="10:70" x14ac:dyDescent="0.2">
      <c r="S53" s="26" t="s">
        <v>81</v>
      </c>
      <c r="AB53" s="26" t="s">
        <v>617</v>
      </c>
      <c r="BR53" s="26" t="s">
        <v>340</v>
      </c>
    </row>
    <row r="54" spans="10:70" x14ac:dyDescent="0.2">
      <c r="S54" s="26" t="s">
        <v>82</v>
      </c>
      <c r="BR54" s="26" t="s">
        <v>341</v>
      </c>
    </row>
    <row r="55" spans="10:70" x14ac:dyDescent="0.2">
      <c r="S55" s="26" t="s">
        <v>83</v>
      </c>
      <c r="BR55" s="26" t="s">
        <v>342</v>
      </c>
    </row>
    <row r="56" spans="10:70" x14ac:dyDescent="0.2">
      <c r="S56" s="26" t="s">
        <v>355</v>
      </c>
      <c r="BR56" s="26" t="s">
        <v>290</v>
      </c>
    </row>
    <row r="57" spans="10:70" x14ac:dyDescent="0.2">
      <c r="S57" s="26" t="s">
        <v>366</v>
      </c>
      <c r="BR57" s="26" t="s">
        <v>520</v>
      </c>
    </row>
    <row r="58" spans="10:70" x14ac:dyDescent="0.2">
      <c r="S58" s="26" t="s">
        <v>84</v>
      </c>
      <c r="BR58" s="26" t="s">
        <v>400</v>
      </c>
    </row>
    <row r="60" spans="10:70" x14ac:dyDescent="0.2">
      <c r="S60" s="26" t="s">
        <v>659</v>
      </c>
      <c r="X60" t="s">
        <v>720</v>
      </c>
    </row>
    <row r="61" spans="10:70" x14ac:dyDescent="0.2">
      <c r="S61" s="26" t="s">
        <v>85</v>
      </c>
      <c r="X61" t="s">
        <v>720</v>
      </c>
    </row>
    <row r="62" spans="10:70" x14ac:dyDescent="0.2">
      <c r="S62" s="26" t="s">
        <v>86</v>
      </c>
      <c r="X62" t="s">
        <v>720</v>
      </c>
    </row>
    <row r="63" spans="10:70" x14ac:dyDescent="0.2">
      <c r="S63" s="26" t="s">
        <v>87</v>
      </c>
      <c r="X63" t="s">
        <v>720</v>
      </c>
    </row>
    <row r="64" spans="10:70" x14ac:dyDescent="0.2">
      <c r="S64" s="26" t="s">
        <v>373</v>
      </c>
      <c r="X64" t="s">
        <v>720</v>
      </c>
    </row>
    <row r="65" spans="19:24" x14ac:dyDescent="0.2">
      <c r="S65" s="26" t="s">
        <v>375</v>
      </c>
      <c r="X65" t="s">
        <v>720</v>
      </c>
    </row>
    <row r="66" spans="19:24" x14ac:dyDescent="0.2">
      <c r="S66" s="26" t="s">
        <v>390</v>
      </c>
      <c r="X66" t="s">
        <v>720</v>
      </c>
    </row>
    <row r="67" spans="19:24" x14ac:dyDescent="0.2">
      <c r="S67" s="26" t="s">
        <v>377</v>
      </c>
      <c r="X67" t="s">
        <v>720</v>
      </c>
    </row>
    <row r="68" spans="19:24" x14ac:dyDescent="0.2">
      <c r="S68" s="26" t="s">
        <v>379</v>
      </c>
      <c r="X68" t="s">
        <v>720</v>
      </c>
    </row>
    <row r="69" spans="19:24" x14ac:dyDescent="0.2">
      <c r="S69" s="26" t="s">
        <v>382</v>
      </c>
      <c r="X69" t="s">
        <v>720</v>
      </c>
    </row>
    <row r="70" spans="19:24" x14ac:dyDescent="0.2">
      <c r="S70" s="26" t="s">
        <v>414</v>
      </c>
      <c r="X70" t="s">
        <v>720</v>
      </c>
    </row>
    <row r="71" spans="19:24" x14ac:dyDescent="0.2">
      <c r="S71" s="26" t="s">
        <v>523</v>
      </c>
      <c r="X71" t="s">
        <v>720</v>
      </c>
    </row>
    <row r="72" spans="19:24" x14ac:dyDescent="0.2">
      <c r="S72" s="26" t="s">
        <v>169</v>
      </c>
      <c r="X72" t="s">
        <v>720</v>
      </c>
    </row>
    <row r="74" spans="19:24" x14ac:dyDescent="0.2">
      <c r="S74" s="26" t="s">
        <v>660</v>
      </c>
      <c r="X74" t="s">
        <v>720</v>
      </c>
    </row>
    <row r="75" spans="19:24" x14ac:dyDescent="0.2">
      <c r="S75" s="26" t="s">
        <v>88</v>
      </c>
      <c r="X75" t="s">
        <v>720</v>
      </c>
    </row>
    <row r="76" spans="19:24" x14ac:dyDescent="0.2">
      <c r="S76" s="26" t="s">
        <v>89</v>
      </c>
      <c r="X76" t="s">
        <v>720</v>
      </c>
    </row>
    <row r="77" spans="19:24" x14ac:dyDescent="0.2">
      <c r="S77" s="26" t="s">
        <v>90</v>
      </c>
      <c r="X77" t="s">
        <v>720</v>
      </c>
    </row>
    <row r="78" spans="19:24" x14ac:dyDescent="0.2">
      <c r="S78" s="26" t="s">
        <v>374</v>
      </c>
      <c r="X78" t="s">
        <v>720</v>
      </c>
    </row>
    <row r="79" spans="19:24" x14ac:dyDescent="0.2">
      <c r="S79" s="26" t="s">
        <v>376</v>
      </c>
      <c r="X79" t="s">
        <v>720</v>
      </c>
    </row>
    <row r="80" spans="19:24" x14ac:dyDescent="0.2">
      <c r="S80" s="26" t="s">
        <v>378</v>
      </c>
      <c r="X80" t="s">
        <v>720</v>
      </c>
    </row>
    <row r="81" spans="19:25" x14ac:dyDescent="0.2">
      <c r="S81" s="26" t="s">
        <v>380</v>
      </c>
      <c r="X81" t="s">
        <v>720</v>
      </c>
    </row>
    <row r="82" spans="19:25" x14ac:dyDescent="0.2">
      <c r="S82" s="26" t="s">
        <v>415</v>
      </c>
      <c r="X82" t="s">
        <v>720</v>
      </c>
    </row>
    <row r="83" spans="19:25" x14ac:dyDescent="0.2">
      <c r="S83" s="26" t="s">
        <v>524</v>
      </c>
      <c r="X83" t="s">
        <v>720</v>
      </c>
    </row>
    <row r="84" spans="19:25" x14ac:dyDescent="0.2">
      <c r="S84" s="26" t="s">
        <v>170</v>
      </c>
      <c r="X84" t="s">
        <v>720</v>
      </c>
    </row>
    <row r="86" spans="19:25" x14ac:dyDescent="0.2">
      <c r="S86" s="26" t="s">
        <v>661</v>
      </c>
      <c r="X86" t="s">
        <v>720</v>
      </c>
    </row>
    <row r="87" spans="19:25" x14ac:dyDescent="0.2">
      <c r="S87" s="26" t="s">
        <v>91</v>
      </c>
      <c r="X87" t="s">
        <v>720</v>
      </c>
    </row>
    <row r="88" spans="19:25" x14ac:dyDescent="0.2">
      <c r="S88" s="26" t="s">
        <v>92</v>
      </c>
      <c r="X88" t="s">
        <v>720</v>
      </c>
    </row>
    <row r="89" spans="19:25" x14ac:dyDescent="0.2">
      <c r="S89" s="26" t="s">
        <v>93</v>
      </c>
      <c r="X89" t="s">
        <v>720</v>
      </c>
    </row>
    <row r="91" spans="19:25" x14ac:dyDescent="0.2">
      <c r="S91" s="26" t="s">
        <v>2</v>
      </c>
      <c r="Y91" t="s">
        <v>721</v>
      </c>
    </row>
    <row r="92" spans="19:25" x14ac:dyDescent="0.2">
      <c r="S92" s="26" t="s">
        <v>143</v>
      </c>
      <c r="T92" t="s">
        <v>712</v>
      </c>
      <c r="X92" t="s">
        <v>720</v>
      </c>
    </row>
    <row r="93" spans="19:25" x14ac:dyDescent="0.2">
      <c r="S93" s="26" t="s">
        <v>144</v>
      </c>
      <c r="T93" t="s">
        <v>713</v>
      </c>
      <c r="X93" t="s">
        <v>720</v>
      </c>
    </row>
    <row r="94" spans="19:25" x14ac:dyDescent="0.2">
      <c r="S94" s="26" t="s">
        <v>145</v>
      </c>
      <c r="T94" t="s">
        <v>714</v>
      </c>
      <c r="X94" t="s">
        <v>720</v>
      </c>
    </row>
    <row r="95" spans="19:25" x14ac:dyDescent="0.2">
      <c r="S95" s="26" t="s">
        <v>146</v>
      </c>
      <c r="T95" t="s">
        <v>715</v>
      </c>
      <c r="X95" t="s">
        <v>720</v>
      </c>
    </row>
    <row r="96" spans="19:25" x14ac:dyDescent="0.2">
      <c r="S96" s="26" t="s">
        <v>147</v>
      </c>
      <c r="T96" t="s">
        <v>716</v>
      </c>
      <c r="X96" t="s">
        <v>720</v>
      </c>
    </row>
    <row r="97" spans="19:25" x14ac:dyDescent="0.2">
      <c r="S97" s="26" t="s">
        <v>148</v>
      </c>
      <c r="T97" t="s">
        <v>717</v>
      </c>
      <c r="X97" t="s">
        <v>720</v>
      </c>
    </row>
    <row r="98" spans="19:25" x14ac:dyDescent="0.2">
      <c r="S98" s="26" t="s">
        <v>149</v>
      </c>
      <c r="X98" t="s">
        <v>720</v>
      </c>
    </row>
    <row r="99" spans="19:25" x14ac:dyDescent="0.2">
      <c r="S99" s="26" t="s">
        <v>150</v>
      </c>
      <c r="X99" t="s">
        <v>720</v>
      </c>
    </row>
    <row r="100" spans="19:25" x14ac:dyDescent="0.2">
      <c r="S100" s="26" t="s">
        <v>151</v>
      </c>
      <c r="X100" t="s">
        <v>720</v>
      </c>
    </row>
    <row r="101" spans="19:25" x14ac:dyDescent="0.2">
      <c r="S101" s="26" t="s">
        <v>152</v>
      </c>
      <c r="X101" t="s">
        <v>720</v>
      </c>
    </row>
    <row r="102" spans="19:25" x14ac:dyDescent="0.2">
      <c r="S102" s="26" t="s">
        <v>153</v>
      </c>
      <c r="T102" t="s">
        <v>718</v>
      </c>
      <c r="X102" t="s">
        <v>720</v>
      </c>
    </row>
    <row r="103" spans="19:25" x14ac:dyDescent="0.2">
      <c r="S103" s="26" t="s">
        <v>154</v>
      </c>
      <c r="T103" t="s">
        <v>719</v>
      </c>
      <c r="X103" t="s">
        <v>720</v>
      </c>
    </row>
    <row r="104" spans="19:25" x14ac:dyDescent="0.2">
      <c r="S104" s="26" t="s">
        <v>155</v>
      </c>
      <c r="X104" t="s">
        <v>720</v>
      </c>
    </row>
    <row r="106" spans="19:25" x14ac:dyDescent="0.2">
      <c r="S106" s="26" t="s">
        <v>3</v>
      </c>
      <c r="Y106" t="s">
        <v>721</v>
      </c>
    </row>
    <row r="107" spans="19:25" x14ac:dyDescent="0.2">
      <c r="S107" s="26" t="s">
        <v>156</v>
      </c>
      <c r="X107" t="s">
        <v>720</v>
      </c>
    </row>
    <row r="108" spans="19:25" x14ac:dyDescent="0.2">
      <c r="S108" s="26" t="s">
        <v>157</v>
      </c>
      <c r="X108" t="s">
        <v>720</v>
      </c>
    </row>
    <row r="109" spans="19:25" x14ac:dyDescent="0.2">
      <c r="S109" s="26" t="s">
        <v>158</v>
      </c>
      <c r="X109" t="s">
        <v>720</v>
      </c>
    </row>
    <row r="110" spans="19:25" x14ac:dyDescent="0.2">
      <c r="S110" s="26" t="s">
        <v>159</v>
      </c>
      <c r="X110" t="s">
        <v>720</v>
      </c>
    </row>
    <row r="111" spans="19:25" x14ac:dyDescent="0.2">
      <c r="S111" s="26" t="s">
        <v>160</v>
      </c>
      <c r="X111" t="s">
        <v>720</v>
      </c>
    </row>
    <row r="112" spans="19:25" x14ac:dyDescent="0.2">
      <c r="S112" s="26" t="s">
        <v>161</v>
      </c>
      <c r="X112" t="s">
        <v>720</v>
      </c>
    </row>
    <row r="113" spans="19:24" x14ac:dyDescent="0.2">
      <c r="S113" s="26" t="s">
        <v>162</v>
      </c>
      <c r="X113" t="s">
        <v>720</v>
      </c>
    </row>
    <row r="114" spans="19:24" x14ac:dyDescent="0.2">
      <c r="S114" s="26" t="s">
        <v>163</v>
      </c>
      <c r="X114" t="s">
        <v>720</v>
      </c>
    </row>
    <row r="115" spans="19:24" x14ac:dyDescent="0.2">
      <c r="S115" s="26" t="s">
        <v>164</v>
      </c>
      <c r="X115" t="s">
        <v>720</v>
      </c>
    </row>
    <row r="116" spans="19:24" x14ac:dyDescent="0.2">
      <c r="S116" s="26" t="s">
        <v>165</v>
      </c>
      <c r="X116" t="s">
        <v>720</v>
      </c>
    </row>
    <row r="117" spans="19:24" x14ac:dyDescent="0.2">
      <c r="S117" s="26" t="s">
        <v>166</v>
      </c>
      <c r="X117" t="s">
        <v>720</v>
      </c>
    </row>
    <row r="118" spans="19:24" x14ac:dyDescent="0.2">
      <c r="S118" s="26" t="s">
        <v>152</v>
      </c>
      <c r="X118" t="s">
        <v>720</v>
      </c>
    </row>
    <row r="120" spans="19:24" x14ac:dyDescent="0.2">
      <c r="S120" s="26" t="s">
        <v>51</v>
      </c>
      <c r="X120" t="s">
        <v>720</v>
      </c>
    </row>
    <row r="121" spans="19:24" x14ac:dyDescent="0.2">
      <c r="S121" s="26" t="s">
        <v>52</v>
      </c>
      <c r="X121" t="s">
        <v>720</v>
      </c>
    </row>
    <row r="122" spans="19:24" x14ac:dyDescent="0.2">
      <c r="S122" s="26" t="s">
        <v>53</v>
      </c>
      <c r="X122" t="s">
        <v>720</v>
      </c>
    </row>
    <row r="123" spans="19:24" x14ac:dyDescent="0.2">
      <c r="S123" s="26" t="s">
        <v>55</v>
      </c>
      <c r="X123" t="s">
        <v>720</v>
      </c>
    </row>
    <row r="124" spans="19:24" x14ac:dyDescent="0.2">
      <c r="S124" s="26" t="s">
        <v>56</v>
      </c>
      <c r="X124" t="s">
        <v>720</v>
      </c>
    </row>
    <row r="125" spans="19:24" x14ac:dyDescent="0.2">
      <c r="S125" s="26" t="s">
        <v>57</v>
      </c>
      <c r="X125" t="s">
        <v>720</v>
      </c>
    </row>
    <row r="126" spans="19:24" x14ac:dyDescent="0.2">
      <c r="S126" s="26" t="s">
        <v>58</v>
      </c>
      <c r="X126" t="s">
        <v>720</v>
      </c>
    </row>
    <row r="127" spans="19:24" x14ac:dyDescent="0.2">
      <c r="S127" s="26" t="s">
        <v>59</v>
      </c>
      <c r="X127" t="s">
        <v>720</v>
      </c>
    </row>
    <row r="128" spans="19:24" x14ac:dyDescent="0.2">
      <c r="S128" s="26" t="s">
        <v>60</v>
      </c>
      <c r="X128" t="s">
        <v>720</v>
      </c>
    </row>
    <row r="129" spans="19:24" x14ac:dyDescent="0.2">
      <c r="S129" s="26" t="s">
        <v>54</v>
      </c>
      <c r="X129" t="s">
        <v>720</v>
      </c>
    </row>
    <row r="130" spans="19:24" x14ac:dyDescent="0.2">
      <c r="S130" s="26" t="s">
        <v>64</v>
      </c>
      <c r="X130" t="s">
        <v>720</v>
      </c>
    </row>
    <row r="132" spans="19:24" x14ac:dyDescent="0.2">
      <c r="S132" s="26" t="s">
        <v>94</v>
      </c>
    </row>
    <row r="133" spans="19:24" x14ac:dyDescent="0.2">
      <c r="S133" s="26" t="s">
        <v>95</v>
      </c>
    </row>
    <row r="134" spans="19:24" x14ac:dyDescent="0.2">
      <c r="S134" s="26" t="s">
        <v>96</v>
      </c>
    </row>
    <row r="135" spans="19:24" x14ac:dyDescent="0.2">
      <c r="S135" s="26" t="s">
        <v>97</v>
      </c>
    </row>
    <row r="136" spans="19:24" x14ac:dyDescent="0.2">
      <c r="S136" s="26" t="s">
        <v>98</v>
      </c>
    </row>
    <row r="137" spans="19:24" x14ac:dyDescent="0.2">
      <c r="S137" s="26" t="s">
        <v>99</v>
      </c>
    </row>
    <row r="138" spans="19:24" x14ac:dyDescent="0.2">
      <c r="S138" s="26" t="s">
        <v>100</v>
      </c>
    </row>
    <row r="139" spans="19:24" x14ac:dyDescent="0.2">
      <c r="S139" s="26" t="s">
        <v>101</v>
      </c>
    </row>
    <row r="140" spans="19:24" x14ac:dyDescent="0.2">
      <c r="S140" s="26" t="s">
        <v>416</v>
      </c>
    </row>
    <row r="141" spans="19:24" x14ac:dyDescent="0.2">
      <c r="S141" s="26" t="s">
        <v>443</v>
      </c>
    </row>
    <row r="142" spans="19:24" x14ac:dyDescent="0.2">
      <c r="S142" s="26" t="s">
        <v>102</v>
      </c>
    </row>
    <row r="144" spans="19:24" x14ac:dyDescent="0.2">
      <c r="S144" s="26" t="s">
        <v>232</v>
      </c>
    </row>
    <row r="145" spans="19:19" x14ac:dyDescent="0.2">
      <c r="S145" s="26" t="s">
        <v>233</v>
      </c>
    </row>
    <row r="146" spans="19:19" x14ac:dyDescent="0.2">
      <c r="S146" s="26" t="s">
        <v>234</v>
      </c>
    </row>
    <row r="147" spans="19:19" x14ac:dyDescent="0.2">
      <c r="S147" s="26" t="s">
        <v>235</v>
      </c>
    </row>
  </sheetData>
  <pageMargins left="0.7" right="0.7" top="0.75" bottom="0.75" header="0.3" footer="0.3"/>
  <pageSetup orientation="portrait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51E449-BB39-5C43-8DC0-DEC76A4E5AA4}">
  <dimension ref="A1:BQ139"/>
  <sheetViews>
    <sheetView topLeftCell="AK1" workbookViewId="0">
      <selection activeCell="AH11" sqref="AH11"/>
    </sheetView>
  </sheetViews>
  <sheetFormatPr baseColWidth="10" defaultRowHeight="16" x14ac:dyDescent="0.2"/>
  <cols>
    <col min="1" max="1" width="13.5" customWidth="1"/>
    <col min="7" max="7" width="16.6640625" customWidth="1"/>
    <col min="8" max="8" width="25.5" customWidth="1"/>
    <col min="9" max="9" width="16.5" customWidth="1"/>
    <col min="14" max="14" width="19.33203125" customWidth="1"/>
    <col min="15" max="15" width="19.6640625" customWidth="1"/>
    <col min="16" max="16" width="18.5" customWidth="1"/>
    <col min="17" max="17" width="17.33203125" customWidth="1"/>
    <col min="22" max="22" width="18.5" customWidth="1"/>
    <col min="24" max="24" width="23.83203125" bestFit="1" customWidth="1"/>
    <col min="27" max="27" width="28.83203125" bestFit="1" customWidth="1"/>
    <col min="29" max="29" width="27.5" customWidth="1"/>
    <col min="32" max="32" width="21.5" customWidth="1"/>
    <col min="41" max="41" width="24.33203125" customWidth="1"/>
    <col min="63" max="63" width="32.33203125" customWidth="1"/>
    <col min="64" max="64" width="32" bestFit="1" customWidth="1"/>
    <col min="65" max="65" width="23.83203125" bestFit="1" customWidth="1"/>
    <col min="69" max="69" width="21" customWidth="1"/>
  </cols>
  <sheetData>
    <row r="1" spans="1:69" s="2" customFormat="1" ht="51" x14ac:dyDescent="0.2">
      <c r="A1" s="2" t="s">
        <v>1</v>
      </c>
      <c r="B1" s="2" t="s">
        <v>50</v>
      </c>
      <c r="C1" s="2" t="s">
        <v>142</v>
      </c>
      <c r="D1" s="2" t="s">
        <v>2</v>
      </c>
      <c r="E1" s="2" t="s">
        <v>3</v>
      </c>
      <c r="F1" s="2" t="s">
        <v>230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238</v>
      </c>
      <c r="M1" s="2" t="s">
        <v>10</v>
      </c>
      <c r="N1" s="2" t="s">
        <v>171</v>
      </c>
      <c r="O1" s="2" t="s">
        <v>11</v>
      </c>
      <c r="P1" s="2" t="s">
        <v>14</v>
      </c>
      <c r="Q1" s="2" t="s">
        <v>15</v>
      </c>
      <c r="R1" s="2" t="s">
        <v>172</v>
      </c>
      <c r="S1" s="2" t="s">
        <v>182</v>
      </c>
      <c r="T1" s="2" t="s">
        <v>192</v>
      </c>
      <c r="U1" s="2" t="s">
        <v>199</v>
      </c>
      <c r="V1" s="2" t="s">
        <v>173</v>
      </c>
      <c r="W1" s="2" t="s">
        <v>183</v>
      </c>
      <c r="X1" s="2" t="s">
        <v>174</v>
      </c>
      <c r="Y1" s="2" t="s">
        <v>184</v>
      </c>
      <c r="Z1" s="2" t="s">
        <v>193</v>
      </c>
      <c r="AA1" s="2" t="s">
        <v>194</v>
      </c>
      <c r="AB1" s="2" t="s">
        <v>175</v>
      </c>
      <c r="AC1" s="2" t="s">
        <v>185</v>
      </c>
      <c r="AD1" s="2" t="s">
        <v>187</v>
      </c>
      <c r="AE1" s="2" t="s">
        <v>177</v>
      </c>
      <c r="AF1" s="2" t="s">
        <v>196</v>
      </c>
      <c r="AG1" s="2" t="s">
        <v>803</v>
      </c>
      <c r="AH1" s="2" t="s">
        <v>804</v>
      </c>
      <c r="AI1" s="2" t="s">
        <v>805</v>
      </c>
      <c r="AJ1" s="2" t="s">
        <v>176</v>
      </c>
      <c r="AK1" s="2" t="s">
        <v>186</v>
      </c>
      <c r="AL1" s="2" t="s">
        <v>195</v>
      </c>
      <c r="AM1" s="2" t="s">
        <v>179</v>
      </c>
      <c r="AN1" s="2" t="s">
        <v>189</v>
      </c>
      <c r="AO1" s="2" t="s">
        <v>205</v>
      </c>
      <c r="AP1" s="2" t="s">
        <v>181</v>
      </c>
      <c r="AQ1" s="2" t="s">
        <v>191</v>
      </c>
      <c r="AR1" s="2" t="s">
        <v>198</v>
      </c>
      <c r="AS1" s="2" t="s">
        <v>201</v>
      </c>
      <c r="AT1" s="2" t="s">
        <v>206</v>
      </c>
      <c r="AU1" s="2" t="s">
        <v>207</v>
      </c>
      <c r="AV1" s="2" t="s">
        <v>208</v>
      </c>
      <c r="AW1" s="2" t="s">
        <v>209</v>
      </c>
      <c r="AX1" s="2" t="s">
        <v>210</v>
      </c>
      <c r="AY1" s="2" t="s">
        <v>213</v>
      </c>
      <c r="AZ1" s="2" t="s">
        <v>214</v>
      </c>
      <c r="BA1" s="2" t="s">
        <v>215</v>
      </c>
      <c r="BB1" s="2" t="s">
        <v>384</v>
      </c>
      <c r="BC1" s="2" t="s">
        <v>231</v>
      </c>
      <c r="BD1" s="2" t="s">
        <v>388</v>
      </c>
      <c r="BE1" s="2" t="s">
        <v>389</v>
      </c>
      <c r="BF1" t="s">
        <v>13</v>
      </c>
      <c r="BG1" t="s">
        <v>5</v>
      </c>
      <c r="BH1" s="2" t="s">
        <v>730</v>
      </c>
      <c r="BI1" s="2" t="s">
        <v>343</v>
      </c>
      <c r="BJ1" s="2" t="s">
        <v>344</v>
      </c>
      <c r="BK1" s="2" t="s">
        <v>516</v>
      </c>
      <c r="BL1" s="2" t="s">
        <v>517</v>
      </c>
      <c r="BM1" s="2" t="s">
        <v>806</v>
      </c>
      <c r="BN1" s="2" t="s">
        <v>657</v>
      </c>
      <c r="BO1" s="2" t="s">
        <v>658</v>
      </c>
      <c r="BQ1" s="2" t="s">
        <v>807</v>
      </c>
    </row>
    <row r="2" spans="1:69" x14ac:dyDescent="0.2">
      <c r="F2" t="s">
        <v>388</v>
      </c>
      <c r="G2" t="s">
        <v>180</v>
      </c>
      <c r="H2" t="s">
        <v>205</v>
      </c>
      <c r="I2" t="s">
        <v>172</v>
      </c>
      <c r="J2" t="s">
        <v>213</v>
      </c>
      <c r="K2" t="s">
        <v>173</v>
      </c>
      <c r="L2" t="s">
        <v>174</v>
      </c>
      <c r="M2" t="s">
        <v>175</v>
      </c>
      <c r="N2" t="s">
        <v>176</v>
      </c>
      <c r="O2" t="s">
        <v>177</v>
      </c>
      <c r="P2" t="s">
        <v>178</v>
      </c>
      <c r="Q2" t="s">
        <v>179</v>
      </c>
      <c r="R2" t="s">
        <v>65</v>
      </c>
      <c r="S2" t="s">
        <v>65</v>
      </c>
      <c r="T2" t="s">
        <v>65</v>
      </c>
      <c r="U2" t="s">
        <v>65</v>
      </c>
      <c r="V2" t="s">
        <v>71</v>
      </c>
      <c r="W2" t="s">
        <v>79</v>
      </c>
      <c r="X2" t="s">
        <v>85</v>
      </c>
      <c r="Y2" t="s">
        <v>88</v>
      </c>
      <c r="Z2" t="s">
        <v>91</v>
      </c>
      <c r="AA2" t="s">
        <v>122</v>
      </c>
      <c r="AB2" t="s">
        <v>122</v>
      </c>
      <c r="AC2" t="s">
        <v>122</v>
      </c>
      <c r="AD2" t="s">
        <v>106</v>
      </c>
      <c r="AE2" t="s">
        <v>103</v>
      </c>
      <c r="AF2" t="s">
        <v>111</v>
      </c>
      <c r="AG2" t="s">
        <v>51</v>
      </c>
      <c r="AH2" t="s">
        <v>51</v>
      </c>
      <c r="AI2" t="s">
        <v>51</v>
      </c>
      <c r="AJ2" t="s">
        <v>51</v>
      </c>
      <c r="AK2" t="s">
        <v>51</v>
      </c>
      <c r="AL2" t="s">
        <v>51</v>
      </c>
      <c r="AM2" t="s">
        <v>94</v>
      </c>
      <c r="AN2" t="s">
        <v>94</v>
      </c>
      <c r="AO2" t="s">
        <v>51</v>
      </c>
      <c r="AP2" t="s">
        <v>51</v>
      </c>
      <c r="AQ2" t="s">
        <v>51</v>
      </c>
      <c r="AR2" t="s">
        <v>51</v>
      </c>
      <c r="AS2" t="s">
        <v>62</v>
      </c>
      <c r="AT2" t="s">
        <v>62</v>
      </c>
      <c r="AU2" t="s">
        <v>54</v>
      </c>
      <c r="AV2" t="s">
        <v>51</v>
      </c>
      <c r="AX2" t="s">
        <v>62</v>
      </c>
      <c r="AY2" t="s">
        <v>216</v>
      </c>
      <c r="AZ2" t="s">
        <v>216</v>
      </c>
      <c r="BA2" t="s">
        <v>216</v>
      </c>
      <c r="BB2" t="s">
        <v>94</v>
      </c>
      <c r="BC2" t="s">
        <v>232</v>
      </c>
      <c r="BE2" t="s">
        <v>432</v>
      </c>
      <c r="BF2" t="s">
        <v>418</v>
      </c>
      <c r="BG2" t="s">
        <v>6</v>
      </c>
      <c r="BH2" t="s">
        <v>51</v>
      </c>
      <c r="BI2" t="s">
        <v>284</v>
      </c>
      <c r="BJ2" t="s">
        <v>251</v>
      </c>
      <c r="BK2" t="s">
        <v>538</v>
      </c>
      <c r="BL2" t="s">
        <v>787</v>
      </c>
      <c r="BM2" t="s">
        <v>85</v>
      </c>
      <c r="BN2" t="s">
        <v>88</v>
      </c>
      <c r="BO2" t="s">
        <v>91</v>
      </c>
      <c r="BQ2" t="str" cm="1">
        <f t="array" ref="BQ2:BQ113">_xlfn._xlws.SORT(_xlfn.UNIQUE(BK2:BK1000))</f>
        <v>AssistPrimary</v>
      </c>
    </row>
    <row r="3" spans="1:69" x14ac:dyDescent="0.2">
      <c r="A3" t="s">
        <v>5</v>
      </c>
      <c r="B3" t="s">
        <v>5</v>
      </c>
      <c r="C3" t="s">
        <v>51</v>
      </c>
      <c r="D3" t="s">
        <v>143</v>
      </c>
      <c r="E3" t="s">
        <v>156</v>
      </c>
      <c r="F3" t="s">
        <v>389</v>
      </c>
      <c r="G3" t="s">
        <v>190</v>
      </c>
      <c r="H3" t="s">
        <v>181</v>
      </c>
      <c r="I3" t="s">
        <v>182</v>
      </c>
      <c r="J3" t="s">
        <v>214</v>
      </c>
      <c r="K3" t="s">
        <v>183</v>
      </c>
      <c r="L3" t="s">
        <v>184</v>
      </c>
      <c r="M3" t="s">
        <v>185</v>
      </c>
      <c r="N3" t="s">
        <v>186</v>
      </c>
      <c r="O3" t="s">
        <v>187</v>
      </c>
      <c r="P3" t="s">
        <v>188</v>
      </c>
      <c r="Q3" t="s">
        <v>189</v>
      </c>
      <c r="R3" t="s">
        <v>66</v>
      </c>
      <c r="S3" t="s">
        <v>66</v>
      </c>
      <c r="T3" t="s">
        <v>66</v>
      </c>
      <c r="U3" t="s">
        <v>66</v>
      </c>
      <c r="V3" t="s">
        <v>72</v>
      </c>
      <c r="W3" t="s">
        <v>80</v>
      </c>
      <c r="X3" t="s">
        <v>86</v>
      </c>
      <c r="Y3" t="s">
        <v>89</v>
      </c>
      <c r="Z3" t="s">
        <v>92</v>
      </c>
      <c r="AA3" t="s">
        <v>123</v>
      </c>
      <c r="AB3" t="s">
        <v>123</v>
      </c>
      <c r="AC3" t="s">
        <v>123</v>
      </c>
      <c r="AD3" t="s">
        <v>107</v>
      </c>
      <c r="AE3" t="s">
        <v>104</v>
      </c>
      <c r="AF3" t="s">
        <v>114</v>
      </c>
      <c r="AG3" t="s">
        <v>52</v>
      </c>
      <c r="AH3" t="s">
        <v>52</v>
      </c>
      <c r="AI3" t="s">
        <v>52</v>
      </c>
      <c r="AJ3" t="s">
        <v>52</v>
      </c>
      <c r="AK3" t="s">
        <v>52</v>
      </c>
      <c r="AL3" t="s">
        <v>52</v>
      </c>
      <c r="AM3" t="s">
        <v>95</v>
      </c>
      <c r="AN3" t="s">
        <v>95</v>
      </c>
      <c r="AO3" t="s">
        <v>52</v>
      </c>
      <c r="AP3" t="s">
        <v>52</v>
      </c>
      <c r="AQ3" t="s">
        <v>52</v>
      </c>
      <c r="AR3" t="s">
        <v>52</v>
      </c>
      <c r="AS3" t="s">
        <v>51</v>
      </c>
      <c r="AT3" t="s">
        <v>51</v>
      </c>
      <c r="AU3" t="s">
        <v>51</v>
      </c>
      <c r="AV3" t="s">
        <v>52</v>
      </c>
      <c r="AW3" t="s">
        <v>51</v>
      </c>
      <c r="AX3" t="s">
        <v>51</v>
      </c>
      <c r="AY3" t="s">
        <v>217</v>
      </c>
      <c r="AZ3" t="s">
        <v>217</v>
      </c>
      <c r="BA3" t="s">
        <v>217</v>
      </c>
      <c r="BB3" t="s">
        <v>95</v>
      </c>
      <c r="BC3" t="s">
        <v>233</v>
      </c>
      <c r="BD3" t="s">
        <v>419</v>
      </c>
      <c r="BE3" t="s">
        <v>433</v>
      </c>
      <c r="BF3" t="s">
        <v>586</v>
      </c>
      <c r="BG3" t="s">
        <v>7</v>
      </c>
      <c r="BH3" t="s">
        <v>52</v>
      </c>
      <c r="BI3" t="s">
        <v>286</v>
      </c>
      <c r="BJ3" t="s">
        <v>291</v>
      </c>
      <c r="BK3" t="s">
        <v>539</v>
      </c>
      <c r="BL3" t="s">
        <v>769</v>
      </c>
      <c r="BM3" t="s">
        <v>86</v>
      </c>
      <c r="BN3" t="s">
        <v>89</v>
      </c>
      <c r="BO3" t="s">
        <v>92</v>
      </c>
      <c r="BQ3" t="str">
        <v>AssistSecondary</v>
      </c>
    </row>
    <row r="4" spans="1:69" x14ac:dyDescent="0.2">
      <c r="A4" t="s">
        <v>6</v>
      </c>
      <c r="B4" t="s">
        <v>17</v>
      </c>
      <c r="C4" t="s">
        <v>52</v>
      </c>
      <c r="D4" t="s">
        <v>144</v>
      </c>
      <c r="E4" t="s">
        <v>157</v>
      </c>
      <c r="G4" t="s">
        <v>197</v>
      </c>
      <c r="H4" t="s">
        <v>191</v>
      </c>
      <c r="I4" t="s">
        <v>192</v>
      </c>
      <c r="J4" t="s">
        <v>215</v>
      </c>
      <c r="L4" t="s">
        <v>193</v>
      </c>
      <c r="M4" t="s">
        <v>194</v>
      </c>
      <c r="N4" t="s">
        <v>195</v>
      </c>
      <c r="O4" s="3" t="s">
        <v>196</v>
      </c>
      <c r="Q4" t="s">
        <v>384</v>
      </c>
      <c r="R4" t="s">
        <v>67</v>
      </c>
      <c r="S4" t="s">
        <v>67</v>
      </c>
      <c r="T4" t="s">
        <v>67</v>
      </c>
      <c r="U4" t="s">
        <v>67</v>
      </c>
      <c r="V4" t="s">
        <v>73</v>
      </c>
      <c r="W4" t="s">
        <v>81</v>
      </c>
      <c r="X4" t="s">
        <v>87</v>
      </c>
      <c r="Y4" t="s">
        <v>90</v>
      </c>
      <c r="Z4" t="s">
        <v>93</v>
      </c>
      <c r="AA4" t="s">
        <v>124</v>
      </c>
      <c r="AB4" t="s">
        <v>124</v>
      </c>
      <c r="AC4" t="s">
        <v>124</v>
      </c>
      <c r="AD4" t="s">
        <v>109</v>
      </c>
      <c r="AE4" t="s">
        <v>39</v>
      </c>
      <c r="AF4" t="s">
        <v>115</v>
      </c>
      <c r="AG4" t="s">
        <v>53</v>
      </c>
      <c r="AH4" t="s">
        <v>53</v>
      </c>
      <c r="AI4" t="s">
        <v>53</v>
      </c>
      <c r="AJ4" t="s">
        <v>53</v>
      </c>
      <c r="AK4" t="s">
        <v>53</v>
      </c>
      <c r="AL4" t="s">
        <v>53</v>
      </c>
      <c r="AM4" t="s">
        <v>96</v>
      </c>
      <c r="AN4" t="s">
        <v>96</v>
      </c>
      <c r="AO4" t="s">
        <v>53</v>
      </c>
      <c r="AP4" t="s">
        <v>53</v>
      </c>
      <c r="AQ4" t="s">
        <v>53</v>
      </c>
      <c r="AR4" t="s">
        <v>53</v>
      </c>
      <c r="AS4" t="s">
        <v>52</v>
      </c>
      <c r="AT4" t="s">
        <v>52</v>
      </c>
      <c r="AU4" t="s">
        <v>52</v>
      </c>
      <c r="AV4" t="s">
        <v>53</v>
      </c>
      <c r="AW4" t="s">
        <v>52</v>
      </c>
      <c r="AX4" t="s">
        <v>52</v>
      </c>
      <c r="AY4" t="s">
        <v>218</v>
      </c>
      <c r="AZ4" t="s">
        <v>218</v>
      </c>
      <c r="BA4" t="s">
        <v>218</v>
      </c>
      <c r="BB4" t="s">
        <v>96</v>
      </c>
      <c r="BC4" t="s">
        <v>234</v>
      </c>
      <c r="BD4" t="s">
        <v>420</v>
      </c>
      <c r="BE4" t="s">
        <v>434</v>
      </c>
      <c r="BF4" t="s">
        <v>587</v>
      </c>
      <c r="BG4" t="s">
        <v>8</v>
      </c>
      <c r="BH4" t="s">
        <v>53</v>
      </c>
      <c r="BI4" t="s">
        <v>287</v>
      </c>
      <c r="BJ4" t="s">
        <v>292</v>
      </c>
      <c r="BK4" t="s">
        <v>596</v>
      </c>
      <c r="BL4" t="s">
        <v>767</v>
      </c>
      <c r="BM4" t="s">
        <v>87</v>
      </c>
      <c r="BN4" t="s">
        <v>90</v>
      </c>
      <c r="BO4" t="s">
        <v>93</v>
      </c>
      <c r="BQ4" t="str">
        <v>AssistTertiary</v>
      </c>
    </row>
    <row r="5" spans="1:69" x14ac:dyDescent="0.2">
      <c r="A5" t="s">
        <v>7</v>
      </c>
      <c r="B5" t="s">
        <v>18</v>
      </c>
      <c r="C5" t="s">
        <v>53</v>
      </c>
      <c r="D5" t="s">
        <v>145</v>
      </c>
      <c r="E5" t="s">
        <v>158</v>
      </c>
      <c r="G5" t="s">
        <v>236</v>
      </c>
      <c r="H5" t="s">
        <v>198</v>
      </c>
      <c r="I5" t="s">
        <v>199</v>
      </c>
      <c r="L5" t="s">
        <v>656</v>
      </c>
      <c r="N5" t="s">
        <v>200</v>
      </c>
      <c r="O5" t="s">
        <v>402</v>
      </c>
      <c r="R5" t="s">
        <v>68</v>
      </c>
      <c r="S5" t="s">
        <v>68</v>
      </c>
      <c r="T5" t="s">
        <v>68</v>
      </c>
      <c r="U5" t="s">
        <v>68</v>
      </c>
      <c r="V5" t="s">
        <v>74</v>
      </c>
      <c r="W5" t="s">
        <v>82</v>
      </c>
      <c r="X5" t="s">
        <v>373</v>
      </c>
      <c r="Y5" t="s">
        <v>374</v>
      </c>
      <c r="AA5" t="s">
        <v>125</v>
      </c>
      <c r="AB5" t="s">
        <v>125</v>
      </c>
      <c r="AC5" t="s">
        <v>125</v>
      </c>
      <c r="AD5" t="s">
        <v>110</v>
      </c>
      <c r="AF5" t="s">
        <v>118</v>
      </c>
      <c r="AG5" t="s">
        <v>55</v>
      </c>
      <c r="AH5" t="s">
        <v>55</v>
      </c>
      <c r="AI5" t="s">
        <v>55</v>
      </c>
      <c r="AJ5" t="s">
        <v>55</v>
      </c>
      <c r="AK5" t="s">
        <v>55</v>
      </c>
      <c r="AL5" t="s">
        <v>55</v>
      </c>
      <c r="AM5" t="s">
        <v>97</v>
      </c>
      <c r="AN5" t="s">
        <v>97</v>
      </c>
      <c r="AO5" t="s">
        <v>55</v>
      </c>
      <c r="AP5" t="s">
        <v>55</v>
      </c>
      <c r="AQ5" t="s">
        <v>55</v>
      </c>
      <c r="AR5" t="s">
        <v>55</v>
      </c>
      <c r="AS5" t="s">
        <v>53</v>
      </c>
      <c r="AT5" t="s">
        <v>53</v>
      </c>
      <c r="AU5" t="s">
        <v>53</v>
      </c>
      <c r="AV5" t="s">
        <v>55</v>
      </c>
      <c r="AW5" t="s">
        <v>53</v>
      </c>
      <c r="AX5" t="s">
        <v>53</v>
      </c>
      <c r="AY5" t="s">
        <v>219</v>
      </c>
      <c r="AZ5" t="s">
        <v>220</v>
      </c>
      <c r="BA5" t="s">
        <v>220</v>
      </c>
      <c r="BB5" t="s">
        <v>97</v>
      </c>
      <c r="BC5" t="s">
        <v>235</v>
      </c>
      <c r="BD5" t="s">
        <v>421</v>
      </c>
      <c r="BE5" t="s">
        <v>435</v>
      </c>
      <c r="BF5" t="s">
        <v>574</v>
      </c>
      <c r="BG5" t="s">
        <v>9</v>
      </c>
      <c r="BH5" t="s">
        <v>55</v>
      </c>
      <c r="BI5" t="s">
        <v>288</v>
      </c>
      <c r="BJ5" t="s">
        <v>293</v>
      </c>
      <c r="BK5" t="s">
        <v>769</v>
      </c>
      <c r="BL5" t="s">
        <v>768</v>
      </c>
      <c r="BM5" t="s">
        <v>373</v>
      </c>
      <c r="BN5" t="s">
        <v>374</v>
      </c>
      <c r="BQ5" t="str">
        <v>AttemptedBlockedShot</v>
      </c>
    </row>
    <row r="6" spans="1:69" x14ac:dyDescent="0.2">
      <c r="A6" t="s">
        <v>8</v>
      </c>
      <c r="B6" t="s">
        <v>19</v>
      </c>
      <c r="C6" t="s">
        <v>54</v>
      </c>
      <c r="D6" t="s">
        <v>146</v>
      </c>
      <c r="E6" t="s">
        <v>159</v>
      </c>
      <c r="G6" t="s">
        <v>401</v>
      </c>
      <c r="H6" t="s">
        <v>201</v>
      </c>
      <c r="L6" t="s">
        <v>657</v>
      </c>
      <c r="N6" t="s">
        <v>202</v>
      </c>
      <c r="R6" t="s">
        <v>69</v>
      </c>
      <c r="S6" t="s">
        <v>69</v>
      </c>
      <c r="T6" t="s">
        <v>69</v>
      </c>
      <c r="U6" t="s">
        <v>69</v>
      </c>
      <c r="V6" t="s">
        <v>75</v>
      </c>
      <c r="W6" t="s">
        <v>83</v>
      </c>
      <c r="X6" t="s">
        <v>375</v>
      </c>
      <c r="Y6" t="s">
        <v>376</v>
      </c>
      <c r="AA6" t="s">
        <v>126</v>
      </c>
      <c r="AB6" t="s">
        <v>126</v>
      </c>
      <c r="AC6" t="s">
        <v>126</v>
      </c>
      <c r="AD6" t="s">
        <v>112</v>
      </c>
      <c r="AF6" t="s">
        <v>119</v>
      </c>
      <c r="AG6" t="s">
        <v>56</v>
      </c>
      <c r="AH6" t="s">
        <v>56</v>
      </c>
      <c r="AI6" t="s">
        <v>56</v>
      </c>
      <c r="AJ6" t="s">
        <v>56</v>
      </c>
      <c r="AK6" t="s">
        <v>56</v>
      </c>
      <c r="AL6" t="s">
        <v>56</v>
      </c>
      <c r="AM6" t="s">
        <v>98</v>
      </c>
      <c r="AN6" t="s">
        <v>98</v>
      </c>
      <c r="AO6" t="s">
        <v>56</v>
      </c>
      <c r="AP6" t="s">
        <v>56</v>
      </c>
      <c r="AQ6" t="s">
        <v>56</v>
      </c>
      <c r="AR6" t="s">
        <v>56</v>
      </c>
      <c r="AS6" t="s">
        <v>55</v>
      </c>
      <c r="AT6" t="s">
        <v>55</v>
      </c>
      <c r="AU6" t="s">
        <v>55</v>
      </c>
      <c r="AV6" t="s">
        <v>56</v>
      </c>
      <c r="AW6" t="s">
        <v>55</v>
      </c>
      <c r="AX6" t="s">
        <v>55</v>
      </c>
      <c r="AY6" t="s">
        <v>220</v>
      </c>
      <c r="AZ6" t="s">
        <v>221</v>
      </c>
      <c r="BA6" t="s">
        <v>221</v>
      </c>
      <c r="BB6" t="s">
        <v>98</v>
      </c>
      <c r="BD6" t="s">
        <v>422</v>
      </c>
      <c r="BE6" t="s">
        <v>436</v>
      </c>
      <c r="BG6" t="s">
        <v>238</v>
      </c>
      <c r="BH6" t="s">
        <v>56</v>
      </c>
      <c r="BI6" t="s">
        <v>289</v>
      </c>
      <c r="BJ6" t="s">
        <v>294</v>
      </c>
      <c r="BK6" t="s">
        <v>767</v>
      </c>
      <c r="BL6" t="s">
        <v>770</v>
      </c>
      <c r="BM6" t="s">
        <v>375</v>
      </c>
      <c r="BN6" t="s">
        <v>376</v>
      </c>
      <c r="BQ6" t="str">
        <v>AttemptedBreakOutClear</v>
      </c>
    </row>
    <row r="7" spans="1:69" x14ac:dyDescent="0.2">
      <c r="A7" t="s">
        <v>9</v>
      </c>
      <c r="B7" t="s">
        <v>20</v>
      </c>
      <c r="C7" t="s">
        <v>55</v>
      </c>
      <c r="D7" t="s">
        <v>147</v>
      </c>
      <c r="E7" t="s">
        <v>160</v>
      </c>
      <c r="H7" t="s">
        <v>206</v>
      </c>
      <c r="L7" t="s">
        <v>658</v>
      </c>
      <c r="N7" t="s">
        <v>203</v>
      </c>
      <c r="R7" t="s">
        <v>371</v>
      </c>
      <c r="S7" t="s">
        <v>371</v>
      </c>
      <c r="T7" t="s">
        <v>371</v>
      </c>
      <c r="U7" t="s">
        <v>371</v>
      </c>
      <c r="V7" t="s">
        <v>446</v>
      </c>
      <c r="W7" t="s">
        <v>355</v>
      </c>
      <c r="X7" t="s">
        <v>390</v>
      </c>
      <c r="Y7" t="s">
        <v>378</v>
      </c>
      <c r="AA7" t="s">
        <v>127</v>
      </c>
      <c r="AB7" t="s">
        <v>127</v>
      </c>
      <c r="AC7" t="s">
        <v>127</v>
      </c>
      <c r="AD7" t="s">
        <v>113</v>
      </c>
      <c r="AF7" t="s">
        <v>120</v>
      </c>
      <c r="AG7" t="s">
        <v>57</v>
      </c>
      <c r="AH7" t="s">
        <v>57</v>
      </c>
      <c r="AI7" t="s">
        <v>57</v>
      </c>
      <c r="AJ7" t="s">
        <v>57</v>
      </c>
      <c r="AK7" t="s">
        <v>57</v>
      </c>
      <c r="AL7" t="s">
        <v>57</v>
      </c>
      <c r="AM7" t="s">
        <v>99</v>
      </c>
      <c r="AN7" t="s">
        <v>99</v>
      </c>
      <c r="AO7" t="s">
        <v>57</v>
      </c>
      <c r="AP7" t="s">
        <v>57</v>
      </c>
      <c r="AQ7" t="s">
        <v>57</v>
      </c>
      <c r="AR7" t="s">
        <v>57</v>
      </c>
      <c r="AS7" t="s">
        <v>56</v>
      </c>
      <c r="AT7" t="s">
        <v>56</v>
      </c>
      <c r="AU7" t="s">
        <v>56</v>
      </c>
      <c r="AV7" t="s">
        <v>57</v>
      </c>
      <c r="AW7" t="s">
        <v>56</v>
      </c>
      <c r="AX7" t="s">
        <v>56</v>
      </c>
      <c r="AY7" t="s">
        <v>221</v>
      </c>
      <c r="AZ7" t="s">
        <v>222</v>
      </c>
      <c r="BA7" t="s">
        <v>222</v>
      </c>
      <c r="BB7" t="s">
        <v>99</v>
      </c>
      <c r="BD7" t="s">
        <v>423</v>
      </c>
      <c r="BE7" t="s">
        <v>437</v>
      </c>
      <c r="BG7" t="s">
        <v>10</v>
      </c>
      <c r="BH7" t="s">
        <v>57</v>
      </c>
      <c r="BI7" t="s">
        <v>290</v>
      </c>
      <c r="BJ7" t="s">
        <v>295</v>
      </c>
      <c r="BK7" t="s">
        <v>768</v>
      </c>
      <c r="BL7" t="s">
        <v>771</v>
      </c>
      <c r="BM7" t="s">
        <v>390</v>
      </c>
      <c r="BN7" t="s">
        <v>378</v>
      </c>
      <c r="BQ7" t="str">
        <v>AttemptedBreakOutPass</v>
      </c>
    </row>
    <row r="8" spans="1:69" x14ac:dyDescent="0.2">
      <c r="A8" t="s">
        <v>238</v>
      </c>
      <c r="B8" t="s">
        <v>21</v>
      </c>
      <c r="C8" t="s">
        <v>56</v>
      </c>
      <c r="D8" t="s">
        <v>148</v>
      </c>
      <c r="E8" t="s">
        <v>161</v>
      </c>
      <c r="H8" t="s">
        <v>204</v>
      </c>
      <c r="R8" t="s">
        <v>372</v>
      </c>
      <c r="S8" t="s">
        <v>372</v>
      </c>
      <c r="T8" t="s">
        <v>372</v>
      </c>
      <c r="U8" t="s">
        <v>372</v>
      </c>
      <c r="V8" t="s">
        <v>76</v>
      </c>
      <c r="W8" t="s">
        <v>366</v>
      </c>
      <c r="X8" t="s">
        <v>377</v>
      </c>
      <c r="Y8" t="s">
        <v>380</v>
      </c>
      <c r="AA8" t="s">
        <v>128</v>
      </c>
      <c r="AB8" t="s">
        <v>128</v>
      </c>
      <c r="AC8" t="s">
        <v>128</v>
      </c>
      <c r="AD8" t="s">
        <v>116</v>
      </c>
      <c r="AF8" t="s">
        <v>121</v>
      </c>
      <c r="AG8" t="s">
        <v>58</v>
      </c>
      <c r="AH8" t="s">
        <v>58</v>
      </c>
      <c r="AI8" t="s">
        <v>58</v>
      </c>
      <c r="AJ8" t="s">
        <v>58</v>
      </c>
      <c r="AK8" t="s">
        <v>58</v>
      </c>
      <c r="AL8" t="s">
        <v>58</v>
      </c>
      <c r="AM8" t="s">
        <v>100</v>
      </c>
      <c r="AN8" t="s">
        <v>100</v>
      </c>
      <c r="AO8" t="s">
        <v>58</v>
      </c>
      <c r="AP8" t="s">
        <v>58</v>
      </c>
      <c r="AQ8" t="s">
        <v>58</v>
      </c>
      <c r="AR8" t="s">
        <v>58</v>
      </c>
      <c r="AS8" t="s">
        <v>57</v>
      </c>
      <c r="AT8" t="s">
        <v>57</v>
      </c>
      <c r="AU8" t="s">
        <v>57</v>
      </c>
      <c r="AV8" t="s">
        <v>58</v>
      </c>
      <c r="AW8" t="s">
        <v>57</v>
      </c>
      <c r="AX8" t="s">
        <v>57</v>
      </c>
      <c r="AY8" t="s">
        <v>222</v>
      </c>
      <c r="AZ8" t="s">
        <v>223</v>
      </c>
      <c r="BA8" t="s">
        <v>223</v>
      </c>
      <c r="BB8" t="s">
        <v>100</v>
      </c>
      <c r="BD8" t="s">
        <v>424</v>
      </c>
      <c r="BE8" t="s">
        <v>438</v>
      </c>
      <c r="BG8" t="s">
        <v>237</v>
      </c>
      <c r="BH8" t="s">
        <v>58</v>
      </c>
      <c r="BI8" t="s">
        <v>393</v>
      </c>
      <c r="BJ8" t="s">
        <v>296</v>
      </c>
      <c r="BK8" t="s">
        <v>770</v>
      </c>
      <c r="BL8" t="s">
        <v>772</v>
      </c>
      <c r="BM8" t="s">
        <v>377</v>
      </c>
      <c r="BN8" t="s">
        <v>380</v>
      </c>
      <c r="BQ8" t="str">
        <v>AttemptedBreakOutRush</v>
      </c>
    </row>
    <row r="9" spans="1:69" x14ac:dyDescent="0.2">
      <c r="A9" t="s">
        <v>10</v>
      </c>
      <c r="B9" t="s">
        <v>22</v>
      </c>
      <c r="C9" t="s">
        <v>57</v>
      </c>
      <c r="D9" t="s">
        <v>149</v>
      </c>
      <c r="E9" t="s">
        <v>162</v>
      </c>
      <c r="H9" t="s">
        <v>207</v>
      </c>
      <c r="R9" t="s">
        <v>381</v>
      </c>
      <c r="S9" t="s">
        <v>381</v>
      </c>
      <c r="T9" t="s">
        <v>381</v>
      </c>
      <c r="U9" t="s">
        <v>381</v>
      </c>
      <c r="V9" t="s">
        <v>77</v>
      </c>
      <c r="W9" t="s">
        <v>84</v>
      </c>
      <c r="X9" t="s">
        <v>379</v>
      </c>
      <c r="Y9" t="s">
        <v>415</v>
      </c>
      <c r="AA9" t="s">
        <v>129</v>
      </c>
      <c r="AB9" t="s">
        <v>129</v>
      </c>
      <c r="AC9" t="s">
        <v>129</v>
      </c>
      <c r="AD9" t="s">
        <v>108</v>
      </c>
      <c r="AG9" t="s">
        <v>59</v>
      </c>
      <c r="AH9" t="s">
        <v>59</v>
      </c>
      <c r="AI9" t="s">
        <v>59</v>
      </c>
      <c r="AJ9" t="s">
        <v>59</v>
      </c>
      <c r="AK9" t="s">
        <v>59</v>
      </c>
      <c r="AL9" t="s">
        <v>59</v>
      </c>
      <c r="AM9" t="s">
        <v>101</v>
      </c>
      <c r="AN9" t="s">
        <v>101</v>
      </c>
      <c r="AO9" t="s">
        <v>59</v>
      </c>
      <c r="AP9" t="s">
        <v>59</v>
      </c>
      <c r="AQ9" t="s">
        <v>59</v>
      </c>
      <c r="AR9" t="s">
        <v>59</v>
      </c>
      <c r="AS9" t="s">
        <v>58</v>
      </c>
      <c r="AT9" t="s">
        <v>58</v>
      </c>
      <c r="AU9" t="s">
        <v>58</v>
      </c>
      <c r="AV9" t="s">
        <v>59</v>
      </c>
      <c r="AW9" t="s">
        <v>58</v>
      </c>
      <c r="AX9" t="s">
        <v>58</v>
      </c>
      <c r="AY9" t="s">
        <v>223</v>
      </c>
      <c r="AZ9" t="s">
        <v>224</v>
      </c>
      <c r="BA9" t="s">
        <v>224</v>
      </c>
      <c r="BB9" t="s">
        <v>101</v>
      </c>
      <c r="BD9" t="s">
        <v>425</v>
      </c>
      <c r="BE9" t="s">
        <v>439</v>
      </c>
      <c r="BG9" t="s">
        <v>11</v>
      </c>
      <c r="BH9" t="s">
        <v>59</v>
      </c>
      <c r="BI9" t="s">
        <v>519</v>
      </c>
      <c r="BJ9" t="s">
        <v>285</v>
      </c>
      <c r="BK9" t="s">
        <v>771</v>
      </c>
      <c r="BL9" t="s">
        <v>766</v>
      </c>
      <c r="BM9" t="s">
        <v>379</v>
      </c>
      <c r="BN9" t="s">
        <v>415</v>
      </c>
      <c r="BQ9" t="str">
        <v>AttemptedEntryDumpIn</v>
      </c>
    </row>
    <row r="10" spans="1:69" x14ac:dyDescent="0.2">
      <c r="A10" t="s">
        <v>237</v>
      </c>
      <c r="B10" t="s">
        <v>23</v>
      </c>
      <c r="C10" t="s">
        <v>58</v>
      </c>
      <c r="D10" t="s">
        <v>150</v>
      </c>
      <c r="E10" t="s">
        <v>163</v>
      </c>
      <c r="H10" t="s">
        <v>208</v>
      </c>
      <c r="R10" t="s">
        <v>385</v>
      </c>
      <c r="S10" t="s">
        <v>385</v>
      </c>
      <c r="T10" t="s">
        <v>385</v>
      </c>
      <c r="U10" t="s">
        <v>385</v>
      </c>
      <c r="V10" t="s">
        <v>354</v>
      </c>
      <c r="X10" t="s">
        <v>382</v>
      </c>
      <c r="Y10" t="s">
        <v>524</v>
      </c>
      <c r="AA10" t="s">
        <v>130</v>
      </c>
      <c r="AB10" t="s">
        <v>130</v>
      </c>
      <c r="AC10" t="s">
        <v>130</v>
      </c>
      <c r="AD10" t="s">
        <v>105</v>
      </c>
      <c r="AG10" t="s">
        <v>60</v>
      </c>
      <c r="AH10" t="s">
        <v>60</v>
      </c>
      <c r="AI10" t="s">
        <v>60</v>
      </c>
      <c r="AJ10" t="s">
        <v>60</v>
      </c>
      <c r="AK10" t="s">
        <v>60</v>
      </c>
      <c r="AL10" t="s">
        <v>60</v>
      </c>
      <c r="AM10" t="s">
        <v>416</v>
      </c>
      <c r="AN10" t="s">
        <v>416</v>
      </c>
      <c r="AO10" t="s">
        <v>60</v>
      </c>
      <c r="AP10" t="s">
        <v>60</v>
      </c>
      <c r="AQ10" t="s">
        <v>60</v>
      </c>
      <c r="AR10" t="s">
        <v>60</v>
      </c>
      <c r="AS10" t="s">
        <v>59</v>
      </c>
      <c r="AT10" t="s">
        <v>59</v>
      </c>
      <c r="AU10" t="s">
        <v>59</v>
      </c>
      <c r="AV10" t="s">
        <v>60</v>
      </c>
      <c r="AW10" t="s">
        <v>59</v>
      </c>
      <c r="AX10" t="s">
        <v>59</v>
      </c>
      <c r="AY10" t="s">
        <v>224</v>
      </c>
      <c r="AZ10" t="s">
        <v>225</v>
      </c>
      <c r="BA10" t="s">
        <v>225</v>
      </c>
      <c r="BB10" t="s">
        <v>102</v>
      </c>
      <c r="BD10" t="s">
        <v>447</v>
      </c>
      <c r="BE10" t="s">
        <v>440</v>
      </c>
      <c r="BG10" t="s">
        <v>12</v>
      </c>
      <c r="BH10" t="s">
        <v>60</v>
      </c>
      <c r="BI10" t="s">
        <v>287</v>
      </c>
      <c r="BJ10" t="s">
        <v>297</v>
      </c>
      <c r="BK10" t="s">
        <v>772</v>
      </c>
      <c r="BL10" t="s">
        <v>159</v>
      </c>
      <c r="BM10" t="s">
        <v>382</v>
      </c>
      <c r="BN10" t="s">
        <v>524</v>
      </c>
      <c r="BQ10" t="str">
        <v>AttemptedEntryPass</v>
      </c>
    </row>
    <row r="11" spans="1:69" x14ac:dyDescent="0.2">
      <c r="A11" t="s">
        <v>11</v>
      </c>
      <c r="B11" t="s">
        <v>24</v>
      </c>
      <c r="C11" t="s">
        <v>59</v>
      </c>
      <c r="D11" t="s">
        <v>151</v>
      </c>
      <c r="E11" t="s">
        <v>164</v>
      </c>
      <c r="H11" t="s">
        <v>211</v>
      </c>
      <c r="R11" t="s">
        <v>444</v>
      </c>
      <c r="S11" t="s">
        <v>444</v>
      </c>
      <c r="T11" t="s">
        <v>444</v>
      </c>
      <c r="U11" t="s">
        <v>444</v>
      </c>
      <c r="V11" t="s">
        <v>365</v>
      </c>
      <c r="X11" t="s">
        <v>414</v>
      </c>
      <c r="Y11" t="s">
        <v>727</v>
      </c>
      <c r="AA11" t="s">
        <v>131</v>
      </c>
      <c r="AB11" t="s">
        <v>131</v>
      </c>
      <c r="AC11" t="s">
        <v>131</v>
      </c>
      <c r="AD11" t="s">
        <v>41</v>
      </c>
      <c r="AG11" t="s">
        <v>54</v>
      </c>
      <c r="AH11" t="s">
        <v>54</v>
      </c>
      <c r="AI11" t="s">
        <v>64</v>
      </c>
      <c r="AJ11" t="s">
        <v>64</v>
      </c>
      <c r="AK11" t="s">
        <v>64</v>
      </c>
      <c r="AL11" t="s">
        <v>64</v>
      </c>
      <c r="AM11" t="s">
        <v>443</v>
      </c>
      <c r="AN11" t="s">
        <v>443</v>
      </c>
      <c r="AO11" t="s">
        <v>61</v>
      </c>
      <c r="AP11" t="s">
        <v>61</v>
      </c>
      <c r="AQ11" t="s">
        <v>61</v>
      </c>
      <c r="AR11" t="s">
        <v>61</v>
      </c>
      <c r="AS11" t="s">
        <v>60</v>
      </c>
      <c r="AT11" t="s">
        <v>60</v>
      </c>
      <c r="AU11" t="s">
        <v>60</v>
      </c>
      <c r="AV11" t="s">
        <v>61</v>
      </c>
      <c r="AW11" t="s">
        <v>60</v>
      </c>
      <c r="AX11" t="s">
        <v>60</v>
      </c>
      <c r="AY11" t="s">
        <v>225</v>
      </c>
      <c r="AZ11" t="s">
        <v>229</v>
      </c>
      <c r="BA11" t="s">
        <v>229</v>
      </c>
      <c r="BD11" t="s">
        <v>426</v>
      </c>
      <c r="BE11" t="s">
        <v>441</v>
      </c>
      <c r="BG11" t="s">
        <v>13</v>
      </c>
      <c r="BH11" t="s">
        <v>61</v>
      </c>
      <c r="BJ11" t="s">
        <v>298</v>
      </c>
      <c r="BK11" t="s">
        <v>766</v>
      </c>
      <c r="BL11" t="s">
        <v>164</v>
      </c>
      <c r="BM11" t="s">
        <v>414</v>
      </c>
      <c r="BN11" t="s">
        <v>170</v>
      </c>
      <c r="BQ11" t="str">
        <v>AttemptedEntryRush</v>
      </c>
    </row>
    <row r="12" spans="1:69" x14ac:dyDescent="0.2">
      <c r="A12" t="s">
        <v>12</v>
      </c>
      <c r="B12" t="s">
        <v>25</v>
      </c>
      <c r="C12" t="s">
        <v>60</v>
      </c>
      <c r="D12" t="s">
        <v>152</v>
      </c>
      <c r="E12" t="s">
        <v>165</v>
      </c>
      <c r="H12" t="s">
        <v>212</v>
      </c>
      <c r="R12" t="s">
        <v>445</v>
      </c>
      <c r="S12" t="s">
        <v>445</v>
      </c>
      <c r="T12" t="s">
        <v>445</v>
      </c>
      <c r="U12" t="s">
        <v>445</v>
      </c>
      <c r="V12" t="s">
        <v>383</v>
      </c>
      <c r="X12" t="s">
        <v>523</v>
      </c>
      <c r="Y12" t="s">
        <v>170</v>
      </c>
      <c r="AA12" t="s">
        <v>132</v>
      </c>
      <c r="AB12" t="s">
        <v>132</v>
      </c>
      <c r="AC12" t="s">
        <v>132</v>
      </c>
      <c r="AD12" t="s">
        <v>40</v>
      </c>
      <c r="AG12" t="s">
        <v>64</v>
      </c>
      <c r="AH12" t="s">
        <v>64</v>
      </c>
      <c r="AM12" t="s">
        <v>102</v>
      </c>
      <c r="AN12" t="s">
        <v>102</v>
      </c>
      <c r="AO12" t="s">
        <v>63</v>
      </c>
      <c r="AP12" t="s">
        <v>63</v>
      </c>
      <c r="AQ12" t="s">
        <v>63</v>
      </c>
      <c r="AR12" t="s">
        <v>63</v>
      </c>
      <c r="AS12" t="s">
        <v>61</v>
      </c>
      <c r="AT12" t="s">
        <v>61</v>
      </c>
      <c r="AU12" t="s">
        <v>61</v>
      </c>
      <c r="AV12" t="s">
        <v>63</v>
      </c>
      <c r="AW12" t="s">
        <v>61</v>
      </c>
      <c r="AX12" t="s">
        <v>61</v>
      </c>
      <c r="AY12" t="s">
        <v>226</v>
      </c>
      <c r="BD12" t="s">
        <v>427</v>
      </c>
      <c r="BE12" t="s">
        <v>442</v>
      </c>
      <c r="BG12" t="s">
        <v>14</v>
      </c>
      <c r="BH12" t="s">
        <v>63</v>
      </c>
      <c r="BJ12" t="s">
        <v>299</v>
      </c>
      <c r="BK12" t="s">
        <v>450</v>
      </c>
      <c r="BL12" t="s">
        <v>758</v>
      </c>
      <c r="BM12" t="s">
        <v>523</v>
      </c>
      <c r="BQ12" t="str">
        <v>AttemptedKeepin</v>
      </c>
    </row>
    <row r="13" spans="1:69" x14ac:dyDescent="0.2">
      <c r="A13" t="s">
        <v>13</v>
      </c>
      <c r="B13" t="s">
        <v>26</v>
      </c>
      <c r="C13" t="s">
        <v>61</v>
      </c>
      <c r="D13" t="s">
        <v>153</v>
      </c>
      <c r="E13" t="s">
        <v>166</v>
      </c>
      <c r="H13" t="s">
        <v>240</v>
      </c>
      <c r="R13" t="s">
        <v>588</v>
      </c>
      <c r="S13" t="s">
        <v>70</v>
      </c>
      <c r="T13" t="s">
        <v>70</v>
      </c>
      <c r="U13" t="s">
        <v>70</v>
      </c>
      <c r="V13" t="s">
        <v>391</v>
      </c>
      <c r="X13" t="s">
        <v>726</v>
      </c>
      <c r="AA13" t="s">
        <v>134</v>
      </c>
      <c r="AB13" t="s">
        <v>133</v>
      </c>
      <c r="AC13" t="s">
        <v>133</v>
      </c>
      <c r="AO13" t="s">
        <v>54</v>
      </c>
      <c r="AP13" t="s">
        <v>204</v>
      </c>
      <c r="AQ13" t="s">
        <v>204</v>
      </c>
      <c r="AR13" t="s">
        <v>204</v>
      </c>
      <c r="AS13" t="s">
        <v>63</v>
      </c>
      <c r="AT13" t="s">
        <v>63</v>
      </c>
      <c r="AU13" t="s">
        <v>63</v>
      </c>
      <c r="AV13" t="s">
        <v>64</v>
      </c>
      <c r="AW13" t="s">
        <v>63</v>
      </c>
      <c r="AX13" t="s">
        <v>63</v>
      </c>
      <c r="AY13" t="s">
        <v>227</v>
      </c>
      <c r="BD13" t="s">
        <v>428</v>
      </c>
      <c r="BE13" t="s">
        <v>448</v>
      </c>
      <c r="BG13" t="s">
        <v>15</v>
      </c>
      <c r="BH13" t="s">
        <v>204</v>
      </c>
      <c r="BJ13" t="s">
        <v>300</v>
      </c>
      <c r="BK13" t="s">
        <v>450</v>
      </c>
      <c r="BL13" t="s">
        <v>162</v>
      </c>
      <c r="BM13" t="s">
        <v>169</v>
      </c>
      <c r="BQ13" t="str">
        <v>AttemptedPass</v>
      </c>
    </row>
    <row r="14" spans="1:69" x14ac:dyDescent="0.2">
      <c r="A14" t="s">
        <v>14</v>
      </c>
      <c r="B14" t="s">
        <v>27</v>
      </c>
      <c r="C14" t="s">
        <v>62</v>
      </c>
      <c r="D14" t="s">
        <v>154</v>
      </c>
      <c r="E14" t="s">
        <v>152</v>
      </c>
      <c r="H14" t="s">
        <v>730</v>
      </c>
      <c r="R14" t="s">
        <v>589</v>
      </c>
      <c r="S14" t="s">
        <v>589</v>
      </c>
      <c r="T14" t="s">
        <v>589</v>
      </c>
      <c r="U14" t="s">
        <v>589</v>
      </c>
      <c r="V14" t="s">
        <v>78</v>
      </c>
      <c r="X14" t="s">
        <v>169</v>
      </c>
      <c r="AA14" t="s">
        <v>135</v>
      </c>
      <c r="AB14" t="s">
        <v>134</v>
      </c>
      <c r="AC14" t="s">
        <v>134</v>
      </c>
      <c r="AO14" t="s">
        <v>64</v>
      </c>
      <c r="AP14" t="s">
        <v>64</v>
      </c>
      <c r="AQ14" t="s">
        <v>64</v>
      </c>
      <c r="AR14" t="s">
        <v>64</v>
      </c>
      <c r="AS14" t="s">
        <v>64</v>
      </c>
      <c r="AT14" t="s">
        <v>64</v>
      </c>
      <c r="AU14" t="s">
        <v>64</v>
      </c>
      <c r="AV14" t="s">
        <v>62</v>
      </c>
      <c r="AW14" t="s">
        <v>64</v>
      </c>
      <c r="AX14" t="s">
        <v>64</v>
      </c>
      <c r="AY14" t="s">
        <v>228</v>
      </c>
      <c r="BD14" t="s">
        <v>429</v>
      </c>
      <c r="BE14" t="s">
        <v>427</v>
      </c>
      <c r="BG14" t="s">
        <v>16</v>
      </c>
      <c r="BH14" t="s">
        <v>64</v>
      </c>
      <c r="BJ14" t="s">
        <v>301</v>
      </c>
      <c r="BK14" t="s">
        <v>774</v>
      </c>
      <c r="BL14" t="s">
        <v>165</v>
      </c>
      <c r="BQ14" t="str">
        <v>AttemptedShot</v>
      </c>
    </row>
    <row r="15" spans="1:69" x14ac:dyDescent="0.2">
      <c r="A15" t="s">
        <v>15</v>
      </c>
      <c r="B15" t="s">
        <v>28</v>
      </c>
      <c r="C15" t="s">
        <v>63</v>
      </c>
      <c r="D15" t="s">
        <v>155</v>
      </c>
      <c r="R15" t="s">
        <v>590</v>
      </c>
      <c r="S15" t="s">
        <v>590</v>
      </c>
      <c r="T15" t="s">
        <v>590</v>
      </c>
      <c r="U15" t="s">
        <v>590</v>
      </c>
      <c r="AA15" t="s">
        <v>136</v>
      </c>
      <c r="AB15" t="s">
        <v>135</v>
      </c>
      <c r="AC15" t="s">
        <v>135</v>
      </c>
      <c r="AV15" t="s">
        <v>54</v>
      </c>
      <c r="AY15" t="s">
        <v>229</v>
      </c>
      <c r="BD15" t="s">
        <v>430</v>
      </c>
      <c r="BG15" t="s">
        <v>231</v>
      </c>
      <c r="BJ15" t="s">
        <v>302</v>
      </c>
      <c r="BK15" t="s">
        <v>773</v>
      </c>
      <c r="BL15" t="s">
        <v>163</v>
      </c>
      <c r="BQ15" t="str">
        <v>AttemptedTip/Deflection</v>
      </c>
    </row>
    <row r="16" spans="1:69" x14ac:dyDescent="0.2">
      <c r="A16" t="s">
        <v>16</v>
      </c>
      <c r="B16" t="s">
        <v>29</v>
      </c>
      <c r="C16" t="s">
        <v>64</v>
      </c>
      <c r="R16" t="s">
        <v>591</v>
      </c>
      <c r="S16" t="s">
        <v>591</v>
      </c>
      <c r="T16" t="s">
        <v>591</v>
      </c>
      <c r="U16" t="s">
        <v>591</v>
      </c>
      <c r="AA16" t="s">
        <v>138</v>
      </c>
      <c r="AB16" t="s">
        <v>136</v>
      </c>
      <c r="AC16" t="s">
        <v>136</v>
      </c>
      <c r="BD16" t="s">
        <v>431</v>
      </c>
      <c r="BJ16" t="s">
        <v>303</v>
      </c>
      <c r="BK16" t="s">
        <v>151</v>
      </c>
      <c r="BL16" t="s">
        <v>556</v>
      </c>
      <c r="BQ16" t="str">
        <v>Backcheck</v>
      </c>
    </row>
    <row r="17" spans="1:69" x14ac:dyDescent="0.2">
      <c r="A17" t="s">
        <v>231</v>
      </c>
      <c r="B17" t="s">
        <v>30</v>
      </c>
      <c r="C17" t="s">
        <v>65</v>
      </c>
      <c r="R17" t="s">
        <v>592</v>
      </c>
      <c r="S17" t="s">
        <v>592</v>
      </c>
      <c r="T17" t="s">
        <v>592</v>
      </c>
      <c r="U17" t="s">
        <v>592</v>
      </c>
      <c r="AA17" t="s">
        <v>139</v>
      </c>
      <c r="AB17" t="s">
        <v>137</v>
      </c>
      <c r="AC17" t="s">
        <v>137</v>
      </c>
      <c r="BJ17" t="s">
        <v>304</v>
      </c>
      <c r="BK17" t="s">
        <v>148</v>
      </c>
      <c r="BL17" t="s">
        <v>166</v>
      </c>
      <c r="BQ17" t="str">
        <v>BeatDeke</v>
      </c>
    </row>
    <row r="18" spans="1:69" x14ac:dyDescent="0.2">
      <c r="A18" t="s">
        <v>241</v>
      </c>
      <c r="B18" t="s">
        <v>31</v>
      </c>
      <c r="C18" t="s">
        <v>66</v>
      </c>
      <c r="R18" t="s">
        <v>70</v>
      </c>
      <c r="S18" t="s">
        <v>70</v>
      </c>
      <c r="T18" t="s">
        <v>70</v>
      </c>
      <c r="U18" t="s">
        <v>70</v>
      </c>
      <c r="AA18" t="s">
        <v>141</v>
      </c>
      <c r="AB18" t="s">
        <v>138</v>
      </c>
      <c r="AC18" t="s">
        <v>138</v>
      </c>
      <c r="BJ18" t="s">
        <v>305</v>
      </c>
      <c r="BK18" t="s">
        <v>548</v>
      </c>
      <c r="BL18" t="s">
        <v>774</v>
      </c>
      <c r="BQ18" t="str">
        <v>BeatFake</v>
      </c>
    </row>
    <row r="19" spans="1:69" x14ac:dyDescent="0.2">
      <c r="A19" t="s">
        <v>230</v>
      </c>
      <c r="B19" t="s">
        <v>32</v>
      </c>
      <c r="C19" t="s">
        <v>67</v>
      </c>
      <c r="AB19" t="s">
        <v>139</v>
      </c>
      <c r="AC19" t="s">
        <v>139</v>
      </c>
      <c r="BJ19" t="s">
        <v>306</v>
      </c>
      <c r="BK19" t="s">
        <v>527</v>
      </c>
      <c r="BL19" t="s">
        <v>773</v>
      </c>
      <c r="BQ19" t="str">
        <v>BeatMiddle</v>
      </c>
    </row>
    <row r="20" spans="1:69" x14ac:dyDescent="0.2">
      <c r="A20" t="s">
        <v>392</v>
      </c>
      <c r="B20" t="s">
        <v>33</v>
      </c>
      <c r="C20" t="s">
        <v>68</v>
      </c>
      <c r="AB20" t="s">
        <v>140</v>
      </c>
      <c r="AC20" t="s">
        <v>140</v>
      </c>
      <c r="BJ20" t="s">
        <v>307</v>
      </c>
      <c r="BK20" t="s">
        <v>150</v>
      </c>
      <c r="BL20" t="s">
        <v>558</v>
      </c>
      <c r="BQ20" t="str">
        <v>BeatSpeed</v>
      </c>
    </row>
    <row r="21" spans="1:69" x14ac:dyDescent="0.2">
      <c r="A21" t="s">
        <v>393</v>
      </c>
      <c r="B21" t="s">
        <v>34</v>
      </c>
      <c r="C21" t="s">
        <v>69</v>
      </c>
      <c r="AB21" t="s">
        <v>141</v>
      </c>
      <c r="AC21" t="s">
        <v>141</v>
      </c>
      <c r="BJ21" t="s">
        <v>308</v>
      </c>
      <c r="BK21" t="s">
        <v>149</v>
      </c>
      <c r="BL21" t="s">
        <v>161</v>
      </c>
      <c r="BQ21" t="str">
        <v>BeatWide</v>
      </c>
    </row>
    <row r="22" spans="1:69" x14ac:dyDescent="0.2">
      <c r="A22" t="s">
        <v>398</v>
      </c>
      <c r="B22" t="s">
        <v>35</v>
      </c>
      <c r="C22" t="s">
        <v>70</v>
      </c>
      <c r="BJ22" t="s">
        <v>309</v>
      </c>
      <c r="BK22" t="s">
        <v>145</v>
      </c>
      <c r="BL22" t="s">
        <v>584</v>
      </c>
      <c r="BQ22" t="str">
        <v>BlockedShot</v>
      </c>
    </row>
    <row r="23" spans="1:69" x14ac:dyDescent="0.2">
      <c r="A23" t="s">
        <v>287</v>
      </c>
      <c r="B23" t="s">
        <v>10</v>
      </c>
      <c r="C23" t="s">
        <v>71</v>
      </c>
      <c r="BJ23" t="s">
        <v>310</v>
      </c>
      <c r="BK23" t="s">
        <v>143</v>
      </c>
      <c r="BL23" t="s">
        <v>760</v>
      </c>
      <c r="BQ23" t="str">
        <v>BoxOut</v>
      </c>
    </row>
    <row r="24" spans="1:69" x14ac:dyDescent="0.2">
      <c r="A24" t="s">
        <v>400</v>
      </c>
      <c r="B24" t="s">
        <v>36</v>
      </c>
      <c r="C24" t="s">
        <v>72</v>
      </c>
      <c r="BJ24" t="s">
        <v>311</v>
      </c>
      <c r="BK24" t="s">
        <v>146</v>
      </c>
      <c r="BL24" t="s">
        <v>762</v>
      </c>
      <c r="BQ24" t="str">
        <v>Breakout</v>
      </c>
    </row>
    <row r="25" spans="1:69" x14ac:dyDescent="0.2">
      <c r="A25" t="s">
        <v>417</v>
      </c>
      <c r="B25" t="s">
        <v>37</v>
      </c>
      <c r="C25" t="s">
        <v>73</v>
      </c>
      <c r="BJ25" t="s">
        <v>312</v>
      </c>
      <c r="BK25" t="s">
        <v>147</v>
      </c>
      <c r="BL25" t="s">
        <v>761</v>
      </c>
      <c r="BQ25" t="str">
        <v>CededZoneEntry</v>
      </c>
    </row>
    <row r="26" spans="1:69" x14ac:dyDescent="0.2">
      <c r="A26" t="s">
        <v>529</v>
      </c>
      <c r="B26" t="s">
        <v>38</v>
      </c>
      <c r="C26" t="s">
        <v>74</v>
      </c>
      <c r="BJ26" t="s">
        <v>313</v>
      </c>
      <c r="BK26" t="s">
        <v>144</v>
      </c>
      <c r="BL26" t="s">
        <v>759</v>
      </c>
      <c r="BQ26" t="str">
        <v>CededZoneExit</v>
      </c>
    </row>
    <row r="27" spans="1:69" x14ac:dyDescent="0.2">
      <c r="B27" t="s">
        <v>39</v>
      </c>
      <c r="C27" t="s">
        <v>75</v>
      </c>
      <c r="BJ27" t="s">
        <v>314</v>
      </c>
      <c r="BK27" t="s">
        <v>537</v>
      </c>
      <c r="BL27" t="s">
        <v>786</v>
      </c>
      <c r="BQ27" t="str">
        <v>Chip</v>
      </c>
    </row>
    <row r="28" spans="1:69" x14ac:dyDescent="0.2">
      <c r="B28" t="s">
        <v>40</v>
      </c>
      <c r="C28" t="s">
        <v>76</v>
      </c>
      <c r="BJ28" t="s">
        <v>315</v>
      </c>
      <c r="BK28" t="s">
        <v>153</v>
      </c>
      <c r="BL28" t="s">
        <v>154</v>
      </c>
      <c r="BQ28" t="str">
        <v>ClearingAttempt</v>
      </c>
    </row>
    <row r="29" spans="1:69" x14ac:dyDescent="0.2">
      <c r="B29" t="s">
        <v>41</v>
      </c>
      <c r="C29" t="s">
        <v>77</v>
      </c>
      <c r="BJ29" t="s">
        <v>316</v>
      </c>
      <c r="BK29" t="s">
        <v>547</v>
      </c>
      <c r="BL29" t="s">
        <v>546</v>
      </c>
      <c r="BQ29" t="str">
        <v>Contain</v>
      </c>
    </row>
    <row r="30" spans="1:69" x14ac:dyDescent="0.2">
      <c r="B30" t="s">
        <v>42</v>
      </c>
      <c r="C30" t="s">
        <v>78</v>
      </c>
      <c r="BJ30" t="s">
        <v>317</v>
      </c>
      <c r="BK30" t="s">
        <v>545</v>
      </c>
      <c r="BL30" t="s">
        <v>757</v>
      </c>
      <c r="BQ30" t="str">
        <v>CrashNet</v>
      </c>
    </row>
    <row r="31" spans="1:69" x14ac:dyDescent="0.2">
      <c r="B31" t="s">
        <v>43</v>
      </c>
      <c r="C31" t="s">
        <v>79</v>
      </c>
      <c r="BJ31" t="s">
        <v>318</v>
      </c>
      <c r="BK31" t="s">
        <v>763</v>
      </c>
      <c r="BL31" t="s">
        <v>566</v>
      </c>
      <c r="BQ31" t="str">
        <v>CutBack</v>
      </c>
    </row>
    <row r="32" spans="1:69" x14ac:dyDescent="0.2">
      <c r="B32" t="s">
        <v>44</v>
      </c>
      <c r="C32" t="s">
        <v>80</v>
      </c>
      <c r="BJ32" t="s">
        <v>319</v>
      </c>
      <c r="BK32" t="s">
        <v>554</v>
      </c>
      <c r="BL32" t="s">
        <v>765</v>
      </c>
      <c r="BQ32" t="str">
        <v>Cycle</v>
      </c>
    </row>
    <row r="33" spans="2:69" x14ac:dyDescent="0.2">
      <c r="B33" t="s">
        <v>45</v>
      </c>
      <c r="C33" t="s">
        <v>81</v>
      </c>
      <c r="BJ33" t="s">
        <v>320</v>
      </c>
      <c r="BK33" t="s">
        <v>154</v>
      </c>
      <c r="BL33" t="s">
        <v>764</v>
      </c>
      <c r="BQ33" t="str">
        <v>DeflectedShot</v>
      </c>
    </row>
    <row r="34" spans="2:69" x14ac:dyDescent="0.2">
      <c r="B34" t="s">
        <v>46</v>
      </c>
      <c r="C34" t="s">
        <v>82</v>
      </c>
      <c r="BJ34" t="s">
        <v>321</v>
      </c>
      <c r="BK34" t="s">
        <v>546</v>
      </c>
      <c r="BL34" t="s">
        <v>563</v>
      </c>
      <c r="BQ34" t="str">
        <v>Deke</v>
      </c>
    </row>
    <row r="35" spans="2:69" x14ac:dyDescent="0.2">
      <c r="B35" t="s">
        <v>47</v>
      </c>
      <c r="C35" t="s">
        <v>83</v>
      </c>
      <c r="BJ35" t="s">
        <v>322</v>
      </c>
      <c r="BK35" t="s">
        <v>549</v>
      </c>
      <c r="BL35" t="s">
        <v>782</v>
      </c>
      <c r="BQ35" t="str">
        <v>Delay</v>
      </c>
    </row>
    <row r="36" spans="2:69" x14ac:dyDescent="0.2">
      <c r="B36" t="s">
        <v>48</v>
      </c>
      <c r="C36" t="s">
        <v>84</v>
      </c>
      <c r="BJ36" t="s">
        <v>323</v>
      </c>
      <c r="BK36" t="s">
        <v>765</v>
      </c>
      <c r="BL36" t="s">
        <v>557</v>
      </c>
      <c r="BQ36" t="str">
        <v>DelayedOffside</v>
      </c>
    </row>
    <row r="37" spans="2:69" x14ac:dyDescent="0.2">
      <c r="B37" t="s">
        <v>49</v>
      </c>
      <c r="C37" t="s">
        <v>85</v>
      </c>
      <c r="BJ37" t="s">
        <v>324</v>
      </c>
      <c r="BK37" t="s">
        <v>764</v>
      </c>
      <c r="BL37" t="s">
        <v>562</v>
      </c>
      <c r="BQ37" t="str">
        <v>DriveCorner</v>
      </c>
    </row>
    <row r="38" spans="2:69" x14ac:dyDescent="0.2">
      <c r="B38" t="s">
        <v>167</v>
      </c>
      <c r="C38" t="s">
        <v>86</v>
      </c>
      <c r="BJ38" t="s">
        <v>325</v>
      </c>
      <c r="BK38" t="s">
        <v>785</v>
      </c>
      <c r="BL38" t="s">
        <v>156</v>
      </c>
      <c r="BQ38" t="str">
        <v>DriveMiddle</v>
      </c>
    </row>
    <row r="39" spans="2:69" x14ac:dyDescent="0.2">
      <c r="B39" t="s">
        <v>168</v>
      </c>
      <c r="C39" t="s">
        <v>87</v>
      </c>
      <c r="BJ39" t="s">
        <v>326</v>
      </c>
      <c r="BK39" t="s">
        <v>784</v>
      </c>
      <c r="BL39" t="s">
        <v>559</v>
      </c>
      <c r="BQ39" t="str">
        <v>DriveNetMiddle</v>
      </c>
    </row>
    <row r="40" spans="2:69" x14ac:dyDescent="0.2">
      <c r="B40" t="s">
        <v>15</v>
      </c>
      <c r="C40" t="s">
        <v>88</v>
      </c>
      <c r="BJ40" t="s">
        <v>327</v>
      </c>
      <c r="BK40" t="s">
        <v>540</v>
      </c>
      <c r="BL40" t="s">
        <v>579</v>
      </c>
      <c r="BQ40" t="str">
        <v>DriveNetWide</v>
      </c>
    </row>
    <row r="41" spans="2:69" x14ac:dyDescent="0.2">
      <c r="B41" t="s">
        <v>241</v>
      </c>
      <c r="C41" t="s">
        <v>89</v>
      </c>
      <c r="BJ41" t="s">
        <v>328</v>
      </c>
      <c r="BK41" t="s">
        <v>152</v>
      </c>
      <c r="BL41" t="s">
        <v>776</v>
      </c>
      <c r="BQ41" t="str">
        <v>DriveWide</v>
      </c>
    </row>
    <row r="42" spans="2:69" x14ac:dyDescent="0.2">
      <c r="B42" t="s">
        <v>230</v>
      </c>
      <c r="C42" t="s">
        <v>90</v>
      </c>
      <c r="BJ42" t="s">
        <v>329</v>
      </c>
      <c r="BK42" t="s">
        <v>914</v>
      </c>
      <c r="BL42" t="s">
        <v>778</v>
      </c>
      <c r="BQ42" t="str">
        <v>Dump/RimInZone</v>
      </c>
    </row>
    <row r="43" spans="2:69" x14ac:dyDescent="0.2">
      <c r="B43" t="s">
        <v>399</v>
      </c>
      <c r="C43" t="s">
        <v>91</v>
      </c>
      <c r="BJ43" t="s">
        <v>330</v>
      </c>
      <c r="BK43" t="s">
        <v>915</v>
      </c>
      <c r="BL43" t="s">
        <v>582</v>
      </c>
      <c r="BQ43" t="str">
        <v>DumpChase</v>
      </c>
    </row>
    <row r="44" spans="2:69" x14ac:dyDescent="0.2">
      <c r="C44" t="s">
        <v>92</v>
      </c>
      <c r="BJ44" t="s">
        <v>331</v>
      </c>
      <c r="BK44" t="s">
        <v>916</v>
      </c>
      <c r="BL44" t="s">
        <v>585</v>
      </c>
      <c r="BQ44" t="str">
        <v>DumpInAttempt</v>
      </c>
    </row>
    <row r="45" spans="2:69" x14ac:dyDescent="0.2">
      <c r="C45" t="s">
        <v>93</v>
      </c>
      <c r="BJ45" t="s">
        <v>332</v>
      </c>
      <c r="BK45" t="s">
        <v>917</v>
      </c>
      <c r="BL45" t="s">
        <v>580</v>
      </c>
      <c r="BQ45" t="str">
        <v>EndToEndRush</v>
      </c>
    </row>
    <row r="46" spans="2:69" x14ac:dyDescent="0.2">
      <c r="C46" t="s">
        <v>94</v>
      </c>
      <c r="BJ46" t="s">
        <v>333</v>
      </c>
      <c r="BK46" t="s">
        <v>918</v>
      </c>
      <c r="BL46" t="s">
        <v>581</v>
      </c>
      <c r="BQ46" t="str">
        <v>FakeShot</v>
      </c>
    </row>
    <row r="47" spans="2:69" x14ac:dyDescent="0.2">
      <c r="C47" t="s">
        <v>95</v>
      </c>
      <c r="BJ47" t="s">
        <v>334</v>
      </c>
      <c r="BK47" t="s">
        <v>919</v>
      </c>
      <c r="BL47" t="s">
        <v>775</v>
      </c>
      <c r="BQ47" t="str">
        <v>ForcedDumpin/Clear</v>
      </c>
    </row>
    <row r="48" spans="2:69" x14ac:dyDescent="0.2">
      <c r="C48" t="s">
        <v>96</v>
      </c>
      <c r="BJ48" t="s">
        <v>335</v>
      </c>
      <c r="BK48" t="s">
        <v>920</v>
      </c>
      <c r="BL48" t="s">
        <v>777</v>
      </c>
      <c r="BQ48" t="str">
        <v>ForcedLostPossession</v>
      </c>
    </row>
    <row r="49" spans="3:69" x14ac:dyDescent="0.2">
      <c r="C49" t="s">
        <v>97</v>
      </c>
      <c r="BJ49" t="s">
        <v>336</v>
      </c>
      <c r="BK49" t="s">
        <v>915</v>
      </c>
      <c r="BL49" t="s">
        <v>544</v>
      </c>
      <c r="BQ49" t="str">
        <v>ForcedMissedPass</v>
      </c>
    </row>
    <row r="50" spans="3:69" x14ac:dyDescent="0.2">
      <c r="C50" t="s">
        <v>98</v>
      </c>
      <c r="BJ50" t="s">
        <v>337</v>
      </c>
      <c r="BK50" t="s">
        <v>916</v>
      </c>
      <c r="BL50" t="s">
        <v>543</v>
      </c>
      <c r="BQ50" t="str">
        <v>ForcedMissedShot</v>
      </c>
    </row>
    <row r="51" spans="3:69" x14ac:dyDescent="0.2">
      <c r="C51" t="s">
        <v>99</v>
      </c>
      <c r="BJ51" t="s">
        <v>338</v>
      </c>
      <c r="BK51" t="s">
        <v>917</v>
      </c>
      <c r="BL51" t="s">
        <v>541</v>
      </c>
      <c r="BQ51" t="str">
        <v>ForcedTurnover</v>
      </c>
    </row>
    <row r="52" spans="3:69" x14ac:dyDescent="0.2">
      <c r="C52" t="s">
        <v>100</v>
      </c>
      <c r="BJ52" t="s">
        <v>339</v>
      </c>
      <c r="BK52" t="s">
        <v>918</v>
      </c>
      <c r="BL52" t="s">
        <v>583</v>
      </c>
      <c r="BQ52" t="str">
        <v>ForceWide</v>
      </c>
    </row>
    <row r="53" spans="3:69" x14ac:dyDescent="0.2">
      <c r="C53" t="s">
        <v>101</v>
      </c>
      <c r="BJ53" t="s">
        <v>340</v>
      </c>
      <c r="BK53" t="s">
        <v>919</v>
      </c>
      <c r="BL53" t="s">
        <v>542</v>
      </c>
      <c r="BQ53" t="str">
        <v>ForecedOutside</v>
      </c>
    </row>
    <row r="54" spans="3:69" x14ac:dyDescent="0.2">
      <c r="C54" t="s">
        <v>102</v>
      </c>
      <c r="BJ54" t="s">
        <v>341</v>
      </c>
      <c r="BK54" t="s">
        <v>920</v>
      </c>
      <c r="BL54" t="s">
        <v>779</v>
      </c>
      <c r="BQ54" t="str">
        <v>Forecheck</v>
      </c>
    </row>
    <row r="55" spans="3:69" x14ac:dyDescent="0.2">
      <c r="C55" t="s">
        <v>103</v>
      </c>
      <c r="BJ55" t="s">
        <v>342</v>
      </c>
      <c r="BK55" t="s">
        <v>921</v>
      </c>
      <c r="BL55" t="s">
        <v>158</v>
      </c>
      <c r="BQ55" t="str">
        <v>FrontofNet</v>
      </c>
    </row>
    <row r="56" spans="3:69" x14ac:dyDescent="0.2">
      <c r="C56" t="s">
        <v>104</v>
      </c>
      <c r="BJ56" t="s">
        <v>290</v>
      </c>
      <c r="BK56" t="s">
        <v>922</v>
      </c>
      <c r="BL56" t="s">
        <v>567</v>
      </c>
      <c r="BQ56" t="str">
        <v>GapControl</v>
      </c>
    </row>
    <row r="57" spans="3:69" x14ac:dyDescent="0.2">
      <c r="C57" t="s">
        <v>39</v>
      </c>
      <c r="BJ57" t="s">
        <v>520</v>
      </c>
      <c r="BK57" t="s">
        <v>552</v>
      </c>
      <c r="BL57" t="s">
        <v>783</v>
      </c>
      <c r="BQ57" t="str">
        <v>GiveAndGo</v>
      </c>
    </row>
    <row r="58" spans="3:69" x14ac:dyDescent="0.2">
      <c r="C58" t="s">
        <v>105</v>
      </c>
      <c r="BJ58" t="s">
        <v>400</v>
      </c>
      <c r="BK58" t="s">
        <v>593</v>
      </c>
      <c r="BL58" t="s">
        <v>565</v>
      </c>
      <c r="BQ58" t="str">
        <v>InShotPassLane</v>
      </c>
    </row>
    <row r="59" spans="3:69" x14ac:dyDescent="0.2">
      <c r="C59" t="s">
        <v>41</v>
      </c>
      <c r="BK59" t="s">
        <v>574</v>
      </c>
      <c r="BL59" t="s">
        <v>564</v>
      </c>
      <c r="BQ59" t="str">
        <v>LoosePuckBattleLost</v>
      </c>
    </row>
    <row r="60" spans="3:69" x14ac:dyDescent="0.2">
      <c r="C60" t="s">
        <v>106</v>
      </c>
      <c r="BK60" t="s">
        <v>780</v>
      </c>
      <c r="BL60" t="s">
        <v>555</v>
      </c>
      <c r="BQ60" t="str">
        <v>LoosePuckBattleWon</v>
      </c>
    </row>
    <row r="61" spans="3:69" x14ac:dyDescent="0.2">
      <c r="C61" t="s">
        <v>107</v>
      </c>
      <c r="BK61" t="s">
        <v>551</v>
      </c>
      <c r="BL61" t="s">
        <v>560</v>
      </c>
      <c r="BQ61" t="str">
        <v>LostPuck</v>
      </c>
    </row>
    <row r="62" spans="3:69" x14ac:dyDescent="0.2">
      <c r="C62" t="s">
        <v>108</v>
      </c>
      <c r="BK62" t="s">
        <v>553</v>
      </c>
      <c r="BL62" t="s">
        <v>561</v>
      </c>
      <c r="BQ62" t="str">
        <v>ManOnMan</v>
      </c>
    </row>
    <row r="63" spans="3:69" x14ac:dyDescent="0.2">
      <c r="C63" t="s">
        <v>109</v>
      </c>
      <c r="BK63" t="s">
        <v>576</v>
      </c>
      <c r="BQ63" t="str">
        <v>MisplayedPuck</v>
      </c>
    </row>
    <row r="64" spans="3:69" x14ac:dyDescent="0.2">
      <c r="C64" t="s">
        <v>110</v>
      </c>
      <c r="BK64" t="s">
        <v>155</v>
      </c>
      <c r="BQ64" t="str">
        <v>OpenIceDeke</v>
      </c>
    </row>
    <row r="65" spans="3:69" x14ac:dyDescent="0.2">
      <c r="C65" t="s">
        <v>111</v>
      </c>
      <c r="BK65" t="s">
        <v>550</v>
      </c>
      <c r="BQ65" t="str">
        <v>Other</v>
      </c>
    </row>
    <row r="66" spans="3:69" x14ac:dyDescent="0.2">
      <c r="C66" t="s">
        <v>112</v>
      </c>
      <c r="BK66" t="s">
        <v>781</v>
      </c>
      <c r="BQ66" t="str">
        <v>PassDeflected</v>
      </c>
    </row>
    <row r="67" spans="3:69" x14ac:dyDescent="0.2">
      <c r="C67" t="s">
        <v>113</v>
      </c>
      <c r="BK67" t="s">
        <v>787</v>
      </c>
      <c r="BQ67" t="str">
        <v>PassForTip</v>
      </c>
    </row>
    <row r="68" spans="3:69" x14ac:dyDescent="0.2">
      <c r="C68" t="s">
        <v>114</v>
      </c>
      <c r="BK68" t="s">
        <v>769</v>
      </c>
      <c r="BQ68" t="str">
        <v>PassIntercepted</v>
      </c>
    </row>
    <row r="69" spans="3:69" x14ac:dyDescent="0.2">
      <c r="C69" t="s">
        <v>115</v>
      </c>
      <c r="BK69" t="s">
        <v>767</v>
      </c>
      <c r="BQ69" t="str">
        <v>PenaltyKillClear</v>
      </c>
    </row>
    <row r="70" spans="3:69" x14ac:dyDescent="0.2">
      <c r="C70" t="s">
        <v>116</v>
      </c>
      <c r="BK70" t="s">
        <v>768</v>
      </c>
      <c r="BQ70" t="str">
        <v>PokeCheck</v>
      </c>
    </row>
    <row r="71" spans="3:69" x14ac:dyDescent="0.2">
      <c r="C71" t="s">
        <v>117</v>
      </c>
      <c r="BK71" t="s">
        <v>770</v>
      </c>
      <c r="BQ71" t="str">
        <v>Pressure</v>
      </c>
    </row>
    <row r="72" spans="3:69" x14ac:dyDescent="0.2">
      <c r="C72" t="s">
        <v>118</v>
      </c>
      <c r="BK72" t="s">
        <v>771</v>
      </c>
      <c r="BQ72" t="str">
        <v>PuckRecoveryRetreivalAttemptedClear</v>
      </c>
    </row>
    <row r="73" spans="3:69" x14ac:dyDescent="0.2">
      <c r="C73" t="s">
        <v>119</v>
      </c>
      <c r="BK73" t="s">
        <v>772</v>
      </c>
      <c r="BQ73" t="str">
        <v>PuckRecoveryRetreivalClear</v>
      </c>
    </row>
    <row r="74" spans="3:69" x14ac:dyDescent="0.2">
      <c r="C74" t="s">
        <v>120</v>
      </c>
      <c r="BK74" t="s">
        <v>766</v>
      </c>
      <c r="BQ74" t="str">
        <v>PuckRecoveryRetreivalDumpIn</v>
      </c>
    </row>
    <row r="75" spans="3:69" x14ac:dyDescent="0.2">
      <c r="C75" t="s">
        <v>121</v>
      </c>
      <c r="BK75" t="s">
        <v>159</v>
      </c>
      <c r="BQ75" t="str">
        <v>PuckRecoveryRetreivalFaceoff</v>
      </c>
    </row>
    <row r="76" spans="3:69" x14ac:dyDescent="0.2">
      <c r="C76" t="s">
        <v>122</v>
      </c>
      <c r="BK76" t="s">
        <v>164</v>
      </c>
      <c r="BQ76" t="str">
        <v>PuckRecoveryRetreivalLoosePuckBattle</v>
      </c>
    </row>
    <row r="77" spans="3:69" x14ac:dyDescent="0.2">
      <c r="C77" t="s">
        <v>123</v>
      </c>
      <c r="BK77" t="s">
        <v>758</v>
      </c>
      <c r="BQ77" t="str">
        <v>PuckRecoveryRetreivalOther</v>
      </c>
    </row>
    <row r="78" spans="3:69" x14ac:dyDescent="0.2">
      <c r="C78" t="s">
        <v>124</v>
      </c>
      <c r="BK78" t="s">
        <v>162</v>
      </c>
      <c r="BQ78" t="str">
        <v>PuckRecoveryRetreivalPass</v>
      </c>
    </row>
    <row r="79" spans="3:69" x14ac:dyDescent="0.2">
      <c r="C79" t="s">
        <v>125</v>
      </c>
      <c r="BK79" t="s">
        <v>165</v>
      </c>
      <c r="BQ79" t="str">
        <v>PuckRecoveryRetreivalRebound</v>
      </c>
    </row>
    <row r="80" spans="3:69" x14ac:dyDescent="0.2">
      <c r="C80" t="s">
        <v>126</v>
      </c>
      <c r="BK80" t="s">
        <v>163</v>
      </c>
      <c r="BQ80" t="str">
        <v>PuckRecoveryRetreivalShot</v>
      </c>
    </row>
    <row r="81" spans="3:69" x14ac:dyDescent="0.2">
      <c r="C81" t="s">
        <v>127</v>
      </c>
      <c r="BK81" t="s">
        <v>556</v>
      </c>
      <c r="BQ81" t="str">
        <v>PuckRecoveryRetreivalTurnover</v>
      </c>
    </row>
    <row r="82" spans="3:69" x14ac:dyDescent="0.2">
      <c r="C82" t="s">
        <v>128</v>
      </c>
      <c r="BK82" t="s">
        <v>166</v>
      </c>
      <c r="BQ82" t="str">
        <v>PuckRetrievalDumpIn</v>
      </c>
    </row>
    <row r="83" spans="3:69" x14ac:dyDescent="0.2">
      <c r="C83" t="s">
        <v>129</v>
      </c>
      <c r="BK83" t="s">
        <v>774</v>
      </c>
      <c r="BQ83" t="str">
        <v>PuckRetrievalRebound</v>
      </c>
    </row>
    <row r="84" spans="3:69" x14ac:dyDescent="0.2">
      <c r="C84" t="s">
        <v>130</v>
      </c>
      <c r="BK84" t="s">
        <v>773</v>
      </c>
      <c r="BQ84" t="str">
        <v>PuckRetrievalShot</v>
      </c>
    </row>
    <row r="85" spans="3:69" x14ac:dyDescent="0.2">
      <c r="C85" t="s">
        <v>131</v>
      </c>
      <c r="BK85" t="s">
        <v>558</v>
      </c>
      <c r="BQ85" t="str">
        <v>QuickUp</v>
      </c>
    </row>
    <row r="86" spans="3:69" x14ac:dyDescent="0.2">
      <c r="C86" t="s">
        <v>132</v>
      </c>
      <c r="BK86" t="s">
        <v>161</v>
      </c>
      <c r="BQ86" t="str">
        <v>ReceiverMissed</v>
      </c>
    </row>
    <row r="87" spans="3:69" x14ac:dyDescent="0.2">
      <c r="C87" t="s">
        <v>133</v>
      </c>
      <c r="BK87" t="s">
        <v>584</v>
      </c>
      <c r="BQ87" t="str">
        <v>RecoveryRetreivalDumpIn</v>
      </c>
    </row>
    <row r="88" spans="3:69" x14ac:dyDescent="0.2">
      <c r="C88" t="s">
        <v>134</v>
      </c>
      <c r="BK88" t="s">
        <v>760</v>
      </c>
      <c r="BQ88" t="str">
        <v>RecoveryRetreivalFaceoff</v>
      </c>
    </row>
    <row r="89" spans="3:69" x14ac:dyDescent="0.2">
      <c r="C89" t="s">
        <v>135</v>
      </c>
      <c r="BK89" t="s">
        <v>762</v>
      </c>
      <c r="BQ89" t="str">
        <v>RecoveryRetreivalOther</v>
      </c>
    </row>
    <row r="90" spans="3:69" x14ac:dyDescent="0.2">
      <c r="C90" t="s">
        <v>136</v>
      </c>
      <c r="BK90" t="s">
        <v>761</v>
      </c>
      <c r="BQ90" t="str">
        <v>RecoveryRetreivalPass</v>
      </c>
    </row>
    <row r="91" spans="3:69" x14ac:dyDescent="0.2">
      <c r="C91" t="s">
        <v>137</v>
      </c>
      <c r="BK91" t="s">
        <v>759</v>
      </c>
      <c r="BQ91" t="str">
        <v>RecoveryRetreivalRebound</v>
      </c>
    </row>
    <row r="92" spans="3:69" x14ac:dyDescent="0.2">
      <c r="C92" t="s">
        <v>138</v>
      </c>
      <c r="BK92" t="s">
        <v>786</v>
      </c>
      <c r="BQ92" t="str">
        <v>RecoveryRetreivalShot</v>
      </c>
    </row>
    <row r="93" spans="3:69" x14ac:dyDescent="0.2">
      <c r="C93" t="s">
        <v>139</v>
      </c>
      <c r="BK93" t="s">
        <v>154</v>
      </c>
      <c r="BQ93" t="str">
        <v>RecoveryRetreivalTurnover</v>
      </c>
    </row>
    <row r="94" spans="3:69" x14ac:dyDescent="0.2">
      <c r="C94" t="s">
        <v>140</v>
      </c>
      <c r="BK94" t="s">
        <v>546</v>
      </c>
      <c r="BQ94" t="str">
        <v>RecoveryRetrievalDumpIn</v>
      </c>
    </row>
    <row r="95" spans="3:69" x14ac:dyDescent="0.2">
      <c r="C95" t="s">
        <v>141</v>
      </c>
      <c r="BK95" t="s">
        <v>757</v>
      </c>
      <c r="BQ95" t="str">
        <v>RecoveryRetrievalShot</v>
      </c>
    </row>
    <row r="96" spans="3:69" x14ac:dyDescent="0.2">
      <c r="C96" t="s">
        <v>241</v>
      </c>
      <c r="BK96" t="s">
        <v>566</v>
      </c>
      <c r="BQ96" t="str">
        <v>Regroup</v>
      </c>
    </row>
    <row r="97" spans="3:69" x14ac:dyDescent="0.2">
      <c r="C97" t="s">
        <v>386</v>
      </c>
      <c r="BK97" t="s">
        <v>765</v>
      </c>
      <c r="BQ97" t="str">
        <v>RegroupClear</v>
      </c>
    </row>
    <row r="98" spans="3:69" x14ac:dyDescent="0.2">
      <c r="C98" t="s">
        <v>387</v>
      </c>
      <c r="BK98" t="s">
        <v>764</v>
      </c>
      <c r="BQ98" t="str">
        <v>RegroupDumpin</v>
      </c>
    </row>
    <row r="99" spans="3:69" x14ac:dyDescent="0.2">
      <c r="BK99" t="s">
        <v>563</v>
      </c>
      <c r="BQ99" t="str">
        <v>Reverse</v>
      </c>
    </row>
    <row r="100" spans="3:69" x14ac:dyDescent="0.2">
      <c r="BK100" t="s">
        <v>782</v>
      </c>
      <c r="BQ100" t="str">
        <v>Screen</v>
      </c>
    </row>
    <row r="101" spans="3:69" x14ac:dyDescent="0.2">
      <c r="BK101" t="s">
        <v>557</v>
      </c>
      <c r="BQ101" t="str">
        <v>SecondTouch</v>
      </c>
    </row>
    <row r="102" spans="3:69" x14ac:dyDescent="0.2">
      <c r="BK102" t="s">
        <v>562</v>
      </c>
      <c r="BQ102" t="str">
        <v>SeperateFromPuck</v>
      </c>
    </row>
    <row r="103" spans="3:69" x14ac:dyDescent="0.2">
      <c r="BK103" t="s">
        <v>156</v>
      </c>
      <c r="BQ103" t="str">
        <v>Speed</v>
      </c>
    </row>
    <row r="104" spans="3:69" x14ac:dyDescent="0.2">
      <c r="BK104" t="s">
        <v>559</v>
      </c>
      <c r="BQ104" t="str">
        <v>StickCheck</v>
      </c>
    </row>
    <row r="105" spans="3:69" x14ac:dyDescent="0.2">
      <c r="BK105" t="s">
        <v>904</v>
      </c>
      <c r="BQ105" t="str">
        <v>StoppedDeke</v>
      </c>
    </row>
    <row r="106" spans="3:69" x14ac:dyDescent="0.2">
      <c r="BK106" t="s">
        <v>905</v>
      </c>
      <c r="BQ106" t="str">
        <v>Surf</v>
      </c>
    </row>
    <row r="107" spans="3:69" x14ac:dyDescent="0.2">
      <c r="BK107" t="s">
        <v>906</v>
      </c>
      <c r="BQ107" t="str">
        <v>Tracker</v>
      </c>
    </row>
    <row r="108" spans="3:69" x14ac:dyDescent="0.2">
      <c r="BK108" t="s">
        <v>907</v>
      </c>
      <c r="BQ108" t="str">
        <v>Wheel</v>
      </c>
    </row>
    <row r="109" spans="3:69" x14ac:dyDescent="0.2">
      <c r="BK109" t="s">
        <v>908</v>
      </c>
      <c r="BQ109" t="str">
        <v>Zone</v>
      </c>
    </row>
    <row r="110" spans="3:69" x14ac:dyDescent="0.2">
      <c r="BK110" t="s">
        <v>909</v>
      </c>
      <c r="BQ110" t="str">
        <v>ZoneEntryDenial</v>
      </c>
    </row>
    <row r="111" spans="3:69" x14ac:dyDescent="0.2">
      <c r="BK111" t="s">
        <v>910</v>
      </c>
      <c r="BQ111" t="str">
        <v>ZoneExitDenial</v>
      </c>
    </row>
    <row r="112" spans="3:69" x14ac:dyDescent="0.2">
      <c r="BK112" t="s">
        <v>905</v>
      </c>
      <c r="BQ112" t="str">
        <v>ZoneKeepin</v>
      </c>
    </row>
    <row r="113" spans="63:69" x14ac:dyDescent="0.2">
      <c r="BK113" t="s">
        <v>906</v>
      </c>
      <c r="BQ113">
        <v>0</v>
      </c>
    </row>
    <row r="114" spans="63:69" x14ac:dyDescent="0.2">
      <c r="BK114" t="s">
        <v>907</v>
      </c>
    </row>
    <row r="115" spans="63:69" x14ac:dyDescent="0.2">
      <c r="BK115" t="s">
        <v>910</v>
      </c>
    </row>
    <row r="116" spans="63:69" x14ac:dyDescent="0.2">
      <c r="BK116" t="s">
        <v>541</v>
      </c>
    </row>
    <row r="117" spans="63:69" x14ac:dyDescent="0.2">
      <c r="BK117" t="s">
        <v>583</v>
      </c>
    </row>
    <row r="118" spans="63:69" x14ac:dyDescent="0.2">
      <c r="BK118" t="s">
        <v>542</v>
      </c>
    </row>
    <row r="119" spans="63:69" x14ac:dyDescent="0.2">
      <c r="BK119" t="s">
        <v>779</v>
      </c>
    </row>
    <row r="120" spans="63:69" x14ac:dyDescent="0.2">
      <c r="BK120" t="s">
        <v>158</v>
      </c>
    </row>
    <row r="121" spans="63:69" x14ac:dyDescent="0.2">
      <c r="BK121" t="s">
        <v>567</v>
      </c>
    </row>
    <row r="122" spans="63:69" x14ac:dyDescent="0.2">
      <c r="BK122" t="s">
        <v>783</v>
      </c>
    </row>
    <row r="123" spans="63:69" x14ac:dyDescent="0.2">
      <c r="BK123" t="s">
        <v>565</v>
      </c>
    </row>
    <row r="124" spans="63:69" x14ac:dyDescent="0.2">
      <c r="BK124" t="s">
        <v>564</v>
      </c>
    </row>
    <row r="125" spans="63:69" x14ac:dyDescent="0.2">
      <c r="BK125" t="s">
        <v>555</v>
      </c>
    </row>
    <row r="126" spans="63:69" x14ac:dyDescent="0.2">
      <c r="BK126" t="s">
        <v>560</v>
      </c>
    </row>
    <row r="127" spans="63:69" x14ac:dyDescent="0.2">
      <c r="BK127" t="s">
        <v>561</v>
      </c>
    </row>
    <row r="128" spans="63:69" x14ac:dyDescent="0.2">
      <c r="BK128" t="s">
        <v>808</v>
      </c>
    </row>
    <row r="129" spans="63:63" x14ac:dyDescent="0.2">
      <c r="BK129" t="s">
        <v>809</v>
      </c>
    </row>
    <row r="130" spans="63:63" x14ac:dyDescent="0.2">
      <c r="BK130" t="s">
        <v>911</v>
      </c>
    </row>
    <row r="131" spans="63:63" x14ac:dyDescent="0.2">
      <c r="BK131" t="s">
        <v>911</v>
      </c>
    </row>
    <row r="132" spans="63:63" x14ac:dyDescent="0.2">
      <c r="BK132" t="s">
        <v>912</v>
      </c>
    </row>
    <row r="133" spans="63:63" x14ac:dyDescent="0.2">
      <c r="BK133" t="s">
        <v>912</v>
      </c>
    </row>
    <row r="134" spans="63:63" x14ac:dyDescent="0.2">
      <c r="BK134" t="s">
        <v>913</v>
      </c>
    </row>
    <row r="135" spans="63:63" x14ac:dyDescent="0.2">
      <c r="BK135" t="s">
        <v>913</v>
      </c>
    </row>
    <row r="136" spans="63:63" x14ac:dyDescent="0.2">
      <c r="BK136" t="s">
        <v>897</v>
      </c>
    </row>
    <row r="137" spans="63:63" x14ac:dyDescent="0.2">
      <c r="BK137" t="s">
        <v>923</v>
      </c>
    </row>
    <row r="138" spans="63:63" x14ac:dyDescent="0.2">
      <c r="BK138" t="s">
        <v>924</v>
      </c>
    </row>
    <row r="139" spans="63:63" x14ac:dyDescent="0.2">
      <c r="BK139" t="s">
        <v>925</v>
      </c>
    </row>
  </sheetData>
  <sortState xmlns:xlrd2="http://schemas.microsoft.com/office/spreadsheetml/2017/richdata2" ref="BL2:BL60">
    <sortCondition ref="BL2:BL60"/>
  </sortState>
  <phoneticPr fontId="2" type="noConversion"/>
  <pageMargins left="0.7" right="0.7" top="0.75" bottom="0.75" header="0.3" footer="0.3"/>
  <pageSetup orientation="portrait" horizontalDpi="0" verticalDpi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A10568-2B3A-4A48-AC24-E8A68FC7CC92}">
  <sheetPr>
    <tabColor theme="7"/>
  </sheetPr>
  <dimension ref="A1:BT4001"/>
  <sheetViews>
    <sheetView tabSelected="1" topLeftCell="AQ1" zoomScale="90" zoomScaleNormal="90" workbookViewId="0">
      <pane ySplit="1" topLeftCell="A2" activePane="bottomLeft" state="frozen"/>
      <selection pane="bottomLeft" activeCell="K1" sqref="K1"/>
    </sheetView>
  </sheetViews>
  <sheetFormatPr baseColWidth="10" defaultRowHeight="16" x14ac:dyDescent="0.2"/>
  <cols>
    <col min="1" max="1" width="5.33203125" customWidth="1"/>
    <col min="2" max="2" width="6.33203125" style="50" customWidth="1"/>
    <col min="3" max="3" width="6" style="50" customWidth="1"/>
    <col min="4" max="4" width="6" style="26" customWidth="1"/>
    <col min="5" max="5" width="7.1640625" customWidth="1"/>
    <col min="6" max="6" width="8.6640625" style="26" customWidth="1"/>
    <col min="7" max="7" width="7.5" customWidth="1"/>
    <col min="8" max="8" width="7.1640625" style="26" customWidth="1"/>
    <col min="9" max="10" width="7.6640625" style="26" customWidth="1"/>
    <col min="11" max="11" width="17.6640625" customWidth="1"/>
    <col min="12" max="12" width="18.83203125" customWidth="1"/>
    <col min="13" max="13" width="14.33203125" customWidth="1"/>
    <col min="14" max="14" width="11.5" customWidth="1"/>
    <col min="15" max="15" width="27.1640625" customWidth="1"/>
    <col min="16" max="16" width="13.83203125" customWidth="1"/>
    <col min="17" max="17" width="10" customWidth="1"/>
    <col min="18" max="18" width="9.5" style="26" customWidth="1"/>
    <col min="19" max="19" width="9.1640625" customWidth="1"/>
    <col min="20" max="20" width="8.33203125" customWidth="1"/>
    <col min="21" max="21" width="5.33203125" customWidth="1"/>
    <col min="22" max="22" width="6" customWidth="1"/>
    <col min="23" max="24" width="11" customWidth="1"/>
    <col min="25" max="25" width="8.1640625" customWidth="1"/>
    <col min="26" max="26" width="10.5" customWidth="1"/>
    <col min="27" max="27" width="12" customWidth="1"/>
    <col min="28" max="28" width="12.6640625" customWidth="1"/>
    <col min="29" max="29" width="17.1640625" customWidth="1"/>
    <col min="30" max="30" width="10.5" customWidth="1"/>
    <col min="31" max="31" width="10.33203125" customWidth="1"/>
    <col min="32" max="33" width="10.83203125" customWidth="1"/>
    <col min="34" max="35" width="8.33203125" customWidth="1"/>
    <col min="36" max="36" width="15.1640625" customWidth="1"/>
    <col min="37" max="37" width="10.5" customWidth="1"/>
    <col min="38" max="40" width="10.33203125" customWidth="1"/>
    <col min="41" max="41" width="18.33203125" customWidth="1"/>
    <col min="42" max="44" width="15.1640625" customWidth="1"/>
    <col min="45" max="45" width="12" customWidth="1"/>
    <col min="46" max="47" width="17.1640625" customWidth="1"/>
    <col min="48" max="51" width="13.33203125" customWidth="1"/>
    <col min="52" max="52" width="7" style="6" customWidth="1"/>
    <col min="53" max="53" width="7.6640625" customWidth="1"/>
    <col min="54" max="54" width="8.1640625" customWidth="1"/>
    <col min="55" max="55" width="10.1640625" customWidth="1"/>
    <col min="56" max="56" width="13.5" customWidth="1"/>
    <col min="57" max="57" width="15.5" customWidth="1"/>
    <col min="58" max="58" width="15.1640625" customWidth="1"/>
    <col min="59" max="59" width="13.33203125" customWidth="1"/>
    <col min="60" max="60" width="10.83203125" customWidth="1"/>
    <col min="61" max="61" width="11.83203125" customWidth="1"/>
    <col min="62" max="63" width="10.83203125" customWidth="1"/>
    <col min="64" max="64" width="12.5" customWidth="1"/>
    <col min="65" max="66" width="12.83203125" customWidth="1"/>
    <col min="67" max="68" width="10.83203125" customWidth="1"/>
    <col min="69" max="69" width="22" customWidth="1"/>
    <col min="70" max="70" width="12.5" customWidth="1"/>
  </cols>
  <sheetData>
    <row r="1" spans="1:72" s="1" customFormat="1" ht="85" x14ac:dyDescent="0.2">
      <c r="A1" s="43" t="s">
        <v>893</v>
      </c>
      <c r="B1" s="49" t="s">
        <v>895</v>
      </c>
      <c r="C1" s="49" t="s">
        <v>896</v>
      </c>
      <c r="D1" s="48" t="s">
        <v>894</v>
      </c>
      <c r="E1" s="21" t="s">
        <v>409</v>
      </c>
      <c r="F1" s="44" t="s">
        <v>410</v>
      </c>
      <c r="G1" s="21" t="s">
        <v>411</v>
      </c>
      <c r="H1" s="46" t="s">
        <v>412</v>
      </c>
      <c r="I1" s="48" t="s">
        <v>902</v>
      </c>
      <c r="J1" s="48" t="s">
        <v>791</v>
      </c>
      <c r="K1" s="20" t="s">
        <v>792</v>
      </c>
      <c r="L1" s="20" t="s">
        <v>407</v>
      </c>
      <c r="M1" s="20" t="s">
        <v>408</v>
      </c>
      <c r="N1" s="20" t="s">
        <v>800</v>
      </c>
      <c r="O1" s="20" t="s">
        <v>889</v>
      </c>
      <c r="P1" s="20" t="s">
        <v>890</v>
      </c>
      <c r="Q1" s="20" t="s">
        <v>891</v>
      </c>
      <c r="R1" s="48" t="s">
        <v>892</v>
      </c>
      <c r="S1" s="1" t="s">
        <v>802</v>
      </c>
      <c r="T1" s="1" t="s">
        <v>725</v>
      </c>
      <c r="U1" s="36" t="s">
        <v>898</v>
      </c>
      <c r="V1" s="36" t="s">
        <v>899</v>
      </c>
      <c r="W1" s="36" t="s">
        <v>788</v>
      </c>
      <c r="X1" s="1" t="s">
        <v>789</v>
      </c>
      <c r="Y1" s="36" t="s">
        <v>790</v>
      </c>
      <c r="Z1" s="34" t="s">
        <v>801</v>
      </c>
      <c r="AA1" s="1" t="s">
        <v>242</v>
      </c>
      <c r="AB1" s="1" t="s">
        <v>518</v>
      </c>
      <c r="AC1" s="1" t="s">
        <v>724</v>
      </c>
      <c r="AD1" s="36" t="s">
        <v>252</v>
      </c>
      <c r="AE1" s="36" t="s">
        <v>253</v>
      </c>
      <c r="AF1" s="36" t="s">
        <v>254</v>
      </c>
      <c r="AG1" s="36" t="s">
        <v>255</v>
      </c>
      <c r="AH1" s="36" t="s">
        <v>369</v>
      </c>
      <c r="AI1" s="36" t="s">
        <v>930</v>
      </c>
      <c r="AJ1" s="36" t="s">
        <v>454</v>
      </c>
      <c r="AK1" s="36" t="s">
        <v>795</v>
      </c>
      <c r="AL1" s="36" t="s">
        <v>796</v>
      </c>
      <c r="AM1" s="36" t="s">
        <v>797</v>
      </c>
      <c r="AN1" s="36" t="s">
        <v>798</v>
      </c>
      <c r="AO1" s="36" t="s">
        <v>455</v>
      </c>
      <c r="AP1" s="36" t="s">
        <v>456</v>
      </c>
      <c r="AQ1" s="36" t="s">
        <v>793</v>
      </c>
      <c r="AR1" s="36" t="s">
        <v>794</v>
      </c>
      <c r="AS1" s="36" t="s">
        <v>515</v>
      </c>
      <c r="AT1" s="36" t="s">
        <v>243</v>
      </c>
      <c r="AU1" s="36" t="s">
        <v>244</v>
      </c>
      <c r="AV1" s="36" t="s">
        <v>451</v>
      </c>
      <c r="AW1" s="36" t="s">
        <v>888</v>
      </c>
      <c r="AX1" s="36" t="s">
        <v>453</v>
      </c>
      <c r="AY1" s="36" t="s">
        <v>535</v>
      </c>
      <c r="AZ1" s="42" t="s">
        <v>621</v>
      </c>
      <c r="BA1" s="36" t="s">
        <v>248</v>
      </c>
      <c r="BB1" s="36" t="s">
        <v>249</v>
      </c>
      <c r="BC1" s="36" t="s">
        <v>250</v>
      </c>
      <c r="BD1" s="36" t="s">
        <v>239</v>
      </c>
      <c r="BE1" s="36" t="s">
        <v>246</v>
      </c>
      <c r="BF1" s="36" t="s">
        <v>247</v>
      </c>
      <c r="BG1" s="36" t="s">
        <v>799</v>
      </c>
      <c r="BH1" s="36" t="s">
        <v>256</v>
      </c>
      <c r="BI1" s="35" t="s">
        <v>356</v>
      </c>
      <c r="BJ1" s="36" t="s">
        <v>357</v>
      </c>
      <c r="BK1" s="36" t="s">
        <v>358</v>
      </c>
      <c r="BL1" s="35" t="s">
        <v>397</v>
      </c>
      <c r="BM1" s="36" t="s">
        <v>396</v>
      </c>
      <c r="BN1" s="36" t="s">
        <v>403</v>
      </c>
      <c r="BO1" s="36" t="s">
        <v>394</v>
      </c>
      <c r="BP1" s="36" t="s">
        <v>395</v>
      </c>
      <c r="BQ1" s="36" t="s">
        <v>245</v>
      </c>
      <c r="BR1" s="36" t="s">
        <v>370</v>
      </c>
      <c r="BS1" s="36" t="s">
        <v>810</v>
      </c>
      <c r="BT1" s="36" t="s">
        <v>811</v>
      </c>
    </row>
    <row r="2" spans="1:72" ht="16" customHeight="1" x14ac:dyDescent="0.2">
      <c r="E2" s="4"/>
      <c r="F2" s="45"/>
      <c r="G2" s="4"/>
      <c r="H2" s="47"/>
      <c r="K2" t="s">
        <v>287</v>
      </c>
      <c r="S2">
        <v>0</v>
      </c>
      <c r="Y2" t="s">
        <v>729</v>
      </c>
      <c r="Z2" s="6">
        <v>1</v>
      </c>
      <c r="AA2">
        <f t="shared" ref="AA2:AA4" si="0">S2+1000</f>
        <v>1000</v>
      </c>
      <c r="AB2" t="str">
        <f t="shared" ref="AB2:AB4" si="1">IF(T2&lt;&gt;"",9000+T2,"")</f>
        <v/>
      </c>
      <c r="AC2">
        <f t="shared" ref="AC2:AC4" si="2">IF(AB2&lt;&gt;"",AB2,S2+1000)</f>
        <v>1000</v>
      </c>
      <c r="AF2" t="str">
        <f>IF(G2&lt;&gt;"",G2,IF($S2=$S1,AF1,""))</f>
        <v/>
      </c>
      <c r="AG2" t="str">
        <f>IF(H2&lt;&gt;"",H2,IF($S2=$S1,AG1,""))</f>
        <v/>
      </c>
      <c r="AH2" t="str">
        <f>IF(Y2="x","",IF(Y2=1,"e","o"))</f>
        <v/>
      </c>
      <c r="AI2" t="str">
        <f>IF($J2&lt;&gt;"",$J2,IF($AC2=$AC1,AI1,""))</f>
        <v/>
      </c>
      <c r="AJ2" t="str">
        <f>IF($J2&lt;&gt;"",$J2,IF($AC2=$AC1,AJ1,""))</f>
        <v/>
      </c>
      <c r="AK2" t="str">
        <f>IF($W2="","",IF($AI2="","",IF($W2="h",$AI2,IF($AI2="n","n",IF(AND($W2="a",$AI2="d"),"o",IF(AND($W2="a",$AI2="o"),"d"))))))</f>
        <v/>
      </c>
      <c r="AL2" t="str">
        <f>IF($W2="","",IF(J2="","",IF(AK2="n","n",IF(AK2="d","o",IF(AK2="o","d","")))))</f>
        <v/>
      </c>
      <c r="AM2" t="str">
        <f>IF(AN2="H","Home",IF(AN2="A","Away",""))</f>
        <v/>
      </c>
      <c r="AN2" t="str">
        <f>IF($W2&lt;&gt;"",$W2,IF($AC2=$AC1,AN1,""))</f>
        <v/>
      </c>
      <c r="AO2" t="str">
        <f t="shared" ref="AO2:AR3" si="3">IF(AK2&lt;&gt;"",AK2,IF($AC2=$AC1,AO1,""))</f>
        <v/>
      </c>
      <c r="AP2" t="str">
        <f t="shared" si="3"/>
        <v/>
      </c>
      <c r="AQ2" t="str">
        <f t="shared" si="3"/>
        <v/>
      </c>
      <c r="AR2" t="str">
        <f t="shared" si="3"/>
        <v/>
      </c>
      <c r="AS2" t="str">
        <f>IF(AND(AH2="e",OR(BD2="Save",BE2="Turnover_Takeaway",BE2="Play_Defensive")),"Defensive",IF(AND(AH2="o",OR(BD2="Save",BE2="Turnover_Takeaway",BE2="Play_Defensive")),"Offensive",IF(OR(BD2="Deadice",BD2="Stoppage",BD2="Intermission"),"",IF(AH2="e","Offensive",IF(AH2="o","Defensive","")))))</f>
        <v/>
      </c>
      <c r="AT2" t="str">
        <f>IF(U2&lt;&gt;"",U2+5000,"")</f>
        <v/>
      </c>
      <c r="AU2" t="str">
        <f>IF(V2&lt;&gt;"",V2+6000,"")</f>
        <v/>
      </c>
      <c r="AV2" t="str" cm="1">
        <f t="array" ref="AV2">IFERROR(IF(O2&lt;&gt;"",O2,IF(OR($S2="",$T2=""),"",IF(O2&lt;&gt;"",O2,IF($T2&lt;&gt;"",_xlfn._xlws.FILTER(O:O,($BT:$BT=$BT2)*($I:$I=$I2)*($T:$T=$T2)*($S:$S=_xlfn.MINIFS($S:$S,$T:$T,"="&amp;$T2)),"")))))&amp;"",IF(O2="","",""))&amp;""</f>
        <v/>
      </c>
      <c r="AW2" t="str" cm="1">
        <f t="array" ref="AW2">IFERROR(IF(P2&lt;&gt;"",P2,IF(OR($S2="",$T2=""),"",IF($T2&lt;&gt;"",_xlfn._xlws.FILTER(P:P,($BT:$BT=$BT2)*($I:$I=$I2)*($T:$T=$T2)*($S:$S=_xlfn.MINIFS($S:$S,$T:$T,"="&amp;$T2)),""))))&amp;"",IF(P2="","",""))&amp;""</f>
        <v/>
      </c>
      <c r="AX2" t="str" cm="1">
        <f t="array" ref="AX2">IFERROR(IF(Q2&lt;&gt;"",Q2,IF(OR($S2="",$T2=""),"",IF($T2&lt;&gt;"",_xlfn._xlws.FILTER(Q:Q,($BT:$BT=$BT2)*($I:$I=$I2)*($T:$T=$T2)*($S:$S=_xlfn.MINIFS($S:$S,$T:$T,"="&amp;$T2)),""))))&amp;"",IF(Q2="","",""))&amp;""</f>
        <v/>
      </c>
      <c r="AY2" t="str" cm="1">
        <f t="array" ref="AY2">IFERROR(IF(R2&lt;&gt;"",R2,IF(OR($S2="",$T2=""),"",IF($T2&lt;&gt;"",_xlfn._xlws.FILTER(R:R,($BT:$BT=$BT2)*($I:$I=$I2)*($T:$T=$T2)*($S:$S=_xlfn.MINIFS($S:$S,$T:$T,"="&amp;$T2)),""))))&amp;"",IF(R2="","",""))&amp;""</f>
        <v/>
      </c>
      <c r="AZ2" s="6">
        <v>1</v>
      </c>
      <c r="BA2" s="40">
        <v>18991</v>
      </c>
      <c r="BB2" s="40" t="s">
        <v>931</v>
      </c>
      <c r="BC2" s="40" t="s">
        <v>521</v>
      </c>
      <c r="BD2" t="str">
        <f>IF(K2&lt;&gt;"",K2,IF(S2=S1,K2,""))</f>
        <v>GameStart</v>
      </c>
      <c r="BI2" s="15"/>
      <c r="BL2" s="15"/>
      <c r="BM2">
        <v>0</v>
      </c>
      <c r="BN2">
        <v>0</v>
      </c>
      <c r="BO2">
        <f>IF(BN2&lt;5,0,BN2-5)</f>
        <v>0</v>
      </c>
      <c r="BP2" s="17">
        <f>BO2+BI2+5</f>
        <v>5</v>
      </c>
      <c r="BS2" t="str">
        <f>IFERROR(VLOOKUP(BA2&amp;BT2&amp;I2,game_rosters!U:W,3,FALSE),"")</f>
        <v/>
      </c>
      <c r="BT2" t="str">
        <f>IF(AQ2="","",IF(AND(AQ2="Away",AH2="e"),BC2,IF(AND(AQ2="Home",AH2="e"),BB2,IF(AND(AQ2="Away",AH2="o"),BB2,IF(AND(AQ2="Home",AH2="o"),BC2)))))</f>
        <v/>
      </c>
    </row>
    <row r="3" spans="1:72" ht="16" customHeight="1" x14ac:dyDescent="0.2">
      <c r="A3">
        <v>1</v>
      </c>
      <c r="E3" s="4" t="s">
        <v>743</v>
      </c>
      <c r="F3" s="45" t="s">
        <v>413</v>
      </c>
      <c r="G3" s="4"/>
      <c r="H3" s="47"/>
      <c r="I3" s="26">
        <v>70</v>
      </c>
      <c r="J3" s="26" t="s">
        <v>734</v>
      </c>
      <c r="K3" t="s">
        <v>5</v>
      </c>
      <c r="L3" t="s">
        <v>401</v>
      </c>
      <c r="N3" t="str">
        <f t="shared" ref="N3:N4" si="4">IF(K3="","",IF(K3="Goal","s",IF(AND(K3="Zone_Entry_Exit",OR(ISNUMBER(SEARCH("fail",L3)),ISNUMBER(SEARCH("FromExitClear",M3)),ISNUMBER(SEARCH("miss",M3)))),"u",IF(AND(K3="Zone_Entry_Exit",OR(NOT(ISNUMBER(SEARCH("fail",L3))),NOT(ISNUMBER(SEARCH("FromExitClear",M3))),NOT(ISNUMBER(SEARCH("miss",M3))))),"s",IF(AND(OR(K3="Shot",K3="Pass"),OR(ISNUMBER(SEARCH("complete",L3)),ISNUMBER(SEARCH("goal",L3)),ISNUMBER(SEARCH("OnNet",L3)))),"s",IF(L3="Turnover_Giveaway","u",IF(AND(OR(K3="Shot",K3="Pass"),OR(ISNUMBER(SEARCH("fail",L3)),NOT(ISNUMBER(SEARCH("complete",L3))),NOT(ISNUMBER(SEARCH("OnNet",L3))))),"u","")))))))</f>
        <v/>
      </c>
      <c r="Q3" t="str">
        <f t="shared" ref="Q3:Q4" si="5">IF(O3="","",IF(AND(N3&lt;&gt;"",OR(O3&lt;&gt;"",P3&lt;&gt;"")),N3,IF(OR(ISNUMBER(SEARCH("attemp",O3)),ISNUMBER(SEARCH("mis",O3)),ISNUMBER(SEARCH("fail",O3)),ISNUMBER(SEARCH("loss",O3)),ISNUMBER(SEARCH("lost",O3)),ISNUMBER(SEARCH("attemp",P3)),ISNUMBER(SEARCH("mis",P3)),ISNUMBER(SEARCH("fail",P3)),ISNUMBER(SEARCH("loss",P3)),ISNUMBER(SEARCH("lost",P3))),"u","")))</f>
        <v/>
      </c>
      <c r="R3" s="26" t="s">
        <v>1061</v>
      </c>
      <c r="S3">
        <f>IF(A3=1,MAX($S$2:$S2)+1,IF(OR($I3&lt;&gt;"",A3="x"),$S2,""))</f>
        <v>1</v>
      </c>
      <c r="T3" t="str">
        <f>IF(D3=1,MAX($T$2:$T2)+1,IF(S3=S2,$T2,IF(D3="x",T2,IF(D2="x","",""))))</f>
        <v/>
      </c>
      <c r="U3" t="str">
        <f>IF(B3=1,MAX($U$2:$U2)+1,IF(AND($T3&lt;&gt;"",$T3=$T2),$U2,IF(B3="x",U2,"")))</f>
        <v/>
      </c>
      <c r="V3" t="str">
        <f>IF(C3=1,MAX($V$2:$V2)+1,IF(AND($T3&lt;&gt;"",$T3=$T2),$U2,IF(C3="x",V2,"")))</f>
        <v/>
      </c>
      <c r="W3" t="str" cm="1">
        <f t="array" ref="W3">_xlfn._xlws.FILTER(game_rosters!AC:AC,(game_rosters!J:J=events!X3)*(K3&lt;&gt;""))</f>
        <v>a</v>
      </c>
      <c r="X3" cm="1">
        <f t="array" ref="X3">IF($I3&lt;&gt;"",$I3,INDEX($I$1:$I3,ROW()-COUNTIFS($T$1:$T3,"="&amp;$T3,$S$1:$S3,"&lt;"&amp;$S3)))</f>
        <v>70</v>
      </c>
      <c r="Y3" cm="1">
        <f t="array" ref="Y3">IFERROR(IF(_xlfn._xlws.FILTER(game_rosters!$J:$J,(game_rosters!$G:$G=events!$AM3)*(game_rosters!$J:$J=events!$X3))&gt;0,1,""),"")</f>
        <v>1</v>
      </c>
      <c r="Z3" s="6">
        <f t="shared" ref="Z3:Z4" si="6">IF(K3="Intermission",Z2+1,Z2)</f>
        <v>1</v>
      </c>
      <c r="AA3">
        <f t="shared" si="0"/>
        <v>1001</v>
      </c>
      <c r="AB3" t="str">
        <f t="shared" si="1"/>
        <v/>
      </c>
      <c r="AC3">
        <f t="shared" si="2"/>
        <v>1001</v>
      </c>
      <c r="AD3" t="str">
        <f>IF(E3&lt;&gt;"",E3,IF($AC3=$AC2,AD2,IF(AF2&lt;&gt;"",AF2,IF(AD2&lt;&gt;"",AD2,""))))</f>
        <v>18</v>
      </c>
      <c r="AE3" t="str">
        <f>IF(F3&lt;&gt;"",F3,IF($AC3=$AC2,AE2,IF(AG2&lt;&gt;"",AG2,IF(AE2&lt;&gt;"",AE2,""))))</f>
        <v>00</v>
      </c>
      <c r="AF3" t="str">
        <f>IF(G3&lt;&gt;"",G3,IF($AC3=$AC2,AF2,IF(H3="","",AD3)))</f>
        <v/>
      </c>
      <c r="AG3" t="str">
        <f t="shared" ref="AG3:AG4" si="7">IF(H3&lt;&gt;"",H3,IF($S3=$S2,AG2,""))</f>
        <v/>
      </c>
      <c r="AH3" t="str">
        <f>IF(Y3="x","",IF(Y3=1,"e","o"))</f>
        <v>e</v>
      </c>
      <c r="AI3" t="str">
        <f>IF($J3&lt;&gt;"",$J3,IF($AC3=$AC2,AI2,""))</f>
        <v>n</v>
      </c>
      <c r="AJ3" t="str">
        <f>IF($J3&lt;&gt;"",$J3,IF($AC3=$AC2,AJ2,""))</f>
        <v>n</v>
      </c>
      <c r="AK3" t="str">
        <f>IF($W3="","",IF($AI3="","",IF($W3="h",$AI3,IF($AI3="n","n",IF(AND($W3="a",$AI3="d"),"o",IF(AND($W3="a",$AI3="o"),"d"))))))</f>
        <v>n</v>
      </c>
      <c r="AL3" t="str">
        <f>IF($W3="","",IF(J3="","",IF(AK3="n","n",IF(AK3="d","o",IF(AK3="o","d","")))))</f>
        <v>n</v>
      </c>
      <c r="AM3" t="str">
        <f>IF(AN3="H","Home",IF(AN3="A","Away",""))</f>
        <v>Away</v>
      </c>
      <c r="AN3" t="str">
        <f>IF($W3&lt;&gt;"",$W3,IF($AC3=$AC2,AN2,""))</f>
        <v>a</v>
      </c>
      <c r="AO3" t="str">
        <f t="shared" si="3"/>
        <v>n</v>
      </c>
      <c r="AP3" t="str">
        <f t="shared" si="3"/>
        <v>n</v>
      </c>
      <c r="AQ3" t="str">
        <f t="shared" si="3"/>
        <v>Away</v>
      </c>
      <c r="AR3" t="str">
        <f t="shared" si="3"/>
        <v>a</v>
      </c>
      <c r="AS3" t="str">
        <f>IF(AND(AH3="e",OR(BD3="Save",BE3="Turnover_Takeaway",BE3="Play_Defensive")),"Defensive",IF(AND(AH3="o",OR(BD3="Save",BE3="Turnover_Takeaway",BE3="Play_Defensive")),"Offensive",IF(OR(BD3="Deadice",BD3="Stoppage",BD3="Intermission"),"",IF(AH3="e","Offensive",IF(AH3="o","Defensive","")))))</f>
        <v>Offensive</v>
      </c>
      <c r="AT3" t="str">
        <f>IF(U3&lt;&gt;"",U3+5000,"")</f>
        <v/>
      </c>
      <c r="AU3" t="str">
        <f>IF(V3&lt;&gt;"",V3+6000,"")</f>
        <v/>
      </c>
      <c r="AV3" t="str" cm="1">
        <f t="array" ref="AV3">IFERROR(IF(O3&lt;&gt;"",O3,IF(OR($S3="",$T3=""),"",IF(O3&lt;&gt;"",O3,IF($T3&lt;&gt;"",_xlfn._xlws.FILTER(O:O,($BT:$BT=$BT3)*($I:$I=$I3)*($T:$T=$T3)*($S:$S=_xlfn.MINIFS($S:$S,$T:$T,"="&amp;$T3)),"")))))&amp;"",IF(O3="","",""))&amp;""</f>
        <v/>
      </c>
      <c r="AW3" t="str" cm="1">
        <f t="array" ref="AW3">IFERROR(IF(P3&lt;&gt;"",P3,IF(OR($S3="",$T3=""),"",IF($T3&lt;&gt;"",_xlfn._xlws.FILTER(P:P,($BT:$BT=$BT3)*($I:$I=$I3)*($T:$T=$T3)*($S:$S=_xlfn.MINIFS($S:$S,$T:$T,"="&amp;$T3)),""))))&amp;"",IF(P3="","",""))&amp;""</f>
        <v/>
      </c>
      <c r="AX3" t="str" cm="1">
        <f t="array" ref="AX3">IFERROR(IF(Q3&lt;&gt;"",Q3,IF(OR($S3="",$T3=""),"",IF($T3&lt;&gt;"",_xlfn._xlws.FILTER(Q:Q,($BT:$BT=$BT3)*($I:$I=$I3)*($T:$T=$T3)*($S:$S=_xlfn.MINIFS($S:$S,$T:$T,"="&amp;$T3)),""))))&amp;"",IF(Q3="","",""))&amp;""</f>
        <v/>
      </c>
      <c r="AY3" t="str" cm="1">
        <f t="array" ref="AY3">IFERROR(IF(R3&lt;&gt;"",R3,IF(OR($S3="",$T3=""),"",IF($T3&lt;&gt;"",_xlfn._xlws.FILTER(R:R,($BT:$BT=$BT3)*($I:$I=$I3)*($T:$T=$T3)*($S:$S=_xlfn.MINIFS($S:$S,$T:$T,"="&amp;$T3)),""))))&amp;"",IF(R3="","",""))&amp;""</f>
        <v>,</v>
      </c>
      <c r="AZ3" s="6">
        <f>IF(OR(L3="Zone_Entry",L3="Zone_Exit"),AZ2+1,AZ2)</f>
        <v>1</v>
      </c>
      <c r="BA3">
        <f>BA2</f>
        <v>18991</v>
      </c>
      <c r="BB3" t="str">
        <f t="shared" ref="BB3:BC3" si="8">BB2</f>
        <v>Triple J</v>
      </c>
      <c r="BC3" t="str">
        <f t="shared" si="8"/>
        <v>Velodrome</v>
      </c>
      <c r="BD3" t="str">
        <f>IF($K3&lt;&gt;"",$K3,IF($S3=$S2,BD2,""))</f>
        <v>Faceoff</v>
      </c>
      <c r="BE3" t="str">
        <f>IF(L3&lt;&gt;"",L3,IF($S3=$S2,BE2,""))</f>
        <v>Faceoff_GameStart</v>
      </c>
      <c r="BF3" t="str">
        <f>IF(M3&lt;&gt;"",M3,IF($S3=$S2,BF2,""))</f>
        <v/>
      </c>
      <c r="BG3" t="str">
        <f>IF($N3&lt;&gt;"",$N3,IF($S3=$S2,BG2,""))</f>
        <v/>
      </c>
      <c r="BH3" cm="1">
        <f t="array" ref="BH3">IFERROR(_xlfn._xlws.FILTER(shifts!A:A,(shifts!B:B=events!Z3)*(shifts!AG:AG&gt;=events!BJ3)*(shifts!AH:AH&lt;=events!BK3)),BH2)</f>
        <v>1</v>
      </c>
      <c r="BI3" s="15">
        <f>IF(AND(AF3="",AG3=""),0,((AD3*60)+AE3)-((AF3*60)+AG3))</f>
        <v>0</v>
      </c>
      <c r="BJ3">
        <f>(AD3*60)+AE3</f>
        <v>1080</v>
      </c>
      <c r="BK3">
        <f>IF(AND(AF3="",AG3=""),BJ3,((AF3*60)+AG3))</f>
        <v>1080</v>
      </c>
      <c r="BL3" s="15">
        <f>SUMIFS(BI$2:BI3,K$2:K3,"=Intermission")+SUMIFS(BI$2:BI3,K$2:K3,"=Timeout")</f>
        <v>0</v>
      </c>
      <c r="BM3">
        <f>IF(Z3=1,0,IF(Z3=2,1080+BL3,IF(Z3=3,(1080*2)+BL3,0)))</f>
        <v>0</v>
      </c>
      <c r="BN3" s="19">
        <f>IF(K3="Intermission",BN2,((1080)-((AD3*60)+AE3))+BM3)</f>
        <v>0</v>
      </c>
      <c r="BO3">
        <f>IF(BN3&lt;5,0,BN3-5)</f>
        <v>0</v>
      </c>
      <c r="BP3" s="17">
        <f>BO3+BI3+5</f>
        <v>5</v>
      </c>
      <c r="BQ3" t="str">
        <f>IF(AH3="e","event_team_player_"&amp;BR3,IF(AH3="o","opp_team_player_"&amp;BR3,""))</f>
        <v>event_team_player_1</v>
      </c>
      <c r="BR3">
        <f>COUNTIFS(S$3:S3,"="&amp;S3,AH$3:AH3,"="&amp;AH3)</f>
        <v>1</v>
      </c>
      <c r="BS3" t="str">
        <f>IFERROR(VLOOKUP(BA3&amp;BT3&amp;X3,game_rosters!U:W,3,FALSE),"")</f>
        <v>P100001</v>
      </c>
      <c r="BT3" t="str">
        <f>IF(AQ3="","",IF(AND(AQ3="Away",AH3="e"),BC3,IF(AND(AQ3="Home",AH3="e"),BB3,IF(AND(AQ3="Away",AH3="o"),BB3,IF(AND(AQ3="Home",AH3="o"),BC3)))))</f>
        <v>Velodrome</v>
      </c>
    </row>
    <row r="4" spans="1:72" x14ac:dyDescent="0.2">
      <c r="A4" t="str">
        <f t="shared" ref="A4:A68" si="9">IF(K4&lt;&gt;"",1,IF(D4="x","x",""))</f>
        <v/>
      </c>
      <c r="E4" s="4"/>
      <c r="F4" s="45"/>
      <c r="G4" s="4"/>
      <c r="H4" s="47"/>
      <c r="I4" s="26">
        <v>73</v>
      </c>
      <c r="N4" t="str">
        <f t="shared" si="4"/>
        <v/>
      </c>
      <c r="Q4" t="str">
        <f t="shared" si="5"/>
        <v/>
      </c>
      <c r="S4">
        <f>IF(A4=1,MAX($S$2:$S3)+1,IF(OR($I4&lt;&gt;"",A4="x"),$S3,""))</f>
        <v>1</v>
      </c>
      <c r="T4" t="str">
        <f>IF(D4=1,MAX($T$2:$T3)+1,IF(S4=S3,$T3,IF(D4="x",T3,IF(D3="x","",""))))</f>
        <v/>
      </c>
      <c r="U4" t="str">
        <f>IF(B4=1,MAX($U$2:$U3)+1,IF(AND($T4&lt;&gt;"",$T4=$T3),$U3,IF(B4="x",U3,"")))</f>
        <v/>
      </c>
      <c r="V4" t="str">
        <f>IF(C4=1,MAX($V$2:$V3)+1,IF(AND($T4&lt;&gt;"",$T4=$T3),$U3,IF(C4="x",V3,"")))</f>
        <v/>
      </c>
      <c r="W4" t="str" cm="1">
        <f t="array" ref="W4">IFERROR(_xlfn._xlws.FILTER(game_rosters!AC:AC,(game_rosters!J:J=events!X4)*(K4&lt;&gt;"")),"")</f>
        <v/>
      </c>
      <c r="X4" cm="1">
        <f t="array" ref="X4">IF($I4&lt;&gt;"",$I4,INDEX($I$1:$I4,ROW()-COUNTIFS($T$1:$T4,"="&amp;$T4,$S$1:$S4,"&lt;"&amp;$S4)))</f>
        <v>73</v>
      </c>
      <c r="Y4" t="str" cm="1">
        <f t="array" ref="Y4">IFERROR(IF(_xlfn._xlws.FILTER(game_rosters!$J:$J,(game_rosters!$G:$G=events!$AM4)*(game_rosters!$J:$J=events!$X4))&gt;0,1,""),"")</f>
        <v/>
      </c>
      <c r="Z4" s="6">
        <f t="shared" si="6"/>
        <v>1</v>
      </c>
      <c r="AA4">
        <f t="shared" si="0"/>
        <v>1001</v>
      </c>
      <c r="AB4" t="str">
        <f t="shared" si="1"/>
        <v/>
      </c>
      <c r="AC4">
        <f t="shared" si="2"/>
        <v>1001</v>
      </c>
      <c r="AD4" t="str">
        <f>IF(E4&lt;&gt;"",E4,IF($AC4=$AC3,AD3,IF(AF3&lt;&gt;"",AF3,IF(AD3&lt;&gt;"",AD3,""))))</f>
        <v>18</v>
      </c>
      <c r="AE4" t="str">
        <f>IF(F4&lt;&gt;"",F4,IF($AC4=$AC3,AE3,IF(AG3&lt;&gt;"",AG3,IF(AE3&lt;&gt;"",AE3,""))))</f>
        <v>00</v>
      </c>
      <c r="AF4" t="str">
        <f>IF(G4&lt;&gt;"",G4,IF($AC4=$AC3,AF3,IF(H4="","",AD4)))</f>
        <v/>
      </c>
      <c r="AG4" t="str">
        <f t="shared" si="7"/>
        <v/>
      </c>
      <c r="AH4" t="str">
        <f t="shared" ref="AH4" si="10">IF(Y4="x","",IF(Y4=1,"e","o"))</f>
        <v>o</v>
      </c>
      <c r="AI4" t="str">
        <f t="shared" ref="AI4:AI26" si="11">IF($J4&lt;&gt;"",$J4,IF($AC4=$AC3,AI3,""))</f>
        <v>n</v>
      </c>
      <c r="AJ4" t="str">
        <f t="shared" ref="AJ4:AJ26" si="12">IF($J4&lt;&gt;"",$J4,IF($AC4=$AC3,AJ3,""))</f>
        <v>n</v>
      </c>
      <c r="AK4" t="str">
        <f t="shared" ref="AK4:AK26" si="13">IF($W4="","",IF($AI4="","",IF($W4="h",$AI4,IF($AI4="n","n",IF(AND($W4="a",$AI4="d"),"o",IF(AND($W4="a",$AI4="o"),"d"))))))</f>
        <v/>
      </c>
      <c r="AL4" t="str">
        <f t="shared" ref="AL4" si="14">IF($W4="","",IF(J4="","",IF(AK4="n","n",IF(AK4="d","o",IF(AK4="o","d","")))))</f>
        <v/>
      </c>
      <c r="AM4" t="str">
        <f>IF(AN4="H","Home",IF(AN4="A","Away",""))</f>
        <v>Away</v>
      </c>
      <c r="AN4" t="str">
        <f>IF($W4&lt;&gt;"",$W4,IF($AC4=AC3,AN3,""))</f>
        <v>a</v>
      </c>
      <c r="AO4" t="str">
        <f>IF(AK4&lt;&gt;"",AK4,IF($AC4=AC3,AO3,""))</f>
        <v>n</v>
      </c>
      <c r="AP4" t="str">
        <f>IF(AL4&lt;&gt;"",AL4,IF($AC4=AC3,AP3,""))</f>
        <v>n</v>
      </c>
      <c r="AQ4" t="str">
        <f>IF(AM4&lt;&gt;"",AM4,IF($AC4=#REF!,#REF!,""))</f>
        <v>Away</v>
      </c>
      <c r="AR4" t="str">
        <f>IF(AN4&lt;&gt;"",AN4,IF($AC4=AC3,AQ3,""))</f>
        <v>a</v>
      </c>
      <c r="AS4" t="str">
        <f t="shared" ref="AS4" si="15">IF(AND(AH4="e",OR(BD4="Save",BE4="Turnover_Takeaway",BE4="Play_Defensive")),"Defensive",IF(AND(AH4="o",OR(BD4="Save",BE4="Turnover_Takeaway",BE4="Play_Defensive")),"Offensive",IF(OR(BD4="Deadice",BD4="Stoppage",BD4="Intermission"),"",IF(AH4="e","Offensive",IF(AH4="o","Defensive","")))))</f>
        <v>Defensive</v>
      </c>
      <c r="AT4" t="str">
        <f t="shared" ref="AT4" si="16">IF(U4&lt;&gt;"",U4+5000,"")</f>
        <v/>
      </c>
      <c r="AU4" t="str">
        <f t="shared" ref="AU4" si="17">IF(V4&lt;&gt;"",V4+6000,"")</f>
        <v/>
      </c>
      <c r="AV4" t="str" cm="1">
        <f t="array" ref="AV4">IFERROR(IF(O4&lt;&gt;"",O4,IF(OR($S4="",$T4=""),"",IF(O4&lt;&gt;"",O4,IF($T4&lt;&gt;"",_xlfn._xlws.FILTER(O:O,($BT:$BT=$BT4)*($I:$I=$I4)*($T:$T=$T4)*($S:$S=_xlfn.MINIFS($S:$S,$T:$T,"="&amp;$T4)),"")))))&amp;"",IF(O4="","",""))&amp;""</f>
        <v/>
      </c>
      <c r="AW4" t="str" cm="1">
        <f t="array" ref="AW4">IFERROR(IF(P4&lt;&gt;"",P4,IF(OR($S4="",$T4=""),"",IF($T4&lt;&gt;"",_xlfn._xlws.FILTER(P:P,($BT:$BT=$BT4)*($I:$I=$I4)*($T:$T=$T4)*($S:$S=_xlfn.MINIFS($S:$S,$T:$T,"="&amp;$T4)),""))))&amp;"",IF(P4="","",""))&amp;""</f>
        <v/>
      </c>
      <c r="AX4" t="str" cm="1">
        <f t="array" ref="AX4">IFERROR(IF(Q4&lt;&gt;"",Q4,IF(OR($S4="",$T4=""),"",IF($T4&lt;&gt;"",_xlfn._xlws.FILTER(Q:Q,($BT:$BT=$BT4)*($I:$I=$I4)*($T:$T=$T4)*($S:$S=_xlfn.MINIFS($S:$S,$T:$T,"="&amp;$T4)),""))))&amp;"",IF(Q4="","",""))&amp;""</f>
        <v/>
      </c>
      <c r="AY4" t="str" cm="1">
        <f t="array" ref="AY4">IFERROR(IF(R4&lt;&gt;"",R4,IF(OR($S4="",$T4=""),"",IF($T4&lt;&gt;"",_xlfn._xlws.FILTER(R:R,($BT:$BT=$BT4)*($I:$I=$I4)*($T:$T=$T4)*($S:$S=_xlfn.MINIFS($S:$S,$T:$T,"="&amp;$T4)),""))))&amp;"",IF(R4="","",""))&amp;""</f>
        <v/>
      </c>
      <c r="AZ4" s="6">
        <f t="shared" ref="AZ4" si="18">IF(OR(L4="Zone_Entry",L4="Zone_Exit"),AZ3+1,AZ3)</f>
        <v>1</v>
      </c>
      <c r="BA4">
        <f t="shared" ref="BA4:BC4" si="19">BA3</f>
        <v>18991</v>
      </c>
      <c r="BB4" t="str">
        <f t="shared" si="19"/>
        <v>Triple J</v>
      </c>
      <c r="BC4" t="str">
        <f t="shared" si="19"/>
        <v>Velodrome</v>
      </c>
      <c r="BD4" t="str">
        <f>IF($K4&lt;&gt;"",$K4,IF($S4=$S3,BD3,""))</f>
        <v>Faceoff</v>
      </c>
      <c r="BE4" t="str">
        <f t="shared" ref="BE4" si="20">IF(L4&lt;&gt;"",L4,IF($S4=$S3,BE3,""))</f>
        <v>Faceoff_GameStart</v>
      </c>
      <c r="BF4" t="str">
        <f t="shared" ref="BF4" si="21">IF(M4&lt;&gt;"",M4,IF($S4=$S3,BF3,""))</f>
        <v/>
      </c>
      <c r="BG4" t="str">
        <f t="shared" ref="BG4:BG258" si="22">IF($N4&lt;&gt;"",$N4,IF($S4=$S3,BG3,""))</f>
        <v/>
      </c>
      <c r="BH4" cm="1">
        <f t="array" ref="BH4">IFERROR(_xlfn._xlws.FILTER(shifts!A:A,(shifts!B:B=events!Z4)*(shifts!AG:AG&gt;=events!BJ4)*(shifts!AH:AH&lt;=events!BK4)),BH3)</f>
        <v>1</v>
      </c>
      <c r="BI4" s="15">
        <f t="shared" ref="BI4" si="23">IF(AND(AF4="",AG4=""),0,((AD4*60)+AE4)-((AF4*60)+AG4))</f>
        <v>0</v>
      </c>
      <c r="BJ4">
        <f t="shared" ref="BJ4" si="24">(AD4*60)+AE4</f>
        <v>1080</v>
      </c>
      <c r="BK4">
        <f t="shared" ref="BK4" si="25">IF(AND(AF4="",AG4=""),BJ4,((AF4*60)+AG4))</f>
        <v>1080</v>
      </c>
      <c r="BL4" s="15">
        <f>SUMIFS(BI$2:BI4,K$2:K4,"=Intermission")+SUMIFS(BI$2:BI4,K$2:K4,"=Timeout")</f>
        <v>0</v>
      </c>
      <c r="BM4">
        <f t="shared" ref="BM4" si="26">IF(Z4=1,0,IF(Z4=2,1080+BL4,IF(Z4=3,(1080*2)+BL4,0)))</f>
        <v>0</v>
      </c>
      <c r="BN4" s="19">
        <f t="shared" ref="BN4" si="27">IF(K4="Intermission",BN3,((1080)-((AD4*60)+AE4))+BM4)</f>
        <v>0</v>
      </c>
      <c r="BO4">
        <f t="shared" ref="BO4" si="28">IF(BN4&lt;5,0,BN4-5)</f>
        <v>0</v>
      </c>
      <c r="BP4" s="17">
        <f t="shared" ref="BP4" si="29">BO4+BI4+5</f>
        <v>5</v>
      </c>
      <c r="BQ4" t="str">
        <f t="shared" ref="BQ4" si="30">IF(AH4="e","event_team_player_"&amp;BR4,IF(AH4="o","opp_team_player_"&amp;BR4,""))</f>
        <v>opp_team_player_1</v>
      </c>
      <c r="BR4">
        <f>COUNTIFS(S$3:S4,"="&amp;S4,AH$3:AH4,"="&amp;AH4)</f>
        <v>1</v>
      </c>
      <c r="BS4" t="str">
        <f>IFERROR(VLOOKUP(BA4&amp;BT4&amp;X4,game_rosters!U:W,3,FALSE),"")</f>
        <v>P100021</v>
      </c>
      <c r="BT4" t="str">
        <f t="shared" ref="BT4" si="31">IF(AQ4="","",IF(AND(AQ4="Away",AH4="e"),BC4,IF(AND(AQ4="Home",AH4="e"),BB4,IF(AND(AQ4="Away",AH4="o"),BB4,IF(AND(AQ4="Home",AH4="o"),BC4)))))</f>
        <v>Triple J</v>
      </c>
    </row>
    <row r="5" spans="1:72" x14ac:dyDescent="0.2">
      <c r="A5">
        <f t="shared" si="9"/>
        <v>1</v>
      </c>
      <c r="E5" s="4" t="s">
        <v>732</v>
      </c>
      <c r="F5" s="45" t="s">
        <v>1058</v>
      </c>
      <c r="G5" s="4" t="s">
        <v>732</v>
      </c>
      <c r="H5" s="47" t="s">
        <v>1028</v>
      </c>
      <c r="I5" s="26">
        <v>70</v>
      </c>
      <c r="J5" s="26" t="s">
        <v>734</v>
      </c>
      <c r="K5" t="s">
        <v>13</v>
      </c>
      <c r="N5" t="str">
        <f t="shared" ref="N5:N20" si="32">IF(K5="","",IF(K5="Goal","s",IF(AND(K5="Zone_Entry_Exit",OR(ISNUMBER(SEARCH("fail",L5)),ISNUMBER(SEARCH("FromExitClear",M5)),ISNUMBER(SEARCH("miss",M5)))),"u",IF(AND(K5="Zone_Entry_Exit",OR(NOT(ISNUMBER(SEARCH("fail",L5))),NOT(ISNUMBER(SEARCH("FromExitClear",M5))),NOT(ISNUMBER(SEARCH("miss",M5))))),"s",IF(AND(OR(K5="Shot",K5="Pass"),OR(ISNUMBER(SEARCH("complete",L5)),ISNUMBER(SEARCH("goal",L5)),ISNUMBER(SEARCH("OnNet",L5)))),"s",IF(L5="Turnover_Giveaway","u",IF(AND(OR(K5="Shot",K5="Pass"),OR(ISNUMBER(SEARCH("fail",L5)),NOT(ISNUMBER(SEARCH("complete",L5))),NOT(ISNUMBER(SEARCH("OnNet",L5))))),"u","")))))))</f>
        <v/>
      </c>
      <c r="Q5" t="str">
        <f t="shared" ref="Q5:Q15" si="33">IF(O5="","",IF(AND(N5&lt;&gt;"",OR(O5&lt;&gt;"",P5&lt;&gt;"")),N5,IF(OR(ISNUMBER(SEARCH("attemp",O5)),ISNUMBER(SEARCH("beat",O5)),ISNUMBER(SEARCH("mis",O5)),ISNUMBER(SEARCH("fail",O5)),ISNUMBER(SEARCH("loss",O5)),ISNUMBER(SEARCH("lost",O5)),ISNUMBER(SEARCH("attemp",P5)),ISNUMBER(SEARCH("mis",P5)),ISNUMBER(SEARCH("fail",P5)),ISNUMBER(SEARCH("loss",P5)),ISNUMBER(SEARCH("beat",P5)),ISNUMBER(SEARCH("lost",P5))),"u","")))</f>
        <v/>
      </c>
      <c r="S5">
        <f>IF(A5=1,MAX($S$2:$S4)+1,IF(OR($I5&lt;&gt;"",A5="x"),$S4,""))</f>
        <v>2</v>
      </c>
      <c r="T5" t="str">
        <f>IF(D5=1,MAX($T$2:$T4)+1,IF(S5=S4,$T4,IF(D5="x",T4,IF(D4="x","",""))))</f>
        <v/>
      </c>
      <c r="U5" t="str">
        <f>IF(B5=1,MAX($U$2:$U4)+1,IF(AND($T5&lt;&gt;"",$T5=$T4),$U4,IF(B5="x",U4,"")))</f>
        <v/>
      </c>
      <c r="V5" t="str">
        <f>IF(C5=1,MAX($V$2:$V4)+1,IF(AND($T5&lt;&gt;"",$T5=$T4),$U4,IF(C5="x",V4,"")))</f>
        <v/>
      </c>
      <c r="W5" t="str" cm="1">
        <f t="array" ref="W5">IFERROR(_xlfn._xlws.FILTER(game_rosters!AC:AC,(game_rosters!J:J=events!X5)*(K5&lt;&gt;"")),"")</f>
        <v>a</v>
      </c>
      <c r="X5" cm="1">
        <f t="array" ref="X5">IF($I5&lt;&gt;"",$I5,INDEX($I$1:$I5,ROW()-COUNTIFS($T$1:$T5,"="&amp;$T5,$S$1:$S5,"&lt;"&amp;$S5)))</f>
        <v>70</v>
      </c>
      <c r="Y5" cm="1">
        <f t="array" ref="Y5">IFERROR(IF(_xlfn._xlws.FILTER(game_rosters!$J:$J,(game_rosters!$G:$G=events!$AM5)*(game_rosters!$J:$J=events!$X5))&gt;0,1,""),"")</f>
        <v>1</v>
      </c>
      <c r="Z5" s="6">
        <f t="shared" ref="Z5:Z68" si="34">IF(K5="Intermission",Z4+1,Z4)</f>
        <v>1</v>
      </c>
      <c r="AA5">
        <f t="shared" ref="AA5:AA68" si="35">S5+1000</f>
        <v>1002</v>
      </c>
      <c r="AB5" t="str">
        <f t="shared" ref="AB5:AB68" si="36">IF(T5&lt;&gt;"",9000+T5,"")</f>
        <v/>
      </c>
      <c r="AC5">
        <f t="shared" ref="AC5:AC68" si="37">IF(AB5&lt;&gt;"",AB5,S5+1000)</f>
        <v>1002</v>
      </c>
      <c r="AD5" t="str">
        <f t="shared" ref="AD5:AD68" si="38">IF(E5&lt;&gt;"",E5,IF($AC5=$AC4,AD4,IF(AF4&lt;&gt;"",AF4,IF(AD4&lt;&gt;"",AD4,""))))</f>
        <v>17</v>
      </c>
      <c r="AE5" t="str">
        <f t="shared" ref="AE5:AE68" si="39">IF(F5&lt;&gt;"",F5,IF($AC5=$AC4,AE4,IF(AG4&lt;&gt;"",AG4,IF(AE4&lt;&gt;"",AE4,""))))</f>
        <v>59</v>
      </c>
      <c r="AF5" t="str">
        <f t="shared" ref="AF5:AF68" si="40">IF(G5&lt;&gt;"",G5,IF($AC5=$AC4,AF4,IF(H5="","",AD5)))</f>
        <v>17</v>
      </c>
      <c r="AG5" t="str">
        <f t="shared" ref="AG5:AG68" si="41">IF(H5&lt;&gt;"",H5,IF($S5=$S4,AG4,""))</f>
        <v>58</v>
      </c>
      <c r="AH5" t="str">
        <f t="shared" ref="AH5:AH26" si="42">IF(Y5="x","",IF(Y5=1,"e","o"))</f>
        <v>e</v>
      </c>
      <c r="AI5" t="str">
        <f t="shared" si="11"/>
        <v>n</v>
      </c>
      <c r="AJ5" t="str">
        <f t="shared" si="12"/>
        <v>n</v>
      </c>
      <c r="AK5" t="str">
        <f t="shared" si="13"/>
        <v>n</v>
      </c>
      <c r="AL5" t="str">
        <f t="shared" ref="AL5:AL26" si="43">IF($W5="","",IF(J5="","",IF(AK5="n","n",IF(AK5="d","o",IF(AK5="o","d","")))))</f>
        <v>n</v>
      </c>
      <c r="AM5" t="str">
        <f t="shared" ref="AM5:AM68" si="44">IF(AN5="H","Home",IF(AN5="A","Away",""))</f>
        <v>Away</v>
      </c>
      <c r="AN5" t="str">
        <f t="shared" ref="AN5:AN26" si="45">IF($W5&lt;&gt;"",$W5,IF($AC5=AC4,AN4,""))</f>
        <v>a</v>
      </c>
      <c r="AO5" t="str">
        <f t="shared" ref="AO5:AO26" si="46">IF(AK5&lt;&gt;"",AK5,IF($AC5=AC4,AO4,""))</f>
        <v>n</v>
      </c>
      <c r="AP5" t="str">
        <f t="shared" ref="AP5:AP26" si="47">IF(AL5&lt;&gt;"",AL5,IF($AC5=AC4,AP4,""))</f>
        <v>n</v>
      </c>
      <c r="AQ5" t="str">
        <f>IF(AM5&lt;&gt;"",AM5,IF($AC5=#REF!,#REF!,""))</f>
        <v>Away</v>
      </c>
      <c r="AR5" t="str">
        <f t="shared" ref="AR5:AR26" si="48">IF(AN5&lt;&gt;"",AN5,IF($AC5=AC4,AQ4,""))</f>
        <v>a</v>
      </c>
      <c r="AS5" t="str">
        <f t="shared" ref="AS5:AS26" si="49">IF(AND(AH5="e",OR(BD5="Save",BE5="Turnover_Takeaway",BE5="Play_Defensive")),"Defensive",IF(AND(AH5="o",OR(BD5="Save",BE5="Turnover_Takeaway",BE5="Play_Defensive")),"Offensive",IF(OR(BD5="Deadice",BD5="Stoppage",BD5="Intermission"),"",IF(AH5="e","Offensive",IF(AH5="o","Defensive","")))))</f>
        <v>Offensive</v>
      </c>
      <c r="AT5" t="str">
        <f t="shared" ref="AT5:AT68" si="50">IF(U5&lt;&gt;"",U5+5000,"")</f>
        <v/>
      </c>
      <c r="AU5" t="str">
        <f t="shared" ref="AU5:AU68" si="51">IF(V5&lt;&gt;"",V5+6000,"")</f>
        <v/>
      </c>
      <c r="AV5" t="str" cm="1">
        <f t="array" ref="AV5">IFERROR(IF(O5&lt;&gt;"",O5,IF(OR($S5="",$T5=""),"",IF(O5&lt;&gt;"",O5,IF($T5&lt;&gt;"",_xlfn._xlws.FILTER(O:O,($BT:$BT=$BT5)*($I:$I=$I5)*($T:$T=$T5)*($S:$S=_xlfn.MINIFS($S:$S,$T:$T,"="&amp;$T5)),"")))))&amp;"",IF(O5="","",""))&amp;""</f>
        <v/>
      </c>
      <c r="AW5" t="str" cm="1">
        <f t="array" ref="AW5">IFERROR(IF(P5&lt;&gt;"",P5,IF(OR($S5="",$T5=""),"",IF($T5&lt;&gt;"",_xlfn._xlws.FILTER(P:P,($BT:$BT=$BT5)*($I:$I=$I5)*($T:$T=$T5)*($S:$S=_xlfn.MINIFS($S:$S,$T:$T,"="&amp;$T5)),""))))&amp;"",IF(P5="","",""))&amp;""</f>
        <v/>
      </c>
      <c r="AX5" t="str" cm="1">
        <f t="array" ref="AX5">IFERROR(IF(Q5&lt;&gt;"",Q5,IF(OR($S5="",$T5=""),"",IF($T5&lt;&gt;"",_xlfn._xlws.FILTER(Q:Q,($BT:$BT=$BT5)*($I:$I=$I5)*($T:$T=$T5)*($S:$S=_xlfn.MINIFS($S:$S,$T:$T,"="&amp;$T5)),""))))&amp;"",IF(Q5="","",""))&amp;""</f>
        <v/>
      </c>
      <c r="AY5" t="str" cm="1">
        <f t="array" ref="AY5">IFERROR(IF(R5&lt;&gt;"",R5,IF(OR($S5="",$T5=""),"",IF($T5&lt;&gt;"",_xlfn._xlws.FILTER(R:R,($BT:$BT=$BT5)*($I:$I=$I5)*($T:$T=$T5)*($S:$S=_xlfn.MINIFS($S:$S,$T:$T,"="&amp;$T5)),""))))&amp;"",IF(R5="","",""))&amp;""</f>
        <v/>
      </c>
      <c r="AZ5" s="6">
        <f t="shared" ref="AZ5:AZ68" si="52">IF(OR(L5="Zone_Entry",L5="Zone_Exit"),AZ4+1,AZ4)</f>
        <v>1</v>
      </c>
      <c r="BA5">
        <f t="shared" ref="BA5:BC5" si="53">BA4</f>
        <v>18991</v>
      </c>
      <c r="BB5" t="str">
        <f t="shared" si="53"/>
        <v>Triple J</v>
      </c>
      <c r="BC5" t="str">
        <f t="shared" si="53"/>
        <v>Velodrome</v>
      </c>
      <c r="BD5" t="str">
        <f t="shared" ref="BD5:BD68" si="54">IF($K5&lt;&gt;"",$K5,IF($S5=$S4,BD4,""))</f>
        <v>Possession</v>
      </c>
      <c r="BE5" t="str">
        <f t="shared" ref="BE5:BE68" si="55">IF(L5&lt;&gt;"",L5,IF($S5=$S4,BE4,""))</f>
        <v/>
      </c>
      <c r="BF5" t="str">
        <f t="shared" ref="BF5:BF68" si="56">IF(M5&lt;&gt;"",M5,IF($S5=$S4,BF4,""))</f>
        <v/>
      </c>
      <c r="BG5" t="str">
        <f t="shared" si="22"/>
        <v/>
      </c>
      <c r="BH5" cm="1">
        <f t="array" ref="BH5">IFERROR(_xlfn._xlws.FILTER(shifts!A:A,(shifts!B:B=events!Z5)*(shifts!AG:AG&gt;=events!BJ5)*(shifts!AH:AH&lt;=events!BK5)),BH4)</f>
        <v>1</v>
      </c>
      <c r="BI5" s="15">
        <f t="shared" ref="BI5:BI68" si="57">IF(AND(AF5="",AG5=""),0,((AD5*60)+AE5)-((AF5*60)+AG5))</f>
        <v>1</v>
      </c>
      <c r="BJ5">
        <f t="shared" ref="BJ5:BJ68" si="58">(AD5*60)+AE5</f>
        <v>1079</v>
      </c>
      <c r="BK5">
        <f t="shared" ref="BK5:BK68" si="59">IF(AND(AF5="",AG5=""),BJ5,((AF5*60)+AG5))</f>
        <v>1078</v>
      </c>
      <c r="BL5" s="15">
        <f>SUMIFS(BI$2:BI5,K$2:K5,"=Intermission")+SUMIFS(BI$2:BI5,K$2:K5,"=Timeout")</f>
        <v>0</v>
      </c>
      <c r="BM5">
        <f t="shared" ref="BM5:BM68" si="60">IF(Z5=1,0,IF(Z5=2,1080+BL5,IF(Z5=3,(1080*2)+BL5,0)))</f>
        <v>0</v>
      </c>
      <c r="BN5" s="19">
        <f t="shared" ref="BN5:BN68" si="61">IF(K5="Intermission",BN4,((1080)-((AD5*60)+AE5))+BM5)</f>
        <v>1</v>
      </c>
      <c r="BO5">
        <f t="shared" ref="BO5:BO68" si="62">IF(BN5&lt;5,0,BN5-5)</f>
        <v>0</v>
      </c>
      <c r="BP5" s="17">
        <f t="shared" ref="BP5:BP68" si="63">BO5+BI5+5</f>
        <v>6</v>
      </c>
      <c r="BQ5" t="str">
        <f t="shared" ref="BQ5:BQ68" si="64">IF(AH5="e","event_team_player_"&amp;BR5,IF(AH5="o","opp_team_player_"&amp;BR5,""))</f>
        <v>event_team_player_1</v>
      </c>
      <c r="BR5">
        <f>COUNTIFS(S$3:S5,"="&amp;S5,AH$3:AH5,"="&amp;AH5)</f>
        <v>1</v>
      </c>
      <c r="BS5" t="str">
        <f>IFERROR(VLOOKUP(BA5&amp;BT5&amp;X5,game_rosters!U:W,3,FALSE),"")</f>
        <v>P100001</v>
      </c>
      <c r="BT5" t="str">
        <f t="shared" ref="BT5:BT68" si="65">IF(AQ5="","",IF(AND(AQ5="Away",AH5="e"),BC5,IF(AND(AQ5="Home",AH5="e"),BB5,IF(AND(AQ5="Away",AH5="o"),BB5,IF(AND(AQ5="Home",AH5="o"),BC5)))))</f>
        <v>Velodrome</v>
      </c>
    </row>
    <row r="6" spans="1:72" x14ac:dyDescent="0.2">
      <c r="A6">
        <f>IF(K6&lt;&gt;"",1,IF(D6="x","x",""))</f>
        <v>1</v>
      </c>
      <c r="E6" s="4"/>
      <c r="F6" s="45"/>
      <c r="G6" s="4"/>
      <c r="H6" s="47" t="s">
        <v>1059</v>
      </c>
      <c r="I6" s="26">
        <v>70</v>
      </c>
      <c r="J6" s="26" t="str">
        <f>IF(OR(K6="Goal",K6="Shot",L6="Zone_Entry",M6="Stoppage-Goal",M5="Stoppage-Goal"),"o",IF(OR(K6="Save",K6="Rebound",L6="Zone_Exit",M6="Stoppage-GoalieStoppage",M5="Stoppage-GoalieStoppage"),"d",IF(OR(L6="Faceoff_AfterGoal",L6="Faceoff_PeriodStart",698="Faceoff_GameStart",M5="Stoppage-Goal"),"n","")))</f>
        <v>o</v>
      </c>
      <c r="K6" t="s">
        <v>238</v>
      </c>
      <c r="L6" t="s">
        <v>174</v>
      </c>
      <c r="M6" t="s">
        <v>85</v>
      </c>
      <c r="N6" t="s">
        <v>594</v>
      </c>
      <c r="O6" t="s">
        <v>143</v>
      </c>
      <c r="Q6" t="str">
        <f t="shared" si="33"/>
        <v>u</v>
      </c>
      <c r="S6">
        <f>IF(A6=1,MAX($S$2:$S5)+1,IF(OR($I6&lt;&gt;"",A6="x"),$S5,""))</f>
        <v>3</v>
      </c>
      <c r="T6" t="str">
        <f>IF(D6=1,MAX($T$2:$T5)+1,IF(S6=S5,$T5,IF(D6="x",T5,IF(D5="x","",""))))</f>
        <v/>
      </c>
      <c r="U6" t="str">
        <f>IF(B6=1,MAX($U$2:$U5)+1,IF(AND($T6&lt;&gt;"",$T6=$T5),$U5,IF(B6="x",U5,"")))</f>
        <v/>
      </c>
      <c r="V6" t="str">
        <f>IF(C6=1,MAX($V$2:$V5)+1,IF(AND($T6&lt;&gt;"",$T6=$T5),$U5,IF(C6="x",V5,"")))</f>
        <v/>
      </c>
      <c r="W6" t="str" cm="1">
        <f t="array" ref="W6">IFERROR(_xlfn._xlws.FILTER(game_rosters!AC:AC,(game_rosters!J:J=events!X6)*(K6&lt;&gt;"")),"")</f>
        <v>a</v>
      </c>
      <c r="X6" cm="1">
        <f t="array" ref="X6">IF($I6&lt;&gt;"",$I6,INDEX($I$1:$I6,ROW()-COUNTIFS($T$1:$T6,"="&amp;$T6,$S$1:$S6,"&lt;"&amp;$S6)))</f>
        <v>70</v>
      </c>
      <c r="Y6" cm="1">
        <f t="array" ref="Y6">IFERROR(IF(_xlfn._xlws.FILTER(game_rosters!$J:$J,(game_rosters!$G:$G=events!$AM6)*(game_rosters!$J:$J=events!$X6))&gt;0,1,""),"")</f>
        <v>1</v>
      </c>
      <c r="Z6" s="6">
        <f>IF(K6="Intermission",Z5+1,Z5)</f>
        <v>1</v>
      </c>
      <c r="AA6">
        <f t="shared" si="35"/>
        <v>1003</v>
      </c>
      <c r="AB6" t="str">
        <f t="shared" si="36"/>
        <v/>
      </c>
      <c r="AC6">
        <f t="shared" si="37"/>
        <v>1003</v>
      </c>
      <c r="AD6" t="str">
        <f t="shared" si="38"/>
        <v>17</v>
      </c>
      <c r="AE6" t="str">
        <f t="shared" si="39"/>
        <v>58</v>
      </c>
      <c r="AF6" t="str">
        <f t="shared" si="40"/>
        <v>17</v>
      </c>
      <c r="AG6" t="str">
        <f t="shared" si="41"/>
        <v>54</v>
      </c>
      <c r="AH6" t="str">
        <f t="shared" si="42"/>
        <v>e</v>
      </c>
      <c r="AI6" t="str">
        <f t="shared" si="11"/>
        <v>o</v>
      </c>
      <c r="AJ6" t="str">
        <f t="shared" si="12"/>
        <v>o</v>
      </c>
      <c r="AK6" t="str">
        <f t="shared" si="13"/>
        <v>d</v>
      </c>
      <c r="AL6" t="str">
        <f t="shared" si="43"/>
        <v>o</v>
      </c>
      <c r="AM6" t="str">
        <f t="shared" si="44"/>
        <v>Away</v>
      </c>
      <c r="AN6" t="str">
        <f t="shared" si="45"/>
        <v>a</v>
      </c>
      <c r="AO6" t="str">
        <f t="shared" si="46"/>
        <v>d</v>
      </c>
      <c r="AP6" t="str">
        <f t="shared" si="47"/>
        <v>o</v>
      </c>
      <c r="AQ6" t="str">
        <f>IF(AM6&lt;&gt;"",AM6,IF($AC6=#REF!,#REF!,""))</f>
        <v>Away</v>
      </c>
      <c r="AR6" t="str">
        <f t="shared" si="48"/>
        <v>a</v>
      </c>
      <c r="AS6" t="str">
        <f t="shared" si="49"/>
        <v>Offensive</v>
      </c>
      <c r="AT6" t="str">
        <f t="shared" si="50"/>
        <v/>
      </c>
      <c r="AU6" t="str">
        <f t="shared" si="51"/>
        <v/>
      </c>
      <c r="AV6" t="str" cm="1">
        <f t="array" ref="AV6">IFERROR(IF(O6&lt;&gt;"",O6,IF(OR($S6="",$T6=""),"",IF(O6&lt;&gt;"",O6,IF($T6&lt;&gt;"",_xlfn._xlws.FILTER(O:O,($BT:$BT=$BT6)*($I:$I=$I6)*($T:$T=$T6)*($S:$S=_xlfn.MINIFS($S:$S,$T:$T,"="&amp;$T6)),"")))))&amp;"",IF(O6="","",""))&amp;""</f>
        <v>DriveMiddle</v>
      </c>
      <c r="AW6" t="str" cm="1">
        <f t="array" ref="AW6">IFERROR(IF(P6&lt;&gt;"",P6,IF(OR($S6="",$T6=""),"",IF($T6&lt;&gt;"",_xlfn._xlws.FILTER(P:P,($BT:$BT=$BT6)*($I:$I=$I6)*($T:$T=$T6)*($S:$S=_xlfn.MINIFS($S:$S,$T:$T,"="&amp;$T6)),""))))&amp;"",IF(P6="","",""))&amp;""</f>
        <v/>
      </c>
      <c r="AX6" t="str" cm="1">
        <f t="array" ref="AX6">IFERROR(IF(Q6&lt;&gt;"",Q6,IF(OR($S6="",$T6=""),"",IF($T6&lt;&gt;"",_xlfn._xlws.FILTER(Q:Q,($BT:$BT=$BT6)*($I:$I=$I6)*($T:$T=$T6)*($S:$S=_xlfn.MINIFS($S:$S,$T:$T,"="&amp;$T6)),""))))&amp;"",IF(Q6="","",""))&amp;""</f>
        <v>u</v>
      </c>
      <c r="AY6" t="str" cm="1">
        <f t="array" ref="AY6">IFERROR(IF(R6&lt;&gt;"",R6,IF(OR($S6="",$T6=""),"",IF($T6&lt;&gt;"",_xlfn._xlws.FILTER(R:R,($BT:$BT=$BT6)*($I:$I=$I6)*($T:$T=$T6)*($S:$S=_xlfn.MINIFS($S:$S,$T:$T,"="&amp;$T6)),""))))&amp;"",IF(R6="","",""))&amp;""</f>
        <v/>
      </c>
      <c r="AZ6" s="6">
        <f t="shared" si="52"/>
        <v>2</v>
      </c>
      <c r="BA6">
        <f t="shared" ref="BA6:BC6" si="66">BA5</f>
        <v>18991</v>
      </c>
      <c r="BB6" t="str">
        <f t="shared" si="66"/>
        <v>Triple J</v>
      </c>
      <c r="BC6" t="str">
        <f t="shared" si="66"/>
        <v>Velodrome</v>
      </c>
      <c r="BD6" t="str">
        <f t="shared" si="54"/>
        <v>Zone_Entry_Exit</v>
      </c>
      <c r="BE6" t="str">
        <f t="shared" si="55"/>
        <v>Zone_Entry</v>
      </c>
      <c r="BF6" t="str">
        <f t="shared" si="56"/>
        <v>ZoneEntry-Rush</v>
      </c>
      <c r="BG6" t="str">
        <f t="shared" si="22"/>
        <v>u</v>
      </c>
      <c r="BH6" cm="1">
        <f t="array" ref="BH6">IFERROR(_xlfn._xlws.FILTER(shifts!A:A,(shifts!B:B=events!Z6)*(shifts!AG:AG&gt;=events!BJ6)*(shifts!AH:AH&lt;=events!BK6)),BH5)</f>
        <v>1</v>
      </c>
      <c r="BI6" s="15">
        <f t="shared" si="57"/>
        <v>4</v>
      </c>
      <c r="BJ6">
        <f t="shared" si="58"/>
        <v>1078</v>
      </c>
      <c r="BK6">
        <f t="shared" si="59"/>
        <v>1074</v>
      </c>
      <c r="BL6" s="15">
        <f>SUMIFS(BI$2:BI6,K$2:K6,"=Intermission")+SUMIFS(BI$2:BI6,K$2:K6,"=Timeout")</f>
        <v>0</v>
      </c>
      <c r="BM6">
        <f t="shared" si="60"/>
        <v>0</v>
      </c>
      <c r="BN6" s="19">
        <f t="shared" si="61"/>
        <v>2</v>
      </c>
      <c r="BO6">
        <f t="shared" si="62"/>
        <v>0</v>
      </c>
      <c r="BP6" s="17">
        <f t="shared" si="63"/>
        <v>9</v>
      </c>
      <c r="BQ6" t="str">
        <f t="shared" si="64"/>
        <v>event_team_player_1</v>
      </c>
      <c r="BR6">
        <f>COUNTIFS(S$3:S6,"="&amp;S6,AH$3:AH6,"="&amp;AH6)</f>
        <v>1</v>
      </c>
      <c r="BS6" t="str">
        <f>IFERROR(VLOOKUP(BA6&amp;BT6&amp;X6,game_rosters!U:W,3,FALSE),"")</f>
        <v>P100001</v>
      </c>
      <c r="BT6" t="str">
        <f t="shared" si="65"/>
        <v>Velodrome</v>
      </c>
    </row>
    <row r="7" spans="1:72" x14ac:dyDescent="0.2">
      <c r="A7" t="str">
        <f>IF(K7&lt;&gt;"",1,IF(D7="x","x",""))</f>
        <v/>
      </c>
      <c r="E7" s="4"/>
      <c r="F7" s="45"/>
      <c r="G7" s="4"/>
      <c r="H7" s="47"/>
      <c r="I7" s="26">
        <v>10</v>
      </c>
      <c r="J7" s="26" t="str">
        <f>IF(OR(K7="Goal",K7="Shot",L7="Zone_Entry",M7="Stoppage-Goal",M6="Stoppage-Goal"),"o",IF(OR(K7="Save",K7="Rebound",L7="Zone_Exit",M7="Stoppage-GoalieStoppage",M6="Stoppage-GoalieStoppage"),"d",IF(OR(L7="Faceoff_AfterGoal",L7="Faceoff_PeriodStart",698="Faceoff_GameStart",M6="Stoppage-Goal"),"n","")))</f>
        <v/>
      </c>
      <c r="N7" t="str">
        <f>IF(K7="","",IF(K7="Goal","s",IF(AND(K7="Zone_Entry_Exit",OR(ISNUMBER(SEARCH("fail",L7)),ISNUMBER(SEARCH("FromExitClear",M7)),ISNUMBER(SEARCH("miss",M7)))),"u",IF(AND(K7="Zone_Entry_Exit",OR(NOT(ISNUMBER(SEARCH("fail",L7))),NOT(ISNUMBER(SEARCH("FromExitClear",M7))),NOT(ISNUMBER(SEARCH("miss",M7))))),"s",IF(AND(OR(K7="Shot",K7="Pass"),OR(ISNUMBER(SEARCH("complete",L7)),ISNUMBER(SEARCH("goal",L7)),ISNUMBER(SEARCH("OnNet",L7)))),"s",IF(L7="Turnover_Giveaway","u",IF(AND(OR(K7="Shot",K7="Pass"),OR(ISNUMBER(SEARCH("fail",L7)),NOT(ISNUMBER(SEARCH("complete",L7))),NOT(ISNUMBER(SEARCH("OnNet",L7))))),"u","")))))))</f>
        <v/>
      </c>
      <c r="Q7" t="str">
        <f t="shared" si="33"/>
        <v/>
      </c>
      <c r="S7">
        <f>IF(A7=1,MAX($S$2:$S6)+1,IF(OR($I7&lt;&gt;"",A7="x"),$S6,""))</f>
        <v>3</v>
      </c>
      <c r="T7" t="str">
        <f>IF(D7=1,MAX($T$2:$T6)+1,IF(S7=S6,$T6,IF(D7="x",T6,IF(D6="x","",""))))</f>
        <v/>
      </c>
      <c r="U7" t="str">
        <f>IF(B7=1,MAX($U$2:$U6)+1,IF(AND($T7&lt;&gt;"",$T7=$T6),$U6,IF(B7="x",U6,"")))</f>
        <v/>
      </c>
      <c r="V7" t="str">
        <f>IF(C7=1,MAX($V$2:$V6)+1,IF(AND($T7&lt;&gt;"",$T7=$T6),$U6,IF(C7="x",V6,"")))</f>
        <v/>
      </c>
      <c r="W7" t="str" cm="1">
        <f t="array" ref="W7">IFERROR(_xlfn._xlws.FILTER(game_rosters!AC:AC,(game_rosters!J:J=events!X7)*(K7&lt;&gt;"")),"")</f>
        <v/>
      </c>
      <c r="X7" cm="1">
        <f t="array" ref="X7">IF($I7&lt;&gt;"",$I7,INDEX($I$1:$I7,ROW()-COUNTIFS($T$1:$T7,"="&amp;$T7,$S$1:$S7,"&lt;"&amp;$S7)))</f>
        <v>10</v>
      </c>
      <c r="Y7" t="str" cm="1">
        <f t="array" ref="Y7">IFERROR(IF(_xlfn._xlws.FILTER(game_rosters!$J:$J,(game_rosters!$G:$G=events!$AM7)*(game_rosters!$J:$J=events!$X7))&gt;0,1,""),"")</f>
        <v/>
      </c>
      <c r="Z7" s="6">
        <f>IF(K7="Intermission",Z6+1,Z6)</f>
        <v>1</v>
      </c>
      <c r="AA7">
        <f t="shared" si="35"/>
        <v>1003</v>
      </c>
      <c r="AB7" t="str">
        <f t="shared" si="36"/>
        <v/>
      </c>
      <c r="AC7">
        <f t="shared" si="37"/>
        <v>1003</v>
      </c>
      <c r="AD7" t="str">
        <f t="shared" si="38"/>
        <v>17</v>
      </c>
      <c r="AE7" t="str">
        <f t="shared" si="39"/>
        <v>58</v>
      </c>
      <c r="AF7" t="str">
        <f t="shared" si="40"/>
        <v>17</v>
      </c>
      <c r="AG7" t="str">
        <f t="shared" si="41"/>
        <v>54</v>
      </c>
      <c r="AH7" t="str">
        <f t="shared" si="42"/>
        <v>o</v>
      </c>
      <c r="AI7" t="str">
        <f t="shared" si="11"/>
        <v>o</v>
      </c>
      <c r="AJ7" t="str">
        <f t="shared" si="12"/>
        <v>o</v>
      </c>
      <c r="AK7" t="str">
        <f t="shared" si="13"/>
        <v/>
      </c>
      <c r="AL7" t="str">
        <f t="shared" si="43"/>
        <v/>
      </c>
      <c r="AM7" t="str">
        <f t="shared" si="44"/>
        <v>Away</v>
      </c>
      <c r="AN7" t="str">
        <f t="shared" si="45"/>
        <v>a</v>
      </c>
      <c r="AO7" t="str">
        <f t="shared" si="46"/>
        <v>d</v>
      </c>
      <c r="AP7" t="str">
        <f t="shared" si="47"/>
        <v>o</v>
      </c>
      <c r="AQ7" t="str">
        <f>IF(AM7&lt;&gt;"",AM7,IF($AC7=#REF!,#REF!,""))</f>
        <v>Away</v>
      </c>
      <c r="AR7" t="str">
        <f t="shared" si="48"/>
        <v>a</v>
      </c>
      <c r="AS7" t="str">
        <f t="shared" si="49"/>
        <v>Defensive</v>
      </c>
      <c r="AT7" t="str">
        <f t="shared" si="50"/>
        <v/>
      </c>
      <c r="AU7" t="str">
        <f t="shared" si="51"/>
        <v/>
      </c>
      <c r="AV7" t="str" cm="1">
        <f t="array" ref="AV7">IFERROR(IF(O7&lt;&gt;"",O7,IF(OR($S7="",$T7=""),"",IF(O7&lt;&gt;"",O7,IF($T7&lt;&gt;"",_xlfn._xlws.FILTER(O:O,($BT:$BT=$BT7)*($I:$I=$I7)*($T:$T=$T7)*($S:$S=_xlfn.MINIFS($S:$S,$T:$T,"="&amp;$T7)),"")))))&amp;"",IF(O7="","",""))&amp;""</f>
        <v/>
      </c>
      <c r="AW7" t="str" cm="1">
        <f t="array" ref="AW7">IFERROR(IF(P7&lt;&gt;"",P7,IF(OR($S7="",$T7=""),"",IF($T7&lt;&gt;"",_xlfn._xlws.FILTER(P:P,($BT:$BT=$BT7)*($I:$I=$I7)*($T:$T=$T7)*($S:$S=_xlfn.MINIFS($S:$S,$T:$T,"="&amp;$T7)),""))))&amp;"",IF(P7="","",""))&amp;""</f>
        <v/>
      </c>
      <c r="AX7" t="str" cm="1">
        <f t="array" ref="AX7">IFERROR(IF(Q7&lt;&gt;"",Q7,IF(OR($S7="",$T7=""),"",IF($T7&lt;&gt;"",_xlfn._xlws.FILTER(Q:Q,($BT:$BT=$BT7)*($I:$I=$I7)*($T:$T=$T7)*($S:$S=_xlfn.MINIFS($S:$S,$T:$T,"="&amp;$T7)),""))))&amp;"",IF(Q7="","",""))&amp;""</f>
        <v/>
      </c>
      <c r="AY7" t="str" cm="1">
        <f t="array" ref="AY7">IFERROR(IF(R7&lt;&gt;"",R7,IF(OR($S7="",$T7=""),"",IF($T7&lt;&gt;"",_xlfn._xlws.FILTER(R:R,($BT:$BT=$BT7)*($I:$I=$I7)*($T:$T=$T7)*($S:$S=_xlfn.MINIFS($S:$S,$T:$T,"="&amp;$T7)),""))))&amp;"",IF(R7="","",""))&amp;""</f>
        <v/>
      </c>
      <c r="AZ7" s="6">
        <f t="shared" si="52"/>
        <v>2</v>
      </c>
      <c r="BA7">
        <f t="shared" ref="BA7:BC7" si="67">BA6</f>
        <v>18991</v>
      </c>
      <c r="BB7" t="str">
        <f t="shared" si="67"/>
        <v>Triple J</v>
      </c>
      <c r="BC7" t="str">
        <f t="shared" si="67"/>
        <v>Velodrome</v>
      </c>
      <c r="BD7" t="str">
        <f t="shared" si="54"/>
        <v>Zone_Entry_Exit</v>
      </c>
      <c r="BE7" t="str">
        <f t="shared" si="55"/>
        <v>Zone_Entry</v>
      </c>
      <c r="BF7" t="str">
        <f t="shared" si="56"/>
        <v>ZoneEntry-Rush</v>
      </c>
      <c r="BG7" t="str">
        <f t="shared" si="22"/>
        <v>u</v>
      </c>
      <c r="BH7" cm="1">
        <f t="array" ref="BH7">IFERROR(_xlfn._xlws.FILTER(shifts!A:A,(shifts!B:B=events!Z7)*(shifts!AG:AG&gt;=events!BJ7)*(shifts!AH:AH&lt;=events!BK7)),BH6)</f>
        <v>1</v>
      </c>
      <c r="BI7" s="15">
        <f t="shared" si="57"/>
        <v>4</v>
      </c>
      <c r="BJ7">
        <f t="shared" si="58"/>
        <v>1078</v>
      </c>
      <c r="BK7">
        <f t="shared" si="59"/>
        <v>1074</v>
      </c>
      <c r="BL7" s="15">
        <f>SUMIFS(BI$2:BI7,K$2:K7,"=Intermission")+SUMIFS(BI$2:BI7,K$2:K7,"=Timeout")</f>
        <v>0</v>
      </c>
      <c r="BM7">
        <f t="shared" si="60"/>
        <v>0</v>
      </c>
      <c r="BN7" s="19">
        <f t="shared" si="61"/>
        <v>2</v>
      </c>
      <c r="BO7">
        <f t="shared" si="62"/>
        <v>0</v>
      </c>
      <c r="BP7" s="17">
        <f t="shared" si="63"/>
        <v>9</v>
      </c>
      <c r="BQ7" t="str">
        <f t="shared" si="64"/>
        <v>opp_team_player_1</v>
      </c>
      <c r="BR7">
        <f>COUNTIFS(S$3:S7,"="&amp;S7,AH$3:AH7,"="&amp;AH7)</f>
        <v>1</v>
      </c>
      <c r="BS7" t="str">
        <f>IFERROR(VLOOKUP(BA7&amp;BT7&amp;X7,game_rosters!U:W,3,FALSE),"")</f>
        <v>P100183</v>
      </c>
      <c r="BT7" t="str">
        <f t="shared" si="65"/>
        <v>Triple J</v>
      </c>
    </row>
    <row r="8" spans="1:72" x14ac:dyDescent="0.2">
      <c r="A8" t="str">
        <f t="shared" si="9"/>
        <v/>
      </c>
      <c r="E8" s="4"/>
      <c r="F8" s="45"/>
      <c r="G8" s="4"/>
      <c r="H8" s="47"/>
      <c r="I8" s="26">
        <v>41</v>
      </c>
      <c r="J8" s="26" t="str">
        <f t="shared" ref="J8:J69" si="68">IF(OR(K8="Goal",K8="Shot",L8="Zone_Entry",M8="Stoppage-Goal",M7="Stoppage-Goal"),"o",IF(OR(K8="Save",K8="Rebound",L8="Zone_Exit",M8="Stoppage-GoalieStoppage",M7="Stoppage-GoalieStoppage"),"d",IF(OR(L8="Faceoff_AfterGoal",L8="Faceoff_PeriodStart",698="Faceoff_GameStart",M7="Stoppage-Goal"),"n","")))</f>
        <v/>
      </c>
      <c r="N8" t="str">
        <f t="shared" si="32"/>
        <v/>
      </c>
      <c r="Q8" t="str">
        <f t="shared" si="33"/>
        <v/>
      </c>
      <c r="S8">
        <f>IF(A8=1,MAX($S$2:$S7)+1,IF(OR($I8&lt;&gt;"",A8="x"),$S7,""))</f>
        <v>3</v>
      </c>
      <c r="T8" t="str">
        <f>IF(D8=1,MAX($T$2:$T7)+1,IF(S8=S7,$T7,IF(D8="x",T7,IF(D7="x","",""))))</f>
        <v/>
      </c>
      <c r="U8" t="str">
        <f>IF(B8=1,MAX($U$2:$U7)+1,IF(AND($T8&lt;&gt;"",$T8=$T7),$U7,IF(B8="x",U7,"")))</f>
        <v/>
      </c>
      <c r="V8" t="str">
        <f>IF(C8=1,MAX($V$2:$V7)+1,IF(AND($T8&lt;&gt;"",$T8=$T7),$U7,IF(C8="x",V7,"")))</f>
        <v/>
      </c>
      <c r="W8" t="str" cm="1">
        <f t="array" ref="W8">IFERROR(_xlfn._xlws.FILTER(game_rosters!AC:AC,(game_rosters!J:J=events!X8)*(K8&lt;&gt;"")),"")</f>
        <v/>
      </c>
      <c r="X8" cm="1">
        <f t="array" ref="X8">IF($I8&lt;&gt;"",$I8,INDEX($I$1:$I8,ROW()-COUNTIFS($T$1:$T8,"="&amp;$T8,$S$1:$S8,"&lt;"&amp;$S8)))</f>
        <v>41</v>
      </c>
      <c r="Y8" t="str" cm="1">
        <f t="array" ref="Y8">IFERROR(IF(_xlfn._xlws.FILTER(game_rosters!$J:$J,(game_rosters!$G:$G=events!$AM8)*(game_rosters!$J:$J=events!$X8))&gt;0,1,""),"")</f>
        <v/>
      </c>
      <c r="Z8" s="6">
        <f t="shared" si="34"/>
        <v>1</v>
      </c>
      <c r="AA8">
        <f t="shared" si="35"/>
        <v>1003</v>
      </c>
      <c r="AB8" t="str">
        <f t="shared" si="36"/>
        <v/>
      </c>
      <c r="AC8">
        <f t="shared" si="37"/>
        <v>1003</v>
      </c>
      <c r="AD8" t="str">
        <f t="shared" si="38"/>
        <v>17</v>
      </c>
      <c r="AE8" t="str">
        <f t="shared" si="39"/>
        <v>58</v>
      </c>
      <c r="AF8" t="str">
        <f t="shared" si="40"/>
        <v>17</v>
      </c>
      <c r="AG8" t="str">
        <f t="shared" si="41"/>
        <v>54</v>
      </c>
      <c r="AH8" t="str">
        <f t="shared" si="42"/>
        <v>o</v>
      </c>
      <c r="AI8" t="str">
        <f t="shared" si="11"/>
        <v>o</v>
      </c>
      <c r="AJ8" t="str">
        <f t="shared" si="12"/>
        <v>o</v>
      </c>
      <c r="AK8" t="str">
        <f t="shared" si="13"/>
        <v/>
      </c>
      <c r="AL8" t="str">
        <f t="shared" si="43"/>
        <v/>
      </c>
      <c r="AM8" t="str">
        <f t="shared" si="44"/>
        <v>Away</v>
      </c>
      <c r="AN8" t="str">
        <f t="shared" si="45"/>
        <v>a</v>
      </c>
      <c r="AO8" t="str">
        <f t="shared" si="46"/>
        <v>d</v>
      </c>
      <c r="AP8" t="str">
        <f t="shared" si="47"/>
        <v>o</v>
      </c>
      <c r="AQ8" t="str">
        <f>IF(AM8&lt;&gt;"",AM8,IF($AC8=#REF!,#REF!,""))</f>
        <v>Away</v>
      </c>
      <c r="AR8" t="str">
        <f t="shared" si="48"/>
        <v>a</v>
      </c>
      <c r="AS8" t="str">
        <f t="shared" si="49"/>
        <v>Defensive</v>
      </c>
      <c r="AT8" t="str">
        <f t="shared" si="50"/>
        <v/>
      </c>
      <c r="AU8" t="str">
        <f t="shared" si="51"/>
        <v/>
      </c>
      <c r="AV8" t="str" cm="1">
        <f t="array" ref="AV8">IFERROR(IF(O8&lt;&gt;"",O8,IF(OR($S8="",$T8=""),"",IF(O8&lt;&gt;"",O8,IF($T8&lt;&gt;"",_xlfn._xlws.FILTER(O:O,($BT:$BT=$BT8)*($I:$I=$I8)*($T:$T=$T8)*($S:$S=_xlfn.MINIFS($S:$S,$T:$T,"="&amp;$T8)),"")))))&amp;"",IF(O8="","",""))&amp;""</f>
        <v/>
      </c>
      <c r="AW8" t="str" cm="1">
        <f t="array" ref="AW8">IFERROR(IF(P8&lt;&gt;"",P8,IF(OR($S8="",$T8=""),"",IF($T8&lt;&gt;"",_xlfn._xlws.FILTER(P:P,($BT:$BT=$BT8)*($I:$I=$I8)*($T:$T=$T8)*($S:$S=_xlfn.MINIFS($S:$S,$T:$T,"="&amp;$T8)),""))))&amp;"",IF(P8="","",""))&amp;""</f>
        <v/>
      </c>
      <c r="AX8" t="str" cm="1">
        <f t="array" ref="AX8">IFERROR(IF(Q8&lt;&gt;"",Q8,IF(OR($S8="",$T8=""),"",IF($T8&lt;&gt;"",_xlfn._xlws.FILTER(Q:Q,($BT:$BT=$BT8)*($I:$I=$I8)*($T:$T=$T8)*($S:$S=_xlfn.MINIFS($S:$S,$T:$T,"="&amp;$T8)),""))))&amp;"",IF(Q8="","",""))&amp;""</f>
        <v/>
      </c>
      <c r="AY8" t="str" cm="1">
        <f t="array" ref="AY8">IFERROR(IF(R8&lt;&gt;"",R8,IF(OR($S8="",$T8=""),"",IF($T8&lt;&gt;"",_xlfn._xlws.FILTER(R:R,($BT:$BT=$BT8)*($I:$I=$I8)*($T:$T=$T8)*($S:$S=_xlfn.MINIFS($S:$S,$T:$T,"="&amp;$T8)),""))))&amp;"",IF(R8="","",""))&amp;""</f>
        <v/>
      </c>
      <c r="AZ8" s="6">
        <f t="shared" si="52"/>
        <v>2</v>
      </c>
      <c r="BA8">
        <f t="shared" ref="BA8:BC8" si="69">BA7</f>
        <v>18991</v>
      </c>
      <c r="BB8" t="str">
        <f t="shared" si="69"/>
        <v>Triple J</v>
      </c>
      <c r="BC8" t="str">
        <f t="shared" si="69"/>
        <v>Velodrome</v>
      </c>
      <c r="BD8" t="str">
        <f t="shared" si="54"/>
        <v>Zone_Entry_Exit</v>
      </c>
      <c r="BE8" t="str">
        <f t="shared" si="55"/>
        <v>Zone_Entry</v>
      </c>
      <c r="BF8" t="str">
        <f t="shared" si="56"/>
        <v>ZoneEntry-Rush</v>
      </c>
      <c r="BG8" t="str">
        <f t="shared" si="22"/>
        <v>u</v>
      </c>
      <c r="BH8" cm="1">
        <f t="array" ref="BH8">IFERROR(_xlfn._xlws.FILTER(shifts!A:A,(shifts!B:B=events!Z8)*(shifts!AG:AG&gt;=events!BJ8)*(shifts!AH:AH&lt;=events!BK8)),BH7)</f>
        <v>1</v>
      </c>
      <c r="BI8" s="15">
        <f t="shared" si="57"/>
        <v>4</v>
      </c>
      <c r="BJ8">
        <f t="shared" si="58"/>
        <v>1078</v>
      </c>
      <c r="BK8">
        <f t="shared" si="59"/>
        <v>1074</v>
      </c>
      <c r="BL8" s="15">
        <f>SUMIFS(BI$2:BI8,K$2:K8,"=Intermission")+SUMIFS(BI$2:BI8,K$2:K8,"=Timeout")</f>
        <v>0</v>
      </c>
      <c r="BM8">
        <f t="shared" si="60"/>
        <v>0</v>
      </c>
      <c r="BN8" s="19">
        <f t="shared" si="61"/>
        <v>2</v>
      </c>
      <c r="BO8">
        <f t="shared" si="62"/>
        <v>0</v>
      </c>
      <c r="BP8" s="17">
        <f t="shared" si="63"/>
        <v>9</v>
      </c>
      <c r="BQ8" t="str">
        <f t="shared" si="64"/>
        <v>opp_team_player_2</v>
      </c>
      <c r="BR8">
        <f>COUNTIFS(S$3:S8,"="&amp;S8,AH$3:AH8,"="&amp;AH8)</f>
        <v>2</v>
      </c>
      <c r="BS8" t="str">
        <f>IFERROR(VLOOKUP(BA8&amp;BT8&amp;X8,game_rosters!U:W,3,FALSE),"")</f>
        <v>P100206</v>
      </c>
      <c r="BT8" t="str">
        <f t="shared" si="65"/>
        <v>Triple J</v>
      </c>
    </row>
    <row r="9" spans="1:72" x14ac:dyDescent="0.2">
      <c r="A9">
        <f t="shared" si="9"/>
        <v>1</v>
      </c>
      <c r="E9" s="4"/>
      <c r="F9" s="45"/>
      <c r="G9" s="4"/>
      <c r="H9" s="47"/>
      <c r="I9" s="26">
        <v>70</v>
      </c>
      <c r="J9" s="26" t="str">
        <f t="shared" si="68"/>
        <v>o</v>
      </c>
      <c r="K9" t="s">
        <v>6</v>
      </c>
      <c r="L9" t="s">
        <v>181</v>
      </c>
      <c r="M9" t="s">
        <v>53</v>
      </c>
      <c r="N9" t="str">
        <f t="shared" si="32"/>
        <v>u</v>
      </c>
      <c r="Q9" t="str">
        <f t="shared" si="33"/>
        <v/>
      </c>
      <c r="S9">
        <f>IF(A9=1,MAX($S$2:$S8)+1,IF(OR($I9&lt;&gt;"",A9="x"),$S8,""))</f>
        <v>4</v>
      </c>
      <c r="T9" t="str">
        <f>IF(D9=1,MAX($T$2:$T8)+1,IF(S9=S8,$T8,IF(D9="x",T8,IF(D8="x","",""))))</f>
        <v/>
      </c>
      <c r="U9" t="str">
        <f>IF(B9=1,MAX($U$2:$U8)+1,IF(AND($T9&lt;&gt;"",$T9=$T8),$U8,IF(B9="x",U8,"")))</f>
        <v/>
      </c>
      <c r="V9" t="str">
        <f>IF(C9=1,MAX($V$2:$V8)+1,IF(AND($T9&lt;&gt;"",$T9=$T8),$U8,IF(C9="x",V8,"")))</f>
        <v/>
      </c>
      <c r="W9" t="str" cm="1">
        <f t="array" ref="W9">IFERROR(_xlfn._xlws.FILTER(game_rosters!AC:AC,(game_rosters!J:J=events!X9)*(K9&lt;&gt;"")),"")</f>
        <v>a</v>
      </c>
      <c r="X9" cm="1">
        <f t="array" ref="X9">IF($I9&lt;&gt;"",$I9,INDEX($I$1:$I9,ROW()-COUNTIFS($T$1:$T9,"="&amp;$T9,$S$1:$S9,"&lt;"&amp;$S9)))</f>
        <v>70</v>
      </c>
      <c r="Y9" cm="1">
        <f t="array" ref="Y9">IFERROR(IF(_xlfn._xlws.FILTER(game_rosters!$J:$J,(game_rosters!$G:$G=events!$AM9)*(game_rosters!$J:$J=events!$X9))&gt;0,1,""),"")</f>
        <v>1</v>
      </c>
      <c r="Z9" s="6">
        <f t="shared" si="34"/>
        <v>1</v>
      </c>
      <c r="AA9">
        <f t="shared" si="35"/>
        <v>1004</v>
      </c>
      <c r="AB9" t="str">
        <f t="shared" si="36"/>
        <v/>
      </c>
      <c r="AC9">
        <f t="shared" si="37"/>
        <v>1004</v>
      </c>
      <c r="AD9" t="str">
        <f t="shared" si="38"/>
        <v>17</v>
      </c>
      <c r="AE9" t="str">
        <f t="shared" si="39"/>
        <v>54</v>
      </c>
      <c r="AF9" t="str">
        <f t="shared" si="40"/>
        <v/>
      </c>
      <c r="AG9" t="str">
        <f t="shared" si="41"/>
        <v/>
      </c>
      <c r="AH9" t="str">
        <f t="shared" si="42"/>
        <v>e</v>
      </c>
      <c r="AI9" t="str">
        <f t="shared" si="11"/>
        <v>o</v>
      </c>
      <c r="AJ9" t="str">
        <f t="shared" si="12"/>
        <v>o</v>
      </c>
      <c r="AK9" t="str">
        <f t="shared" si="13"/>
        <v>d</v>
      </c>
      <c r="AL9" t="str">
        <f t="shared" si="43"/>
        <v>o</v>
      </c>
      <c r="AM9" t="str">
        <f t="shared" si="44"/>
        <v>Away</v>
      </c>
      <c r="AN9" t="str">
        <f t="shared" si="45"/>
        <v>a</v>
      </c>
      <c r="AO9" t="str">
        <f t="shared" si="46"/>
        <v>d</v>
      </c>
      <c r="AP9" t="str">
        <f t="shared" si="47"/>
        <v>o</v>
      </c>
      <c r="AQ9" t="str">
        <f>IF(AM9&lt;&gt;"",AM9,IF($AC9=#REF!,#REF!,""))</f>
        <v>Away</v>
      </c>
      <c r="AR9" t="str">
        <f t="shared" si="48"/>
        <v>a</v>
      </c>
      <c r="AS9" t="str">
        <f t="shared" si="49"/>
        <v>Offensive</v>
      </c>
      <c r="AT9" t="str">
        <f t="shared" si="50"/>
        <v/>
      </c>
      <c r="AU9" t="str">
        <f t="shared" si="51"/>
        <v/>
      </c>
      <c r="AV9" t="str" cm="1">
        <f t="array" ref="AV9">IFERROR(IF(O9&lt;&gt;"",O9,IF(OR($S9="",$T9=""),"",IF(O9&lt;&gt;"",O9,IF($T9&lt;&gt;"",_xlfn._xlws.FILTER(O:O,($BT:$BT=$BT9)*($I:$I=$I9)*($T:$T=$T9)*($S:$S=_xlfn.MINIFS($S:$S,$T:$T,"="&amp;$T9)),"")))))&amp;"",IF(O9="","",""))&amp;""</f>
        <v/>
      </c>
      <c r="AW9" t="str" cm="1">
        <f t="array" ref="AW9">IFERROR(IF(P9&lt;&gt;"",P9,IF(OR($S9="",$T9=""),"",IF($T9&lt;&gt;"",_xlfn._xlws.FILTER(P:P,($BT:$BT=$BT9)*($I:$I=$I9)*($T:$T=$T9)*($S:$S=_xlfn.MINIFS($S:$S,$T:$T,"="&amp;$T9)),""))))&amp;"",IF(P9="","",""))&amp;""</f>
        <v/>
      </c>
      <c r="AX9" t="str" cm="1">
        <f t="array" ref="AX9">IFERROR(IF(Q9&lt;&gt;"",Q9,IF(OR($S9="",$T9=""),"",IF($T9&lt;&gt;"",_xlfn._xlws.FILTER(Q:Q,($BT:$BT=$BT9)*($I:$I=$I9)*($T:$T=$T9)*($S:$S=_xlfn.MINIFS($S:$S,$T:$T,"="&amp;$T9)),""))))&amp;"",IF(Q9="","",""))&amp;""</f>
        <v/>
      </c>
      <c r="AY9" t="str" cm="1">
        <f t="array" ref="AY9">IFERROR(IF(R9&lt;&gt;"",R9,IF(OR($S9="",$T9=""),"",IF($T9&lt;&gt;"",_xlfn._xlws.FILTER(R:R,($BT:$BT=$BT9)*($I:$I=$I9)*($T:$T=$T9)*($S:$S=_xlfn.MINIFS($S:$S,$T:$T,"="&amp;$T9)),""))))&amp;"",IF(R9="","",""))&amp;""</f>
        <v/>
      </c>
      <c r="AZ9" s="6">
        <f t="shared" si="52"/>
        <v>2</v>
      </c>
      <c r="BA9">
        <f t="shared" ref="BA9:BC9" si="70">BA8</f>
        <v>18991</v>
      </c>
      <c r="BB9" t="str">
        <f t="shared" si="70"/>
        <v>Triple J</v>
      </c>
      <c r="BC9" t="str">
        <f t="shared" si="70"/>
        <v>Velodrome</v>
      </c>
      <c r="BD9" t="str">
        <f t="shared" si="54"/>
        <v>Shot</v>
      </c>
      <c r="BE9" t="str">
        <f t="shared" si="55"/>
        <v>Shot_Missed</v>
      </c>
      <c r="BF9" t="str">
        <f t="shared" si="56"/>
        <v>Shot-Backhand</v>
      </c>
      <c r="BG9" t="str">
        <f t="shared" si="22"/>
        <v>u</v>
      </c>
      <c r="BH9" cm="1">
        <f t="array" ref="BH9">IFERROR(_xlfn._xlws.FILTER(shifts!A:A,(shifts!B:B=events!Z9)*(shifts!AG:AG&gt;=events!BJ9)*(shifts!AH:AH&lt;=events!BK9)),BH8)</f>
        <v>1</v>
      </c>
      <c r="BI9" s="15">
        <f t="shared" si="57"/>
        <v>0</v>
      </c>
      <c r="BJ9">
        <f t="shared" si="58"/>
        <v>1074</v>
      </c>
      <c r="BK9">
        <f t="shared" si="59"/>
        <v>1074</v>
      </c>
      <c r="BL9" s="15">
        <f>SUMIFS(BI$2:BI9,K$2:K9,"=Intermission")+SUMIFS(BI$2:BI9,K$2:K9,"=Timeout")</f>
        <v>0</v>
      </c>
      <c r="BM9">
        <f t="shared" si="60"/>
        <v>0</v>
      </c>
      <c r="BN9" s="19">
        <f t="shared" si="61"/>
        <v>6</v>
      </c>
      <c r="BO9">
        <f t="shared" si="62"/>
        <v>1</v>
      </c>
      <c r="BP9" s="17">
        <f t="shared" si="63"/>
        <v>6</v>
      </c>
      <c r="BQ9" t="str">
        <f t="shared" si="64"/>
        <v>event_team_player_1</v>
      </c>
      <c r="BR9">
        <f>COUNTIFS(S$3:S9,"="&amp;S9,AH$3:AH9,"="&amp;AH9)</f>
        <v>1</v>
      </c>
      <c r="BS9" t="str">
        <f>IFERROR(VLOOKUP(BA9&amp;BT9&amp;X9,game_rosters!U:W,3,FALSE),"")</f>
        <v>P100001</v>
      </c>
      <c r="BT9" t="str">
        <f t="shared" si="65"/>
        <v>Velodrome</v>
      </c>
    </row>
    <row r="10" spans="1:72" x14ac:dyDescent="0.2">
      <c r="A10">
        <f t="shared" si="9"/>
        <v>1</v>
      </c>
      <c r="E10" s="4"/>
      <c r="F10" s="45" t="s">
        <v>1053</v>
      </c>
      <c r="G10" s="4"/>
      <c r="H10" s="47"/>
      <c r="I10" s="26">
        <v>75</v>
      </c>
      <c r="J10" s="26" t="s">
        <v>368</v>
      </c>
      <c r="K10" t="s">
        <v>13</v>
      </c>
      <c r="L10" t="s">
        <v>587</v>
      </c>
      <c r="N10" t="s">
        <v>594</v>
      </c>
      <c r="O10" t="s">
        <v>909</v>
      </c>
      <c r="Q10" t="str">
        <f t="shared" si="33"/>
        <v>u</v>
      </c>
      <c r="R10" s="26">
        <v>1</v>
      </c>
      <c r="S10">
        <f>IF(A10=1,MAX($S$2:$S9)+1,IF(OR($I10&lt;&gt;"",A10="x"),$S9,""))</f>
        <v>5</v>
      </c>
      <c r="T10" t="str">
        <f>IF(D10=1,MAX($T$2:$T9)+1,IF(S10=S9,$T9,IF(D10="x",T9,IF(D9="x","",""))))</f>
        <v/>
      </c>
      <c r="U10" t="str">
        <f>IF(B10=1,MAX($U$2:$U9)+1,IF(AND($T10&lt;&gt;"",$T10=$T9),$U9,IF(B10="x",U9,"")))</f>
        <v/>
      </c>
      <c r="V10" t="str">
        <f>IF(C10=1,MAX($V$2:$V9)+1,IF(AND($T10&lt;&gt;"",$T10=$T9),$U9,IF(C10="x",V9,"")))</f>
        <v/>
      </c>
      <c r="W10" t="str" cm="1">
        <f t="array" ref="W10">IFERROR(_xlfn._xlws.FILTER(game_rosters!AC:AC,(game_rosters!J:J=events!X10)*(K10&lt;&gt;"")),"")</f>
        <v>a</v>
      </c>
      <c r="X10" cm="1">
        <f t="array" ref="X10">IF($I10&lt;&gt;"",$I10,INDEX($I$1:$I10,ROW()-COUNTIFS($T$1:$T10,"="&amp;$T10,$S$1:$S10,"&lt;"&amp;$S10)))</f>
        <v>75</v>
      </c>
      <c r="Y10" cm="1">
        <f t="array" ref="Y10">IFERROR(IF(_xlfn._xlws.FILTER(game_rosters!$J:$J,(game_rosters!$G:$G=events!$AM10)*(game_rosters!$J:$J=events!$X10))&gt;0,1,""),"")</f>
        <v>1</v>
      </c>
      <c r="Z10" s="6">
        <f t="shared" si="34"/>
        <v>1</v>
      </c>
      <c r="AA10">
        <f t="shared" si="35"/>
        <v>1005</v>
      </c>
      <c r="AB10" t="str">
        <f t="shared" si="36"/>
        <v/>
      </c>
      <c r="AC10">
        <f t="shared" si="37"/>
        <v>1005</v>
      </c>
      <c r="AD10" t="str">
        <f t="shared" si="38"/>
        <v>17</v>
      </c>
      <c r="AE10" t="str">
        <f t="shared" si="39"/>
        <v>53</v>
      </c>
      <c r="AF10" t="str">
        <f t="shared" si="40"/>
        <v/>
      </c>
      <c r="AG10" t="str">
        <f t="shared" si="41"/>
        <v/>
      </c>
      <c r="AH10" t="str">
        <f t="shared" si="42"/>
        <v>e</v>
      </c>
      <c r="AI10" t="str">
        <f t="shared" si="11"/>
        <v>o</v>
      </c>
      <c r="AJ10" t="str">
        <f t="shared" si="12"/>
        <v>o</v>
      </c>
      <c r="AK10" t="str">
        <f t="shared" si="13"/>
        <v>d</v>
      </c>
      <c r="AL10" t="str">
        <f t="shared" si="43"/>
        <v>o</v>
      </c>
      <c r="AM10" t="str">
        <f t="shared" si="44"/>
        <v>Away</v>
      </c>
      <c r="AN10" t="str">
        <f t="shared" si="45"/>
        <v>a</v>
      </c>
      <c r="AO10" t="str">
        <f t="shared" si="46"/>
        <v>d</v>
      </c>
      <c r="AP10" t="str">
        <f t="shared" si="47"/>
        <v>o</v>
      </c>
      <c r="AQ10" t="str">
        <f>IF(AM10&lt;&gt;"",AM10,IF($AC10=#REF!,#REF!,""))</f>
        <v>Away</v>
      </c>
      <c r="AR10" t="str">
        <f t="shared" si="48"/>
        <v>a</v>
      </c>
      <c r="AS10" t="str">
        <f t="shared" si="49"/>
        <v>Offensive</v>
      </c>
      <c r="AT10" t="str">
        <f t="shared" si="50"/>
        <v/>
      </c>
      <c r="AU10" t="str">
        <f t="shared" si="51"/>
        <v/>
      </c>
      <c r="AV10" t="str" cm="1">
        <f t="array" ref="AV10">IFERROR(IF(O10&lt;&gt;"",O10,IF(OR($S10="",$T10=""),"",IF(O10&lt;&gt;"",O10,IF($T10&lt;&gt;"",_xlfn._xlws.FILTER(O:O,($BT:$BT=$BT10)*($I:$I=$I10)*($T:$T=$T10)*($S:$S=_xlfn.MINIFS($S:$S,$T:$T,"="&amp;$T10)),"")))))&amp;"",IF(O10="","",""))&amp;""</f>
        <v>PuckRecoveryRetreivalShot</v>
      </c>
      <c r="AW10" t="str" cm="1">
        <f t="array" ref="AW10">IFERROR(IF(P10&lt;&gt;"",P10,IF(OR($S10="",$T10=""),"",IF($T10&lt;&gt;"",_xlfn._xlws.FILTER(P:P,($BT:$BT=$BT10)*($I:$I=$I10)*($T:$T=$T10)*($S:$S=_xlfn.MINIFS($S:$S,$T:$T,"="&amp;$T10)),""))))&amp;"",IF(P10="","",""))&amp;""</f>
        <v/>
      </c>
      <c r="AX10" t="str" cm="1">
        <f t="array" ref="AX10">IFERROR(IF(Q10&lt;&gt;"",Q10,IF(OR($S10="",$T10=""),"",IF($T10&lt;&gt;"",_xlfn._xlws.FILTER(Q:Q,($BT:$BT=$BT10)*($I:$I=$I10)*($T:$T=$T10)*($S:$S=_xlfn.MINIFS($S:$S,$T:$T,"="&amp;$T10)),""))))&amp;"",IF(Q10="","",""))&amp;""</f>
        <v>u</v>
      </c>
      <c r="AY10" t="str" cm="1">
        <f t="array" ref="AY10">IFERROR(IF(R10&lt;&gt;"",R10,IF(OR($S10="",$T10=""),"",IF($T10&lt;&gt;"",_xlfn._xlws.FILTER(R:R,($BT:$BT=$BT10)*($I:$I=$I10)*($T:$T=$T10)*($S:$S=_xlfn.MINIFS($S:$S,$T:$T,"="&amp;$T10)),""))))&amp;"",IF(R10="","",""))&amp;""</f>
        <v>1</v>
      </c>
      <c r="AZ10" s="6">
        <f t="shared" si="52"/>
        <v>2</v>
      </c>
      <c r="BA10">
        <f t="shared" ref="BA10:BC10" si="71">BA9</f>
        <v>18991</v>
      </c>
      <c r="BB10" t="str">
        <f t="shared" si="71"/>
        <v>Triple J</v>
      </c>
      <c r="BC10" t="str">
        <f t="shared" si="71"/>
        <v>Velodrome</v>
      </c>
      <c r="BD10" t="str">
        <f t="shared" si="54"/>
        <v>Possession</v>
      </c>
      <c r="BE10" t="str">
        <f t="shared" si="55"/>
        <v>PuckRecovery</v>
      </c>
      <c r="BF10" t="str">
        <f t="shared" si="56"/>
        <v/>
      </c>
      <c r="BG10" t="str">
        <f t="shared" si="22"/>
        <v>u</v>
      </c>
      <c r="BH10" cm="1">
        <f t="array" ref="BH10">IFERROR(_xlfn._xlws.FILTER(shifts!A:A,(shifts!B:B=events!Z10)*(shifts!AG:AG&gt;=events!BJ10)*(shifts!AH:AH&lt;=events!BK10)),BH9)</f>
        <v>1</v>
      </c>
      <c r="BI10" s="15">
        <f t="shared" si="57"/>
        <v>0</v>
      </c>
      <c r="BJ10">
        <f t="shared" si="58"/>
        <v>1073</v>
      </c>
      <c r="BK10">
        <f t="shared" si="59"/>
        <v>1073</v>
      </c>
      <c r="BL10" s="15">
        <f>SUMIFS(BI$2:BI10,K$2:K10,"=Intermission")+SUMIFS(BI$2:BI10,K$2:K10,"=Timeout")</f>
        <v>0</v>
      </c>
      <c r="BM10">
        <f t="shared" si="60"/>
        <v>0</v>
      </c>
      <c r="BN10" s="19">
        <f t="shared" si="61"/>
        <v>7</v>
      </c>
      <c r="BO10">
        <f t="shared" si="62"/>
        <v>2</v>
      </c>
      <c r="BP10" s="17">
        <f t="shared" si="63"/>
        <v>7</v>
      </c>
      <c r="BQ10" t="str">
        <f t="shared" si="64"/>
        <v>event_team_player_1</v>
      </c>
      <c r="BR10">
        <f>COUNTIFS(S$3:S10,"="&amp;S10,AH$3:AH10,"="&amp;AH10)</f>
        <v>1</v>
      </c>
      <c r="BS10" t="str">
        <f>IFERROR(VLOOKUP(BA10&amp;BT10&amp;X10,game_rosters!U:W,3,FALSE),"")</f>
        <v>P100039</v>
      </c>
      <c r="BT10" t="str">
        <f t="shared" si="65"/>
        <v>Velodrome</v>
      </c>
    </row>
    <row r="11" spans="1:72" x14ac:dyDescent="0.2">
      <c r="A11" t="str">
        <f t="shared" si="9"/>
        <v/>
      </c>
      <c r="E11" s="4"/>
      <c r="F11" s="45"/>
      <c r="G11" s="4"/>
      <c r="H11" s="47"/>
      <c r="I11" s="26">
        <v>16</v>
      </c>
      <c r="N11" t="str">
        <f t="shared" si="32"/>
        <v/>
      </c>
      <c r="Q11" t="str">
        <f t="shared" si="33"/>
        <v/>
      </c>
      <c r="R11" s="26">
        <v>1</v>
      </c>
      <c r="S11">
        <f>IF(A11=1,MAX($S$2:$S10)+1,IF(OR($I11&lt;&gt;"",A11="x"),$S10,""))</f>
        <v>5</v>
      </c>
      <c r="T11" t="str">
        <f>IF(D11=1,MAX($T$2:$T10)+1,IF(S11=S10,$T10,IF(D11="x",T10,IF(D10="x","",""))))</f>
        <v/>
      </c>
      <c r="U11" t="str">
        <f>IF(B11=1,MAX($U$2:$U10)+1,IF(AND($T11&lt;&gt;"",$T11=$T10),$U10,IF(B11="x",U10,"")))</f>
        <v/>
      </c>
      <c r="V11" t="str">
        <f>IF(C11=1,MAX($V$2:$V10)+1,IF(AND($T11&lt;&gt;"",$T11=$T10),$U10,IF(C11="x",V10,"")))</f>
        <v/>
      </c>
      <c r="W11" t="str" cm="1">
        <f t="array" ref="W11">IFERROR(_xlfn._xlws.FILTER(game_rosters!AC:AC,(game_rosters!J:J=events!X11)*(K11&lt;&gt;"")),"")</f>
        <v/>
      </c>
      <c r="X11" cm="1">
        <f t="array" ref="X11">IF($I11&lt;&gt;"",$I11,INDEX($I$1:$I11,ROW()-COUNTIFS($T$1:$T11,"="&amp;$T11,$S$1:$S11,"&lt;"&amp;$S11)))</f>
        <v>16</v>
      </c>
      <c r="Y11" t="str" cm="1">
        <f t="array" ref="Y11">IFERROR(IF(_xlfn._xlws.FILTER(game_rosters!$J:$J,(game_rosters!$G:$G=events!$AM11)*(game_rosters!$J:$J=events!$X11))&gt;0,1,""),"")</f>
        <v/>
      </c>
      <c r="Z11" s="6">
        <f t="shared" si="34"/>
        <v>1</v>
      </c>
      <c r="AA11">
        <f t="shared" si="35"/>
        <v>1005</v>
      </c>
      <c r="AB11" t="str">
        <f t="shared" si="36"/>
        <v/>
      </c>
      <c r="AC11">
        <f t="shared" si="37"/>
        <v>1005</v>
      </c>
      <c r="AD11" t="str">
        <f t="shared" si="38"/>
        <v>17</v>
      </c>
      <c r="AE11" t="str">
        <f t="shared" si="39"/>
        <v>53</v>
      </c>
      <c r="AF11" t="str">
        <f t="shared" si="40"/>
        <v/>
      </c>
      <c r="AG11" t="str">
        <f t="shared" si="41"/>
        <v/>
      </c>
      <c r="AH11" t="str">
        <f t="shared" si="42"/>
        <v>o</v>
      </c>
      <c r="AI11" t="str">
        <f t="shared" si="11"/>
        <v>o</v>
      </c>
      <c r="AJ11" t="str">
        <f t="shared" si="12"/>
        <v>o</v>
      </c>
      <c r="AK11" t="str">
        <f t="shared" si="13"/>
        <v/>
      </c>
      <c r="AL11" t="str">
        <f t="shared" si="43"/>
        <v/>
      </c>
      <c r="AM11" t="str">
        <f t="shared" si="44"/>
        <v>Away</v>
      </c>
      <c r="AN11" t="str">
        <f t="shared" si="45"/>
        <v>a</v>
      </c>
      <c r="AO11" t="str">
        <f t="shared" si="46"/>
        <v>d</v>
      </c>
      <c r="AP11" t="str">
        <f t="shared" si="47"/>
        <v>o</v>
      </c>
      <c r="AQ11" t="str">
        <f>IF(AM11&lt;&gt;"",AM11,IF($AC11=#REF!,#REF!,""))</f>
        <v>Away</v>
      </c>
      <c r="AR11" t="str">
        <f t="shared" si="48"/>
        <v>a</v>
      </c>
      <c r="AS11" t="str">
        <f t="shared" si="49"/>
        <v>Defensive</v>
      </c>
      <c r="AT11" t="str">
        <f t="shared" si="50"/>
        <v/>
      </c>
      <c r="AU11" t="str">
        <f t="shared" si="51"/>
        <v/>
      </c>
      <c r="AV11" t="str" cm="1">
        <f t="array" ref="AV11">IFERROR(IF(O11&lt;&gt;"",O11,IF(OR($S11="",$T11=""),"",IF(O11&lt;&gt;"",O11,IF($T11&lt;&gt;"",_xlfn._xlws.FILTER(O:O,($BT:$BT=$BT11)*($I:$I=$I11)*($T:$T=$T11)*($S:$S=_xlfn.MINIFS($S:$S,$T:$T,"="&amp;$T11)),"")))))&amp;"",IF(O11="","",""))&amp;""</f>
        <v/>
      </c>
      <c r="AW11" t="str" cm="1">
        <f t="array" ref="AW11">IFERROR(IF(P11&lt;&gt;"",P11,IF(OR($S11="",$T11=""),"",IF($T11&lt;&gt;"",_xlfn._xlws.FILTER(P:P,($BT:$BT=$BT11)*($I:$I=$I11)*($T:$T=$T11)*($S:$S=_xlfn.MINIFS($S:$S,$T:$T,"="&amp;$T11)),""))))&amp;"",IF(P11="","",""))&amp;""</f>
        <v/>
      </c>
      <c r="AX11" t="str" cm="1">
        <f t="array" ref="AX11">IFERROR(IF(Q11&lt;&gt;"",Q11,IF(OR($S11="",$T11=""),"",IF($T11&lt;&gt;"",_xlfn._xlws.FILTER(Q:Q,($BT:$BT=$BT11)*($I:$I=$I11)*($T:$T=$T11)*($S:$S=_xlfn.MINIFS($S:$S,$T:$T,"="&amp;$T11)),""))))&amp;"",IF(Q11="","",""))&amp;""</f>
        <v/>
      </c>
      <c r="AY11" t="str" cm="1">
        <f t="array" ref="AY11">IFERROR(IF(R11&lt;&gt;"",R11,IF(OR($S11="",$T11=""),"",IF($T11&lt;&gt;"",_xlfn._xlws.FILTER(R:R,($BT:$BT=$BT11)*($I:$I=$I11)*($T:$T=$T11)*($S:$S=_xlfn.MINIFS($S:$S,$T:$T,"="&amp;$T11)),""))))&amp;"",IF(R11="","",""))&amp;""</f>
        <v>1</v>
      </c>
      <c r="AZ11" s="6">
        <f t="shared" si="52"/>
        <v>2</v>
      </c>
      <c r="BA11">
        <f t="shared" ref="BA11:BC11" si="72">BA10</f>
        <v>18991</v>
      </c>
      <c r="BB11" t="str">
        <f t="shared" si="72"/>
        <v>Triple J</v>
      </c>
      <c r="BC11" t="str">
        <f t="shared" si="72"/>
        <v>Velodrome</v>
      </c>
      <c r="BD11" t="str">
        <f t="shared" si="54"/>
        <v>Possession</v>
      </c>
      <c r="BE11" t="str">
        <f t="shared" si="55"/>
        <v>PuckRecovery</v>
      </c>
      <c r="BF11" t="str">
        <f t="shared" si="56"/>
        <v/>
      </c>
      <c r="BG11" t="str">
        <f t="shared" si="22"/>
        <v>u</v>
      </c>
      <c r="BH11" cm="1">
        <f t="array" ref="BH11">IFERROR(_xlfn._xlws.FILTER(shifts!A:A,(shifts!B:B=events!Z11)*(shifts!AG:AG&gt;=events!BJ11)*(shifts!AH:AH&lt;=events!BK11)),BH10)</f>
        <v>1</v>
      </c>
      <c r="BI11" s="15">
        <f t="shared" si="57"/>
        <v>0</v>
      </c>
      <c r="BJ11">
        <f t="shared" si="58"/>
        <v>1073</v>
      </c>
      <c r="BK11">
        <f t="shared" si="59"/>
        <v>1073</v>
      </c>
      <c r="BL11" s="15">
        <f>SUMIFS(BI$2:BI11,K$2:K11,"=Intermission")+SUMIFS(BI$2:BI11,K$2:K11,"=Timeout")</f>
        <v>0</v>
      </c>
      <c r="BM11">
        <f t="shared" si="60"/>
        <v>0</v>
      </c>
      <c r="BN11" s="19">
        <f t="shared" si="61"/>
        <v>7</v>
      </c>
      <c r="BO11">
        <f t="shared" si="62"/>
        <v>2</v>
      </c>
      <c r="BP11" s="17">
        <f t="shared" si="63"/>
        <v>7</v>
      </c>
      <c r="BQ11" t="str">
        <f t="shared" si="64"/>
        <v>opp_team_player_1</v>
      </c>
      <c r="BR11">
        <f>COUNTIFS(S$3:S11,"="&amp;S11,AH$3:AH11,"="&amp;AH11)</f>
        <v>1</v>
      </c>
      <c r="BS11" t="str">
        <f>IFERROR(VLOOKUP(BA11&amp;BT11&amp;X11,game_rosters!U:W,3,FALSE),"")</f>
        <v>P100094</v>
      </c>
      <c r="BT11" t="str">
        <f t="shared" si="65"/>
        <v>Triple J</v>
      </c>
    </row>
    <row r="12" spans="1:72" x14ac:dyDescent="0.2">
      <c r="A12">
        <f t="shared" si="9"/>
        <v>1</v>
      </c>
      <c r="E12" s="4"/>
      <c r="F12" s="45"/>
      <c r="G12" s="4"/>
      <c r="H12" s="47"/>
      <c r="I12" s="26">
        <v>75</v>
      </c>
      <c r="J12" s="26" t="s">
        <v>368</v>
      </c>
      <c r="K12" t="s">
        <v>9</v>
      </c>
      <c r="L12" t="s">
        <v>173</v>
      </c>
      <c r="M12" t="s">
        <v>391</v>
      </c>
      <c r="N12" t="str">
        <f t="shared" si="32"/>
        <v>u</v>
      </c>
      <c r="O12" t="s">
        <v>576</v>
      </c>
      <c r="Q12" t="str">
        <f t="shared" si="33"/>
        <v>u</v>
      </c>
      <c r="R12" s="26">
        <v>1</v>
      </c>
      <c r="S12">
        <f>IF(A12=1,MAX($S$2:$S11)+1,IF(OR($I12&lt;&gt;"",A12="x"),$S11,""))</f>
        <v>6</v>
      </c>
      <c r="T12" t="str">
        <f>IF(D12=1,MAX($T$2:$T11)+1,IF(S12=S11,$T11,IF(D12="x",T11,IF(D11="x","",""))))</f>
        <v/>
      </c>
      <c r="U12" t="str">
        <f>IF(B12=1,MAX($U$2:$U11)+1,IF(AND($T12&lt;&gt;"",$T12=$T11),$U11,IF(B12="x",U11,"")))</f>
        <v/>
      </c>
      <c r="V12" t="str">
        <f>IF(C12=1,MAX($V$2:$V11)+1,IF(AND($T12&lt;&gt;"",$T12=$T11),$U11,IF(C12="x",V11,"")))</f>
        <v/>
      </c>
      <c r="W12" t="str" cm="1">
        <f t="array" ref="W12">IFERROR(_xlfn._xlws.FILTER(game_rosters!AC:AC,(game_rosters!J:J=events!X12)*(K12&lt;&gt;"")),"")</f>
        <v>a</v>
      </c>
      <c r="X12" cm="1">
        <f t="array" ref="X12">IF($I12&lt;&gt;"",$I12,INDEX($I$1:$I12,ROW()-COUNTIFS($T$1:$T12,"="&amp;$T12,$S$1:$S12,"&lt;"&amp;$S12)))</f>
        <v>75</v>
      </c>
      <c r="Y12" cm="1">
        <f t="array" ref="Y12">IFERROR(IF(_xlfn._xlws.FILTER(game_rosters!$J:$J,(game_rosters!$G:$G=events!$AM12)*(game_rosters!$J:$J=events!$X12))&gt;0,1,""),"")</f>
        <v>1</v>
      </c>
      <c r="Z12" s="6">
        <f t="shared" si="34"/>
        <v>1</v>
      </c>
      <c r="AA12">
        <f t="shared" si="35"/>
        <v>1006</v>
      </c>
      <c r="AB12" t="str">
        <f t="shared" si="36"/>
        <v/>
      </c>
      <c r="AC12">
        <f t="shared" si="37"/>
        <v>1006</v>
      </c>
      <c r="AD12" t="str">
        <f t="shared" si="38"/>
        <v>17</v>
      </c>
      <c r="AE12" t="str">
        <f t="shared" si="39"/>
        <v>53</v>
      </c>
      <c r="AF12" t="str">
        <f t="shared" si="40"/>
        <v/>
      </c>
      <c r="AG12" t="str">
        <f t="shared" si="41"/>
        <v/>
      </c>
      <c r="AH12" t="str">
        <f t="shared" si="42"/>
        <v>e</v>
      </c>
      <c r="AI12" t="str">
        <f t="shared" si="11"/>
        <v>o</v>
      </c>
      <c r="AJ12" t="str">
        <f t="shared" si="12"/>
        <v>o</v>
      </c>
      <c r="AK12" t="str">
        <f t="shared" si="13"/>
        <v>d</v>
      </c>
      <c r="AL12" t="str">
        <f t="shared" si="43"/>
        <v>o</v>
      </c>
      <c r="AM12" t="str">
        <f t="shared" si="44"/>
        <v>Away</v>
      </c>
      <c r="AN12" t="str">
        <f t="shared" si="45"/>
        <v>a</v>
      </c>
      <c r="AO12" t="str">
        <f t="shared" si="46"/>
        <v>d</v>
      </c>
      <c r="AP12" t="str">
        <f t="shared" si="47"/>
        <v>o</v>
      </c>
      <c r="AQ12" t="str">
        <f>IF(AM12&lt;&gt;"",AM12,IF($AC12=#REF!,#REF!,""))</f>
        <v>Away</v>
      </c>
      <c r="AR12" t="str">
        <f t="shared" si="48"/>
        <v>a</v>
      </c>
      <c r="AS12" t="str">
        <f t="shared" si="49"/>
        <v>Offensive</v>
      </c>
      <c r="AT12" t="str">
        <f t="shared" si="50"/>
        <v/>
      </c>
      <c r="AU12" t="str">
        <f t="shared" si="51"/>
        <v/>
      </c>
      <c r="AV12" t="str" cm="1">
        <f t="array" ref="AV12">IFERROR(IF(O12&lt;&gt;"",O12,IF(OR($S12="",$T12=""),"",IF(O12&lt;&gt;"",O12,IF($T12&lt;&gt;"",_xlfn._xlws.FILTER(O:O,($BT:$BT=$BT12)*($I:$I=$I12)*($T:$T=$T12)*($S:$S=_xlfn.MINIFS($S:$S,$T:$T,"="&amp;$T12)),"")))))&amp;"",IF(O12="","",""))&amp;""</f>
        <v>SecondTouch</v>
      </c>
      <c r="AW12" t="str" cm="1">
        <f t="array" ref="AW12">IFERROR(IF(P12&lt;&gt;"",P12,IF(OR($S12="",$T12=""),"",IF($T12&lt;&gt;"",_xlfn._xlws.FILTER(P:P,($BT:$BT=$BT12)*($I:$I=$I12)*($T:$T=$T12)*($S:$S=_xlfn.MINIFS($S:$S,$T:$T,"="&amp;$T12)),""))))&amp;"",IF(P12="","",""))&amp;""</f>
        <v/>
      </c>
      <c r="AX12" t="str" cm="1">
        <f t="array" ref="AX12">IFERROR(IF(Q12&lt;&gt;"",Q12,IF(OR($S12="",$T12=""),"",IF($T12&lt;&gt;"",_xlfn._xlws.FILTER(Q:Q,($BT:$BT=$BT12)*($I:$I=$I12)*($T:$T=$T12)*($S:$S=_xlfn.MINIFS($S:$S,$T:$T,"="&amp;$T12)),""))))&amp;"",IF(Q12="","",""))&amp;""</f>
        <v>u</v>
      </c>
      <c r="AY12" t="str" cm="1">
        <f t="array" ref="AY12">IFERROR(IF(R12&lt;&gt;"",R12,IF(OR($S12="",$T12=""),"",IF($T12&lt;&gt;"",_xlfn._xlws.FILTER(R:R,($BT:$BT=$BT12)*($I:$I=$I12)*($T:$T=$T12)*($S:$S=_xlfn.MINIFS($S:$S,$T:$T,"="&amp;$T12)),""))))&amp;"",IF(R12="","",""))&amp;""</f>
        <v>1</v>
      </c>
      <c r="AZ12" s="6">
        <f t="shared" si="52"/>
        <v>2</v>
      </c>
      <c r="BA12">
        <f t="shared" ref="BA12:BC12" si="73">BA11</f>
        <v>18991</v>
      </c>
      <c r="BB12" t="str">
        <f t="shared" si="73"/>
        <v>Triple J</v>
      </c>
      <c r="BC12" t="str">
        <f t="shared" si="73"/>
        <v>Velodrome</v>
      </c>
      <c r="BD12" t="str">
        <f t="shared" si="54"/>
        <v>Turnover</v>
      </c>
      <c r="BE12" t="str">
        <f t="shared" si="55"/>
        <v>Turnover_Giveaway</v>
      </c>
      <c r="BF12" t="str">
        <f t="shared" si="56"/>
        <v>Giveaway-DumpInZone</v>
      </c>
      <c r="BG12" t="str">
        <f t="shared" si="22"/>
        <v>u</v>
      </c>
      <c r="BH12" cm="1">
        <f t="array" ref="BH12">IFERROR(_xlfn._xlws.FILTER(shifts!A:A,(shifts!B:B=events!Z12)*(shifts!AG:AG&gt;=events!BJ12)*(shifts!AH:AH&lt;=events!BK12)),BH11)</f>
        <v>1</v>
      </c>
      <c r="BI12" s="15">
        <f t="shared" si="57"/>
        <v>0</v>
      </c>
      <c r="BJ12">
        <f t="shared" si="58"/>
        <v>1073</v>
      </c>
      <c r="BK12">
        <f t="shared" si="59"/>
        <v>1073</v>
      </c>
      <c r="BL12" s="15">
        <f>SUMIFS(BI$2:BI12,K$2:K12,"=Intermission")+SUMIFS(BI$2:BI12,K$2:K12,"=Timeout")</f>
        <v>0</v>
      </c>
      <c r="BM12">
        <f t="shared" si="60"/>
        <v>0</v>
      </c>
      <c r="BN12" s="19">
        <f t="shared" si="61"/>
        <v>7</v>
      </c>
      <c r="BO12">
        <f t="shared" si="62"/>
        <v>2</v>
      </c>
      <c r="BP12" s="17">
        <f t="shared" si="63"/>
        <v>7</v>
      </c>
      <c r="BQ12" t="str">
        <f t="shared" si="64"/>
        <v>event_team_player_1</v>
      </c>
      <c r="BR12">
        <f>COUNTIFS(S$3:S12,"="&amp;S12,AH$3:AH12,"="&amp;AH12)</f>
        <v>1</v>
      </c>
      <c r="BS12" t="str">
        <f>IFERROR(VLOOKUP(BA12&amp;BT12&amp;X12,game_rosters!U:W,3,FALSE),"")</f>
        <v>P100039</v>
      </c>
      <c r="BT12" t="str">
        <f t="shared" si="65"/>
        <v>Velodrome</v>
      </c>
    </row>
    <row r="13" spans="1:72" x14ac:dyDescent="0.2">
      <c r="A13" t="str">
        <f t="shared" si="9"/>
        <v/>
      </c>
      <c r="E13" s="4"/>
      <c r="F13" s="45"/>
      <c r="G13" s="4"/>
      <c r="H13" s="47"/>
      <c r="I13" s="26">
        <v>16</v>
      </c>
      <c r="J13" s="26" t="str">
        <f t="shared" si="68"/>
        <v/>
      </c>
      <c r="N13" t="str">
        <f t="shared" si="32"/>
        <v/>
      </c>
      <c r="Q13" t="str">
        <f t="shared" si="33"/>
        <v/>
      </c>
      <c r="R13" s="26">
        <v>1</v>
      </c>
      <c r="S13">
        <f>IF(A13=1,MAX($S$2:$S12)+1,IF(OR($I13&lt;&gt;"",A13="x"),$S12,""))</f>
        <v>6</v>
      </c>
      <c r="T13" t="str">
        <f>IF(D13=1,MAX($T$2:$T12)+1,IF(S13=S12,$T12,IF(D13="x",T12,IF(D12="x","",""))))</f>
        <v/>
      </c>
      <c r="U13" t="str">
        <f>IF(B13=1,MAX($U$2:$U12)+1,IF(AND($T13&lt;&gt;"",$T13=$T12),$U12,IF(B13="x",U12,"")))</f>
        <v/>
      </c>
      <c r="V13" t="str">
        <f>IF(C13=1,MAX($V$2:$V12)+1,IF(AND($T13&lt;&gt;"",$T13=$T12),$U12,IF(C13="x",V12,"")))</f>
        <v/>
      </c>
      <c r="W13" t="str" cm="1">
        <f t="array" ref="W13">IFERROR(_xlfn._xlws.FILTER(game_rosters!AC:AC,(game_rosters!J:J=events!X13)*(K13&lt;&gt;"")),"")</f>
        <v/>
      </c>
      <c r="X13" cm="1">
        <f t="array" ref="X13">IF($I13&lt;&gt;"",$I13,INDEX($I$1:$I13,ROW()-COUNTIFS($T$1:$T13,"="&amp;$T13,$S$1:$S13,"&lt;"&amp;$S13)))</f>
        <v>16</v>
      </c>
      <c r="Y13" t="str" cm="1">
        <f t="array" ref="Y13">IFERROR(IF(_xlfn._xlws.FILTER(game_rosters!$J:$J,(game_rosters!$G:$G=events!$AM13)*(game_rosters!$J:$J=events!$X13))&gt;0,1,""),"")</f>
        <v/>
      </c>
      <c r="Z13" s="6">
        <f t="shared" si="34"/>
        <v>1</v>
      </c>
      <c r="AA13">
        <f t="shared" si="35"/>
        <v>1006</v>
      </c>
      <c r="AB13" t="str">
        <f t="shared" si="36"/>
        <v/>
      </c>
      <c r="AC13">
        <f t="shared" si="37"/>
        <v>1006</v>
      </c>
      <c r="AD13" t="str">
        <f t="shared" si="38"/>
        <v>17</v>
      </c>
      <c r="AE13" t="str">
        <f t="shared" si="39"/>
        <v>53</v>
      </c>
      <c r="AF13" t="str">
        <f t="shared" si="40"/>
        <v/>
      </c>
      <c r="AG13" t="str">
        <f t="shared" si="41"/>
        <v/>
      </c>
      <c r="AH13" t="str">
        <f t="shared" si="42"/>
        <v>o</v>
      </c>
      <c r="AI13" t="str">
        <f t="shared" si="11"/>
        <v>o</v>
      </c>
      <c r="AJ13" t="str">
        <f t="shared" si="12"/>
        <v>o</v>
      </c>
      <c r="AK13" t="str">
        <f t="shared" si="13"/>
        <v/>
      </c>
      <c r="AL13" t="str">
        <f t="shared" si="43"/>
        <v/>
      </c>
      <c r="AM13" t="str">
        <f t="shared" si="44"/>
        <v>Away</v>
      </c>
      <c r="AN13" t="str">
        <f t="shared" si="45"/>
        <v>a</v>
      </c>
      <c r="AO13" t="str">
        <f t="shared" si="46"/>
        <v>d</v>
      </c>
      <c r="AP13" t="str">
        <f t="shared" si="47"/>
        <v>o</v>
      </c>
      <c r="AQ13" t="str">
        <f>IF(AM13&lt;&gt;"",AM13,IF($AC13=#REF!,#REF!,""))</f>
        <v>Away</v>
      </c>
      <c r="AR13" t="str">
        <f t="shared" si="48"/>
        <v>a</v>
      </c>
      <c r="AS13" t="str">
        <f t="shared" si="49"/>
        <v>Defensive</v>
      </c>
      <c r="AT13" t="str">
        <f t="shared" si="50"/>
        <v/>
      </c>
      <c r="AU13" t="str">
        <f t="shared" si="51"/>
        <v/>
      </c>
      <c r="AV13" t="str" cm="1">
        <f t="array" ref="AV13">IFERROR(IF(O13&lt;&gt;"",O13,IF(OR($S13="",$T13=""),"",IF(O13&lt;&gt;"",O13,IF($T13&lt;&gt;"",_xlfn._xlws.FILTER(O:O,($BT:$BT=$BT13)*($I:$I=$I13)*($T:$T=$T13)*($S:$S=_xlfn.MINIFS($S:$S,$T:$T,"="&amp;$T13)),"")))))&amp;"",IF(O13="","",""))&amp;""</f>
        <v/>
      </c>
      <c r="AW13" t="str" cm="1">
        <f t="array" ref="AW13">IFERROR(IF(P13&lt;&gt;"",P13,IF(OR($S13="",$T13=""),"",IF($T13&lt;&gt;"",_xlfn._xlws.FILTER(P:P,($BT:$BT=$BT13)*($I:$I=$I13)*($T:$T=$T13)*($S:$S=_xlfn.MINIFS($S:$S,$T:$T,"="&amp;$T13)),""))))&amp;"",IF(P13="","",""))&amp;""</f>
        <v/>
      </c>
      <c r="AX13" t="str" cm="1">
        <f t="array" ref="AX13">IFERROR(IF(Q13&lt;&gt;"",Q13,IF(OR($S13="",$T13=""),"",IF($T13&lt;&gt;"",_xlfn._xlws.FILTER(Q:Q,($BT:$BT=$BT13)*($I:$I=$I13)*($T:$T=$T13)*($S:$S=_xlfn.MINIFS($S:$S,$T:$T,"="&amp;$T13)),""))))&amp;"",IF(Q13="","",""))&amp;""</f>
        <v/>
      </c>
      <c r="AY13" t="str" cm="1">
        <f t="array" ref="AY13">IFERROR(IF(R13&lt;&gt;"",R13,IF(OR($S13="",$T13=""),"",IF($T13&lt;&gt;"",_xlfn._xlws.FILTER(R:R,($BT:$BT=$BT13)*($I:$I=$I13)*($T:$T=$T13)*($S:$S=_xlfn.MINIFS($S:$S,$T:$T,"="&amp;$T13)),""))))&amp;"",IF(R13="","",""))&amp;""</f>
        <v>1</v>
      </c>
      <c r="AZ13" s="6">
        <f t="shared" si="52"/>
        <v>2</v>
      </c>
      <c r="BA13">
        <f t="shared" ref="BA13:BC13" si="74">BA12</f>
        <v>18991</v>
      </c>
      <c r="BB13" t="str">
        <f t="shared" si="74"/>
        <v>Triple J</v>
      </c>
      <c r="BC13" t="str">
        <f t="shared" si="74"/>
        <v>Velodrome</v>
      </c>
      <c r="BD13" t="str">
        <f t="shared" si="54"/>
        <v>Turnover</v>
      </c>
      <c r="BE13" t="str">
        <f t="shared" si="55"/>
        <v>Turnover_Giveaway</v>
      </c>
      <c r="BF13" t="str">
        <f t="shared" si="56"/>
        <v>Giveaway-DumpInZone</v>
      </c>
      <c r="BG13" t="str">
        <f t="shared" si="22"/>
        <v>u</v>
      </c>
      <c r="BH13" cm="1">
        <f t="array" ref="BH13">IFERROR(_xlfn._xlws.FILTER(shifts!A:A,(shifts!B:B=events!Z13)*(shifts!AG:AG&gt;=events!BJ13)*(shifts!AH:AH&lt;=events!BK13)),BH12)</f>
        <v>1</v>
      </c>
      <c r="BI13" s="15">
        <f t="shared" si="57"/>
        <v>0</v>
      </c>
      <c r="BJ13">
        <f t="shared" si="58"/>
        <v>1073</v>
      </c>
      <c r="BK13">
        <f t="shared" si="59"/>
        <v>1073</v>
      </c>
      <c r="BL13" s="15">
        <f>SUMIFS(BI$2:BI13,K$2:K13,"=Intermission")+SUMIFS(BI$2:BI13,K$2:K13,"=Timeout")</f>
        <v>0</v>
      </c>
      <c r="BM13">
        <f t="shared" si="60"/>
        <v>0</v>
      </c>
      <c r="BN13" s="19">
        <f t="shared" si="61"/>
        <v>7</v>
      </c>
      <c r="BO13">
        <f t="shared" si="62"/>
        <v>2</v>
      </c>
      <c r="BP13" s="17">
        <f t="shared" si="63"/>
        <v>7</v>
      </c>
      <c r="BQ13" t="str">
        <f t="shared" si="64"/>
        <v>opp_team_player_1</v>
      </c>
      <c r="BR13">
        <f>COUNTIFS(S$3:S13,"="&amp;S13,AH$3:AH13,"="&amp;AH13)</f>
        <v>1</v>
      </c>
      <c r="BS13" t="str">
        <f>IFERROR(VLOOKUP(BA13&amp;BT13&amp;X13,game_rosters!U:W,3,FALSE),"")</f>
        <v>P100094</v>
      </c>
      <c r="BT13" t="str">
        <f t="shared" si="65"/>
        <v>Triple J</v>
      </c>
    </row>
    <row r="14" spans="1:72" x14ac:dyDescent="0.2">
      <c r="A14">
        <f t="shared" si="9"/>
        <v>1</v>
      </c>
      <c r="E14" s="4"/>
      <c r="F14" s="45" t="s">
        <v>1060</v>
      </c>
      <c r="G14" s="4"/>
      <c r="H14" s="47" t="s">
        <v>1045</v>
      </c>
      <c r="I14" s="26">
        <v>41</v>
      </c>
      <c r="J14" s="26" t="s">
        <v>736</v>
      </c>
      <c r="K14" t="s">
        <v>13</v>
      </c>
      <c r="L14" t="s">
        <v>586</v>
      </c>
      <c r="N14" t="s">
        <v>594</v>
      </c>
      <c r="O14" t="s">
        <v>904</v>
      </c>
      <c r="Q14" t="str">
        <f t="shared" si="33"/>
        <v>u</v>
      </c>
      <c r="S14">
        <f>IF(A14=1,MAX($S$2:$S13)+1,IF(OR($I14&lt;&gt;"",A14="x"),$S13,""))</f>
        <v>7</v>
      </c>
      <c r="T14" t="str">
        <f>IF(D14=1,MAX($T$2:$T13)+1,IF(S14=S13,$T13,IF(D14="x",T13,IF(D13="x","",""))))</f>
        <v/>
      </c>
      <c r="U14" t="str">
        <f>IF(B14=1,MAX($U$2:$U13)+1,IF(AND($T14&lt;&gt;"",$T14=$T13),$U13,IF(B14="x",U13,"")))</f>
        <v/>
      </c>
      <c r="V14" t="str">
        <f>IF(C14=1,MAX($V$2:$V13)+1,IF(AND($T14&lt;&gt;"",$T14=$T13),$U13,IF(C14="x",V13,"")))</f>
        <v/>
      </c>
      <c r="W14" t="str" cm="1">
        <f t="array" ref="W14">IFERROR(_xlfn._xlws.FILTER(game_rosters!AC:AC,(game_rosters!J:J=events!X14)*(K14&lt;&gt;"")),"")</f>
        <v>h</v>
      </c>
      <c r="X14" cm="1">
        <f t="array" ref="X14">IF($I14&lt;&gt;"",$I14,INDEX($I$1:$I14,ROW()-COUNTIFS($T$1:$T14,"="&amp;$T14,$S$1:$S14,"&lt;"&amp;$S14)))</f>
        <v>41</v>
      </c>
      <c r="Y14" cm="1">
        <f t="array" ref="Y14">IFERROR(IF(_xlfn._xlws.FILTER(game_rosters!$J:$J,(game_rosters!$G:$G=events!$AM14)*(game_rosters!$J:$J=events!$X14))&gt;0,1,""),"")</f>
        <v>1</v>
      </c>
      <c r="Z14" s="6">
        <f t="shared" si="34"/>
        <v>1</v>
      </c>
      <c r="AA14">
        <f t="shared" si="35"/>
        <v>1007</v>
      </c>
      <c r="AB14" t="str">
        <f t="shared" si="36"/>
        <v/>
      </c>
      <c r="AC14">
        <f t="shared" si="37"/>
        <v>1007</v>
      </c>
      <c r="AD14" t="str">
        <f t="shared" si="38"/>
        <v>17</v>
      </c>
      <c r="AE14" t="str">
        <f t="shared" si="39"/>
        <v>51</v>
      </c>
      <c r="AF14" t="str">
        <f t="shared" si="40"/>
        <v>17</v>
      </c>
      <c r="AG14" t="str">
        <f t="shared" si="41"/>
        <v>50</v>
      </c>
      <c r="AH14" t="str">
        <f t="shared" si="42"/>
        <v>e</v>
      </c>
      <c r="AI14" t="str">
        <f t="shared" si="11"/>
        <v>d</v>
      </c>
      <c r="AJ14" t="str">
        <f t="shared" si="12"/>
        <v>d</v>
      </c>
      <c r="AK14" t="str">
        <f t="shared" si="13"/>
        <v>d</v>
      </c>
      <c r="AL14" t="str">
        <f t="shared" si="43"/>
        <v>o</v>
      </c>
      <c r="AM14" t="str">
        <f t="shared" si="44"/>
        <v>Home</v>
      </c>
      <c r="AN14" t="str">
        <f t="shared" si="45"/>
        <v>h</v>
      </c>
      <c r="AO14" t="str">
        <f t="shared" si="46"/>
        <v>d</v>
      </c>
      <c r="AP14" t="str">
        <f t="shared" si="47"/>
        <v>o</v>
      </c>
      <c r="AQ14" t="str">
        <f>IF(AM14&lt;&gt;"",AM14,IF($AC14=#REF!,#REF!,""))</f>
        <v>Home</v>
      </c>
      <c r="AR14" t="str">
        <f t="shared" si="48"/>
        <v>h</v>
      </c>
      <c r="AS14" t="str">
        <f t="shared" si="49"/>
        <v>Offensive</v>
      </c>
      <c r="AT14" t="str">
        <f t="shared" si="50"/>
        <v/>
      </c>
      <c r="AU14" t="str">
        <f t="shared" si="51"/>
        <v/>
      </c>
      <c r="AV14" t="str" cm="1">
        <f t="array" ref="AV14">IFERROR(IF(O14&lt;&gt;"",O14,IF(OR($S14="",$T14=""),"",IF(O14&lt;&gt;"",O14,IF($T14&lt;&gt;"",_xlfn._xlws.FILTER(O:O,($BT:$BT=$BT14)*($I:$I=$I14)*($T:$T=$T14)*($S:$S=_xlfn.MINIFS($S:$S,$T:$T,"="&amp;$T14)),"")))))&amp;"",IF(O14="","",""))&amp;""</f>
        <v>PuckRecoveryRetreivalDumpIn</v>
      </c>
      <c r="AW14" t="str" cm="1">
        <f t="array" ref="AW14">IFERROR(IF(P14&lt;&gt;"",P14,IF(OR($S14="",$T14=""),"",IF($T14&lt;&gt;"",_xlfn._xlws.FILTER(P:P,($BT:$BT=$BT14)*($I:$I=$I14)*($T:$T=$T14)*($S:$S=_xlfn.MINIFS($S:$S,$T:$T,"="&amp;$T14)),""))))&amp;"",IF(P14="","",""))&amp;""</f>
        <v/>
      </c>
      <c r="AX14" t="str" cm="1">
        <f t="array" ref="AX14">IFERROR(IF(Q14&lt;&gt;"",Q14,IF(OR($S14="",$T14=""),"",IF($T14&lt;&gt;"",_xlfn._xlws.FILTER(Q:Q,($BT:$BT=$BT14)*($I:$I=$I14)*($T:$T=$T14)*($S:$S=_xlfn.MINIFS($S:$S,$T:$T,"="&amp;$T14)),""))))&amp;"",IF(Q14="","",""))&amp;""</f>
        <v>u</v>
      </c>
      <c r="AY14" t="str" cm="1">
        <f t="array" ref="AY14">IFERROR(IF(R14&lt;&gt;"",R14,IF(OR($S14="",$T14=""),"",IF($T14&lt;&gt;"",_xlfn._xlws.FILTER(R:R,($BT:$BT=$BT14)*($I:$I=$I14)*($T:$T=$T14)*($S:$S=_xlfn.MINIFS($S:$S,$T:$T,"="&amp;$T14)),""))))&amp;"",IF(R14="","",""))&amp;""</f>
        <v/>
      </c>
      <c r="AZ14" s="6">
        <f t="shared" si="52"/>
        <v>2</v>
      </c>
      <c r="BA14">
        <f t="shared" ref="BA14:BC14" si="75">BA13</f>
        <v>18991</v>
      </c>
      <c r="BB14" t="str">
        <f t="shared" si="75"/>
        <v>Triple J</v>
      </c>
      <c r="BC14" t="str">
        <f t="shared" si="75"/>
        <v>Velodrome</v>
      </c>
      <c r="BD14" t="str">
        <f t="shared" si="54"/>
        <v>Possession</v>
      </c>
      <c r="BE14" t="str">
        <f t="shared" si="55"/>
        <v>PuckRetrieval</v>
      </c>
      <c r="BF14" t="str">
        <f t="shared" si="56"/>
        <v/>
      </c>
      <c r="BG14" t="str">
        <f t="shared" si="22"/>
        <v>u</v>
      </c>
      <c r="BH14" cm="1">
        <f t="array" ref="BH14">IFERROR(_xlfn._xlws.FILTER(shifts!A:A,(shifts!B:B=events!Z14)*(shifts!AG:AG&gt;=events!BJ14)*(shifts!AH:AH&lt;=events!BK14)),BH13)</f>
        <v>1</v>
      </c>
      <c r="BI14" s="15">
        <f t="shared" si="57"/>
        <v>1</v>
      </c>
      <c r="BJ14">
        <f t="shared" si="58"/>
        <v>1071</v>
      </c>
      <c r="BK14">
        <f t="shared" si="59"/>
        <v>1070</v>
      </c>
      <c r="BL14" s="15">
        <f>SUMIFS(BI$2:BI14,K$2:K14,"=Intermission")+SUMIFS(BI$2:BI14,K$2:K14,"=Timeout")</f>
        <v>0</v>
      </c>
      <c r="BM14">
        <f t="shared" si="60"/>
        <v>0</v>
      </c>
      <c r="BN14" s="19">
        <f t="shared" si="61"/>
        <v>9</v>
      </c>
      <c r="BO14">
        <f t="shared" si="62"/>
        <v>4</v>
      </c>
      <c r="BP14" s="17">
        <f t="shared" si="63"/>
        <v>10</v>
      </c>
      <c r="BQ14" t="str">
        <f t="shared" si="64"/>
        <v>event_team_player_1</v>
      </c>
      <c r="BR14">
        <f>COUNTIFS(S$3:S14,"="&amp;S14,AH$3:AH14,"="&amp;AH14)</f>
        <v>1</v>
      </c>
      <c r="BS14" t="str">
        <f>IFERROR(VLOOKUP(BA14&amp;BT14&amp;X14,game_rosters!U:W,3,FALSE),"")</f>
        <v>P100206</v>
      </c>
      <c r="BT14" t="str">
        <f t="shared" si="65"/>
        <v>Triple J</v>
      </c>
    </row>
    <row r="15" spans="1:72" x14ac:dyDescent="0.2">
      <c r="A15">
        <f t="shared" si="9"/>
        <v>1</v>
      </c>
      <c r="D15" s="26">
        <v>1</v>
      </c>
      <c r="E15" s="4"/>
      <c r="F15" s="45"/>
      <c r="G15" s="4"/>
      <c r="H15" s="47"/>
      <c r="I15" s="26">
        <v>41</v>
      </c>
      <c r="J15" s="26" t="s">
        <v>736</v>
      </c>
      <c r="K15" t="s">
        <v>7</v>
      </c>
      <c r="L15" t="s">
        <v>182</v>
      </c>
      <c r="M15" t="s">
        <v>68</v>
      </c>
      <c r="N15" t="str">
        <f t="shared" si="32"/>
        <v>u</v>
      </c>
      <c r="O15" t="s">
        <v>767</v>
      </c>
      <c r="Q15" t="str">
        <f t="shared" si="33"/>
        <v>u</v>
      </c>
      <c r="S15">
        <f>IF(A15=1,MAX($S$2:$S14)+1,IF(OR($I15&lt;&gt;"",A15="x"),$S14,""))</f>
        <v>8</v>
      </c>
      <c r="T15">
        <f>IF(D15=1,MAX($T$2:$T14)+1,IF(S15=S14,$T14,IF(D15="x",T14,IF(D14="x","",""))))</f>
        <v>1</v>
      </c>
      <c r="U15" t="str">
        <f>IF(B15=1,MAX($U$2:$U14)+1,IF(AND($T15&lt;&gt;"",$T15=$T14),$U14,IF(B15="x",U14,"")))</f>
        <v/>
      </c>
      <c r="V15" t="str">
        <f>IF(C15=1,MAX($V$2:$V14)+1,IF(AND($T15&lt;&gt;"",$T15=$T14),$U14,IF(C15="x",V14,"")))</f>
        <v/>
      </c>
      <c r="W15" t="str" cm="1">
        <f t="array" ref="W15">IFERROR(_xlfn._xlws.FILTER(game_rosters!AC:AC,(game_rosters!J:J=events!X15)*(K15&lt;&gt;"")),"")</f>
        <v>h</v>
      </c>
      <c r="X15" cm="1">
        <f t="array" ref="X15">IF($I15&lt;&gt;"",$I15,INDEX($I$1:$I15,ROW()-COUNTIFS($T$1:$T15,"="&amp;$T15,$S$1:$S15,"&lt;"&amp;$S15)))</f>
        <v>41</v>
      </c>
      <c r="Y15" cm="1">
        <f t="array" ref="Y15">IFERROR(IF(_xlfn._xlws.FILTER(game_rosters!$J:$J,(game_rosters!$G:$G=events!$AM15)*(game_rosters!$J:$J=events!$X15))&gt;0,1,""),"")</f>
        <v>1</v>
      </c>
      <c r="Z15" s="6">
        <f t="shared" si="34"/>
        <v>1</v>
      </c>
      <c r="AA15">
        <f t="shared" si="35"/>
        <v>1008</v>
      </c>
      <c r="AB15">
        <f t="shared" si="36"/>
        <v>9001</v>
      </c>
      <c r="AC15">
        <f t="shared" si="37"/>
        <v>9001</v>
      </c>
      <c r="AD15" t="str">
        <f t="shared" si="38"/>
        <v>17</v>
      </c>
      <c r="AE15" t="str">
        <f t="shared" si="39"/>
        <v>50</v>
      </c>
      <c r="AF15" t="str">
        <f t="shared" si="40"/>
        <v/>
      </c>
      <c r="AG15" t="str">
        <f t="shared" si="41"/>
        <v/>
      </c>
      <c r="AH15" t="str">
        <f t="shared" si="42"/>
        <v>e</v>
      </c>
      <c r="AI15" t="str">
        <f t="shared" si="11"/>
        <v>d</v>
      </c>
      <c r="AJ15" t="str">
        <f t="shared" si="12"/>
        <v>d</v>
      </c>
      <c r="AK15" t="str">
        <f t="shared" si="13"/>
        <v>d</v>
      </c>
      <c r="AL15" t="str">
        <f t="shared" si="43"/>
        <v>o</v>
      </c>
      <c r="AM15" t="str">
        <f t="shared" si="44"/>
        <v>Home</v>
      </c>
      <c r="AN15" t="str">
        <f t="shared" si="45"/>
        <v>h</v>
      </c>
      <c r="AO15" t="str">
        <f t="shared" si="46"/>
        <v>d</v>
      </c>
      <c r="AP15" t="str">
        <f t="shared" si="47"/>
        <v>o</v>
      </c>
      <c r="AQ15" t="str">
        <f>IF(AM15&lt;&gt;"",AM15,IF($AC15=#REF!,#REF!,""))</f>
        <v>Home</v>
      </c>
      <c r="AR15" t="str">
        <f t="shared" si="48"/>
        <v>h</v>
      </c>
      <c r="AS15" t="str">
        <f t="shared" si="49"/>
        <v>Offensive</v>
      </c>
      <c r="AT15" t="str">
        <f t="shared" si="50"/>
        <v/>
      </c>
      <c r="AU15" t="str">
        <f t="shared" si="51"/>
        <v/>
      </c>
      <c r="AV15" t="str" cm="1">
        <f t="array" ref="AV15">IFERROR(IF(O15&lt;&gt;"",O15,IF(OR($S15="",$T15=""),"",IF(O15&lt;&gt;"",O15,IF($T15&lt;&gt;"",_xlfn._xlws.FILTER(O:O,($BT:$BT=$BT15)*($I:$I=$I15)*($T:$T=$T15)*($S:$S=_xlfn.MINIFS($S:$S,$T:$T,"="&amp;$T15)),"")))))&amp;"",IF(O15="","",""))&amp;""</f>
        <v>AttemptedBreakOutPass</v>
      </c>
      <c r="AW15" t="str" cm="1">
        <f t="array" ref="AW15">IFERROR(IF(P15&lt;&gt;"",P15,IF(OR($S15="",$T15=""),"",IF($T15&lt;&gt;"",_xlfn._xlws.FILTER(P:P,($BT:$BT=$BT15)*($I:$I=$I15)*($T:$T=$T15)*($S:$S=_xlfn.MINIFS($S:$S,$T:$T,"="&amp;$T15)),""))))&amp;"",IF(P15="","",""))&amp;""</f>
        <v/>
      </c>
      <c r="AX15" t="str" cm="1">
        <f t="array" ref="AX15">IFERROR(IF(Q15&lt;&gt;"",Q15,IF(OR($S15="",$T15=""),"",IF($T15&lt;&gt;"",_xlfn._xlws.FILTER(Q:Q,($BT:$BT=$BT15)*($I:$I=$I15)*($T:$T=$T15)*($S:$S=_xlfn.MINIFS($S:$S,$T:$T,"="&amp;$T15)),""))))&amp;"",IF(Q15="","",""))&amp;""</f>
        <v>u</v>
      </c>
      <c r="AY15" t="str" cm="1">
        <f t="array" ref="AY15">IFERROR(IF(R15&lt;&gt;"",R15,IF(OR($S15="",$T15=""),"",IF($T15&lt;&gt;"",_xlfn._xlws.FILTER(R:R,($BT:$BT=$BT15)*($I:$I=$I15)*($T:$T=$T15)*($S:$S=_xlfn.MINIFS($S:$S,$T:$T,"="&amp;$T15)),""))))&amp;"",IF(R15="","",""))&amp;""</f>
        <v/>
      </c>
      <c r="AZ15" s="6">
        <f t="shared" si="52"/>
        <v>2</v>
      </c>
      <c r="BA15">
        <f t="shared" ref="BA15:BC15" si="76">BA14</f>
        <v>18991</v>
      </c>
      <c r="BB15" t="str">
        <f t="shared" si="76"/>
        <v>Triple J</v>
      </c>
      <c r="BC15" t="str">
        <f t="shared" si="76"/>
        <v>Velodrome</v>
      </c>
      <c r="BD15" t="str">
        <f t="shared" si="54"/>
        <v>Pass</v>
      </c>
      <c r="BE15" t="str">
        <f t="shared" si="55"/>
        <v>Pass_Missed</v>
      </c>
      <c r="BF15" t="str">
        <f t="shared" si="56"/>
        <v>Pass-Forehand</v>
      </c>
      <c r="BG15" t="str">
        <f t="shared" si="22"/>
        <v>u</v>
      </c>
      <c r="BH15" cm="1">
        <f t="array" ref="BH15">IFERROR(_xlfn._xlws.FILTER(shifts!A:A,(shifts!B:B=events!Z15)*(shifts!AG:AG&gt;=events!BJ15)*(shifts!AH:AH&lt;=events!BK15)),BH14)</f>
        <v>1</v>
      </c>
      <c r="BI15" s="15">
        <f t="shared" si="57"/>
        <v>0</v>
      </c>
      <c r="BJ15">
        <f t="shared" si="58"/>
        <v>1070</v>
      </c>
      <c r="BK15">
        <f t="shared" si="59"/>
        <v>1070</v>
      </c>
      <c r="BL15" s="15">
        <f>SUMIFS(BI$2:BI15,K$2:K15,"=Intermission")+SUMIFS(BI$2:BI15,K$2:K15,"=Timeout")</f>
        <v>0</v>
      </c>
      <c r="BM15">
        <f t="shared" si="60"/>
        <v>0</v>
      </c>
      <c r="BN15" s="19">
        <f t="shared" si="61"/>
        <v>10</v>
      </c>
      <c r="BO15">
        <f t="shared" si="62"/>
        <v>5</v>
      </c>
      <c r="BP15" s="17">
        <f t="shared" si="63"/>
        <v>10</v>
      </c>
      <c r="BQ15" t="str">
        <f t="shared" si="64"/>
        <v>event_team_player_1</v>
      </c>
      <c r="BR15">
        <f>COUNTIFS(S$3:S15,"="&amp;S15,AH$3:AH15,"="&amp;AH15)</f>
        <v>1</v>
      </c>
      <c r="BS15" t="str">
        <f>IFERROR(VLOOKUP(BA15&amp;BT15&amp;X15,game_rosters!U:W,3,FALSE),"")</f>
        <v>P100206</v>
      </c>
      <c r="BT15" t="str">
        <f t="shared" si="65"/>
        <v>Triple J</v>
      </c>
    </row>
    <row r="16" spans="1:72" x14ac:dyDescent="0.2">
      <c r="A16" t="str">
        <f t="shared" si="9"/>
        <v>x</v>
      </c>
      <c r="D16" s="26" t="s">
        <v>729</v>
      </c>
      <c r="E16" s="4"/>
      <c r="F16" s="45"/>
      <c r="G16" s="4"/>
      <c r="H16" s="47"/>
      <c r="I16" s="26">
        <v>16</v>
      </c>
      <c r="J16" s="26" t="str">
        <f t="shared" si="68"/>
        <v/>
      </c>
      <c r="N16" t="str">
        <f t="shared" si="32"/>
        <v/>
      </c>
      <c r="Q16" t="str">
        <f t="shared" ref="Q16:Q79" si="77">IF(O16="","",IF(AND(N16&lt;&gt;"",OR(O16&lt;&gt;"",P16&lt;&gt;"")),N16,IF(OR(ISNUMBER(SEARCH("attemp",O16)),ISNUMBER(SEARCH("beat",O16)),ISNUMBER(SEARCH("mis",O16)),ISNUMBER(SEARCH("fail",O16)),ISNUMBER(SEARCH("loss",O16)),ISNUMBER(SEARCH("lost",O16)),ISNUMBER(SEARCH("attemp",P16)),ISNUMBER(SEARCH("mis",P16)),ISNUMBER(SEARCH("fail",P16)),ISNUMBER(SEARCH("loss",P16)),ISNUMBER(SEARCH("beat",P16)),ISNUMBER(SEARCH("lost",P16))),"u","")))</f>
        <v/>
      </c>
      <c r="S16">
        <f>IF(A16=1,MAX($S$2:$S15)+1,IF(OR($I16&lt;&gt;"",A16="x"),$S15,""))</f>
        <v>8</v>
      </c>
      <c r="T16">
        <f>IF(D16=1,MAX($T$2:$T15)+1,IF(S16=S15,$T15,IF(D16="x",T15,IF(D15="x","",""))))</f>
        <v>1</v>
      </c>
      <c r="U16" t="str">
        <f>IF(B16=1,MAX($U$2:$U15)+1,IF(AND($T16&lt;&gt;"",$T16=$T15),$U15,IF(B16="x",U15,"")))</f>
        <v/>
      </c>
      <c r="V16" t="str">
        <f>IF(C16=1,MAX($V$2:$V15)+1,IF(AND($T16&lt;&gt;"",$T16=$T15),$U15,IF(C16="x",V15,"")))</f>
        <v/>
      </c>
      <c r="W16" t="str" cm="1">
        <f t="array" ref="W16">IFERROR(_xlfn._xlws.FILTER(game_rosters!AC:AC,(game_rosters!J:J=events!X16)*(K16&lt;&gt;"")),"")</f>
        <v/>
      </c>
      <c r="X16" cm="1">
        <f t="array" ref="X16">IF($I16&lt;&gt;"",$I16,INDEX($I$1:$I16,ROW()-COUNTIFS($T$1:$T16,"="&amp;$T16,$S$1:$S16,"&lt;"&amp;$S16)))</f>
        <v>16</v>
      </c>
      <c r="Y16" cm="1">
        <f t="array" ref="Y16">IFERROR(IF(_xlfn._xlws.FILTER(game_rosters!$J:$J,(game_rosters!$G:$G=events!$AM16)*(game_rosters!$J:$J=events!$X16))&gt;0,1,""),"")</f>
        <v>1</v>
      </c>
      <c r="Z16" s="6">
        <f t="shared" si="34"/>
        <v>1</v>
      </c>
      <c r="AA16">
        <f t="shared" si="35"/>
        <v>1008</v>
      </c>
      <c r="AB16">
        <f t="shared" si="36"/>
        <v>9001</v>
      </c>
      <c r="AC16">
        <f t="shared" si="37"/>
        <v>9001</v>
      </c>
      <c r="AD16" t="str">
        <f t="shared" si="38"/>
        <v>17</v>
      </c>
      <c r="AE16" t="str">
        <f t="shared" si="39"/>
        <v>50</v>
      </c>
      <c r="AF16" t="str">
        <f t="shared" si="40"/>
        <v/>
      </c>
      <c r="AG16" t="str">
        <f t="shared" si="41"/>
        <v/>
      </c>
      <c r="AH16" t="str">
        <f t="shared" si="42"/>
        <v>e</v>
      </c>
      <c r="AI16" t="str">
        <f t="shared" si="11"/>
        <v>d</v>
      </c>
      <c r="AJ16" t="str">
        <f t="shared" si="12"/>
        <v>d</v>
      </c>
      <c r="AK16" t="str">
        <f t="shared" si="13"/>
        <v/>
      </c>
      <c r="AL16" t="str">
        <f t="shared" si="43"/>
        <v/>
      </c>
      <c r="AM16" t="str">
        <f t="shared" si="44"/>
        <v>Home</v>
      </c>
      <c r="AN16" t="str">
        <f t="shared" si="45"/>
        <v>h</v>
      </c>
      <c r="AO16" t="str">
        <f t="shared" si="46"/>
        <v>d</v>
      </c>
      <c r="AP16" t="str">
        <f t="shared" si="47"/>
        <v>o</v>
      </c>
      <c r="AQ16" t="str">
        <f>IF(AM16&lt;&gt;"",AM16,IF($AC16=#REF!,#REF!,""))</f>
        <v>Home</v>
      </c>
      <c r="AR16" t="str">
        <f t="shared" si="48"/>
        <v>h</v>
      </c>
      <c r="AS16" t="str">
        <f t="shared" si="49"/>
        <v>Offensive</v>
      </c>
      <c r="AT16" t="str">
        <f t="shared" si="50"/>
        <v/>
      </c>
      <c r="AU16" t="str">
        <f t="shared" si="51"/>
        <v/>
      </c>
      <c r="AV16" t="str" cm="1">
        <f t="array" ref="AV16">IFERROR(IF(O16&lt;&gt;"",O16,IF(OR($S16="",$T16=""),"",IF(O16&lt;&gt;"",O16,IF($T16&lt;&gt;"",_xlfn._xlws.FILTER(O:O,($BT:$BT=$BT16)*($I:$I=$I16)*($T:$T=$T16)*($S:$S=_xlfn.MINIFS($S:$S,$T:$T,"="&amp;$T16)),"")))))&amp;"",IF(O16="","",""))&amp;""</f>
        <v/>
      </c>
      <c r="AW16" t="str" cm="1">
        <f t="array" ref="AW16">IFERROR(IF(P16&lt;&gt;"",P16,IF(OR($S16="",$T16=""),"",IF($T16&lt;&gt;"",_xlfn._xlws.FILTER(P:P,($BT:$BT=$BT16)*($I:$I=$I16)*($T:$T=$T16)*($S:$S=_xlfn.MINIFS($S:$S,$T:$T,"="&amp;$T16)),""))))&amp;"",IF(P16="","",""))&amp;""</f>
        <v/>
      </c>
      <c r="AX16" t="str" cm="1">
        <f t="array" ref="AX16">IFERROR(IF(Q16&lt;&gt;"",Q16,IF(OR($S16="",$T16=""),"",IF($T16&lt;&gt;"",_xlfn._xlws.FILTER(Q:Q,($BT:$BT=$BT16)*($I:$I=$I16)*($T:$T=$T16)*($S:$S=_xlfn.MINIFS($S:$S,$T:$T,"="&amp;$T16)),""))))&amp;"",IF(Q16="","",""))&amp;""</f>
        <v/>
      </c>
      <c r="AY16" t="str" cm="1">
        <f t="array" ref="AY16">IFERROR(IF(R16&lt;&gt;"",R16,IF(OR($S16="",$T16=""),"",IF($T16&lt;&gt;"",_xlfn._xlws.FILTER(R:R,($BT:$BT=$BT16)*($I:$I=$I16)*($T:$T=$T16)*($S:$S=_xlfn.MINIFS($S:$S,$T:$T,"="&amp;$T16)),""))))&amp;"",IF(R16="","",""))&amp;""</f>
        <v/>
      </c>
      <c r="AZ16" s="6">
        <f t="shared" si="52"/>
        <v>2</v>
      </c>
      <c r="BA16">
        <f t="shared" ref="BA16:BC16" si="78">BA15</f>
        <v>18991</v>
      </c>
      <c r="BB16" t="str">
        <f t="shared" si="78"/>
        <v>Triple J</v>
      </c>
      <c r="BC16" t="str">
        <f t="shared" si="78"/>
        <v>Velodrome</v>
      </c>
      <c r="BD16" t="str">
        <f t="shared" si="54"/>
        <v>Pass</v>
      </c>
      <c r="BE16" t="str">
        <f t="shared" si="55"/>
        <v>Pass_Missed</v>
      </c>
      <c r="BF16" t="str">
        <f t="shared" si="56"/>
        <v>Pass-Forehand</v>
      </c>
      <c r="BG16" t="str">
        <f t="shared" si="22"/>
        <v>u</v>
      </c>
      <c r="BH16" cm="1">
        <f t="array" ref="BH16">IFERROR(_xlfn._xlws.FILTER(shifts!A:A,(shifts!B:B=events!Z16)*(shifts!AG:AG&gt;=events!BJ16)*(shifts!AH:AH&lt;=events!BK16)),BH15)</f>
        <v>1</v>
      </c>
      <c r="BI16" s="15">
        <f t="shared" si="57"/>
        <v>0</v>
      </c>
      <c r="BJ16">
        <f t="shared" si="58"/>
        <v>1070</v>
      </c>
      <c r="BK16">
        <f t="shared" si="59"/>
        <v>1070</v>
      </c>
      <c r="BL16" s="15">
        <f>SUMIFS(BI$2:BI16,K$2:K16,"=Intermission")+SUMIFS(BI$2:BI16,K$2:K16,"=Timeout")</f>
        <v>0</v>
      </c>
      <c r="BM16">
        <f t="shared" si="60"/>
        <v>0</v>
      </c>
      <c r="BN16" s="19">
        <f t="shared" si="61"/>
        <v>10</v>
      </c>
      <c r="BO16">
        <f t="shared" si="62"/>
        <v>5</v>
      </c>
      <c r="BP16" s="17">
        <f t="shared" si="63"/>
        <v>10</v>
      </c>
      <c r="BQ16" t="str">
        <f t="shared" si="64"/>
        <v>event_team_player_2</v>
      </c>
      <c r="BR16">
        <f>COUNTIFS(S$3:S16,"="&amp;S16,AH$3:AH16,"="&amp;AH16)</f>
        <v>2</v>
      </c>
      <c r="BS16" t="str">
        <f>IFERROR(VLOOKUP(BA16&amp;BT16&amp;X16,game_rosters!U:W,3,FALSE),"")</f>
        <v>P100094</v>
      </c>
      <c r="BT16" t="str">
        <f t="shared" si="65"/>
        <v>Triple J</v>
      </c>
    </row>
    <row r="17" spans="1:72" x14ac:dyDescent="0.2">
      <c r="A17">
        <f t="shared" si="9"/>
        <v>1</v>
      </c>
      <c r="D17" s="26" t="s">
        <v>729</v>
      </c>
      <c r="E17" s="4"/>
      <c r="F17" s="45"/>
      <c r="G17" s="4"/>
      <c r="H17" s="47"/>
      <c r="J17" s="26" t="str">
        <f t="shared" si="68"/>
        <v>d</v>
      </c>
      <c r="K17" t="s">
        <v>238</v>
      </c>
      <c r="L17" t="s">
        <v>184</v>
      </c>
      <c r="M17" t="s">
        <v>376</v>
      </c>
      <c r="N17" t="str">
        <f t="shared" si="32"/>
        <v>u</v>
      </c>
      <c r="Q17" t="str">
        <f t="shared" si="77"/>
        <v/>
      </c>
      <c r="S17">
        <f>IF(A17=1,MAX($S$2:$S16)+1,IF(OR($I17&lt;&gt;"",A17="x"),$S16,""))</f>
        <v>9</v>
      </c>
      <c r="T17">
        <f>IF(D17=1,MAX($T$2:$T16)+1,IF(S17=S16,$T16,IF(D17="x",T16,IF(D16="x","",""))))</f>
        <v>1</v>
      </c>
      <c r="U17" t="str">
        <f>IF(B17=1,MAX($U$2:$U16)+1,IF(AND($T17&lt;&gt;"",$T17=$T16),$U16,IF(B17="x",U16,"")))</f>
        <v/>
      </c>
      <c r="W17" t="str" cm="1">
        <f t="array" ref="W17">IFERROR(_xlfn._xlws.FILTER(game_rosters!AC:AC,(game_rosters!J:J=events!X17)*(K17&lt;&gt;"")),"")</f>
        <v>h</v>
      </c>
      <c r="X17" cm="1">
        <f t="array" ref="X17">IF($I17&lt;&gt;"",$I17,INDEX($I$1:$I17,ROW()-COUNTIFS($T$1:$T17,"="&amp;$T17,$S$1:$S17,"&lt;"&amp;$S17)))</f>
        <v>41</v>
      </c>
      <c r="Y17" cm="1">
        <f t="array" ref="Y17">IFERROR(IF(_xlfn._xlws.FILTER(game_rosters!$J:$J,(game_rosters!$G:$G=events!$AM17)*(game_rosters!$J:$J=events!$X17))&gt;0,1,""),"")</f>
        <v>1</v>
      </c>
      <c r="Z17" s="6">
        <f t="shared" si="34"/>
        <v>1</v>
      </c>
      <c r="AA17">
        <f t="shared" si="35"/>
        <v>1009</v>
      </c>
      <c r="AB17">
        <f t="shared" si="36"/>
        <v>9001</v>
      </c>
      <c r="AC17">
        <f t="shared" si="37"/>
        <v>9001</v>
      </c>
      <c r="AD17" t="str">
        <f t="shared" si="38"/>
        <v>17</v>
      </c>
      <c r="AE17" t="str">
        <f t="shared" si="39"/>
        <v>50</v>
      </c>
      <c r="AF17" t="str">
        <f t="shared" si="40"/>
        <v/>
      </c>
      <c r="AG17" t="str">
        <f t="shared" si="41"/>
        <v/>
      </c>
      <c r="AH17" t="str">
        <f t="shared" si="42"/>
        <v>e</v>
      </c>
      <c r="AI17" t="str">
        <f t="shared" si="11"/>
        <v>d</v>
      </c>
      <c r="AJ17" t="str">
        <f t="shared" si="12"/>
        <v>d</v>
      </c>
      <c r="AK17" t="str">
        <f t="shared" si="13"/>
        <v>d</v>
      </c>
      <c r="AL17" t="str">
        <f t="shared" si="43"/>
        <v>o</v>
      </c>
      <c r="AM17" t="str">
        <f t="shared" si="44"/>
        <v>Home</v>
      </c>
      <c r="AN17" t="str">
        <f t="shared" si="45"/>
        <v>h</v>
      </c>
      <c r="AO17" t="str">
        <f t="shared" si="46"/>
        <v>d</v>
      </c>
      <c r="AP17" t="str">
        <f t="shared" si="47"/>
        <v>o</v>
      </c>
      <c r="AQ17" t="str">
        <f>IF(AM17&lt;&gt;"",AM17,IF($AC17=#REF!,#REF!,""))</f>
        <v>Home</v>
      </c>
      <c r="AR17" t="str">
        <f t="shared" si="48"/>
        <v>h</v>
      </c>
      <c r="AS17" t="str">
        <f t="shared" si="49"/>
        <v>Offensive</v>
      </c>
      <c r="AT17" t="str">
        <f t="shared" si="50"/>
        <v/>
      </c>
      <c r="AU17" t="str">
        <f t="shared" si="51"/>
        <v/>
      </c>
      <c r="AV17" t="str" cm="1">
        <f t="array" ref="AV17">IFERROR(IF(O17&lt;&gt;"",O17,IF(OR($S17="",$T17=""),"",IF(O17&lt;&gt;"",O17,IF($T17&lt;&gt;"",_xlfn._xlws.FILTER(O:O,($BT:$BT=$BT17)*($I:$I=$I17)*($T:$T=$T17)*($S:$S=_xlfn.MINIFS($S:$S,$T:$T,"="&amp;$T17)),"")))))&amp;"",IF(O17="","",""))&amp;""</f>
        <v/>
      </c>
      <c r="AW17" t="str" cm="1">
        <f t="array" ref="AW17">IFERROR(IF(P17&lt;&gt;"",P17,IF(OR($S17="",$T17=""),"",IF($T17&lt;&gt;"",_xlfn._xlws.FILTER(P:P,($BT:$BT=$BT17)*($I:$I=$I17)*($T:$T=$T17)*($S:$S=_xlfn.MINIFS($S:$S,$T:$T,"="&amp;$T17)),""))))&amp;"",IF(P17="","",""))&amp;""</f>
        <v/>
      </c>
      <c r="AX17" t="str" cm="1">
        <f t="array" ref="AX17">IFERROR(IF(Q17&lt;&gt;"",Q17,IF(OR($S17="",$T17=""),"",IF($T17&lt;&gt;"",_xlfn._xlws.FILTER(Q:Q,($BT:$BT=$BT17)*($I:$I=$I17)*($T:$T=$T17)*($S:$S=_xlfn.MINIFS($S:$S,$T:$T,"="&amp;$T17)),""))))&amp;"",IF(Q17="","",""))&amp;""</f>
        <v/>
      </c>
      <c r="AY17" t="str" cm="1">
        <f t="array" ref="AY17">IFERROR(IF(R17&lt;&gt;"",R17,IF(OR($S17="",$T17=""),"",IF($T17&lt;&gt;"",_xlfn._xlws.FILTER(R:R,($BT:$BT=$BT17)*($I:$I=$I17)*($T:$T=$T17)*($S:$S=_xlfn.MINIFS($S:$S,$T:$T,"="&amp;$T17)),""))))&amp;"",IF(R17="","",""))&amp;""</f>
        <v/>
      </c>
      <c r="AZ17" s="6">
        <f t="shared" si="52"/>
        <v>3</v>
      </c>
      <c r="BA17">
        <f t="shared" ref="BA17:BC17" si="79">BA16</f>
        <v>18991</v>
      </c>
      <c r="BB17" t="str">
        <f t="shared" si="79"/>
        <v>Triple J</v>
      </c>
      <c r="BC17" t="str">
        <f t="shared" si="79"/>
        <v>Velodrome</v>
      </c>
      <c r="BD17" t="str">
        <f t="shared" si="54"/>
        <v>Zone_Entry_Exit</v>
      </c>
      <c r="BE17" t="str">
        <f t="shared" si="55"/>
        <v>Zone_Exit</v>
      </c>
      <c r="BF17" t="str">
        <f t="shared" si="56"/>
        <v>ZoneExit-PassMiss/Misplay</v>
      </c>
      <c r="BG17" t="str">
        <f t="shared" si="22"/>
        <v>u</v>
      </c>
      <c r="BH17" cm="1">
        <f t="array" ref="BH17">IFERROR(_xlfn._xlws.FILTER(shifts!A:A,(shifts!B:B=events!Z17)*(shifts!AG:AG&gt;=events!BJ17)*(shifts!AH:AH&lt;=events!BK17)),BH16)</f>
        <v>1</v>
      </c>
      <c r="BI17" s="15">
        <f t="shared" si="57"/>
        <v>0</v>
      </c>
      <c r="BJ17">
        <f t="shared" si="58"/>
        <v>1070</v>
      </c>
      <c r="BK17">
        <f t="shared" si="59"/>
        <v>1070</v>
      </c>
      <c r="BL17" s="15">
        <f>SUMIFS(BI$2:BI17,K$2:K17,"=Intermission")+SUMIFS(BI$2:BI17,K$2:K17,"=Timeout")</f>
        <v>0</v>
      </c>
      <c r="BM17">
        <f t="shared" si="60"/>
        <v>0</v>
      </c>
      <c r="BN17" s="19">
        <f t="shared" si="61"/>
        <v>10</v>
      </c>
      <c r="BO17">
        <f t="shared" si="62"/>
        <v>5</v>
      </c>
      <c r="BP17" s="17">
        <f t="shared" si="63"/>
        <v>10</v>
      </c>
      <c r="BQ17" t="str">
        <f t="shared" si="64"/>
        <v>event_team_player_1</v>
      </c>
      <c r="BR17">
        <f>COUNTIFS(S$3:S17,"="&amp;S17,AH$3:AH17,"="&amp;AH17)</f>
        <v>1</v>
      </c>
      <c r="BS17" t="str">
        <f>IFERROR(VLOOKUP(BA17&amp;BT17&amp;X17,game_rosters!U:W,3,FALSE),"")</f>
        <v>P100206</v>
      </c>
      <c r="BT17" t="str">
        <f t="shared" si="65"/>
        <v>Triple J</v>
      </c>
    </row>
    <row r="18" spans="1:72" x14ac:dyDescent="0.2">
      <c r="A18" t="str">
        <f t="shared" si="9"/>
        <v>x</v>
      </c>
      <c r="D18" s="26" t="s">
        <v>729</v>
      </c>
      <c r="E18" s="4"/>
      <c r="F18" s="45"/>
      <c r="G18" s="4"/>
      <c r="H18" s="47"/>
      <c r="J18" s="26" t="str">
        <f t="shared" si="68"/>
        <v/>
      </c>
      <c r="N18" t="str">
        <f t="shared" si="32"/>
        <v/>
      </c>
      <c r="Q18" t="str">
        <f t="shared" si="77"/>
        <v/>
      </c>
      <c r="S18">
        <f>IF(A18=1,MAX($S$2:$S17)+1,IF(OR($I18&lt;&gt;"",A18="x"),$S17,""))</f>
        <v>9</v>
      </c>
      <c r="T18">
        <f>IF(D18=1,MAX($T$2:$T17)+1,IF(S18=S17,$T17,IF(D18="x",T17,IF(D17="x","",""))))</f>
        <v>1</v>
      </c>
      <c r="U18" t="str">
        <f>IF(B18=1,MAX($U$2:$U17)+1,IF(AND($T18&lt;&gt;"",$T18=$T17),$U17,IF(B18="x",U17,"")))</f>
        <v/>
      </c>
      <c r="V18" t="str">
        <f>IF(C18=1,MAX($V$2:$V17)+1,IF(AND($T18&lt;&gt;"",$T18=$T17),$U17,IF(C18="x",V17,"")))</f>
        <v/>
      </c>
      <c r="W18" t="str" cm="1">
        <f t="array" ref="W18">IFERROR(_xlfn._xlws.FILTER(game_rosters!AC:AC,(game_rosters!J:J=events!X18)*(K18&lt;&gt;"")),"")</f>
        <v/>
      </c>
      <c r="X18" cm="1">
        <f t="array" ref="X18">IF($I18&lt;&gt;"",$I18,INDEX($I$1:$I18,ROW()-COUNTIFS($T$1:$T18,"="&amp;$T18,$S$1:$S18,"&lt;"&amp;$S18)))</f>
        <v>16</v>
      </c>
      <c r="Y18" cm="1">
        <f t="array" ref="Y18">IFERROR(IF(_xlfn._xlws.FILTER(game_rosters!$J:$J,(game_rosters!$G:$G=events!$AM18)*(game_rosters!$J:$J=events!$X18))&gt;0,1,""),"")</f>
        <v>1</v>
      </c>
      <c r="Z18" s="6">
        <f t="shared" si="34"/>
        <v>1</v>
      </c>
      <c r="AA18">
        <f>S18+1000</f>
        <v>1009</v>
      </c>
      <c r="AB18">
        <f t="shared" si="36"/>
        <v>9001</v>
      </c>
      <c r="AC18">
        <f t="shared" si="37"/>
        <v>9001</v>
      </c>
      <c r="AD18" t="str">
        <f t="shared" si="38"/>
        <v>17</v>
      </c>
      <c r="AE18" t="str">
        <f t="shared" si="39"/>
        <v>50</v>
      </c>
      <c r="AF18" t="str">
        <f t="shared" si="40"/>
        <v/>
      </c>
      <c r="AG18" t="str">
        <f t="shared" si="41"/>
        <v/>
      </c>
      <c r="AH18" t="str">
        <f t="shared" si="42"/>
        <v>e</v>
      </c>
      <c r="AI18" t="str">
        <f t="shared" si="11"/>
        <v>d</v>
      </c>
      <c r="AJ18" t="str">
        <f t="shared" si="12"/>
        <v>d</v>
      </c>
      <c r="AK18" t="str">
        <f t="shared" si="13"/>
        <v/>
      </c>
      <c r="AL18" t="str">
        <f t="shared" si="43"/>
        <v/>
      </c>
      <c r="AM18" t="str">
        <f t="shared" si="44"/>
        <v>Home</v>
      </c>
      <c r="AN18" t="str">
        <f t="shared" si="45"/>
        <v>h</v>
      </c>
      <c r="AO18" t="str">
        <f t="shared" si="46"/>
        <v>d</v>
      </c>
      <c r="AP18" t="str">
        <f t="shared" si="47"/>
        <v>o</v>
      </c>
      <c r="AQ18" t="str">
        <f>IF(AM18&lt;&gt;"",AM18,IF($AC18=#REF!,#REF!,""))</f>
        <v>Home</v>
      </c>
      <c r="AR18" t="str">
        <f t="shared" si="48"/>
        <v>h</v>
      </c>
      <c r="AS18" t="str">
        <f t="shared" si="49"/>
        <v>Offensive</v>
      </c>
      <c r="AT18" t="str">
        <f t="shared" si="50"/>
        <v/>
      </c>
      <c r="AU18" t="str">
        <f t="shared" si="51"/>
        <v/>
      </c>
      <c r="AV18" t="str" cm="1">
        <f t="array" ref="AV18">IFERROR(IF(O18&lt;&gt;"",O18,IF(OR($S18="",$T18=""),"",IF(O18&lt;&gt;"",O18,IF($T18&lt;&gt;"",_xlfn._xlws.FILTER(O:O,($BT:$BT=$BT18)*($I:$I=$I18)*($T:$T=$T18)*($S:$S=_xlfn.MINIFS($S:$S,$T:$T,"="&amp;$T18)),"")))))&amp;"",IF(O18="","",""))&amp;""</f>
        <v/>
      </c>
      <c r="AW18" t="str" cm="1">
        <f t="array" ref="AW18">IFERROR(IF(P18&lt;&gt;"",P18,IF(OR($S18="",$T18=""),"",IF($T18&lt;&gt;"",_xlfn._xlws.FILTER(P:P,($BT:$BT=$BT18)*($I:$I=$I18)*($T:$T=$T18)*($S:$S=_xlfn.MINIFS($S:$S,$T:$T,"="&amp;$T18)),""))))&amp;"",IF(P18="","",""))&amp;""</f>
        <v/>
      </c>
      <c r="AX18" t="str" cm="1">
        <f t="array" ref="AX18">IFERROR(IF(Q18&lt;&gt;"",Q18,IF(OR($S18="",$T18=""),"",IF($T18&lt;&gt;"",_xlfn._xlws.FILTER(Q:Q,($BT:$BT=$BT18)*($I:$I=$I18)*($T:$T=$T18)*($S:$S=_xlfn.MINIFS($S:$S,$T:$T,"="&amp;$T18)),""))))&amp;"",IF(Q18="","",""))&amp;""</f>
        <v/>
      </c>
      <c r="AY18" t="str" cm="1">
        <f t="array" ref="AY18">IFERROR(IF(R18&lt;&gt;"",R18,IF(OR($S18="",$T18=""),"",IF($T18&lt;&gt;"",_xlfn._xlws.FILTER(R:R,($BT:$BT=$BT18)*($I:$I=$I18)*($T:$T=$T18)*($S:$S=_xlfn.MINIFS($S:$S,$T:$T,"="&amp;$T18)),""))))&amp;"",IF(R18="","",""))&amp;""</f>
        <v/>
      </c>
      <c r="AZ18" s="6">
        <f t="shared" si="52"/>
        <v>3</v>
      </c>
      <c r="BA18">
        <f t="shared" ref="BA18:BC18" si="80">BA17</f>
        <v>18991</v>
      </c>
      <c r="BB18" t="str">
        <f t="shared" si="80"/>
        <v>Triple J</v>
      </c>
      <c r="BC18" t="str">
        <f t="shared" si="80"/>
        <v>Velodrome</v>
      </c>
      <c r="BD18" t="str">
        <f t="shared" si="54"/>
        <v>Zone_Entry_Exit</v>
      </c>
      <c r="BE18" t="str">
        <f t="shared" si="55"/>
        <v>Zone_Exit</v>
      </c>
      <c r="BF18" t="str">
        <f t="shared" si="56"/>
        <v>ZoneExit-PassMiss/Misplay</v>
      </c>
      <c r="BG18" t="str">
        <f t="shared" si="22"/>
        <v>u</v>
      </c>
      <c r="BH18" cm="1">
        <f t="array" ref="BH18">IFERROR(_xlfn._xlws.FILTER(shifts!A:A,(shifts!B:B=events!Z18)*(shifts!AG:AG&gt;=events!BJ18)*(shifts!AH:AH&lt;=events!BK18)),BH17)</f>
        <v>1</v>
      </c>
      <c r="BI18" s="15">
        <f t="shared" si="57"/>
        <v>0</v>
      </c>
      <c r="BJ18">
        <f t="shared" si="58"/>
        <v>1070</v>
      </c>
      <c r="BK18">
        <f t="shared" si="59"/>
        <v>1070</v>
      </c>
      <c r="BL18" s="15">
        <f>SUMIFS(BI$2:BI18,K$2:K18,"=Intermission")+SUMIFS(BI$2:BI18,K$2:K18,"=Timeout")</f>
        <v>0</v>
      </c>
      <c r="BM18">
        <f t="shared" si="60"/>
        <v>0</v>
      </c>
      <c r="BN18" s="19">
        <f t="shared" si="61"/>
        <v>10</v>
      </c>
      <c r="BO18">
        <f t="shared" si="62"/>
        <v>5</v>
      </c>
      <c r="BP18" s="17">
        <f t="shared" si="63"/>
        <v>10</v>
      </c>
      <c r="BQ18" t="str">
        <f t="shared" si="64"/>
        <v>event_team_player_2</v>
      </c>
      <c r="BR18">
        <f>COUNTIFS(S$3:S18,"="&amp;S18,AH$3:AH18,"="&amp;AH18)</f>
        <v>2</v>
      </c>
      <c r="BS18" t="str">
        <f>IFERROR(VLOOKUP(BA18&amp;BT18&amp;X18,game_rosters!U:W,3,FALSE),"")</f>
        <v>P100094</v>
      </c>
      <c r="BT18" t="str">
        <f t="shared" si="65"/>
        <v>Triple J</v>
      </c>
    </row>
    <row r="19" spans="1:72" x14ac:dyDescent="0.2">
      <c r="A19">
        <f t="shared" si="9"/>
        <v>1</v>
      </c>
      <c r="D19" s="26" t="s">
        <v>729</v>
      </c>
      <c r="E19" s="4"/>
      <c r="F19" s="45"/>
      <c r="G19" s="4"/>
      <c r="H19" s="47"/>
      <c r="J19" s="26" t="s">
        <v>736</v>
      </c>
      <c r="K19" t="s">
        <v>9</v>
      </c>
      <c r="L19" t="s">
        <v>173</v>
      </c>
      <c r="M19" t="s">
        <v>74</v>
      </c>
      <c r="N19" t="str">
        <f t="shared" si="32"/>
        <v>u</v>
      </c>
      <c r="Q19" t="str">
        <f t="shared" si="77"/>
        <v/>
      </c>
      <c r="S19">
        <f>IF(A19=1,MAX($S$2:$S18)+1,IF(OR($I19&lt;&gt;"",A19="x"),$S18,""))</f>
        <v>10</v>
      </c>
      <c r="T19">
        <f>IF(D19=1,MAX($T$2:$T18)+1,IF(S19=S18,$T18,IF(D19="x",T18,IF(D18="x","",""))))</f>
        <v>1</v>
      </c>
      <c r="U19" t="str">
        <f>IF(B19=1,MAX($U$2:$U18)+1,IF(AND($T19&lt;&gt;"",$T19=$T18),$U18,IF(B19="x",U18,"")))</f>
        <v/>
      </c>
      <c r="V19" t="str">
        <f>IF(C19=1,MAX($V$2:$V18)+1,IF(AND($T19&lt;&gt;"",$T19=$T18),$U18,IF(C19="x",V18,"")))</f>
        <v/>
      </c>
      <c r="W19" t="str" cm="1">
        <f t="array" ref="W19">IFERROR(_xlfn._xlws.FILTER(game_rosters!AC:AC,(game_rosters!J:J=events!X19)*(K19&lt;&gt;"")),"")</f>
        <v>h</v>
      </c>
      <c r="X19" cm="1">
        <f t="array" ref="X19">IF($I19&lt;&gt;"",$I19,INDEX($I$1:$I19,ROW()-COUNTIFS($T$1:$T19,"="&amp;$T19,$S$1:$S19,"&lt;"&amp;$S19)))</f>
        <v>41</v>
      </c>
      <c r="Y19" cm="1">
        <f t="array" ref="Y19">IFERROR(IF(_xlfn._xlws.FILTER(game_rosters!$J:$J,(game_rosters!$G:$G=events!$AM19)*(game_rosters!$J:$J=events!$X19))&gt;0,1,""),"")</f>
        <v>1</v>
      </c>
      <c r="Z19" s="6">
        <f t="shared" si="34"/>
        <v>1</v>
      </c>
      <c r="AA19">
        <f t="shared" si="35"/>
        <v>1010</v>
      </c>
      <c r="AB19">
        <f t="shared" si="36"/>
        <v>9001</v>
      </c>
      <c r="AC19">
        <f t="shared" si="37"/>
        <v>9001</v>
      </c>
      <c r="AD19" t="str">
        <f t="shared" si="38"/>
        <v>17</v>
      </c>
      <c r="AE19" t="str">
        <f t="shared" si="39"/>
        <v>50</v>
      </c>
      <c r="AF19" t="str">
        <f t="shared" si="40"/>
        <v/>
      </c>
      <c r="AG19" t="str">
        <f t="shared" si="41"/>
        <v/>
      </c>
      <c r="AH19" t="str">
        <f t="shared" si="42"/>
        <v>e</v>
      </c>
      <c r="AI19" t="str">
        <f t="shared" si="11"/>
        <v>d</v>
      </c>
      <c r="AJ19" t="str">
        <f t="shared" si="12"/>
        <v>d</v>
      </c>
      <c r="AK19" t="str">
        <f t="shared" si="13"/>
        <v>d</v>
      </c>
      <c r="AL19" t="str">
        <f t="shared" si="43"/>
        <v>o</v>
      </c>
      <c r="AM19" t="str">
        <f t="shared" si="44"/>
        <v>Home</v>
      </c>
      <c r="AN19" t="str">
        <f t="shared" si="45"/>
        <v>h</v>
      </c>
      <c r="AO19" t="str">
        <f t="shared" si="46"/>
        <v>d</v>
      </c>
      <c r="AP19" t="str">
        <f t="shared" si="47"/>
        <v>o</v>
      </c>
      <c r="AQ19" t="str">
        <f>IF(AM19&lt;&gt;"",AM19,IF($AC19=#REF!,#REF!,""))</f>
        <v>Home</v>
      </c>
      <c r="AR19" t="str">
        <f t="shared" si="48"/>
        <v>h</v>
      </c>
      <c r="AS19" t="str">
        <f t="shared" si="49"/>
        <v>Offensive</v>
      </c>
      <c r="AT19" t="str">
        <f t="shared" si="50"/>
        <v/>
      </c>
      <c r="AU19" t="str">
        <f t="shared" si="51"/>
        <v/>
      </c>
      <c r="AV19" t="str" cm="1">
        <f t="array" ref="AV19">IFERROR(IF(O19&lt;&gt;"",O19,IF(OR($S19="",$T19=""),"",IF(O19&lt;&gt;"",O19,IF($T19&lt;&gt;"",_xlfn._xlws.FILTER(O:O,($BT:$BT=$BT19)*($I:$I=$I19)*($T:$T=$T19)*($S:$S=_xlfn.MINIFS($S:$S,$T:$T,"="&amp;$T19)),"")))))&amp;"",IF(O19="","",""))&amp;""</f>
        <v/>
      </c>
      <c r="AW19" t="str" cm="1">
        <f t="array" ref="AW19">IFERROR(IF(P19&lt;&gt;"",P19,IF(OR($S19="",$T19=""),"",IF($T19&lt;&gt;"",_xlfn._xlws.FILTER(P:P,($BT:$BT=$BT19)*($I:$I=$I19)*($T:$T=$T19)*($S:$S=_xlfn.MINIFS($S:$S,$T:$T,"="&amp;$T19)),""))))&amp;"",IF(P19="","",""))&amp;""</f>
        <v/>
      </c>
      <c r="AX19" t="str" cm="1">
        <f t="array" ref="AX19">IFERROR(IF(Q19&lt;&gt;"",Q19,IF(OR($S19="",$T19=""),"",IF($T19&lt;&gt;"",_xlfn._xlws.FILTER(Q:Q,($BT:$BT=$BT19)*($I:$I=$I19)*($T:$T=$T19)*($S:$S=_xlfn.MINIFS($S:$S,$T:$T,"="&amp;$T19)),""))))&amp;"",IF(Q19="","",""))&amp;""</f>
        <v/>
      </c>
      <c r="AY19" t="str" cm="1">
        <f t="array" ref="AY19">IFERROR(IF(R19&lt;&gt;"",R19,IF(OR($S19="",$T19=""),"",IF($T19&lt;&gt;"",_xlfn._xlws.FILTER(R:R,($BT:$BT=$BT19)*($I:$I=$I19)*($T:$T=$T19)*($S:$S=_xlfn.MINIFS($S:$S,$T:$T,"="&amp;$T19)),""))))&amp;"",IF(R19="","",""))&amp;""</f>
        <v/>
      </c>
      <c r="AZ19" s="6">
        <f t="shared" si="52"/>
        <v>3</v>
      </c>
      <c r="BA19">
        <f t="shared" ref="BA19:BC19" si="81">BA18</f>
        <v>18991</v>
      </c>
      <c r="BB19" t="str">
        <f t="shared" si="81"/>
        <v>Triple J</v>
      </c>
      <c r="BC19" t="str">
        <f t="shared" si="81"/>
        <v>Velodrome</v>
      </c>
      <c r="BD19" t="str">
        <f t="shared" si="54"/>
        <v>Turnover</v>
      </c>
      <c r="BE19" t="str">
        <f t="shared" si="55"/>
        <v>Turnover_Giveaway</v>
      </c>
      <c r="BF19" t="str">
        <f t="shared" si="56"/>
        <v>Giveaway-PassMissed</v>
      </c>
      <c r="BG19" t="str">
        <f t="shared" si="22"/>
        <v>u</v>
      </c>
      <c r="BH19" cm="1">
        <f t="array" ref="BH19">IFERROR(_xlfn._xlws.FILTER(shifts!A:A,(shifts!B:B=events!Z19)*(shifts!AG:AG&gt;=events!BJ19)*(shifts!AH:AH&lt;=events!BK19)),BH18)</f>
        <v>1</v>
      </c>
      <c r="BI19" s="15">
        <f t="shared" si="57"/>
        <v>0</v>
      </c>
      <c r="BJ19">
        <f t="shared" si="58"/>
        <v>1070</v>
      </c>
      <c r="BK19">
        <f t="shared" si="59"/>
        <v>1070</v>
      </c>
      <c r="BL19" s="15">
        <f>SUMIFS(BI$2:BI19,K$2:K19,"=Intermission")+SUMIFS(BI$2:BI19,K$2:K19,"=Timeout")</f>
        <v>0</v>
      </c>
      <c r="BM19">
        <f t="shared" si="60"/>
        <v>0</v>
      </c>
      <c r="BN19" s="19">
        <f t="shared" si="61"/>
        <v>10</v>
      </c>
      <c r="BO19">
        <f t="shared" si="62"/>
        <v>5</v>
      </c>
      <c r="BP19" s="17">
        <f t="shared" si="63"/>
        <v>10</v>
      </c>
      <c r="BQ19" t="str">
        <f t="shared" si="64"/>
        <v>event_team_player_1</v>
      </c>
      <c r="BR19">
        <f>COUNTIFS(S$3:S19,"="&amp;S19,AH$3:AH19,"="&amp;AH19)</f>
        <v>1</v>
      </c>
      <c r="BS19" t="str">
        <f>IFERROR(VLOOKUP(BA19&amp;BT19&amp;X19,game_rosters!U:W,3,FALSE),"")</f>
        <v>P100206</v>
      </c>
      <c r="BT19" t="str">
        <f t="shared" si="65"/>
        <v>Triple J</v>
      </c>
    </row>
    <row r="20" spans="1:72" x14ac:dyDescent="0.2">
      <c r="A20" t="str">
        <f t="shared" si="9"/>
        <v>x</v>
      </c>
      <c r="D20" s="26" t="s">
        <v>729</v>
      </c>
      <c r="E20" s="4"/>
      <c r="F20" s="45"/>
      <c r="G20" s="4"/>
      <c r="H20" s="47"/>
      <c r="J20" s="26" t="str">
        <f t="shared" si="68"/>
        <v/>
      </c>
      <c r="N20" t="str">
        <f t="shared" si="32"/>
        <v/>
      </c>
      <c r="Q20" t="str">
        <f t="shared" si="77"/>
        <v/>
      </c>
      <c r="S20">
        <f>IF(A20=1,MAX($S$2:$S19)+1,IF(OR($I20&lt;&gt;"",A20="x"),$S19,""))</f>
        <v>10</v>
      </c>
      <c r="T20">
        <f>IF(D20=1,MAX($T$2:$T19)+1,IF(S20=S19,$T19,IF(D20="x",T19,IF(D19="x","",""))))</f>
        <v>1</v>
      </c>
      <c r="U20" t="str">
        <f>IF(B20=1,MAX($U$2:$U19)+1,IF(AND($T20&lt;&gt;"",$T20=$T19),$U19,IF(B20="x",U19,"")))</f>
        <v/>
      </c>
      <c r="V20" t="str">
        <f>IF(C20=1,MAX($V$2:$V19)+1,IF(AND($T20&lt;&gt;"",$T20=$T19),$U19,IF(C20="x",V19,"")))</f>
        <v/>
      </c>
      <c r="W20" t="str" cm="1">
        <f t="array" ref="W20">IFERROR(_xlfn._xlws.FILTER(game_rosters!AC:AC,(game_rosters!J:J=events!X20)*(K20&lt;&gt;"")),"")</f>
        <v/>
      </c>
      <c r="X20" cm="1">
        <f t="array" ref="X20">IF($I20&lt;&gt;"",$I20,INDEX($I$1:$I20,ROW()-COUNTIFS($T$1:$T20,"="&amp;$T20,$S$1:$S20,"&lt;"&amp;$S20)))</f>
        <v>16</v>
      </c>
      <c r="Y20" cm="1">
        <f t="array" ref="Y20">IFERROR(IF(_xlfn._xlws.FILTER(game_rosters!$J:$J,(game_rosters!$G:$G=events!$AM20)*(game_rosters!$J:$J=events!$X20))&gt;0,1,""),"")</f>
        <v>1</v>
      </c>
      <c r="Z20" s="6">
        <f t="shared" si="34"/>
        <v>1</v>
      </c>
      <c r="AA20">
        <f t="shared" si="35"/>
        <v>1010</v>
      </c>
      <c r="AB20">
        <f t="shared" si="36"/>
        <v>9001</v>
      </c>
      <c r="AC20">
        <f t="shared" si="37"/>
        <v>9001</v>
      </c>
      <c r="AD20" t="str">
        <f t="shared" si="38"/>
        <v>17</v>
      </c>
      <c r="AE20" t="str">
        <f t="shared" si="39"/>
        <v>50</v>
      </c>
      <c r="AF20" t="str">
        <f t="shared" si="40"/>
        <v/>
      </c>
      <c r="AG20" t="str">
        <f t="shared" si="41"/>
        <v/>
      </c>
      <c r="AH20" t="str">
        <f t="shared" si="42"/>
        <v>e</v>
      </c>
      <c r="AI20" t="str">
        <f t="shared" si="11"/>
        <v>d</v>
      </c>
      <c r="AJ20" t="str">
        <f t="shared" si="12"/>
        <v>d</v>
      </c>
      <c r="AK20" t="str">
        <f t="shared" si="13"/>
        <v/>
      </c>
      <c r="AL20" t="str">
        <f t="shared" si="43"/>
        <v/>
      </c>
      <c r="AM20" t="str">
        <f t="shared" si="44"/>
        <v>Home</v>
      </c>
      <c r="AN20" t="str">
        <f t="shared" si="45"/>
        <v>h</v>
      </c>
      <c r="AO20" t="str">
        <f t="shared" si="46"/>
        <v>d</v>
      </c>
      <c r="AP20" t="str">
        <f t="shared" si="47"/>
        <v>o</v>
      </c>
      <c r="AQ20" t="str">
        <f>IF(AM20&lt;&gt;"",AM20,IF($AC20=#REF!,#REF!,""))</f>
        <v>Home</v>
      </c>
      <c r="AR20" t="str">
        <f t="shared" si="48"/>
        <v>h</v>
      </c>
      <c r="AS20" t="str">
        <f t="shared" si="49"/>
        <v>Offensive</v>
      </c>
      <c r="AT20" t="str">
        <f t="shared" si="50"/>
        <v/>
      </c>
      <c r="AU20" t="str">
        <f t="shared" si="51"/>
        <v/>
      </c>
      <c r="AV20" t="str" cm="1">
        <f t="array" ref="AV20">IFERROR(IF(O20&lt;&gt;"",O20,IF(OR($S20="",$T20=""),"",IF(O20&lt;&gt;"",O20,IF($T20&lt;&gt;"",_xlfn._xlws.FILTER(O:O,($BT:$BT=$BT20)*($I:$I=$I20)*($T:$T=$T20)*($S:$S=_xlfn.MINIFS($S:$S,$T:$T,"="&amp;$T20)),"")))))&amp;"",IF(O20="","",""))&amp;""</f>
        <v/>
      </c>
      <c r="AW20" t="str" cm="1">
        <f t="array" ref="AW20">IFERROR(IF(P20&lt;&gt;"",P20,IF(OR($S20="",$T20=""),"",IF($T20&lt;&gt;"",_xlfn._xlws.FILTER(P:P,($BT:$BT=$BT20)*($I:$I=$I20)*($T:$T=$T20)*($S:$S=_xlfn.MINIFS($S:$S,$T:$T,"="&amp;$T20)),""))))&amp;"",IF(P20="","",""))&amp;""</f>
        <v/>
      </c>
      <c r="AX20" t="str" cm="1">
        <f t="array" ref="AX20">IFERROR(IF(Q20&lt;&gt;"",Q20,IF(OR($S20="",$T20=""),"",IF($T20&lt;&gt;"",_xlfn._xlws.FILTER(Q:Q,($BT:$BT=$BT20)*($I:$I=$I20)*($T:$T=$T20)*($S:$S=_xlfn.MINIFS($S:$S,$T:$T,"="&amp;$T20)),""))))&amp;"",IF(Q20="","",""))&amp;""</f>
        <v/>
      </c>
      <c r="AY20" t="str" cm="1">
        <f t="array" ref="AY20">IFERROR(IF(R20&lt;&gt;"",R20,IF(OR($S20="",$T20=""),"",IF($T20&lt;&gt;"",_xlfn._xlws.FILTER(R:R,($BT:$BT=$BT20)*($I:$I=$I20)*($T:$T=$T20)*($S:$S=_xlfn.MINIFS($S:$S,$T:$T,"="&amp;$T20)),""))))&amp;"",IF(R20="","",""))&amp;""</f>
        <v/>
      </c>
      <c r="AZ20" s="6">
        <f t="shared" si="52"/>
        <v>3</v>
      </c>
      <c r="BA20">
        <f t="shared" ref="BA20:BC20" si="82">BA19</f>
        <v>18991</v>
      </c>
      <c r="BB20" t="str">
        <f t="shared" si="82"/>
        <v>Triple J</v>
      </c>
      <c r="BC20" t="str">
        <f t="shared" si="82"/>
        <v>Velodrome</v>
      </c>
      <c r="BD20" t="str">
        <f t="shared" si="54"/>
        <v>Turnover</v>
      </c>
      <c r="BE20" t="str">
        <f t="shared" si="55"/>
        <v>Turnover_Giveaway</v>
      </c>
      <c r="BF20" t="str">
        <f t="shared" si="56"/>
        <v>Giveaway-PassMissed</v>
      </c>
      <c r="BG20" t="str">
        <f t="shared" si="22"/>
        <v>u</v>
      </c>
      <c r="BH20" cm="1">
        <f t="array" ref="BH20">IFERROR(_xlfn._xlws.FILTER(shifts!A:A,(shifts!B:B=events!Z20)*(shifts!AG:AG&gt;=events!BJ20)*(shifts!AH:AH&lt;=events!BK20)),BH19)</f>
        <v>1</v>
      </c>
      <c r="BI20" s="15">
        <f t="shared" si="57"/>
        <v>0</v>
      </c>
      <c r="BJ20">
        <f t="shared" si="58"/>
        <v>1070</v>
      </c>
      <c r="BK20">
        <f t="shared" si="59"/>
        <v>1070</v>
      </c>
      <c r="BL20" s="15">
        <f>SUMIFS(BI$2:BI20,K$2:K20,"=Intermission")+SUMIFS(BI$2:BI20,K$2:K20,"=Timeout")</f>
        <v>0</v>
      </c>
      <c r="BM20">
        <f t="shared" si="60"/>
        <v>0</v>
      </c>
      <c r="BN20" s="19">
        <f t="shared" si="61"/>
        <v>10</v>
      </c>
      <c r="BO20">
        <f t="shared" si="62"/>
        <v>5</v>
      </c>
      <c r="BP20" s="17">
        <f t="shared" si="63"/>
        <v>10</v>
      </c>
      <c r="BQ20" t="str">
        <f t="shared" si="64"/>
        <v>event_team_player_2</v>
      </c>
      <c r="BR20">
        <f>COUNTIFS(S$3:S20,"="&amp;S20,AH$3:AH20,"="&amp;AH20)</f>
        <v>2</v>
      </c>
      <c r="BS20" t="str">
        <f>IFERROR(VLOOKUP(BA20&amp;BT20&amp;X20,game_rosters!U:W,3,FALSE),"")</f>
        <v>P100094</v>
      </c>
      <c r="BT20" t="str">
        <f t="shared" si="65"/>
        <v>Triple J</v>
      </c>
    </row>
    <row r="21" spans="1:72" x14ac:dyDescent="0.2">
      <c r="A21">
        <f t="shared" si="9"/>
        <v>1</v>
      </c>
      <c r="D21" s="26" t="s">
        <v>729</v>
      </c>
      <c r="E21" s="4"/>
      <c r="F21" s="45"/>
      <c r="G21" s="4"/>
      <c r="H21" s="47"/>
      <c r="J21" s="26" t="str">
        <f t="shared" si="68"/>
        <v>o</v>
      </c>
      <c r="K21" t="s">
        <v>238</v>
      </c>
      <c r="L21" t="s">
        <v>174</v>
      </c>
      <c r="M21" t="s">
        <v>390</v>
      </c>
      <c r="N21" t="str">
        <f t="shared" ref="N21:N84" si="83">IF(K21="","",IF(K21="Goal","s",IF(AND(K21="Zone_Entry_Exit",OR(ISNUMBER(SEARCH("fail",L21)),ISNUMBER(SEARCH("FromExitClear",M21)),ISNUMBER(SEARCH("miss",M21)))),"u",IF(AND(K21="Zone_Entry_Exit",OR(NOT(ISNUMBER(SEARCH("fail",L21))),NOT(ISNUMBER(SEARCH("FromExitClear",M21))),NOT(ISNUMBER(SEARCH("miss",M21))))),"s",IF(AND(OR(K21="Shot",K21="Pass"),OR(ISNUMBER(SEARCH("complete",L21)),ISNUMBER(SEARCH("goal",L21)),ISNUMBER(SEARCH("OnNet",L21)))),"s",IF(L21="Turnover_Giveaway","u",IF(AND(OR(K21="Shot",K21="Pass"),OR(ISNUMBER(SEARCH("fail",L21)),NOT(ISNUMBER(SEARCH("complete",L21))),NOT(ISNUMBER(SEARCH("OnNet",L21))))),"u","")))))))</f>
        <v>u</v>
      </c>
      <c r="Q21" t="str">
        <f t="shared" si="77"/>
        <v/>
      </c>
      <c r="S21">
        <f>IF(A21=1,MAX($S$2:$S20)+1,IF(OR($I21&lt;&gt;"",A21="x"),$S20,""))</f>
        <v>11</v>
      </c>
      <c r="T21">
        <f>IF(D21=1,MAX($T$2:$T20)+1,IF(S21=S20,$T20,IF(D21="x",T20,IF(D20="x","",""))))</f>
        <v>1</v>
      </c>
      <c r="U21" t="str">
        <f>IF(B21=1,MAX($U$2:$U20)+1,IF(AND($T21&lt;&gt;"",$T21=$T20),$U20,IF(B21="x",U20,"")))</f>
        <v/>
      </c>
      <c r="V21" t="str">
        <f>IF(C21=1,MAX($V$2:$V20)+1,IF(AND($T21&lt;&gt;"",$T21=$T20),$U20,IF(C21="x",V20,"")))</f>
        <v/>
      </c>
      <c r="W21" t="str" cm="1">
        <f t="array" ref="W21">IFERROR(_xlfn._xlws.FILTER(game_rosters!AC:AC,(game_rosters!J:J=events!X21)*(K21&lt;&gt;"")),"")</f>
        <v>h</v>
      </c>
      <c r="X21" cm="1">
        <f t="array" ref="X21">IF($I21&lt;&gt;"",$I21,INDEX($I$1:$I21,ROW()-COUNTIFS($T$1:$T21,"="&amp;$T21,$S$1:$S21,"&lt;"&amp;$S21)))</f>
        <v>41</v>
      </c>
      <c r="Y21" cm="1">
        <f t="array" ref="Y21">IFERROR(IF(_xlfn._xlws.FILTER(game_rosters!$J:$J,(game_rosters!$G:$G=events!$AM21)*(game_rosters!$J:$J=events!$X21))&gt;0,1,""),"")</f>
        <v>1</v>
      </c>
      <c r="Z21" s="6">
        <f t="shared" si="34"/>
        <v>1</v>
      </c>
      <c r="AA21">
        <f t="shared" si="35"/>
        <v>1011</v>
      </c>
      <c r="AB21">
        <f t="shared" si="36"/>
        <v>9001</v>
      </c>
      <c r="AC21">
        <f t="shared" si="37"/>
        <v>9001</v>
      </c>
      <c r="AD21" t="str">
        <f t="shared" si="38"/>
        <v>17</v>
      </c>
      <c r="AE21" t="str">
        <f t="shared" si="39"/>
        <v>50</v>
      </c>
      <c r="AF21" t="str">
        <f t="shared" si="40"/>
        <v/>
      </c>
      <c r="AG21" t="str">
        <f t="shared" si="41"/>
        <v/>
      </c>
      <c r="AH21" t="str">
        <f t="shared" si="42"/>
        <v>e</v>
      </c>
      <c r="AI21" t="str">
        <f t="shared" si="11"/>
        <v>o</v>
      </c>
      <c r="AJ21" t="str">
        <f t="shared" si="12"/>
        <v>o</v>
      </c>
      <c r="AK21" t="str">
        <f t="shared" si="13"/>
        <v>o</v>
      </c>
      <c r="AL21" t="str">
        <f t="shared" si="43"/>
        <v>d</v>
      </c>
      <c r="AM21" t="str">
        <f t="shared" si="44"/>
        <v>Home</v>
      </c>
      <c r="AN21" t="str">
        <f t="shared" si="45"/>
        <v>h</v>
      </c>
      <c r="AO21" t="str">
        <f t="shared" si="46"/>
        <v>o</v>
      </c>
      <c r="AP21" t="str">
        <f t="shared" si="47"/>
        <v>d</v>
      </c>
      <c r="AQ21" t="str">
        <f>IF(AM21&lt;&gt;"",AM21,IF($AC21=#REF!,#REF!,""))</f>
        <v>Home</v>
      </c>
      <c r="AR21" t="str">
        <f t="shared" si="48"/>
        <v>h</v>
      </c>
      <c r="AS21" t="str">
        <f t="shared" si="49"/>
        <v>Offensive</v>
      </c>
      <c r="AT21" t="str">
        <f t="shared" si="50"/>
        <v/>
      </c>
      <c r="AU21" t="str">
        <f t="shared" si="51"/>
        <v/>
      </c>
      <c r="AV21" t="str" cm="1">
        <f t="array" ref="AV21">IFERROR(IF(O21&lt;&gt;"",O21,IF(OR($S21="",$T21=""),"",IF(O21&lt;&gt;"",O21,IF($T21&lt;&gt;"",_xlfn._xlws.FILTER(O:O,($BT:$BT=$BT21)*($I:$I=$I21)*($T:$T=$T21)*($S:$S=_xlfn.MINIFS($S:$S,$T:$T,"="&amp;$T21)),"")))))&amp;"",IF(O21="","",""))&amp;""</f>
        <v/>
      </c>
      <c r="AW21" t="str" cm="1">
        <f t="array" ref="AW21">IFERROR(IF(P21&lt;&gt;"",P21,IF(OR($S21="",$T21=""),"",IF($T21&lt;&gt;"",_xlfn._xlws.FILTER(P:P,($BT:$BT=$BT21)*($I:$I=$I21)*($T:$T=$T21)*($S:$S=_xlfn.MINIFS($S:$S,$T:$T,"="&amp;$T21)),""))))&amp;"",IF(P21="","",""))&amp;""</f>
        <v/>
      </c>
      <c r="AX21" t="str" cm="1">
        <f t="array" ref="AX21">IFERROR(IF(Q21&lt;&gt;"",Q21,IF(OR($S21="",$T21=""),"",IF($T21&lt;&gt;"",_xlfn._xlws.FILTER(Q:Q,($BT:$BT=$BT21)*($I:$I=$I21)*($T:$T=$T21)*($S:$S=_xlfn.MINIFS($S:$S,$T:$T,"="&amp;$T21)),""))))&amp;"",IF(Q21="","",""))&amp;""</f>
        <v/>
      </c>
      <c r="AY21" t="str" cm="1">
        <f t="array" ref="AY21">IFERROR(IF(R21&lt;&gt;"",R21,IF(OR($S21="",$T21=""),"",IF($T21&lt;&gt;"",_xlfn._xlws.FILTER(R:R,($BT:$BT=$BT21)*($I:$I=$I21)*($T:$T=$T21)*($S:$S=_xlfn.MINIFS($S:$S,$T:$T,"="&amp;$T21)),""))))&amp;"",IF(R21="","",""))&amp;""</f>
        <v/>
      </c>
      <c r="AZ21" s="6">
        <f t="shared" si="52"/>
        <v>4</v>
      </c>
      <c r="BA21">
        <f t="shared" ref="BA21:BC21" si="84">BA20</f>
        <v>18991</v>
      </c>
      <c r="BB21" t="str">
        <f t="shared" si="84"/>
        <v>Triple J</v>
      </c>
      <c r="BC21" t="str">
        <f t="shared" si="84"/>
        <v>Velodrome</v>
      </c>
      <c r="BD21" t="str">
        <f t="shared" si="54"/>
        <v>Zone_Entry_Exit</v>
      </c>
      <c r="BE21" t="str">
        <f t="shared" si="55"/>
        <v>Zone_Entry</v>
      </c>
      <c r="BF21" t="str">
        <f t="shared" si="56"/>
        <v>ZoneEntry-PassMiss/Misplay</v>
      </c>
      <c r="BG21" t="str">
        <f t="shared" si="22"/>
        <v>u</v>
      </c>
      <c r="BH21" cm="1">
        <f t="array" ref="BH21">IFERROR(_xlfn._xlws.FILTER(shifts!A:A,(shifts!B:B=events!Z21)*(shifts!AG:AG&gt;=events!BJ21)*(shifts!AH:AH&lt;=events!BK21)),BH20)</f>
        <v>1</v>
      </c>
      <c r="BI21" s="15">
        <f t="shared" si="57"/>
        <v>0</v>
      </c>
      <c r="BJ21">
        <f t="shared" si="58"/>
        <v>1070</v>
      </c>
      <c r="BK21">
        <f t="shared" si="59"/>
        <v>1070</v>
      </c>
      <c r="BL21" s="15">
        <f>SUMIFS(BI$2:BI21,K$2:K21,"=Intermission")+SUMIFS(BI$2:BI21,K$2:K21,"=Timeout")</f>
        <v>0</v>
      </c>
      <c r="BM21">
        <f t="shared" si="60"/>
        <v>0</v>
      </c>
      <c r="BN21" s="19">
        <f t="shared" si="61"/>
        <v>10</v>
      </c>
      <c r="BO21">
        <f t="shared" si="62"/>
        <v>5</v>
      </c>
      <c r="BP21" s="17">
        <f t="shared" si="63"/>
        <v>10</v>
      </c>
      <c r="BQ21" t="str">
        <f t="shared" si="64"/>
        <v>event_team_player_1</v>
      </c>
      <c r="BR21">
        <f>COUNTIFS(S$3:S21,"="&amp;S21,AH$3:AH21,"="&amp;AH21)</f>
        <v>1</v>
      </c>
      <c r="BS21" t="str">
        <f>IFERROR(VLOOKUP(BA21&amp;BT21&amp;X21,game_rosters!U:W,3,FALSE),"")</f>
        <v>P100206</v>
      </c>
      <c r="BT21" t="str">
        <f t="shared" si="65"/>
        <v>Triple J</v>
      </c>
    </row>
    <row r="22" spans="1:72" x14ac:dyDescent="0.2">
      <c r="A22" t="str">
        <f t="shared" si="9"/>
        <v>x</v>
      </c>
      <c r="D22" s="26" t="s">
        <v>729</v>
      </c>
      <c r="E22" s="4"/>
      <c r="F22" s="45"/>
      <c r="G22" s="4"/>
      <c r="H22" s="47"/>
      <c r="J22" s="26" t="str">
        <f t="shared" si="68"/>
        <v/>
      </c>
      <c r="N22" t="str">
        <f t="shared" si="83"/>
        <v/>
      </c>
      <c r="Q22" t="str">
        <f t="shared" si="77"/>
        <v/>
      </c>
      <c r="S22">
        <f>IF(A22=1,MAX($S$2:$S21)+1,IF(OR($I22&lt;&gt;"",A22="x"),$S21,""))</f>
        <v>11</v>
      </c>
      <c r="T22">
        <f>IF(D22=1,MAX($T$2:$T21)+1,IF(S22=S21,$T21,IF(D22="x",T21,IF(D21="x","",""))))</f>
        <v>1</v>
      </c>
      <c r="U22" t="str">
        <f>IF(B22=1,MAX($U$2:$U21)+1,IF(AND($T22&lt;&gt;"",$T22=$T21),$U21,IF(B22="x",U21,"")))</f>
        <v/>
      </c>
      <c r="V22" t="str">
        <f>IF(C22=1,MAX($V$2:$V21)+1,IF(AND($T22&lt;&gt;"",$T22=$T21),$U21,IF(C22="x",V21,"")))</f>
        <v/>
      </c>
      <c r="W22" t="str" cm="1">
        <f t="array" ref="W22">IFERROR(_xlfn._xlws.FILTER(game_rosters!AC:AC,(game_rosters!J:J=events!X22)*(K22&lt;&gt;"")),"")</f>
        <v/>
      </c>
      <c r="X22" cm="1">
        <f t="array" ref="X22">IF($I22&lt;&gt;"",$I22,INDEX($I$1:$I22,ROW()-COUNTIFS($T$1:$T22,"="&amp;$T22,$S$1:$S22,"&lt;"&amp;$S22)))</f>
        <v>16</v>
      </c>
      <c r="Y22" cm="1">
        <f t="array" ref="Y22">IFERROR(IF(_xlfn._xlws.FILTER(game_rosters!$J:$J,(game_rosters!$G:$G=events!$AM22)*(game_rosters!$J:$J=events!$X22))&gt;0,1,""),"")</f>
        <v>1</v>
      </c>
      <c r="Z22" s="6">
        <f t="shared" si="34"/>
        <v>1</v>
      </c>
      <c r="AA22">
        <f t="shared" si="35"/>
        <v>1011</v>
      </c>
      <c r="AB22">
        <f t="shared" si="36"/>
        <v>9001</v>
      </c>
      <c r="AC22">
        <f t="shared" si="37"/>
        <v>9001</v>
      </c>
      <c r="AD22" t="str">
        <f t="shared" si="38"/>
        <v>17</v>
      </c>
      <c r="AE22" t="str">
        <f t="shared" si="39"/>
        <v>50</v>
      </c>
      <c r="AF22" t="str">
        <f t="shared" si="40"/>
        <v/>
      </c>
      <c r="AG22" t="str">
        <f t="shared" si="41"/>
        <v/>
      </c>
      <c r="AH22" t="str">
        <f t="shared" si="42"/>
        <v>e</v>
      </c>
      <c r="AI22" t="str">
        <f t="shared" si="11"/>
        <v>o</v>
      </c>
      <c r="AJ22" t="str">
        <f t="shared" si="12"/>
        <v>o</v>
      </c>
      <c r="AK22" t="str">
        <f t="shared" si="13"/>
        <v/>
      </c>
      <c r="AL22" t="str">
        <f t="shared" si="43"/>
        <v/>
      </c>
      <c r="AM22" t="str">
        <f t="shared" si="44"/>
        <v>Home</v>
      </c>
      <c r="AN22" t="str">
        <f t="shared" si="45"/>
        <v>h</v>
      </c>
      <c r="AO22" t="str">
        <f t="shared" si="46"/>
        <v>o</v>
      </c>
      <c r="AP22" t="str">
        <f t="shared" si="47"/>
        <v>d</v>
      </c>
      <c r="AQ22" t="str">
        <f>IF(AM22&lt;&gt;"",AM22,IF($AC22=#REF!,#REF!,""))</f>
        <v>Home</v>
      </c>
      <c r="AR22" t="str">
        <f t="shared" si="48"/>
        <v>h</v>
      </c>
      <c r="AS22" t="str">
        <f t="shared" si="49"/>
        <v>Offensive</v>
      </c>
      <c r="AT22" t="str">
        <f t="shared" si="50"/>
        <v/>
      </c>
      <c r="AU22" t="str">
        <f t="shared" si="51"/>
        <v/>
      </c>
      <c r="AV22" t="str" cm="1">
        <f t="array" ref="AV22">IFERROR(IF(O22&lt;&gt;"",O22,IF(OR($S22="",$T22=""),"",IF(O22&lt;&gt;"",O22,IF($T22&lt;&gt;"",_xlfn._xlws.FILTER(O:O,($BT:$BT=$BT22)*($I:$I=$I22)*($T:$T=$T22)*($S:$S=_xlfn.MINIFS($S:$S,$T:$T,"="&amp;$T22)),"")))))&amp;"",IF(O22="","",""))&amp;""</f>
        <v/>
      </c>
      <c r="AW22" t="str" cm="1">
        <f t="array" ref="AW22">IFERROR(IF(P22&lt;&gt;"",P22,IF(OR($S22="",$T22=""),"",IF($T22&lt;&gt;"",_xlfn._xlws.FILTER(P:P,($BT:$BT=$BT22)*($I:$I=$I22)*($T:$T=$T22)*($S:$S=_xlfn.MINIFS($S:$S,$T:$T,"="&amp;$T22)),""))))&amp;"",IF(P22="","",""))&amp;""</f>
        <v/>
      </c>
      <c r="AX22" t="str" cm="1">
        <f t="array" ref="AX22">IFERROR(IF(Q22&lt;&gt;"",Q22,IF(OR($S22="",$T22=""),"",IF($T22&lt;&gt;"",_xlfn._xlws.FILTER(Q:Q,($BT:$BT=$BT22)*($I:$I=$I22)*($T:$T=$T22)*($S:$S=_xlfn.MINIFS($S:$S,$T:$T,"="&amp;$T22)),""))))&amp;"",IF(Q22="","",""))&amp;""</f>
        <v/>
      </c>
      <c r="AY22" t="str" cm="1">
        <f t="array" ref="AY22">IFERROR(IF(R22&lt;&gt;"",R22,IF(OR($S22="",$T22=""),"",IF($T22&lt;&gt;"",_xlfn._xlws.FILTER(R:R,($BT:$BT=$BT22)*($I:$I=$I22)*($T:$T=$T22)*($S:$S=_xlfn.MINIFS($S:$S,$T:$T,"="&amp;$T22)),""))))&amp;"",IF(R22="","",""))&amp;""</f>
        <v/>
      </c>
      <c r="AZ22" s="6">
        <f t="shared" si="52"/>
        <v>4</v>
      </c>
      <c r="BA22">
        <f t="shared" ref="BA22:BC22" si="85">BA21</f>
        <v>18991</v>
      </c>
      <c r="BB22" t="str">
        <f t="shared" si="85"/>
        <v>Triple J</v>
      </c>
      <c r="BC22" t="str">
        <f t="shared" si="85"/>
        <v>Velodrome</v>
      </c>
      <c r="BD22" t="str">
        <f t="shared" si="54"/>
        <v>Zone_Entry_Exit</v>
      </c>
      <c r="BE22" t="str">
        <f t="shared" si="55"/>
        <v>Zone_Entry</v>
      </c>
      <c r="BF22" t="str">
        <f t="shared" si="56"/>
        <v>ZoneEntry-PassMiss/Misplay</v>
      </c>
      <c r="BG22" t="str">
        <f t="shared" si="22"/>
        <v>u</v>
      </c>
      <c r="BH22" cm="1">
        <f t="array" ref="BH22">IFERROR(_xlfn._xlws.FILTER(shifts!A:A,(shifts!B:B=events!Z22)*(shifts!AG:AG&gt;=events!BJ22)*(shifts!AH:AH&lt;=events!BK22)),BH21)</f>
        <v>1</v>
      </c>
      <c r="BI22" s="15">
        <f t="shared" si="57"/>
        <v>0</v>
      </c>
      <c r="BJ22">
        <f t="shared" si="58"/>
        <v>1070</v>
      </c>
      <c r="BK22">
        <f t="shared" si="59"/>
        <v>1070</v>
      </c>
      <c r="BL22" s="15">
        <f>SUMIFS(BI$2:BI22,K$2:K22,"=Intermission")+SUMIFS(BI$2:BI22,K$2:K22,"=Timeout")</f>
        <v>0</v>
      </c>
      <c r="BM22">
        <f t="shared" si="60"/>
        <v>0</v>
      </c>
      <c r="BN22" s="19">
        <f t="shared" si="61"/>
        <v>10</v>
      </c>
      <c r="BO22">
        <f t="shared" si="62"/>
        <v>5</v>
      </c>
      <c r="BP22" s="17">
        <f t="shared" si="63"/>
        <v>10</v>
      </c>
      <c r="BQ22" t="str">
        <f t="shared" si="64"/>
        <v>event_team_player_2</v>
      </c>
      <c r="BR22">
        <f>COUNTIFS(S$3:S22,"="&amp;S22,AH$3:AH22,"="&amp;AH22)</f>
        <v>2</v>
      </c>
      <c r="BS22" t="str">
        <f>IFERROR(VLOOKUP(BA22&amp;BT22&amp;X22,game_rosters!U:W,3,FALSE),"")</f>
        <v>P100094</v>
      </c>
      <c r="BT22" t="str">
        <f t="shared" si="65"/>
        <v>Triple J</v>
      </c>
    </row>
    <row r="23" spans="1:72" x14ac:dyDescent="0.2">
      <c r="A23">
        <f t="shared" si="9"/>
        <v>1</v>
      </c>
      <c r="E23" s="4"/>
      <c r="F23" s="45" t="s">
        <v>737</v>
      </c>
      <c r="G23" s="4"/>
      <c r="H23" s="47"/>
      <c r="I23" s="26">
        <v>84</v>
      </c>
      <c r="J23" s="26" t="s">
        <v>736</v>
      </c>
      <c r="K23" t="s">
        <v>13</v>
      </c>
      <c r="L23" t="s">
        <v>586</v>
      </c>
      <c r="N23" t="s">
        <v>594</v>
      </c>
      <c r="O23" t="s">
        <v>910</v>
      </c>
      <c r="Q23" t="str">
        <f t="shared" si="77"/>
        <v>u</v>
      </c>
      <c r="S23">
        <f>IF(A23=1,MAX($S$2:$S22)+1,IF(OR($I23&lt;&gt;"",A23="x"),$S22,""))</f>
        <v>12</v>
      </c>
      <c r="T23" t="str">
        <f>IF(D23=1,MAX($T$2:$T22)+1,IF(S23=S22,$T22,IF(D23="x",T22,IF(D22="x","",""))))</f>
        <v/>
      </c>
      <c r="U23" t="str">
        <f>IF(B23=1,MAX($U$2:$U22)+1,IF(AND($T23&lt;&gt;"",$T23=$T22),$U22,IF(B23="x",U22,"")))</f>
        <v/>
      </c>
      <c r="V23" t="str">
        <f>IF(C23=1,MAX($V$2:$V22)+1,IF(AND($T23&lt;&gt;"",$T23=$T22),$U22,IF(C23="x",V22,"")))</f>
        <v/>
      </c>
      <c r="W23" t="str" cm="1">
        <f t="array" ref="W23">IFERROR(_xlfn._xlws.FILTER(game_rosters!AC:AC,(game_rosters!J:J=events!X23)*(K23&lt;&gt;"")),"")</f>
        <v>a</v>
      </c>
      <c r="X23" cm="1">
        <f t="array" ref="X23">IF($I23&lt;&gt;"",$I23,INDEX($I$1:$I23,ROW()-COUNTIFS($T$1:$T23,"="&amp;$T23,$S$1:$S23,"&lt;"&amp;$S23)))</f>
        <v>84</v>
      </c>
      <c r="Y23" cm="1">
        <f t="array" ref="Y23">IFERROR(IF(_xlfn._xlws.FILTER(game_rosters!$J:$J,(game_rosters!$G:$G=events!$AM23)*(game_rosters!$J:$J=events!$X23))&gt;0,1,""),"")</f>
        <v>1</v>
      </c>
      <c r="Z23" s="6">
        <f t="shared" si="34"/>
        <v>1</v>
      </c>
      <c r="AA23">
        <f t="shared" si="35"/>
        <v>1012</v>
      </c>
      <c r="AB23" t="str">
        <f t="shared" si="36"/>
        <v/>
      </c>
      <c r="AC23">
        <f t="shared" si="37"/>
        <v>1012</v>
      </c>
      <c r="AD23" t="str">
        <f t="shared" si="38"/>
        <v>17</v>
      </c>
      <c r="AE23" t="str">
        <f t="shared" si="39"/>
        <v>46</v>
      </c>
      <c r="AF23" t="str">
        <f t="shared" si="40"/>
        <v/>
      </c>
      <c r="AG23" t="str">
        <f t="shared" si="41"/>
        <v/>
      </c>
      <c r="AH23" t="str">
        <f t="shared" si="42"/>
        <v>e</v>
      </c>
      <c r="AI23" t="str">
        <f t="shared" si="11"/>
        <v>d</v>
      </c>
      <c r="AJ23" t="str">
        <f t="shared" si="12"/>
        <v>d</v>
      </c>
      <c r="AK23" t="str">
        <f t="shared" si="13"/>
        <v>o</v>
      </c>
      <c r="AL23" t="str">
        <f t="shared" si="43"/>
        <v>d</v>
      </c>
      <c r="AM23" t="str">
        <f t="shared" si="44"/>
        <v>Away</v>
      </c>
      <c r="AN23" t="str">
        <f t="shared" si="45"/>
        <v>a</v>
      </c>
      <c r="AO23" t="str">
        <f t="shared" si="46"/>
        <v>o</v>
      </c>
      <c r="AP23" t="str">
        <f t="shared" si="47"/>
        <v>d</v>
      </c>
      <c r="AQ23" t="str">
        <f>IF(AM23&lt;&gt;"",AM23,IF($AC23=#REF!,#REF!,""))</f>
        <v>Away</v>
      </c>
      <c r="AR23" t="str">
        <f t="shared" si="48"/>
        <v>a</v>
      </c>
      <c r="AS23" t="str">
        <f t="shared" si="49"/>
        <v>Offensive</v>
      </c>
      <c r="AT23" t="str">
        <f t="shared" si="50"/>
        <v/>
      </c>
      <c r="AU23" t="str">
        <f t="shared" si="51"/>
        <v/>
      </c>
      <c r="AV23" t="str" cm="1">
        <f t="array" ref="AV23">IFERROR(IF(O23&lt;&gt;"",O23,IF(OR($S23="",$T23=""),"",IF(O23&lt;&gt;"",O23,IF($T23&lt;&gt;"",_xlfn._xlws.FILTER(O:O,($BT:$BT=$BT23)*($I:$I=$I23)*($T:$T=$T23)*($S:$S=_xlfn.MINIFS($S:$S,$T:$T,"="&amp;$T23)),"")))))&amp;"",IF(O23="","",""))&amp;""</f>
        <v>PuckRecoveryRetreivalTurnover</v>
      </c>
      <c r="AW23" t="str" cm="1">
        <f t="array" ref="AW23">IFERROR(IF(P23&lt;&gt;"",P23,IF(OR($S23="",$T23=""),"",IF($T23&lt;&gt;"",_xlfn._xlws.FILTER(P:P,($BT:$BT=$BT23)*($I:$I=$I23)*($T:$T=$T23)*($S:$S=_xlfn.MINIFS($S:$S,$T:$T,"="&amp;$T23)),""))))&amp;"",IF(P23="","",""))&amp;""</f>
        <v/>
      </c>
      <c r="AX23" t="str" cm="1">
        <f t="array" ref="AX23">IFERROR(IF(Q23&lt;&gt;"",Q23,IF(OR($S23="",$T23=""),"",IF($T23&lt;&gt;"",_xlfn._xlws.FILTER(Q:Q,($BT:$BT=$BT23)*($I:$I=$I23)*($T:$T=$T23)*($S:$S=_xlfn.MINIFS($S:$S,$T:$T,"="&amp;$T23)),""))))&amp;"",IF(Q23="","",""))&amp;""</f>
        <v>u</v>
      </c>
      <c r="AY23" t="str" cm="1">
        <f t="array" ref="AY23">IFERROR(IF(R23&lt;&gt;"",R23,IF(OR($S23="",$T23=""),"",IF($T23&lt;&gt;"",_xlfn._xlws.FILTER(R:R,($BT:$BT=$BT23)*($I:$I=$I23)*($T:$T=$T23)*($S:$S=_xlfn.MINIFS($S:$S,$T:$T,"="&amp;$T23)),""))))&amp;"",IF(R23="","",""))&amp;""</f>
        <v/>
      </c>
      <c r="AZ23" s="6">
        <f t="shared" si="52"/>
        <v>4</v>
      </c>
      <c r="BA23">
        <f t="shared" ref="BA23:BC23" si="86">BA22</f>
        <v>18991</v>
      </c>
      <c r="BB23" t="str">
        <f t="shared" si="86"/>
        <v>Triple J</v>
      </c>
      <c r="BC23" t="str">
        <f t="shared" si="86"/>
        <v>Velodrome</v>
      </c>
      <c r="BD23" t="str">
        <f t="shared" si="54"/>
        <v>Possession</v>
      </c>
      <c r="BE23" t="str">
        <f t="shared" si="55"/>
        <v>PuckRetrieval</v>
      </c>
      <c r="BF23" t="str">
        <f t="shared" si="56"/>
        <v/>
      </c>
      <c r="BG23" t="str">
        <f t="shared" si="22"/>
        <v>u</v>
      </c>
      <c r="BH23" cm="1">
        <f t="array" ref="BH23">IFERROR(_xlfn._xlws.FILTER(shifts!A:A,(shifts!B:B=events!Z23)*(shifts!AG:AG&gt;=events!BJ23)*(shifts!AH:AH&lt;=events!BK23)),BH22)</f>
        <v>1</v>
      </c>
      <c r="BI23" s="15">
        <f t="shared" si="57"/>
        <v>0</v>
      </c>
      <c r="BJ23">
        <f t="shared" si="58"/>
        <v>1066</v>
      </c>
      <c r="BK23">
        <f t="shared" si="59"/>
        <v>1066</v>
      </c>
      <c r="BL23" s="15">
        <f>SUMIFS(BI$2:BI23,K$2:K23,"=Intermission")+SUMIFS(BI$2:BI23,K$2:K23,"=Timeout")</f>
        <v>0</v>
      </c>
      <c r="BM23">
        <f t="shared" si="60"/>
        <v>0</v>
      </c>
      <c r="BN23" s="19">
        <f t="shared" si="61"/>
        <v>14</v>
      </c>
      <c r="BO23">
        <f t="shared" si="62"/>
        <v>9</v>
      </c>
      <c r="BP23" s="17">
        <f t="shared" si="63"/>
        <v>14</v>
      </c>
      <c r="BQ23" t="str">
        <f t="shared" si="64"/>
        <v>event_team_player_1</v>
      </c>
      <c r="BR23">
        <f>COUNTIFS(S$3:S23,"="&amp;S23,AH$3:AH23,"="&amp;AH23)</f>
        <v>1</v>
      </c>
      <c r="BS23" t="str">
        <f>IFERROR(VLOOKUP(BA23&amp;BT23&amp;X23,game_rosters!U:W,3,FALSE),"")</f>
        <v>P100198</v>
      </c>
      <c r="BT23" t="str">
        <f t="shared" si="65"/>
        <v>Velodrome</v>
      </c>
    </row>
    <row r="24" spans="1:72" x14ac:dyDescent="0.2">
      <c r="A24">
        <f t="shared" si="9"/>
        <v>1</v>
      </c>
      <c r="D24" s="26">
        <v>1</v>
      </c>
      <c r="E24" s="4"/>
      <c r="F24" s="45"/>
      <c r="G24" s="4"/>
      <c r="H24" s="47"/>
      <c r="I24" s="26">
        <v>84</v>
      </c>
      <c r="J24" s="26" t="s">
        <v>736</v>
      </c>
      <c r="K24" t="s">
        <v>9</v>
      </c>
      <c r="L24" t="s">
        <v>173</v>
      </c>
      <c r="M24" t="s">
        <v>365</v>
      </c>
      <c r="N24" t="str">
        <f t="shared" si="83"/>
        <v>u</v>
      </c>
      <c r="O24" t="s">
        <v>769</v>
      </c>
      <c r="P24" t="s">
        <v>576</v>
      </c>
      <c r="Q24" t="str">
        <f t="shared" si="77"/>
        <v>u</v>
      </c>
      <c r="R24" s="26">
        <v>1</v>
      </c>
      <c r="S24">
        <f>IF(A24=1,MAX($S$2:$S23)+1,IF(OR($I24&lt;&gt;"",A24="x"),$S23,""))</f>
        <v>13</v>
      </c>
      <c r="T24">
        <f>IF(D24=1,MAX($T$2:$T23)+1,IF(S24=S23,$T23,IF(D24="x",T23,IF(D23="x","",""))))</f>
        <v>2</v>
      </c>
      <c r="U24" t="str">
        <f>IF(B24=1,MAX($U$2:$U23)+1,IF(AND($T24&lt;&gt;"",$T24=$T23),$U23,IF(B24="x",U23,"")))</f>
        <v/>
      </c>
      <c r="V24" t="str">
        <f>IF(C24=1,MAX($V$2:$V23)+1,IF(AND($T24&lt;&gt;"",$T24=$T23),$U23,IF(C24="x",V23,"")))</f>
        <v/>
      </c>
      <c r="W24" t="str" cm="1">
        <f t="array" ref="W24">IFERROR(_xlfn._xlws.FILTER(game_rosters!AC:AC,(game_rosters!J:J=events!X24)*(K24&lt;&gt;"")),"")</f>
        <v>a</v>
      </c>
      <c r="X24" cm="1">
        <f t="array" ref="X24">IF($I24&lt;&gt;"",$I24,INDEX($I$1:$I24,ROW()-COUNTIFS($T$1:$T24,"="&amp;$T24,$S$1:$S24,"&lt;"&amp;$S24)))</f>
        <v>84</v>
      </c>
      <c r="Y24" cm="1">
        <f t="array" ref="Y24">IFERROR(IF(_xlfn._xlws.FILTER(game_rosters!$J:$J,(game_rosters!$G:$G=events!$AM24)*(game_rosters!$J:$J=events!$X24))&gt;0,1,""),"")</f>
        <v>1</v>
      </c>
      <c r="Z24" s="6">
        <f t="shared" si="34"/>
        <v>1</v>
      </c>
      <c r="AA24">
        <f t="shared" si="35"/>
        <v>1013</v>
      </c>
      <c r="AB24">
        <f t="shared" si="36"/>
        <v>9002</v>
      </c>
      <c r="AC24">
        <f t="shared" si="37"/>
        <v>9002</v>
      </c>
      <c r="AD24" t="str">
        <f t="shared" si="38"/>
        <v>17</v>
      </c>
      <c r="AE24" t="str">
        <f t="shared" si="39"/>
        <v>46</v>
      </c>
      <c r="AF24" t="str">
        <f t="shared" si="40"/>
        <v/>
      </c>
      <c r="AG24" t="str">
        <f t="shared" si="41"/>
        <v/>
      </c>
      <c r="AH24" t="str">
        <f t="shared" si="42"/>
        <v>e</v>
      </c>
      <c r="AI24" t="str">
        <f t="shared" si="11"/>
        <v>d</v>
      </c>
      <c r="AJ24" t="str">
        <f t="shared" si="12"/>
        <v>d</v>
      </c>
      <c r="AK24" t="str">
        <f t="shared" si="13"/>
        <v>o</v>
      </c>
      <c r="AL24" t="str">
        <f t="shared" si="43"/>
        <v>d</v>
      </c>
      <c r="AM24" t="str">
        <f t="shared" si="44"/>
        <v>Away</v>
      </c>
      <c r="AN24" t="str">
        <f t="shared" si="45"/>
        <v>a</v>
      </c>
      <c r="AO24" t="str">
        <f t="shared" si="46"/>
        <v>o</v>
      </c>
      <c r="AP24" t="str">
        <f t="shared" si="47"/>
        <v>d</v>
      </c>
      <c r="AQ24" t="str">
        <f>IF(AM24&lt;&gt;"",AM24,IF($AC24=#REF!,#REF!,""))</f>
        <v>Away</v>
      </c>
      <c r="AR24" t="str">
        <f t="shared" si="48"/>
        <v>a</v>
      </c>
      <c r="AS24" t="str">
        <f t="shared" si="49"/>
        <v>Offensive</v>
      </c>
      <c r="AT24" t="str">
        <f t="shared" si="50"/>
        <v/>
      </c>
      <c r="AU24" t="str">
        <f t="shared" si="51"/>
        <v/>
      </c>
      <c r="AV24" t="str" cm="1">
        <f t="array" ref="AV24">IFERROR(IF(O24&lt;&gt;"",O24,IF(OR($S24="",$T24=""),"",IF(O24&lt;&gt;"",O24,IF($T24&lt;&gt;"",_xlfn._xlws.FILTER(O:O,($BT:$BT=$BT24)*($I:$I=$I24)*($T:$T=$T24)*($S:$S=_xlfn.MINIFS($S:$S,$T:$T,"="&amp;$T24)),"")))))&amp;"",IF(O24="","",""))&amp;""</f>
        <v>AttemptedBreakOutClear</v>
      </c>
      <c r="AW24" t="str" cm="1">
        <f t="array" ref="AW24">IFERROR(IF(P24&lt;&gt;"",P24,IF(OR($S24="",$T24=""),"",IF($T24&lt;&gt;"",_xlfn._xlws.FILTER(P:P,($BT:$BT=$BT24)*($I:$I=$I24)*($T:$T=$T24)*($S:$S=_xlfn.MINIFS($S:$S,$T:$T,"="&amp;$T24)),""))))&amp;"",IF(P24="","",""))&amp;""</f>
        <v>SecondTouch</v>
      </c>
      <c r="AX24" t="str" cm="1">
        <f t="array" ref="AX24">IFERROR(IF(Q24&lt;&gt;"",Q24,IF(OR($S24="",$T24=""),"",IF($T24&lt;&gt;"",_xlfn._xlws.FILTER(Q:Q,($BT:$BT=$BT24)*($I:$I=$I24)*($T:$T=$T24)*($S:$S=_xlfn.MINIFS($S:$S,$T:$T,"="&amp;$T24)),""))))&amp;"",IF(Q24="","",""))&amp;""</f>
        <v>u</v>
      </c>
      <c r="AY24" t="str" cm="1">
        <f t="array" ref="AY24">IFERROR(IF(R24&lt;&gt;"",R24,IF(OR($S24="",$T24=""),"",IF($T24&lt;&gt;"",_xlfn._xlws.FILTER(R:R,($BT:$BT=$BT24)*($I:$I=$I24)*($T:$T=$T24)*($S:$S=_xlfn.MINIFS($S:$S,$T:$T,"="&amp;$T24)),""))))&amp;"",IF(R24="","",""))&amp;""</f>
        <v>1</v>
      </c>
      <c r="AZ24" s="6">
        <f t="shared" si="52"/>
        <v>4</v>
      </c>
      <c r="BA24">
        <f t="shared" ref="BA24:BC24" si="87">BA23</f>
        <v>18991</v>
      </c>
      <c r="BB24" t="str">
        <f t="shared" si="87"/>
        <v>Triple J</v>
      </c>
      <c r="BC24" t="str">
        <f t="shared" si="87"/>
        <v>Velodrome</v>
      </c>
      <c r="BD24" t="str">
        <f t="shared" si="54"/>
        <v>Turnover</v>
      </c>
      <c r="BE24" t="str">
        <f t="shared" si="55"/>
        <v>Turnover_Giveaway</v>
      </c>
      <c r="BF24" t="str">
        <f t="shared" si="56"/>
        <v>Giveaway-AttemptedZoneClear/Dump</v>
      </c>
      <c r="BG24" t="str">
        <f t="shared" si="22"/>
        <v>u</v>
      </c>
      <c r="BH24" cm="1">
        <f t="array" ref="BH24">IFERROR(_xlfn._xlws.FILTER(shifts!A:A,(shifts!B:B=events!Z24)*(shifts!AG:AG&gt;=events!BJ24)*(shifts!AH:AH&lt;=events!BK24)),BH23)</f>
        <v>1</v>
      </c>
      <c r="BI24" s="15">
        <f t="shared" si="57"/>
        <v>0</v>
      </c>
      <c r="BJ24">
        <f t="shared" si="58"/>
        <v>1066</v>
      </c>
      <c r="BK24">
        <f t="shared" si="59"/>
        <v>1066</v>
      </c>
      <c r="BL24" s="15">
        <f>SUMIFS(BI$2:BI24,K$2:K24,"=Intermission")+SUMIFS(BI$2:BI24,K$2:K24,"=Timeout")</f>
        <v>0</v>
      </c>
      <c r="BM24">
        <f t="shared" si="60"/>
        <v>0</v>
      </c>
      <c r="BN24" s="19">
        <f t="shared" si="61"/>
        <v>14</v>
      </c>
      <c r="BO24">
        <f t="shared" si="62"/>
        <v>9</v>
      </c>
      <c r="BP24" s="17">
        <f t="shared" si="63"/>
        <v>14</v>
      </c>
      <c r="BQ24" t="str">
        <f t="shared" si="64"/>
        <v>event_team_player_1</v>
      </c>
      <c r="BR24">
        <f>COUNTIFS(S$3:S24,"="&amp;S24,AH$3:AH24,"="&amp;AH24)</f>
        <v>1</v>
      </c>
      <c r="BS24" t="str">
        <f>IFERROR(VLOOKUP(BA24&amp;BT24&amp;X24,game_rosters!U:W,3,FALSE),"")</f>
        <v>P100198</v>
      </c>
      <c r="BT24" t="str">
        <f t="shared" si="65"/>
        <v>Velodrome</v>
      </c>
    </row>
    <row r="25" spans="1:72" x14ac:dyDescent="0.2">
      <c r="A25" t="str">
        <f t="shared" si="9"/>
        <v>x</v>
      </c>
      <c r="D25" s="26" t="s">
        <v>729</v>
      </c>
      <c r="E25" s="4"/>
      <c r="F25" s="45"/>
      <c r="G25" s="4"/>
      <c r="H25" s="47"/>
      <c r="I25" s="26">
        <v>16</v>
      </c>
      <c r="J25" s="26" t="str">
        <f t="shared" si="68"/>
        <v/>
      </c>
      <c r="N25" t="str">
        <f t="shared" si="83"/>
        <v/>
      </c>
      <c r="O25" t="s">
        <v>781</v>
      </c>
      <c r="Q25" t="str">
        <f t="shared" si="77"/>
        <v/>
      </c>
      <c r="R25" s="26">
        <v>1</v>
      </c>
      <c r="S25">
        <f>IF(A25=1,MAX($S$2:$S24)+1,IF(OR($I25&lt;&gt;"",A25="x"),$S24,""))</f>
        <v>13</v>
      </c>
      <c r="T25">
        <f>IF(D25=1,MAX($T$2:$T24)+1,IF(S25=S24,$T24,IF(D25="x",T24,IF(D24="x","",""))))</f>
        <v>2</v>
      </c>
      <c r="U25" t="str">
        <f>IF(B25=1,MAX($U$2:$U24)+1,IF(AND($T25&lt;&gt;"",$T25=$T24),$U24,IF(B25="x",U24,"")))</f>
        <v/>
      </c>
      <c r="V25" t="str">
        <f>IF(C25=1,MAX($V$2:$V24)+1,IF(AND($T25&lt;&gt;"",$T25=$T24),$U24,IF(C25="x",V24,"")))</f>
        <v/>
      </c>
      <c r="W25" t="str" cm="1">
        <f t="array" ref="W25">IFERROR(_xlfn._xlws.FILTER(game_rosters!AC:AC,(game_rosters!J:J=events!X25)*(K25&lt;&gt;"")),"")</f>
        <v/>
      </c>
      <c r="X25" cm="1">
        <f t="array" ref="X25">IF($I25&lt;&gt;"",$I25,INDEX($I$1:$I25,ROW()-COUNTIFS($T$1:$T25,"="&amp;$T25,$S$1:$S25,"&lt;"&amp;$S25)))</f>
        <v>16</v>
      </c>
      <c r="Y25" t="str" cm="1">
        <f t="array" ref="Y25">IFERROR(IF(_xlfn._xlws.FILTER(game_rosters!$J:$J,(game_rosters!$G:$G=events!$AM25)*(game_rosters!$J:$J=events!$X25))&gt;0,1,""),"")</f>
        <v/>
      </c>
      <c r="Z25" s="6">
        <f t="shared" si="34"/>
        <v>1</v>
      </c>
      <c r="AA25">
        <f t="shared" si="35"/>
        <v>1013</v>
      </c>
      <c r="AB25">
        <f t="shared" si="36"/>
        <v>9002</v>
      </c>
      <c r="AC25">
        <f t="shared" si="37"/>
        <v>9002</v>
      </c>
      <c r="AD25" t="str">
        <f t="shared" si="38"/>
        <v>17</v>
      </c>
      <c r="AE25" t="str">
        <f t="shared" si="39"/>
        <v>46</v>
      </c>
      <c r="AF25" t="str">
        <f t="shared" si="40"/>
        <v/>
      </c>
      <c r="AG25" t="str">
        <f t="shared" si="41"/>
        <v/>
      </c>
      <c r="AH25" t="str">
        <f t="shared" si="42"/>
        <v>o</v>
      </c>
      <c r="AI25" t="str">
        <f t="shared" si="11"/>
        <v>d</v>
      </c>
      <c r="AJ25" t="str">
        <f t="shared" si="12"/>
        <v>d</v>
      </c>
      <c r="AK25" t="str">
        <f t="shared" si="13"/>
        <v/>
      </c>
      <c r="AL25" t="str">
        <f t="shared" si="43"/>
        <v/>
      </c>
      <c r="AM25" t="str">
        <f t="shared" si="44"/>
        <v>Away</v>
      </c>
      <c r="AN25" t="str">
        <f t="shared" si="45"/>
        <v>a</v>
      </c>
      <c r="AO25" t="str">
        <f t="shared" si="46"/>
        <v>o</v>
      </c>
      <c r="AP25" t="str">
        <f t="shared" si="47"/>
        <v>d</v>
      </c>
      <c r="AQ25" t="str">
        <f>IF(AM25&lt;&gt;"",AM25,IF($AC25=#REF!,#REF!,""))</f>
        <v>Away</v>
      </c>
      <c r="AR25" t="str">
        <f t="shared" si="48"/>
        <v>a</v>
      </c>
      <c r="AS25" t="str">
        <f t="shared" si="49"/>
        <v>Defensive</v>
      </c>
      <c r="AT25" t="str">
        <f t="shared" si="50"/>
        <v/>
      </c>
      <c r="AU25" t="str">
        <f t="shared" si="51"/>
        <v/>
      </c>
      <c r="AV25" t="str" cm="1">
        <f t="array" ref="AV25">IFERROR(IF(O25&lt;&gt;"",O25,IF(OR($S25="",$T25=""),"",IF(O25&lt;&gt;"",O25,IF($T25&lt;&gt;"",_xlfn._xlws.FILTER(O:O,($BT:$BT=$BT25)*($I:$I=$I25)*($T:$T=$T25)*($S:$S=_xlfn.MINIFS($S:$S,$T:$T,"="&amp;$T25)),"")))))&amp;"",IF(O25="","",""))&amp;""</f>
        <v>ZoneKeepin</v>
      </c>
      <c r="AW25" t="str" cm="1">
        <f t="array" ref="AW25">IFERROR(IF(P25&lt;&gt;"",P25,IF(OR($S25="",$T25=""),"",IF($T25&lt;&gt;"",_xlfn._xlws.FILTER(P:P,($BT:$BT=$BT25)*($I:$I=$I25)*($T:$T=$T25)*($S:$S=_xlfn.MINIFS($S:$S,$T:$T,"="&amp;$T25)),""))))&amp;"",IF(P25="","",""))&amp;""</f>
        <v/>
      </c>
      <c r="AX25" t="str" cm="1">
        <f t="array" ref="AX25">IFERROR(IF(Q25&lt;&gt;"",Q25,IF(OR($S25="",$T25=""),"",IF($T25&lt;&gt;"",_xlfn._xlws.FILTER(Q:Q,($BT:$BT=$BT25)*($I:$I=$I25)*($T:$T=$T25)*($S:$S=_xlfn.MINIFS($S:$S,$T:$T,"="&amp;$T25)),""))))&amp;"",IF(Q25="","",""))&amp;""</f>
        <v/>
      </c>
      <c r="AY25" t="str" cm="1">
        <f t="array" ref="AY25">IFERROR(IF(R25&lt;&gt;"",R25,IF(OR($S25="",$T25=""),"",IF($T25&lt;&gt;"",_xlfn._xlws.FILTER(R:R,($BT:$BT=$BT25)*($I:$I=$I25)*($T:$T=$T25)*($S:$S=_xlfn.MINIFS($S:$S,$T:$T,"="&amp;$T25)),""))))&amp;"",IF(R25="","",""))&amp;""</f>
        <v>1</v>
      </c>
      <c r="AZ25" s="6">
        <f t="shared" si="52"/>
        <v>4</v>
      </c>
      <c r="BA25">
        <f t="shared" ref="BA25:BC25" si="88">BA24</f>
        <v>18991</v>
      </c>
      <c r="BB25" t="str">
        <f t="shared" si="88"/>
        <v>Triple J</v>
      </c>
      <c r="BC25" t="str">
        <f t="shared" si="88"/>
        <v>Velodrome</v>
      </c>
      <c r="BD25" t="str">
        <f t="shared" si="54"/>
        <v>Turnover</v>
      </c>
      <c r="BE25" t="str">
        <f t="shared" si="55"/>
        <v>Turnover_Giveaway</v>
      </c>
      <c r="BF25" t="str">
        <f t="shared" si="56"/>
        <v>Giveaway-AttemptedZoneClear/Dump</v>
      </c>
      <c r="BG25" t="str">
        <f t="shared" si="22"/>
        <v>u</v>
      </c>
      <c r="BH25" cm="1">
        <f t="array" ref="BH25">IFERROR(_xlfn._xlws.FILTER(shifts!A:A,(shifts!B:B=events!Z25)*(shifts!AG:AG&gt;=events!BJ25)*(shifts!AH:AH&lt;=events!BK25)),BH24)</f>
        <v>1</v>
      </c>
      <c r="BI25" s="15">
        <f t="shared" si="57"/>
        <v>0</v>
      </c>
      <c r="BJ25">
        <f t="shared" si="58"/>
        <v>1066</v>
      </c>
      <c r="BK25">
        <f t="shared" si="59"/>
        <v>1066</v>
      </c>
      <c r="BL25" s="15">
        <f>SUMIFS(BI$2:BI25,K$2:K25,"=Intermission")+SUMIFS(BI$2:BI25,K$2:K25,"=Timeout")</f>
        <v>0</v>
      </c>
      <c r="BM25">
        <f t="shared" si="60"/>
        <v>0</v>
      </c>
      <c r="BN25" s="19">
        <f t="shared" si="61"/>
        <v>14</v>
      </c>
      <c r="BO25">
        <f t="shared" si="62"/>
        <v>9</v>
      </c>
      <c r="BP25" s="17">
        <f t="shared" si="63"/>
        <v>14</v>
      </c>
      <c r="BQ25" t="str">
        <f t="shared" si="64"/>
        <v>opp_team_player_1</v>
      </c>
      <c r="BR25">
        <f>COUNTIFS(S$3:S25,"="&amp;S25,AH$3:AH25,"="&amp;AH25)</f>
        <v>1</v>
      </c>
      <c r="BS25" t="str">
        <f>IFERROR(VLOOKUP(BA25&amp;BT25&amp;X25,game_rosters!U:W,3,FALSE),"")</f>
        <v>P100094</v>
      </c>
      <c r="BT25" t="str">
        <f t="shared" si="65"/>
        <v>Triple J</v>
      </c>
    </row>
    <row r="26" spans="1:72" x14ac:dyDescent="0.2">
      <c r="A26">
        <f t="shared" si="9"/>
        <v>1</v>
      </c>
      <c r="D26" s="26" t="s">
        <v>729</v>
      </c>
      <c r="E26" s="4"/>
      <c r="F26" s="45"/>
      <c r="G26" s="4"/>
      <c r="H26" s="47"/>
      <c r="I26" s="26">
        <v>16</v>
      </c>
      <c r="J26" s="26" t="s">
        <v>368</v>
      </c>
      <c r="K26" t="s">
        <v>238</v>
      </c>
      <c r="L26" t="s">
        <v>193</v>
      </c>
      <c r="M26" t="s">
        <v>91</v>
      </c>
      <c r="N26" t="str">
        <f t="shared" si="83"/>
        <v>s</v>
      </c>
      <c r="Q26" t="str">
        <f t="shared" si="77"/>
        <v/>
      </c>
      <c r="R26" s="26">
        <v>1</v>
      </c>
      <c r="S26">
        <f>IF(A26=1,MAX($S$2:$S25)+1,IF(OR($I26&lt;&gt;"",A26="x"),$S25,""))</f>
        <v>14</v>
      </c>
      <c r="T26">
        <f>IF(D26=1,MAX($T$2:$T25)+1,IF(S26=S25,$T25,IF(D26="x",T25,IF(D25="x","",""))))</f>
        <v>2</v>
      </c>
      <c r="U26" t="str">
        <f>IF(B26=1,MAX($U$2:$U25)+1,IF(AND($T26&lt;&gt;"",$T26=$T25),$U25,IF(B26="x",U25,"")))</f>
        <v/>
      </c>
      <c r="V26" t="str">
        <f>IF(C26=1,MAX($V$2:$V25)+1,IF(AND($T26&lt;&gt;"",$T26=$T25),$U25,IF(C26="x",V25,"")))</f>
        <v/>
      </c>
      <c r="W26" t="str" cm="1">
        <f t="array" ref="W26">IFERROR(_xlfn._xlws.FILTER(game_rosters!AC:AC,(game_rosters!J:J=events!X26)*(K26&lt;&gt;"")),"")</f>
        <v>h</v>
      </c>
      <c r="X26" cm="1">
        <f t="array" ref="X26">IF($I26&lt;&gt;"",$I26,INDEX($I$1:$I26,ROW()-COUNTIFS($T$1:$T26,"="&amp;$T26,$S$1:$S26,"&lt;"&amp;$S26)))</f>
        <v>16</v>
      </c>
      <c r="Y26" cm="1">
        <f t="array" ref="Y26">IFERROR(IF(_xlfn._xlws.FILTER(game_rosters!$J:$J,(game_rosters!$G:$G=events!$AM26)*(game_rosters!$J:$J=events!$X26))&gt;0,1,""),"")</f>
        <v>1</v>
      </c>
      <c r="Z26" s="6">
        <f t="shared" si="34"/>
        <v>1</v>
      </c>
      <c r="AA26">
        <f t="shared" si="35"/>
        <v>1014</v>
      </c>
      <c r="AB26">
        <f t="shared" si="36"/>
        <v>9002</v>
      </c>
      <c r="AC26">
        <f t="shared" si="37"/>
        <v>9002</v>
      </c>
      <c r="AD26" t="str">
        <f t="shared" si="38"/>
        <v>17</v>
      </c>
      <c r="AE26" t="str">
        <f t="shared" si="39"/>
        <v>46</v>
      </c>
      <c r="AF26" t="str">
        <f t="shared" si="40"/>
        <v/>
      </c>
      <c r="AG26" t="str">
        <f t="shared" si="41"/>
        <v/>
      </c>
      <c r="AH26" t="str">
        <f t="shared" si="42"/>
        <v>e</v>
      </c>
      <c r="AI26" t="str">
        <f t="shared" si="11"/>
        <v>o</v>
      </c>
      <c r="AJ26" t="str">
        <f t="shared" si="12"/>
        <v>o</v>
      </c>
      <c r="AK26" t="str">
        <f t="shared" si="13"/>
        <v>o</v>
      </c>
      <c r="AL26" t="str">
        <f t="shared" si="43"/>
        <v>d</v>
      </c>
      <c r="AM26" t="str">
        <f t="shared" si="44"/>
        <v>Home</v>
      </c>
      <c r="AN26" t="str">
        <f t="shared" si="45"/>
        <v>h</v>
      </c>
      <c r="AO26" t="str">
        <f t="shared" si="46"/>
        <v>o</v>
      </c>
      <c r="AP26" t="str">
        <f t="shared" si="47"/>
        <v>d</v>
      </c>
      <c r="AQ26" t="str">
        <f>IF(AM26&lt;&gt;"",AM26,IF($AC26=#REF!,#REF!,""))</f>
        <v>Home</v>
      </c>
      <c r="AR26" t="str">
        <f t="shared" si="48"/>
        <v>h</v>
      </c>
      <c r="AS26" t="str">
        <f t="shared" si="49"/>
        <v>Offensive</v>
      </c>
      <c r="AT26" t="str">
        <f t="shared" si="50"/>
        <v/>
      </c>
      <c r="AU26" t="str">
        <f t="shared" si="51"/>
        <v/>
      </c>
      <c r="AV26" t="str" cm="1">
        <f t="array" ref="AV26">IFERROR(IF(O26&lt;&gt;"",O26,IF(OR($S26="",$T26=""),"",IF(O26&lt;&gt;"",O26,IF($T26&lt;&gt;"",_xlfn._xlws.FILTER(O:O,($BT:$BT=$BT26)*($I:$I=$I26)*($T:$T=$T26)*($S:$S=_xlfn.MINIFS($S:$S,$T:$T,"="&amp;$T26)),"")))))&amp;"",IF(O26="","",""))&amp;""</f>
        <v>ZoneKeepin</v>
      </c>
      <c r="AW26" t="str" cm="1">
        <f t="array" ref="AW26">IFERROR(IF(P26&lt;&gt;"",P26,IF(OR($S26="",$T26=""),"",IF($T26&lt;&gt;"",_xlfn._xlws.FILTER(P:P,($BT:$BT=$BT26)*($I:$I=$I26)*($T:$T=$T26)*($S:$S=_xlfn.MINIFS($S:$S,$T:$T,"="&amp;$T26)),""))))&amp;"",IF(P26="","",""))&amp;""</f>
        <v/>
      </c>
      <c r="AX26" t="str" cm="1">
        <f t="array" ref="AX26">IFERROR(IF(Q26&lt;&gt;"",Q26,IF(OR($S26="",$T26=""),"",IF($T26&lt;&gt;"",_xlfn._xlws.FILTER(Q:Q,($BT:$BT=$BT26)*($I:$I=$I26)*($T:$T=$T26)*($S:$S=_xlfn.MINIFS($S:$S,$T:$T,"="&amp;$T26)),""))))&amp;"",IF(Q26="","",""))&amp;""</f>
        <v/>
      </c>
      <c r="AY26" t="str" cm="1">
        <f t="array" ref="AY26">IFERROR(IF(R26&lt;&gt;"",R26,IF(OR($S26="",$T26=""),"",IF($T26&lt;&gt;"",_xlfn._xlws.FILTER(R:R,($BT:$BT=$BT26)*($I:$I=$I26)*($T:$T=$T26)*($S:$S=_xlfn.MINIFS($S:$S,$T:$T,"="&amp;$T26)),""))))&amp;"",IF(R26="","",""))&amp;""</f>
        <v>1</v>
      </c>
      <c r="AZ26" s="6">
        <f t="shared" si="52"/>
        <v>4</v>
      </c>
      <c r="BA26">
        <f t="shared" ref="BA26:BC26" si="89">BA25</f>
        <v>18991</v>
      </c>
      <c r="BB26" t="str">
        <f t="shared" si="89"/>
        <v>Triple J</v>
      </c>
      <c r="BC26" t="str">
        <f t="shared" si="89"/>
        <v>Velodrome</v>
      </c>
      <c r="BD26" t="str">
        <f t="shared" si="54"/>
        <v>Zone_Entry_Exit</v>
      </c>
      <c r="BE26" t="str">
        <f t="shared" si="55"/>
        <v>Zone_Keepin</v>
      </c>
      <c r="BF26" t="str">
        <f t="shared" si="56"/>
        <v>Zone-KeepIn</v>
      </c>
      <c r="BG26" t="str">
        <f t="shared" si="22"/>
        <v>s</v>
      </c>
      <c r="BH26" cm="1">
        <f t="array" ref="BH26">IFERROR(_xlfn._xlws.FILTER(shifts!A:A,(shifts!B:B=events!Z26)*(shifts!AG:AG&gt;=events!BJ26)*(shifts!AH:AH&lt;=events!BK26)),BH25)</f>
        <v>1</v>
      </c>
      <c r="BI26" s="15">
        <f t="shared" si="57"/>
        <v>0</v>
      </c>
      <c r="BJ26">
        <f t="shared" si="58"/>
        <v>1066</v>
      </c>
      <c r="BK26">
        <f t="shared" si="59"/>
        <v>1066</v>
      </c>
      <c r="BL26" s="15">
        <f>SUMIFS(BI$2:BI26,K$2:K26,"=Intermission")+SUMIFS(BI$2:BI26,K$2:K26,"=Timeout")</f>
        <v>0</v>
      </c>
      <c r="BM26">
        <f t="shared" si="60"/>
        <v>0</v>
      </c>
      <c r="BN26" s="19">
        <f t="shared" si="61"/>
        <v>14</v>
      </c>
      <c r="BO26">
        <f t="shared" si="62"/>
        <v>9</v>
      </c>
      <c r="BP26" s="17">
        <f t="shared" si="63"/>
        <v>14</v>
      </c>
      <c r="BQ26" t="str">
        <f t="shared" si="64"/>
        <v>event_team_player_1</v>
      </c>
      <c r="BR26">
        <f>COUNTIFS(S$3:S26,"="&amp;S26,AH$3:AH26,"="&amp;AH26)</f>
        <v>1</v>
      </c>
      <c r="BS26" t="str">
        <f>IFERROR(VLOOKUP(BA26&amp;BT26&amp;X26,game_rosters!U:W,3,FALSE),"")</f>
        <v>P100094</v>
      </c>
      <c r="BT26" t="str">
        <f t="shared" si="65"/>
        <v>Triple J</v>
      </c>
    </row>
    <row r="27" spans="1:72" x14ac:dyDescent="0.2">
      <c r="A27" t="str">
        <f t="shared" si="9"/>
        <v>x</v>
      </c>
      <c r="D27" s="26" t="s">
        <v>729</v>
      </c>
      <c r="E27" s="4"/>
      <c r="F27" s="45"/>
      <c r="G27" s="4"/>
      <c r="H27" s="47"/>
      <c r="I27" s="26">
        <v>84</v>
      </c>
      <c r="J27" s="26" t="str">
        <f t="shared" si="68"/>
        <v/>
      </c>
      <c r="N27" t="str">
        <f t="shared" si="83"/>
        <v/>
      </c>
      <c r="Q27" t="str">
        <f t="shared" si="77"/>
        <v/>
      </c>
      <c r="R27" s="26">
        <v>1</v>
      </c>
      <c r="S27">
        <f>IF(A27=1,MAX($S$2:$S26)+1,IF(OR($I27&lt;&gt;"",A27="x"),$S26,""))</f>
        <v>14</v>
      </c>
      <c r="T27">
        <f>IF(D27=1,MAX($T$2:$T26)+1,IF(S27=S26,$T26,IF(D27="x",T26,IF(D26="x","",""))))</f>
        <v>2</v>
      </c>
      <c r="U27" t="str">
        <f>IF(B27=1,MAX($U$2:$U26)+1,IF(AND($T27&lt;&gt;"",$T27=$T26),$U26,IF(B27="x",U26,"")))</f>
        <v/>
      </c>
      <c r="V27" t="str">
        <f>IF(C27=1,MAX($V$2:$V26)+1,IF(AND($T27&lt;&gt;"",$T27=$T26),$U26,IF(C27="x",V26,"")))</f>
        <v/>
      </c>
      <c r="W27" t="str" cm="1">
        <f t="array" ref="W27">IFERROR(_xlfn._xlws.FILTER(game_rosters!AC:AC,(game_rosters!J:J=events!X27)*(K27&lt;&gt;"")),"")</f>
        <v/>
      </c>
      <c r="X27" cm="1">
        <f t="array" ref="X27">IF($I27&lt;&gt;"",$I27,INDEX($I$1:$I27,ROW()-COUNTIFS($T$1:$T27,"="&amp;$T27,$S$1:$S27,"&lt;"&amp;$S27)))</f>
        <v>84</v>
      </c>
      <c r="Y27" t="str" cm="1">
        <f t="array" ref="Y27">IFERROR(IF(_xlfn._xlws.FILTER(game_rosters!$J:$J,(game_rosters!$G:$G=events!$AM27)*(game_rosters!$J:$J=events!$X27))&gt;0,1,""),"")</f>
        <v/>
      </c>
      <c r="Z27" s="6">
        <f t="shared" si="34"/>
        <v>1</v>
      </c>
      <c r="AA27">
        <f t="shared" si="35"/>
        <v>1014</v>
      </c>
      <c r="AB27">
        <f t="shared" si="36"/>
        <v>9002</v>
      </c>
      <c r="AC27">
        <f t="shared" si="37"/>
        <v>9002</v>
      </c>
      <c r="AD27" t="str">
        <f t="shared" si="38"/>
        <v>17</v>
      </c>
      <c r="AE27" t="str">
        <f t="shared" si="39"/>
        <v>46</v>
      </c>
      <c r="AF27" t="str">
        <f t="shared" si="40"/>
        <v/>
      </c>
      <c r="AG27" t="str">
        <f t="shared" si="41"/>
        <v/>
      </c>
      <c r="AH27" t="str">
        <f t="shared" ref="AH27:AH90" si="90">IF(Y27="x","",IF(Y27=1,"e","o"))</f>
        <v>o</v>
      </c>
      <c r="AI27" t="str">
        <f t="shared" ref="AI27:AJ42" si="91">IF($J27&lt;&gt;"",$J27,IF($AC27=$AC26,AI26,""))</f>
        <v>o</v>
      </c>
      <c r="AJ27" t="str">
        <f t="shared" si="91"/>
        <v>o</v>
      </c>
      <c r="AK27" t="str">
        <f t="shared" ref="AK27:AK90" si="92">IF($W27="","",IF($AI27="","",IF($W27="h",$AI27,IF($AI27="n","n",IF(AND($W27="a",$AI27="d"),"o",IF(AND($W27="a",$AI27="o"),"d"))))))</f>
        <v/>
      </c>
      <c r="AL27" t="str">
        <f t="shared" ref="AL27:AL90" si="93">IF($W27="","",IF(J27="","",IF(AK27="n","n",IF(AK27="d","o",IF(AK27="o","d","")))))</f>
        <v/>
      </c>
      <c r="AM27" t="str">
        <f t="shared" si="44"/>
        <v>Home</v>
      </c>
      <c r="AN27" t="str">
        <f t="shared" ref="AN27:AN90" si="94">IF($W27&lt;&gt;"",$W27,IF($AC27=AC26,AN26,""))</f>
        <v>h</v>
      </c>
      <c r="AO27" t="str">
        <f t="shared" ref="AO27:AO90" si="95">IF(AK27&lt;&gt;"",AK27,IF($AC27=AC26,AO26,""))</f>
        <v>o</v>
      </c>
      <c r="AP27" t="str">
        <f t="shared" ref="AP27:AP90" si="96">IF(AL27&lt;&gt;"",AL27,IF($AC27=AC26,AP26,""))</f>
        <v>d</v>
      </c>
      <c r="AQ27" t="str">
        <f>IF(AM27&lt;&gt;"",AM27,IF($AC27=#REF!,#REF!,""))</f>
        <v>Home</v>
      </c>
      <c r="AR27" t="str">
        <f t="shared" ref="AR27:AR90" si="97">IF(AN27&lt;&gt;"",AN27,IF($AC27=AC26,AQ26,""))</f>
        <v>h</v>
      </c>
      <c r="AS27" t="str">
        <f t="shared" ref="AS27:AS90" si="98">IF(AND(AH27="e",OR(BD27="Save",BE27="Turnover_Takeaway",BE27="Play_Defensive")),"Defensive",IF(AND(AH27="o",OR(BD27="Save",BE27="Turnover_Takeaway",BE27="Play_Defensive")),"Offensive",IF(OR(BD27="Deadice",BD27="Stoppage",BD27="Intermission"),"",IF(AH27="e","Offensive",IF(AH27="o","Defensive","")))))</f>
        <v>Defensive</v>
      </c>
      <c r="AT27" t="str">
        <f t="shared" si="50"/>
        <v/>
      </c>
      <c r="AU27" t="str">
        <f t="shared" si="51"/>
        <v/>
      </c>
      <c r="AV27" t="str" cm="1">
        <f t="array" ref="AV27">IFERROR(IF(O27&lt;&gt;"",O27,IF(OR($S27="",$T27=""),"",IF(O27&lt;&gt;"",O27,IF($T27&lt;&gt;"",_xlfn._xlws.FILTER(O:O,($BT:$BT=$BT27)*($I:$I=$I27)*($T:$T=$T27)*($S:$S=_xlfn.MINIFS($S:$S,$T:$T,"="&amp;$T27)),"")))))&amp;"",IF(O27="","",""))&amp;""</f>
        <v>AttemptedBreakOutClear</v>
      </c>
      <c r="AW27" t="str" cm="1">
        <f t="array" ref="AW27">IFERROR(IF(P27&lt;&gt;"",P27,IF(OR($S27="",$T27=""),"",IF($T27&lt;&gt;"",_xlfn._xlws.FILTER(P:P,($BT:$BT=$BT27)*($I:$I=$I27)*($T:$T=$T27)*($S:$S=_xlfn.MINIFS($S:$S,$T:$T,"="&amp;$T27)),""))))&amp;"",IF(P27="","",""))&amp;""</f>
        <v>SecondTouch</v>
      </c>
      <c r="AX27" t="str" cm="1">
        <f t="array" ref="AX27">IFERROR(IF(Q27&lt;&gt;"",Q27,IF(OR($S27="",$T27=""),"",IF($T27&lt;&gt;"",_xlfn._xlws.FILTER(Q:Q,($BT:$BT=$BT27)*($I:$I=$I27)*($T:$T=$T27)*($S:$S=_xlfn.MINIFS($S:$S,$T:$T,"="&amp;$T27)),""))))&amp;"",IF(Q27="","",""))&amp;""</f>
        <v>u</v>
      </c>
      <c r="AY27" t="str" cm="1">
        <f t="array" ref="AY27">IFERROR(IF(R27&lt;&gt;"",R27,IF(OR($S27="",$T27=""),"",IF($T27&lt;&gt;"",_xlfn._xlws.FILTER(R:R,($BT:$BT=$BT27)*($I:$I=$I27)*($T:$T=$T27)*($S:$S=_xlfn.MINIFS($S:$S,$T:$T,"="&amp;$T27)),""))))&amp;"",IF(R27="","",""))&amp;""</f>
        <v>1</v>
      </c>
      <c r="AZ27" s="6">
        <f t="shared" si="52"/>
        <v>4</v>
      </c>
      <c r="BA27">
        <f t="shared" ref="BA27:BC27" si="99">BA26</f>
        <v>18991</v>
      </c>
      <c r="BB27" t="str">
        <f t="shared" si="99"/>
        <v>Triple J</v>
      </c>
      <c r="BC27" t="str">
        <f t="shared" si="99"/>
        <v>Velodrome</v>
      </c>
      <c r="BD27" t="str">
        <f t="shared" si="54"/>
        <v>Zone_Entry_Exit</v>
      </c>
      <c r="BE27" t="str">
        <f t="shared" si="55"/>
        <v>Zone_Keepin</v>
      </c>
      <c r="BF27" t="str">
        <f t="shared" si="56"/>
        <v>Zone-KeepIn</v>
      </c>
      <c r="BG27" t="str">
        <f t="shared" si="22"/>
        <v>s</v>
      </c>
      <c r="BH27" cm="1">
        <f t="array" ref="BH27">IFERROR(_xlfn._xlws.FILTER(shifts!A:A,(shifts!B:B=events!Z27)*(shifts!AG:AG&gt;=events!BJ27)*(shifts!AH:AH&lt;=events!BK27)),BH26)</f>
        <v>1</v>
      </c>
      <c r="BI27" s="15">
        <f t="shared" si="57"/>
        <v>0</v>
      </c>
      <c r="BJ27">
        <f t="shared" si="58"/>
        <v>1066</v>
      </c>
      <c r="BK27">
        <f t="shared" si="59"/>
        <v>1066</v>
      </c>
      <c r="BL27" s="15">
        <f>SUMIFS(BI$2:BI27,K$2:K27,"=Intermission")+SUMIFS(BI$2:BI27,K$2:K27,"=Timeout")</f>
        <v>0</v>
      </c>
      <c r="BM27">
        <f t="shared" si="60"/>
        <v>0</v>
      </c>
      <c r="BN27" s="19">
        <f t="shared" si="61"/>
        <v>14</v>
      </c>
      <c r="BO27">
        <f t="shared" si="62"/>
        <v>9</v>
      </c>
      <c r="BP27" s="17">
        <f t="shared" si="63"/>
        <v>14</v>
      </c>
      <c r="BQ27" t="str">
        <f t="shared" si="64"/>
        <v>opp_team_player_1</v>
      </c>
      <c r="BR27">
        <f>COUNTIFS(S$3:S27,"="&amp;S27,AH$3:AH27,"="&amp;AH27)</f>
        <v>1</v>
      </c>
      <c r="BS27" t="str">
        <f>IFERROR(VLOOKUP(BA27&amp;BT27&amp;X27,game_rosters!U:W,3,FALSE),"")</f>
        <v>P100198</v>
      </c>
      <c r="BT27" t="str">
        <f t="shared" si="65"/>
        <v>Velodrome</v>
      </c>
    </row>
    <row r="28" spans="1:72" x14ac:dyDescent="0.2">
      <c r="A28">
        <f t="shared" si="9"/>
        <v>1</v>
      </c>
      <c r="E28" s="4" t="s">
        <v>732</v>
      </c>
      <c r="F28" s="45" t="s">
        <v>1049</v>
      </c>
      <c r="G28" s="4" t="s">
        <v>732</v>
      </c>
      <c r="H28" s="47" t="s">
        <v>1041</v>
      </c>
      <c r="I28" s="26">
        <v>73</v>
      </c>
      <c r="J28" s="26" t="s">
        <v>368</v>
      </c>
      <c r="K28" t="s">
        <v>13</v>
      </c>
      <c r="L28" t="s">
        <v>586</v>
      </c>
      <c r="N28" t="s">
        <v>594</v>
      </c>
      <c r="O28" t="s">
        <v>910</v>
      </c>
      <c r="Q28" t="str">
        <f t="shared" si="77"/>
        <v>u</v>
      </c>
      <c r="R28" s="26">
        <v>1</v>
      </c>
      <c r="S28">
        <f>IF(A28=1,MAX($S$2:$S27)+1,IF(OR($I28&lt;&gt;"",A28="x"),$S27,""))</f>
        <v>15</v>
      </c>
      <c r="T28" t="str">
        <f>IF(D28=1,MAX($T$2:$T27)+1,IF(S28=S27,$T27,IF(D28="x",T27,IF(D27="x","",""))))</f>
        <v/>
      </c>
      <c r="U28" t="str">
        <f>IF(B28=1,MAX($U$2:$U27)+1,IF(AND($T28&lt;&gt;"",$T28=$T27),$U27,IF(B28="x",U27,"")))</f>
        <v/>
      </c>
      <c r="V28" t="str">
        <f>IF(C28=1,MAX($V$2:$V27)+1,IF(AND($T28&lt;&gt;"",$T28=$T27),$U27,IF(C28="x",V27,"")))</f>
        <v/>
      </c>
      <c r="W28" t="str" cm="1">
        <f t="array" ref="W28">IFERROR(_xlfn._xlws.FILTER(game_rosters!AC:AC,(game_rosters!J:J=events!X28)*(K28&lt;&gt;"")),"")</f>
        <v>h</v>
      </c>
      <c r="X28" cm="1">
        <f t="array" ref="X28">IF($I28&lt;&gt;"",$I28,INDEX($I$1:$I28,ROW()-COUNTIFS($T$1:$T28,"="&amp;$T28,$S$1:$S28,"&lt;"&amp;$S28)))</f>
        <v>73</v>
      </c>
      <c r="Y28" cm="1">
        <f t="array" ref="Y28">IFERROR(IF(_xlfn._xlws.FILTER(game_rosters!$J:$J,(game_rosters!$G:$G=events!$AM28)*(game_rosters!$J:$J=events!$X28))&gt;0,1,""),"")</f>
        <v>1</v>
      </c>
      <c r="Z28" s="6">
        <f t="shared" si="34"/>
        <v>1</v>
      </c>
      <c r="AA28">
        <f t="shared" si="35"/>
        <v>1015</v>
      </c>
      <c r="AB28" t="str">
        <f t="shared" si="36"/>
        <v/>
      </c>
      <c r="AC28">
        <f t="shared" si="37"/>
        <v>1015</v>
      </c>
      <c r="AD28" t="str">
        <f t="shared" si="38"/>
        <v>17</v>
      </c>
      <c r="AE28" t="str">
        <f t="shared" si="39"/>
        <v>45</v>
      </c>
      <c r="AF28" t="str">
        <f t="shared" si="40"/>
        <v>17</v>
      </c>
      <c r="AG28" t="str">
        <f t="shared" si="41"/>
        <v>43</v>
      </c>
      <c r="AH28" t="str">
        <f t="shared" si="90"/>
        <v>e</v>
      </c>
      <c r="AI28" t="str">
        <f t="shared" si="91"/>
        <v>o</v>
      </c>
      <c r="AJ28" t="str">
        <f t="shared" si="91"/>
        <v>o</v>
      </c>
      <c r="AK28" t="str">
        <f t="shared" si="92"/>
        <v>o</v>
      </c>
      <c r="AL28" t="str">
        <f t="shared" si="93"/>
        <v>d</v>
      </c>
      <c r="AM28" t="str">
        <f t="shared" si="44"/>
        <v>Home</v>
      </c>
      <c r="AN28" t="str">
        <f t="shared" si="94"/>
        <v>h</v>
      </c>
      <c r="AO28" t="str">
        <f t="shared" si="95"/>
        <v>o</v>
      </c>
      <c r="AP28" t="str">
        <f t="shared" si="96"/>
        <v>d</v>
      </c>
      <c r="AQ28" t="str">
        <f>IF(AM28&lt;&gt;"",AM28,IF($AC28=#REF!,#REF!,""))</f>
        <v>Home</v>
      </c>
      <c r="AR28" t="str">
        <f t="shared" si="97"/>
        <v>h</v>
      </c>
      <c r="AS28" t="str">
        <f t="shared" si="98"/>
        <v>Offensive</v>
      </c>
      <c r="AT28" t="str">
        <f t="shared" si="50"/>
        <v/>
      </c>
      <c r="AU28" t="str">
        <f t="shared" si="51"/>
        <v/>
      </c>
      <c r="AV28" t="str" cm="1">
        <f t="array" ref="AV28">IFERROR(IF(O28&lt;&gt;"",O28,IF(OR($S28="",$T28=""),"",IF(O28&lt;&gt;"",O28,IF($T28&lt;&gt;"",_xlfn._xlws.FILTER(O:O,($BT:$BT=$BT28)*($I:$I=$I28)*($T:$T=$T28)*($S:$S=_xlfn.MINIFS($S:$S,$T:$T,"="&amp;$T28)),"")))))&amp;"",IF(O28="","",""))&amp;""</f>
        <v>PuckRecoveryRetreivalTurnover</v>
      </c>
      <c r="AW28" t="str" cm="1">
        <f t="array" ref="AW28">IFERROR(IF(P28&lt;&gt;"",P28,IF(OR($S28="",$T28=""),"",IF($T28&lt;&gt;"",_xlfn._xlws.FILTER(P:P,($BT:$BT=$BT28)*($I:$I=$I28)*($T:$T=$T28)*($S:$S=_xlfn.MINIFS($S:$S,$T:$T,"="&amp;$T28)),""))))&amp;"",IF(P28="","",""))&amp;""</f>
        <v/>
      </c>
      <c r="AX28" t="str" cm="1">
        <f t="array" ref="AX28">IFERROR(IF(Q28&lt;&gt;"",Q28,IF(OR($S28="",$T28=""),"",IF($T28&lt;&gt;"",_xlfn._xlws.FILTER(Q:Q,($BT:$BT=$BT28)*($I:$I=$I28)*($T:$T=$T28)*($S:$S=_xlfn.MINIFS($S:$S,$T:$T,"="&amp;$T28)),""))))&amp;"",IF(Q28="","",""))&amp;""</f>
        <v>u</v>
      </c>
      <c r="AY28" t="str" cm="1">
        <f t="array" ref="AY28">IFERROR(IF(R28&lt;&gt;"",R28,IF(OR($S28="",$T28=""),"",IF($T28&lt;&gt;"",_xlfn._xlws.FILTER(R:R,($BT:$BT=$BT28)*($I:$I=$I28)*($T:$T=$T28)*($S:$S=_xlfn.MINIFS($S:$S,$T:$T,"="&amp;$T28)),""))))&amp;"",IF(R28="","",""))&amp;""</f>
        <v>1</v>
      </c>
      <c r="AZ28" s="6">
        <f t="shared" si="52"/>
        <v>4</v>
      </c>
      <c r="BA28">
        <f t="shared" ref="BA28:BC28" si="100">BA27</f>
        <v>18991</v>
      </c>
      <c r="BB28" t="str">
        <f t="shared" si="100"/>
        <v>Triple J</v>
      </c>
      <c r="BC28" t="str">
        <f t="shared" si="100"/>
        <v>Velodrome</v>
      </c>
      <c r="BD28" t="str">
        <f t="shared" si="54"/>
        <v>Possession</v>
      </c>
      <c r="BE28" t="str">
        <f t="shared" si="55"/>
        <v>PuckRetrieval</v>
      </c>
      <c r="BF28" t="str">
        <f t="shared" si="56"/>
        <v/>
      </c>
      <c r="BG28" t="str">
        <f t="shared" si="22"/>
        <v>u</v>
      </c>
      <c r="BH28" cm="1">
        <f t="array" ref="BH28">IFERROR(_xlfn._xlws.FILTER(shifts!A:A,(shifts!B:B=events!Z28)*(shifts!AG:AG&gt;=events!BJ28)*(shifts!AH:AH&lt;=events!BK28)),BH27)</f>
        <v>1</v>
      </c>
      <c r="BI28" s="15">
        <f t="shared" si="57"/>
        <v>2</v>
      </c>
      <c r="BJ28">
        <f t="shared" si="58"/>
        <v>1065</v>
      </c>
      <c r="BK28">
        <f t="shared" si="59"/>
        <v>1063</v>
      </c>
      <c r="BL28" s="15">
        <f>SUMIFS(BI$2:BI28,K$2:K28,"=Intermission")+SUMIFS(BI$2:BI28,K$2:K28,"=Timeout")</f>
        <v>0</v>
      </c>
      <c r="BM28">
        <f t="shared" si="60"/>
        <v>0</v>
      </c>
      <c r="BN28" s="19">
        <f t="shared" si="61"/>
        <v>15</v>
      </c>
      <c r="BO28">
        <f t="shared" si="62"/>
        <v>10</v>
      </c>
      <c r="BP28" s="17">
        <f t="shared" si="63"/>
        <v>17</v>
      </c>
      <c r="BQ28" t="str">
        <f t="shared" si="64"/>
        <v>event_team_player_1</v>
      </c>
      <c r="BR28">
        <f>COUNTIFS(S$3:S28,"="&amp;S28,AH$3:AH28,"="&amp;AH28)</f>
        <v>1</v>
      </c>
      <c r="BS28" t="str">
        <f>IFERROR(VLOOKUP(BA28&amp;BT28&amp;X28,game_rosters!U:W,3,FALSE),"")</f>
        <v>P100021</v>
      </c>
      <c r="BT28" t="str">
        <f t="shared" si="65"/>
        <v>Triple J</v>
      </c>
    </row>
    <row r="29" spans="1:72" x14ac:dyDescent="0.2">
      <c r="A29" t="str">
        <f t="shared" si="9"/>
        <v/>
      </c>
      <c r="E29" s="4"/>
      <c r="F29" s="45"/>
      <c r="G29" s="4"/>
      <c r="H29" s="47"/>
      <c r="I29" s="26">
        <v>70</v>
      </c>
      <c r="J29" s="26" t="str">
        <f t="shared" si="68"/>
        <v/>
      </c>
      <c r="N29" t="str">
        <f t="shared" si="83"/>
        <v/>
      </c>
      <c r="O29" t="s">
        <v>567</v>
      </c>
      <c r="Q29" t="str">
        <f t="shared" si="77"/>
        <v/>
      </c>
      <c r="R29" s="26">
        <v>1</v>
      </c>
      <c r="S29">
        <f>IF(A29=1,MAX($S$2:$S28)+1,IF(OR($I29&lt;&gt;"",A29="x"),$S28,""))</f>
        <v>15</v>
      </c>
      <c r="T29" t="str">
        <f>IF(D29=1,MAX($T$2:$T28)+1,IF(S29=S28,$T28,IF(D29="x",T28,IF(D28="x","",""))))</f>
        <v/>
      </c>
      <c r="U29" t="str">
        <f>IF(B29=1,MAX($U$2:$U28)+1,IF(AND($T29&lt;&gt;"",$T29=$T28),$U28,IF(B29="x",U28,"")))</f>
        <v/>
      </c>
      <c r="V29" t="str">
        <f>IF(C29=1,MAX($V$2:$V28)+1,IF(AND($T29&lt;&gt;"",$T29=$T28),$U28,IF(C29="x",V28,"")))</f>
        <v/>
      </c>
      <c r="W29" t="str" cm="1">
        <f t="array" ref="W29">IFERROR(_xlfn._xlws.FILTER(game_rosters!AC:AC,(game_rosters!J:J=events!X29)*(K29&lt;&gt;"")),"")</f>
        <v/>
      </c>
      <c r="X29" cm="1">
        <f t="array" ref="X29">IF($I29&lt;&gt;"",$I29,INDEX($I$1:$I29,ROW()-COUNTIFS($T$1:$T29,"="&amp;$T29,$S$1:$S29,"&lt;"&amp;$S29)))</f>
        <v>70</v>
      </c>
      <c r="Y29" t="str" cm="1">
        <f t="array" ref="Y29">IFERROR(IF(_xlfn._xlws.FILTER(game_rosters!$J:$J,(game_rosters!$G:$G=events!$AM29)*(game_rosters!$J:$J=events!$X29))&gt;0,1,""),"")</f>
        <v/>
      </c>
      <c r="Z29" s="6">
        <f t="shared" si="34"/>
        <v>1</v>
      </c>
      <c r="AA29">
        <f t="shared" si="35"/>
        <v>1015</v>
      </c>
      <c r="AB29" t="str">
        <f t="shared" si="36"/>
        <v/>
      </c>
      <c r="AC29">
        <f t="shared" si="37"/>
        <v>1015</v>
      </c>
      <c r="AD29" t="str">
        <f t="shared" si="38"/>
        <v>17</v>
      </c>
      <c r="AE29" t="str">
        <f t="shared" si="39"/>
        <v>45</v>
      </c>
      <c r="AF29" t="str">
        <f t="shared" si="40"/>
        <v>17</v>
      </c>
      <c r="AG29" t="str">
        <f t="shared" si="41"/>
        <v>43</v>
      </c>
      <c r="AH29" t="str">
        <f t="shared" si="90"/>
        <v>o</v>
      </c>
      <c r="AI29" t="str">
        <f t="shared" si="91"/>
        <v>o</v>
      </c>
      <c r="AJ29" t="str">
        <f t="shared" si="91"/>
        <v>o</v>
      </c>
      <c r="AK29" t="str">
        <f t="shared" si="92"/>
        <v/>
      </c>
      <c r="AL29" t="str">
        <f t="shared" si="93"/>
        <v/>
      </c>
      <c r="AM29" t="str">
        <f t="shared" si="44"/>
        <v>Home</v>
      </c>
      <c r="AN29" t="str">
        <f t="shared" si="94"/>
        <v>h</v>
      </c>
      <c r="AO29" t="str">
        <f t="shared" si="95"/>
        <v>o</v>
      </c>
      <c r="AP29" t="str">
        <f t="shared" si="96"/>
        <v>d</v>
      </c>
      <c r="AQ29" t="str">
        <f>IF(AM29&lt;&gt;"",AM29,IF($AC29=#REF!,#REF!,""))</f>
        <v>Home</v>
      </c>
      <c r="AR29" t="str">
        <f t="shared" si="97"/>
        <v>h</v>
      </c>
      <c r="AS29" t="str">
        <f t="shared" si="98"/>
        <v>Defensive</v>
      </c>
      <c r="AT29" t="str">
        <f t="shared" si="50"/>
        <v/>
      </c>
      <c r="AU29" t="str">
        <f t="shared" si="51"/>
        <v/>
      </c>
      <c r="AV29" t="str" cm="1">
        <f t="array" ref="AV29">IFERROR(IF(O29&lt;&gt;"",O29,IF(OR($S29="",$T29=""),"",IF(O29&lt;&gt;"",O29,IF($T29&lt;&gt;"",_xlfn._xlws.FILTER(O:O,($BT:$BT=$BT29)*($I:$I=$I29)*($T:$T=$T29)*($S:$S=_xlfn.MINIFS($S:$S,$T:$T,"="&amp;$T29)),"")))))&amp;"",IF(O29="","",""))&amp;""</f>
        <v>StickCheck</v>
      </c>
      <c r="AW29" t="str" cm="1">
        <f t="array" ref="AW29">IFERROR(IF(P29&lt;&gt;"",P29,IF(OR($S29="",$T29=""),"",IF($T29&lt;&gt;"",_xlfn._xlws.FILTER(P:P,($BT:$BT=$BT29)*($I:$I=$I29)*($T:$T=$T29)*($S:$S=_xlfn.MINIFS($S:$S,$T:$T,"="&amp;$T29)),""))))&amp;"",IF(P29="","",""))&amp;""</f>
        <v/>
      </c>
      <c r="AX29" t="str" cm="1">
        <f t="array" ref="AX29">IFERROR(IF(Q29&lt;&gt;"",Q29,IF(OR($S29="",$T29=""),"",IF($T29&lt;&gt;"",_xlfn._xlws.FILTER(Q:Q,($BT:$BT=$BT29)*($I:$I=$I29)*($T:$T=$T29)*($S:$S=_xlfn.MINIFS($S:$S,$T:$T,"="&amp;$T29)),""))))&amp;"",IF(Q29="","",""))&amp;""</f>
        <v/>
      </c>
      <c r="AY29" t="str" cm="1">
        <f t="array" ref="AY29">IFERROR(IF(R29&lt;&gt;"",R29,IF(OR($S29="",$T29=""),"",IF($T29&lt;&gt;"",_xlfn._xlws.FILTER(R:R,($BT:$BT=$BT29)*($I:$I=$I29)*($T:$T=$T29)*($S:$S=_xlfn.MINIFS($S:$S,$T:$T,"="&amp;$T29)),""))))&amp;"",IF(R29="","",""))&amp;""</f>
        <v>1</v>
      </c>
      <c r="AZ29" s="6">
        <f t="shared" si="52"/>
        <v>4</v>
      </c>
      <c r="BA29">
        <f t="shared" ref="BA29:BC29" si="101">BA28</f>
        <v>18991</v>
      </c>
      <c r="BB29" t="str">
        <f t="shared" si="101"/>
        <v>Triple J</v>
      </c>
      <c r="BC29" t="str">
        <f t="shared" si="101"/>
        <v>Velodrome</v>
      </c>
      <c r="BD29" t="str">
        <f t="shared" si="54"/>
        <v>Possession</v>
      </c>
      <c r="BE29" t="str">
        <f t="shared" si="55"/>
        <v>PuckRetrieval</v>
      </c>
      <c r="BF29" t="str">
        <f t="shared" si="56"/>
        <v/>
      </c>
      <c r="BG29" t="str">
        <f t="shared" si="22"/>
        <v>u</v>
      </c>
      <c r="BH29" cm="1">
        <f t="array" ref="BH29">IFERROR(_xlfn._xlws.FILTER(shifts!A:A,(shifts!B:B=events!Z29)*(shifts!AG:AG&gt;=events!BJ29)*(shifts!AH:AH&lt;=events!BK29)),BH28)</f>
        <v>1</v>
      </c>
      <c r="BI29" s="15">
        <f t="shared" si="57"/>
        <v>2</v>
      </c>
      <c r="BJ29">
        <f t="shared" si="58"/>
        <v>1065</v>
      </c>
      <c r="BK29">
        <f t="shared" si="59"/>
        <v>1063</v>
      </c>
      <c r="BL29" s="15">
        <f>SUMIFS(BI$2:BI29,K$2:K29,"=Intermission")+SUMIFS(BI$2:BI29,K$2:K29,"=Timeout")</f>
        <v>0</v>
      </c>
      <c r="BM29">
        <f t="shared" si="60"/>
        <v>0</v>
      </c>
      <c r="BN29" s="19">
        <f t="shared" si="61"/>
        <v>15</v>
      </c>
      <c r="BO29">
        <f t="shared" si="62"/>
        <v>10</v>
      </c>
      <c r="BP29" s="17">
        <f t="shared" si="63"/>
        <v>17</v>
      </c>
      <c r="BQ29" t="str">
        <f t="shared" si="64"/>
        <v>opp_team_player_1</v>
      </c>
      <c r="BR29">
        <f>COUNTIFS(S$3:S29,"="&amp;S29,AH$3:AH29,"="&amp;AH29)</f>
        <v>1</v>
      </c>
      <c r="BS29" t="str">
        <f>IFERROR(VLOOKUP(BA29&amp;BT29&amp;X29,game_rosters!U:W,3,FALSE),"")</f>
        <v>P100001</v>
      </c>
      <c r="BT29" t="str">
        <f t="shared" si="65"/>
        <v>Velodrome</v>
      </c>
    </row>
    <row r="30" spans="1:72" x14ac:dyDescent="0.2">
      <c r="A30" t="str">
        <f t="shared" si="9"/>
        <v/>
      </c>
      <c r="E30" s="4"/>
      <c r="F30" s="45"/>
      <c r="G30" s="4"/>
      <c r="H30" s="47"/>
      <c r="I30" s="26">
        <v>84</v>
      </c>
      <c r="J30" s="26" t="str">
        <f t="shared" si="68"/>
        <v/>
      </c>
      <c r="N30" t="str">
        <f t="shared" si="83"/>
        <v/>
      </c>
      <c r="Q30" t="str">
        <f t="shared" si="77"/>
        <v/>
      </c>
      <c r="R30" s="26">
        <v>1</v>
      </c>
      <c r="S30">
        <f>IF(A30=1,MAX($S$2:$S29)+1,IF(OR($I30&lt;&gt;"",A30="x"),$S29,""))</f>
        <v>15</v>
      </c>
      <c r="T30" t="str">
        <f>IF(D30=1,MAX($T$2:$T29)+1,IF(S30=S29,$T29,IF(D30="x",T29,IF(D29="x","",""))))</f>
        <v/>
      </c>
      <c r="U30" t="str">
        <f>IF(B30=1,MAX($U$2:$U29)+1,IF(AND($T30&lt;&gt;"",$T30=$T29),$U29,IF(B30="x",U29,"")))</f>
        <v/>
      </c>
      <c r="V30" t="str">
        <f>IF(C30=1,MAX($V$2:$V29)+1,IF(AND($T30&lt;&gt;"",$T30=$T29),$U29,IF(C30="x",V29,"")))</f>
        <v/>
      </c>
      <c r="W30" t="str" cm="1">
        <f t="array" ref="W30">IFERROR(_xlfn._xlws.FILTER(game_rosters!AC:AC,(game_rosters!J:J=events!X30)*(K30&lt;&gt;"")),"")</f>
        <v/>
      </c>
      <c r="X30" cm="1">
        <f t="array" ref="X30">IF($I30&lt;&gt;"",$I30,INDEX($I$1:$I30,ROW()-COUNTIFS($T$1:$T30,"="&amp;$T30,$S$1:$S30,"&lt;"&amp;$S30)))</f>
        <v>84</v>
      </c>
      <c r="Y30" t="str" cm="1">
        <f t="array" ref="Y30">IFERROR(IF(_xlfn._xlws.FILTER(game_rosters!$J:$J,(game_rosters!$G:$G=events!$AM30)*(game_rosters!$J:$J=events!$X30))&gt;0,1,""),"")</f>
        <v/>
      </c>
      <c r="Z30" s="6">
        <f t="shared" si="34"/>
        <v>1</v>
      </c>
      <c r="AA30">
        <f t="shared" si="35"/>
        <v>1015</v>
      </c>
      <c r="AB30" t="str">
        <f t="shared" si="36"/>
        <v/>
      </c>
      <c r="AC30">
        <f t="shared" si="37"/>
        <v>1015</v>
      </c>
      <c r="AD30" t="str">
        <f t="shared" si="38"/>
        <v>17</v>
      </c>
      <c r="AE30" t="str">
        <f t="shared" si="39"/>
        <v>45</v>
      </c>
      <c r="AF30" t="str">
        <f t="shared" si="40"/>
        <v>17</v>
      </c>
      <c r="AG30" t="str">
        <f t="shared" si="41"/>
        <v>43</v>
      </c>
      <c r="AH30" t="str">
        <f t="shared" si="90"/>
        <v>o</v>
      </c>
      <c r="AI30" t="str">
        <f t="shared" si="91"/>
        <v>o</v>
      </c>
      <c r="AJ30" t="str">
        <f t="shared" si="91"/>
        <v>o</v>
      </c>
      <c r="AK30" t="str">
        <f t="shared" si="92"/>
        <v/>
      </c>
      <c r="AL30" t="str">
        <f t="shared" si="93"/>
        <v/>
      </c>
      <c r="AM30" t="str">
        <f t="shared" si="44"/>
        <v>Home</v>
      </c>
      <c r="AN30" t="str">
        <f t="shared" si="94"/>
        <v>h</v>
      </c>
      <c r="AO30" t="str">
        <f t="shared" si="95"/>
        <v>o</v>
      </c>
      <c r="AP30" t="str">
        <f t="shared" si="96"/>
        <v>d</v>
      </c>
      <c r="AQ30" t="str">
        <f>IF(AM30&lt;&gt;"",AM30,IF($AC30=#REF!,#REF!,""))</f>
        <v>Home</v>
      </c>
      <c r="AR30" t="str">
        <f t="shared" si="97"/>
        <v>h</v>
      </c>
      <c r="AS30" t="str">
        <f t="shared" si="98"/>
        <v>Defensive</v>
      </c>
      <c r="AT30" t="str">
        <f t="shared" si="50"/>
        <v/>
      </c>
      <c r="AU30" t="str">
        <f t="shared" si="51"/>
        <v/>
      </c>
      <c r="AV30" t="str" cm="1">
        <f t="array" ref="AV30">IFERROR(IF(O30&lt;&gt;"",O30,IF(OR($S30="",$T30=""),"",IF(O30&lt;&gt;"",O30,IF($T30&lt;&gt;"",_xlfn._xlws.FILTER(O:O,($BT:$BT=$BT30)*($I:$I=$I30)*($T:$T=$T30)*($S:$S=_xlfn.MINIFS($S:$S,$T:$T,"="&amp;$T30)),"")))))&amp;"",IF(O30="","",""))&amp;""</f>
        <v/>
      </c>
      <c r="AW30" t="str" cm="1">
        <f t="array" ref="AW30">IFERROR(IF(P30&lt;&gt;"",P30,IF(OR($S30="",$T30=""),"",IF($T30&lt;&gt;"",_xlfn._xlws.FILTER(P:P,($BT:$BT=$BT30)*($I:$I=$I30)*($T:$T=$T30)*($S:$S=_xlfn.MINIFS($S:$S,$T:$T,"="&amp;$T30)),""))))&amp;"",IF(P30="","",""))&amp;""</f>
        <v/>
      </c>
      <c r="AX30" t="str" cm="1">
        <f t="array" ref="AX30">IFERROR(IF(Q30&lt;&gt;"",Q30,IF(OR($S30="",$T30=""),"",IF($T30&lt;&gt;"",_xlfn._xlws.FILTER(Q:Q,($BT:$BT=$BT30)*($I:$I=$I30)*($T:$T=$T30)*($S:$S=_xlfn.MINIFS($S:$S,$T:$T,"="&amp;$T30)),""))))&amp;"",IF(Q30="","",""))&amp;""</f>
        <v/>
      </c>
      <c r="AY30" t="str" cm="1">
        <f t="array" ref="AY30">IFERROR(IF(R30&lt;&gt;"",R30,IF(OR($S30="",$T30=""),"",IF($T30&lt;&gt;"",_xlfn._xlws.FILTER(R:R,($BT:$BT=$BT30)*($I:$I=$I30)*($T:$T=$T30)*($S:$S=_xlfn.MINIFS($S:$S,$T:$T,"="&amp;$T30)),""))))&amp;"",IF(R30="","",""))&amp;""</f>
        <v>1</v>
      </c>
      <c r="AZ30" s="6">
        <f t="shared" si="52"/>
        <v>4</v>
      </c>
      <c r="BA30">
        <f t="shared" ref="BA30:BC30" si="102">BA29</f>
        <v>18991</v>
      </c>
      <c r="BB30" t="str">
        <f t="shared" si="102"/>
        <v>Triple J</v>
      </c>
      <c r="BC30" t="str">
        <f t="shared" si="102"/>
        <v>Velodrome</v>
      </c>
      <c r="BD30" t="str">
        <f t="shared" si="54"/>
        <v>Possession</v>
      </c>
      <c r="BE30" t="str">
        <f t="shared" si="55"/>
        <v>PuckRetrieval</v>
      </c>
      <c r="BF30" t="str">
        <f t="shared" si="56"/>
        <v/>
      </c>
      <c r="BG30" t="str">
        <f t="shared" si="22"/>
        <v>u</v>
      </c>
      <c r="BH30" cm="1">
        <f t="array" ref="BH30">IFERROR(_xlfn._xlws.FILTER(shifts!A:A,(shifts!B:B=events!Z30)*(shifts!AG:AG&gt;=events!BJ30)*(shifts!AH:AH&lt;=events!BK30)),BH29)</f>
        <v>1</v>
      </c>
      <c r="BI30" s="15">
        <f t="shared" si="57"/>
        <v>2</v>
      </c>
      <c r="BJ30">
        <f t="shared" si="58"/>
        <v>1065</v>
      </c>
      <c r="BK30">
        <f t="shared" si="59"/>
        <v>1063</v>
      </c>
      <c r="BL30" s="15">
        <f>SUMIFS(BI$2:BI30,K$2:K30,"=Intermission")+SUMIFS(BI$2:BI30,K$2:K30,"=Timeout")</f>
        <v>0</v>
      </c>
      <c r="BM30">
        <f t="shared" si="60"/>
        <v>0</v>
      </c>
      <c r="BN30" s="19">
        <f t="shared" si="61"/>
        <v>15</v>
      </c>
      <c r="BO30">
        <f t="shared" si="62"/>
        <v>10</v>
      </c>
      <c r="BP30" s="17">
        <f t="shared" si="63"/>
        <v>17</v>
      </c>
      <c r="BQ30" t="str">
        <f t="shared" si="64"/>
        <v>opp_team_player_2</v>
      </c>
      <c r="BR30">
        <f>COUNTIFS(S$3:S30,"="&amp;S30,AH$3:AH30,"="&amp;AH30)</f>
        <v>2</v>
      </c>
      <c r="BS30" t="str">
        <f>IFERROR(VLOOKUP(BA30&amp;BT30&amp;X30,game_rosters!U:W,3,FALSE),"")</f>
        <v>P100198</v>
      </c>
      <c r="BT30" t="str">
        <f t="shared" si="65"/>
        <v>Velodrome</v>
      </c>
    </row>
    <row r="31" spans="1:72" x14ac:dyDescent="0.2">
      <c r="A31">
        <f t="shared" si="9"/>
        <v>1</v>
      </c>
      <c r="E31" s="4"/>
      <c r="F31" s="45"/>
      <c r="G31" s="4"/>
      <c r="H31" s="47"/>
      <c r="I31" s="26">
        <v>70</v>
      </c>
      <c r="J31" s="26" t="s">
        <v>736</v>
      </c>
      <c r="K31" t="s">
        <v>9</v>
      </c>
      <c r="L31" t="s">
        <v>183</v>
      </c>
      <c r="M31" t="s">
        <v>80</v>
      </c>
      <c r="N31" t="s">
        <v>595</v>
      </c>
      <c r="O31" t="s">
        <v>156</v>
      </c>
      <c r="Q31" t="str">
        <f t="shared" si="77"/>
        <v>s</v>
      </c>
      <c r="R31" s="26">
        <v>1</v>
      </c>
      <c r="S31">
        <f>IF(A31=1,MAX($S$2:$S30)+1,IF(OR($I31&lt;&gt;"",A31="x"),$S30,""))</f>
        <v>16</v>
      </c>
      <c r="T31" t="str">
        <f>IF(D31=1,MAX($T$2:$T30)+1,IF(S31=S30,$T30,IF(D31="x",T30,IF(D30="x","",""))))</f>
        <v/>
      </c>
      <c r="U31" t="str">
        <f>IF(B31=1,MAX($U$2:$U30)+1,IF(AND($T31&lt;&gt;"",$T31=$T30),$U30,IF(B31="x",U30,"")))</f>
        <v/>
      </c>
      <c r="V31" t="str">
        <f>IF(C31=1,MAX($V$2:$V30)+1,IF(AND($T31&lt;&gt;"",$T31=$T30),$U30,IF(C31="x",V30,"")))</f>
        <v/>
      </c>
      <c r="W31" t="str" cm="1">
        <f t="array" ref="W31">IFERROR(_xlfn._xlws.FILTER(game_rosters!AC:AC,(game_rosters!J:J=events!X31)*(K31&lt;&gt;"")),"")</f>
        <v>a</v>
      </c>
      <c r="X31" cm="1">
        <f t="array" ref="X31">IF($I31&lt;&gt;"",$I31,INDEX($I$1:$I31,ROW()-COUNTIFS($T$1:$T31,"="&amp;$T31,$S$1:$S31,"&lt;"&amp;$S31)))</f>
        <v>70</v>
      </c>
      <c r="Y31" cm="1">
        <f t="array" ref="Y31">IFERROR(IF(_xlfn._xlws.FILTER(game_rosters!$J:$J,(game_rosters!$G:$G=events!$AM31)*(game_rosters!$J:$J=events!$X31))&gt;0,1,""),"")</f>
        <v>1</v>
      </c>
      <c r="Z31" s="6">
        <f t="shared" si="34"/>
        <v>1</v>
      </c>
      <c r="AA31">
        <f t="shared" si="35"/>
        <v>1016</v>
      </c>
      <c r="AB31" t="str">
        <f t="shared" si="36"/>
        <v/>
      </c>
      <c r="AC31">
        <f t="shared" si="37"/>
        <v>1016</v>
      </c>
      <c r="AD31" t="str">
        <f t="shared" si="38"/>
        <v>17</v>
      </c>
      <c r="AE31" t="str">
        <f t="shared" si="39"/>
        <v>43</v>
      </c>
      <c r="AF31" t="str">
        <f t="shared" si="40"/>
        <v/>
      </c>
      <c r="AG31" t="str">
        <f t="shared" si="41"/>
        <v/>
      </c>
      <c r="AH31" t="str">
        <f t="shared" si="90"/>
        <v>e</v>
      </c>
      <c r="AI31" t="str">
        <f t="shared" si="91"/>
        <v>d</v>
      </c>
      <c r="AJ31" t="str">
        <f t="shared" si="91"/>
        <v>d</v>
      </c>
      <c r="AK31" t="str">
        <f t="shared" si="92"/>
        <v>o</v>
      </c>
      <c r="AL31" t="str">
        <f t="shared" si="93"/>
        <v>d</v>
      </c>
      <c r="AM31" t="str">
        <f t="shared" si="44"/>
        <v>Away</v>
      </c>
      <c r="AN31" t="str">
        <f t="shared" si="94"/>
        <v>a</v>
      </c>
      <c r="AO31" t="str">
        <f t="shared" si="95"/>
        <v>o</v>
      </c>
      <c r="AP31" t="str">
        <f t="shared" si="96"/>
        <v>d</v>
      </c>
      <c r="AQ31" t="str">
        <f>IF(AM31&lt;&gt;"",AM31,IF($AC31=#REF!,#REF!,""))</f>
        <v>Away</v>
      </c>
      <c r="AR31" t="str">
        <f t="shared" si="97"/>
        <v>a</v>
      </c>
      <c r="AS31" t="str">
        <f t="shared" si="98"/>
        <v>Defensive</v>
      </c>
      <c r="AT31" t="str">
        <f t="shared" si="50"/>
        <v/>
      </c>
      <c r="AU31" t="str">
        <f t="shared" si="51"/>
        <v/>
      </c>
      <c r="AV31" t="str" cm="1">
        <f t="array" ref="AV31">IFERROR(IF(O31&lt;&gt;"",O31,IF(OR($S31="",$T31=""),"",IF(O31&lt;&gt;"",O31,IF($T31&lt;&gt;"",_xlfn._xlws.FILTER(O:O,($BT:$BT=$BT31)*($I:$I=$I31)*($T:$T=$T31)*($S:$S=_xlfn.MINIFS($S:$S,$T:$T,"="&amp;$T31)),"")))))&amp;"",IF(O31="","",""))&amp;""</f>
        <v>PokeCheck</v>
      </c>
      <c r="AW31" t="str" cm="1">
        <f t="array" ref="AW31">IFERROR(IF(P31&lt;&gt;"",P31,IF(OR($S31="",$T31=""),"",IF($T31&lt;&gt;"",_xlfn._xlws.FILTER(P:P,($BT:$BT=$BT31)*($I:$I=$I31)*($T:$T=$T31)*($S:$S=_xlfn.MINIFS($S:$S,$T:$T,"="&amp;$T31)),""))))&amp;"",IF(P31="","",""))&amp;""</f>
        <v/>
      </c>
      <c r="AX31" t="str" cm="1">
        <f t="array" ref="AX31">IFERROR(IF(Q31&lt;&gt;"",Q31,IF(OR($S31="",$T31=""),"",IF($T31&lt;&gt;"",_xlfn._xlws.FILTER(Q:Q,($BT:$BT=$BT31)*($I:$I=$I31)*($T:$T=$T31)*($S:$S=_xlfn.MINIFS($S:$S,$T:$T,"="&amp;$T31)),""))))&amp;"",IF(Q31="","",""))&amp;""</f>
        <v>s</v>
      </c>
      <c r="AY31" t="str" cm="1">
        <f t="array" ref="AY31">IFERROR(IF(R31&lt;&gt;"",R31,IF(OR($S31="",$T31=""),"",IF($T31&lt;&gt;"",_xlfn._xlws.FILTER(R:R,($BT:$BT=$BT31)*($I:$I=$I31)*($T:$T=$T31)*($S:$S=_xlfn.MINIFS($S:$S,$T:$T,"="&amp;$T31)),""))))&amp;"",IF(R31="","",""))&amp;""</f>
        <v>1</v>
      </c>
      <c r="AZ31" s="6">
        <f t="shared" si="52"/>
        <v>4</v>
      </c>
      <c r="BA31">
        <f t="shared" ref="BA31:BC31" si="103">BA30</f>
        <v>18991</v>
      </c>
      <c r="BB31" t="str">
        <f t="shared" si="103"/>
        <v>Triple J</v>
      </c>
      <c r="BC31" t="str">
        <f t="shared" si="103"/>
        <v>Velodrome</v>
      </c>
      <c r="BD31" t="str">
        <f t="shared" si="54"/>
        <v>Turnover</v>
      </c>
      <c r="BE31" t="str">
        <f t="shared" si="55"/>
        <v>Turnover_Takeaway</v>
      </c>
      <c r="BF31" t="str">
        <f t="shared" si="56"/>
        <v>Takeaway-PokeCheck</v>
      </c>
      <c r="BG31" t="str">
        <f t="shared" si="22"/>
        <v>s</v>
      </c>
      <c r="BH31" cm="1">
        <f t="array" ref="BH31">IFERROR(_xlfn._xlws.FILTER(shifts!A:A,(shifts!B:B=events!Z31)*(shifts!AG:AG&gt;=events!BJ31)*(shifts!AH:AH&lt;=events!BK31)),BH30)</f>
        <v>1</v>
      </c>
      <c r="BI31" s="15">
        <f t="shared" si="57"/>
        <v>0</v>
      </c>
      <c r="BJ31">
        <f t="shared" si="58"/>
        <v>1063</v>
      </c>
      <c r="BK31">
        <f t="shared" si="59"/>
        <v>1063</v>
      </c>
      <c r="BL31" s="15">
        <f>SUMIFS(BI$2:BI31,K$2:K31,"=Intermission")+SUMIFS(BI$2:BI31,K$2:K31,"=Timeout")</f>
        <v>0</v>
      </c>
      <c r="BM31">
        <f t="shared" si="60"/>
        <v>0</v>
      </c>
      <c r="BN31" s="19">
        <f t="shared" si="61"/>
        <v>17</v>
      </c>
      <c r="BO31">
        <f t="shared" si="62"/>
        <v>12</v>
      </c>
      <c r="BP31" s="17">
        <f t="shared" si="63"/>
        <v>17</v>
      </c>
      <c r="BQ31" t="str">
        <f t="shared" si="64"/>
        <v>event_team_player_1</v>
      </c>
      <c r="BR31">
        <f>COUNTIFS(S$3:S31,"="&amp;S31,AH$3:AH31,"="&amp;AH31)</f>
        <v>1</v>
      </c>
      <c r="BS31" t="str">
        <f>IFERROR(VLOOKUP(BA31&amp;BT31&amp;X31,game_rosters!U:W,3,FALSE),"")</f>
        <v>P100001</v>
      </c>
      <c r="BT31" t="str">
        <f t="shared" si="65"/>
        <v>Velodrome</v>
      </c>
    </row>
    <row r="32" spans="1:72" x14ac:dyDescent="0.2">
      <c r="A32" t="str">
        <f t="shared" si="9"/>
        <v/>
      </c>
      <c r="E32" s="4"/>
      <c r="F32" s="45"/>
      <c r="G32" s="4"/>
      <c r="H32" s="47"/>
      <c r="I32" s="26">
        <v>84</v>
      </c>
      <c r="J32" s="26" t="str">
        <f t="shared" si="68"/>
        <v/>
      </c>
      <c r="N32" t="str">
        <f t="shared" si="83"/>
        <v/>
      </c>
      <c r="Q32" t="str">
        <f t="shared" si="77"/>
        <v/>
      </c>
      <c r="R32" s="26">
        <v>1</v>
      </c>
      <c r="S32">
        <f>IF(A32=1,MAX($S$2:$S31)+1,IF(OR($I32&lt;&gt;"",A32="x"),$S31,""))</f>
        <v>16</v>
      </c>
      <c r="T32" t="str">
        <f>IF(D32=1,MAX($T$2:$T31)+1,IF(S32=S31,$T31,IF(D32="x",T31,IF(D31="x","",""))))</f>
        <v/>
      </c>
      <c r="U32" t="str">
        <f>IF(B32=1,MAX($U$2:$U31)+1,IF(AND($T32&lt;&gt;"",$T32=$T31),$U31,IF(B32="x",U31,"")))</f>
        <v/>
      </c>
      <c r="V32" t="str">
        <f>IF(C32=1,MAX($V$2:$V31)+1,IF(AND($T32&lt;&gt;"",$T32=$T31),$U31,IF(C32="x",V31,"")))</f>
        <v/>
      </c>
      <c r="W32" t="str" cm="1">
        <f t="array" ref="W32">IFERROR(_xlfn._xlws.FILTER(game_rosters!AC:AC,(game_rosters!J:J=events!X32)*(K32&lt;&gt;"")),"")</f>
        <v/>
      </c>
      <c r="X32" cm="1">
        <f t="array" ref="X32">IF($I32&lt;&gt;"",$I32,INDEX($I$1:$I32,ROW()-COUNTIFS($T$1:$T32,"="&amp;$T32,$S$1:$S32,"&lt;"&amp;$S32)))</f>
        <v>84</v>
      </c>
      <c r="Y32" cm="1">
        <f t="array" ref="Y32">IFERROR(IF(_xlfn._xlws.FILTER(game_rosters!$J:$J,(game_rosters!$G:$G=events!$AM32)*(game_rosters!$J:$J=events!$X32))&gt;0,1,""),"")</f>
        <v>1</v>
      </c>
      <c r="Z32" s="6">
        <f t="shared" si="34"/>
        <v>1</v>
      </c>
      <c r="AA32">
        <f t="shared" si="35"/>
        <v>1016</v>
      </c>
      <c r="AB32" t="str">
        <f t="shared" si="36"/>
        <v/>
      </c>
      <c r="AC32">
        <f t="shared" si="37"/>
        <v>1016</v>
      </c>
      <c r="AD32" t="str">
        <f t="shared" si="38"/>
        <v>17</v>
      </c>
      <c r="AE32" t="str">
        <f t="shared" si="39"/>
        <v>43</v>
      </c>
      <c r="AF32" t="str">
        <f t="shared" si="40"/>
        <v/>
      </c>
      <c r="AG32" t="str">
        <f t="shared" si="41"/>
        <v/>
      </c>
      <c r="AH32" t="str">
        <f t="shared" si="90"/>
        <v>e</v>
      </c>
      <c r="AI32" t="str">
        <f t="shared" si="91"/>
        <v>d</v>
      </c>
      <c r="AJ32" t="str">
        <f t="shared" si="91"/>
        <v>d</v>
      </c>
      <c r="AK32" t="str">
        <f t="shared" si="92"/>
        <v/>
      </c>
      <c r="AL32" t="str">
        <f t="shared" si="93"/>
        <v/>
      </c>
      <c r="AM32" t="str">
        <f t="shared" si="44"/>
        <v>Away</v>
      </c>
      <c r="AN32" t="str">
        <f t="shared" si="94"/>
        <v>a</v>
      </c>
      <c r="AO32" t="str">
        <f t="shared" si="95"/>
        <v>o</v>
      </c>
      <c r="AP32" t="str">
        <f t="shared" si="96"/>
        <v>d</v>
      </c>
      <c r="AQ32" t="str">
        <f>IF(AM32&lt;&gt;"",AM32,IF($AC32=#REF!,#REF!,""))</f>
        <v>Away</v>
      </c>
      <c r="AR32" t="str">
        <f t="shared" si="97"/>
        <v>a</v>
      </c>
      <c r="AS32" t="str">
        <f t="shared" si="98"/>
        <v>Defensive</v>
      </c>
      <c r="AT32" t="str">
        <f t="shared" si="50"/>
        <v/>
      </c>
      <c r="AU32" t="str">
        <f t="shared" si="51"/>
        <v/>
      </c>
      <c r="AV32" t="str" cm="1">
        <f t="array" ref="AV32">IFERROR(IF(O32&lt;&gt;"",O32,IF(OR($S32="",$T32=""),"",IF(O32&lt;&gt;"",O32,IF($T32&lt;&gt;"",_xlfn._xlws.FILTER(O:O,($BT:$BT=$BT32)*($I:$I=$I32)*($T:$T=$T32)*($S:$S=_xlfn.MINIFS($S:$S,$T:$T,"="&amp;$T32)),"")))))&amp;"",IF(O32="","",""))&amp;""</f>
        <v/>
      </c>
      <c r="AW32" t="str" cm="1">
        <f t="array" ref="AW32">IFERROR(IF(P32&lt;&gt;"",P32,IF(OR($S32="",$T32=""),"",IF($T32&lt;&gt;"",_xlfn._xlws.FILTER(P:P,($BT:$BT=$BT32)*($I:$I=$I32)*($T:$T=$T32)*($S:$S=_xlfn.MINIFS($S:$S,$T:$T,"="&amp;$T32)),""))))&amp;"",IF(P32="","",""))&amp;""</f>
        <v/>
      </c>
      <c r="AX32" t="str" cm="1">
        <f t="array" ref="AX32">IFERROR(IF(Q32&lt;&gt;"",Q32,IF(OR($S32="",$T32=""),"",IF($T32&lt;&gt;"",_xlfn._xlws.FILTER(Q:Q,($BT:$BT=$BT32)*($I:$I=$I32)*($T:$T=$T32)*($S:$S=_xlfn.MINIFS($S:$S,$T:$T,"="&amp;$T32)),""))))&amp;"",IF(Q32="","",""))&amp;""</f>
        <v/>
      </c>
      <c r="AY32" t="str" cm="1">
        <f t="array" ref="AY32">IFERROR(IF(R32&lt;&gt;"",R32,IF(OR($S32="",$T32=""),"",IF($T32&lt;&gt;"",_xlfn._xlws.FILTER(R:R,($BT:$BT=$BT32)*($I:$I=$I32)*($T:$T=$T32)*($S:$S=_xlfn.MINIFS($S:$S,$T:$T,"="&amp;$T32)),""))))&amp;"",IF(R32="","",""))&amp;""</f>
        <v>1</v>
      </c>
      <c r="AZ32" s="6">
        <f t="shared" si="52"/>
        <v>4</v>
      </c>
      <c r="BA32">
        <f t="shared" ref="BA32:BC32" si="104">BA31</f>
        <v>18991</v>
      </c>
      <c r="BB32" t="str">
        <f t="shared" si="104"/>
        <v>Triple J</v>
      </c>
      <c r="BC32" t="str">
        <f t="shared" si="104"/>
        <v>Velodrome</v>
      </c>
      <c r="BD32" t="str">
        <f t="shared" si="54"/>
        <v>Turnover</v>
      </c>
      <c r="BE32" t="str">
        <f t="shared" si="55"/>
        <v>Turnover_Takeaway</v>
      </c>
      <c r="BF32" t="str">
        <f t="shared" si="56"/>
        <v>Takeaway-PokeCheck</v>
      </c>
      <c r="BG32" t="str">
        <f t="shared" si="22"/>
        <v>s</v>
      </c>
      <c r="BH32" cm="1">
        <f t="array" ref="BH32">IFERROR(_xlfn._xlws.FILTER(shifts!A:A,(shifts!B:B=events!Z32)*(shifts!AG:AG&gt;=events!BJ32)*(shifts!AH:AH&lt;=events!BK32)),BH31)</f>
        <v>1</v>
      </c>
      <c r="BI32" s="15">
        <f t="shared" si="57"/>
        <v>0</v>
      </c>
      <c r="BJ32">
        <f t="shared" si="58"/>
        <v>1063</v>
      </c>
      <c r="BK32">
        <f t="shared" si="59"/>
        <v>1063</v>
      </c>
      <c r="BL32" s="15">
        <f>SUMIFS(BI$2:BI32,K$2:K32,"=Intermission")+SUMIFS(BI$2:BI32,K$2:K32,"=Timeout")</f>
        <v>0</v>
      </c>
      <c r="BM32">
        <f t="shared" si="60"/>
        <v>0</v>
      </c>
      <c r="BN32" s="19">
        <f t="shared" si="61"/>
        <v>17</v>
      </c>
      <c r="BO32">
        <f t="shared" si="62"/>
        <v>12</v>
      </c>
      <c r="BP32" s="17">
        <f t="shared" si="63"/>
        <v>17</v>
      </c>
      <c r="BQ32" t="str">
        <f t="shared" si="64"/>
        <v>event_team_player_2</v>
      </c>
      <c r="BR32">
        <f>COUNTIFS(S$3:S32,"="&amp;S32,AH$3:AH32,"="&amp;AH32)</f>
        <v>2</v>
      </c>
      <c r="BS32" t="str">
        <f>IFERROR(VLOOKUP(BA32&amp;BT32&amp;X32,game_rosters!U:W,3,FALSE),"")</f>
        <v>P100198</v>
      </c>
      <c r="BT32" t="str">
        <f t="shared" si="65"/>
        <v>Velodrome</v>
      </c>
    </row>
    <row r="33" spans="1:72" x14ac:dyDescent="0.2">
      <c r="A33" t="str">
        <f t="shared" si="9"/>
        <v/>
      </c>
      <c r="E33" s="4"/>
      <c r="F33" s="45"/>
      <c r="G33" s="4"/>
      <c r="H33" s="47"/>
      <c r="I33" s="26">
        <v>73</v>
      </c>
      <c r="J33" s="26" t="str">
        <f t="shared" si="68"/>
        <v/>
      </c>
      <c r="N33" t="str">
        <f t="shared" si="83"/>
        <v/>
      </c>
      <c r="O33" t="s">
        <v>785</v>
      </c>
      <c r="Q33" t="str">
        <f t="shared" si="77"/>
        <v>u</v>
      </c>
      <c r="R33" s="26">
        <v>1</v>
      </c>
      <c r="S33">
        <f>IF(A33=1,MAX($S$2:$S32)+1,IF(OR($I33&lt;&gt;"",A33="x"),$S32,""))</f>
        <v>16</v>
      </c>
      <c r="T33" t="str">
        <f>IF(D33=1,MAX($T$2:$T32)+1,IF(S33=S32,$T32,IF(D33="x",T32,IF(D32="x","",""))))</f>
        <v/>
      </c>
      <c r="U33" t="str">
        <f>IF(B33=1,MAX($U$2:$U32)+1,IF(AND($T33&lt;&gt;"",$T33=$T32),$U32,IF(B33="x",U32,"")))</f>
        <v/>
      </c>
      <c r="V33" t="str">
        <f>IF(C33=1,MAX($V$2:$V32)+1,IF(AND($T33&lt;&gt;"",$T33=$T32),$U32,IF(C33="x",V32,"")))</f>
        <v/>
      </c>
      <c r="W33" t="str" cm="1">
        <f t="array" ref="W33">IFERROR(_xlfn._xlws.FILTER(game_rosters!AC:AC,(game_rosters!J:J=events!X33)*(K33&lt;&gt;"")),"")</f>
        <v/>
      </c>
      <c r="X33" cm="1">
        <f t="array" ref="X33">IF($I33&lt;&gt;"",$I33,INDEX($I$1:$I33,ROW()-COUNTIFS($T$1:$T33,"="&amp;$T33,$S$1:$S33,"&lt;"&amp;$S33)))</f>
        <v>73</v>
      </c>
      <c r="Y33" t="str" cm="1">
        <f t="array" ref="Y33">IFERROR(IF(_xlfn._xlws.FILTER(game_rosters!$J:$J,(game_rosters!$G:$G=events!$AM33)*(game_rosters!$J:$J=events!$X33))&gt;0,1,""),"")</f>
        <v/>
      </c>
      <c r="Z33" s="6">
        <f t="shared" si="34"/>
        <v>1</v>
      </c>
      <c r="AA33">
        <f t="shared" si="35"/>
        <v>1016</v>
      </c>
      <c r="AB33" t="str">
        <f t="shared" si="36"/>
        <v/>
      </c>
      <c r="AC33">
        <f t="shared" si="37"/>
        <v>1016</v>
      </c>
      <c r="AD33" t="str">
        <f t="shared" si="38"/>
        <v>17</v>
      </c>
      <c r="AE33" t="str">
        <f t="shared" si="39"/>
        <v>43</v>
      </c>
      <c r="AF33" t="str">
        <f t="shared" si="40"/>
        <v/>
      </c>
      <c r="AG33" t="str">
        <f t="shared" si="41"/>
        <v/>
      </c>
      <c r="AH33" t="str">
        <f t="shared" si="90"/>
        <v>o</v>
      </c>
      <c r="AI33" t="str">
        <f t="shared" si="91"/>
        <v>d</v>
      </c>
      <c r="AJ33" t="str">
        <f t="shared" si="91"/>
        <v>d</v>
      </c>
      <c r="AK33" t="str">
        <f t="shared" si="92"/>
        <v/>
      </c>
      <c r="AL33" t="str">
        <f t="shared" si="93"/>
        <v/>
      </c>
      <c r="AM33" t="str">
        <f t="shared" si="44"/>
        <v>Away</v>
      </c>
      <c r="AN33" t="str">
        <f t="shared" si="94"/>
        <v>a</v>
      </c>
      <c r="AO33" t="str">
        <f t="shared" si="95"/>
        <v>o</v>
      </c>
      <c r="AP33" t="str">
        <f t="shared" si="96"/>
        <v>d</v>
      </c>
      <c r="AQ33" t="str">
        <f>IF(AM33&lt;&gt;"",AM33,IF($AC33=#REF!,#REF!,""))</f>
        <v>Away</v>
      </c>
      <c r="AR33" t="str">
        <f t="shared" si="97"/>
        <v>a</v>
      </c>
      <c r="AS33" t="str">
        <f t="shared" si="98"/>
        <v>Offensive</v>
      </c>
      <c r="AT33" t="str">
        <f t="shared" si="50"/>
        <v/>
      </c>
      <c r="AU33" t="str">
        <f t="shared" si="51"/>
        <v/>
      </c>
      <c r="AV33" t="str" cm="1">
        <f t="array" ref="AV33">IFERROR(IF(O33&lt;&gt;"",O33,IF(OR($S33="",$T33=""),"",IF(O33&lt;&gt;"",O33,IF($T33&lt;&gt;"",_xlfn._xlws.FILTER(O:O,($BT:$BT=$BT33)*($I:$I=$I33)*($T:$T=$T33)*($S:$S=_xlfn.MINIFS($S:$S,$T:$T,"="&amp;$T33)),"")))))&amp;"",IF(O33="","",""))&amp;""</f>
        <v>LostPuck</v>
      </c>
      <c r="AW33" t="str" cm="1">
        <f t="array" ref="AW33">IFERROR(IF(P33&lt;&gt;"",P33,IF(OR($S33="",$T33=""),"",IF($T33&lt;&gt;"",_xlfn._xlws.FILTER(P:P,($BT:$BT=$BT33)*($I:$I=$I33)*($T:$T=$T33)*($S:$S=_xlfn.MINIFS($S:$S,$T:$T,"="&amp;$T33)),""))))&amp;"",IF(P33="","",""))&amp;""</f>
        <v/>
      </c>
      <c r="AX33" t="str" cm="1">
        <f t="array" ref="AX33">IFERROR(IF(Q33&lt;&gt;"",Q33,IF(OR($S33="",$T33=""),"",IF($T33&lt;&gt;"",_xlfn._xlws.FILTER(Q:Q,($BT:$BT=$BT33)*($I:$I=$I33)*($T:$T=$T33)*($S:$S=_xlfn.MINIFS($S:$S,$T:$T,"="&amp;$T33)),""))))&amp;"",IF(Q33="","",""))&amp;""</f>
        <v>u</v>
      </c>
      <c r="AY33" t="str" cm="1">
        <f t="array" ref="AY33">IFERROR(IF(R33&lt;&gt;"",R33,IF(OR($S33="",$T33=""),"",IF($T33&lt;&gt;"",_xlfn._xlws.FILTER(R:R,($BT:$BT=$BT33)*($I:$I=$I33)*($T:$T=$T33)*($S:$S=_xlfn.MINIFS($S:$S,$T:$T,"="&amp;$T33)),""))))&amp;"",IF(R33="","",""))&amp;""</f>
        <v>1</v>
      </c>
      <c r="AZ33" s="6">
        <f t="shared" si="52"/>
        <v>4</v>
      </c>
      <c r="BA33">
        <f t="shared" ref="BA33:BC33" si="105">BA32</f>
        <v>18991</v>
      </c>
      <c r="BB33" t="str">
        <f t="shared" si="105"/>
        <v>Triple J</v>
      </c>
      <c r="BC33" t="str">
        <f t="shared" si="105"/>
        <v>Velodrome</v>
      </c>
      <c r="BD33" t="str">
        <f t="shared" si="54"/>
        <v>Turnover</v>
      </c>
      <c r="BE33" t="str">
        <f t="shared" si="55"/>
        <v>Turnover_Takeaway</v>
      </c>
      <c r="BF33" t="str">
        <f t="shared" si="56"/>
        <v>Takeaway-PokeCheck</v>
      </c>
      <c r="BG33" t="str">
        <f t="shared" si="22"/>
        <v>s</v>
      </c>
      <c r="BH33" cm="1">
        <f t="array" ref="BH33">IFERROR(_xlfn._xlws.FILTER(shifts!A:A,(shifts!B:B=events!Z33)*(shifts!AG:AG&gt;=events!BJ33)*(shifts!AH:AH&lt;=events!BK33)),BH32)</f>
        <v>1</v>
      </c>
      <c r="BI33" s="15">
        <f t="shared" si="57"/>
        <v>0</v>
      </c>
      <c r="BJ33">
        <f t="shared" si="58"/>
        <v>1063</v>
      </c>
      <c r="BK33">
        <f t="shared" si="59"/>
        <v>1063</v>
      </c>
      <c r="BL33" s="15">
        <f>SUMIFS(BI$2:BI33,K$2:K33,"=Intermission")+SUMIFS(BI$2:BI33,K$2:K33,"=Timeout")</f>
        <v>0</v>
      </c>
      <c r="BM33">
        <f t="shared" si="60"/>
        <v>0</v>
      </c>
      <c r="BN33" s="19">
        <f t="shared" si="61"/>
        <v>17</v>
      </c>
      <c r="BO33">
        <f t="shared" si="62"/>
        <v>12</v>
      </c>
      <c r="BP33" s="17">
        <f t="shared" si="63"/>
        <v>17</v>
      </c>
      <c r="BQ33" t="str">
        <f t="shared" si="64"/>
        <v>opp_team_player_1</v>
      </c>
      <c r="BR33">
        <f>COUNTIFS(S$3:S33,"="&amp;S33,AH$3:AH33,"="&amp;AH33)</f>
        <v>1</v>
      </c>
      <c r="BS33" t="str">
        <f>IFERROR(VLOOKUP(BA33&amp;BT33&amp;X33,game_rosters!U:W,3,FALSE),"")</f>
        <v>P100021</v>
      </c>
      <c r="BT33" t="str">
        <f t="shared" si="65"/>
        <v>Triple J</v>
      </c>
    </row>
    <row r="34" spans="1:72" x14ac:dyDescent="0.2">
      <c r="A34">
        <f t="shared" si="9"/>
        <v>1</v>
      </c>
      <c r="E34" s="4"/>
      <c r="F34" s="45" t="s">
        <v>1037</v>
      </c>
      <c r="G34" s="4"/>
      <c r="H34" s="47"/>
      <c r="I34" s="26">
        <v>14</v>
      </c>
      <c r="J34" s="26" t="s">
        <v>736</v>
      </c>
      <c r="K34" t="s">
        <v>13</v>
      </c>
      <c r="L34" t="s">
        <v>586</v>
      </c>
      <c r="N34" t="str">
        <f t="shared" si="83"/>
        <v/>
      </c>
      <c r="O34" t="s">
        <v>576</v>
      </c>
      <c r="Q34" t="str">
        <f t="shared" si="77"/>
        <v/>
      </c>
      <c r="S34">
        <f>IF(A34=1,MAX($S$2:$S33)+1,IF(OR($I34&lt;&gt;"",A34="x"),$S33,""))</f>
        <v>17</v>
      </c>
      <c r="T34" t="str">
        <f>IF(D34=1,MAX($T$2:$T33)+1,IF(S34=S33,$T33,IF(D34="x",T33,IF(D33="x","",""))))</f>
        <v/>
      </c>
      <c r="U34" t="str">
        <f>IF(B34=1,MAX($U$2:$U33)+1,IF(AND($T34&lt;&gt;"",$T34=$T33),$U33,IF(B34="x",U33,"")))</f>
        <v/>
      </c>
      <c r="V34" t="str">
        <f>IF(C34=1,MAX($V$2:$V33)+1,IF(AND($T34&lt;&gt;"",$T34=$T33),$U33,IF(C34="x",V33,"")))</f>
        <v/>
      </c>
      <c r="W34" t="str" cm="1">
        <f t="array" ref="W34">IFERROR(_xlfn._xlws.FILTER(game_rosters!AC:AC,(game_rosters!J:J=events!X34)*(K34&lt;&gt;"")),"")</f>
        <v>a</v>
      </c>
      <c r="X34" cm="1">
        <f t="array" ref="X34">IF($I34&lt;&gt;"",$I34,INDEX($I$1:$I34,ROW()-COUNTIFS($T$1:$T34,"="&amp;$T34,$S$1:$S34,"&lt;"&amp;$S34)))</f>
        <v>14</v>
      </c>
      <c r="Y34" cm="1">
        <f t="array" ref="Y34">IFERROR(IF(_xlfn._xlws.FILTER(game_rosters!$J:$J,(game_rosters!$G:$G=events!$AM34)*(game_rosters!$J:$J=events!$X34))&gt;0,1,""),"")</f>
        <v>1</v>
      </c>
      <c r="Z34" s="6">
        <f t="shared" si="34"/>
        <v>1</v>
      </c>
      <c r="AA34">
        <f t="shared" si="35"/>
        <v>1017</v>
      </c>
      <c r="AB34" t="str">
        <f t="shared" si="36"/>
        <v/>
      </c>
      <c r="AC34">
        <f t="shared" si="37"/>
        <v>1017</v>
      </c>
      <c r="AD34" t="str">
        <f t="shared" si="38"/>
        <v>17</v>
      </c>
      <c r="AE34" t="str">
        <f t="shared" si="39"/>
        <v>41</v>
      </c>
      <c r="AF34" t="str">
        <f t="shared" si="40"/>
        <v/>
      </c>
      <c r="AG34" t="str">
        <f t="shared" si="41"/>
        <v/>
      </c>
      <c r="AH34" t="str">
        <f t="shared" si="90"/>
        <v>e</v>
      </c>
      <c r="AI34" t="str">
        <f t="shared" si="91"/>
        <v>d</v>
      </c>
      <c r="AJ34" t="str">
        <f t="shared" si="91"/>
        <v>d</v>
      </c>
      <c r="AK34" t="str">
        <f t="shared" si="92"/>
        <v>o</v>
      </c>
      <c r="AL34" t="str">
        <f t="shared" si="93"/>
        <v>d</v>
      </c>
      <c r="AM34" t="str">
        <f t="shared" si="44"/>
        <v>Away</v>
      </c>
      <c r="AN34" t="str">
        <f t="shared" si="94"/>
        <v>a</v>
      </c>
      <c r="AO34" t="str">
        <f t="shared" si="95"/>
        <v>o</v>
      </c>
      <c r="AP34" t="str">
        <f t="shared" si="96"/>
        <v>d</v>
      </c>
      <c r="AQ34" t="str">
        <f>IF(AM34&lt;&gt;"",AM34,IF($AC34=#REF!,#REF!,""))</f>
        <v>Away</v>
      </c>
      <c r="AR34" t="str">
        <f t="shared" si="97"/>
        <v>a</v>
      </c>
      <c r="AS34" t="str">
        <f t="shared" si="98"/>
        <v>Offensive</v>
      </c>
      <c r="AT34" t="str">
        <f t="shared" si="50"/>
        <v/>
      </c>
      <c r="AU34" t="str">
        <f t="shared" si="51"/>
        <v/>
      </c>
      <c r="AV34" t="str" cm="1">
        <f t="array" ref="AV34">IFERROR(IF(O34&lt;&gt;"",O34,IF(OR($S34="",$T34=""),"",IF(O34&lt;&gt;"",O34,IF($T34&lt;&gt;"",_xlfn._xlws.FILTER(O:O,($BT:$BT=$BT34)*($I:$I=$I34)*($T:$T=$T34)*($S:$S=_xlfn.MINIFS($S:$S,$T:$T,"="&amp;$T34)),"")))))&amp;"",IF(O34="","",""))&amp;""</f>
        <v>SecondTouch</v>
      </c>
      <c r="AW34" t="str" cm="1">
        <f t="array" ref="AW34">IFERROR(IF(P34&lt;&gt;"",P34,IF(OR($S34="",$T34=""),"",IF($T34&lt;&gt;"",_xlfn._xlws.FILTER(P:P,($BT:$BT=$BT34)*($I:$I=$I34)*($T:$T=$T34)*($S:$S=_xlfn.MINIFS($S:$S,$T:$T,"="&amp;$T34)),""))))&amp;"",IF(P34="","",""))&amp;""</f>
        <v/>
      </c>
      <c r="AX34" t="str" cm="1">
        <f t="array" ref="AX34">IFERROR(IF(Q34&lt;&gt;"",Q34,IF(OR($S34="",$T34=""),"",IF($T34&lt;&gt;"",_xlfn._xlws.FILTER(Q:Q,($BT:$BT=$BT34)*($I:$I=$I34)*($T:$T=$T34)*($S:$S=_xlfn.MINIFS($S:$S,$T:$T,"="&amp;$T34)),""))))&amp;"",IF(Q34="","",""))&amp;""</f>
        <v/>
      </c>
      <c r="AY34" t="str" cm="1">
        <f t="array" ref="AY34">IFERROR(IF(R34&lt;&gt;"",R34,IF(OR($S34="",$T34=""),"",IF($T34&lt;&gt;"",_xlfn._xlws.FILTER(R:R,($BT:$BT=$BT34)*($I:$I=$I34)*($T:$T=$T34)*($S:$S=_xlfn.MINIFS($S:$S,$T:$T,"="&amp;$T34)),""))))&amp;"",IF(R34="","",""))&amp;""</f>
        <v/>
      </c>
      <c r="AZ34" s="6">
        <f t="shared" si="52"/>
        <v>4</v>
      </c>
      <c r="BA34">
        <f t="shared" ref="BA34:BC34" si="106">BA33</f>
        <v>18991</v>
      </c>
      <c r="BB34" t="str">
        <f t="shared" si="106"/>
        <v>Triple J</v>
      </c>
      <c r="BC34" t="str">
        <f t="shared" si="106"/>
        <v>Velodrome</v>
      </c>
      <c r="BD34" t="str">
        <f t="shared" si="54"/>
        <v>Possession</v>
      </c>
      <c r="BE34" t="str">
        <f t="shared" si="55"/>
        <v>PuckRetrieval</v>
      </c>
      <c r="BF34" t="str">
        <f t="shared" si="56"/>
        <v/>
      </c>
      <c r="BG34" t="str">
        <f t="shared" si="22"/>
        <v/>
      </c>
      <c r="BH34" cm="1">
        <f t="array" ref="BH34">IFERROR(_xlfn._xlws.FILTER(shifts!A:A,(shifts!B:B=events!Z34)*(shifts!AG:AG&gt;=events!BJ34)*(shifts!AH:AH&lt;=events!BK34)),BH33)</f>
        <v>1</v>
      </c>
      <c r="BI34" s="15">
        <f t="shared" si="57"/>
        <v>0</v>
      </c>
      <c r="BJ34">
        <f t="shared" si="58"/>
        <v>1061</v>
      </c>
      <c r="BK34">
        <f t="shared" si="59"/>
        <v>1061</v>
      </c>
      <c r="BL34" s="15">
        <f>SUMIFS(BI$2:BI34,K$2:K34,"=Intermission")+SUMIFS(BI$2:BI34,K$2:K34,"=Timeout")</f>
        <v>0</v>
      </c>
      <c r="BM34">
        <f t="shared" si="60"/>
        <v>0</v>
      </c>
      <c r="BN34" s="19">
        <f t="shared" si="61"/>
        <v>19</v>
      </c>
      <c r="BO34">
        <f t="shared" si="62"/>
        <v>14</v>
      </c>
      <c r="BP34" s="17">
        <f t="shared" si="63"/>
        <v>19</v>
      </c>
      <c r="BQ34" t="str">
        <f t="shared" si="64"/>
        <v>event_team_player_1</v>
      </c>
      <c r="BR34">
        <f>COUNTIFS(S$3:S34,"="&amp;S34,AH$3:AH34,"="&amp;AH34)</f>
        <v>1</v>
      </c>
      <c r="BS34" t="str">
        <f>IFERROR(VLOOKUP(BA34&amp;BT34&amp;X34,game_rosters!U:W,3,FALSE),"")</f>
        <v>P100132</v>
      </c>
      <c r="BT34" t="str">
        <f t="shared" si="65"/>
        <v>Velodrome</v>
      </c>
    </row>
    <row r="35" spans="1:72" x14ac:dyDescent="0.2">
      <c r="A35">
        <f t="shared" si="9"/>
        <v>1</v>
      </c>
      <c r="E35" s="4"/>
      <c r="F35" s="45"/>
      <c r="G35" s="4"/>
      <c r="H35" s="47"/>
      <c r="I35" s="26">
        <v>14</v>
      </c>
      <c r="J35" s="26" t="s">
        <v>736</v>
      </c>
      <c r="K35" t="s">
        <v>230</v>
      </c>
      <c r="L35" t="s">
        <v>388</v>
      </c>
      <c r="M35" t="s">
        <v>431</v>
      </c>
      <c r="N35" t="str">
        <f t="shared" si="83"/>
        <v/>
      </c>
      <c r="Q35" t="str">
        <f t="shared" si="77"/>
        <v/>
      </c>
      <c r="S35">
        <f>IF(A35=1,MAX($S$2:$S34)+1,IF(OR($I35&lt;&gt;"",A35="x"),$S34,""))</f>
        <v>18</v>
      </c>
      <c r="T35" t="str">
        <f>IF(D35=1,MAX($T$2:$T34)+1,IF(S35=S34,$T34,IF(D35="x",T34,IF(D34="x","",""))))</f>
        <v/>
      </c>
      <c r="U35" t="str">
        <f>IF(B35=1,MAX($U$2:$U34)+1,IF(AND($T35&lt;&gt;"",$T35=$T34),$U34,IF(B35="x",U34,"")))</f>
        <v/>
      </c>
      <c r="V35" t="str">
        <f>IF(C35=1,MAX($V$2:$V34)+1,IF(AND($T35&lt;&gt;"",$T35=$T34),$U34,IF(C35="x",V34,"")))</f>
        <v/>
      </c>
      <c r="W35" t="str" cm="1">
        <f t="array" ref="W35">IFERROR(_xlfn._xlws.FILTER(game_rosters!AC:AC,(game_rosters!J:J=events!X35)*(K35&lt;&gt;"")),"")</f>
        <v>a</v>
      </c>
      <c r="X35" cm="1">
        <f t="array" ref="X35">IF($I35&lt;&gt;"",$I35,INDEX($I$1:$I35,ROW()-COUNTIFS($T$1:$T35,"="&amp;$T35,$S$1:$S35,"&lt;"&amp;$S35)))</f>
        <v>14</v>
      </c>
      <c r="Y35" cm="1">
        <f t="array" ref="Y35">IFERROR(IF(_xlfn._xlws.FILTER(game_rosters!$J:$J,(game_rosters!$G:$G=events!$AM35)*(game_rosters!$J:$J=events!$X35))&gt;0,1,""),"")</f>
        <v>1</v>
      </c>
      <c r="Z35" s="6">
        <f t="shared" si="34"/>
        <v>1</v>
      </c>
      <c r="AA35">
        <f t="shared" si="35"/>
        <v>1018</v>
      </c>
      <c r="AB35" t="str">
        <f t="shared" si="36"/>
        <v/>
      </c>
      <c r="AC35">
        <f t="shared" si="37"/>
        <v>1018</v>
      </c>
      <c r="AD35" t="str">
        <f t="shared" si="38"/>
        <v>17</v>
      </c>
      <c r="AE35" t="str">
        <f t="shared" si="39"/>
        <v>41</v>
      </c>
      <c r="AF35" t="str">
        <f t="shared" si="40"/>
        <v/>
      </c>
      <c r="AG35" t="str">
        <f t="shared" si="41"/>
        <v/>
      </c>
      <c r="AH35" t="str">
        <f t="shared" si="90"/>
        <v>e</v>
      </c>
      <c r="AI35" t="str">
        <f t="shared" si="91"/>
        <v>d</v>
      </c>
      <c r="AJ35" t="str">
        <f t="shared" si="91"/>
        <v>d</v>
      </c>
      <c r="AK35" t="str">
        <f t="shared" si="92"/>
        <v>o</v>
      </c>
      <c r="AL35" t="str">
        <f t="shared" si="93"/>
        <v>d</v>
      </c>
      <c r="AM35" t="str">
        <f t="shared" si="44"/>
        <v>Away</v>
      </c>
      <c r="AN35" t="str">
        <f t="shared" si="94"/>
        <v>a</v>
      </c>
      <c r="AO35" t="str">
        <f t="shared" si="95"/>
        <v>o</v>
      </c>
      <c r="AP35" t="str">
        <f t="shared" si="96"/>
        <v>d</v>
      </c>
      <c r="AQ35" t="str">
        <f>IF(AM35&lt;&gt;"",AM35,IF($AC35=#REF!,#REF!,""))</f>
        <v>Away</v>
      </c>
      <c r="AR35" t="str">
        <f t="shared" si="97"/>
        <v>a</v>
      </c>
      <c r="AS35" t="str">
        <f t="shared" si="98"/>
        <v>Offensive</v>
      </c>
      <c r="AT35" t="str">
        <f t="shared" si="50"/>
        <v/>
      </c>
      <c r="AU35" t="str">
        <f t="shared" si="51"/>
        <v/>
      </c>
      <c r="AV35" t="str" cm="1">
        <f t="array" ref="AV35">IFERROR(IF(O35&lt;&gt;"",O35,IF(OR($S35="",$T35=""),"",IF(O35&lt;&gt;"",O35,IF($T35&lt;&gt;"",_xlfn._xlws.FILTER(O:O,($BT:$BT=$BT35)*($I:$I=$I35)*($T:$T=$T35)*($S:$S=_xlfn.MINIFS($S:$S,$T:$T,"="&amp;$T35)),"")))))&amp;"",IF(O35="","",""))&amp;""</f>
        <v/>
      </c>
      <c r="AW35" t="str" cm="1">
        <f t="array" ref="AW35">IFERROR(IF(P35&lt;&gt;"",P35,IF(OR($S35="",$T35=""),"",IF($T35&lt;&gt;"",_xlfn._xlws.FILTER(P:P,($BT:$BT=$BT35)*($I:$I=$I35)*($T:$T=$T35)*($S:$S=_xlfn.MINIFS($S:$S,$T:$T,"="&amp;$T35)),""))))&amp;"",IF(P35="","",""))&amp;""</f>
        <v/>
      </c>
      <c r="AX35" t="str" cm="1">
        <f t="array" ref="AX35">IFERROR(IF(Q35&lt;&gt;"",Q35,IF(OR($S35="",$T35=""),"",IF($T35&lt;&gt;"",_xlfn._xlws.FILTER(Q:Q,($BT:$BT=$BT35)*($I:$I=$I35)*($T:$T=$T35)*($S:$S=_xlfn.MINIFS($S:$S,$T:$T,"="&amp;$T35)),""))))&amp;"",IF(Q35="","",""))&amp;""</f>
        <v/>
      </c>
      <c r="AY35" t="str" cm="1">
        <f t="array" ref="AY35">IFERROR(IF(R35&lt;&gt;"",R35,IF(OR($S35="",$T35=""),"",IF($T35&lt;&gt;"",_xlfn._xlws.FILTER(R:R,($BT:$BT=$BT35)*($I:$I=$I35)*($T:$T=$T35)*($S:$S=_xlfn.MINIFS($S:$S,$T:$T,"="&amp;$T35)),""))))&amp;"",IF(R35="","",""))&amp;""</f>
        <v/>
      </c>
      <c r="AZ35" s="6">
        <f t="shared" si="52"/>
        <v>4</v>
      </c>
      <c r="BA35">
        <f t="shared" ref="BA35:BC35" si="107">BA34</f>
        <v>18991</v>
      </c>
      <c r="BB35" t="str">
        <f t="shared" si="107"/>
        <v>Triple J</v>
      </c>
      <c r="BC35" t="str">
        <f t="shared" si="107"/>
        <v>Velodrome</v>
      </c>
      <c r="BD35" t="str">
        <f t="shared" si="54"/>
        <v>Play</v>
      </c>
      <c r="BE35" t="str">
        <f t="shared" si="55"/>
        <v>Play_Offensive</v>
      </c>
      <c r="BF35" t="str">
        <f t="shared" si="56"/>
        <v>Play-Dump/RimInZone</v>
      </c>
      <c r="BG35" t="str">
        <f t="shared" si="22"/>
        <v/>
      </c>
      <c r="BH35" cm="1">
        <f t="array" ref="BH35">IFERROR(_xlfn._xlws.FILTER(shifts!A:A,(shifts!B:B=events!Z35)*(shifts!AG:AG&gt;=events!BJ35)*(shifts!AH:AH&lt;=events!BK35)),BH34)</f>
        <v>1</v>
      </c>
      <c r="BI35" s="15">
        <f t="shared" si="57"/>
        <v>0</v>
      </c>
      <c r="BJ35">
        <f t="shared" si="58"/>
        <v>1061</v>
      </c>
      <c r="BK35">
        <f t="shared" si="59"/>
        <v>1061</v>
      </c>
      <c r="BL35" s="15">
        <f>SUMIFS(BI$2:BI35,K$2:K35,"=Intermission")+SUMIFS(BI$2:BI35,K$2:K35,"=Timeout")</f>
        <v>0</v>
      </c>
      <c r="BM35">
        <f t="shared" si="60"/>
        <v>0</v>
      </c>
      <c r="BN35" s="19">
        <f t="shared" si="61"/>
        <v>19</v>
      </c>
      <c r="BO35">
        <f t="shared" si="62"/>
        <v>14</v>
      </c>
      <c r="BP35" s="17">
        <f t="shared" si="63"/>
        <v>19</v>
      </c>
      <c r="BQ35" t="str">
        <f t="shared" si="64"/>
        <v>event_team_player_1</v>
      </c>
      <c r="BR35">
        <f>COUNTIFS(S$3:S35,"="&amp;S35,AH$3:AH35,"="&amp;AH35)</f>
        <v>1</v>
      </c>
      <c r="BS35" t="str">
        <f>IFERROR(VLOOKUP(BA35&amp;BT35&amp;X35,game_rosters!U:W,3,FALSE),"")</f>
        <v>P100132</v>
      </c>
      <c r="BT35" t="str">
        <f t="shared" si="65"/>
        <v>Velodrome</v>
      </c>
    </row>
    <row r="36" spans="1:72" x14ac:dyDescent="0.2">
      <c r="A36">
        <f t="shared" si="9"/>
        <v>1</v>
      </c>
      <c r="E36" s="4"/>
      <c r="F36" s="45" t="s">
        <v>1062</v>
      </c>
      <c r="G36" s="4"/>
      <c r="H36" s="47"/>
      <c r="I36" s="26">
        <v>22</v>
      </c>
      <c r="J36" s="26" t="s">
        <v>736</v>
      </c>
      <c r="K36" t="s">
        <v>13</v>
      </c>
      <c r="L36" t="s">
        <v>587</v>
      </c>
      <c r="N36" t="s">
        <v>595</v>
      </c>
      <c r="O36" t="s">
        <v>904</v>
      </c>
      <c r="Q36" t="str">
        <f t="shared" si="77"/>
        <v>s</v>
      </c>
      <c r="R36" s="26">
        <v>1</v>
      </c>
      <c r="S36">
        <f>IF(A36=1,MAX($S$2:$S35)+1,IF(OR($I36&lt;&gt;"",A36="x"),$S35,""))</f>
        <v>19</v>
      </c>
      <c r="T36" t="str">
        <f>IF(D36=1,MAX($T$2:$T35)+1,IF(S36=S35,$T35,IF(D36="x",T35,IF(D35="x","",""))))</f>
        <v/>
      </c>
      <c r="U36" t="str">
        <f>IF(B36=1,MAX($U$2:$U35)+1,IF(AND($T36&lt;&gt;"",$T36=$T35),$U35,IF(B36="x",U35,"")))</f>
        <v/>
      </c>
      <c r="V36" t="str">
        <f>IF(C36=1,MAX($V$2:$V35)+1,IF(AND($T36&lt;&gt;"",$T36=$T35),$U35,IF(C36="x",V35,"")))</f>
        <v/>
      </c>
      <c r="W36" t="str" cm="1">
        <f t="array" ref="W36">IFERROR(_xlfn._xlws.FILTER(game_rosters!AC:AC,(game_rosters!J:J=events!X36)*(K36&lt;&gt;"")),"")</f>
        <v>a</v>
      </c>
      <c r="X36" cm="1">
        <f t="array" ref="X36">IF($I36&lt;&gt;"",$I36,INDEX($I$1:$I36,ROW()-COUNTIFS($T$1:$T36,"="&amp;$T36,$S$1:$S36,"&lt;"&amp;$S36)))</f>
        <v>22</v>
      </c>
      <c r="Y36" cm="1">
        <f t="array" ref="Y36">IFERROR(IF(_xlfn._xlws.FILTER(game_rosters!$J:$J,(game_rosters!$G:$G=events!$AM36)*(game_rosters!$J:$J=events!$X36))&gt;0,1,""),"")</f>
        <v>1</v>
      </c>
      <c r="Z36" s="6">
        <f t="shared" si="34"/>
        <v>1</v>
      </c>
      <c r="AA36">
        <f t="shared" si="35"/>
        <v>1019</v>
      </c>
      <c r="AB36" t="str">
        <f t="shared" si="36"/>
        <v/>
      </c>
      <c r="AC36">
        <f t="shared" si="37"/>
        <v>1019</v>
      </c>
      <c r="AD36" t="str">
        <f t="shared" si="38"/>
        <v>17</v>
      </c>
      <c r="AE36" t="str">
        <f t="shared" si="39"/>
        <v>36</v>
      </c>
      <c r="AF36" t="str">
        <f t="shared" si="40"/>
        <v/>
      </c>
      <c r="AG36" t="str">
        <f t="shared" si="41"/>
        <v/>
      </c>
      <c r="AH36" t="str">
        <f t="shared" si="90"/>
        <v>e</v>
      </c>
      <c r="AI36" t="str">
        <f t="shared" si="91"/>
        <v>d</v>
      </c>
      <c r="AJ36" t="str">
        <f t="shared" si="91"/>
        <v>d</v>
      </c>
      <c r="AK36" t="str">
        <f t="shared" si="92"/>
        <v>o</v>
      </c>
      <c r="AL36" t="str">
        <f t="shared" si="93"/>
        <v>d</v>
      </c>
      <c r="AM36" t="str">
        <f t="shared" si="44"/>
        <v>Away</v>
      </c>
      <c r="AN36" t="str">
        <f t="shared" si="94"/>
        <v>a</v>
      </c>
      <c r="AO36" t="str">
        <f t="shared" si="95"/>
        <v>o</v>
      </c>
      <c r="AP36" t="str">
        <f t="shared" si="96"/>
        <v>d</v>
      </c>
      <c r="AQ36" t="str">
        <f>IF(AM36&lt;&gt;"",AM36,IF($AC36=#REF!,#REF!,""))</f>
        <v>Away</v>
      </c>
      <c r="AR36" t="str">
        <f t="shared" si="97"/>
        <v>a</v>
      </c>
      <c r="AS36" t="str">
        <f t="shared" si="98"/>
        <v>Offensive</v>
      </c>
      <c r="AT36" t="str">
        <f t="shared" si="50"/>
        <v/>
      </c>
      <c r="AU36" t="str">
        <f t="shared" si="51"/>
        <v/>
      </c>
      <c r="AV36" t="str" cm="1">
        <f t="array" ref="AV36">IFERROR(IF(O36&lt;&gt;"",O36,IF(OR($S36="",$T36=""),"",IF(O36&lt;&gt;"",O36,IF($T36&lt;&gt;"",_xlfn._xlws.FILTER(O:O,($BT:$BT=$BT36)*($I:$I=$I36)*($T:$T=$T36)*($S:$S=_xlfn.MINIFS($S:$S,$T:$T,"="&amp;$T36)),"")))))&amp;"",IF(O36="","",""))&amp;""</f>
        <v>PuckRecoveryRetreivalDumpIn</v>
      </c>
      <c r="AW36" t="str" cm="1">
        <f t="array" ref="AW36">IFERROR(IF(P36&lt;&gt;"",P36,IF(OR($S36="",$T36=""),"",IF($T36&lt;&gt;"",_xlfn._xlws.FILTER(P:P,($BT:$BT=$BT36)*($I:$I=$I36)*($T:$T=$T36)*($S:$S=_xlfn.MINIFS($S:$S,$T:$T,"="&amp;$T36)),""))))&amp;"",IF(P36="","",""))&amp;""</f>
        <v/>
      </c>
      <c r="AX36" t="str" cm="1">
        <f t="array" ref="AX36">IFERROR(IF(Q36&lt;&gt;"",Q36,IF(OR($S36="",$T36=""),"",IF($T36&lt;&gt;"",_xlfn._xlws.FILTER(Q:Q,($BT:$BT=$BT36)*($I:$I=$I36)*($T:$T=$T36)*($S:$S=_xlfn.MINIFS($S:$S,$T:$T,"="&amp;$T36)),""))))&amp;"",IF(Q36="","",""))&amp;""</f>
        <v>s</v>
      </c>
      <c r="AY36" t="str" cm="1">
        <f t="array" ref="AY36">IFERROR(IF(R36&lt;&gt;"",R36,IF(OR($S36="",$T36=""),"",IF($T36&lt;&gt;"",_xlfn._xlws.FILTER(R:R,($BT:$BT=$BT36)*($I:$I=$I36)*($T:$T=$T36)*($S:$S=_xlfn.MINIFS($S:$S,$T:$T,"="&amp;$T36)),""))))&amp;"",IF(R36="","",""))&amp;""</f>
        <v>1</v>
      </c>
      <c r="AZ36" s="6">
        <f t="shared" si="52"/>
        <v>4</v>
      </c>
      <c r="BA36">
        <f t="shared" ref="BA36:BC36" si="108">BA35</f>
        <v>18991</v>
      </c>
      <c r="BB36" t="str">
        <f t="shared" si="108"/>
        <v>Triple J</v>
      </c>
      <c r="BC36" t="str">
        <f t="shared" si="108"/>
        <v>Velodrome</v>
      </c>
      <c r="BD36" t="str">
        <f t="shared" si="54"/>
        <v>Possession</v>
      </c>
      <c r="BE36" t="str">
        <f t="shared" si="55"/>
        <v>PuckRecovery</v>
      </c>
      <c r="BF36" t="str">
        <f t="shared" si="56"/>
        <v/>
      </c>
      <c r="BG36" t="str">
        <f t="shared" si="22"/>
        <v>s</v>
      </c>
      <c r="BH36" cm="1">
        <f t="array" ref="BH36">IFERROR(_xlfn._xlws.FILTER(shifts!A:A,(shifts!B:B=events!Z36)*(shifts!AG:AG&gt;=events!BJ36)*(shifts!AH:AH&lt;=events!BK36)),BH35)</f>
        <v>1</v>
      </c>
      <c r="BI36" s="15">
        <f t="shared" si="57"/>
        <v>0</v>
      </c>
      <c r="BJ36">
        <f t="shared" si="58"/>
        <v>1056</v>
      </c>
      <c r="BK36">
        <f t="shared" si="59"/>
        <v>1056</v>
      </c>
      <c r="BL36" s="15">
        <f>SUMIFS(BI$2:BI36,K$2:K36,"=Intermission")+SUMIFS(BI$2:BI36,K$2:K36,"=Timeout")</f>
        <v>0</v>
      </c>
      <c r="BM36">
        <f t="shared" si="60"/>
        <v>0</v>
      </c>
      <c r="BN36" s="19">
        <f t="shared" si="61"/>
        <v>24</v>
      </c>
      <c r="BO36">
        <f t="shared" si="62"/>
        <v>19</v>
      </c>
      <c r="BP36" s="17">
        <f t="shared" si="63"/>
        <v>24</v>
      </c>
      <c r="BQ36" t="str">
        <f t="shared" si="64"/>
        <v>event_team_player_1</v>
      </c>
      <c r="BR36">
        <f>COUNTIFS(S$3:S36,"="&amp;S36,AH$3:AH36,"="&amp;AH36)</f>
        <v>1</v>
      </c>
      <c r="BS36" t="str">
        <f>IFERROR(VLOOKUP(BA36&amp;BT36&amp;X36,game_rosters!U:W,3,FALSE),"")</f>
        <v>P100108</v>
      </c>
      <c r="BT36" t="str">
        <f t="shared" si="65"/>
        <v>Velodrome</v>
      </c>
    </row>
    <row r="37" spans="1:72" x14ac:dyDescent="0.2">
      <c r="A37" t="str">
        <f t="shared" si="9"/>
        <v/>
      </c>
      <c r="E37" s="4"/>
      <c r="F37" s="45"/>
      <c r="G37" s="4"/>
      <c r="H37" s="47"/>
      <c r="I37" s="26">
        <v>16</v>
      </c>
      <c r="J37" s="26" t="str">
        <f t="shared" si="68"/>
        <v/>
      </c>
      <c r="N37" t="str">
        <f t="shared" si="83"/>
        <v/>
      </c>
      <c r="Q37" t="str">
        <f t="shared" si="77"/>
        <v/>
      </c>
      <c r="R37" s="26">
        <v>1</v>
      </c>
      <c r="S37">
        <f>IF(A37=1,MAX($S$2:$S36)+1,IF(OR($I37&lt;&gt;"",A37="x"),$S36,""))</f>
        <v>19</v>
      </c>
      <c r="T37" t="str">
        <f>IF(D37=1,MAX($T$2:$T36)+1,IF(S37=S36,$T36,IF(D37="x",T36,IF(D36="x","",""))))</f>
        <v/>
      </c>
      <c r="U37" t="str">
        <f>IF(B37=1,MAX($U$2:$U36)+1,IF(AND($T37&lt;&gt;"",$T37=$T36),$U36,IF(B37="x",U36,"")))</f>
        <v/>
      </c>
      <c r="V37" t="str">
        <f>IF(C37=1,MAX($V$2:$V36)+1,IF(AND($T37&lt;&gt;"",$T37=$T36),$U36,IF(C37="x",V36,"")))</f>
        <v/>
      </c>
      <c r="W37" t="str" cm="1">
        <f t="array" ref="W37">IFERROR(_xlfn._xlws.FILTER(game_rosters!AC:AC,(game_rosters!J:J=events!X37)*(K37&lt;&gt;"")),"")</f>
        <v/>
      </c>
      <c r="X37" cm="1">
        <f t="array" ref="X37">IF($I37&lt;&gt;"",$I37,INDEX($I$1:$I37,ROW()-COUNTIFS($T$1:$T37,"="&amp;$T37,$S$1:$S37,"&lt;"&amp;$S37)))</f>
        <v>16</v>
      </c>
      <c r="Y37" t="str" cm="1">
        <f t="array" ref="Y37">IFERROR(IF(_xlfn._xlws.FILTER(game_rosters!$J:$J,(game_rosters!$G:$G=events!$AM37)*(game_rosters!$J:$J=events!$X37))&gt;0,1,""),"")</f>
        <v/>
      </c>
      <c r="Z37" s="6">
        <f t="shared" si="34"/>
        <v>1</v>
      </c>
      <c r="AA37">
        <f t="shared" si="35"/>
        <v>1019</v>
      </c>
      <c r="AB37" t="str">
        <f t="shared" si="36"/>
        <v/>
      </c>
      <c r="AC37">
        <f t="shared" si="37"/>
        <v>1019</v>
      </c>
      <c r="AD37" t="str">
        <f t="shared" si="38"/>
        <v>17</v>
      </c>
      <c r="AE37" t="str">
        <f t="shared" si="39"/>
        <v>36</v>
      </c>
      <c r="AF37" t="str">
        <f t="shared" si="40"/>
        <v/>
      </c>
      <c r="AG37" t="str">
        <f t="shared" si="41"/>
        <v/>
      </c>
      <c r="AH37" t="str">
        <f t="shared" si="90"/>
        <v>o</v>
      </c>
      <c r="AI37" t="str">
        <f t="shared" si="91"/>
        <v>d</v>
      </c>
      <c r="AJ37" t="str">
        <f t="shared" si="91"/>
        <v>d</v>
      </c>
      <c r="AK37" t="str">
        <f t="shared" si="92"/>
        <v/>
      </c>
      <c r="AL37" t="str">
        <f t="shared" si="93"/>
        <v/>
      </c>
      <c r="AM37" t="str">
        <f t="shared" si="44"/>
        <v>Away</v>
      </c>
      <c r="AN37" t="str">
        <f t="shared" si="94"/>
        <v>a</v>
      </c>
      <c r="AO37" t="str">
        <f t="shared" si="95"/>
        <v>o</v>
      </c>
      <c r="AP37" t="str">
        <f t="shared" si="96"/>
        <v>d</v>
      </c>
      <c r="AQ37" t="str">
        <f>IF(AM37&lt;&gt;"",AM37,IF($AC37=#REF!,#REF!,""))</f>
        <v>Away</v>
      </c>
      <c r="AR37" t="str">
        <f t="shared" si="97"/>
        <v>a</v>
      </c>
      <c r="AS37" t="str">
        <f t="shared" si="98"/>
        <v>Defensive</v>
      </c>
      <c r="AT37" t="str">
        <f t="shared" si="50"/>
        <v/>
      </c>
      <c r="AU37" t="str">
        <f t="shared" si="51"/>
        <v/>
      </c>
      <c r="AV37" t="str" cm="1">
        <f t="array" ref="AV37">IFERROR(IF(O37&lt;&gt;"",O37,IF(OR($S37="",$T37=""),"",IF(O37&lt;&gt;"",O37,IF($T37&lt;&gt;"",_xlfn._xlws.FILTER(O:O,($BT:$BT=$BT37)*($I:$I=$I37)*($T:$T=$T37)*($S:$S=_xlfn.MINIFS($S:$S,$T:$T,"="&amp;$T37)),"")))))&amp;"",IF(O37="","",""))&amp;""</f>
        <v/>
      </c>
      <c r="AW37" t="str" cm="1">
        <f t="array" ref="AW37">IFERROR(IF(P37&lt;&gt;"",P37,IF(OR($S37="",$T37=""),"",IF($T37&lt;&gt;"",_xlfn._xlws.FILTER(P:P,($BT:$BT=$BT37)*($I:$I=$I37)*($T:$T=$T37)*($S:$S=_xlfn.MINIFS($S:$S,$T:$T,"="&amp;$T37)),""))))&amp;"",IF(P37="","",""))&amp;""</f>
        <v/>
      </c>
      <c r="AX37" t="str" cm="1">
        <f t="array" ref="AX37">IFERROR(IF(Q37&lt;&gt;"",Q37,IF(OR($S37="",$T37=""),"",IF($T37&lt;&gt;"",_xlfn._xlws.FILTER(Q:Q,($BT:$BT=$BT37)*($I:$I=$I37)*($T:$T=$T37)*($S:$S=_xlfn.MINIFS($S:$S,$T:$T,"="&amp;$T37)),""))))&amp;"",IF(Q37="","",""))&amp;""</f>
        <v/>
      </c>
      <c r="AY37" t="str" cm="1">
        <f t="array" ref="AY37">IFERROR(IF(R37&lt;&gt;"",R37,IF(OR($S37="",$T37=""),"",IF($T37&lt;&gt;"",_xlfn._xlws.FILTER(R:R,($BT:$BT=$BT37)*($I:$I=$I37)*($T:$T=$T37)*($S:$S=_xlfn.MINIFS($S:$S,$T:$T,"="&amp;$T37)),""))))&amp;"",IF(R37="","",""))&amp;""</f>
        <v>1</v>
      </c>
      <c r="AZ37" s="6">
        <f t="shared" si="52"/>
        <v>4</v>
      </c>
      <c r="BA37">
        <f t="shared" ref="BA37:BC37" si="109">BA36</f>
        <v>18991</v>
      </c>
      <c r="BB37" t="str">
        <f t="shared" si="109"/>
        <v>Triple J</v>
      </c>
      <c r="BC37" t="str">
        <f t="shared" si="109"/>
        <v>Velodrome</v>
      </c>
      <c r="BD37" t="str">
        <f t="shared" si="54"/>
        <v>Possession</v>
      </c>
      <c r="BE37" t="str">
        <f t="shared" si="55"/>
        <v>PuckRecovery</v>
      </c>
      <c r="BF37" t="str">
        <f t="shared" si="56"/>
        <v/>
      </c>
      <c r="BG37" t="str">
        <f t="shared" si="22"/>
        <v>s</v>
      </c>
      <c r="BH37" cm="1">
        <f t="array" ref="BH37">IFERROR(_xlfn._xlws.FILTER(shifts!A:A,(shifts!B:B=events!Z37)*(shifts!AG:AG&gt;=events!BJ37)*(shifts!AH:AH&lt;=events!BK37)),BH36)</f>
        <v>1</v>
      </c>
      <c r="BI37" s="15">
        <f t="shared" si="57"/>
        <v>0</v>
      </c>
      <c r="BJ37">
        <f t="shared" si="58"/>
        <v>1056</v>
      </c>
      <c r="BK37">
        <f t="shared" si="59"/>
        <v>1056</v>
      </c>
      <c r="BL37" s="15">
        <f>SUMIFS(BI$2:BI37,K$2:K37,"=Intermission")+SUMIFS(BI$2:BI37,K$2:K37,"=Timeout")</f>
        <v>0</v>
      </c>
      <c r="BM37">
        <f t="shared" si="60"/>
        <v>0</v>
      </c>
      <c r="BN37" s="19">
        <f t="shared" si="61"/>
        <v>24</v>
      </c>
      <c r="BO37">
        <f t="shared" si="62"/>
        <v>19</v>
      </c>
      <c r="BP37" s="17">
        <f t="shared" si="63"/>
        <v>24</v>
      </c>
      <c r="BQ37" t="str">
        <f t="shared" si="64"/>
        <v>opp_team_player_1</v>
      </c>
      <c r="BR37">
        <f>COUNTIFS(S$3:S37,"="&amp;S37,AH$3:AH37,"="&amp;AH37)</f>
        <v>1</v>
      </c>
      <c r="BS37" t="str">
        <f>IFERROR(VLOOKUP(BA37&amp;BT37&amp;X37,game_rosters!U:W,3,FALSE),"")</f>
        <v>P100094</v>
      </c>
      <c r="BT37" t="str">
        <f t="shared" si="65"/>
        <v>Triple J</v>
      </c>
    </row>
    <row r="38" spans="1:72" x14ac:dyDescent="0.2">
      <c r="A38">
        <f t="shared" si="9"/>
        <v>1</v>
      </c>
      <c r="E38" s="4"/>
      <c r="F38" s="45" t="s">
        <v>750</v>
      </c>
      <c r="G38" s="4"/>
      <c r="H38" s="47"/>
      <c r="I38" s="26">
        <v>22</v>
      </c>
      <c r="J38" s="26" t="s">
        <v>736</v>
      </c>
      <c r="K38" t="s">
        <v>7</v>
      </c>
      <c r="L38" t="s">
        <v>172</v>
      </c>
      <c r="M38" t="s">
        <v>66</v>
      </c>
      <c r="N38" t="str">
        <f t="shared" si="83"/>
        <v>s</v>
      </c>
      <c r="O38" t="s">
        <v>551</v>
      </c>
      <c r="Q38" t="str">
        <f t="shared" si="77"/>
        <v>s</v>
      </c>
      <c r="R38" s="26">
        <v>1</v>
      </c>
      <c r="S38">
        <f>IF(A38=1,MAX($S$2:$S37)+1,IF(OR($I38&lt;&gt;"",A38="x"),$S37,""))</f>
        <v>20</v>
      </c>
      <c r="T38" t="str">
        <f>IF(D38=1,MAX($T$2:$T37)+1,IF(S38=S37,$T37,IF(D38="x",T37,IF(D37="x","",""))))</f>
        <v/>
      </c>
      <c r="U38" t="str">
        <f>IF(B38=1,MAX($U$2:$U37)+1,IF(AND($T38&lt;&gt;"",$T38=$T37),$U37,IF(B38="x",U37,"")))</f>
        <v/>
      </c>
      <c r="V38" t="str">
        <f>IF(C38=1,MAX($V$2:$V37)+1,IF(AND($T38&lt;&gt;"",$T38=$T37),$U37,IF(C38="x",V37,"")))</f>
        <v/>
      </c>
      <c r="W38" t="str" cm="1">
        <f t="array" ref="W38">IFERROR(_xlfn._xlws.FILTER(game_rosters!AC:AC,(game_rosters!J:J=events!X38)*(K38&lt;&gt;"")),"")</f>
        <v>a</v>
      </c>
      <c r="X38" cm="1">
        <f t="array" ref="X38">IF($I38&lt;&gt;"",$I38,INDEX($I$1:$I38,ROW()-COUNTIFS($T$1:$T38,"="&amp;$T38,$S$1:$S38,"&lt;"&amp;$S38)))</f>
        <v>22</v>
      </c>
      <c r="Y38" cm="1">
        <f t="array" ref="Y38">IFERROR(IF(_xlfn._xlws.FILTER(game_rosters!$J:$J,(game_rosters!$G:$G=events!$AM38)*(game_rosters!$J:$J=events!$X38))&gt;0,1,""),"")</f>
        <v>1</v>
      </c>
      <c r="Z38" s="6">
        <f t="shared" si="34"/>
        <v>1</v>
      </c>
      <c r="AA38">
        <f t="shared" si="35"/>
        <v>1020</v>
      </c>
      <c r="AB38" t="str">
        <f t="shared" si="36"/>
        <v/>
      </c>
      <c r="AC38">
        <f t="shared" si="37"/>
        <v>1020</v>
      </c>
      <c r="AD38" t="str">
        <f t="shared" si="38"/>
        <v>17</v>
      </c>
      <c r="AE38" t="str">
        <f t="shared" si="39"/>
        <v>35</v>
      </c>
      <c r="AF38" t="str">
        <f t="shared" si="40"/>
        <v/>
      </c>
      <c r="AG38" t="str">
        <f t="shared" si="41"/>
        <v/>
      </c>
      <c r="AH38" t="str">
        <f t="shared" si="90"/>
        <v>e</v>
      </c>
      <c r="AI38" t="str">
        <f t="shared" si="91"/>
        <v>d</v>
      </c>
      <c r="AJ38" t="str">
        <f t="shared" si="91"/>
        <v>d</v>
      </c>
      <c r="AK38" t="str">
        <f t="shared" si="92"/>
        <v>o</v>
      </c>
      <c r="AL38" t="str">
        <f t="shared" si="93"/>
        <v>d</v>
      </c>
      <c r="AM38" t="str">
        <f t="shared" si="44"/>
        <v>Away</v>
      </c>
      <c r="AN38" t="str">
        <f t="shared" si="94"/>
        <v>a</v>
      </c>
      <c r="AO38" t="str">
        <f t="shared" si="95"/>
        <v>o</v>
      </c>
      <c r="AP38" t="str">
        <f t="shared" si="96"/>
        <v>d</v>
      </c>
      <c r="AQ38" t="str">
        <f>IF(AM38&lt;&gt;"",AM38,IF($AC38=#REF!,#REF!,""))</f>
        <v>Away</v>
      </c>
      <c r="AR38" t="str">
        <f t="shared" si="97"/>
        <v>a</v>
      </c>
      <c r="AS38" t="str">
        <f t="shared" si="98"/>
        <v>Offensive</v>
      </c>
      <c r="AT38" t="str">
        <f t="shared" si="50"/>
        <v/>
      </c>
      <c r="AU38" t="str">
        <f t="shared" si="51"/>
        <v/>
      </c>
      <c r="AV38" t="str" cm="1">
        <f t="array" ref="AV38">IFERROR(IF(O38&lt;&gt;"",O38,IF(OR($S38="",$T38=""),"",IF(O38&lt;&gt;"",O38,IF($T38&lt;&gt;"",_xlfn._xlws.FILTER(O:O,($BT:$BT=$BT38)*($I:$I=$I38)*($T:$T=$T38)*($S:$S=_xlfn.MINIFS($S:$S,$T:$T,"="&amp;$T38)),"")))))&amp;"",IF(O38="","",""))&amp;""</f>
        <v>Reverse</v>
      </c>
      <c r="AW38" t="str" cm="1">
        <f t="array" ref="AW38">IFERROR(IF(P38&lt;&gt;"",P38,IF(OR($S38="",$T38=""),"",IF($T38&lt;&gt;"",_xlfn._xlws.FILTER(P:P,($BT:$BT=$BT38)*($I:$I=$I38)*($T:$T=$T38)*($S:$S=_xlfn.MINIFS($S:$S,$T:$T,"="&amp;$T38)),""))))&amp;"",IF(P38="","",""))&amp;""</f>
        <v/>
      </c>
      <c r="AX38" t="str" cm="1">
        <f t="array" ref="AX38">IFERROR(IF(Q38&lt;&gt;"",Q38,IF(OR($S38="",$T38=""),"",IF($T38&lt;&gt;"",_xlfn._xlws.FILTER(Q:Q,($BT:$BT=$BT38)*($I:$I=$I38)*($T:$T=$T38)*($S:$S=_xlfn.MINIFS($S:$S,$T:$T,"="&amp;$T38)),""))))&amp;"",IF(Q38="","",""))&amp;""</f>
        <v>s</v>
      </c>
      <c r="AY38" t="str" cm="1">
        <f t="array" ref="AY38">IFERROR(IF(R38&lt;&gt;"",R38,IF(OR($S38="",$T38=""),"",IF($T38&lt;&gt;"",_xlfn._xlws.FILTER(R:R,($BT:$BT=$BT38)*($I:$I=$I38)*($T:$T=$T38)*($S:$S=_xlfn.MINIFS($S:$S,$T:$T,"="&amp;$T38)),""))))&amp;"",IF(R38="","",""))&amp;""</f>
        <v>1</v>
      </c>
      <c r="AZ38" s="6">
        <f t="shared" si="52"/>
        <v>4</v>
      </c>
      <c r="BA38">
        <f t="shared" ref="BA38:BC38" si="110">BA37</f>
        <v>18991</v>
      </c>
      <c r="BB38" t="str">
        <f t="shared" si="110"/>
        <v>Triple J</v>
      </c>
      <c r="BC38" t="str">
        <f t="shared" si="110"/>
        <v>Velodrome</v>
      </c>
      <c r="BD38" t="str">
        <f t="shared" si="54"/>
        <v>Pass</v>
      </c>
      <c r="BE38" t="str">
        <f t="shared" si="55"/>
        <v>Pass_Completed</v>
      </c>
      <c r="BF38" t="str">
        <f t="shared" si="56"/>
        <v>Pass-Rim/Wrap</v>
      </c>
      <c r="BG38" t="str">
        <f t="shared" si="22"/>
        <v>s</v>
      </c>
      <c r="BH38" cm="1">
        <f t="array" ref="BH38">IFERROR(_xlfn._xlws.FILTER(shifts!A:A,(shifts!B:B=events!Z38)*(shifts!AG:AG&gt;=events!BJ38)*(shifts!AH:AH&lt;=events!BK38)),BH37)</f>
        <v>1</v>
      </c>
      <c r="BI38" s="15">
        <f t="shared" si="57"/>
        <v>0</v>
      </c>
      <c r="BJ38">
        <f t="shared" si="58"/>
        <v>1055</v>
      </c>
      <c r="BK38">
        <f t="shared" si="59"/>
        <v>1055</v>
      </c>
      <c r="BL38" s="15">
        <f>SUMIFS(BI$2:BI38,K$2:K38,"=Intermission")+SUMIFS(BI$2:BI38,K$2:K38,"=Timeout")</f>
        <v>0</v>
      </c>
      <c r="BM38">
        <f t="shared" si="60"/>
        <v>0</v>
      </c>
      <c r="BN38" s="19">
        <f t="shared" si="61"/>
        <v>25</v>
      </c>
      <c r="BO38">
        <f t="shared" si="62"/>
        <v>20</v>
      </c>
      <c r="BP38" s="17">
        <f t="shared" si="63"/>
        <v>25</v>
      </c>
      <c r="BQ38" t="str">
        <f t="shared" si="64"/>
        <v>event_team_player_1</v>
      </c>
      <c r="BR38">
        <f>COUNTIFS(S$3:S38,"="&amp;S38,AH$3:AH38,"="&amp;AH38)</f>
        <v>1</v>
      </c>
      <c r="BS38" t="str">
        <f>IFERROR(VLOOKUP(BA38&amp;BT38&amp;X38,game_rosters!U:W,3,FALSE),"")</f>
        <v>P100108</v>
      </c>
      <c r="BT38" t="str">
        <f t="shared" si="65"/>
        <v>Velodrome</v>
      </c>
    </row>
    <row r="39" spans="1:72" x14ac:dyDescent="0.2">
      <c r="A39" t="str">
        <f t="shared" si="9"/>
        <v/>
      </c>
      <c r="E39" s="4"/>
      <c r="F39" s="45"/>
      <c r="G39" s="4"/>
      <c r="H39" s="47"/>
      <c r="I39" s="26">
        <v>84</v>
      </c>
      <c r="J39" s="26" t="str">
        <f t="shared" si="68"/>
        <v/>
      </c>
      <c r="N39" t="str">
        <f t="shared" si="83"/>
        <v/>
      </c>
      <c r="Q39" t="str">
        <f t="shared" si="77"/>
        <v/>
      </c>
      <c r="S39">
        <f>IF(A39=1,MAX($S$2:$S38)+1,IF(OR($I39&lt;&gt;"",A39="x"),$S38,""))</f>
        <v>20</v>
      </c>
      <c r="T39" t="str">
        <f>IF(D39=1,MAX($T$2:$T38)+1,IF(S39=S38,$T38,IF(D39="x",T38,IF(D38="x","",""))))</f>
        <v/>
      </c>
      <c r="U39" t="str">
        <f>IF(B39=1,MAX($U$2:$U38)+1,IF(AND($T39&lt;&gt;"",$T39=$T38),$U38,IF(B39="x",U38,"")))</f>
        <v/>
      </c>
      <c r="V39" t="str">
        <f>IF(C39=1,MAX($V$2:$V38)+1,IF(AND($T39&lt;&gt;"",$T39=$T38),$U38,IF(C39="x",V38,"")))</f>
        <v/>
      </c>
      <c r="W39" t="str" cm="1">
        <f t="array" ref="W39">IFERROR(_xlfn._xlws.FILTER(game_rosters!AC:AC,(game_rosters!J:J=events!X39)*(K39&lt;&gt;"")),"")</f>
        <v/>
      </c>
      <c r="X39" cm="1">
        <f t="array" ref="X39">IF($I39&lt;&gt;"",$I39,INDEX($I$1:$I39,ROW()-COUNTIFS($T$1:$T39,"="&amp;$T39,$S$1:$S39,"&lt;"&amp;$S39)))</f>
        <v>84</v>
      </c>
      <c r="Y39" cm="1">
        <f t="array" ref="Y39">IFERROR(IF(_xlfn._xlws.FILTER(game_rosters!$J:$J,(game_rosters!$G:$G=events!$AM39)*(game_rosters!$J:$J=events!$X39))&gt;0,1,""),"")</f>
        <v>1</v>
      </c>
      <c r="Z39" s="6">
        <f t="shared" si="34"/>
        <v>1</v>
      </c>
      <c r="AA39">
        <f t="shared" si="35"/>
        <v>1020</v>
      </c>
      <c r="AB39" t="str">
        <f t="shared" si="36"/>
        <v/>
      </c>
      <c r="AC39">
        <f t="shared" si="37"/>
        <v>1020</v>
      </c>
      <c r="AD39" t="str">
        <f t="shared" si="38"/>
        <v>17</v>
      </c>
      <c r="AE39" t="str">
        <f t="shared" si="39"/>
        <v>35</v>
      </c>
      <c r="AF39" t="str">
        <f t="shared" si="40"/>
        <v/>
      </c>
      <c r="AG39" t="str">
        <f t="shared" si="41"/>
        <v/>
      </c>
      <c r="AH39" t="str">
        <f t="shared" si="90"/>
        <v>e</v>
      </c>
      <c r="AI39" t="str">
        <f t="shared" si="91"/>
        <v>d</v>
      </c>
      <c r="AJ39" t="str">
        <f t="shared" si="91"/>
        <v>d</v>
      </c>
      <c r="AK39" t="str">
        <f t="shared" si="92"/>
        <v/>
      </c>
      <c r="AL39" t="str">
        <f t="shared" si="93"/>
        <v/>
      </c>
      <c r="AM39" t="str">
        <f t="shared" si="44"/>
        <v>Away</v>
      </c>
      <c r="AN39" t="str">
        <f t="shared" si="94"/>
        <v>a</v>
      </c>
      <c r="AO39" t="str">
        <f t="shared" si="95"/>
        <v>o</v>
      </c>
      <c r="AP39" t="str">
        <f t="shared" si="96"/>
        <v>d</v>
      </c>
      <c r="AQ39" t="str">
        <f>IF(AM39&lt;&gt;"",AM39,IF($AC39=#REF!,#REF!,""))</f>
        <v>Away</v>
      </c>
      <c r="AR39" t="str">
        <f t="shared" si="97"/>
        <v>a</v>
      </c>
      <c r="AS39" t="str">
        <f t="shared" si="98"/>
        <v>Offensive</v>
      </c>
      <c r="AT39" t="str">
        <f t="shared" si="50"/>
        <v/>
      </c>
      <c r="AU39" t="str">
        <f t="shared" si="51"/>
        <v/>
      </c>
      <c r="AV39" t="str" cm="1">
        <f t="array" ref="AV39">IFERROR(IF(O39&lt;&gt;"",O39,IF(OR($S39="",$T39=""),"",IF(O39&lt;&gt;"",O39,IF($T39&lt;&gt;"",_xlfn._xlws.FILTER(O:O,($BT:$BT=$BT39)*($I:$I=$I39)*($T:$T=$T39)*($S:$S=_xlfn.MINIFS($S:$S,$T:$T,"="&amp;$T39)),"")))))&amp;"",IF(O39="","",""))&amp;""</f>
        <v/>
      </c>
      <c r="AW39" t="str" cm="1">
        <f t="array" ref="AW39">IFERROR(IF(P39&lt;&gt;"",P39,IF(OR($S39="",$T39=""),"",IF($T39&lt;&gt;"",_xlfn._xlws.FILTER(P:P,($BT:$BT=$BT39)*($I:$I=$I39)*($T:$T=$T39)*($S:$S=_xlfn.MINIFS($S:$S,$T:$T,"="&amp;$T39)),""))))&amp;"",IF(P39="","",""))&amp;""</f>
        <v/>
      </c>
      <c r="AX39" t="str" cm="1">
        <f t="array" ref="AX39">IFERROR(IF(Q39&lt;&gt;"",Q39,IF(OR($S39="",$T39=""),"",IF($T39&lt;&gt;"",_xlfn._xlws.FILTER(Q:Q,($BT:$BT=$BT39)*($I:$I=$I39)*($T:$T=$T39)*($S:$S=_xlfn.MINIFS($S:$S,$T:$T,"="&amp;$T39)),""))))&amp;"",IF(Q39="","",""))&amp;""</f>
        <v/>
      </c>
      <c r="AY39" t="str" cm="1">
        <f t="array" ref="AY39">IFERROR(IF(R39&lt;&gt;"",R39,IF(OR($S39="",$T39=""),"",IF($T39&lt;&gt;"",_xlfn._xlws.FILTER(R:R,($BT:$BT=$BT39)*($I:$I=$I39)*($T:$T=$T39)*($S:$S=_xlfn.MINIFS($S:$S,$T:$T,"="&amp;$T39)),""))))&amp;"",IF(R39="","",""))&amp;""</f>
        <v/>
      </c>
      <c r="AZ39" s="6">
        <f t="shared" si="52"/>
        <v>4</v>
      </c>
      <c r="BA39">
        <f t="shared" ref="BA39:BC39" si="111">BA38</f>
        <v>18991</v>
      </c>
      <c r="BB39" t="str">
        <f t="shared" si="111"/>
        <v>Triple J</v>
      </c>
      <c r="BC39" t="str">
        <f t="shared" si="111"/>
        <v>Velodrome</v>
      </c>
      <c r="BD39" t="str">
        <f t="shared" si="54"/>
        <v>Pass</v>
      </c>
      <c r="BE39" t="str">
        <f t="shared" si="55"/>
        <v>Pass_Completed</v>
      </c>
      <c r="BF39" t="str">
        <f t="shared" si="56"/>
        <v>Pass-Rim/Wrap</v>
      </c>
      <c r="BG39" t="str">
        <f t="shared" si="22"/>
        <v>s</v>
      </c>
      <c r="BH39" cm="1">
        <f t="array" ref="BH39">IFERROR(_xlfn._xlws.FILTER(shifts!A:A,(shifts!B:B=events!Z39)*(shifts!AG:AG&gt;=events!BJ39)*(shifts!AH:AH&lt;=events!BK39)),BH38)</f>
        <v>1</v>
      </c>
      <c r="BI39" s="15">
        <f t="shared" si="57"/>
        <v>0</v>
      </c>
      <c r="BJ39">
        <f t="shared" si="58"/>
        <v>1055</v>
      </c>
      <c r="BK39">
        <f t="shared" si="59"/>
        <v>1055</v>
      </c>
      <c r="BL39" s="15">
        <f>SUMIFS(BI$2:BI39,K$2:K39,"=Intermission")+SUMIFS(BI$2:BI39,K$2:K39,"=Timeout")</f>
        <v>0</v>
      </c>
      <c r="BM39">
        <f t="shared" si="60"/>
        <v>0</v>
      </c>
      <c r="BN39" s="19">
        <f t="shared" si="61"/>
        <v>25</v>
      </c>
      <c r="BO39">
        <f t="shared" si="62"/>
        <v>20</v>
      </c>
      <c r="BP39" s="17">
        <f t="shared" si="63"/>
        <v>25</v>
      </c>
      <c r="BQ39" t="str">
        <f t="shared" si="64"/>
        <v>event_team_player_2</v>
      </c>
      <c r="BR39">
        <f>COUNTIFS(S$3:S39,"="&amp;S39,AH$3:AH39,"="&amp;AH39)</f>
        <v>2</v>
      </c>
      <c r="BS39" t="str">
        <f>IFERROR(VLOOKUP(BA39&amp;BT39&amp;X39,game_rosters!U:W,3,FALSE),"")</f>
        <v>P100198</v>
      </c>
      <c r="BT39" t="str">
        <f t="shared" si="65"/>
        <v>Velodrome</v>
      </c>
    </row>
    <row r="40" spans="1:72" x14ac:dyDescent="0.2">
      <c r="A40" t="str">
        <f t="shared" si="9"/>
        <v/>
      </c>
      <c r="E40" s="4"/>
      <c r="F40" s="45"/>
      <c r="G40" s="4"/>
      <c r="H40" s="47"/>
      <c r="I40" s="26">
        <v>16</v>
      </c>
      <c r="J40" s="26" t="str">
        <f t="shared" si="68"/>
        <v/>
      </c>
      <c r="N40" t="str">
        <f t="shared" si="83"/>
        <v/>
      </c>
      <c r="Q40" t="str">
        <f t="shared" si="77"/>
        <v/>
      </c>
      <c r="R40" s="26">
        <v>1</v>
      </c>
      <c r="S40">
        <f>IF(A40=1,MAX($S$2:$S39)+1,IF(OR($I40&lt;&gt;"",A40="x"),$S39,""))</f>
        <v>20</v>
      </c>
      <c r="T40" t="str">
        <f>IF(D40=1,MAX($T$2:$T39)+1,IF(S40=S39,$T39,IF(D40="x",T39,IF(D39="x","",""))))</f>
        <v/>
      </c>
      <c r="U40" t="str">
        <f>IF(B40=1,MAX($U$2:$U39)+1,IF(AND($T40&lt;&gt;"",$T40=$T39),$U39,IF(B40="x",U39,"")))</f>
        <v/>
      </c>
      <c r="V40" t="str">
        <f>IF(C40=1,MAX($V$2:$V39)+1,IF(AND($T40&lt;&gt;"",$T40=$T39),$U39,IF(C40="x",V39,"")))</f>
        <v/>
      </c>
      <c r="W40" t="str" cm="1">
        <f t="array" ref="W40">IFERROR(_xlfn._xlws.FILTER(game_rosters!AC:AC,(game_rosters!J:J=events!X40)*(K40&lt;&gt;"")),"")</f>
        <v/>
      </c>
      <c r="X40" cm="1">
        <f t="array" ref="X40">IF($I40&lt;&gt;"",$I40,INDEX($I$1:$I40,ROW()-COUNTIFS($T$1:$T40,"="&amp;$T40,$S$1:$S40,"&lt;"&amp;$S40)))</f>
        <v>16</v>
      </c>
      <c r="Y40" t="str" cm="1">
        <f t="array" ref="Y40">IFERROR(IF(_xlfn._xlws.FILTER(game_rosters!$J:$J,(game_rosters!$G:$G=events!$AM40)*(game_rosters!$J:$J=events!$X40))&gt;0,1,""),"")</f>
        <v/>
      </c>
      <c r="Z40" s="6">
        <f t="shared" si="34"/>
        <v>1</v>
      </c>
      <c r="AA40">
        <f t="shared" si="35"/>
        <v>1020</v>
      </c>
      <c r="AB40" t="str">
        <f t="shared" si="36"/>
        <v/>
      </c>
      <c r="AC40">
        <f t="shared" si="37"/>
        <v>1020</v>
      </c>
      <c r="AD40" t="str">
        <f t="shared" si="38"/>
        <v>17</v>
      </c>
      <c r="AE40" t="str">
        <f t="shared" si="39"/>
        <v>35</v>
      </c>
      <c r="AF40" t="str">
        <f t="shared" si="40"/>
        <v/>
      </c>
      <c r="AG40" t="str">
        <f t="shared" si="41"/>
        <v/>
      </c>
      <c r="AH40" t="str">
        <f t="shared" si="90"/>
        <v>o</v>
      </c>
      <c r="AI40" t="str">
        <f t="shared" si="91"/>
        <v>d</v>
      </c>
      <c r="AJ40" t="str">
        <f t="shared" si="91"/>
        <v>d</v>
      </c>
      <c r="AK40" t="str">
        <f t="shared" si="92"/>
        <v/>
      </c>
      <c r="AL40" t="str">
        <f t="shared" si="93"/>
        <v/>
      </c>
      <c r="AM40" t="str">
        <f t="shared" si="44"/>
        <v>Away</v>
      </c>
      <c r="AN40" t="str">
        <f t="shared" si="94"/>
        <v>a</v>
      </c>
      <c r="AO40" t="str">
        <f t="shared" si="95"/>
        <v>o</v>
      </c>
      <c r="AP40" t="str">
        <f t="shared" si="96"/>
        <v>d</v>
      </c>
      <c r="AQ40" t="str">
        <f>IF(AM40&lt;&gt;"",AM40,IF($AC40=#REF!,#REF!,""))</f>
        <v>Away</v>
      </c>
      <c r="AR40" t="str">
        <f t="shared" si="97"/>
        <v>a</v>
      </c>
      <c r="AS40" t="str">
        <f t="shared" si="98"/>
        <v>Defensive</v>
      </c>
      <c r="AT40" t="str">
        <f t="shared" si="50"/>
        <v/>
      </c>
      <c r="AU40" t="str">
        <f t="shared" si="51"/>
        <v/>
      </c>
      <c r="AV40" t="str" cm="1">
        <f t="array" ref="AV40">IFERROR(IF(O40&lt;&gt;"",O40,IF(OR($S40="",$T40=""),"",IF(O40&lt;&gt;"",O40,IF($T40&lt;&gt;"",_xlfn._xlws.FILTER(O:O,($BT:$BT=$BT40)*($I:$I=$I40)*($T:$T=$T40)*($S:$S=_xlfn.MINIFS($S:$S,$T:$T,"="&amp;$T40)),"")))))&amp;"",IF(O40="","",""))&amp;""</f>
        <v/>
      </c>
      <c r="AW40" t="str" cm="1">
        <f t="array" ref="AW40">IFERROR(IF(P40&lt;&gt;"",P40,IF(OR($S40="",$T40=""),"",IF($T40&lt;&gt;"",_xlfn._xlws.FILTER(P:P,($BT:$BT=$BT40)*($I:$I=$I40)*($T:$T=$T40)*($S:$S=_xlfn.MINIFS($S:$S,$T:$T,"="&amp;$T40)),""))))&amp;"",IF(P40="","",""))&amp;""</f>
        <v/>
      </c>
      <c r="AX40" t="str" cm="1">
        <f t="array" ref="AX40">IFERROR(IF(Q40&lt;&gt;"",Q40,IF(OR($S40="",$T40=""),"",IF($T40&lt;&gt;"",_xlfn._xlws.FILTER(Q:Q,($BT:$BT=$BT40)*($I:$I=$I40)*($T:$T=$T40)*($S:$S=_xlfn.MINIFS($S:$S,$T:$T,"="&amp;$T40)),""))))&amp;"",IF(Q40="","",""))&amp;""</f>
        <v/>
      </c>
      <c r="AY40" t="str" cm="1">
        <f t="array" ref="AY40">IFERROR(IF(R40&lt;&gt;"",R40,IF(OR($S40="",$T40=""),"",IF($T40&lt;&gt;"",_xlfn._xlws.FILTER(R:R,($BT:$BT=$BT40)*($I:$I=$I40)*($T:$T=$T40)*($S:$S=_xlfn.MINIFS($S:$S,$T:$T,"="&amp;$T40)),""))))&amp;"",IF(R40="","",""))&amp;""</f>
        <v>1</v>
      </c>
      <c r="AZ40" s="6">
        <f t="shared" si="52"/>
        <v>4</v>
      </c>
      <c r="BA40">
        <f t="shared" ref="BA40:BC40" si="112">BA39</f>
        <v>18991</v>
      </c>
      <c r="BB40" t="str">
        <f t="shared" si="112"/>
        <v>Triple J</v>
      </c>
      <c r="BC40" t="str">
        <f t="shared" si="112"/>
        <v>Velodrome</v>
      </c>
      <c r="BD40" t="str">
        <f t="shared" si="54"/>
        <v>Pass</v>
      </c>
      <c r="BE40" t="str">
        <f t="shared" si="55"/>
        <v>Pass_Completed</v>
      </c>
      <c r="BF40" t="str">
        <f t="shared" si="56"/>
        <v>Pass-Rim/Wrap</v>
      </c>
      <c r="BG40" t="str">
        <f t="shared" si="22"/>
        <v>s</v>
      </c>
      <c r="BH40" cm="1">
        <f t="array" ref="BH40">IFERROR(_xlfn._xlws.FILTER(shifts!A:A,(shifts!B:B=events!Z40)*(shifts!AG:AG&gt;=events!BJ40)*(shifts!AH:AH&lt;=events!BK40)),BH39)</f>
        <v>1</v>
      </c>
      <c r="BI40" s="15">
        <f t="shared" si="57"/>
        <v>0</v>
      </c>
      <c r="BJ40">
        <f t="shared" si="58"/>
        <v>1055</v>
      </c>
      <c r="BK40">
        <f t="shared" si="59"/>
        <v>1055</v>
      </c>
      <c r="BL40" s="15">
        <f>SUMIFS(BI$2:BI40,K$2:K40,"=Intermission")+SUMIFS(BI$2:BI40,K$2:K40,"=Timeout")</f>
        <v>0</v>
      </c>
      <c r="BM40">
        <f t="shared" si="60"/>
        <v>0</v>
      </c>
      <c r="BN40" s="19">
        <f t="shared" si="61"/>
        <v>25</v>
      </c>
      <c r="BO40">
        <f t="shared" si="62"/>
        <v>20</v>
      </c>
      <c r="BP40" s="17">
        <f t="shared" si="63"/>
        <v>25</v>
      </c>
      <c r="BQ40" t="str">
        <f t="shared" si="64"/>
        <v>opp_team_player_1</v>
      </c>
      <c r="BR40">
        <f>COUNTIFS(S$3:S40,"="&amp;S40,AH$3:AH40,"="&amp;AH40)</f>
        <v>1</v>
      </c>
      <c r="BS40" t="str">
        <f>IFERROR(VLOOKUP(BA40&amp;BT40&amp;X40,game_rosters!U:W,3,FALSE),"")</f>
        <v>P100094</v>
      </c>
      <c r="BT40" t="str">
        <f t="shared" si="65"/>
        <v>Triple J</v>
      </c>
    </row>
    <row r="41" spans="1:72" x14ac:dyDescent="0.2">
      <c r="A41">
        <f t="shared" si="9"/>
        <v>1</v>
      </c>
      <c r="E41" s="4"/>
      <c r="F41" s="45" t="s">
        <v>1048</v>
      </c>
      <c r="G41" s="4"/>
      <c r="H41" s="47" t="s">
        <v>1063</v>
      </c>
      <c r="I41" s="26">
        <v>84</v>
      </c>
      <c r="J41" s="26" t="s">
        <v>736</v>
      </c>
      <c r="K41" t="s">
        <v>13</v>
      </c>
      <c r="N41" t="str">
        <f t="shared" si="83"/>
        <v/>
      </c>
      <c r="Q41" t="str">
        <f t="shared" si="77"/>
        <v/>
      </c>
      <c r="S41">
        <f>IF(A41=1,MAX($S$2:$S40)+1,IF(OR($I41&lt;&gt;"",A41="x"),$S40,""))</f>
        <v>21</v>
      </c>
      <c r="T41" t="str">
        <f>IF(D41=1,MAX($T$2:$T40)+1,IF(S41=S40,$T40,IF(D41="x",T40,IF(D40="x","",""))))</f>
        <v/>
      </c>
      <c r="U41" t="str">
        <f>IF(B41=1,MAX($U$2:$U40)+1,IF(AND($T41&lt;&gt;"",$T41=$T40),$U40,IF(B41="x",U40,"")))</f>
        <v/>
      </c>
      <c r="V41" t="str">
        <f>IF(C41=1,MAX($V$2:$V40)+1,IF(AND($T41&lt;&gt;"",$T41=$T40),$U40,IF(C41="x",V40,"")))</f>
        <v/>
      </c>
      <c r="W41" t="str" cm="1">
        <f t="array" ref="W41">IFERROR(_xlfn._xlws.FILTER(game_rosters!AC:AC,(game_rosters!J:J=events!X41)*(K41&lt;&gt;"")),"")</f>
        <v>a</v>
      </c>
      <c r="X41" cm="1">
        <f t="array" ref="X41">IF($I41&lt;&gt;"",$I41,INDEX($I$1:$I41,ROW()-COUNTIFS($T$1:$T41,"="&amp;$T41,$S$1:$S41,"&lt;"&amp;$S41)))</f>
        <v>84</v>
      </c>
      <c r="Y41" cm="1">
        <f t="array" ref="Y41">IFERROR(IF(_xlfn._xlws.FILTER(game_rosters!$J:$J,(game_rosters!$G:$G=events!$AM41)*(game_rosters!$J:$J=events!$X41))&gt;0,1,""),"")</f>
        <v>1</v>
      </c>
      <c r="Z41" s="6">
        <f t="shared" si="34"/>
        <v>1</v>
      </c>
      <c r="AA41">
        <f t="shared" si="35"/>
        <v>1021</v>
      </c>
      <c r="AB41" t="str">
        <f t="shared" si="36"/>
        <v/>
      </c>
      <c r="AC41">
        <f t="shared" si="37"/>
        <v>1021</v>
      </c>
      <c r="AD41" t="str">
        <f t="shared" si="38"/>
        <v>17</v>
      </c>
      <c r="AE41" t="str">
        <f t="shared" si="39"/>
        <v>32</v>
      </c>
      <c r="AF41" t="str">
        <f t="shared" si="40"/>
        <v>17</v>
      </c>
      <c r="AG41" t="str">
        <f t="shared" si="41"/>
        <v>29</v>
      </c>
      <c r="AH41" t="str">
        <f t="shared" si="90"/>
        <v>e</v>
      </c>
      <c r="AI41" t="str">
        <f t="shared" si="91"/>
        <v>d</v>
      </c>
      <c r="AJ41" t="str">
        <f t="shared" si="91"/>
        <v>d</v>
      </c>
      <c r="AK41" t="str">
        <f t="shared" si="92"/>
        <v>o</v>
      </c>
      <c r="AL41" t="str">
        <f t="shared" si="93"/>
        <v>d</v>
      </c>
      <c r="AM41" t="str">
        <f t="shared" si="44"/>
        <v>Away</v>
      </c>
      <c r="AN41" t="str">
        <f t="shared" si="94"/>
        <v>a</v>
      </c>
      <c r="AO41" t="str">
        <f t="shared" si="95"/>
        <v>o</v>
      </c>
      <c r="AP41" t="str">
        <f t="shared" si="96"/>
        <v>d</v>
      </c>
      <c r="AQ41" t="str">
        <f>IF(AM41&lt;&gt;"",AM41,IF($AC41=#REF!,#REF!,""))</f>
        <v>Away</v>
      </c>
      <c r="AR41" t="str">
        <f t="shared" si="97"/>
        <v>a</v>
      </c>
      <c r="AS41" t="str">
        <f t="shared" si="98"/>
        <v>Offensive</v>
      </c>
      <c r="AT41" t="str">
        <f t="shared" si="50"/>
        <v/>
      </c>
      <c r="AU41" t="str">
        <f t="shared" si="51"/>
        <v/>
      </c>
      <c r="AV41" t="str" cm="1">
        <f t="array" ref="AV41">IFERROR(IF(O41&lt;&gt;"",O41,IF(OR($S41="",$T41=""),"",IF(O41&lt;&gt;"",O41,IF($T41&lt;&gt;"",_xlfn._xlws.FILTER(O:O,($BT:$BT=$BT41)*($I:$I=$I41)*($T:$T=$T41)*($S:$S=_xlfn.MINIFS($S:$S,$T:$T,"="&amp;$T41)),"")))))&amp;"",IF(O41="","",""))&amp;""</f>
        <v/>
      </c>
      <c r="AW41" t="str" cm="1">
        <f t="array" ref="AW41">IFERROR(IF(P41&lt;&gt;"",P41,IF(OR($S41="",$T41=""),"",IF($T41&lt;&gt;"",_xlfn._xlws.FILTER(P:P,($BT:$BT=$BT41)*($I:$I=$I41)*($T:$T=$T41)*($S:$S=_xlfn.MINIFS($S:$S,$T:$T,"="&amp;$T41)),""))))&amp;"",IF(P41="","",""))&amp;""</f>
        <v/>
      </c>
      <c r="AX41" t="str" cm="1">
        <f t="array" ref="AX41">IFERROR(IF(Q41&lt;&gt;"",Q41,IF(OR($S41="",$T41=""),"",IF($T41&lt;&gt;"",_xlfn._xlws.FILTER(Q:Q,($BT:$BT=$BT41)*($I:$I=$I41)*($T:$T=$T41)*($S:$S=_xlfn.MINIFS($S:$S,$T:$T,"="&amp;$T41)),""))))&amp;"",IF(Q41="","",""))&amp;""</f>
        <v/>
      </c>
      <c r="AY41" t="str" cm="1">
        <f t="array" ref="AY41">IFERROR(IF(R41&lt;&gt;"",R41,IF(OR($S41="",$T41=""),"",IF($T41&lt;&gt;"",_xlfn._xlws.FILTER(R:R,($BT:$BT=$BT41)*($I:$I=$I41)*($T:$T=$T41)*($S:$S=_xlfn.MINIFS($S:$S,$T:$T,"="&amp;$T41)),""))))&amp;"",IF(R41="","",""))&amp;""</f>
        <v/>
      </c>
      <c r="AZ41" s="6">
        <f t="shared" si="52"/>
        <v>4</v>
      </c>
      <c r="BA41">
        <f t="shared" ref="BA41:BC41" si="113">BA40</f>
        <v>18991</v>
      </c>
      <c r="BB41" t="str">
        <f t="shared" si="113"/>
        <v>Triple J</v>
      </c>
      <c r="BC41" t="str">
        <f t="shared" si="113"/>
        <v>Velodrome</v>
      </c>
      <c r="BD41" t="str">
        <f t="shared" si="54"/>
        <v>Possession</v>
      </c>
      <c r="BE41" t="str">
        <f t="shared" si="55"/>
        <v/>
      </c>
      <c r="BF41" t="str">
        <f t="shared" si="56"/>
        <v/>
      </c>
      <c r="BG41" t="str">
        <f t="shared" si="22"/>
        <v/>
      </c>
      <c r="BH41" cm="1">
        <f t="array" ref="BH41">IFERROR(_xlfn._xlws.FILTER(shifts!A:A,(shifts!B:B=events!Z41)*(shifts!AG:AG&gt;=events!BJ41)*(shifts!AH:AH&lt;=events!BK41)),BH40)</f>
        <v>1</v>
      </c>
      <c r="BI41" s="15">
        <f t="shared" si="57"/>
        <v>3</v>
      </c>
      <c r="BJ41">
        <f t="shared" si="58"/>
        <v>1052</v>
      </c>
      <c r="BK41">
        <f t="shared" si="59"/>
        <v>1049</v>
      </c>
      <c r="BL41" s="15">
        <f>SUMIFS(BI$2:BI41,K$2:K41,"=Intermission")+SUMIFS(BI$2:BI41,K$2:K41,"=Timeout")</f>
        <v>0</v>
      </c>
      <c r="BM41">
        <f t="shared" si="60"/>
        <v>0</v>
      </c>
      <c r="BN41" s="19">
        <f t="shared" si="61"/>
        <v>28</v>
      </c>
      <c r="BO41">
        <f t="shared" si="62"/>
        <v>23</v>
      </c>
      <c r="BP41" s="17">
        <f t="shared" si="63"/>
        <v>31</v>
      </c>
      <c r="BQ41" t="str">
        <f t="shared" si="64"/>
        <v>event_team_player_1</v>
      </c>
      <c r="BR41">
        <f>COUNTIFS(S$3:S41,"="&amp;S41,AH$3:AH41,"="&amp;AH41)</f>
        <v>1</v>
      </c>
      <c r="BS41" t="str">
        <f>IFERROR(VLOOKUP(BA41&amp;BT41&amp;X41,game_rosters!U:W,3,FALSE),"")</f>
        <v>P100198</v>
      </c>
      <c r="BT41" t="str">
        <f t="shared" si="65"/>
        <v>Velodrome</v>
      </c>
    </row>
    <row r="42" spans="1:72" x14ac:dyDescent="0.2">
      <c r="A42" t="str">
        <f t="shared" si="9"/>
        <v/>
      </c>
      <c r="E42" s="4"/>
      <c r="F42" s="45"/>
      <c r="G42" s="4"/>
      <c r="H42" s="47"/>
      <c r="I42" s="26">
        <v>12</v>
      </c>
      <c r="J42" s="26" t="str">
        <f t="shared" si="68"/>
        <v/>
      </c>
      <c r="N42" t="str">
        <f t="shared" si="83"/>
        <v/>
      </c>
      <c r="Q42" t="str">
        <f t="shared" si="77"/>
        <v/>
      </c>
      <c r="S42">
        <f>IF(A42=1,MAX($S$2:$S41)+1,IF(OR($I42&lt;&gt;"",A42="x"),$S41,""))</f>
        <v>21</v>
      </c>
      <c r="T42" t="str">
        <f>IF(D42=1,MAX($T$2:$T41)+1,IF(S42=S41,$T41,IF(D42="x",T41,IF(D41="x","",""))))</f>
        <v/>
      </c>
      <c r="U42" t="str">
        <f>IF(B42=1,MAX($U$2:$U41)+1,IF(AND($T42&lt;&gt;"",$T42=$T41),$U41,IF(B42="x",U41,"")))</f>
        <v/>
      </c>
      <c r="V42" t="str">
        <f>IF(C42=1,MAX($V$2:$V41)+1,IF(AND($T42&lt;&gt;"",$T42=$T41),$U41,IF(C42="x",V41,"")))</f>
        <v/>
      </c>
      <c r="W42" t="str" cm="1">
        <f t="array" ref="W42">IFERROR(_xlfn._xlws.FILTER(game_rosters!AC:AC,(game_rosters!J:J=events!X42)*(K42&lt;&gt;"")),"")</f>
        <v/>
      </c>
      <c r="X42" cm="1">
        <f t="array" ref="X42">IF($I42&lt;&gt;"",$I42,INDEX($I$1:$I42,ROW()-COUNTIFS($T$1:$T42,"="&amp;$T42,$S$1:$S42,"&lt;"&amp;$S42)))</f>
        <v>12</v>
      </c>
      <c r="Y42" t="str" cm="1">
        <f t="array" ref="Y42">IFERROR(IF(_xlfn._xlws.FILTER(game_rosters!$J:$J,(game_rosters!$G:$G=events!$AM42)*(game_rosters!$J:$J=events!$X42))&gt;0,1,""),"")</f>
        <v/>
      </c>
      <c r="Z42" s="6">
        <f t="shared" si="34"/>
        <v>1</v>
      </c>
      <c r="AA42">
        <f t="shared" si="35"/>
        <v>1021</v>
      </c>
      <c r="AB42" t="str">
        <f t="shared" si="36"/>
        <v/>
      </c>
      <c r="AC42">
        <f t="shared" si="37"/>
        <v>1021</v>
      </c>
      <c r="AD42" t="str">
        <f t="shared" si="38"/>
        <v>17</v>
      </c>
      <c r="AE42" t="str">
        <f t="shared" si="39"/>
        <v>32</v>
      </c>
      <c r="AF42" t="str">
        <f t="shared" si="40"/>
        <v>17</v>
      </c>
      <c r="AG42" t="str">
        <f t="shared" si="41"/>
        <v>29</v>
      </c>
      <c r="AH42" t="str">
        <f t="shared" si="90"/>
        <v>o</v>
      </c>
      <c r="AI42" t="str">
        <f t="shared" si="91"/>
        <v>d</v>
      </c>
      <c r="AJ42" t="str">
        <f t="shared" si="91"/>
        <v>d</v>
      </c>
      <c r="AK42" t="str">
        <f t="shared" si="92"/>
        <v/>
      </c>
      <c r="AL42" t="str">
        <f t="shared" si="93"/>
        <v/>
      </c>
      <c r="AM42" t="str">
        <f t="shared" si="44"/>
        <v>Away</v>
      </c>
      <c r="AN42" t="str">
        <f t="shared" si="94"/>
        <v>a</v>
      </c>
      <c r="AO42" t="str">
        <f t="shared" si="95"/>
        <v>o</v>
      </c>
      <c r="AP42" t="str">
        <f t="shared" si="96"/>
        <v>d</v>
      </c>
      <c r="AQ42" t="str">
        <f>IF(AM42&lt;&gt;"",AM42,IF($AC42=#REF!,#REF!,""))</f>
        <v>Away</v>
      </c>
      <c r="AR42" t="str">
        <f t="shared" si="97"/>
        <v>a</v>
      </c>
      <c r="AS42" t="str">
        <f t="shared" si="98"/>
        <v>Defensive</v>
      </c>
      <c r="AT42" t="str">
        <f t="shared" si="50"/>
        <v/>
      </c>
      <c r="AU42" t="str">
        <f t="shared" si="51"/>
        <v/>
      </c>
      <c r="AV42" t="str" cm="1">
        <f t="array" ref="AV42">IFERROR(IF(O42&lt;&gt;"",O42,IF(OR($S42="",$T42=""),"",IF(O42&lt;&gt;"",O42,IF($T42&lt;&gt;"",_xlfn._xlws.FILTER(O:O,($BT:$BT=$BT42)*($I:$I=$I42)*($T:$T=$T42)*($S:$S=_xlfn.MINIFS($S:$S,$T:$T,"="&amp;$T42)),"")))))&amp;"",IF(O42="","",""))&amp;""</f>
        <v/>
      </c>
      <c r="AW42" t="str" cm="1">
        <f t="array" ref="AW42">IFERROR(IF(P42&lt;&gt;"",P42,IF(OR($S42="",$T42=""),"",IF($T42&lt;&gt;"",_xlfn._xlws.FILTER(P:P,($BT:$BT=$BT42)*($I:$I=$I42)*($T:$T=$T42)*($S:$S=_xlfn.MINIFS($S:$S,$T:$T,"="&amp;$T42)),""))))&amp;"",IF(P42="","",""))&amp;""</f>
        <v/>
      </c>
      <c r="AX42" t="str" cm="1">
        <f t="array" ref="AX42">IFERROR(IF(Q42&lt;&gt;"",Q42,IF(OR($S42="",$T42=""),"",IF($T42&lt;&gt;"",_xlfn._xlws.FILTER(Q:Q,($BT:$BT=$BT42)*($I:$I=$I42)*($T:$T=$T42)*($S:$S=_xlfn.MINIFS($S:$S,$T:$T,"="&amp;$T42)),""))))&amp;"",IF(Q42="","",""))&amp;""</f>
        <v/>
      </c>
      <c r="AY42" t="str" cm="1">
        <f t="array" ref="AY42">IFERROR(IF(R42&lt;&gt;"",R42,IF(OR($S42="",$T42=""),"",IF($T42&lt;&gt;"",_xlfn._xlws.FILTER(R:R,($BT:$BT=$BT42)*($I:$I=$I42)*($T:$T=$T42)*($S:$S=_xlfn.MINIFS($S:$S,$T:$T,"="&amp;$T42)),""))))&amp;"",IF(R42="","",""))&amp;""</f>
        <v/>
      </c>
      <c r="AZ42" s="6">
        <f t="shared" si="52"/>
        <v>4</v>
      </c>
      <c r="BA42">
        <f t="shared" ref="BA42:BC42" si="114">BA41</f>
        <v>18991</v>
      </c>
      <c r="BB42" t="str">
        <f t="shared" si="114"/>
        <v>Triple J</v>
      </c>
      <c r="BC42" t="str">
        <f t="shared" si="114"/>
        <v>Velodrome</v>
      </c>
      <c r="BD42" t="str">
        <f t="shared" si="54"/>
        <v>Possession</v>
      </c>
      <c r="BE42" t="str">
        <f t="shared" si="55"/>
        <v/>
      </c>
      <c r="BF42" t="str">
        <f t="shared" si="56"/>
        <v/>
      </c>
      <c r="BG42" t="str">
        <f t="shared" si="22"/>
        <v/>
      </c>
      <c r="BH42" cm="1">
        <f t="array" ref="BH42">IFERROR(_xlfn._xlws.FILTER(shifts!A:A,(shifts!B:B=events!Z42)*(shifts!AG:AG&gt;=events!BJ42)*(shifts!AH:AH&lt;=events!BK42)),BH41)</f>
        <v>1</v>
      </c>
      <c r="BI42" s="15">
        <f t="shared" si="57"/>
        <v>3</v>
      </c>
      <c r="BJ42">
        <f t="shared" si="58"/>
        <v>1052</v>
      </c>
      <c r="BK42">
        <f t="shared" si="59"/>
        <v>1049</v>
      </c>
      <c r="BL42" s="15">
        <f>SUMIFS(BI$2:BI42,K$2:K42,"=Intermission")+SUMIFS(BI$2:BI42,K$2:K42,"=Timeout")</f>
        <v>0</v>
      </c>
      <c r="BM42">
        <f t="shared" si="60"/>
        <v>0</v>
      </c>
      <c r="BN42" s="19">
        <f t="shared" si="61"/>
        <v>28</v>
      </c>
      <c r="BO42">
        <f t="shared" si="62"/>
        <v>23</v>
      </c>
      <c r="BP42" s="17">
        <f t="shared" si="63"/>
        <v>31</v>
      </c>
      <c r="BQ42" t="str">
        <f t="shared" si="64"/>
        <v>opp_team_player_1</v>
      </c>
      <c r="BR42">
        <f>COUNTIFS(S$3:S42,"="&amp;S42,AH$3:AH42,"="&amp;AH42)</f>
        <v>1</v>
      </c>
      <c r="BS42" t="str">
        <f>IFERROR(VLOOKUP(BA42&amp;BT42&amp;X42,game_rosters!U:W,3,FALSE),"")</f>
        <v/>
      </c>
      <c r="BT42" t="str">
        <f t="shared" si="65"/>
        <v>Triple J</v>
      </c>
    </row>
    <row r="43" spans="1:72" x14ac:dyDescent="0.2">
      <c r="A43">
        <f t="shared" si="9"/>
        <v>1</v>
      </c>
      <c r="E43" s="4"/>
      <c r="F43" s="45"/>
      <c r="G43" s="4"/>
      <c r="H43" s="47" t="s">
        <v>1052</v>
      </c>
      <c r="I43" s="26">
        <v>84</v>
      </c>
      <c r="J43" s="26" t="str">
        <f t="shared" si="68"/>
        <v>d</v>
      </c>
      <c r="K43" t="s">
        <v>238</v>
      </c>
      <c r="L43" t="s">
        <v>184</v>
      </c>
      <c r="M43" t="s">
        <v>88</v>
      </c>
      <c r="N43" t="str">
        <f t="shared" si="83"/>
        <v>s</v>
      </c>
      <c r="Q43" t="str">
        <f t="shared" si="77"/>
        <v/>
      </c>
      <c r="S43">
        <f>IF(A43=1,MAX($S$2:$S42)+1,IF(OR($I43&lt;&gt;"",A43="x"),$S42,""))</f>
        <v>22</v>
      </c>
      <c r="T43" t="str">
        <f>IF(D43=1,MAX($T$2:$T42)+1,IF(S43=S42,$T42,IF(D43="x",T42,IF(D42="x","",""))))</f>
        <v/>
      </c>
      <c r="U43" t="str">
        <f>IF(B43=1,MAX($U$2:$U42)+1,IF(AND($T43&lt;&gt;"",$T43=$T42),$U42,IF(B43="x",U42,"")))</f>
        <v/>
      </c>
      <c r="V43" t="str">
        <f>IF(C43=1,MAX($V$2:$V42)+1,IF(AND($T43&lt;&gt;"",$T43=$T42),$U42,IF(C43="x",V42,"")))</f>
        <v/>
      </c>
      <c r="W43" t="str" cm="1">
        <f t="array" ref="W43">IFERROR(_xlfn._xlws.FILTER(game_rosters!AC:AC,(game_rosters!J:J=events!X43)*(K43&lt;&gt;"")),"")</f>
        <v>a</v>
      </c>
      <c r="X43" cm="1">
        <f t="array" ref="X43">IF($I43&lt;&gt;"",$I43,INDEX($I$1:$I43,ROW()-COUNTIFS($T$1:$T43,"="&amp;$T43,$S$1:$S43,"&lt;"&amp;$S43)))</f>
        <v>84</v>
      </c>
      <c r="Y43" cm="1">
        <f t="array" ref="Y43">IFERROR(IF(_xlfn._xlws.FILTER(game_rosters!$J:$J,(game_rosters!$G:$G=events!$AM43)*(game_rosters!$J:$J=events!$X43))&gt;0,1,""),"")</f>
        <v>1</v>
      </c>
      <c r="Z43" s="6">
        <f t="shared" si="34"/>
        <v>1</v>
      </c>
      <c r="AA43">
        <f t="shared" si="35"/>
        <v>1022</v>
      </c>
      <c r="AB43" t="str">
        <f t="shared" si="36"/>
        <v/>
      </c>
      <c r="AC43">
        <f t="shared" si="37"/>
        <v>1022</v>
      </c>
      <c r="AD43" t="str">
        <f t="shared" si="38"/>
        <v>17</v>
      </c>
      <c r="AE43" t="str">
        <f t="shared" si="39"/>
        <v>29</v>
      </c>
      <c r="AF43" t="str">
        <f t="shared" si="40"/>
        <v>17</v>
      </c>
      <c r="AG43" t="str">
        <f t="shared" si="41"/>
        <v>28</v>
      </c>
      <c r="AH43" t="str">
        <f t="shared" si="90"/>
        <v>e</v>
      </c>
      <c r="AI43" t="str">
        <f t="shared" ref="AI43:AJ58" si="115">IF($J43&lt;&gt;"",$J43,IF($AC43=$AC42,AI42,""))</f>
        <v>d</v>
      </c>
      <c r="AJ43" t="str">
        <f t="shared" si="115"/>
        <v>d</v>
      </c>
      <c r="AK43" t="str">
        <f t="shared" si="92"/>
        <v>o</v>
      </c>
      <c r="AL43" t="str">
        <f t="shared" si="93"/>
        <v>d</v>
      </c>
      <c r="AM43" t="str">
        <f t="shared" si="44"/>
        <v>Away</v>
      </c>
      <c r="AN43" t="str">
        <f t="shared" si="94"/>
        <v>a</v>
      </c>
      <c r="AO43" t="str">
        <f t="shared" si="95"/>
        <v>o</v>
      </c>
      <c r="AP43" t="str">
        <f t="shared" si="96"/>
        <v>d</v>
      </c>
      <c r="AQ43" t="str">
        <f>IF(AM43&lt;&gt;"",AM43,IF($AC43=#REF!,#REF!,""))</f>
        <v>Away</v>
      </c>
      <c r="AR43" t="str">
        <f t="shared" si="97"/>
        <v>a</v>
      </c>
      <c r="AS43" t="str">
        <f t="shared" si="98"/>
        <v>Offensive</v>
      </c>
      <c r="AT43" t="str">
        <f t="shared" si="50"/>
        <v/>
      </c>
      <c r="AU43" t="str">
        <f t="shared" si="51"/>
        <v/>
      </c>
      <c r="AV43" t="str" cm="1">
        <f t="array" ref="AV43">IFERROR(IF(O43&lt;&gt;"",O43,IF(OR($S43="",$T43=""),"",IF(O43&lt;&gt;"",O43,IF($T43&lt;&gt;"",_xlfn._xlws.FILTER(O:O,($BT:$BT=$BT43)*($I:$I=$I43)*($T:$T=$T43)*($S:$S=_xlfn.MINIFS($S:$S,$T:$T,"="&amp;$T43)),"")))))&amp;"",IF(O43="","",""))&amp;""</f>
        <v/>
      </c>
      <c r="AW43" t="str" cm="1">
        <f t="array" ref="AW43">IFERROR(IF(P43&lt;&gt;"",P43,IF(OR($S43="",$T43=""),"",IF($T43&lt;&gt;"",_xlfn._xlws.FILTER(P:P,($BT:$BT=$BT43)*($I:$I=$I43)*($T:$T=$T43)*($S:$S=_xlfn.MINIFS($S:$S,$T:$T,"="&amp;$T43)),""))))&amp;"",IF(P43="","",""))&amp;""</f>
        <v/>
      </c>
      <c r="AX43" t="str" cm="1">
        <f t="array" ref="AX43">IFERROR(IF(Q43&lt;&gt;"",Q43,IF(OR($S43="",$T43=""),"",IF($T43&lt;&gt;"",_xlfn._xlws.FILTER(Q:Q,($BT:$BT=$BT43)*($I:$I=$I43)*($T:$T=$T43)*($S:$S=_xlfn.MINIFS($S:$S,$T:$T,"="&amp;$T43)),""))))&amp;"",IF(Q43="","",""))&amp;""</f>
        <v/>
      </c>
      <c r="AY43" t="str" cm="1">
        <f t="array" ref="AY43">IFERROR(IF(R43&lt;&gt;"",R43,IF(OR($S43="",$T43=""),"",IF($T43&lt;&gt;"",_xlfn._xlws.FILTER(R:R,($BT:$BT=$BT43)*($I:$I=$I43)*($T:$T=$T43)*($S:$S=_xlfn.MINIFS($S:$S,$T:$T,"="&amp;$T43)),""))))&amp;"",IF(R43="","",""))&amp;""</f>
        <v/>
      </c>
      <c r="AZ43" s="6">
        <f t="shared" si="52"/>
        <v>5</v>
      </c>
      <c r="BA43">
        <f t="shared" ref="BA43:BC43" si="116">BA42</f>
        <v>18991</v>
      </c>
      <c r="BB43" t="str">
        <f t="shared" si="116"/>
        <v>Triple J</v>
      </c>
      <c r="BC43" t="str">
        <f t="shared" si="116"/>
        <v>Velodrome</v>
      </c>
      <c r="BD43" t="str">
        <f t="shared" si="54"/>
        <v>Zone_Entry_Exit</v>
      </c>
      <c r="BE43" t="str">
        <f t="shared" si="55"/>
        <v>Zone_Exit</v>
      </c>
      <c r="BF43" t="str">
        <f t="shared" si="56"/>
        <v>ZoneExit-Rush</v>
      </c>
      <c r="BG43" t="str">
        <f t="shared" si="22"/>
        <v>s</v>
      </c>
      <c r="BH43" cm="1">
        <f t="array" ref="BH43">IFERROR(_xlfn._xlws.FILTER(shifts!A:A,(shifts!B:B=events!Z43)*(shifts!AG:AG&gt;=events!BJ43)*(shifts!AH:AH&lt;=events!BK43)),BH42)</f>
        <v>1</v>
      </c>
      <c r="BI43" s="15">
        <f t="shared" si="57"/>
        <v>1</v>
      </c>
      <c r="BJ43">
        <f t="shared" si="58"/>
        <v>1049</v>
      </c>
      <c r="BK43">
        <f t="shared" si="59"/>
        <v>1048</v>
      </c>
      <c r="BL43" s="15">
        <f>SUMIFS(BI$2:BI43,K$2:K43,"=Intermission")+SUMIFS(BI$2:BI43,K$2:K43,"=Timeout")</f>
        <v>0</v>
      </c>
      <c r="BM43">
        <f t="shared" si="60"/>
        <v>0</v>
      </c>
      <c r="BN43" s="19">
        <f t="shared" si="61"/>
        <v>31</v>
      </c>
      <c r="BO43">
        <f t="shared" si="62"/>
        <v>26</v>
      </c>
      <c r="BP43" s="17">
        <f t="shared" si="63"/>
        <v>32</v>
      </c>
      <c r="BQ43" t="str">
        <f t="shared" si="64"/>
        <v>event_team_player_1</v>
      </c>
      <c r="BR43">
        <f>COUNTIFS(S$3:S43,"="&amp;S43,AH$3:AH43,"="&amp;AH43)</f>
        <v>1</v>
      </c>
      <c r="BS43" t="str">
        <f>IFERROR(VLOOKUP(BA43&amp;BT43&amp;X43,game_rosters!U:W,3,FALSE),"")</f>
        <v>P100198</v>
      </c>
      <c r="BT43" t="str">
        <f t="shared" si="65"/>
        <v>Velodrome</v>
      </c>
    </row>
    <row r="44" spans="1:72" x14ac:dyDescent="0.2">
      <c r="A44">
        <f t="shared" si="9"/>
        <v>1</v>
      </c>
      <c r="E44" s="4"/>
      <c r="F44" s="45"/>
      <c r="G44" s="4"/>
      <c r="H44" s="47" t="s">
        <v>739</v>
      </c>
      <c r="I44" s="26">
        <v>84</v>
      </c>
      <c r="J44" s="26" t="s">
        <v>734</v>
      </c>
      <c r="K44" t="s">
        <v>13</v>
      </c>
      <c r="N44" t="str">
        <f t="shared" si="83"/>
        <v/>
      </c>
      <c r="Q44" t="str">
        <f t="shared" si="77"/>
        <v/>
      </c>
      <c r="S44">
        <f>IF(A44=1,MAX($S$2:$S43)+1,IF(OR($I44&lt;&gt;"",A44="x"),$S43,""))</f>
        <v>23</v>
      </c>
      <c r="T44" t="str">
        <f>IF(D44=1,MAX($T$2:$T43)+1,IF(S44=S43,$T43,IF(D44="x",T43,IF(D43="x","",""))))</f>
        <v/>
      </c>
      <c r="U44" t="str">
        <f>IF(B44=1,MAX($U$2:$U43)+1,IF(AND($T44&lt;&gt;"",$T44=$T43),$U43,IF(B44="x",U43,"")))</f>
        <v/>
      </c>
      <c r="V44" t="str">
        <f>IF(C44=1,MAX($V$2:$V43)+1,IF(AND($T44&lt;&gt;"",$T44=$T43),$U43,IF(C44="x",V43,"")))</f>
        <v/>
      </c>
      <c r="W44" t="str" cm="1">
        <f t="array" ref="W44">IFERROR(_xlfn._xlws.FILTER(game_rosters!AC:AC,(game_rosters!J:J=events!X44)*(K44&lt;&gt;"")),"")</f>
        <v>a</v>
      </c>
      <c r="X44" cm="1">
        <f t="array" ref="X44">IF($I44&lt;&gt;"",$I44,INDEX($I$1:$I44,ROW()-COUNTIFS($T$1:$T44,"="&amp;$T44,$S$1:$S44,"&lt;"&amp;$S44)))</f>
        <v>84</v>
      </c>
      <c r="Y44" cm="1">
        <f t="array" ref="Y44">IFERROR(IF(_xlfn._xlws.FILTER(game_rosters!$J:$J,(game_rosters!$G:$G=events!$AM44)*(game_rosters!$J:$J=events!$X44))&gt;0,1,""),"")</f>
        <v>1</v>
      </c>
      <c r="Z44" s="6">
        <f t="shared" si="34"/>
        <v>1</v>
      </c>
      <c r="AA44">
        <f t="shared" si="35"/>
        <v>1023</v>
      </c>
      <c r="AB44" t="str">
        <f t="shared" si="36"/>
        <v/>
      </c>
      <c r="AC44">
        <f t="shared" si="37"/>
        <v>1023</v>
      </c>
      <c r="AD44" t="str">
        <f t="shared" si="38"/>
        <v>17</v>
      </c>
      <c r="AE44" t="str">
        <f t="shared" si="39"/>
        <v>28</v>
      </c>
      <c r="AF44" t="str">
        <f t="shared" si="40"/>
        <v>17</v>
      </c>
      <c r="AG44" t="str">
        <f t="shared" si="41"/>
        <v>26</v>
      </c>
      <c r="AH44" t="str">
        <f t="shared" si="90"/>
        <v>e</v>
      </c>
      <c r="AI44" t="str">
        <f t="shared" si="115"/>
        <v>n</v>
      </c>
      <c r="AJ44" t="str">
        <f t="shared" si="115"/>
        <v>n</v>
      </c>
      <c r="AK44" t="str">
        <f t="shared" si="92"/>
        <v>n</v>
      </c>
      <c r="AL44" t="str">
        <f t="shared" si="93"/>
        <v>n</v>
      </c>
      <c r="AM44" t="str">
        <f t="shared" si="44"/>
        <v>Away</v>
      </c>
      <c r="AN44" t="str">
        <f t="shared" si="94"/>
        <v>a</v>
      </c>
      <c r="AO44" t="str">
        <f t="shared" si="95"/>
        <v>n</v>
      </c>
      <c r="AP44" t="str">
        <f t="shared" si="96"/>
        <v>n</v>
      </c>
      <c r="AQ44" t="str">
        <f>IF(AM44&lt;&gt;"",AM44,IF($AC44=#REF!,#REF!,""))</f>
        <v>Away</v>
      </c>
      <c r="AR44" t="str">
        <f t="shared" si="97"/>
        <v>a</v>
      </c>
      <c r="AS44" t="str">
        <f t="shared" si="98"/>
        <v>Offensive</v>
      </c>
      <c r="AT44" t="str">
        <f t="shared" si="50"/>
        <v/>
      </c>
      <c r="AU44" t="str">
        <f t="shared" si="51"/>
        <v/>
      </c>
      <c r="AV44" t="str" cm="1">
        <f t="array" ref="AV44">IFERROR(IF(O44&lt;&gt;"",O44,IF(OR($S44="",$T44=""),"",IF(O44&lt;&gt;"",O44,IF($T44&lt;&gt;"",_xlfn._xlws.FILTER(O:O,($BT:$BT=$BT44)*($I:$I=$I44)*($T:$T=$T44)*($S:$S=_xlfn.MINIFS($S:$S,$T:$T,"="&amp;$T44)),"")))))&amp;"",IF(O44="","",""))&amp;""</f>
        <v/>
      </c>
      <c r="AW44" t="str" cm="1">
        <f t="array" ref="AW44">IFERROR(IF(P44&lt;&gt;"",P44,IF(OR($S44="",$T44=""),"",IF($T44&lt;&gt;"",_xlfn._xlws.FILTER(P:P,($BT:$BT=$BT44)*($I:$I=$I44)*($T:$T=$T44)*($S:$S=_xlfn.MINIFS($S:$S,$T:$T,"="&amp;$T44)),""))))&amp;"",IF(P44="","",""))&amp;""</f>
        <v/>
      </c>
      <c r="AX44" t="str" cm="1">
        <f t="array" ref="AX44">IFERROR(IF(Q44&lt;&gt;"",Q44,IF(OR($S44="",$T44=""),"",IF($T44&lt;&gt;"",_xlfn._xlws.FILTER(Q:Q,($BT:$BT=$BT44)*($I:$I=$I44)*($T:$T=$T44)*($S:$S=_xlfn.MINIFS($S:$S,$T:$T,"="&amp;$T44)),""))))&amp;"",IF(Q44="","",""))&amp;""</f>
        <v/>
      </c>
      <c r="AY44" t="str" cm="1">
        <f t="array" ref="AY44">IFERROR(IF(R44&lt;&gt;"",R44,IF(OR($S44="",$T44=""),"",IF($T44&lt;&gt;"",_xlfn._xlws.FILTER(R:R,($BT:$BT=$BT44)*($I:$I=$I44)*($T:$T=$T44)*($S:$S=_xlfn.MINIFS($S:$S,$T:$T,"="&amp;$T44)),""))))&amp;"",IF(R44="","",""))&amp;""</f>
        <v/>
      </c>
      <c r="AZ44" s="6">
        <f t="shared" si="52"/>
        <v>5</v>
      </c>
      <c r="BA44">
        <f t="shared" ref="BA44:BC44" si="117">BA43</f>
        <v>18991</v>
      </c>
      <c r="BB44" t="str">
        <f t="shared" si="117"/>
        <v>Triple J</v>
      </c>
      <c r="BC44" t="str">
        <f t="shared" si="117"/>
        <v>Velodrome</v>
      </c>
      <c r="BD44" t="str">
        <f t="shared" si="54"/>
        <v>Possession</v>
      </c>
      <c r="BE44" t="str">
        <f t="shared" si="55"/>
        <v/>
      </c>
      <c r="BF44" t="str">
        <f t="shared" si="56"/>
        <v/>
      </c>
      <c r="BG44" t="str">
        <f t="shared" si="22"/>
        <v/>
      </c>
      <c r="BH44" cm="1">
        <f t="array" ref="BH44">IFERROR(_xlfn._xlws.FILTER(shifts!A:A,(shifts!B:B=events!Z44)*(shifts!AG:AG&gt;=events!BJ44)*(shifts!AH:AH&lt;=events!BK44)),BH43)</f>
        <v>1</v>
      </c>
      <c r="BI44" s="15">
        <f t="shared" si="57"/>
        <v>2</v>
      </c>
      <c r="BJ44">
        <f t="shared" si="58"/>
        <v>1048</v>
      </c>
      <c r="BK44">
        <f t="shared" si="59"/>
        <v>1046</v>
      </c>
      <c r="BL44" s="15">
        <f>SUMIFS(BI$2:BI44,K$2:K44,"=Intermission")+SUMIFS(BI$2:BI44,K$2:K44,"=Timeout")</f>
        <v>0</v>
      </c>
      <c r="BM44">
        <f t="shared" si="60"/>
        <v>0</v>
      </c>
      <c r="BN44" s="19">
        <f t="shared" si="61"/>
        <v>32</v>
      </c>
      <c r="BO44">
        <f t="shared" si="62"/>
        <v>27</v>
      </c>
      <c r="BP44" s="17">
        <f t="shared" si="63"/>
        <v>34</v>
      </c>
      <c r="BQ44" t="str">
        <f t="shared" si="64"/>
        <v>event_team_player_1</v>
      </c>
      <c r="BR44">
        <f>COUNTIFS(S$3:S44,"="&amp;S44,AH$3:AH44,"="&amp;AH44)</f>
        <v>1</v>
      </c>
      <c r="BS44" t="str">
        <f>IFERROR(VLOOKUP(BA44&amp;BT44&amp;X44,game_rosters!U:W,3,FALSE),"")</f>
        <v>P100198</v>
      </c>
      <c r="BT44" t="str">
        <f t="shared" si="65"/>
        <v>Velodrome</v>
      </c>
    </row>
    <row r="45" spans="1:72" x14ac:dyDescent="0.2">
      <c r="A45">
        <f t="shared" si="9"/>
        <v>1</v>
      </c>
      <c r="E45" s="4"/>
      <c r="F45" s="45"/>
      <c r="G45" s="4"/>
      <c r="H45" s="47" t="s">
        <v>1034</v>
      </c>
      <c r="I45" s="26">
        <v>84</v>
      </c>
      <c r="J45" s="26" t="str">
        <f t="shared" si="68"/>
        <v>o</v>
      </c>
      <c r="K45" t="s">
        <v>238</v>
      </c>
      <c r="L45" t="s">
        <v>174</v>
      </c>
      <c r="M45" t="s">
        <v>85</v>
      </c>
      <c r="N45" t="str">
        <f t="shared" si="83"/>
        <v>s</v>
      </c>
      <c r="O45" t="s">
        <v>144</v>
      </c>
      <c r="Q45" t="str">
        <f t="shared" si="77"/>
        <v>s</v>
      </c>
      <c r="S45">
        <f>IF(A45=1,MAX($S$2:$S44)+1,IF(OR($I45&lt;&gt;"",A45="x"),$S44,""))</f>
        <v>24</v>
      </c>
      <c r="T45" t="str">
        <f>IF(D45=1,MAX($T$2:$T44)+1,IF(S45=S44,$T44,IF(D45="x",T44,IF(D44="x","",""))))</f>
        <v/>
      </c>
      <c r="U45" t="str">
        <f>IF(B45=1,MAX($U$2:$U44)+1,IF(AND($T45&lt;&gt;"",$T45=$T44),$U44,IF(B45="x",U44,"")))</f>
        <v/>
      </c>
      <c r="V45" t="str">
        <f>IF(C45=1,MAX($V$2:$V44)+1,IF(AND($T45&lt;&gt;"",$T45=$T44),$U44,IF(C45="x",V44,"")))</f>
        <v/>
      </c>
      <c r="W45" t="str" cm="1">
        <f t="array" ref="W45">IFERROR(_xlfn._xlws.FILTER(game_rosters!AC:AC,(game_rosters!J:J=events!X45)*(K45&lt;&gt;"")),"")</f>
        <v>a</v>
      </c>
      <c r="X45" cm="1">
        <f t="array" ref="X45">IF($I45&lt;&gt;"",$I45,INDEX($I$1:$I45,ROW()-COUNTIFS($T$1:$T45,"="&amp;$T45,$S$1:$S45,"&lt;"&amp;$S45)))</f>
        <v>84</v>
      </c>
      <c r="Y45" cm="1">
        <f t="array" ref="Y45">IFERROR(IF(_xlfn._xlws.FILTER(game_rosters!$J:$J,(game_rosters!$G:$G=events!$AM45)*(game_rosters!$J:$J=events!$X45))&gt;0,1,""),"")</f>
        <v>1</v>
      </c>
      <c r="Z45" s="6">
        <f t="shared" si="34"/>
        <v>1</v>
      </c>
      <c r="AA45">
        <f t="shared" si="35"/>
        <v>1024</v>
      </c>
      <c r="AB45" t="str">
        <f t="shared" si="36"/>
        <v/>
      </c>
      <c r="AC45">
        <f t="shared" si="37"/>
        <v>1024</v>
      </c>
      <c r="AD45" t="str">
        <f t="shared" si="38"/>
        <v>17</v>
      </c>
      <c r="AE45" t="str">
        <f t="shared" si="39"/>
        <v>26</v>
      </c>
      <c r="AF45" t="str">
        <f t="shared" si="40"/>
        <v>17</v>
      </c>
      <c r="AG45" t="str">
        <f t="shared" si="41"/>
        <v>24</v>
      </c>
      <c r="AH45" t="str">
        <f t="shared" si="90"/>
        <v>e</v>
      </c>
      <c r="AI45" t="str">
        <f t="shared" si="115"/>
        <v>o</v>
      </c>
      <c r="AJ45" t="str">
        <f t="shared" si="115"/>
        <v>o</v>
      </c>
      <c r="AK45" t="str">
        <f t="shared" si="92"/>
        <v>d</v>
      </c>
      <c r="AL45" t="str">
        <f t="shared" si="93"/>
        <v>o</v>
      </c>
      <c r="AM45" t="str">
        <f t="shared" si="44"/>
        <v>Away</v>
      </c>
      <c r="AN45" t="str">
        <f t="shared" si="94"/>
        <v>a</v>
      </c>
      <c r="AO45" t="str">
        <f t="shared" si="95"/>
        <v>d</v>
      </c>
      <c r="AP45" t="str">
        <f t="shared" si="96"/>
        <v>o</v>
      </c>
      <c r="AQ45" t="str">
        <f>IF(AM45&lt;&gt;"",AM45,IF($AC45=#REF!,#REF!,""))</f>
        <v>Away</v>
      </c>
      <c r="AR45" t="str">
        <f t="shared" si="97"/>
        <v>a</v>
      </c>
      <c r="AS45" t="str">
        <f t="shared" si="98"/>
        <v>Offensive</v>
      </c>
      <c r="AT45" t="str">
        <f t="shared" si="50"/>
        <v/>
      </c>
      <c r="AU45" t="str">
        <f t="shared" si="51"/>
        <v/>
      </c>
      <c r="AV45" t="str" cm="1">
        <f t="array" ref="AV45">IFERROR(IF(O45&lt;&gt;"",O45,IF(OR($S45="",$T45=""),"",IF(O45&lt;&gt;"",O45,IF($T45&lt;&gt;"",_xlfn._xlws.FILTER(O:O,($BT:$BT=$BT45)*($I:$I=$I45)*($T:$T=$T45)*($S:$S=_xlfn.MINIFS($S:$S,$T:$T,"="&amp;$T45)),"")))))&amp;"",IF(O45="","",""))&amp;""</f>
        <v>DriveWide</v>
      </c>
      <c r="AW45" t="str" cm="1">
        <f t="array" ref="AW45">IFERROR(IF(P45&lt;&gt;"",P45,IF(OR($S45="",$T45=""),"",IF($T45&lt;&gt;"",_xlfn._xlws.FILTER(P:P,($BT:$BT=$BT45)*($I:$I=$I45)*($T:$T=$T45)*($S:$S=_xlfn.MINIFS($S:$S,$T:$T,"="&amp;$T45)),""))))&amp;"",IF(P45="","",""))&amp;""</f>
        <v/>
      </c>
      <c r="AX45" t="str" cm="1">
        <f t="array" ref="AX45">IFERROR(IF(Q45&lt;&gt;"",Q45,IF(OR($S45="",$T45=""),"",IF($T45&lt;&gt;"",_xlfn._xlws.FILTER(Q:Q,($BT:$BT=$BT45)*($I:$I=$I45)*($T:$T=$T45)*($S:$S=_xlfn.MINIFS($S:$S,$T:$T,"="&amp;$T45)),""))))&amp;"",IF(Q45="","",""))&amp;""</f>
        <v>s</v>
      </c>
      <c r="AY45" t="str" cm="1">
        <f t="array" ref="AY45">IFERROR(IF(R45&lt;&gt;"",R45,IF(OR($S45="",$T45=""),"",IF($T45&lt;&gt;"",_xlfn._xlws.FILTER(R:R,($BT:$BT=$BT45)*($I:$I=$I45)*($T:$T=$T45)*($S:$S=_xlfn.MINIFS($S:$S,$T:$T,"="&amp;$T45)),""))))&amp;"",IF(R45="","",""))&amp;""</f>
        <v/>
      </c>
      <c r="AZ45" s="6">
        <f t="shared" si="52"/>
        <v>6</v>
      </c>
      <c r="BA45">
        <f t="shared" ref="BA45:BC45" si="118">BA44</f>
        <v>18991</v>
      </c>
      <c r="BB45" t="str">
        <f t="shared" si="118"/>
        <v>Triple J</v>
      </c>
      <c r="BC45" t="str">
        <f t="shared" si="118"/>
        <v>Velodrome</v>
      </c>
      <c r="BD45" t="str">
        <f t="shared" si="54"/>
        <v>Zone_Entry_Exit</v>
      </c>
      <c r="BE45" t="str">
        <f t="shared" si="55"/>
        <v>Zone_Entry</v>
      </c>
      <c r="BF45" t="str">
        <f t="shared" si="56"/>
        <v>ZoneEntry-Rush</v>
      </c>
      <c r="BG45" t="str">
        <f t="shared" si="22"/>
        <v>s</v>
      </c>
      <c r="BH45" cm="1">
        <f t="array" ref="BH45">IFERROR(_xlfn._xlws.FILTER(shifts!A:A,(shifts!B:B=events!Z45)*(shifts!AG:AG&gt;=events!BJ45)*(shifts!AH:AH&lt;=events!BK45)),BH44)</f>
        <v>1</v>
      </c>
      <c r="BI45" s="15">
        <f t="shared" si="57"/>
        <v>2</v>
      </c>
      <c r="BJ45">
        <f t="shared" si="58"/>
        <v>1046</v>
      </c>
      <c r="BK45">
        <f t="shared" si="59"/>
        <v>1044</v>
      </c>
      <c r="BL45" s="15">
        <f>SUMIFS(BI$2:BI45,K$2:K45,"=Intermission")+SUMIFS(BI$2:BI45,K$2:K45,"=Timeout")</f>
        <v>0</v>
      </c>
      <c r="BM45">
        <f t="shared" si="60"/>
        <v>0</v>
      </c>
      <c r="BN45" s="19">
        <f t="shared" si="61"/>
        <v>34</v>
      </c>
      <c r="BO45">
        <f t="shared" si="62"/>
        <v>29</v>
      </c>
      <c r="BP45" s="17">
        <f t="shared" si="63"/>
        <v>36</v>
      </c>
      <c r="BQ45" t="str">
        <f t="shared" si="64"/>
        <v>event_team_player_1</v>
      </c>
      <c r="BR45">
        <f>COUNTIFS(S$3:S45,"="&amp;S45,AH$3:AH45,"="&amp;AH45)</f>
        <v>1</v>
      </c>
      <c r="BS45" t="str">
        <f>IFERROR(VLOOKUP(BA45&amp;BT45&amp;X45,game_rosters!U:W,3,FALSE),"")</f>
        <v>P100198</v>
      </c>
      <c r="BT45" t="str">
        <f t="shared" si="65"/>
        <v>Velodrome</v>
      </c>
    </row>
    <row r="46" spans="1:72" x14ac:dyDescent="0.2">
      <c r="A46" t="str">
        <f t="shared" si="9"/>
        <v/>
      </c>
      <c r="E46" s="4"/>
      <c r="F46" s="45"/>
      <c r="G46" s="4"/>
      <c r="H46" s="47"/>
      <c r="I46" s="26">
        <v>70</v>
      </c>
      <c r="J46" s="26" t="str">
        <f t="shared" si="68"/>
        <v/>
      </c>
      <c r="N46" t="str">
        <f t="shared" si="83"/>
        <v/>
      </c>
      <c r="Q46" t="str">
        <f t="shared" si="77"/>
        <v/>
      </c>
      <c r="S46">
        <f>IF(A46=1,MAX($S$2:$S45)+1,IF(OR($I46&lt;&gt;"",A46="x"),$S45,""))</f>
        <v>24</v>
      </c>
      <c r="T46" t="str">
        <f>IF(D46=1,MAX($T$2:$T45)+1,IF(S46=S45,$T45,IF(D46="x",T45,IF(D45="x","",""))))</f>
        <v/>
      </c>
      <c r="U46" t="str">
        <f>IF(B46=1,MAX($U$2:$U45)+1,IF(AND($T46&lt;&gt;"",$T46=$T45),$U45,IF(B46="x",U45,"")))</f>
        <v/>
      </c>
      <c r="V46" t="str">
        <f>IF(C46=1,MAX($V$2:$V45)+1,IF(AND($T46&lt;&gt;"",$T46=$T45),$U45,IF(C46="x",V45,"")))</f>
        <v/>
      </c>
      <c r="W46" t="str" cm="1">
        <f t="array" ref="W46">IFERROR(_xlfn._xlws.FILTER(game_rosters!AC:AC,(game_rosters!J:J=events!X46)*(K46&lt;&gt;"")),"")</f>
        <v/>
      </c>
      <c r="X46" cm="1">
        <f t="array" ref="X46">IF($I46&lt;&gt;"",$I46,INDEX($I$1:$I46,ROW()-COUNTIFS($T$1:$T46,"="&amp;$T46,$S$1:$S46,"&lt;"&amp;$S46)))</f>
        <v>70</v>
      </c>
      <c r="Y46" cm="1">
        <f t="array" ref="Y46">IFERROR(IF(_xlfn._xlws.FILTER(game_rosters!$J:$J,(game_rosters!$G:$G=events!$AM46)*(game_rosters!$J:$J=events!$X46))&gt;0,1,""),"")</f>
        <v>1</v>
      </c>
      <c r="Z46" s="6">
        <f t="shared" si="34"/>
        <v>1</v>
      </c>
      <c r="AA46">
        <f t="shared" si="35"/>
        <v>1024</v>
      </c>
      <c r="AB46" t="str">
        <f t="shared" si="36"/>
        <v/>
      </c>
      <c r="AC46">
        <f t="shared" si="37"/>
        <v>1024</v>
      </c>
      <c r="AD46" t="str">
        <f t="shared" si="38"/>
        <v>17</v>
      </c>
      <c r="AE46" t="str">
        <f t="shared" si="39"/>
        <v>26</v>
      </c>
      <c r="AF46" t="str">
        <f t="shared" si="40"/>
        <v>17</v>
      </c>
      <c r="AG46" t="str">
        <f t="shared" si="41"/>
        <v>24</v>
      </c>
      <c r="AH46" t="str">
        <f t="shared" si="90"/>
        <v>e</v>
      </c>
      <c r="AI46" t="str">
        <f t="shared" si="115"/>
        <v>o</v>
      </c>
      <c r="AJ46" t="str">
        <f t="shared" si="115"/>
        <v>o</v>
      </c>
      <c r="AK46" t="str">
        <f t="shared" si="92"/>
        <v/>
      </c>
      <c r="AL46" t="str">
        <f t="shared" si="93"/>
        <v/>
      </c>
      <c r="AM46" t="str">
        <f t="shared" si="44"/>
        <v>Away</v>
      </c>
      <c r="AN46" t="str">
        <f t="shared" si="94"/>
        <v>a</v>
      </c>
      <c r="AO46" t="str">
        <f t="shared" si="95"/>
        <v>d</v>
      </c>
      <c r="AP46" t="str">
        <f t="shared" si="96"/>
        <v>o</v>
      </c>
      <c r="AQ46" t="str">
        <f>IF(AM46&lt;&gt;"",AM46,IF($AC46=#REF!,#REF!,""))</f>
        <v>Away</v>
      </c>
      <c r="AR46" t="str">
        <f t="shared" si="97"/>
        <v>a</v>
      </c>
      <c r="AS46" t="str">
        <f t="shared" si="98"/>
        <v>Offensive</v>
      </c>
      <c r="AT46" t="str">
        <f t="shared" si="50"/>
        <v/>
      </c>
      <c r="AU46" t="str">
        <f t="shared" si="51"/>
        <v/>
      </c>
      <c r="AV46" t="str" cm="1">
        <f t="array" ref="AV46">IFERROR(IF(O46&lt;&gt;"",O46,IF(OR($S46="",$T46=""),"",IF(O46&lt;&gt;"",O46,IF($T46&lt;&gt;"",_xlfn._xlws.FILTER(O:O,($BT:$BT=$BT46)*($I:$I=$I46)*($T:$T=$T46)*($S:$S=_xlfn.MINIFS($S:$S,$T:$T,"="&amp;$T46)),"")))))&amp;"",IF(O46="","",""))&amp;""</f>
        <v/>
      </c>
      <c r="AW46" t="str" cm="1">
        <f t="array" ref="AW46">IFERROR(IF(P46&lt;&gt;"",P46,IF(OR($S46="",$T46=""),"",IF($T46&lt;&gt;"",_xlfn._xlws.FILTER(P:P,($BT:$BT=$BT46)*($I:$I=$I46)*($T:$T=$T46)*($S:$S=_xlfn.MINIFS($S:$S,$T:$T,"="&amp;$T46)),""))))&amp;"",IF(P46="","",""))&amp;""</f>
        <v/>
      </c>
      <c r="AX46" t="str" cm="1">
        <f t="array" ref="AX46">IFERROR(IF(Q46&lt;&gt;"",Q46,IF(OR($S46="",$T46=""),"",IF($T46&lt;&gt;"",_xlfn._xlws.FILTER(Q:Q,($BT:$BT=$BT46)*($I:$I=$I46)*($T:$T=$T46)*($S:$S=_xlfn.MINIFS($S:$S,$T:$T,"="&amp;$T46)),""))))&amp;"",IF(Q46="","",""))&amp;""</f>
        <v/>
      </c>
      <c r="AY46" t="str" cm="1">
        <f t="array" ref="AY46">IFERROR(IF(R46&lt;&gt;"",R46,IF(OR($S46="",$T46=""),"",IF($T46&lt;&gt;"",_xlfn._xlws.FILTER(R:R,($BT:$BT=$BT46)*($I:$I=$I46)*($T:$T=$T46)*($S:$S=_xlfn.MINIFS($S:$S,$T:$T,"="&amp;$T46)),""))))&amp;"",IF(R46="","",""))&amp;""</f>
        <v/>
      </c>
      <c r="AZ46" s="6">
        <f t="shared" si="52"/>
        <v>6</v>
      </c>
      <c r="BA46">
        <f t="shared" ref="BA46:BC46" si="119">BA45</f>
        <v>18991</v>
      </c>
      <c r="BB46" t="str">
        <f t="shared" si="119"/>
        <v>Triple J</v>
      </c>
      <c r="BC46" t="str">
        <f t="shared" si="119"/>
        <v>Velodrome</v>
      </c>
      <c r="BD46" t="str">
        <f t="shared" si="54"/>
        <v>Zone_Entry_Exit</v>
      </c>
      <c r="BE46" t="str">
        <f t="shared" si="55"/>
        <v>Zone_Entry</v>
      </c>
      <c r="BF46" t="str">
        <f t="shared" si="56"/>
        <v>ZoneEntry-Rush</v>
      </c>
      <c r="BG46" t="str">
        <f t="shared" si="22"/>
        <v>s</v>
      </c>
      <c r="BH46" cm="1">
        <f t="array" ref="BH46">IFERROR(_xlfn._xlws.FILTER(shifts!A:A,(shifts!B:B=events!Z46)*(shifts!AG:AG&gt;=events!BJ46)*(shifts!AH:AH&lt;=events!BK46)),BH45)</f>
        <v>1</v>
      </c>
      <c r="BI46" s="15">
        <f t="shared" si="57"/>
        <v>2</v>
      </c>
      <c r="BJ46">
        <f t="shared" si="58"/>
        <v>1046</v>
      </c>
      <c r="BK46">
        <f t="shared" si="59"/>
        <v>1044</v>
      </c>
      <c r="BL46" s="15">
        <f>SUMIFS(BI$2:BI46,K$2:K46,"=Intermission")+SUMIFS(BI$2:BI46,K$2:K46,"=Timeout")</f>
        <v>0</v>
      </c>
      <c r="BM46">
        <f t="shared" si="60"/>
        <v>0</v>
      </c>
      <c r="BN46" s="19">
        <f t="shared" si="61"/>
        <v>34</v>
      </c>
      <c r="BO46">
        <f t="shared" si="62"/>
        <v>29</v>
      </c>
      <c r="BP46" s="17">
        <f t="shared" si="63"/>
        <v>36</v>
      </c>
      <c r="BQ46" t="str">
        <f t="shared" si="64"/>
        <v>event_team_player_2</v>
      </c>
      <c r="BR46">
        <f>COUNTIFS(S$3:S46,"="&amp;S46,AH$3:AH46,"="&amp;AH46)</f>
        <v>2</v>
      </c>
      <c r="BS46" t="str">
        <f>IFERROR(VLOOKUP(BA46&amp;BT46&amp;X46,game_rosters!U:W,3,FALSE),"")</f>
        <v>P100001</v>
      </c>
      <c r="BT46" t="str">
        <f t="shared" si="65"/>
        <v>Velodrome</v>
      </c>
    </row>
    <row r="47" spans="1:72" x14ac:dyDescent="0.2">
      <c r="A47" t="str">
        <f t="shared" si="9"/>
        <v/>
      </c>
      <c r="E47" s="4"/>
      <c r="F47" s="45"/>
      <c r="G47" s="4"/>
      <c r="H47" s="47"/>
      <c r="I47" s="26">
        <v>19</v>
      </c>
      <c r="J47" s="26" t="str">
        <f t="shared" si="68"/>
        <v/>
      </c>
      <c r="N47" t="str">
        <f t="shared" si="83"/>
        <v/>
      </c>
      <c r="O47" t="s">
        <v>163</v>
      </c>
      <c r="Q47" t="str">
        <f t="shared" si="77"/>
        <v>u</v>
      </c>
      <c r="S47">
        <f>IF(A47=1,MAX($S$2:$S46)+1,IF(OR($I47&lt;&gt;"",A47="x"),$S46,""))</f>
        <v>24</v>
      </c>
      <c r="T47" t="str">
        <f>IF(D47=1,MAX($T$2:$T46)+1,IF(S47=S46,$T46,IF(D47="x",T46,IF(D46="x","",""))))</f>
        <v/>
      </c>
      <c r="U47" t="str">
        <f>IF(B47=1,MAX($U$2:$U46)+1,IF(AND($T47&lt;&gt;"",$T47=$T46),$U46,IF(B47="x",U46,"")))</f>
        <v/>
      </c>
      <c r="V47" t="str">
        <f>IF(C47=1,MAX($V$2:$V46)+1,IF(AND($T47&lt;&gt;"",$T47=$T46),$U46,IF(C47="x",V46,"")))</f>
        <v/>
      </c>
      <c r="W47" t="str" cm="1">
        <f t="array" ref="W47">IFERROR(_xlfn._xlws.FILTER(game_rosters!AC:AC,(game_rosters!J:J=events!X47)*(K47&lt;&gt;"")),"")</f>
        <v/>
      </c>
      <c r="X47" cm="1">
        <f t="array" ref="X47">IF($I47&lt;&gt;"",$I47,INDEX($I$1:$I47,ROW()-COUNTIFS($T$1:$T47,"="&amp;$T47,$S$1:$S47,"&lt;"&amp;$S47)))</f>
        <v>19</v>
      </c>
      <c r="Y47" t="str" cm="1">
        <f t="array" ref="Y47">IFERROR(IF(_xlfn._xlws.FILTER(game_rosters!$J:$J,(game_rosters!$G:$G=events!$AM47)*(game_rosters!$J:$J=events!$X47))&gt;0,1,""),"")</f>
        <v/>
      </c>
      <c r="Z47" s="6">
        <f t="shared" si="34"/>
        <v>1</v>
      </c>
      <c r="AA47">
        <f t="shared" si="35"/>
        <v>1024</v>
      </c>
      <c r="AB47" t="str">
        <f t="shared" si="36"/>
        <v/>
      </c>
      <c r="AC47">
        <f t="shared" si="37"/>
        <v>1024</v>
      </c>
      <c r="AD47" t="str">
        <f t="shared" si="38"/>
        <v>17</v>
      </c>
      <c r="AE47" t="str">
        <f t="shared" si="39"/>
        <v>26</v>
      </c>
      <c r="AF47" t="str">
        <f t="shared" si="40"/>
        <v>17</v>
      </c>
      <c r="AG47" t="str">
        <f t="shared" si="41"/>
        <v>24</v>
      </c>
      <c r="AH47" t="str">
        <f t="shared" si="90"/>
        <v>o</v>
      </c>
      <c r="AI47" t="str">
        <f t="shared" si="115"/>
        <v>o</v>
      </c>
      <c r="AJ47" t="str">
        <f t="shared" si="115"/>
        <v>o</v>
      </c>
      <c r="AK47" t="str">
        <f t="shared" si="92"/>
        <v/>
      </c>
      <c r="AL47" t="str">
        <f t="shared" si="93"/>
        <v/>
      </c>
      <c r="AM47" t="str">
        <f t="shared" si="44"/>
        <v>Away</v>
      </c>
      <c r="AN47" t="str">
        <f t="shared" si="94"/>
        <v>a</v>
      </c>
      <c r="AO47" t="str">
        <f t="shared" si="95"/>
        <v>d</v>
      </c>
      <c r="AP47" t="str">
        <f t="shared" si="96"/>
        <v>o</v>
      </c>
      <c r="AQ47" t="str">
        <f>IF(AM47&lt;&gt;"",AM47,IF($AC47=#REF!,#REF!,""))</f>
        <v>Away</v>
      </c>
      <c r="AR47" t="str">
        <f t="shared" si="97"/>
        <v>a</v>
      </c>
      <c r="AS47" t="str">
        <f t="shared" si="98"/>
        <v>Defensive</v>
      </c>
      <c r="AT47" t="str">
        <f t="shared" si="50"/>
        <v/>
      </c>
      <c r="AU47" t="str">
        <f t="shared" si="51"/>
        <v/>
      </c>
      <c r="AV47" t="str" cm="1">
        <f t="array" ref="AV47">IFERROR(IF(O47&lt;&gt;"",O47,IF(OR($S47="",$T47=""),"",IF(O47&lt;&gt;"",O47,IF($T47&lt;&gt;"",_xlfn._xlws.FILTER(O:O,($BT:$BT=$BT47)*($I:$I=$I47)*($T:$T=$T47)*($S:$S=_xlfn.MINIFS($S:$S,$T:$T,"="&amp;$T47)),"")))))&amp;"",IF(O47="","",""))&amp;""</f>
        <v>BeatWide</v>
      </c>
      <c r="AW47" t="str" cm="1">
        <f t="array" ref="AW47">IFERROR(IF(P47&lt;&gt;"",P47,IF(OR($S47="",$T47=""),"",IF($T47&lt;&gt;"",_xlfn._xlws.FILTER(P:P,($BT:$BT=$BT47)*($I:$I=$I47)*($T:$T=$T47)*($S:$S=_xlfn.MINIFS($S:$S,$T:$T,"="&amp;$T47)),""))))&amp;"",IF(P47="","",""))&amp;""</f>
        <v/>
      </c>
      <c r="AX47" t="str" cm="1">
        <f t="array" ref="AX47">IFERROR(IF(Q47&lt;&gt;"",Q47,IF(OR($S47="",$T47=""),"",IF($T47&lt;&gt;"",_xlfn._xlws.FILTER(Q:Q,($BT:$BT=$BT47)*($I:$I=$I47)*($T:$T=$T47)*($S:$S=_xlfn.MINIFS($S:$S,$T:$T,"="&amp;$T47)),""))))&amp;"",IF(Q47="","",""))&amp;""</f>
        <v>u</v>
      </c>
      <c r="AY47" t="str" cm="1">
        <f t="array" ref="AY47">IFERROR(IF(R47&lt;&gt;"",R47,IF(OR($S47="",$T47=""),"",IF($T47&lt;&gt;"",_xlfn._xlws.FILTER(R:R,($BT:$BT=$BT47)*($I:$I=$I47)*($T:$T=$T47)*($S:$S=_xlfn.MINIFS($S:$S,$T:$T,"="&amp;$T47)),""))))&amp;"",IF(R47="","",""))&amp;""</f>
        <v/>
      </c>
      <c r="AZ47" s="6">
        <f t="shared" si="52"/>
        <v>6</v>
      </c>
      <c r="BA47">
        <f t="shared" ref="BA47:BC47" si="120">BA46</f>
        <v>18991</v>
      </c>
      <c r="BB47" t="str">
        <f t="shared" si="120"/>
        <v>Triple J</v>
      </c>
      <c r="BC47" t="str">
        <f t="shared" si="120"/>
        <v>Velodrome</v>
      </c>
      <c r="BD47" t="str">
        <f t="shared" si="54"/>
        <v>Zone_Entry_Exit</v>
      </c>
      <c r="BE47" t="str">
        <f t="shared" si="55"/>
        <v>Zone_Entry</v>
      </c>
      <c r="BF47" t="str">
        <f t="shared" si="56"/>
        <v>ZoneEntry-Rush</v>
      </c>
      <c r="BG47" t="str">
        <f t="shared" si="22"/>
        <v>s</v>
      </c>
      <c r="BH47" cm="1">
        <f t="array" ref="BH47">IFERROR(_xlfn._xlws.FILTER(shifts!A:A,(shifts!B:B=events!Z47)*(shifts!AG:AG&gt;=events!BJ47)*(shifts!AH:AH&lt;=events!BK47)),BH46)</f>
        <v>1</v>
      </c>
      <c r="BI47" s="15">
        <f t="shared" si="57"/>
        <v>2</v>
      </c>
      <c r="BJ47">
        <f t="shared" si="58"/>
        <v>1046</v>
      </c>
      <c r="BK47">
        <f t="shared" si="59"/>
        <v>1044</v>
      </c>
      <c r="BL47" s="15">
        <f>SUMIFS(BI$2:BI47,K$2:K47,"=Intermission")+SUMIFS(BI$2:BI47,K$2:K47,"=Timeout")</f>
        <v>0</v>
      </c>
      <c r="BM47">
        <f t="shared" si="60"/>
        <v>0</v>
      </c>
      <c r="BN47" s="19">
        <f t="shared" si="61"/>
        <v>34</v>
      </c>
      <c r="BO47">
        <f t="shared" si="62"/>
        <v>29</v>
      </c>
      <c r="BP47" s="17">
        <f t="shared" si="63"/>
        <v>36</v>
      </c>
      <c r="BQ47" t="str">
        <f t="shared" si="64"/>
        <v>opp_team_player_1</v>
      </c>
      <c r="BR47">
        <f>COUNTIFS(S$3:S47,"="&amp;S47,AH$3:AH47,"="&amp;AH47)</f>
        <v>1</v>
      </c>
      <c r="BS47" t="str">
        <f>IFERROR(VLOOKUP(BA47&amp;BT47&amp;X47,game_rosters!U:W,3,FALSE),"")</f>
        <v>P100089</v>
      </c>
      <c r="BT47" t="str">
        <f t="shared" si="65"/>
        <v>Triple J</v>
      </c>
    </row>
    <row r="48" spans="1:72" x14ac:dyDescent="0.2">
      <c r="A48" t="str">
        <f t="shared" si="9"/>
        <v/>
      </c>
      <c r="E48" s="4"/>
      <c r="F48" s="45"/>
      <c r="G48" s="4"/>
      <c r="H48" s="47"/>
      <c r="I48" s="26">
        <v>41</v>
      </c>
      <c r="J48" s="26" t="str">
        <f t="shared" si="68"/>
        <v/>
      </c>
      <c r="N48" t="str">
        <f t="shared" si="83"/>
        <v/>
      </c>
      <c r="Q48" t="str">
        <f t="shared" si="77"/>
        <v/>
      </c>
      <c r="S48">
        <f>IF(A48=1,MAX($S$2:$S47)+1,IF(OR($I48&lt;&gt;"",A48="x"),$S47,""))</f>
        <v>24</v>
      </c>
      <c r="T48" t="str">
        <f>IF(D48=1,MAX($T$2:$T47)+1,IF(S48=S47,$T47,IF(D48="x",T47,IF(D47="x","",""))))</f>
        <v/>
      </c>
      <c r="U48" t="str">
        <f>IF(B48=1,MAX($U$2:$U47)+1,IF(AND($T48&lt;&gt;"",$T48=$T47),$U47,IF(B48="x",U47,"")))</f>
        <v/>
      </c>
      <c r="V48" t="str">
        <f>IF(C48=1,MAX($V$2:$V47)+1,IF(AND($T48&lt;&gt;"",$T48=$T47),$U47,IF(C48="x",V47,"")))</f>
        <v/>
      </c>
      <c r="W48" t="str" cm="1">
        <f t="array" ref="W48">IFERROR(_xlfn._xlws.FILTER(game_rosters!AC:AC,(game_rosters!J:J=events!X48)*(K48&lt;&gt;"")),"")</f>
        <v/>
      </c>
      <c r="X48" cm="1">
        <f t="array" ref="X48">IF($I48&lt;&gt;"",$I48,INDEX($I$1:$I48,ROW()-COUNTIFS($T$1:$T48,"="&amp;$T48,$S$1:$S48,"&lt;"&amp;$S48)))</f>
        <v>41</v>
      </c>
      <c r="Y48" t="str" cm="1">
        <f t="array" ref="Y48">IFERROR(IF(_xlfn._xlws.FILTER(game_rosters!$J:$J,(game_rosters!$G:$G=events!$AM48)*(game_rosters!$J:$J=events!$X48))&gt;0,1,""),"")</f>
        <v/>
      </c>
      <c r="Z48" s="6">
        <f t="shared" si="34"/>
        <v>1</v>
      </c>
      <c r="AA48">
        <f t="shared" si="35"/>
        <v>1024</v>
      </c>
      <c r="AB48" t="str">
        <f t="shared" si="36"/>
        <v/>
      </c>
      <c r="AC48">
        <f t="shared" si="37"/>
        <v>1024</v>
      </c>
      <c r="AD48" t="str">
        <f t="shared" si="38"/>
        <v>17</v>
      </c>
      <c r="AE48" t="str">
        <f t="shared" si="39"/>
        <v>26</v>
      </c>
      <c r="AF48" t="str">
        <f t="shared" si="40"/>
        <v>17</v>
      </c>
      <c r="AG48" t="str">
        <f t="shared" si="41"/>
        <v>24</v>
      </c>
      <c r="AH48" t="str">
        <f t="shared" si="90"/>
        <v>o</v>
      </c>
      <c r="AI48" t="str">
        <f t="shared" si="115"/>
        <v>o</v>
      </c>
      <c r="AJ48" t="str">
        <f t="shared" si="115"/>
        <v>o</v>
      </c>
      <c r="AK48" t="str">
        <f t="shared" si="92"/>
        <v/>
      </c>
      <c r="AL48" t="str">
        <f t="shared" si="93"/>
        <v/>
      </c>
      <c r="AM48" t="str">
        <f t="shared" si="44"/>
        <v>Away</v>
      </c>
      <c r="AN48" t="str">
        <f t="shared" si="94"/>
        <v>a</v>
      </c>
      <c r="AO48" t="str">
        <f t="shared" si="95"/>
        <v>d</v>
      </c>
      <c r="AP48" t="str">
        <f t="shared" si="96"/>
        <v>o</v>
      </c>
      <c r="AQ48" t="str">
        <f>IF(AM48&lt;&gt;"",AM48,IF($AC48=#REF!,#REF!,""))</f>
        <v>Away</v>
      </c>
      <c r="AR48" t="str">
        <f t="shared" si="97"/>
        <v>a</v>
      </c>
      <c r="AS48" t="str">
        <f t="shared" si="98"/>
        <v>Defensive</v>
      </c>
      <c r="AT48" t="str">
        <f t="shared" si="50"/>
        <v/>
      </c>
      <c r="AU48" t="str">
        <f t="shared" si="51"/>
        <v/>
      </c>
      <c r="AV48" t="str" cm="1">
        <f t="array" ref="AV48">IFERROR(IF(O48&lt;&gt;"",O48,IF(OR($S48="",$T48=""),"",IF(O48&lt;&gt;"",O48,IF($T48&lt;&gt;"",_xlfn._xlws.FILTER(O:O,($BT:$BT=$BT48)*($I:$I=$I48)*($T:$T=$T48)*($S:$S=_xlfn.MINIFS($S:$S,$T:$T,"="&amp;$T48)),"")))))&amp;"",IF(O48="","",""))&amp;""</f>
        <v/>
      </c>
      <c r="AW48" t="str" cm="1">
        <f t="array" ref="AW48">IFERROR(IF(P48&lt;&gt;"",P48,IF(OR($S48="",$T48=""),"",IF($T48&lt;&gt;"",_xlfn._xlws.FILTER(P:P,($BT:$BT=$BT48)*($I:$I=$I48)*($T:$T=$T48)*($S:$S=_xlfn.MINIFS($S:$S,$T:$T,"="&amp;$T48)),""))))&amp;"",IF(P48="","",""))&amp;""</f>
        <v/>
      </c>
      <c r="AX48" t="str" cm="1">
        <f t="array" ref="AX48">IFERROR(IF(Q48&lt;&gt;"",Q48,IF(OR($S48="",$T48=""),"",IF($T48&lt;&gt;"",_xlfn._xlws.FILTER(Q:Q,($BT:$BT=$BT48)*($I:$I=$I48)*($T:$T=$T48)*($S:$S=_xlfn.MINIFS($S:$S,$T:$T,"="&amp;$T48)),""))))&amp;"",IF(Q48="","",""))&amp;""</f>
        <v/>
      </c>
      <c r="AY48" t="str" cm="1">
        <f t="array" ref="AY48">IFERROR(IF(R48&lt;&gt;"",R48,IF(OR($S48="",$T48=""),"",IF($T48&lt;&gt;"",_xlfn._xlws.FILTER(R:R,($BT:$BT=$BT48)*($I:$I=$I48)*($T:$T=$T48)*($S:$S=_xlfn.MINIFS($S:$S,$T:$T,"="&amp;$T48)),""))))&amp;"",IF(R48="","",""))&amp;""</f>
        <v/>
      </c>
      <c r="AZ48" s="6">
        <f t="shared" si="52"/>
        <v>6</v>
      </c>
      <c r="BA48">
        <f t="shared" ref="BA48:BC48" si="121">BA47</f>
        <v>18991</v>
      </c>
      <c r="BB48" t="str">
        <f t="shared" si="121"/>
        <v>Triple J</v>
      </c>
      <c r="BC48" t="str">
        <f t="shared" si="121"/>
        <v>Velodrome</v>
      </c>
      <c r="BD48" t="str">
        <f t="shared" si="54"/>
        <v>Zone_Entry_Exit</v>
      </c>
      <c r="BE48" t="str">
        <f t="shared" si="55"/>
        <v>Zone_Entry</v>
      </c>
      <c r="BF48" t="str">
        <f t="shared" si="56"/>
        <v>ZoneEntry-Rush</v>
      </c>
      <c r="BG48" t="str">
        <f t="shared" si="22"/>
        <v>s</v>
      </c>
      <c r="BH48" cm="1">
        <f t="array" ref="BH48">IFERROR(_xlfn._xlws.FILTER(shifts!A:A,(shifts!B:B=events!Z48)*(shifts!AG:AG&gt;=events!BJ48)*(shifts!AH:AH&lt;=events!BK48)),BH47)</f>
        <v>1</v>
      </c>
      <c r="BI48" s="15">
        <f t="shared" si="57"/>
        <v>2</v>
      </c>
      <c r="BJ48">
        <f t="shared" si="58"/>
        <v>1046</v>
      </c>
      <c r="BK48">
        <f t="shared" si="59"/>
        <v>1044</v>
      </c>
      <c r="BL48" s="15">
        <f>SUMIFS(BI$2:BI48,K$2:K48,"=Intermission")+SUMIFS(BI$2:BI48,K$2:K48,"=Timeout")</f>
        <v>0</v>
      </c>
      <c r="BM48">
        <f t="shared" si="60"/>
        <v>0</v>
      </c>
      <c r="BN48" s="19">
        <f t="shared" si="61"/>
        <v>34</v>
      </c>
      <c r="BO48">
        <f t="shared" si="62"/>
        <v>29</v>
      </c>
      <c r="BP48" s="17">
        <f t="shared" si="63"/>
        <v>36</v>
      </c>
      <c r="BQ48" t="str">
        <f t="shared" si="64"/>
        <v>opp_team_player_2</v>
      </c>
      <c r="BR48">
        <f>COUNTIFS(S$3:S48,"="&amp;S48,AH$3:AH48,"="&amp;AH48)</f>
        <v>2</v>
      </c>
      <c r="BS48" t="str">
        <f>IFERROR(VLOOKUP(BA48&amp;BT48&amp;X48,game_rosters!U:W,3,FALSE),"")</f>
        <v>P100206</v>
      </c>
      <c r="BT48" t="str">
        <f t="shared" si="65"/>
        <v>Triple J</v>
      </c>
    </row>
    <row r="49" spans="1:72" x14ac:dyDescent="0.2">
      <c r="A49">
        <f t="shared" si="9"/>
        <v>1</v>
      </c>
      <c r="D49" s="26">
        <v>1</v>
      </c>
      <c r="E49" s="4"/>
      <c r="F49" s="45"/>
      <c r="G49" s="4"/>
      <c r="H49" s="47"/>
      <c r="I49" s="26">
        <v>84</v>
      </c>
      <c r="J49" s="26" t="s">
        <v>368</v>
      </c>
      <c r="K49" t="s">
        <v>7</v>
      </c>
      <c r="L49" t="s">
        <v>192</v>
      </c>
      <c r="M49" t="s">
        <v>68</v>
      </c>
      <c r="N49" t="str">
        <f t="shared" si="83"/>
        <v>u</v>
      </c>
      <c r="Q49" t="str">
        <f t="shared" si="77"/>
        <v/>
      </c>
      <c r="S49">
        <f>IF(A49=1,MAX($S$2:$S48)+1,IF(OR($I49&lt;&gt;"",A49="x"),$S48,""))</f>
        <v>25</v>
      </c>
      <c r="T49">
        <f>IF(D49=1,MAX($T$2:$T48)+1,IF(S49=S48,$T48,IF(D49="x",T48,IF(D48="x","",""))))</f>
        <v>3</v>
      </c>
      <c r="U49" t="str">
        <f>IF(B49=1,MAX($U$2:$U48)+1,IF(AND($T49&lt;&gt;"",$T49=$T48),$U48,IF(B49="x",U48,"")))</f>
        <v/>
      </c>
      <c r="V49" t="str">
        <f>IF(C49=1,MAX($V$2:$V48)+1,IF(AND($T49&lt;&gt;"",$T49=$T48),$U48,IF(C49="x",V48,"")))</f>
        <v/>
      </c>
      <c r="W49" t="str" cm="1">
        <f t="array" ref="W49">IFERROR(_xlfn._xlws.FILTER(game_rosters!AC:AC,(game_rosters!J:J=events!X49)*(K49&lt;&gt;"")),"")</f>
        <v>a</v>
      </c>
      <c r="X49" cm="1">
        <f t="array" ref="X49">IF($I49&lt;&gt;"",$I49,INDEX($I$1:$I49,ROW()-COUNTIFS($T$1:$T49,"="&amp;$T49,$S$1:$S49,"&lt;"&amp;$S49)))</f>
        <v>84</v>
      </c>
      <c r="Y49" cm="1">
        <f t="array" ref="Y49">IFERROR(IF(_xlfn._xlws.FILTER(game_rosters!$J:$J,(game_rosters!$G:$G=events!$AM49)*(game_rosters!$J:$J=events!$X49))&gt;0,1,""),"")</f>
        <v>1</v>
      </c>
      <c r="Z49" s="6">
        <f t="shared" si="34"/>
        <v>1</v>
      </c>
      <c r="AA49">
        <f t="shared" si="35"/>
        <v>1025</v>
      </c>
      <c r="AB49">
        <f t="shared" si="36"/>
        <v>9003</v>
      </c>
      <c r="AC49">
        <f t="shared" si="37"/>
        <v>9003</v>
      </c>
      <c r="AD49" t="str">
        <f t="shared" si="38"/>
        <v>17</v>
      </c>
      <c r="AE49" t="str">
        <f t="shared" si="39"/>
        <v>24</v>
      </c>
      <c r="AF49" t="str">
        <f t="shared" si="40"/>
        <v/>
      </c>
      <c r="AG49" t="str">
        <f t="shared" si="41"/>
        <v/>
      </c>
      <c r="AH49" t="str">
        <f t="shared" si="90"/>
        <v>e</v>
      </c>
      <c r="AI49" t="str">
        <f t="shared" si="115"/>
        <v>o</v>
      </c>
      <c r="AJ49" t="str">
        <f t="shared" si="115"/>
        <v>o</v>
      </c>
      <c r="AK49" t="str">
        <f t="shared" si="92"/>
        <v>d</v>
      </c>
      <c r="AL49" t="str">
        <f t="shared" si="93"/>
        <v>o</v>
      </c>
      <c r="AM49" t="str">
        <f t="shared" si="44"/>
        <v>Away</v>
      </c>
      <c r="AN49" t="str">
        <f t="shared" si="94"/>
        <v>a</v>
      </c>
      <c r="AO49" t="str">
        <f t="shared" si="95"/>
        <v>d</v>
      </c>
      <c r="AP49" t="str">
        <f t="shared" si="96"/>
        <v>o</v>
      </c>
      <c r="AQ49" t="str">
        <f>IF(AM49&lt;&gt;"",AM49,IF($AC49=#REF!,#REF!,""))</f>
        <v>Away</v>
      </c>
      <c r="AR49" t="str">
        <f t="shared" si="97"/>
        <v>a</v>
      </c>
      <c r="AS49" t="str">
        <f t="shared" si="98"/>
        <v>Offensive</v>
      </c>
      <c r="AT49" t="str">
        <f t="shared" si="50"/>
        <v/>
      </c>
      <c r="AU49" t="str">
        <f t="shared" si="51"/>
        <v/>
      </c>
      <c r="AV49" t="str" cm="1">
        <f t="array" ref="AV49">IFERROR(IF(O49&lt;&gt;"",O49,IF(OR($S49="",$T49=""),"",IF(O49&lt;&gt;"",O49,IF($T49&lt;&gt;"",_xlfn._xlws.FILTER(O:O,($BT:$BT=$BT49)*($I:$I=$I49)*($T:$T=$T49)*($S:$S=_xlfn.MINIFS($S:$S,$T:$T,"="&amp;$T49)),"")))))&amp;"",IF(O49="","",""))&amp;""</f>
        <v/>
      </c>
      <c r="AW49" t="str" cm="1">
        <f t="array" ref="AW49">IFERROR(IF(P49&lt;&gt;"",P49,IF(OR($S49="",$T49=""),"",IF($T49&lt;&gt;"",_xlfn._xlws.FILTER(P:P,($BT:$BT=$BT49)*($I:$I=$I49)*($T:$T=$T49)*($S:$S=_xlfn.MINIFS($S:$S,$T:$T,"="&amp;$T49)),""))))&amp;"",IF(P49="","",""))&amp;""</f>
        <v/>
      </c>
      <c r="AX49" t="str" cm="1">
        <f t="array" ref="AX49">IFERROR(IF(Q49&lt;&gt;"",Q49,IF(OR($S49="",$T49=""),"",IF($T49&lt;&gt;"",_xlfn._xlws.FILTER(Q:Q,($BT:$BT=$BT49)*($I:$I=$I49)*($T:$T=$T49)*($S:$S=_xlfn.MINIFS($S:$S,$T:$T,"="&amp;$T49)),""))))&amp;"",IF(Q49="","",""))&amp;""</f>
        <v/>
      </c>
      <c r="AY49" t="str" cm="1">
        <f t="array" ref="AY49">IFERROR(IF(R49&lt;&gt;"",R49,IF(OR($S49="",$T49=""),"",IF($T49&lt;&gt;"",_xlfn._xlws.FILTER(R:R,($BT:$BT=$BT49)*($I:$I=$I49)*($T:$T=$T49)*($S:$S=_xlfn.MINIFS($S:$S,$T:$T,"="&amp;$T49)),""))))&amp;"",IF(R49="","",""))&amp;""</f>
        <v/>
      </c>
      <c r="AZ49" s="6">
        <f t="shared" si="52"/>
        <v>6</v>
      </c>
      <c r="BA49">
        <f t="shared" ref="BA49:BC49" si="122">BA48</f>
        <v>18991</v>
      </c>
      <c r="BB49" t="str">
        <f t="shared" si="122"/>
        <v>Triple J</v>
      </c>
      <c r="BC49" t="str">
        <f t="shared" si="122"/>
        <v>Velodrome</v>
      </c>
      <c r="BD49" t="str">
        <f t="shared" si="54"/>
        <v>Pass</v>
      </c>
      <c r="BE49" t="str">
        <f t="shared" si="55"/>
        <v>Pass_Deflected</v>
      </c>
      <c r="BF49" t="str">
        <f t="shared" si="56"/>
        <v>Pass-Forehand</v>
      </c>
      <c r="BG49" t="str">
        <f t="shared" si="22"/>
        <v>u</v>
      </c>
      <c r="BH49" cm="1">
        <f t="array" ref="BH49">IFERROR(_xlfn._xlws.FILTER(shifts!A:A,(shifts!B:B=events!Z49)*(shifts!AG:AG&gt;=events!BJ49)*(shifts!AH:AH&lt;=events!BK49)),BH48)</f>
        <v>1</v>
      </c>
      <c r="BI49" s="15">
        <f t="shared" si="57"/>
        <v>0</v>
      </c>
      <c r="BJ49">
        <f t="shared" si="58"/>
        <v>1044</v>
      </c>
      <c r="BK49">
        <f t="shared" si="59"/>
        <v>1044</v>
      </c>
      <c r="BL49" s="15">
        <f>SUMIFS(BI$2:BI49,K$2:K49,"=Intermission")+SUMIFS(BI$2:BI49,K$2:K49,"=Timeout")</f>
        <v>0</v>
      </c>
      <c r="BM49">
        <f t="shared" si="60"/>
        <v>0</v>
      </c>
      <c r="BN49" s="19">
        <f t="shared" si="61"/>
        <v>36</v>
      </c>
      <c r="BO49">
        <f t="shared" si="62"/>
        <v>31</v>
      </c>
      <c r="BP49" s="17">
        <f t="shared" si="63"/>
        <v>36</v>
      </c>
      <c r="BQ49" t="str">
        <f t="shared" si="64"/>
        <v>event_team_player_1</v>
      </c>
      <c r="BR49">
        <f>COUNTIFS(S$3:S49,"="&amp;S49,AH$3:AH49,"="&amp;AH49)</f>
        <v>1</v>
      </c>
      <c r="BS49" t="str">
        <f>IFERROR(VLOOKUP(BA49&amp;BT49&amp;X49,game_rosters!U:W,3,FALSE),"")</f>
        <v>P100198</v>
      </c>
      <c r="BT49" t="str">
        <f t="shared" si="65"/>
        <v>Velodrome</v>
      </c>
    </row>
    <row r="50" spans="1:72" x14ac:dyDescent="0.2">
      <c r="A50" t="str">
        <f t="shared" si="9"/>
        <v>x</v>
      </c>
      <c r="D50" s="26" t="s">
        <v>729</v>
      </c>
      <c r="E50" s="4"/>
      <c r="F50" s="45"/>
      <c r="G50" s="4"/>
      <c r="H50" s="47"/>
      <c r="I50" s="26">
        <v>70</v>
      </c>
      <c r="J50" s="26" t="str">
        <f t="shared" si="68"/>
        <v/>
      </c>
      <c r="N50" t="str">
        <f t="shared" si="83"/>
        <v/>
      </c>
      <c r="Q50" t="str">
        <f t="shared" si="77"/>
        <v/>
      </c>
      <c r="S50">
        <f>IF(A50=1,MAX($S$2:$S49)+1,IF(OR($I50&lt;&gt;"",A50="x"),$S49,""))</f>
        <v>25</v>
      </c>
      <c r="T50">
        <f>IF(D50=1,MAX($T$2:$T49)+1,IF(S50=S49,$T49,IF(D50="x",T49,IF(D49="x","",""))))</f>
        <v>3</v>
      </c>
      <c r="U50" t="str">
        <f>IF(B50=1,MAX($U$2:$U49)+1,IF(AND($T50&lt;&gt;"",$T50=$T49),$U49,IF(B50="x",U49,"")))</f>
        <v/>
      </c>
      <c r="V50" t="str">
        <f>IF(C50=1,MAX($V$2:$V49)+1,IF(AND($T50&lt;&gt;"",$T50=$T49),$U49,IF(C50="x",V49,"")))</f>
        <v/>
      </c>
      <c r="W50" t="str" cm="1">
        <f t="array" ref="W50">IFERROR(_xlfn._xlws.FILTER(game_rosters!AC:AC,(game_rosters!J:J=events!X50)*(K50&lt;&gt;"")),"")</f>
        <v/>
      </c>
      <c r="X50" cm="1">
        <f t="array" ref="X50">IF($I50&lt;&gt;"",$I50,INDEX($I$1:$I50,ROW()-COUNTIFS($T$1:$T50,"="&amp;$T50,$S$1:$S50,"&lt;"&amp;$S50)))</f>
        <v>70</v>
      </c>
      <c r="Y50" cm="1">
        <f t="array" ref="Y50">IFERROR(IF(_xlfn._xlws.FILTER(game_rosters!$J:$J,(game_rosters!$G:$G=events!$AM50)*(game_rosters!$J:$J=events!$X50))&gt;0,1,""),"")</f>
        <v>1</v>
      </c>
      <c r="Z50" s="6">
        <f t="shared" si="34"/>
        <v>1</v>
      </c>
      <c r="AA50">
        <f t="shared" si="35"/>
        <v>1025</v>
      </c>
      <c r="AB50">
        <f t="shared" si="36"/>
        <v>9003</v>
      </c>
      <c r="AC50">
        <f t="shared" si="37"/>
        <v>9003</v>
      </c>
      <c r="AD50" t="str">
        <f t="shared" si="38"/>
        <v>17</v>
      </c>
      <c r="AE50" t="str">
        <f t="shared" si="39"/>
        <v>24</v>
      </c>
      <c r="AF50" t="str">
        <f t="shared" si="40"/>
        <v/>
      </c>
      <c r="AG50" t="str">
        <f t="shared" si="41"/>
        <v/>
      </c>
      <c r="AH50" t="str">
        <f t="shared" si="90"/>
        <v>e</v>
      </c>
      <c r="AI50" t="str">
        <f t="shared" si="115"/>
        <v>o</v>
      </c>
      <c r="AJ50" t="str">
        <f t="shared" si="115"/>
        <v>o</v>
      </c>
      <c r="AK50" t="str">
        <f t="shared" si="92"/>
        <v/>
      </c>
      <c r="AL50" t="str">
        <f t="shared" si="93"/>
        <v/>
      </c>
      <c r="AM50" t="str">
        <f t="shared" si="44"/>
        <v>Away</v>
      </c>
      <c r="AN50" t="str">
        <f t="shared" si="94"/>
        <v>a</v>
      </c>
      <c r="AO50" t="str">
        <f t="shared" si="95"/>
        <v>d</v>
      </c>
      <c r="AP50" t="str">
        <f t="shared" si="96"/>
        <v>o</v>
      </c>
      <c r="AQ50" t="str">
        <f>IF(AM50&lt;&gt;"",AM50,IF($AC50=#REF!,#REF!,""))</f>
        <v>Away</v>
      </c>
      <c r="AR50" t="str">
        <f t="shared" si="97"/>
        <v>a</v>
      </c>
      <c r="AS50" t="str">
        <f t="shared" si="98"/>
        <v>Offensive</v>
      </c>
      <c r="AT50" t="str">
        <f t="shared" si="50"/>
        <v/>
      </c>
      <c r="AU50" t="str">
        <f t="shared" si="51"/>
        <v/>
      </c>
      <c r="AV50" t="str" cm="1">
        <f t="array" ref="AV50">IFERROR(IF(O50&lt;&gt;"",O50,IF(OR($S50="",$T50=""),"",IF(O50&lt;&gt;"",O50,IF($T50&lt;&gt;"",_xlfn._xlws.FILTER(O:O,($BT:$BT=$BT50)*($I:$I=$I50)*($T:$T=$T50)*($S:$S=_xlfn.MINIFS($S:$S,$T:$T,"="&amp;$T50)),"")))))&amp;"",IF(O50="","",""))&amp;""</f>
        <v/>
      </c>
      <c r="AW50" t="str" cm="1">
        <f t="array" ref="AW50">IFERROR(IF(P50&lt;&gt;"",P50,IF(OR($S50="",$T50=""),"",IF($T50&lt;&gt;"",_xlfn._xlws.FILTER(P:P,($BT:$BT=$BT50)*($I:$I=$I50)*($T:$T=$T50)*($S:$S=_xlfn.MINIFS($S:$S,$T:$T,"="&amp;$T50)),""))))&amp;"",IF(P50="","",""))&amp;""</f>
        <v/>
      </c>
      <c r="AX50" t="str" cm="1">
        <f t="array" ref="AX50">IFERROR(IF(Q50&lt;&gt;"",Q50,IF(OR($S50="",$T50=""),"",IF($T50&lt;&gt;"",_xlfn._xlws.FILTER(Q:Q,($BT:$BT=$BT50)*($I:$I=$I50)*($T:$T=$T50)*($S:$S=_xlfn.MINIFS($S:$S,$T:$T,"="&amp;$T50)),""))))&amp;"",IF(Q50="","",""))&amp;""</f>
        <v/>
      </c>
      <c r="AY50" t="str" cm="1">
        <f t="array" ref="AY50">IFERROR(IF(R50&lt;&gt;"",R50,IF(OR($S50="",$T50=""),"",IF($T50&lt;&gt;"",_xlfn._xlws.FILTER(R:R,($BT:$BT=$BT50)*($I:$I=$I50)*($T:$T=$T50)*($S:$S=_xlfn.MINIFS($S:$S,$T:$T,"="&amp;$T50)),""))))&amp;"",IF(R50="","",""))&amp;""</f>
        <v/>
      </c>
      <c r="AZ50" s="6">
        <f t="shared" si="52"/>
        <v>6</v>
      </c>
      <c r="BA50">
        <f t="shared" ref="BA50:BC50" si="123">BA49</f>
        <v>18991</v>
      </c>
      <c r="BB50" t="str">
        <f t="shared" si="123"/>
        <v>Triple J</v>
      </c>
      <c r="BC50" t="str">
        <f t="shared" si="123"/>
        <v>Velodrome</v>
      </c>
      <c r="BD50" t="str">
        <f t="shared" si="54"/>
        <v>Pass</v>
      </c>
      <c r="BE50" t="str">
        <f t="shared" si="55"/>
        <v>Pass_Deflected</v>
      </c>
      <c r="BF50" t="str">
        <f t="shared" si="56"/>
        <v>Pass-Forehand</v>
      </c>
      <c r="BG50" t="str">
        <f t="shared" si="22"/>
        <v>u</v>
      </c>
      <c r="BH50" cm="1">
        <f t="array" ref="BH50">IFERROR(_xlfn._xlws.FILTER(shifts!A:A,(shifts!B:B=events!Z50)*(shifts!AG:AG&gt;=events!BJ50)*(shifts!AH:AH&lt;=events!BK50)),BH49)</f>
        <v>1</v>
      </c>
      <c r="BI50" s="15">
        <f t="shared" si="57"/>
        <v>0</v>
      </c>
      <c r="BJ50">
        <f t="shared" si="58"/>
        <v>1044</v>
      </c>
      <c r="BK50">
        <f t="shared" si="59"/>
        <v>1044</v>
      </c>
      <c r="BL50" s="15">
        <f>SUMIFS(BI$2:BI50,K$2:K50,"=Intermission")+SUMIFS(BI$2:BI50,K$2:K50,"=Timeout")</f>
        <v>0</v>
      </c>
      <c r="BM50">
        <f t="shared" si="60"/>
        <v>0</v>
      </c>
      <c r="BN50" s="19">
        <f t="shared" si="61"/>
        <v>36</v>
      </c>
      <c r="BO50">
        <f t="shared" si="62"/>
        <v>31</v>
      </c>
      <c r="BP50" s="17">
        <f t="shared" si="63"/>
        <v>36</v>
      </c>
      <c r="BQ50" t="str">
        <f t="shared" si="64"/>
        <v>event_team_player_2</v>
      </c>
      <c r="BR50">
        <f>COUNTIFS(S$3:S50,"="&amp;S50,AH$3:AH50,"="&amp;AH50)</f>
        <v>2</v>
      </c>
      <c r="BS50" t="str">
        <f>IFERROR(VLOOKUP(BA50&amp;BT50&amp;X50,game_rosters!U:W,3,FALSE),"")</f>
        <v>P100001</v>
      </c>
      <c r="BT50" t="str">
        <f t="shared" si="65"/>
        <v>Velodrome</v>
      </c>
    </row>
    <row r="51" spans="1:72" x14ac:dyDescent="0.2">
      <c r="A51" t="str">
        <f t="shared" si="9"/>
        <v>x</v>
      </c>
      <c r="D51" s="26" t="s">
        <v>729</v>
      </c>
      <c r="E51" s="4"/>
      <c r="F51" s="45"/>
      <c r="G51" s="4"/>
      <c r="H51" s="47"/>
      <c r="I51" s="26">
        <v>19</v>
      </c>
      <c r="J51" s="26" t="str">
        <f t="shared" si="68"/>
        <v/>
      </c>
      <c r="N51" t="str">
        <f t="shared" si="83"/>
        <v/>
      </c>
      <c r="O51" t="s">
        <v>782</v>
      </c>
      <c r="P51" t="s">
        <v>566</v>
      </c>
      <c r="Q51" t="str">
        <f t="shared" si="77"/>
        <v/>
      </c>
      <c r="S51">
        <f>IF(A51=1,MAX($S$2:$S50)+1,IF(OR($I51&lt;&gt;"",A51="x"),$S50,""))</f>
        <v>25</v>
      </c>
      <c r="T51">
        <f>IF(D51=1,MAX($T$2:$T50)+1,IF(S51=S50,$T50,IF(D51="x",T50,IF(D50="x","",""))))</f>
        <v>3</v>
      </c>
      <c r="U51" t="str">
        <f>IF(B51=1,MAX($U$2:$U50)+1,IF(AND($T51&lt;&gt;"",$T51=$T50),$U50,IF(B51="x",U50,"")))</f>
        <v/>
      </c>
      <c r="V51" t="str">
        <f>IF(C51=1,MAX($V$2:$V50)+1,IF(AND($T51&lt;&gt;"",$T51=$T50),$U50,IF(C51="x",V50,"")))</f>
        <v/>
      </c>
      <c r="W51" t="str" cm="1">
        <f t="array" ref="W51">IFERROR(_xlfn._xlws.FILTER(game_rosters!AC:AC,(game_rosters!J:J=events!X51)*(K51&lt;&gt;"")),"")</f>
        <v/>
      </c>
      <c r="X51" cm="1">
        <f t="array" ref="X51">IF($I51&lt;&gt;"",$I51,INDEX($I$1:$I51,ROW()-COUNTIFS($T$1:$T51,"="&amp;$T51,$S$1:$S51,"&lt;"&amp;$S51)))</f>
        <v>19</v>
      </c>
      <c r="Y51" t="str" cm="1">
        <f t="array" ref="Y51">IFERROR(IF(_xlfn._xlws.FILTER(game_rosters!$J:$J,(game_rosters!$G:$G=events!$AM51)*(game_rosters!$J:$J=events!$X51))&gt;0,1,""),"")</f>
        <v/>
      </c>
      <c r="Z51" s="6">
        <f t="shared" si="34"/>
        <v>1</v>
      </c>
      <c r="AA51">
        <f t="shared" si="35"/>
        <v>1025</v>
      </c>
      <c r="AB51">
        <f t="shared" si="36"/>
        <v>9003</v>
      </c>
      <c r="AC51">
        <f t="shared" si="37"/>
        <v>9003</v>
      </c>
      <c r="AD51" t="str">
        <f t="shared" si="38"/>
        <v>17</v>
      </c>
      <c r="AE51" t="str">
        <f t="shared" si="39"/>
        <v>24</v>
      </c>
      <c r="AF51" t="str">
        <f t="shared" si="40"/>
        <v/>
      </c>
      <c r="AG51" t="str">
        <f t="shared" si="41"/>
        <v/>
      </c>
      <c r="AH51" t="str">
        <f t="shared" si="90"/>
        <v>o</v>
      </c>
      <c r="AI51" t="str">
        <f t="shared" si="115"/>
        <v>o</v>
      </c>
      <c r="AJ51" t="str">
        <f t="shared" si="115"/>
        <v>o</v>
      </c>
      <c r="AK51" t="str">
        <f t="shared" si="92"/>
        <v/>
      </c>
      <c r="AL51" t="str">
        <f t="shared" si="93"/>
        <v/>
      </c>
      <c r="AM51" t="str">
        <f t="shared" si="44"/>
        <v>Away</v>
      </c>
      <c r="AN51" t="str">
        <f t="shared" si="94"/>
        <v>a</v>
      </c>
      <c r="AO51" t="str">
        <f t="shared" si="95"/>
        <v>d</v>
      </c>
      <c r="AP51" t="str">
        <f t="shared" si="96"/>
        <v>o</v>
      </c>
      <c r="AQ51" t="str">
        <f>IF(AM51&lt;&gt;"",AM51,IF($AC51=#REF!,#REF!,""))</f>
        <v>Away</v>
      </c>
      <c r="AR51" t="str">
        <f t="shared" si="97"/>
        <v>a</v>
      </c>
      <c r="AS51" t="str">
        <f t="shared" si="98"/>
        <v>Defensive</v>
      </c>
      <c r="AT51" t="str">
        <f t="shared" si="50"/>
        <v/>
      </c>
      <c r="AU51" t="str">
        <f t="shared" si="51"/>
        <v/>
      </c>
      <c r="AV51" t="str" cm="1">
        <f t="array" ref="AV51">IFERROR(IF(O51&lt;&gt;"",O51,IF(OR($S51="",$T51=""),"",IF(O51&lt;&gt;"",O51,IF($T51&lt;&gt;"",_xlfn._xlws.FILTER(O:O,($BT:$BT=$BT51)*($I:$I=$I51)*($T:$T=$T51)*($S:$S=_xlfn.MINIFS($S:$S,$T:$T,"="&amp;$T51)),"")))))&amp;"",IF(O51="","",""))&amp;""</f>
        <v>PassDeflected</v>
      </c>
      <c r="AW51" t="str" cm="1">
        <f t="array" ref="AW51">IFERROR(IF(P51&lt;&gt;"",P51,IF(OR($S51="",$T51=""),"",IF($T51&lt;&gt;"",_xlfn._xlws.FILTER(P:P,($BT:$BT=$BT51)*($I:$I=$I51)*($T:$T=$T51)*($S:$S=_xlfn.MINIFS($S:$S,$T:$T,"="&amp;$T51)),""))))&amp;"",IF(P51="","",""))&amp;""</f>
        <v>InShotPassLane</v>
      </c>
      <c r="AX51" t="str" cm="1">
        <f t="array" ref="AX51">IFERROR(IF(Q51&lt;&gt;"",Q51,IF(OR($S51="",$T51=""),"",IF($T51&lt;&gt;"",_xlfn._xlws.FILTER(Q:Q,($BT:$BT=$BT51)*($I:$I=$I51)*($T:$T=$T51)*($S:$S=_xlfn.MINIFS($S:$S,$T:$T,"="&amp;$T51)),""))))&amp;"",IF(Q51="","",""))&amp;""</f>
        <v/>
      </c>
      <c r="AY51" t="str" cm="1">
        <f t="array" ref="AY51">IFERROR(IF(R51&lt;&gt;"",R51,IF(OR($S51="",$T51=""),"",IF($T51&lt;&gt;"",_xlfn._xlws.FILTER(R:R,($BT:$BT=$BT51)*($I:$I=$I51)*($T:$T=$T51)*($S:$S=_xlfn.MINIFS($S:$S,$T:$T,"="&amp;$T51)),""))))&amp;"",IF(R51="","",""))&amp;""</f>
        <v/>
      </c>
      <c r="AZ51" s="6">
        <f t="shared" si="52"/>
        <v>6</v>
      </c>
      <c r="BA51">
        <f t="shared" ref="BA51:BC51" si="124">BA50</f>
        <v>18991</v>
      </c>
      <c r="BB51" t="str">
        <f t="shared" si="124"/>
        <v>Triple J</v>
      </c>
      <c r="BC51" t="str">
        <f t="shared" si="124"/>
        <v>Velodrome</v>
      </c>
      <c r="BD51" t="str">
        <f t="shared" si="54"/>
        <v>Pass</v>
      </c>
      <c r="BE51" t="str">
        <f t="shared" si="55"/>
        <v>Pass_Deflected</v>
      </c>
      <c r="BF51" t="str">
        <f t="shared" si="56"/>
        <v>Pass-Forehand</v>
      </c>
      <c r="BG51" t="str">
        <f t="shared" si="22"/>
        <v>u</v>
      </c>
      <c r="BH51" cm="1">
        <f t="array" ref="BH51">IFERROR(_xlfn._xlws.FILTER(shifts!A:A,(shifts!B:B=events!Z51)*(shifts!AG:AG&gt;=events!BJ51)*(shifts!AH:AH&lt;=events!BK51)),BH50)</f>
        <v>1</v>
      </c>
      <c r="BI51" s="15">
        <f t="shared" si="57"/>
        <v>0</v>
      </c>
      <c r="BJ51">
        <f t="shared" si="58"/>
        <v>1044</v>
      </c>
      <c r="BK51">
        <f t="shared" si="59"/>
        <v>1044</v>
      </c>
      <c r="BL51" s="15">
        <f>SUMIFS(BI$2:BI51,K$2:K51,"=Intermission")+SUMIFS(BI$2:BI51,K$2:K51,"=Timeout")</f>
        <v>0</v>
      </c>
      <c r="BM51">
        <f t="shared" si="60"/>
        <v>0</v>
      </c>
      <c r="BN51" s="19">
        <f t="shared" si="61"/>
        <v>36</v>
      </c>
      <c r="BO51">
        <f t="shared" si="62"/>
        <v>31</v>
      </c>
      <c r="BP51" s="17">
        <f t="shared" si="63"/>
        <v>36</v>
      </c>
      <c r="BQ51" t="str">
        <f t="shared" si="64"/>
        <v>opp_team_player_1</v>
      </c>
      <c r="BR51">
        <f>COUNTIFS(S$3:S51,"="&amp;S51,AH$3:AH51,"="&amp;AH51)</f>
        <v>1</v>
      </c>
      <c r="BS51" t="str">
        <f>IFERROR(VLOOKUP(BA51&amp;BT51&amp;X51,game_rosters!U:W,3,FALSE),"")</f>
        <v>P100089</v>
      </c>
      <c r="BT51" t="str">
        <f t="shared" si="65"/>
        <v>Triple J</v>
      </c>
    </row>
    <row r="52" spans="1:72" x14ac:dyDescent="0.2">
      <c r="A52">
        <f t="shared" si="9"/>
        <v>1</v>
      </c>
      <c r="D52" s="26" t="s">
        <v>729</v>
      </c>
      <c r="E52" s="4"/>
      <c r="F52" s="45"/>
      <c r="G52" s="4"/>
      <c r="H52" s="47"/>
      <c r="J52" s="26" t="s">
        <v>368</v>
      </c>
      <c r="K52" t="s">
        <v>9</v>
      </c>
      <c r="L52" t="s">
        <v>173</v>
      </c>
      <c r="M52" t="s">
        <v>75</v>
      </c>
      <c r="N52" t="str">
        <f t="shared" si="83"/>
        <v>u</v>
      </c>
      <c r="Q52" t="str">
        <f t="shared" si="77"/>
        <v/>
      </c>
      <c r="S52">
        <f>IF(A52=1,MAX($S$2:$S51)+1,IF(OR($I52&lt;&gt;"",A52="x"),$S51,""))</f>
        <v>26</v>
      </c>
      <c r="T52">
        <f>IF(D52=1,MAX($T$2:$T51)+1,IF(S52=S51,$T51,IF(D52="x",T51,IF(D51="x","",""))))</f>
        <v>3</v>
      </c>
      <c r="U52" t="str">
        <f>IF(B52=1,MAX($U$2:$U51)+1,IF(AND($T52&lt;&gt;"",$T52=$T51),$U51,IF(B52="x",U51,"")))</f>
        <v/>
      </c>
      <c r="V52" t="str">
        <f>IF(C52=1,MAX($V$2:$V51)+1,IF(AND($T52&lt;&gt;"",$T52=$T51),$U51,IF(C52="x",V51,"")))</f>
        <v/>
      </c>
      <c r="W52" t="str" cm="1">
        <f t="array" ref="W52">IFERROR(_xlfn._xlws.FILTER(game_rosters!AC:AC,(game_rosters!J:J=events!X52)*(K52&lt;&gt;"")),"")</f>
        <v>a</v>
      </c>
      <c r="X52" cm="1">
        <f t="array" ref="X52">IF($I52&lt;&gt;"",$I52,INDEX($I$1:$I52,ROW()-COUNTIFS($T$1:$T52,"="&amp;$T52,$S$1:$S52,"&lt;"&amp;$S52)))</f>
        <v>84</v>
      </c>
      <c r="Y52" cm="1">
        <f t="array" ref="Y52">IFERROR(IF(_xlfn._xlws.FILTER(game_rosters!$J:$J,(game_rosters!$G:$G=events!$AM52)*(game_rosters!$J:$J=events!$X52))&gt;0,1,""),"")</f>
        <v>1</v>
      </c>
      <c r="Z52" s="6">
        <f t="shared" si="34"/>
        <v>1</v>
      </c>
      <c r="AA52">
        <f t="shared" si="35"/>
        <v>1026</v>
      </c>
      <c r="AB52">
        <f t="shared" si="36"/>
        <v>9003</v>
      </c>
      <c r="AC52">
        <f t="shared" si="37"/>
        <v>9003</v>
      </c>
      <c r="AD52" t="str">
        <f t="shared" si="38"/>
        <v>17</v>
      </c>
      <c r="AE52" t="str">
        <f t="shared" si="39"/>
        <v>24</v>
      </c>
      <c r="AF52" t="str">
        <f t="shared" si="40"/>
        <v/>
      </c>
      <c r="AG52" t="str">
        <f t="shared" si="41"/>
        <v/>
      </c>
      <c r="AH52" t="str">
        <f t="shared" si="90"/>
        <v>e</v>
      </c>
      <c r="AI52" t="str">
        <f t="shared" si="115"/>
        <v>o</v>
      </c>
      <c r="AJ52" t="str">
        <f t="shared" si="115"/>
        <v>o</v>
      </c>
      <c r="AK52" t="str">
        <f t="shared" si="92"/>
        <v>d</v>
      </c>
      <c r="AL52" t="str">
        <f t="shared" si="93"/>
        <v>o</v>
      </c>
      <c r="AM52" t="str">
        <f t="shared" si="44"/>
        <v>Away</v>
      </c>
      <c r="AN52" t="str">
        <f t="shared" si="94"/>
        <v>a</v>
      </c>
      <c r="AO52" t="str">
        <f t="shared" si="95"/>
        <v>d</v>
      </c>
      <c r="AP52" t="str">
        <f t="shared" si="96"/>
        <v>o</v>
      </c>
      <c r="AQ52" t="str">
        <f>IF(AM52&lt;&gt;"",AM52,IF($AC52=#REF!,#REF!,""))</f>
        <v>Away</v>
      </c>
      <c r="AR52" t="str">
        <f t="shared" si="97"/>
        <v>a</v>
      </c>
      <c r="AS52" t="str">
        <f t="shared" si="98"/>
        <v>Offensive</v>
      </c>
      <c r="AT52" t="str">
        <f t="shared" si="50"/>
        <v/>
      </c>
      <c r="AU52" t="str">
        <f t="shared" si="51"/>
        <v/>
      </c>
      <c r="AV52" t="str" cm="1">
        <f t="array" ref="AV52">IFERROR(IF(O52&lt;&gt;"",O52,IF(OR($S52="",$T52=""),"",IF(O52&lt;&gt;"",O52,IF($T52&lt;&gt;"",_xlfn._xlws.FILTER(O:O,($BT:$BT=$BT52)*($I:$I=$I52)*($T:$T=$T52)*($S:$S=_xlfn.MINIFS($S:$S,$T:$T,"="&amp;$T52)),"")))))&amp;"",IF(O52="","",""))&amp;""</f>
        <v/>
      </c>
      <c r="AW52" t="str" cm="1">
        <f t="array" ref="AW52">IFERROR(IF(P52&lt;&gt;"",P52,IF(OR($S52="",$T52=""),"",IF($T52&lt;&gt;"",_xlfn._xlws.FILTER(P:P,($BT:$BT=$BT52)*($I:$I=$I52)*($T:$T=$T52)*($S:$S=_xlfn.MINIFS($S:$S,$T:$T,"="&amp;$T52)),""))))&amp;"",IF(P52="","",""))&amp;""</f>
        <v/>
      </c>
      <c r="AX52" t="str" cm="1">
        <f t="array" ref="AX52">IFERROR(IF(Q52&lt;&gt;"",Q52,IF(OR($S52="",$T52=""),"",IF($T52&lt;&gt;"",_xlfn._xlws.FILTER(Q:Q,($BT:$BT=$BT52)*($I:$I=$I52)*($T:$T=$T52)*($S:$S=_xlfn.MINIFS($S:$S,$T:$T,"="&amp;$T52)),""))))&amp;"",IF(Q52="","",""))&amp;""</f>
        <v/>
      </c>
      <c r="AY52" t="str" cm="1">
        <f t="array" ref="AY52">IFERROR(IF(R52&lt;&gt;"",R52,IF(OR($S52="",$T52=""),"",IF($T52&lt;&gt;"",_xlfn._xlws.FILTER(R:R,($BT:$BT=$BT52)*($I:$I=$I52)*($T:$T=$T52)*($S:$S=_xlfn.MINIFS($S:$S,$T:$T,"="&amp;$T52)),""))))&amp;"",IF(R52="","",""))&amp;""</f>
        <v/>
      </c>
      <c r="AZ52" s="6">
        <f t="shared" si="52"/>
        <v>6</v>
      </c>
      <c r="BA52">
        <f t="shared" ref="BA52:BC52" si="125">BA51</f>
        <v>18991</v>
      </c>
      <c r="BB52" t="str">
        <f t="shared" si="125"/>
        <v>Triple J</v>
      </c>
      <c r="BC52" t="str">
        <f t="shared" si="125"/>
        <v>Velodrome</v>
      </c>
      <c r="BD52" t="str">
        <f t="shared" si="54"/>
        <v>Turnover</v>
      </c>
      <c r="BE52" t="str">
        <f t="shared" si="55"/>
        <v>Turnover_Giveaway</v>
      </c>
      <c r="BF52" t="str">
        <f t="shared" si="56"/>
        <v>Giveaway-PassBlocked</v>
      </c>
      <c r="BG52" t="str">
        <f t="shared" si="22"/>
        <v>u</v>
      </c>
      <c r="BH52" cm="1">
        <f t="array" ref="BH52">IFERROR(_xlfn._xlws.FILTER(shifts!A:A,(shifts!B:B=events!Z52)*(shifts!AG:AG&gt;=events!BJ52)*(shifts!AH:AH&lt;=events!BK52)),BH51)</f>
        <v>1</v>
      </c>
      <c r="BI52" s="15">
        <f t="shared" si="57"/>
        <v>0</v>
      </c>
      <c r="BJ52">
        <f t="shared" si="58"/>
        <v>1044</v>
      </c>
      <c r="BK52">
        <f t="shared" si="59"/>
        <v>1044</v>
      </c>
      <c r="BL52" s="15">
        <f>SUMIFS(BI$2:BI52,K$2:K52,"=Intermission")+SUMIFS(BI$2:BI52,K$2:K52,"=Timeout")</f>
        <v>0</v>
      </c>
      <c r="BM52">
        <f t="shared" si="60"/>
        <v>0</v>
      </c>
      <c r="BN52" s="19">
        <f t="shared" si="61"/>
        <v>36</v>
      </c>
      <c r="BO52">
        <f t="shared" si="62"/>
        <v>31</v>
      </c>
      <c r="BP52" s="17">
        <f t="shared" si="63"/>
        <v>36</v>
      </c>
      <c r="BQ52" t="str">
        <f t="shared" si="64"/>
        <v>event_team_player_1</v>
      </c>
      <c r="BR52">
        <f>COUNTIFS(S$3:S52,"="&amp;S52,AH$3:AH52,"="&amp;AH52)</f>
        <v>1</v>
      </c>
      <c r="BS52" t="str">
        <f>IFERROR(VLOOKUP(BA52&amp;BT52&amp;X52,game_rosters!U:W,3,FALSE),"")</f>
        <v>P100198</v>
      </c>
      <c r="BT52" t="str">
        <f t="shared" si="65"/>
        <v>Velodrome</v>
      </c>
    </row>
    <row r="53" spans="1:72" x14ac:dyDescent="0.2">
      <c r="A53" t="str">
        <f t="shared" si="9"/>
        <v>x</v>
      </c>
      <c r="D53" s="26" t="s">
        <v>729</v>
      </c>
      <c r="E53" s="4"/>
      <c r="F53" s="45"/>
      <c r="G53" s="4"/>
      <c r="H53" s="47"/>
      <c r="N53" t="str">
        <f t="shared" si="83"/>
        <v/>
      </c>
      <c r="Q53" t="str">
        <f t="shared" si="77"/>
        <v/>
      </c>
      <c r="S53">
        <f>IF(A53=1,MAX($S$2:$S52)+1,IF(OR($I53&lt;&gt;"",A53="x"),$S52,""))</f>
        <v>26</v>
      </c>
      <c r="T53">
        <f>IF(D53=1,MAX($T$2:$T52)+1,IF(S53=S52,$T52,IF(D53="x",T52,IF(D52="x","",""))))</f>
        <v>3</v>
      </c>
      <c r="U53" t="str">
        <f>IF(B53=1,MAX($U$2:$U52)+1,IF(AND($T53&lt;&gt;"",$T53=$T52),$U52,IF(B53="x",U52,"")))</f>
        <v/>
      </c>
      <c r="V53" t="str">
        <f>IF(C53=1,MAX($V$2:$V52)+1,IF(AND($T53&lt;&gt;"",$T53=$T52),$U52,IF(C53="x",V52,"")))</f>
        <v/>
      </c>
      <c r="W53" t="str" cm="1">
        <f t="array" ref="W53">IFERROR(_xlfn._xlws.FILTER(game_rosters!AC:AC,(game_rosters!J:J=events!X53)*(K53&lt;&gt;"")),"")</f>
        <v/>
      </c>
      <c r="X53" cm="1">
        <f t="array" ref="X53">IF($I53&lt;&gt;"",$I53,INDEX($I$1:$I53,ROW()-COUNTIFS($T$1:$T53,"="&amp;$T53,$S$1:$S53,"&lt;"&amp;$S53)))</f>
        <v>70</v>
      </c>
      <c r="Y53" cm="1">
        <f t="array" ref="Y53">IFERROR(IF(_xlfn._xlws.FILTER(game_rosters!$J:$J,(game_rosters!$G:$G=events!$AM53)*(game_rosters!$J:$J=events!$X53))&gt;0,1,""),"")</f>
        <v>1</v>
      </c>
      <c r="Z53" s="6">
        <f t="shared" si="34"/>
        <v>1</v>
      </c>
      <c r="AA53">
        <f t="shared" si="35"/>
        <v>1026</v>
      </c>
      <c r="AB53">
        <f t="shared" si="36"/>
        <v>9003</v>
      </c>
      <c r="AC53">
        <f t="shared" si="37"/>
        <v>9003</v>
      </c>
      <c r="AD53" t="str">
        <f t="shared" si="38"/>
        <v>17</v>
      </c>
      <c r="AE53" t="str">
        <f t="shared" si="39"/>
        <v>24</v>
      </c>
      <c r="AF53" t="str">
        <f t="shared" si="40"/>
        <v/>
      </c>
      <c r="AG53" t="str">
        <f t="shared" si="41"/>
        <v/>
      </c>
      <c r="AH53" t="str">
        <f t="shared" si="90"/>
        <v>e</v>
      </c>
      <c r="AI53" t="str">
        <f t="shared" si="115"/>
        <v>o</v>
      </c>
      <c r="AJ53" t="str">
        <f t="shared" si="115"/>
        <v>o</v>
      </c>
      <c r="AK53" t="str">
        <f t="shared" si="92"/>
        <v/>
      </c>
      <c r="AL53" t="str">
        <f t="shared" si="93"/>
        <v/>
      </c>
      <c r="AM53" t="str">
        <f t="shared" si="44"/>
        <v>Away</v>
      </c>
      <c r="AN53" t="str">
        <f t="shared" si="94"/>
        <v>a</v>
      </c>
      <c r="AO53" t="str">
        <f t="shared" si="95"/>
        <v>d</v>
      </c>
      <c r="AP53" t="str">
        <f t="shared" si="96"/>
        <v>o</v>
      </c>
      <c r="AQ53" t="str">
        <f>IF(AM53&lt;&gt;"",AM53,IF($AC53=#REF!,#REF!,""))</f>
        <v>Away</v>
      </c>
      <c r="AR53" t="str">
        <f t="shared" si="97"/>
        <v>a</v>
      </c>
      <c r="AS53" t="str">
        <f t="shared" si="98"/>
        <v>Offensive</v>
      </c>
      <c r="AT53" t="str">
        <f t="shared" si="50"/>
        <v/>
      </c>
      <c r="AU53" t="str">
        <f t="shared" si="51"/>
        <v/>
      </c>
      <c r="AV53" t="str" cm="1">
        <f t="array" ref="AV53">IFERROR(IF(O53&lt;&gt;"",O53,IF(OR($S53="",$T53=""),"",IF(O53&lt;&gt;"",O53,IF($T53&lt;&gt;"",_xlfn._xlws.FILTER(O:O,($BT:$BT=$BT53)*($I:$I=$I53)*($T:$T=$T53)*($S:$S=_xlfn.MINIFS($S:$S,$T:$T,"="&amp;$T53)),"")))))&amp;"",IF(O53="","",""))&amp;""</f>
        <v/>
      </c>
      <c r="AW53" t="str" cm="1">
        <f t="array" ref="AW53">IFERROR(IF(P53&lt;&gt;"",P53,IF(OR($S53="",$T53=""),"",IF($T53&lt;&gt;"",_xlfn._xlws.FILTER(P:P,($BT:$BT=$BT53)*($I:$I=$I53)*($T:$T=$T53)*($S:$S=_xlfn.MINIFS($S:$S,$T:$T,"="&amp;$T53)),""))))&amp;"",IF(P53="","",""))&amp;""</f>
        <v/>
      </c>
      <c r="AX53" t="str" cm="1">
        <f t="array" ref="AX53">IFERROR(IF(Q53&lt;&gt;"",Q53,IF(OR($S53="",$T53=""),"",IF($T53&lt;&gt;"",_xlfn._xlws.FILTER(Q:Q,($BT:$BT=$BT53)*($I:$I=$I53)*($T:$T=$T53)*($S:$S=_xlfn.MINIFS($S:$S,$T:$T,"="&amp;$T53)),""))))&amp;"",IF(Q53="","",""))&amp;""</f>
        <v/>
      </c>
      <c r="AY53" t="str" cm="1">
        <f t="array" ref="AY53">IFERROR(IF(R53&lt;&gt;"",R53,IF(OR($S53="",$T53=""),"",IF($T53&lt;&gt;"",_xlfn._xlws.FILTER(R:R,($BT:$BT=$BT53)*($I:$I=$I53)*($T:$T=$T53)*($S:$S=_xlfn.MINIFS($S:$S,$T:$T,"="&amp;$T53)),""))))&amp;"",IF(R53="","",""))&amp;""</f>
        <v/>
      </c>
      <c r="AZ53" s="6">
        <f t="shared" si="52"/>
        <v>6</v>
      </c>
      <c r="BA53">
        <f t="shared" ref="BA53:BC53" si="126">BA52</f>
        <v>18991</v>
      </c>
      <c r="BB53" t="str">
        <f t="shared" si="126"/>
        <v>Triple J</v>
      </c>
      <c r="BC53" t="str">
        <f t="shared" si="126"/>
        <v>Velodrome</v>
      </c>
      <c r="BD53" t="str">
        <f t="shared" si="54"/>
        <v>Turnover</v>
      </c>
      <c r="BE53" t="str">
        <f t="shared" si="55"/>
        <v>Turnover_Giveaway</v>
      </c>
      <c r="BF53" t="str">
        <f t="shared" si="56"/>
        <v>Giveaway-PassBlocked</v>
      </c>
      <c r="BG53" t="str">
        <f t="shared" si="22"/>
        <v>u</v>
      </c>
      <c r="BH53" cm="1">
        <f t="array" ref="BH53">IFERROR(_xlfn._xlws.FILTER(shifts!A:A,(shifts!B:B=events!Z53)*(shifts!AG:AG&gt;=events!BJ53)*(shifts!AH:AH&lt;=events!BK53)),BH52)</f>
        <v>1</v>
      </c>
      <c r="BI53" s="15">
        <f t="shared" si="57"/>
        <v>0</v>
      </c>
      <c r="BJ53">
        <f t="shared" si="58"/>
        <v>1044</v>
      </c>
      <c r="BK53">
        <f t="shared" si="59"/>
        <v>1044</v>
      </c>
      <c r="BL53" s="15">
        <f>SUMIFS(BI$2:BI53,K$2:K53,"=Intermission")+SUMIFS(BI$2:BI53,K$2:K53,"=Timeout")</f>
        <v>0</v>
      </c>
      <c r="BM53">
        <f t="shared" si="60"/>
        <v>0</v>
      </c>
      <c r="BN53" s="19">
        <f t="shared" si="61"/>
        <v>36</v>
      </c>
      <c r="BO53">
        <f t="shared" si="62"/>
        <v>31</v>
      </c>
      <c r="BP53" s="17">
        <f t="shared" si="63"/>
        <v>36</v>
      </c>
      <c r="BQ53" t="str">
        <f t="shared" si="64"/>
        <v>event_team_player_2</v>
      </c>
      <c r="BR53">
        <f>COUNTIFS(S$3:S53,"="&amp;S53,AH$3:AH53,"="&amp;AH53)</f>
        <v>2</v>
      </c>
      <c r="BS53" t="str">
        <f>IFERROR(VLOOKUP(BA53&amp;BT53&amp;X53,game_rosters!U:W,3,FALSE),"")</f>
        <v>P100001</v>
      </c>
      <c r="BT53" t="str">
        <f t="shared" si="65"/>
        <v>Velodrome</v>
      </c>
    </row>
    <row r="54" spans="1:72" x14ac:dyDescent="0.2">
      <c r="A54" t="str">
        <f t="shared" si="9"/>
        <v>x</v>
      </c>
      <c r="D54" s="26" t="s">
        <v>729</v>
      </c>
      <c r="E54" s="4"/>
      <c r="F54" s="45"/>
      <c r="G54" s="4"/>
      <c r="H54" s="47"/>
      <c r="J54" s="26" t="str">
        <f t="shared" si="68"/>
        <v/>
      </c>
      <c r="N54" t="str">
        <f t="shared" si="83"/>
        <v/>
      </c>
      <c r="Q54" t="str">
        <f t="shared" si="77"/>
        <v/>
      </c>
      <c r="S54">
        <f>IF(A54=1,MAX($S$2:$S53)+1,IF(OR($I54&lt;&gt;"",A54="x"),$S53,""))</f>
        <v>26</v>
      </c>
      <c r="T54">
        <f>IF(D54=1,MAX($T$2:$T53)+1,IF(S54=S53,$T53,IF(D54="x",T53,IF(D53="x","",""))))</f>
        <v>3</v>
      </c>
      <c r="U54" t="str">
        <f>IF(B54=1,MAX($U$2:$U53)+1,IF(AND($T54&lt;&gt;"",$T54=$T53),$U53,IF(B54="x",U53,"")))</f>
        <v/>
      </c>
      <c r="V54" t="str">
        <f>IF(C54=1,MAX($V$2:$V53)+1,IF(AND($T54&lt;&gt;"",$T54=$T53),$U53,IF(C54="x",V53,"")))</f>
        <v/>
      </c>
      <c r="W54" t="str" cm="1">
        <f t="array" ref="W54">IFERROR(_xlfn._xlws.FILTER(game_rosters!AC:AC,(game_rosters!J:J=events!X54)*(K54&lt;&gt;"")),"")</f>
        <v/>
      </c>
      <c r="X54" cm="1">
        <f t="array" ref="X54">IF($I54&lt;&gt;"",$I54,INDEX($I$1:$I54,ROW()-COUNTIFS($T$1:$T54,"="&amp;$T54,$S$1:$S54,"&lt;"&amp;$S54)))</f>
        <v>19</v>
      </c>
      <c r="Y54" t="str" cm="1">
        <f t="array" ref="Y54">IFERROR(IF(_xlfn._xlws.FILTER(game_rosters!$J:$J,(game_rosters!$G:$G=events!$AM54)*(game_rosters!$J:$J=events!$X54))&gt;0,1,""),"")</f>
        <v/>
      </c>
      <c r="Z54" s="6">
        <f t="shared" si="34"/>
        <v>1</v>
      </c>
      <c r="AA54">
        <f t="shared" si="35"/>
        <v>1026</v>
      </c>
      <c r="AB54">
        <f t="shared" si="36"/>
        <v>9003</v>
      </c>
      <c r="AC54">
        <f t="shared" si="37"/>
        <v>9003</v>
      </c>
      <c r="AD54" t="str">
        <f t="shared" si="38"/>
        <v>17</v>
      </c>
      <c r="AE54" t="str">
        <f t="shared" si="39"/>
        <v>24</v>
      </c>
      <c r="AF54" t="str">
        <f t="shared" si="40"/>
        <v/>
      </c>
      <c r="AG54" t="str">
        <f t="shared" si="41"/>
        <v/>
      </c>
      <c r="AH54" t="str">
        <f t="shared" si="90"/>
        <v>o</v>
      </c>
      <c r="AI54" t="str">
        <f t="shared" si="115"/>
        <v>o</v>
      </c>
      <c r="AJ54" t="str">
        <f t="shared" si="115"/>
        <v>o</v>
      </c>
      <c r="AK54" t="str">
        <f t="shared" si="92"/>
        <v/>
      </c>
      <c r="AL54" t="str">
        <f t="shared" si="93"/>
        <v/>
      </c>
      <c r="AM54" t="str">
        <f t="shared" si="44"/>
        <v>Away</v>
      </c>
      <c r="AN54" t="str">
        <f t="shared" si="94"/>
        <v>a</v>
      </c>
      <c r="AO54" t="str">
        <f t="shared" si="95"/>
        <v>d</v>
      </c>
      <c r="AP54" t="str">
        <f t="shared" si="96"/>
        <v>o</v>
      </c>
      <c r="AQ54" t="str">
        <f>IF(AM54&lt;&gt;"",AM54,IF($AC54=#REF!,#REF!,""))</f>
        <v>Away</v>
      </c>
      <c r="AR54" t="str">
        <f t="shared" si="97"/>
        <v>a</v>
      </c>
      <c r="AS54" t="str">
        <f t="shared" si="98"/>
        <v>Defensive</v>
      </c>
      <c r="AT54" t="str">
        <f t="shared" si="50"/>
        <v/>
      </c>
      <c r="AU54" t="str">
        <f t="shared" si="51"/>
        <v/>
      </c>
      <c r="AV54" t="str" cm="1">
        <f t="array" ref="AV54">IFERROR(IF(O54&lt;&gt;"",O54,IF(OR($S54="",$T54=""),"",IF(O54&lt;&gt;"",O54,IF($T54&lt;&gt;"",_xlfn._xlws.FILTER(O:O,($BT:$BT=$BT54)*($I:$I=$I54)*($T:$T=$T54)*($S:$S=_xlfn.MINIFS($S:$S,$T:$T,"="&amp;$T54)),"")))))&amp;"",IF(O54="","",""))&amp;""</f>
        <v/>
      </c>
      <c r="AW54" t="str" cm="1">
        <f t="array" ref="AW54">IFERROR(IF(P54&lt;&gt;"",P54,IF(OR($S54="",$T54=""),"",IF($T54&lt;&gt;"",_xlfn._xlws.FILTER(P:P,($BT:$BT=$BT54)*($I:$I=$I54)*($T:$T=$T54)*($S:$S=_xlfn.MINIFS($S:$S,$T:$T,"="&amp;$T54)),""))))&amp;"",IF(P54="","",""))&amp;""</f>
        <v/>
      </c>
      <c r="AX54" t="str" cm="1">
        <f t="array" ref="AX54">IFERROR(IF(Q54&lt;&gt;"",Q54,IF(OR($S54="",$T54=""),"",IF($T54&lt;&gt;"",_xlfn._xlws.FILTER(Q:Q,($BT:$BT=$BT54)*($I:$I=$I54)*($T:$T=$T54)*($S:$S=_xlfn.MINIFS($S:$S,$T:$T,"="&amp;$T54)),""))))&amp;"",IF(Q54="","",""))&amp;""</f>
        <v/>
      </c>
      <c r="AY54" t="str" cm="1">
        <f t="array" ref="AY54">IFERROR(IF(R54&lt;&gt;"",R54,IF(OR($S54="",$T54=""),"",IF($T54&lt;&gt;"",_xlfn._xlws.FILTER(R:R,($BT:$BT=$BT54)*($I:$I=$I54)*($T:$T=$T54)*($S:$S=_xlfn.MINIFS($S:$S,$T:$T,"="&amp;$T54)),""))))&amp;"",IF(R54="","",""))&amp;""</f>
        <v/>
      </c>
      <c r="AZ54" s="6">
        <f t="shared" si="52"/>
        <v>6</v>
      </c>
      <c r="BA54">
        <f t="shared" ref="BA54:BC54" si="127">BA53</f>
        <v>18991</v>
      </c>
      <c r="BB54" t="str">
        <f t="shared" si="127"/>
        <v>Triple J</v>
      </c>
      <c r="BC54" t="str">
        <f t="shared" si="127"/>
        <v>Velodrome</v>
      </c>
      <c r="BD54" t="str">
        <f t="shared" si="54"/>
        <v>Turnover</v>
      </c>
      <c r="BE54" t="str">
        <f t="shared" si="55"/>
        <v>Turnover_Giveaway</v>
      </c>
      <c r="BF54" t="str">
        <f t="shared" si="56"/>
        <v>Giveaway-PassBlocked</v>
      </c>
      <c r="BG54" t="str">
        <f t="shared" si="22"/>
        <v>u</v>
      </c>
      <c r="BH54" cm="1">
        <f t="array" ref="BH54">IFERROR(_xlfn._xlws.FILTER(shifts!A:A,(shifts!B:B=events!Z54)*(shifts!AG:AG&gt;=events!BJ54)*(shifts!AH:AH&lt;=events!BK54)),BH53)</f>
        <v>1</v>
      </c>
      <c r="BI54" s="15">
        <f t="shared" si="57"/>
        <v>0</v>
      </c>
      <c r="BJ54">
        <f t="shared" si="58"/>
        <v>1044</v>
      </c>
      <c r="BK54">
        <f t="shared" si="59"/>
        <v>1044</v>
      </c>
      <c r="BL54" s="15">
        <f>SUMIFS(BI$2:BI54,K$2:K54,"=Intermission")+SUMIFS(BI$2:BI54,K$2:K54,"=Timeout")</f>
        <v>0</v>
      </c>
      <c r="BM54">
        <f t="shared" si="60"/>
        <v>0</v>
      </c>
      <c r="BN54" s="19">
        <f t="shared" si="61"/>
        <v>36</v>
      </c>
      <c r="BO54">
        <f t="shared" si="62"/>
        <v>31</v>
      </c>
      <c r="BP54" s="17">
        <f t="shared" si="63"/>
        <v>36</v>
      </c>
      <c r="BQ54" t="str">
        <f t="shared" si="64"/>
        <v>opp_team_player_1</v>
      </c>
      <c r="BR54">
        <f>COUNTIFS(S$3:S54,"="&amp;S54,AH$3:AH54,"="&amp;AH54)</f>
        <v>1</v>
      </c>
      <c r="BS54" t="str">
        <f>IFERROR(VLOOKUP(BA54&amp;BT54&amp;X54,game_rosters!U:W,3,FALSE),"")</f>
        <v>P100089</v>
      </c>
      <c r="BT54" t="str">
        <f t="shared" si="65"/>
        <v>Triple J</v>
      </c>
    </row>
    <row r="55" spans="1:72" x14ac:dyDescent="0.2">
      <c r="A55">
        <f t="shared" si="9"/>
        <v>1</v>
      </c>
      <c r="E55" s="4"/>
      <c r="F55" s="45" t="s">
        <v>741</v>
      </c>
      <c r="G55" s="4"/>
      <c r="H55" s="47"/>
      <c r="I55" s="26">
        <v>16</v>
      </c>
      <c r="J55" s="26" t="s">
        <v>736</v>
      </c>
      <c r="K55" t="s">
        <v>13</v>
      </c>
      <c r="L55" t="s">
        <v>586</v>
      </c>
      <c r="N55" t="s">
        <v>594</v>
      </c>
      <c r="O55" t="s">
        <v>907</v>
      </c>
      <c r="Q55" t="str">
        <f t="shared" si="77"/>
        <v>u</v>
      </c>
      <c r="R55" s="26">
        <v>1</v>
      </c>
      <c r="S55">
        <f>IF(A55=1,MAX($S$2:$S54)+1,IF(OR($I55&lt;&gt;"",A55="x"),$S54,""))</f>
        <v>27</v>
      </c>
      <c r="T55" t="str">
        <f>IF(D55=1,MAX($T$2:$T54)+1,IF(S55=S54,$T54,IF(D55="x",T54,IF(D54="x","",""))))</f>
        <v/>
      </c>
      <c r="U55" t="str">
        <f>IF(B55=1,MAX($U$2:$U54)+1,IF(AND($T55&lt;&gt;"",$T55=$T54),$U54,IF(B55="x",U54,"")))</f>
        <v/>
      </c>
      <c r="V55" t="str">
        <f>IF(C55=1,MAX($V$2:$V54)+1,IF(AND($T55&lt;&gt;"",$T55=$T54),$U54,IF(C55="x",V54,"")))</f>
        <v/>
      </c>
      <c r="W55" t="str" cm="1">
        <f t="array" ref="W55">IFERROR(_xlfn._xlws.FILTER(game_rosters!AC:AC,(game_rosters!J:J=events!X55)*(K55&lt;&gt;"")),"")</f>
        <v>h</v>
      </c>
      <c r="X55" cm="1">
        <f t="array" ref="X55">IF($I55&lt;&gt;"",$I55,INDEX($I$1:$I55,ROW()-COUNTIFS($T$1:$T55,"="&amp;$T55,$S$1:$S55,"&lt;"&amp;$S55)))</f>
        <v>16</v>
      </c>
      <c r="Y55" cm="1">
        <f t="array" ref="Y55">IFERROR(IF(_xlfn._xlws.FILTER(game_rosters!$J:$J,(game_rosters!$G:$G=events!$AM55)*(game_rosters!$J:$J=events!$X55))&gt;0,1,""),"")</f>
        <v>1</v>
      </c>
      <c r="Z55" s="6">
        <f t="shared" si="34"/>
        <v>1</v>
      </c>
      <c r="AA55">
        <f t="shared" si="35"/>
        <v>1027</v>
      </c>
      <c r="AB55" t="str">
        <f t="shared" si="36"/>
        <v/>
      </c>
      <c r="AC55">
        <f t="shared" si="37"/>
        <v>1027</v>
      </c>
      <c r="AD55" t="str">
        <f t="shared" si="38"/>
        <v>17</v>
      </c>
      <c r="AE55" t="str">
        <f t="shared" si="39"/>
        <v>21</v>
      </c>
      <c r="AF55" t="str">
        <f t="shared" si="40"/>
        <v/>
      </c>
      <c r="AG55" t="str">
        <f t="shared" si="41"/>
        <v/>
      </c>
      <c r="AH55" t="str">
        <f t="shared" si="90"/>
        <v>e</v>
      </c>
      <c r="AI55" t="str">
        <f t="shared" si="115"/>
        <v>d</v>
      </c>
      <c r="AJ55" t="str">
        <f t="shared" si="115"/>
        <v>d</v>
      </c>
      <c r="AK55" t="str">
        <f t="shared" si="92"/>
        <v>d</v>
      </c>
      <c r="AL55" t="str">
        <f t="shared" si="93"/>
        <v>o</v>
      </c>
      <c r="AM55" t="str">
        <f t="shared" si="44"/>
        <v>Home</v>
      </c>
      <c r="AN55" t="str">
        <f t="shared" si="94"/>
        <v>h</v>
      </c>
      <c r="AO55" t="str">
        <f t="shared" si="95"/>
        <v>d</v>
      </c>
      <c r="AP55" t="str">
        <f t="shared" si="96"/>
        <v>o</v>
      </c>
      <c r="AQ55" t="str">
        <f>IF(AM55&lt;&gt;"",AM55,IF($AC55=#REF!,#REF!,""))</f>
        <v>Home</v>
      </c>
      <c r="AR55" t="str">
        <f t="shared" si="97"/>
        <v>h</v>
      </c>
      <c r="AS55" t="str">
        <f t="shared" si="98"/>
        <v>Offensive</v>
      </c>
      <c r="AT55" t="str">
        <f t="shared" si="50"/>
        <v/>
      </c>
      <c r="AU55" t="str">
        <f t="shared" si="51"/>
        <v/>
      </c>
      <c r="AV55" t="str" cm="1">
        <f t="array" ref="AV55">IFERROR(IF(O55&lt;&gt;"",O55,IF(OR($S55="",$T55=""),"",IF(O55&lt;&gt;"",O55,IF($T55&lt;&gt;"",_xlfn._xlws.FILTER(O:O,($BT:$BT=$BT55)*($I:$I=$I55)*($T:$T=$T55)*($S:$S=_xlfn.MINIFS($S:$S,$T:$T,"="&amp;$T55)),"")))))&amp;"",IF(O55="","",""))&amp;""</f>
        <v>PuckRecoveryRetreivalPass</v>
      </c>
      <c r="AW55" t="str" cm="1">
        <f t="array" ref="AW55">IFERROR(IF(P55&lt;&gt;"",P55,IF(OR($S55="",$T55=""),"",IF($T55&lt;&gt;"",_xlfn._xlws.FILTER(P:P,($BT:$BT=$BT55)*($I:$I=$I55)*($T:$T=$T55)*($S:$S=_xlfn.MINIFS($S:$S,$T:$T,"="&amp;$T55)),""))))&amp;"",IF(P55="","",""))&amp;""</f>
        <v/>
      </c>
      <c r="AX55" t="str" cm="1">
        <f t="array" ref="AX55">IFERROR(IF(Q55&lt;&gt;"",Q55,IF(OR($S55="",$T55=""),"",IF($T55&lt;&gt;"",_xlfn._xlws.FILTER(Q:Q,($BT:$BT=$BT55)*($I:$I=$I55)*($T:$T=$T55)*($S:$S=_xlfn.MINIFS($S:$S,$T:$T,"="&amp;$T55)),""))))&amp;"",IF(Q55="","",""))&amp;""</f>
        <v>u</v>
      </c>
      <c r="AY55" t="str" cm="1">
        <f t="array" ref="AY55">IFERROR(IF(R55&lt;&gt;"",R55,IF(OR($S55="",$T55=""),"",IF($T55&lt;&gt;"",_xlfn._xlws.FILTER(R:R,($BT:$BT=$BT55)*($I:$I=$I55)*($T:$T=$T55)*($S:$S=_xlfn.MINIFS($S:$S,$T:$T,"="&amp;$T55)),""))))&amp;"",IF(R55="","",""))&amp;""</f>
        <v>1</v>
      </c>
      <c r="AZ55" s="6">
        <f t="shared" si="52"/>
        <v>6</v>
      </c>
      <c r="BA55">
        <f t="shared" ref="BA55:BC55" si="128">BA54</f>
        <v>18991</v>
      </c>
      <c r="BB55" t="str">
        <f t="shared" si="128"/>
        <v>Triple J</v>
      </c>
      <c r="BC55" t="str">
        <f t="shared" si="128"/>
        <v>Velodrome</v>
      </c>
      <c r="BD55" t="str">
        <f t="shared" si="54"/>
        <v>Possession</v>
      </c>
      <c r="BE55" t="str">
        <f t="shared" si="55"/>
        <v>PuckRetrieval</v>
      </c>
      <c r="BF55" t="str">
        <f t="shared" si="56"/>
        <v/>
      </c>
      <c r="BG55" t="str">
        <f t="shared" si="22"/>
        <v>u</v>
      </c>
      <c r="BH55" cm="1">
        <f t="array" ref="BH55">IFERROR(_xlfn._xlws.FILTER(shifts!A:A,(shifts!B:B=events!Z55)*(shifts!AG:AG&gt;=events!BJ55)*(shifts!AH:AH&lt;=events!BK55)),BH54)</f>
        <v>1</v>
      </c>
      <c r="BI55" s="15">
        <f t="shared" si="57"/>
        <v>0</v>
      </c>
      <c r="BJ55">
        <f t="shared" si="58"/>
        <v>1041</v>
      </c>
      <c r="BK55">
        <f t="shared" si="59"/>
        <v>1041</v>
      </c>
      <c r="BL55" s="15">
        <f>SUMIFS(BI$2:BI55,K$2:K55,"=Intermission")+SUMIFS(BI$2:BI55,K$2:K55,"=Timeout")</f>
        <v>0</v>
      </c>
      <c r="BM55">
        <f t="shared" si="60"/>
        <v>0</v>
      </c>
      <c r="BN55" s="19">
        <f t="shared" si="61"/>
        <v>39</v>
      </c>
      <c r="BO55">
        <f t="shared" si="62"/>
        <v>34</v>
      </c>
      <c r="BP55" s="17">
        <f t="shared" si="63"/>
        <v>39</v>
      </c>
      <c r="BQ55" t="str">
        <f t="shared" si="64"/>
        <v>event_team_player_1</v>
      </c>
      <c r="BR55">
        <f>COUNTIFS(S$3:S55,"="&amp;S55,AH$3:AH55,"="&amp;AH55)</f>
        <v>1</v>
      </c>
      <c r="BS55" t="str">
        <f>IFERROR(VLOOKUP(BA55&amp;BT55&amp;X55,game_rosters!U:W,3,FALSE),"")</f>
        <v>P100094</v>
      </c>
      <c r="BT55" t="str">
        <f t="shared" si="65"/>
        <v>Triple J</v>
      </c>
    </row>
    <row r="56" spans="1:72" x14ac:dyDescent="0.2">
      <c r="A56" t="str">
        <f t="shared" si="9"/>
        <v/>
      </c>
      <c r="E56" s="4"/>
      <c r="F56" s="45"/>
      <c r="G56" s="4"/>
      <c r="H56" s="47"/>
      <c r="I56" s="26">
        <v>70</v>
      </c>
      <c r="J56" s="26" t="str">
        <f t="shared" si="68"/>
        <v/>
      </c>
      <c r="N56" t="str">
        <f t="shared" si="83"/>
        <v/>
      </c>
      <c r="Q56" t="str">
        <f t="shared" si="77"/>
        <v/>
      </c>
      <c r="R56" s="26">
        <v>1</v>
      </c>
      <c r="S56">
        <f>IF(A56=1,MAX($S$2:$S55)+1,IF(OR($I56&lt;&gt;"",A56="x"),$S55,""))</f>
        <v>27</v>
      </c>
      <c r="T56" t="str">
        <f>IF(D56=1,MAX($T$2:$T55)+1,IF(S56=S55,$T55,IF(D56="x",T55,IF(D55="x","",""))))</f>
        <v/>
      </c>
      <c r="U56" t="str">
        <f>IF(B56=1,MAX($U$2:$U55)+1,IF(AND($T56&lt;&gt;"",$T56=$T55),$U55,IF(B56="x",U55,"")))</f>
        <v/>
      </c>
      <c r="V56" t="str">
        <f>IF(C56=1,MAX($V$2:$V55)+1,IF(AND($T56&lt;&gt;"",$T56=$T55),$U55,IF(C56="x",V55,"")))</f>
        <v/>
      </c>
      <c r="W56" t="str" cm="1">
        <f t="array" ref="W56">IFERROR(_xlfn._xlws.FILTER(game_rosters!AC:AC,(game_rosters!J:J=events!X56)*(K56&lt;&gt;"")),"")</f>
        <v/>
      </c>
      <c r="X56" cm="1">
        <f t="array" ref="X56">IF($I56&lt;&gt;"",$I56,INDEX($I$1:$I56,ROW()-COUNTIFS($T$1:$T56,"="&amp;$T56,$S$1:$S56,"&lt;"&amp;$S56)))</f>
        <v>70</v>
      </c>
      <c r="Y56" t="str" cm="1">
        <f t="array" ref="Y56">IFERROR(IF(_xlfn._xlws.FILTER(game_rosters!$J:$J,(game_rosters!$G:$G=events!$AM56)*(game_rosters!$J:$J=events!$X56))&gt;0,1,""),"")</f>
        <v/>
      </c>
      <c r="Z56" s="6">
        <f t="shared" si="34"/>
        <v>1</v>
      </c>
      <c r="AA56">
        <f t="shared" si="35"/>
        <v>1027</v>
      </c>
      <c r="AB56" t="str">
        <f t="shared" si="36"/>
        <v/>
      </c>
      <c r="AC56">
        <f t="shared" si="37"/>
        <v>1027</v>
      </c>
      <c r="AD56" t="str">
        <f t="shared" si="38"/>
        <v>17</v>
      </c>
      <c r="AE56" t="str">
        <f t="shared" si="39"/>
        <v>21</v>
      </c>
      <c r="AF56" t="str">
        <f t="shared" si="40"/>
        <v/>
      </c>
      <c r="AG56" t="str">
        <f t="shared" si="41"/>
        <v/>
      </c>
      <c r="AH56" t="str">
        <f t="shared" si="90"/>
        <v>o</v>
      </c>
      <c r="AI56" t="str">
        <f t="shared" si="115"/>
        <v>d</v>
      </c>
      <c r="AJ56" t="str">
        <f t="shared" si="115"/>
        <v>d</v>
      </c>
      <c r="AK56" t="str">
        <f t="shared" si="92"/>
        <v/>
      </c>
      <c r="AL56" t="str">
        <f t="shared" si="93"/>
        <v/>
      </c>
      <c r="AM56" t="str">
        <f t="shared" si="44"/>
        <v>Home</v>
      </c>
      <c r="AN56" t="str">
        <f t="shared" si="94"/>
        <v>h</v>
      </c>
      <c r="AO56" t="str">
        <f t="shared" si="95"/>
        <v>d</v>
      </c>
      <c r="AP56" t="str">
        <f t="shared" si="96"/>
        <v>o</v>
      </c>
      <c r="AQ56" t="str">
        <f>IF(AM56&lt;&gt;"",AM56,IF($AC56=#REF!,#REF!,""))</f>
        <v>Home</v>
      </c>
      <c r="AR56" t="str">
        <f t="shared" si="97"/>
        <v>h</v>
      </c>
      <c r="AS56" t="str">
        <f t="shared" si="98"/>
        <v>Defensive</v>
      </c>
      <c r="AT56" t="str">
        <f t="shared" si="50"/>
        <v/>
      </c>
      <c r="AU56" t="str">
        <f t="shared" si="51"/>
        <v/>
      </c>
      <c r="AV56" t="str" cm="1">
        <f t="array" ref="AV56">IFERROR(IF(O56&lt;&gt;"",O56,IF(OR($S56="",$T56=""),"",IF(O56&lt;&gt;"",O56,IF($T56&lt;&gt;"",_xlfn._xlws.FILTER(O:O,($BT:$BT=$BT56)*($I:$I=$I56)*($T:$T=$T56)*($S:$S=_xlfn.MINIFS($S:$S,$T:$T,"="&amp;$T56)),"")))))&amp;"",IF(O56="","",""))&amp;""</f>
        <v/>
      </c>
      <c r="AW56" t="str" cm="1">
        <f t="array" ref="AW56">IFERROR(IF(P56&lt;&gt;"",P56,IF(OR($S56="",$T56=""),"",IF($T56&lt;&gt;"",_xlfn._xlws.FILTER(P:P,($BT:$BT=$BT56)*($I:$I=$I56)*($T:$T=$T56)*($S:$S=_xlfn.MINIFS($S:$S,$T:$T,"="&amp;$T56)),""))))&amp;"",IF(P56="","",""))&amp;""</f>
        <v/>
      </c>
      <c r="AX56" t="str" cm="1">
        <f t="array" ref="AX56">IFERROR(IF(Q56&lt;&gt;"",Q56,IF(OR($S56="",$T56=""),"",IF($T56&lt;&gt;"",_xlfn._xlws.FILTER(Q:Q,($BT:$BT=$BT56)*($I:$I=$I56)*($T:$T=$T56)*($S:$S=_xlfn.MINIFS($S:$S,$T:$T,"="&amp;$T56)),""))))&amp;"",IF(Q56="","",""))&amp;""</f>
        <v/>
      </c>
      <c r="AY56" t="str" cm="1">
        <f t="array" ref="AY56">IFERROR(IF(R56&lt;&gt;"",R56,IF(OR($S56="",$T56=""),"",IF($T56&lt;&gt;"",_xlfn._xlws.FILTER(R:R,($BT:$BT=$BT56)*($I:$I=$I56)*($T:$T=$T56)*($S:$S=_xlfn.MINIFS($S:$S,$T:$T,"="&amp;$T56)),""))))&amp;"",IF(R56="","",""))&amp;""</f>
        <v>1</v>
      </c>
      <c r="AZ56" s="6">
        <f t="shared" si="52"/>
        <v>6</v>
      </c>
      <c r="BA56">
        <f t="shared" ref="BA56:BC56" si="129">BA55</f>
        <v>18991</v>
      </c>
      <c r="BB56" t="str">
        <f t="shared" si="129"/>
        <v>Triple J</v>
      </c>
      <c r="BC56" t="str">
        <f t="shared" si="129"/>
        <v>Velodrome</v>
      </c>
      <c r="BD56" t="str">
        <f t="shared" si="54"/>
        <v>Possession</v>
      </c>
      <c r="BE56" t="str">
        <f t="shared" si="55"/>
        <v>PuckRetrieval</v>
      </c>
      <c r="BF56" t="str">
        <f t="shared" si="56"/>
        <v/>
      </c>
      <c r="BG56" t="str">
        <f t="shared" si="22"/>
        <v>u</v>
      </c>
      <c r="BH56" cm="1">
        <f t="array" ref="BH56">IFERROR(_xlfn._xlws.FILTER(shifts!A:A,(shifts!B:B=events!Z56)*(shifts!AG:AG&gt;=events!BJ56)*(shifts!AH:AH&lt;=events!BK56)),BH55)</f>
        <v>1</v>
      </c>
      <c r="BI56" s="15">
        <f t="shared" si="57"/>
        <v>0</v>
      </c>
      <c r="BJ56">
        <f t="shared" si="58"/>
        <v>1041</v>
      </c>
      <c r="BK56">
        <f t="shared" si="59"/>
        <v>1041</v>
      </c>
      <c r="BL56" s="15">
        <f>SUMIFS(BI$2:BI56,K$2:K56,"=Intermission")+SUMIFS(BI$2:BI56,K$2:K56,"=Timeout")</f>
        <v>0</v>
      </c>
      <c r="BM56">
        <f t="shared" si="60"/>
        <v>0</v>
      </c>
      <c r="BN56" s="19">
        <f t="shared" si="61"/>
        <v>39</v>
      </c>
      <c r="BO56">
        <f t="shared" si="62"/>
        <v>34</v>
      </c>
      <c r="BP56" s="17">
        <f t="shared" si="63"/>
        <v>39</v>
      </c>
      <c r="BQ56" t="str">
        <f t="shared" si="64"/>
        <v>opp_team_player_1</v>
      </c>
      <c r="BR56">
        <f>COUNTIFS(S$3:S56,"="&amp;S56,AH$3:AH56,"="&amp;AH56)</f>
        <v>1</v>
      </c>
      <c r="BS56" t="str">
        <f>IFERROR(VLOOKUP(BA56&amp;BT56&amp;X56,game_rosters!U:W,3,FALSE),"")</f>
        <v>P100001</v>
      </c>
      <c r="BT56" t="str">
        <f t="shared" si="65"/>
        <v>Velodrome</v>
      </c>
    </row>
    <row r="57" spans="1:72" x14ac:dyDescent="0.2">
      <c r="A57">
        <f t="shared" si="9"/>
        <v>1</v>
      </c>
      <c r="E57" s="4"/>
      <c r="F57" s="45"/>
      <c r="G57" s="4"/>
      <c r="H57" s="47"/>
      <c r="I57" s="26">
        <v>16</v>
      </c>
      <c r="J57" s="26" t="s">
        <v>736</v>
      </c>
      <c r="K57" t="s">
        <v>238</v>
      </c>
      <c r="L57" t="s">
        <v>184</v>
      </c>
      <c r="M57" t="s">
        <v>376</v>
      </c>
      <c r="N57" t="str">
        <f t="shared" si="83"/>
        <v>u</v>
      </c>
      <c r="O57" t="s">
        <v>576</v>
      </c>
      <c r="Q57" t="str">
        <f t="shared" si="77"/>
        <v>u</v>
      </c>
      <c r="R57" s="26">
        <v>1</v>
      </c>
      <c r="S57">
        <f>IF(A57=1,MAX($S$2:$S56)+1,IF(OR($I57&lt;&gt;"",A57="x"),$S56,""))</f>
        <v>28</v>
      </c>
      <c r="T57" t="str">
        <f>IF(D57=1,MAX($T$2:$T56)+1,IF(S57=S56,$T56,IF(D57="x",T56,IF(D56="x","",""))))</f>
        <v/>
      </c>
      <c r="U57" t="str">
        <f>IF(B57=1,MAX($U$2:$U56)+1,IF(AND($T57&lt;&gt;"",$T57=$T56),$U56,IF(B57="x",U56,"")))</f>
        <v/>
      </c>
      <c r="V57" t="str">
        <f>IF(C57=1,MAX($V$2:$V56)+1,IF(AND($T57&lt;&gt;"",$T57=$T56),$U56,IF(C57="x",V56,"")))</f>
        <v/>
      </c>
      <c r="W57" t="str" cm="1">
        <f t="array" ref="W57">IFERROR(_xlfn._xlws.FILTER(game_rosters!AC:AC,(game_rosters!J:J=events!X57)*(K57&lt;&gt;"")),"")</f>
        <v>h</v>
      </c>
      <c r="X57" cm="1">
        <f t="array" ref="X57">IF($I57&lt;&gt;"",$I57,INDEX($I$1:$I57,ROW()-COUNTIFS($T$1:$T57,"="&amp;$T57,$S$1:$S57,"&lt;"&amp;$S57)))</f>
        <v>16</v>
      </c>
      <c r="Y57" cm="1">
        <f t="array" ref="Y57">IFERROR(IF(_xlfn._xlws.FILTER(game_rosters!$J:$J,(game_rosters!$G:$G=events!$AM57)*(game_rosters!$J:$J=events!$X57))&gt;0,1,""),"")</f>
        <v>1</v>
      </c>
      <c r="Z57" s="6">
        <f t="shared" si="34"/>
        <v>1</v>
      </c>
      <c r="AA57">
        <f t="shared" si="35"/>
        <v>1028</v>
      </c>
      <c r="AB57" t="str">
        <f t="shared" si="36"/>
        <v/>
      </c>
      <c r="AC57">
        <f t="shared" si="37"/>
        <v>1028</v>
      </c>
      <c r="AD57" t="str">
        <f t="shared" si="38"/>
        <v>17</v>
      </c>
      <c r="AE57" t="str">
        <f t="shared" si="39"/>
        <v>21</v>
      </c>
      <c r="AF57" t="str">
        <f t="shared" si="40"/>
        <v/>
      </c>
      <c r="AG57" t="str">
        <f t="shared" si="41"/>
        <v/>
      </c>
      <c r="AH57" t="str">
        <f t="shared" si="90"/>
        <v>e</v>
      </c>
      <c r="AI57" t="str">
        <f t="shared" si="115"/>
        <v>d</v>
      </c>
      <c r="AJ57" t="str">
        <f t="shared" si="115"/>
        <v>d</v>
      </c>
      <c r="AK57" t="str">
        <f t="shared" si="92"/>
        <v>d</v>
      </c>
      <c r="AL57" t="str">
        <f t="shared" si="93"/>
        <v>o</v>
      </c>
      <c r="AM57" t="str">
        <f t="shared" si="44"/>
        <v>Home</v>
      </c>
      <c r="AN57" t="str">
        <f t="shared" si="94"/>
        <v>h</v>
      </c>
      <c r="AO57" t="str">
        <f t="shared" si="95"/>
        <v>d</v>
      </c>
      <c r="AP57" t="str">
        <f t="shared" si="96"/>
        <v>o</v>
      </c>
      <c r="AQ57" t="str">
        <f>IF(AM57&lt;&gt;"",AM57,IF($AC57=#REF!,#REF!,""))</f>
        <v>Home</v>
      </c>
      <c r="AR57" t="str">
        <f t="shared" si="97"/>
        <v>h</v>
      </c>
      <c r="AS57" t="str">
        <f t="shared" si="98"/>
        <v>Offensive</v>
      </c>
      <c r="AT57" t="str">
        <f t="shared" si="50"/>
        <v/>
      </c>
      <c r="AU57" t="str">
        <f t="shared" si="51"/>
        <v/>
      </c>
      <c r="AV57" t="str" cm="1">
        <f t="array" ref="AV57">IFERROR(IF(O57&lt;&gt;"",O57,IF(OR($S57="",$T57=""),"",IF(O57&lt;&gt;"",O57,IF($T57&lt;&gt;"",_xlfn._xlws.FILTER(O:O,($BT:$BT=$BT57)*($I:$I=$I57)*($T:$T=$T57)*($S:$S=_xlfn.MINIFS($S:$S,$T:$T,"="&amp;$T57)),"")))))&amp;"",IF(O57="","",""))&amp;""</f>
        <v>SecondTouch</v>
      </c>
      <c r="AW57" t="str" cm="1">
        <f t="array" ref="AW57">IFERROR(IF(P57&lt;&gt;"",P57,IF(OR($S57="",$T57=""),"",IF($T57&lt;&gt;"",_xlfn._xlws.FILTER(P:P,($BT:$BT=$BT57)*($I:$I=$I57)*($T:$T=$T57)*($S:$S=_xlfn.MINIFS($S:$S,$T:$T,"="&amp;$T57)),""))))&amp;"",IF(P57="","",""))&amp;""</f>
        <v/>
      </c>
      <c r="AX57" t="str" cm="1">
        <f t="array" ref="AX57">IFERROR(IF(Q57&lt;&gt;"",Q57,IF(OR($S57="",$T57=""),"",IF($T57&lt;&gt;"",_xlfn._xlws.FILTER(Q:Q,($BT:$BT=$BT57)*($I:$I=$I57)*($T:$T=$T57)*($S:$S=_xlfn.MINIFS($S:$S,$T:$T,"="&amp;$T57)),""))))&amp;"",IF(Q57="","",""))&amp;""</f>
        <v>u</v>
      </c>
      <c r="AY57" t="str" cm="1">
        <f t="array" ref="AY57">IFERROR(IF(R57&lt;&gt;"",R57,IF(OR($S57="",$T57=""),"",IF($T57&lt;&gt;"",_xlfn._xlws.FILTER(R:R,($BT:$BT=$BT57)*($I:$I=$I57)*($T:$T=$T57)*($S:$S=_xlfn.MINIFS($S:$S,$T:$T,"="&amp;$T57)),""))))&amp;"",IF(R57="","",""))&amp;""</f>
        <v>1</v>
      </c>
      <c r="AZ57" s="6">
        <f t="shared" si="52"/>
        <v>7</v>
      </c>
      <c r="BA57">
        <f t="shared" ref="BA57:BC57" si="130">BA56</f>
        <v>18991</v>
      </c>
      <c r="BB57" t="str">
        <f t="shared" si="130"/>
        <v>Triple J</v>
      </c>
      <c r="BC57" t="str">
        <f t="shared" si="130"/>
        <v>Velodrome</v>
      </c>
      <c r="BD57" t="str">
        <f t="shared" si="54"/>
        <v>Zone_Entry_Exit</v>
      </c>
      <c r="BE57" t="str">
        <f t="shared" si="55"/>
        <v>Zone_Exit</v>
      </c>
      <c r="BF57" t="str">
        <f t="shared" si="56"/>
        <v>ZoneExit-PassMiss/Misplay</v>
      </c>
      <c r="BG57" t="str">
        <f t="shared" si="22"/>
        <v>u</v>
      </c>
      <c r="BH57" cm="1">
        <f t="array" ref="BH57">IFERROR(_xlfn._xlws.FILTER(shifts!A:A,(shifts!B:B=events!Z57)*(shifts!AG:AG&gt;=events!BJ57)*(shifts!AH:AH&lt;=events!BK57)),BH56)</f>
        <v>1</v>
      </c>
      <c r="BI57" s="15">
        <f t="shared" si="57"/>
        <v>0</v>
      </c>
      <c r="BJ57">
        <f t="shared" si="58"/>
        <v>1041</v>
      </c>
      <c r="BK57">
        <f t="shared" si="59"/>
        <v>1041</v>
      </c>
      <c r="BL57" s="15">
        <f>SUMIFS(BI$2:BI57,K$2:K57,"=Intermission")+SUMIFS(BI$2:BI57,K$2:K57,"=Timeout")</f>
        <v>0</v>
      </c>
      <c r="BM57">
        <f t="shared" si="60"/>
        <v>0</v>
      </c>
      <c r="BN57" s="19">
        <f t="shared" si="61"/>
        <v>39</v>
      </c>
      <c r="BO57">
        <f t="shared" si="62"/>
        <v>34</v>
      </c>
      <c r="BP57" s="17">
        <f t="shared" si="63"/>
        <v>39</v>
      </c>
      <c r="BQ57" t="str">
        <f t="shared" si="64"/>
        <v>event_team_player_1</v>
      </c>
      <c r="BR57">
        <f>COUNTIFS(S$3:S57,"="&amp;S57,AH$3:AH57,"="&amp;AH57)</f>
        <v>1</v>
      </c>
      <c r="BS57" t="str">
        <f>IFERROR(VLOOKUP(BA57&amp;BT57&amp;X57,game_rosters!U:W,3,FALSE),"")</f>
        <v>P100094</v>
      </c>
      <c r="BT57" t="str">
        <f t="shared" si="65"/>
        <v>Triple J</v>
      </c>
    </row>
    <row r="58" spans="1:72" x14ac:dyDescent="0.2">
      <c r="A58" t="str">
        <f t="shared" si="9"/>
        <v/>
      </c>
      <c r="E58" s="4"/>
      <c r="F58" s="45"/>
      <c r="G58" s="4"/>
      <c r="H58" s="47"/>
      <c r="I58" s="26">
        <v>70</v>
      </c>
      <c r="J58" s="26" t="str">
        <f t="shared" si="68"/>
        <v/>
      </c>
      <c r="N58" t="str">
        <f t="shared" si="83"/>
        <v/>
      </c>
      <c r="Q58" t="str">
        <f t="shared" si="77"/>
        <v/>
      </c>
      <c r="R58" s="26">
        <v>1</v>
      </c>
      <c r="S58">
        <f>IF(A58=1,MAX($S$2:$S57)+1,IF(OR($I58&lt;&gt;"",A58="x"),$S57,""))</f>
        <v>28</v>
      </c>
      <c r="T58" t="str">
        <f>IF(D58=1,MAX($T$2:$T57)+1,IF(S58=S57,$T57,IF(D58="x",T57,IF(D57="x","",""))))</f>
        <v/>
      </c>
      <c r="U58" t="str">
        <f>IF(B58=1,MAX($U$2:$U57)+1,IF(AND($T58&lt;&gt;"",$T58=$T57),$U57,IF(B58="x",U57,"")))</f>
        <v/>
      </c>
      <c r="V58" t="str">
        <f>IF(C58=1,MAX($V$2:$V57)+1,IF(AND($T58&lt;&gt;"",$T58=$T57),$U57,IF(C58="x",V57,"")))</f>
        <v/>
      </c>
      <c r="W58" t="str" cm="1">
        <f t="array" ref="W58">IFERROR(_xlfn._xlws.FILTER(game_rosters!AC:AC,(game_rosters!J:J=events!X58)*(K58&lt;&gt;"")),"")</f>
        <v/>
      </c>
      <c r="X58" cm="1">
        <f t="array" ref="X58">IF($I58&lt;&gt;"",$I58,INDEX($I$1:$I58,ROW()-COUNTIFS($T$1:$T58,"="&amp;$T58,$S$1:$S58,"&lt;"&amp;$S58)))</f>
        <v>70</v>
      </c>
      <c r="Y58" t="str" cm="1">
        <f t="array" ref="Y58">IFERROR(IF(_xlfn._xlws.FILTER(game_rosters!$J:$J,(game_rosters!$G:$G=events!$AM58)*(game_rosters!$J:$J=events!$X58))&gt;0,1,""),"")</f>
        <v/>
      </c>
      <c r="Z58" s="6">
        <f t="shared" si="34"/>
        <v>1</v>
      </c>
      <c r="AA58">
        <f t="shared" si="35"/>
        <v>1028</v>
      </c>
      <c r="AB58" t="str">
        <f t="shared" si="36"/>
        <v/>
      </c>
      <c r="AC58">
        <f t="shared" si="37"/>
        <v>1028</v>
      </c>
      <c r="AD58" t="str">
        <f t="shared" si="38"/>
        <v>17</v>
      </c>
      <c r="AE58" t="str">
        <f t="shared" si="39"/>
        <v>21</v>
      </c>
      <c r="AF58" t="str">
        <f t="shared" si="40"/>
        <v/>
      </c>
      <c r="AG58" t="str">
        <f t="shared" si="41"/>
        <v/>
      </c>
      <c r="AH58" t="str">
        <f t="shared" si="90"/>
        <v>o</v>
      </c>
      <c r="AI58" t="str">
        <f t="shared" si="115"/>
        <v>d</v>
      </c>
      <c r="AJ58" t="str">
        <f t="shared" si="115"/>
        <v>d</v>
      </c>
      <c r="AK58" t="str">
        <f t="shared" si="92"/>
        <v/>
      </c>
      <c r="AL58" t="str">
        <f t="shared" si="93"/>
        <v/>
      </c>
      <c r="AM58" t="str">
        <f t="shared" si="44"/>
        <v>Home</v>
      </c>
      <c r="AN58" t="str">
        <f t="shared" si="94"/>
        <v>h</v>
      </c>
      <c r="AO58" t="str">
        <f t="shared" si="95"/>
        <v>d</v>
      </c>
      <c r="AP58" t="str">
        <f t="shared" si="96"/>
        <v>o</v>
      </c>
      <c r="AQ58" t="str">
        <f>IF(AM58&lt;&gt;"",AM58,IF($AC58=#REF!,#REF!,""))</f>
        <v>Home</v>
      </c>
      <c r="AR58" t="str">
        <f t="shared" si="97"/>
        <v>h</v>
      </c>
      <c r="AS58" t="str">
        <f t="shared" si="98"/>
        <v>Defensive</v>
      </c>
      <c r="AT58" t="str">
        <f t="shared" si="50"/>
        <v/>
      </c>
      <c r="AU58" t="str">
        <f t="shared" si="51"/>
        <v/>
      </c>
      <c r="AV58" t="str" cm="1">
        <f t="array" ref="AV58">IFERROR(IF(O58&lt;&gt;"",O58,IF(OR($S58="",$T58=""),"",IF(O58&lt;&gt;"",O58,IF($T58&lt;&gt;"",_xlfn._xlws.FILTER(O:O,($BT:$BT=$BT58)*($I:$I=$I58)*($T:$T=$T58)*($S:$S=_xlfn.MINIFS($S:$S,$T:$T,"="&amp;$T58)),"")))))&amp;"",IF(O58="","",""))&amp;""</f>
        <v/>
      </c>
      <c r="AW58" t="str" cm="1">
        <f t="array" ref="AW58">IFERROR(IF(P58&lt;&gt;"",P58,IF(OR($S58="",$T58=""),"",IF($T58&lt;&gt;"",_xlfn._xlws.FILTER(P:P,($BT:$BT=$BT58)*($I:$I=$I58)*($T:$T=$T58)*($S:$S=_xlfn.MINIFS($S:$S,$T:$T,"="&amp;$T58)),""))))&amp;"",IF(P58="","",""))&amp;""</f>
        <v/>
      </c>
      <c r="AX58" t="str" cm="1">
        <f t="array" ref="AX58">IFERROR(IF(Q58&lt;&gt;"",Q58,IF(OR($S58="",$T58=""),"",IF($T58&lt;&gt;"",_xlfn._xlws.FILTER(Q:Q,($BT:$BT=$BT58)*($I:$I=$I58)*($T:$T=$T58)*($S:$S=_xlfn.MINIFS($S:$S,$T:$T,"="&amp;$T58)),""))))&amp;"",IF(Q58="","",""))&amp;""</f>
        <v/>
      </c>
      <c r="AY58" t="str" cm="1">
        <f t="array" ref="AY58">IFERROR(IF(R58&lt;&gt;"",R58,IF(OR($S58="",$T58=""),"",IF($T58&lt;&gt;"",_xlfn._xlws.FILTER(R:R,($BT:$BT=$BT58)*($I:$I=$I58)*($T:$T=$T58)*($S:$S=_xlfn.MINIFS($S:$S,$T:$T,"="&amp;$T58)),""))))&amp;"",IF(R58="","",""))&amp;""</f>
        <v>1</v>
      </c>
      <c r="AZ58" s="6">
        <f t="shared" si="52"/>
        <v>7</v>
      </c>
      <c r="BA58">
        <f t="shared" ref="BA58:BC58" si="131">BA57</f>
        <v>18991</v>
      </c>
      <c r="BB58" t="str">
        <f t="shared" si="131"/>
        <v>Triple J</v>
      </c>
      <c r="BC58" t="str">
        <f t="shared" si="131"/>
        <v>Velodrome</v>
      </c>
      <c r="BD58" t="str">
        <f t="shared" si="54"/>
        <v>Zone_Entry_Exit</v>
      </c>
      <c r="BE58" t="str">
        <f t="shared" si="55"/>
        <v>Zone_Exit</v>
      </c>
      <c r="BF58" t="str">
        <f t="shared" si="56"/>
        <v>ZoneExit-PassMiss/Misplay</v>
      </c>
      <c r="BG58" t="str">
        <f t="shared" si="22"/>
        <v>u</v>
      </c>
      <c r="BH58" cm="1">
        <f t="array" ref="BH58">IFERROR(_xlfn._xlws.FILTER(shifts!A:A,(shifts!B:B=events!Z58)*(shifts!AG:AG&gt;=events!BJ58)*(shifts!AH:AH&lt;=events!BK58)),BH57)</f>
        <v>1</v>
      </c>
      <c r="BI58" s="15">
        <f t="shared" si="57"/>
        <v>0</v>
      </c>
      <c r="BJ58">
        <f t="shared" si="58"/>
        <v>1041</v>
      </c>
      <c r="BK58">
        <f t="shared" si="59"/>
        <v>1041</v>
      </c>
      <c r="BL58" s="15">
        <f>SUMIFS(BI$2:BI58,K$2:K58,"=Intermission")+SUMIFS(BI$2:BI58,K$2:K58,"=Timeout")</f>
        <v>0</v>
      </c>
      <c r="BM58">
        <f t="shared" si="60"/>
        <v>0</v>
      </c>
      <c r="BN58" s="19">
        <f t="shared" si="61"/>
        <v>39</v>
      </c>
      <c r="BO58">
        <f t="shared" si="62"/>
        <v>34</v>
      </c>
      <c r="BP58" s="17">
        <f t="shared" si="63"/>
        <v>39</v>
      </c>
      <c r="BQ58" t="str">
        <f t="shared" si="64"/>
        <v>opp_team_player_1</v>
      </c>
      <c r="BR58">
        <f>COUNTIFS(S$3:S58,"="&amp;S58,AH$3:AH58,"="&amp;AH58)</f>
        <v>1</v>
      </c>
      <c r="BS58" t="str">
        <f>IFERROR(VLOOKUP(BA58&amp;BT58&amp;X58,game_rosters!U:W,3,FALSE),"")</f>
        <v>P100001</v>
      </c>
      <c r="BT58" t="str">
        <f t="shared" si="65"/>
        <v>Velodrome</v>
      </c>
    </row>
    <row r="59" spans="1:72" x14ac:dyDescent="0.2">
      <c r="A59">
        <f t="shared" si="9"/>
        <v>1</v>
      </c>
      <c r="E59" s="4"/>
      <c r="F59" s="45" t="s">
        <v>732</v>
      </c>
      <c r="G59" s="4"/>
      <c r="H59" s="47" t="s">
        <v>744</v>
      </c>
      <c r="I59" s="26">
        <v>41</v>
      </c>
      <c r="J59" s="26" t="s">
        <v>734</v>
      </c>
      <c r="K59" t="s">
        <v>13</v>
      </c>
      <c r="L59" t="s">
        <v>587</v>
      </c>
      <c r="N59" t="s">
        <v>595</v>
      </c>
      <c r="O59" t="s">
        <v>912</v>
      </c>
      <c r="Q59" t="str">
        <f t="shared" si="77"/>
        <v>s</v>
      </c>
      <c r="S59">
        <f>IF(A59=1,MAX($S$2:$S58)+1,IF(OR($I59&lt;&gt;"",A59="x"),$S58,""))</f>
        <v>29</v>
      </c>
      <c r="T59" t="str">
        <f>IF(D59=1,MAX($T$2:$T58)+1,IF(S59=S58,$T58,IF(D59="x",T58,IF(D58="x","",""))))</f>
        <v/>
      </c>
      <c r="U59" t="str">
        <f>IF(B59=1,MAX($U$2:$U58)+1,IF(AND($T59&lt;&gt;"",$T59=$T58),$U58,IF(B59="x",U58,"")))</f>
        <v/>
      </c>
      <c r="V59" t="str">
        <f>IF(C59=1,MAX($V$2:$V58)+1,IF(AND($T59&lt;&gt;"",$T59=$T58),$U58,IF(C59="x",V58,"")))</f>
        <v/>
      </c>
      <c r="W59" t="str" cm="1">
        <f t="array" ref="W59">IFERROR(_xlfn._xlws.FILTER(game_rosters!AC:AC,(game_rosters!J:J=events!X59)*(K59&lt;&gt;"")),"")</f>
        <v>h</v>
      </c>
      <c r="X59" cm="1">
        <f t="array" ref="X59">IF($I59&lt;&gt;"",$I59,INDEX($I$1:$I59,ROW()-COUNTIFS($T$1:$T59,"="&amp;$T59,$S$1:$S59,"&lt;"&amp;$S59)))</f>
        <v>41</v>
      </c>
      <c r="Y59" cm="1">
        <f t="array" ref="Y59">IFERROR(IF(_xlfn._xlws.FILTER(game_rosters!$J:$J,(game_rosters!$G:$G=events!$AM59)*(game_rosters!$J:$J=events!$X59))&gt;0,1,""),"")</f>
        <v>1</v>
      </c>
      <c r="Z59" s="6">
        <f t="shared" si="34"/>
        <v>1</v>
      </c>
      <c r="AA59">
        <f t="shared" si="35"/>
        <v>1029</v>
      </c>
      <c r="AB59" t="str">
        <f t="shared" si="36"/>
        <v/>
      </c>
      <c r="AC59">
        <f t="shared" si="37"/>
        <v>1029</v>
      </c>
      <c r="AD59" t="str">
        <f t="shared" si="38"/>
        <v>17</v>
      </c>
      <c r="AE59" t="str">
        <f t="shared" si="39"/>
        <v>17</v>
      </c>
      <c r="AF59" t="str">
        <f t="shared" si="40"/>
        <v>17</v>
      </c>
      <c r="AG59" t="str">
        <f t="shared" si="41"/>
        <v>15</v>
      </c>
      <c r="AH59" t="str">
        <f t="shared" si="90"/>
        <v>e</v>
      </c>
      <c r="AI59" t="str">
        <f t="shared" ref="AI59:AJ74" si="132">IF($J59&lt;&gt;"",$J59,IF($AC59=$AC58,AI58,""))</f>
        <v>n</v>
      </c>
      <c r="AJ59" t="str">
        <f t="shared" si="132"/>
        <v>n</v>
      </c>
      <c r="AK59" t="str">
        <f t="shared" si="92"/>
        <v>n</v>
      </c>
      <c r="AL59" t="str">
        <f t="shared" si="93"/>
        <v>n</v>
      </c>
      <c r="AM59" t="str">
        <f t="shared" si="44"/>
        <v>Home</v>
      </c>
      <c r="AN59" t="str">
        <f t="shared" si="94"/>
        <v>h</v>
      </c>
      <c r="AO59" t="str">
        <f t="shared" si="95"/>
        <v>n</v>
      </c>
      <c r="AP59" t="str">
        <f t="shared" si="96"/>
        <v>n</v>
      </c>
      <c r="AQ59" t="str">
        <f>IF(AM59&lt;&gt;"",AM59,IF($AC59=#REF!,#REF!,""))</f>
        <v>Home</v>
      </c>
      <c r="AR59" t="str">
        <f t="shared" si="97"/>
        <v>h</v>
      </c>
      <c r="AS59" t="str">
        <f t="shared" si="98"/>
        <v>Offensive</v>
      </c>
      <c r="AT59" t="str">
        <f t="shared" si="50"/>
        <v/>
      </c>
      <c r="AU59" t="str">
        <f t="shared" si="51"/>
        <v/>
      </c>
      <c r="AV59" t="str" cm="1">
        <f t="array" ref="AV59">IFERROR(IF(O59&lt;&gt;"",O59,IF(OR($S59="",$T59=""),"",IF(O59&lt;&gt;"",O59,IF($T59&lt;&gt;"",_xlfn._xlws.FILTER(O:O,($BT:$BT=$BT59)*($I:$I=$I59)*($T:$T=$T59)*($S:$S=_xlfn.MINIFS($S:$S,$T:$T,"="&amp;$T59)),"")))))&amp;"",IF(O59="","",""))&amp;""</f>
        <v>PuckRecoveryRetreivalClear</v>
      </c>
      <c r="AW59" t="str" cm="1">
        <f t="array" ref="AW59">IFERROR(IF(P59&lt;&gt;"",P59,IF(OR($S59="",$T59=""),"",IF($T59&lt;&gt;"",_xlfn._xlws.FILTER(P:P,($BT:$BT=$BT59)*($I:$I=$I59)*($T:$T=$T59)*($S:$S=_xlfn.MINIFS($S:$S,$T:$T,"="&amp;$T59)),""))))&amp;"",IF(P59="","",""))&amp;""</f>
        <v/>
      </c>
      <c r="AX59" t="str" cm="1">
        <f t="array" ref="AX59">IFERROR(IF(Q59&lt;&gt;"",Q59,IF(OR($S59="",$T59=""),"",IF($T59&lt;&gt;"",_xlfn._xlws.FILTER(Q:Q,($BT:$BT=$BT59)*($I:$I=$I59)*($T:$T=$T59)*($S:$S=_xlfn.MINIFS($S:$S,$T:$T,"="&amp;$T59)),""))))&amp;"",IF(Q59="","",""))&amp;""</f>
        <v>s</v>
      </c>
      <c r="AY59" t="str" cm="1">
        <f t="array" ref="AY59">IFERROR(IF(R59&lt;&gt;"",R59,IF(OR($S59="",$T59=""),"",IF($T59&lt;&gt;"",_xlfn._xlws.FILTER(R:R,($BT:$BT=$BT59)*($I:$I=$I59)*($T:$T=$T59)*($S:$S=_xlfn.MINIFS($S:$S,$T:$T,"="&amp;$T59)),""))))&amp;"",IF(R59="","",""))&amp;""</f>
        <v/>
      </c>
      <c r="AZ59" s="6">
        <f t="shared" si="52"/>
        <v>7</v>
      </c>
      <c r="BA59">
        <f t="shared" ref="BA59:BC59" si="133">BA58</f>
        <v>18991</v>
      </c>
      <c r="BB59" t="str">
        <f t="shared" si="133"/>
        <v>Triple J</v>
      </c>
      <c r="BC59" t="str">
        <f t="shared" si="133"/>
        <v>Velodrome</v>
      </c>
      <c r="BD59" t="str">
        <f t="shared" si="54"/>
        <v>Possession</v>
      </c>
      <c r="BE59" t="str">
        <f t="shared" si="55"/>
        <v>PuckRecovery</v>
      </c>
      <c r="BF59" t="str">
        <f t="shared" si="56"/>
        <v/>
      </c>
      <c r="BG59" t="str">
        <f t="shared" si="22"/>
        <v>s</v>
      </c>
      <c r="BH59" cm="1">
        <f t="array" ref="BH59">IFERROR(_xlfn._xlws.FILTER(shifts!A:A,(shifts!B:B=events!Z59)*(shifts!AG:AG&gt;=events!BJ59)*(shifts!AH:AH&lt;=events!BK59)),BH58)</f>
        <v>1</v>
      </c>
      <c r="BI59" s="15">
        <f t="shared" si="57"/>
        <v>2</v>
      </c>
      <c r="BJ59">
        <f t="shared" si="58"/>
        <v>1037</v>
      </c>
      <c r="BK59">
        <f t="shared" si="59"/>
        <v>1035</v>
      </c>
      <c r="BL59" s="15">
        <f>SUMIFS(BI$2:BI59,K$2:K59,"=Intermission")+SUMIFS(BI$2:BI59,K$2:K59,"=Timeout")</f>
        <v>0</v>
      </c>
      <c r="BM59">
        <f t="shared" si="60"/>
        <v>0</v>
      </c>
      <c r="BN59" s="19">
        <f t="shared" si="61"/>
        <v>43</v>
      </c>
      <c r="BO59">
        <f t="shared" si="62"/>
        <v>38</v>
      </c>
      <c r="BP59" s="17">
        <f t="shared" si="63"/>
        <v>45</v>
      </c>
      <c r="BQ59" t="str">
        <f t="shared" si="64"/>
        <v>event_team_player_1</v>
      </c>
      <c r="BR59">
        <f>COUNTIFS(S$3:S59,"="&amp;S59,AH$3:AH59,"="&amp;AH59)</f>
        <v>1</v>
      </c>
      <c r="BS59" t="str">
        <f>IFERROR(VLOOKUP(BA59&amp;BT59&amp;X59,game_rosters!U:W,3,FALSE),"")</f>
        <v>P100206</v>
      </c>
      <c r="BT59" t="str">
        <f t="shared" si="65"/>
        <v>Triple J</v>
      </c>
    </row>
    <row r="60" spans="1:72" x14ac:dyDescent="0.2">
      <c r="A60">
        <f t="shared" si="9"/>
        <v>1</v>
      </c>
      <c r="E60" s="4"/>
      <c r="F60" s="45"/>
      <c r="G60" s="4"/>
      <c r="H60" s="47" t="s">
        <v>1064</v>
      </c>
      <c r="I60" s="26">
        <v>41</v>
      </c>
      <c r="J60" s="26" t="str">
        <f t="shared" si="68"/>
        <v>o</v>
      </c>
      <c r="K60" t="s">
        <v>238</v>
      </c>
      <c r="L60" t="s">
        <v>174</v>
      </c>
      <c r="M60" t="s">
        <v>85</v>
      </c>
      <c r="N60" t="str">
        <f t="shared" si="83"/>
        <v>s</v>
      </c>
      <c r="O60" t="s">
        <v>143</v>
      </c>
      <c r="Q60" t="str">
        <f t="shared" si="77"/>
        <v>s</v>
      </c>
      <c r="S60">
        <f>IF(A60=1,MAX($S$2:$S59)+1,IF(OR($I60&lt;&gt;"",A60="x"),$S59,""))</f>
        <v>30</v>
      </c>
      <c r="T60" t="str">
        <f>IF(D60=1,MAX($T$2:$T59)+1,IF(S60=S59,$T59,IF(D60="x",T59,IF(D59="x","",""))))</f>
        <v/>
      </c>
      <c r="U60" t="str">
        <f>IF(B60=1,MAX($U$2:$U59)+1,IF(AND($T60&lt;&gt;"",$T60=$T59),$U59,IF(B60="x",U59,"")))</f>
        <v/>
      </c>
      <c r="V60" t="str">
        <f>IF(C60=1,MAX($V$2:$V59)+1,IF(AND($T60&lt;&gt;"",$T60=$T59),$U59,IF(C60="x",V59,"")))</f>
        <v/>
      </c>
      <c r="W60" t="str" cm="1">
        <f t="array" ref="W60">IFERROR(_xlfn._xlws.FILTER(game_rosters!AC:AC,(game_rosters!J:J=events!X60)*(K60&lt;&gt;"")),"")</f>
        <v>h</v>
      </c>
      <c r="X60" cm="1">
        <f t="array" ref="X60">IF($I60&lt;&gt;"",$I60,INDEX($I$1:$I60,ROW()-COUNTIFS($T$1:$T60,"="&amp;$T60,$S$1:$S60,"&lt;"&amp;$S60)))</f>
        <v>41</v>
      </c>
      <c r="Y60" cm="1">
        <f t="array" ref="Y60">IFERROR(IF(_xlfn._xlws.FILTER(game_rosters!$J:$J,(game_rosters!$G:$G=events!$AM60)*(game_rosters!$J:$J=events!$X60))&gt;0,1,""),"")</f>
        <v>1</v>
      </c>
      <c r="Z60" s="6">
        <f t="shared" si="34"/>
        <v>1</v>
      </c>
      <c r="AA60">
        <f t="shared" si="35"/>
        <v>1030</v>
      </c>
      <c r="AB60" t="str">
        <f t="shared" si="36"/>
        <v/>
      </c>
      <c r="AC60">
        <f t="shared" si="37"/>
        <v>1030</v>
      </c>
      <c r="AD60" t="str">
        <f t="shared" si="38"/>
        <v>17</v>
      </c>
      <c r="AE60" t="str">
        <f t="shared" si="39"/>
        <v>15</v>
      </c>
      <c r="AF60" t="str">
        <f t="shared" si="40"/>
        <v>17</v>
      </c>
      <c r="AG60" t="str">
        <f t="shared" si="41"/>
        <v>13</v>
      </c>
      <c r="AH60" t="str">
        <f t="shared" si="90"/>
        <v>e</v>
      </c>
      <c r="AI60" t="str">
        <f t="shared" si="132"/>
        <v>o</v>
      </c>
      <c r="AJ60" t="str">
        <f t="shared" si="132"/>
        <v>o</v>
      </c>
      <c r="AK60" t="str">
        <f t="shared" si="92"/>
        <v>o</v>
      </c>
      <c r="AL60" t="str">
        <f t="shared" si="93"/>
        <v>d</v>
      </c>
      <c r="AM60" t="str">
        <f t="shared" si="44"/>
        <v>Home</v>
      </c>
      <c r="AN60" t="str">
        <f t="shared" si="94"/>
        <v>h</v>
      </c>
      <c r="AO60" t="str">
        <f t="shared" si="95"/>
        <v>o</v>
      </c>
      <c r="AP60" t="str">
        <f t="shared" si="96"/>
        <v>d</v>
      </c>
      <c r="AQ60" t="str">
        <f>IF(AM60&lt;&gt;"",AM60,IF($AC60=#REF!,#REF!,""))</f>
        <v>Home</v>
      </c>
      <c r="AR60" t="str">
        <f t="shared" si="97"/>
        <v>h</v>
      </c>
      <c r="AS60" t="str">
        <f t="shared" si="98"/>
        <v>Offensive</v>
      </c>
      <c r="AT60" t="str">
        <f t="shared" si="50"/>
        <v/>
      </c>
      <c r="AU60" t="str">
        <f t="shared" si="51"/>
        <v/>
      </c>
      <c r="AV60" t="str" cm="1">
        <f t="array" ref="AV60">IFERROR(IF(O60&lt;&gt;"",O60,IF(OR($S60="",$T60=""),"",IF(O60&lt;&gt;"",O60,IF($T60&lt;&gt;"",_xlfn._xlws.FILTER(O:O,($BT:$BT=$BT60)*($I:$I=$I60)*($T:$T=$T60)*($S:$S=_xlfn.MINIFS($S:$S,$T:$T,"="&amp;$T60)),"")))))&amp;"",IF(O60="","",""))&amp;""</f>
        <v>DriveMiddle</v>
      </c>
      <c r="AW60" t="str" cm="1">
        <f t="array" ref="AW60">IFERROR(IF(P60&lt;&gt;"",P60,IF(OR($S60="",$T60=""),"",IF($T60&lt;&gt;"",_xlfn._xlws.FILTER(P:P,($BT:$BT=$BT60)*($I:$I=$I60)*($T:$T=$T60)*($S:$S=_xlfn.MINIFS($S:$S,$T:$T,"="&amp;$T60)),""))))&amp;"",IF(P60="","",""))&amp;""</f>
        <v/>
      </c>
      <c r="AX60" t="str" cm="1">
        <f t="array" ref="AX60">IFERROR(IF(Q60&lt;&gt;"",Q60,IF(OR($S60="",$T60=""),"",IF($T60&lt;&gt;"",_xlfn._xlws.FILTER(Q:Q,($BT:$BT=$BT60)*($I:$I=$I60)*($T:$T=$T60)*($S:$S=_xlfn.MINIFS($S:$S,$T:$T,"="&amp;$T60)),""))))&amp;"",IF(Q60="","",""))&amp;""</f>
        <v>s</v>
      </c>
      <c r="AY60" t="str" cm="1">
        <f t="array" ref="AY60">IFERROR(IF(R60&lt;&gt;"",R60,IF(OR($S60="",$T60=""),"",IF($T60&lt;&gt;"",_xlfn._xlws.FILTER(R:R,($BT:$BT=$BT60)*($I:$I=$I60)*($T:$T=$T60)*($S:$S=_xlfn.MINIFS($S:$S,$T:$T,"="&amp;$T60)),""))))&amp;"",IF(R60="","",""))&amp;""</f>
        <v/>
      </c>
      <c r="AZ60" s="6">
        <f t="shared" si="52"/>
        <v>8</v>
      </c>
      <c r="BA60">
        <f t="shared" ref="BA60:BC60" si="134">BA59</f>
        <v>18991</v>
      </c>
      <c r="BB60" t="str">
        <f t="shared" si="134"/>
        <v>Triple J</v>
      </c>
      <c r="BC60" t="str">
        <f t="shared" si="134"/>
        <v>Velodrome</v>
      </c>
      <c r="BD60" t="str">
        <f t="shared" si="54"/>
        <v>Zone_Entry_Exit</v>
      </c>
      <c r="BE60" t="str">
        <f t="shared" si="55"/>
        <v>Zone_Entry</v>
      </c>
      <c r="BF60" t="str">
        <f t="shared" si="56"/>
        <v>ZoneEntry-Rush</v>
      </c>
      <c r="BG60" t="str">
        <f t="shared" si="22"/>
        <v>s</v>
      </c>
      <c r="BH60" cm="1">
        <f t="array" ref="BH60">IFERROR(_xlfn._xlws.FILTER(shifts!A:A,(shifts!B:B=events!Z60)*(shifts!AG:AG&gt;=events!BJ60)*(shifts!AH:AH&lt;=events!BK60)),BH59)</f>
        <v>1</v>
      </c>
      <c r="BI60" s="15">
        <f t="shared" si="57"/>
        <v>2</v>
      </c>
      <c r="BJ60">
        <f t="shared" si="58"/>
        <v>1035</v>
      </c>
      <c r="BK60">
        <f t="shared" si="59"/>
        <v>1033</v>
      </c>
      <c r="BL60" s="15">
        <f>SUMIFS(BI$2:BI60,K$2:K60,"=Intermission")+SUMIFS(BI$2:BI60,K$2:K60,"=Timeout")</f>
        <v>0</v>
      </c>
      <c r="BM60">
        <f t="shared" si="60"/>
        <v>0</v>
      </c>
      <c r="BN60" s="19">
        <f t="shared" si="61"/>
        <v>45</v>
      </c>
      <c r="BO60">
        <f t="shared" si="62"/>
        <v>40</v>
      </c>
      <c r="BP60" s="17">
        <f t="shared" si="63"/>
        <v>47</v>
      </c>
      <c r="BQ60" t="str">
        <f t="shared" si="64"/>
        <v>event_team_player_1</v>
      </c>
      <c r="BR60">
        <f>COUNTIFS(S$3:S60,"="&amp;S60,AH$3:AH60,"="&amp;AH60)</f>
        <v>1</v>
      </c>
      <c r="BS60" t="str">
        <f>IFERROR(VLOOKUP(BA60&amp;BT60&amp;X60,game_rosters!U:W,3,FALSE),"")</f>
        <v>P100206</v>
      </c>
      <c r="BT60" t="str">
        <f t="shared" si="65"/>
        <v>Triple J</v>
      </c>
    </row>
    <row r="61" spans="1:72" x14ac:dyDescent="0.2">
      <c r="A61" t="str">
        <f t="shared" si="9"/>
        <v/>
      </c>
      <c r="E61" s="4"/>
      <c r="F61" s="45"/>
      <c r="G61" s="4"/>
      <c r="H61" s="47"/>
      <c r="I61" s="26">
        <v>84</v>
      </c>
      <c r="J61" s="26" t="str">
        <f t="shared" si="68"/>
        <v/>
      </c>
      <c r="N61" t="str">
        <f t="shared" si="83"/>
        <v/>
      </c>
      <c r="Q61" t="str">
        <f t="shared" si="77"/>
        <v/>
      </c>
      <c r="S61">
        <f>IF(A61=1,MAX($S$2:$S60)+1,IF(OR($I61&lt;&gt;"",A61="x"),$S60,""))</f>
        <v>30</v>
      </c>
      <c r="T61" t="str">
        <f>IF(D61=1,MAX($T$2:$T60)+1,IF(S61=S60,$T60,IF(D61="x",T60,IF(D60="x","",""))))</f>
        <v/>
      </c>
      <c r="U61" t="str">
        <f>IF(B61=1,MAX($U$2:$U60)+1,IF(AND($T61&lt;&gt;"",$T61=$T60),$U60,IF(B61="x",U60,"")))</f>
        <v/>
      </c>
      <c r="V61" t="str">
        <f>IF(C61=1,MAX($V$2:$V60)+1,IF(AND($T61&lt;&gt;"",$T61=$T60),$U60,IF(C61="x",V60,"")))</f>
        <v/>
      </c>
      <c r="W61" t="str" cm="1">
        <f t="array" ref="W61">IFERROR(_xlfn._xlws.FILTER(game_rosters!AC:AC,(game_rosters!J:J=events!X61)*(K61&lt;&gt;"")),"")</f>
        <v/>
      </c>
      <c r="X61" cm="1">
        <f t="array" ref="X61">IF($I61&lt;&gt;"",$I61,INDEX($I$1:$I61,ROW()-COUNTIFS($T$1:$T61,"="&amp;$T61,$S$1:$S61,"&lt;"&amp;$S61)))</f>
        <v>84</v>
      </c>
      <c r="Y61" t="str" cm="1">
        <f t="array" ref="Y61">IFERROR(IF(_xlfn._xlws.FILTER(game_rosters!$J:$J,(game_rosters!$G:$G=events!$AM61)*(game_rosters!$J:$J=events!$X61))&gt;0,1,""),"")</f>
        <v/>
      </c>
      <c r="Z61" s="6">
        <f t="shared" si="34"/>
        <v>1</v>
      </c>
      <c r="AA61">
        <f t="shared" si="35"/>
        <v>1030</v>
      </c>
      <c r="AB61" t="str">
        <f t="shared" si="36"/>
        <v/>
      </c>
      <c r="AC61">
        <f t="shared" si="37"/>
        <v>1030</v>
      </c>
      <c r="AD61" t="str">
        <f t="shared" si="38"/>
        <v>17</v>
      </c>
      <c r="AE61" t="str">
        <f t="shared" si="39"/>
        <v>15</v>
      </c>
      <c r="AF61" t="str">
        <f t="shared" si="40"/>
        <v>17</v>
      </c>
      <c r="AG61" t="str">
        <f t="shared" si="41"/>
        <v>13</v>
      </c>
      <c r="AH61" t="str">
        <f t="shared" si="90"/>
        <v>o</v>
      </c>
      <c r="AI61" t="str">
        <f t="shared" si="132"/>
        <v>o</v>
      </c>
      <c r="AJ61" t="str">
        <f t="shared" si="132"/>
        <v>o</v>
      </c>
      <c r="AK61" t="str">
        <f t="shared" si="92"/>
        <v/>
      </c>
      <c r="AL61" t="str">
        <f t="shared" si="93"/>
        <v/>
      </c>
      <c r="AM61" t="str">
        <f t="shared" si="44"/>
        <v>Home</v>
      </c>
      <c r="AN61" t="str">
        <f t="shared" si="94"/>
        <v>h</v>
      </c>
      <c r="AO61" t="str">
        <f t="shared" si="95"/>
        <v>o</v>
      </c>
      <c r="AP61" t="str">
        <f t="shared" si="96"/>
        <v>d</v>
      </c>
      <c r="AQ61" t="str">
        <f>IF(AM61&lt;&gt;"",AM61,IF($AC61=#REF!,#REF!,""))</f>
        <v>Home</v>
      </c>
      <c r="AR61" t="str">
        <f t="shared" si="97"/>
        <v>h</v>
      </c>
      <c r="AS61" t="str">
        <f t="shared" si="98"/>
        <v>Defensive</v>
      </c>
      <c r="AT61" t="str">
        <f t="shared" si="50"/>
        <v/>
      </c>
      <c r="AU61" t="str">
        <f t="shared" si="51"/>
        <v/>
      </c>
      <c r="AV61" t="str" cm="1">
        <f t="array" ref="AV61">IFERROR(IF(O61&lt;&gt;"",O61,IF(OR($S61="",$T61=""),"",IF(O61&lt;&gt;"",O61,IF($T61&lt;&gt;"",_xlfn._xlws.FILTER(O:O,($BT:$BT=$BT61)*($I:$I=$I61)*($T:$T=$T61)*($S:$S=_xlfn.MINIFS($S:$S,$T:$T,"="&amp;$T61)),"")))))&amp;"",IF(O61="","",""))&amp;""</f>
        <v/>
      </c>
      <c r="AW61" t="str" cm="1">
        <f t="array" ref="AW61">IFERROR(IF(P61&lt;&gt;"",P61,IF(OR($S61="",$T61=""),"",IF($T61&lt;&gt;"",_xlfn._xlws.FILTER(P:P,($BT:$BT=$BT61)*($I:$I=$I61)*($T:$T=$T61)*($S:$S=_xlfn.MINIFS($S:$S,$T:$T,"="&amp;$T61)),""))))&amp;"",IF(P61="","",""))&amp;""</f>
        <v/>
      </c>
      <c r="AX61" t="str" cm="1">
        <f t="array" ref="AX61">IFERROR(IF(Q61&lt;&gt;"",Q61,IF(OR($S61="",$T61=""),"",IF($T61&lt;&gt;"",_xlfn._xlws.FILTER(Q:Q,($BT:$BT=$BT61)*($I:$I=$I61)*($T:$T=$T61)*($S:$S=_xlfn.MINIFS($S:$S,$T:$T,"="&amp;$T61)),""))))&amp;"",IF(Q61="","",""))&amp;""</f>
        <v/>
      </c>
      <c r="AY61" t="str" cm="1">
        <f t="array" ref="AY61">IFERROR(IF(R61&lt;&gt;"",R61,IF(OR($S61="",$T61=""),"",IF($T61&lt;&gt;"",_xlfn._xlws.FILTER(R:R,($BT:$BT=$BT61)*($I:$I=$I61)*($T:$T=$T61)*($S:$S=_xlfn.MINIFS($S:$S,$T:$T,"="&amp;$T61)),""))))&amp;"",IF(R61="","",""))&amp;""</f>
        <v/>
      </c>
      <c r="AZ61" s="6">
        <f t="shared" si="52"/>
        <v>8</v>
      </c>
      <c r="BA61">
        <f t="shared" ref="BA61:BC61" si="135">BA60</f>
        <v>18991</v>
      </c>
      <c r="BB61" t="str">
        <f t="shared" si="135"/>
        <v>Triple J</v>
      </c>
      <c r="BC61" t="str">
        <f t="shared" si="135"/>
        <v>Velodrome</v>
      </c>
      <c r="BD61" t="str">
        <f t="shared" si="54"/>
        <v>Zone_Entry_Exit</v>
      </c>
      <c r="BE61" t="str">
        <f t="shared" si="55"/>
        <v>Zone_Entry</v>
      </c>
      <c r="BF61" t="str">
        <f t="shared" si="56"/>
        <v>ZoneEntry-Rush</v>
      </c>
      <c r="BG61" t="str">
        <f t="shared" si="22"/>
        <v>s</v>
      </c>
      <c r="BH61" cm="1">
        <f t="array" ref="BH61">IFERROR(_xlfn._xlws.FILTER(shifts!A:A,(shifts!B:B=events!Z61)*(shifts!AG:AG&gt;=events!BJ61)*(shifts!AH:AH&lt;=events!BK61)),BH60)</f>
        <v>1</v>
      </c>
      <c r="BI61" s="15">
        <f t="shared" si="57"/>
        <v>2</v>
      </c>
      <c r="BJ61">
        <f t="shared" si="58"/>
        <v>1035</v>
      </c>
      <c r="BK61">
        <f t="shared" si="59"/>
        <v>1033</v>
      </c>
      <c r="BL61" s="15">
        <f>SUMIFS(BI$2:BI61,K$2:K61,"=Intermission")+SUMIFS(BI$2:BI61,K$2:K61,"=Timeout")</f>
        <v>0</v>
      </c>
      <c r="BM61">
        <f t="shared" si="60"/>
        <v>0</v>
      </c>
      <c r="BN61" s="19">
        <f t="shared" si="61"/>
        <v>45</v>
      </c>
      <c r="BO61">
        <f t="shared" si="62"/>
        <v>40</v>
      </c>
      <c r="BP61" s="17">
        <f t="shared" si="63"/>
        <v>47</v>
      </c>
      <c r="BQ61" t="str">
        <f t="shared" si="64"/>
        <v>opp_team_player_1</v>
      </c>
      <c r="BR61">
        <f>COUNTIFS(S$3:S61,"="&amp;S61,AH$3:AH61,"="&amp;AH61)</f>
        <v>1</v>
      </c>
      <c r="BS61" t="str">
        <f>IFERROR(VLOOKUP(BA61&amp;BT61&amp;X61,game_rosters!U:W,3,FALSE),"")</f>
        <v>P100198</v>
      </c>
      <c r="BT61" t="str">
        <f t="shared" si="65"/>
        <v>Velodrome</v>
      </c>
    </row>
    <row r="62" spans="1:72" x14ac:dyDescent="0.2">
      <c r="A62">
        <f t="shared" si="9"/>
        <v>1</v>
      </c>
      <c r="E62" s="4"/>
      <c r="F62" s="45"/>
      <c r="G62" s="4"/>
      <c r="H62" s="47"/>
      <c r="I62" s="26">
        <v>41</v>
      </c>
      <c r="J62" s="26" t="str">
        <f t="shared" si="68"/>
        <v>o</v>
      </c>
      <c r="K62" t="s">
        <v>6</v>
      </c>
      <c r="L62" t="s">
        <v>191</v>
      </c>
      <c r="M62" t="s">
        <v>51</v>
      </c>
      <c r="N62" t="str">
        <f t="shared" si="83"/>
        <v>u</v>
      </c>
      <c r="Q62" t="str">
        <f t="shared" si="77"/>
        <v/>
      </c>
      <c r="S62">
        <f>IF(A62=1,MAX($S$2:$S61)+1,IF(OR($I62&lt;&gt;"",A62="x"),$S61,""))</f>
        <v>31</v>
      </c>
      <c r="T62" t="str">
        <f>IF(D62=1,MAX($T$2:$T61)+1,IF(S62=S61,$T61,IF(D62="x",T61,IF(D61="x","",""))))</f>
        <v/>
      </c>
      <c r="U62" t="str">
        <f>IF(B62=1,MAX($U$2:$U61)+1,IF(AND($T62&lt;&gt;"",$T62=$T61),$U61,IF(B62="x",U61,"")))</f>
        <v/>
      </c>
      <c r="V62" t="str">
        <f>IF(C62=1,MAX($V$2:$V61)+1,IF(AND($T62&lt;&gt;"",$T62=$T61),$U61,IF(C62="x",V61,"")))</f>
        <v/>
      </c>
      <c r="W62" t="str" cm="1">
        <f t="array" ref="W62">IFERROR(_xlfn._xlws.FILTER(game_rosters!AC:AC,(game_rosters!J:J=events!X62)*(K62&lt;&gt;"")),"")</f>
        <v>h</v>
      </c>
      <c r="X62" cm="1">
        <f t="array" ref="X62">IF($I62&lt;&gt;"",$I62,INDEX($I$1:$I62,ROW()-COUNTIFS($T$1:$T62,"="&amp;$T62,$S$1:$S62,"&lt;"&amp;$S62)))</f>
        <v>41</v>
      </c>
      <c r="Y62" cm="1">
        <f t="array" ref="Y62">IFERROR(IF(_xlfn._xlws.FILTER(game_rosters!$J:$J,(game_rosters!$G:$G=events!$AM62)*(game_rosters!$J:$J=events!$X62))&gt;0,1,""),"")</f>
        <v>1</v>
      </c>
      <c r="Z62" s="6">
        <f t="shared" si="34"/>
        <v>1</v>
      </c>
      <c r="AA62">
        <f t="shared" si="35"/>
        <v>1031</v>
      </c>
      <c r="AB62" t="str">
        <f t="shared" si="36"/>
        <v/>
      </c>
      <c r="AC62">
        <f t="shared" si="37"/>
        <v>1031</v>
      </c>
      <c r="AD62" t="str">
        <f t="shared" si="38"/>
        <v>17</v>
      </c>
      <c r="AE62" t="str">
        <f t="shared" si="39"/>
        <v>13</v>
      </c>
      <c r="AF62" t="str">
        <f t="shared" si="40"/>
        <v/>
      </c>
      <c r="AG62" t="str">
        <f t="shared" si="41"/>
        <v/>
      </c>
      <c r="AH62" t="str">
        <f t="shared" si="90"/>
        <v>e</v>
      </c>
      <c r="AI62" t="str">
        <f t="shared" si="132"/>
        <v>o</v>
      </c>
      <c r="AJ62" t="str">
        <f t="shared" si="132"/>
        <v>o</v>
      </c>
      <c r="AK62" t="str">
        <f t="shared" si="92"/>
        <v>o</v>
      </c>
      <c r="AL62" t="str">
        <f t="shared" si="93"/>
        <v>d</v>
      </c>
      <c r="AM62" t="str">
        <f t="shared" si="44"/>
        <v>Home</v>
      </c>
      <c r="AN62" t="str">
        <f t="shared" si="94"/>
        <v>h</v>
      </c>
      <c r="AO62" t="str">
        <f t="shared" si="95"/>
        <v>o</v>
      </c>
      <c r="AP62" t="str">
        <f t="shared" si="96"/>
        <v>d</v>
      </c>
      <c r="AQ62" t="str">
        <f>IF(AM62&lt;&gt;"",AM62,IF($AC62=#REF!,#REF!,""))</f>
        <v>Home</v>
      </c>
      <c r="AR62" t="str">
        <f t="shared" si="97"/>
        <v>h</v>
      </c>
      <c r="AS62" t="str">
        <f t="shared" si="98"/>
        <v>Offensive</v>
      </c>
      <c r="AT62" t="str">
        <f t="shared" si="50"/>
        <v/>
      </c>
      <c r="AU62" t="str">
        <f t="shared" si="51"/>
        <v/>
      </c>
      <c r="AV62" t="str" cm="1">
        <f t="array" ref="AV62">IFERROR(IF(O62&lt;&gt;"",O62,IF(OR($S62="",$T62=""),"",IF(O62&lt;&gt;"",O62,IF($T62&lt;&gt;"",_xlfn._xlws.FILTER(O:O,($BT:$BT=$BT62)*($I:$I=$I62)*($T:$T=$T62)*($S:$S=_xlfn.MINIFS($S:$S,$T:$T,"="&amp;$T62)),"")))))&amp;"",IF(O62="","",""))&amp;""</f>
        <v/>
      </c>
      <c r="AW62" t="str" cm="1">
        <f t="array" ref="AW62">IFERROR(IF(P62&lt;&gt;"",P62,IF(OR($S62="",$T62=""),"",IF($T62&lt;&gt;"",_xlfn._xlws.FILTER(P:P,($BT:$BT=$BT62)*($I:$I=$I62)*($T:$T=$T62)*($S:$S=_xlfn.MINIFS($S:$S,$T:$T,"="&amp;$T62)),""))))&amp;"",IF(P62="","",""))&amp;""</f>
        <v/>
      </c>
      <c r="AX62" t="str" cm="1">
        <f t="array" ref="AX62">IFERROR(IF(Q62&lt;&gt;"",Q62,IF(OR($S62="",$T62=""),"",IF($T62&lt;&gt;"",_xlfn._xlws.FILTER(Q:Q,($BT:$BT=$BT62)*($I:$I=$I62)*($T:$T=$T62)*($S:$S=_xlfn.MINIFS($S:$S,$T:$T,"="&amp;$T62)),""))))&amp;"",IF(Q62="","",""))&amp;""</f>
        <v/>
      </c>
      <c r="AY62" t="str" cm="1">
        <f t="array" ref="AY62">IFERROR(IF(R62&lt;&gt;"",R62,IF(OR($S62="",$T62=""),"",IF($T62&lt;&gt;"",_xlfn._xlws.FILTER(R:R,($BT:$BT=$BT62)*($I:$I=$I62)*($T:$T=$T62)*($S:$S=_xlfn.MINIFS($S:$S,$T:$T,"="&amp;$T62)),""))))&amp;"",IF(R62="","",""))&amp;""</f>
        <v/>
      </c>
      <c r="AZ62" s="6">
        <f t="shared" si="52"/>
        <v>8</v>
      </c>
      <c r="BA62">
        <f t="shared" ref="BA62:BC62" si="136">BA61</f>
        <v>18991</v>
      </c>
      <c r="BB62" t="str">
        <f t="shared" si="136"/>
        <v>Triple J</v>
      </c>
      <c r="BC62" t="str">
        <f t="shared" si="136"/>
        <v>Velodrome</v>
      </c>
      <c r="BD62" t="str">
        <f t="shared" si="54"/>
        <v>Shot</v>
      </c>
      <c r="BE62" t="str">
        <f t="shared" si="55"/>
        <v>Shot_Blocked</v>
      </c>
      <c r="BF62" t="str">
        <f t="shared" si="56"/>
        <v>Shot-Wrist</v>
      </c>
      <c r="BG62" t="str">
        <f t="shared" si="22"/>
        <v>u</v>
      </c>
      <c r="BH62" cm="1">
        <f t="array" ref="BH62">IFERROR(_xlfn._xlws.FILTER(shifts!A:A,(shifts!B:B=events!Z62)*(shifts!AG:AG&gt;=events!BJ62)*(shifts!AH:AH&lt;=events!BK62)),BH61)</f>
        <v>1</v>
      </c>
      <c r="BI62" s="15">
        <f t="shared" si="57"/>
        <v>0</v>
      </c>
      <c r="BJ62">
        <f t="shared" si="58"/>
        <v>1033</v>
      </c>
      <c r="BK62">
        <f t="shared" si="59"/>
        <v>1033</v>
      </c>
      <c r="BL62" s="15">
        <f>SUMIFS(BI$2:BI62,K$2:K62,"=Intermission")+SUMIFS(BI$2:BI62,K$2:K62,"=Timeout")</f>
        <v>0</v>
      </c>
      <c r="BM62">
        <f t="shared" si="60"/>
        <v>0</v>
      </c>
      <c r="BN62" s="19">
        <f t="shared" si="61"/>
        <v>47</v>
      </c>
      <c r="BO62">
        <f t="shared" si="62"/>
        <v>42</v>
      </c>
      <c r="BP62" s="17">
        <f t="shared" si="63"/>
        <v>47</v>
      </c>
      <c r="BQ62" t="str">
        <f t="shared" si="64"/>
        <v>event_team_player_1</v>
      </c>
      <c r="BR62">
        <f>COUNTIFS(S$3:S62,"="&amp;S62,AH$3:AH62,"="&amp;AH62)</f>
        <v>1</v>
      </c>
      <c r="BS62" t="str">
        <f>IFERROR(VLOOKUP(BA62&amp;BT62&amp;X62,game_rosters!U:W,3,FALSE),"")</f>
        <v>P100206</v>
      </c>
      <c r="BT62" t="str">
        <f t="shared" si="65"/>
        <v>Triple J</v>
      </c>
    </row>
    <row r="63" spans="1:72" x14ac:dyDescent="0.2">
      <c r="A63" t="str">
        <f t="shared" si="9"/>
        <v/>
      </c>
      <c r="E63" s="4"/>
      <c r="F63" s="45"/>
      <c r="G63" s="4"/>
      <c r="H63" s="47"/>
      <c r="I63" s="26">
        <v>84</v>
      </c>
      <c r="J63" s="26" t="str">
        <f t="shared" si="68"/>
        <v/>
      </c>
      <c r="N63" t="str">
        <f t="shared" si="83"/>
        <v/>
      </c>
      <c r="O63" t="s">
        <v>556</v>
      </c>
      <c r="Q63" t="str">
        <f t="shared" si="77"/>
        <v/>
      </c>
      <c r="S63">
        <f>IF(A63=1,MAX($S$2:$S62)+1,IF(OR($I63&lt;&gt;"",A63="x"),$S62,""))</f>
        <v>31</v>
      </c>
      <c r="T63" t="str">
        <f>IF(D63=1,MAX($T$2:$T62)+1,IF(S63=S62,$T62,IF(D63="x",T62,IF(D62="x","",""))))</f>
        <v/>
      </c>
      <c r="U63" t="str">
        <f>IF(B63=1,MAX($U$2:$U62)+1,IF(AND($T63&lt;&gt;"",$T63=$T62),$U62,IF(B63="x",U62,"")))</f>
        <v/>
      </c>
      <c r="V63" t="str">
        <f>IF(C63=1,MAX($V$2:$V62)+1,IF(AND($T63&lt;&gt;"",$T63=$T62),$U62,IF(C63="x",V62,"")))</f>
        <v/>
      </c>
      <c r="W63" t="str" cm="1">
        <f t="array" ref="W63">IFERROR(_xlfn._xlws.FILTER(game_rosters!AC:AC,(game_rosters!J:J=events!X63)*(K63&lt;&gt;"")),"")</f>
        <v/>
      </c>
      <c r="X63" cm="1">
        <f t="array" ref="X63">IF($I63&lt;&gt;"",$I63,INDEX($I$1:$I63,ROW()-COUNTIFS($T$1:$T63,"="&amp;$T63,$S$1:$S63,"&lt;"&amp;$S63)))</f>
        <v>84</v>
      </c>
      <c r="Y63" t="str" cm="1">
        <f t="array" ref="Y63">IFERROR(IF(_xlfn._xlws.FILTER(game_rosters!$J:$J,(game_rosters!$G:$G=events!$AM63)*(game_rosters!$J:$J=events!$X63))&gt;0,1,""),"")</f>
        <v/>
      </c>
      <c r="Z63" s="6">
        <f t="shared" si="34"/>
        <v>1</v>
      </c>
      <c r="AA63">
        <f t="shared" si="35"/>
        <v>1031</v>
      </c>
      <c r="AB63" t="str">
        <f t="shared" si="36"/>
        <v/>
      </c>
      <c r="AC63">
        <f t="shared" si="37"/>
        <v>1031</v>
      </c>
      <c r="AD63" t="str">
        <f t="shared" si="38"/>
        <v>17</v>
      </c>
      <c r="AE63" t="str">
        <f t="shared" si="39"/>
        <v>13</v>
      </c>
      <c r="AF63" t="str">
        <f t="shared" si="40"/>
        <v/>
      </c>
      <c r="AG63" t="str">
        <f t="shared" si="41"/>
        <v/>
      </c>
      <c r="AH63" t="str">
        <f t="shared" si="90"/>
        <v>o</v>
      </c>
      <c r="AI63" t="str">
        <f t="shared" si="132"/>
        <v>o</v>
      </c>
      <c r="AJ63" t="str">
        <f t="shared" si="132"/>
        <v>o</v>
      </c>
      <c r="AK63" t="str">
        <f t="shared" si="92"/>
        <v/>
      </c>
      <c r="AL63" t="str">
        <f t="shared" si="93"/>
        <v/>
      </c>
      <c r="AM63" t="str">
        <f t="shared" si="44"/>
        <v>Home</v>
      </c>
      <c r="AN63" t="str">
        <f t="shared" si="94"/>
        <v>h</v>
      </c>
      <c r="AO63" t="str">
        <f t="shared" si="95"/>
        <v>o</v>
      </c>
      <c r="AP63" t="str">
        <f t="shared" si="96"/>
        <v>d</v>
      </c>
      <c r="AQ63" t="str">
        <f>IF(AM63&lt;&gt;"",AM63,IF($AC63=#REF!,#REF!,""))</f>
        <v>Home</v>
      </c>
      <c r="AR63" t="str">
        <f t="shared" si="97"/>
        <v>h</v>
      </c>
      <c r="AS63" t="str">
        <f t="shared" si="98"/>
        <v>Defensive</v>
      </c>
      <c r="AT63" t="str">
        <f t="shared" si="50"/>
        <v/>
      </c>
      <c r="AU63" t="str">
        <f t="shared" si="51"/>
        <v/>
      </c>
      <c r="AV63" t="str" cm="1">
        <f t="array" ref="AV63">IFERROR(IF(O63&lt;&gt;"",O63,IF(OR($S63="",$T63=""),"",IF(O63&lt;&gt;"",O63,IF($T63&lt;&gt;"",_xlfn._xlws.FILTER(O:O,($BT:$BT=$BT63)*($I:$I=$I63)*($T:$T=$T63)*($S:$S=_xlfn.MINIFS($S:$S,$T:$T,"="&amp;$T63)),"")))))&amp;"",IF(O63="","",""))&amp;""</f>
        <v>BlockedShot</v>
      </c>
      <c r="AW63" t="str" cm="1">
        <f t="array" ref="AW63">IFERROR(IF(P63&lt;&gt;"",P63,IF(OR($S63="",$T63=""),"",IF($T63&lt;&gt;"",_xlfn._xlws.FILTER(P:P,($BT:$BT=$BT63)*($I:$I=$I63)*($T:$T=$T63)*($S:$S=_xlfn.MINIFS($S:$S,$T:$T,"="&amp;$T63)),""))))&amp;"",IF(P63="","",""))&amp;""</f>
        <v/>
      </c>
      <c r="AX63" t="str" cm="1">
        <f t="array" ref="AX63">IFERROR(IF(Q63&lt;&gt;"",Q63,IF(OR($S63="",$T63=""),"",IF($T63&lt;&gt;"",_xlfn._xlws.FILTER(Q:Q,($BT:$BT=$BT63)*($I:$I=$I63)*($T:$T=$T63)*($S:$S=_xlfn.MINIFS($S:$S,$T:$T,"="&amp;$T63)),""))))&amp;"",IF(Q63="","",""))&amp;""</f>
        <v/>
      </c>
      <c r="AY63" t="str" cm="1">
        <f t="array" ref="AY63">IFERROR(IF(R63&lt;&gt;"",R63,IF(OR($S63="",$T63=""),"",IF($T63&lt;&gt;"",_xlfn._xlws.FILTER(R:R,($BT:$BT=$BT63)*($I:$I=$I63)*($T:$T=$T63)*($S:$S=_xlfn.MINIFS($S:$S,$T:$T,"="&amp;$T63)),""))))&amp;"",IF(R63="","",""))&amp;""</f>
        <v/>
      </c>
      <c r="AZ63" s="6">
        <f t="shared" si="52"/>
        <v>8</v>
      </c>
      <c r="BA63">
        <f t="shared" ref="BA63:BC63" si="137">BA62</f>
        <v>18991</v>
      </c>
      <c r="BB63" t="str">
        <f t="shared" si="137"/>
        <v>Triple J</v>
      </c>
      <c r="BC63" t="str">
        <f t="shared" si="137"/>
        <v>Velodrome</v>
      </c>
      <c r="BD63" t="str">
        <f t="shared" si="54"/>
        <v>Shot</v>
      </c>
      <c r="BE63" t="str">
        <f t="shared" si="55"/>
        <v>Shot_Blocked</v>
      </c>
      <c r="BF63" t="str">
        <f t="shared" si="56"/>
        <v>Shot-Wrist</v>
      </c>
      <c r="BG63" t="str">
        <f t="shared" si="22"/>
        <v>u</v>
      </c>
      <c r="BH63" cm="1">
        <f t="array" ref="BH63">IFERROR(_xlfn._xlws.FILTER(shifts!A:A,(shifts!B:B=events!Z63)*(shifts!AG:AG&gt;=events!BJ63)*(shifts!AH:AH&lt;=events!BK63)),BH62)</f>
        <v>1</v>
      </c>
      <c r="BI63" s="15">
        <f t="shared" si="57"/>
        <v>0</v>
      </c>
      <c r="BJ63">
        <f t="shared" si="58"/>
        <v>1033</v>
      </c>
      <c r="BK63">
        <f t="shared" si="59"/>
        <v>1033</v>
      </c>
      <c r="BL63" s="15">
        <f>SUMIFS(BI$2:BI63,K$2:K63,"=Intermission")+SUMIFS(BI$2:BI63,K$2:K63,"=Timeout")</f>
        <v>0</v>
      </c>
      <c r="BM63">
        <f t="shared" si="60"/>
        <v>0</v>
      </c>
      <c r="BN63" s="19">
        <f t="shared" si="61"/>
        <v>47</v>
      </c>
      <c r="BO63">
        <f t="shared" si="62"/>
        <v>42</v>
      </c>
      <c r="BP63" s="17">
        <f t="shared" si="63"/>
        <v>47</v>
      </c>
      <c r="BQ63" t="str">
        <f t="shared" si="64"/>
        <v>opp_team_player_1</v>
      </c>
      <c r="BR63">
        <f>COUNTIFS(S$3:S63,"="&amp;S63,AH$3:AH63,"="&amp;AH63)</f>
        <v>1</v>
      </c>
      <c r="BS63" t="str">
        <f>IFERROR(VLOOKUP(BA63&amp;BT63&amp;X63,game_rosters!U:W,3,FALSE),"")</f>
        <v>P100198</v>
      </c>
      <c r="BT63" t="str">
        <f t="shared" si="65"/>
        <v>Velodrome</v>
      </c>
    </row>
    <row r="64" spans="1:72" x14ac:dyDescent="0.2">
      <c r="A64">
        <f t="shared" si="9"/>
        <v>1</v>
      </c>
      <c r="E64" s="4"/>
      <c r="F64" s="45" t="s">
        <v>1047</v>
      </c>
      <c r="G64" s="4"/>
      <c r="H64" s="47" t="s">
        <v>1065</v>
      </c>
      <c r="I64" s="26">
        <v>16</v>
      </c>
      <c r="J64" s="26" t="s">
        <v>368</v>
      </c>
      <c r="K64" t="s">
        <v>13</v>
      </c>
      <c r="L64" t="s">
        <v>587</v>
      </c>
      <c r="N64" t="s">
        <v>594</v>
      </c>
      <c r="O64" t="s">
        <v>909</v>
      </c>
      <c r="Q64" t="str">
        <f t="shared" si="77"/>
        <v>u</v>
      </c>
      <c r="S64">
        <f>IF(A64=1,MAX($S$2:$S63)+1,IF(OR($I64&lt;&gt;"",A64="x"),$S63,""))</f>
        <v>32</v>
      </c>
      <c r="T64" t="str">
        <f>IF(D64=1,MAX($T$2:$T63)+1,IF(S64=S63,$T63,IF(D64="x",T63,IF(D63="x","",""))))</f>
        <v/>
      </c>
      <c r="U64" t="str">
        <f>IF(B64=1,MAX($U$2:$U63)+1,IF(AND($T64&lt;&gt;"",$T64=$T63),$U63,IF(B64="x",U63,"")))</f>
        <v/>
      </c>
      <c r="V64" t="str">
        <f>IF(C64=1,MAX($V$2:$V63)+1,IF(AND($T64&lt;&gt;"",$T64=$T63),$U63,IF(C64="x",V63,"")))</f>
        <v/>
      </c>
      <c r="W64" t="str" cm="1">
        <f t="array" ref="W64">IFERROR(_xlfn._xlws.FILTER(game_rosters!AC:AC,(game_rosters!J:J=events!X64)*(K64&lt;&gt;"")),"")</f>
        <v>h</v>
      </c>
      <c r="X64" cm="1">
        <f t="array" ref="X64">IF($I64&lt;&gt;"",$I64,INDEX($I$1:$I64,ROW()-COUNTIFS($T$1:$T64,"="&amp;$T64,$S$1:$S64,"&lt;"&amp;$S64)))</f>
        <v>16</v>
      </c>
      <c r="Y64" cm="1">
        <f t="array" ref="Y64">IFERROR(IF(_xlfn._xlws.FILTER(game_rosters!$J:$J,(game_rosters!$G:$G=events!$AM64)*(game_rosters!$J:$J=events!$X64))&gt;0,1,""),"")</f>
        <v>1</v>
      </c>
      <c r="Z64" s="6">
        <f t="shared" si="34"/>
        <v>1</v>
      </c>
      <c r="AA64">
        <f t="shared" si="35"/>
        <v>1032</v>
      </c>
      <c r="AB64" t="str">
        <f t="shared" si="36"/>
        <v/>
      </c>
      <c r="AC64">
        <f t="shared" si="37"/>
        <v>1032</v>
      </c>
      <c r="AD64" t="str">
        <f t="shared" si="38"/>
        <v>17</v>
      </c>
      <c r="AE64" t="str">
        <f t="shared" si="39"/>
        <v>09</v>
      </c>
      <c r="AF64" t="str">
        <f t="shared" si="40"/>
        <v>17</v>
      </c>
      <c r="AG64" t="str">
        <f t="shared" si="41"/>
        <v>08</v>
      </c>
      <c r="AH64" t="str">
        <f t="shared" si="90"/>
        <v>e</v>
      </c>
      <c r="AI64" t="str">
        <f t="shared" si="132"/>
        <v>o</v>
      </c>
      <c r="AJ64" t="str">
        <f t="shared" si="132"/>
        <v>o</v>
      </c>
      <c r="AK64" t="str">
        <f t="shared" si="92"/>
        <v>o</v>
      </c>
      <c r="AL64" t="str">
        <f t="shared" si="93"/>
        <v>d</v>
      </c>
      <c r="AM64" t="str">
        <f t="shared" si="44"/>
        <v>Home</v>
      </c>
      <c r="AN64" t="str">
        <f t="shared" si="94"/>
        <v>h</v>
      </c>
      <c r="AO64" t="str">
        <f t="shared" si="95"/>
        <v>o</v>
      </c>
      <c r="AP64" t="str">
        <f t="shared" si="96"/>
        <v>d</v>
      </c>
      <c r="AQ64" t="str">
        <f>IF(AM64&lt;&gt;"",AM64,IF($AC64=#REF!,#REF!,""))</f>
        <v>Home</v>
      </c>
      <c r="AR64" t="str">
        <f t="shared" si="97"/>
        <v>h</v>
      </c>
      <c r="AS64" t="str">
        <f t="shared" si="98"/>
        <v>Offensive</v>
      </c>
      <c r="AT64" t="str">
        <f t="shared" si="50"/>
        <v/>
      </c>
      <c r="AU64" t="str">
        <f t="shared" si="51"/>
        <v/>
      </c>
      <c r="AV64" t="str" cm="1">
        <f t="array" ref="AV64">IFERROR(IF(O64&lt;&gt;"",O64,IF(OR($S64="",$T64=""),"",IF(O64&lt;&gt;"",O64,IF($T64&lt;&gt;"",_xlfn._xlws.FILTER(O:O,($BT:$BT=$BT64)*($I:$I=$I64)*($T:$T=$T64)*($S:$S=_xlfn.MINIFS($S:$S,$T:$T,"="&amp;$T64)),"")))))&amp;"",IF(O64="","",""))&amp;""</f>
        <v>PuckRecoveryRetreivalShot</v>
      </c>
      <c r="AW64" t="str" cm="1">
        <f t="array" ref="AW64">IFERROR(IF(P64&lt;&gt;"",P64,IF(OR($S64="",$T64=""),"",IF($T64&lt;&gt;"",_xlfn._xlws.FILTER(P:P,($BT:$BT=$BT64)*($I:$I=$I64)*($T:$T=$T64)*($S:$S=_xlfn.MINIFS($S:$S,$T:$T,"="&amp;$T64)),""))))&amp;"",IF(P64="","",""))&amp;""</f>
        <v/>
      </c>
      <c r="AX64" t="str" cm="1">
        <f t="array" ref="AX64">IFERROR(IF(Q64&lt;&gt;"",Q64,IF(OR($S64="",$T64=""),"",IF($T64&lt;&gt;"",_xlfn._xlws.FILTER(Q:Q,($BT:$BT=$BT64)*($I:$I=$I64)*($T:$T=$T64)*($S:$S=_xlfn.MINIFS($S:$S,$T:$T,"="&amp;$T64)),""))))&amp;"",IF(Q64="","",""))&amp;""</f>
        <v>u</v>
      </c>
      <c r="AY64" t="str" cm="1">
        <f t="array" ref="AY64">IFERROR(IF(R64&lt;&gt;"",R64,IF(OR($S64="",$T64=""),"",IF($T64&lt;&gt;"",_xlfn._xlws.FILTER(R:R,($BT:$BT=$BT64)*($I:$I=$I64)*($T:$T=$T64)*($S:$S=_xlfn.MINIFS($S:$S,$T:$T,"="&amp;$T64)),""))))&amp;"",IF(R64="","",""))&amp;""</f>
        <v/>
      </c>
      <c r="AZ64" s="6">
        <f t="shared" si="52"/>
        <v>8</v>
      </c>
      <c r="BA64">
        <f t="shared" ref="BA64:BC64" si="138">BA63</f>
        <v>18991</v>
      </c>
      <c r="BB64" t="str">
        <f t="shared" si="138"/>
        <v>Triple J</v>
      </c>
      <c r="BC64" t="str">
        <f t="shared" si="138"/>
        <v>Velodrome</v>
      </c>
      <c r="BD64" t="str">
        <f t="shared" si="54"/>
        <v>Possession</v>
      </c>
      <c r="BE64" t="str">
        <f t="shared" si="55"/>
        <v>PuckRecovery</v>
      </c>
      <c r="BF64" t="str">
        <f t="shared" si="56"/>
        <v/>
      </c>
      <c r="BG64" t="str">
        <f t="shared" si="22"/>
        <v>u</v>
      </c>
      <c r="BH64" cm="1">
        <f t="array" ref="BH64">IFERROR(_xlfn._xlws.FILTER(shifts!A:A,(shifts!B:B=events!Z64)*(shifts!AG:AG&gt;=events!BJ64)*(shifts!AH:AH&lt;=events!BK64)),BH63)</f>
        <v>1</v>
      </c>
      <c r="BI64" s="15">
        <f t="shared" si="57"/>
        <v>1</v>
      </c>
      <c r="BJ64">
        <f t="shared" si="58"/>
        <v>1029</v>
      </c>
      <c r="BK64">
        <f t="shared" si="59"/>
        <v>1028</v>
      </c>
      <c r="BL64" s="15">
        <f>SUMIFS(BI$2:BI64,K$2:K64,"=Intermission")+SUMIFS(BI$2:BI64,K$2:K64,"=Timeout")</f>
        <v>0</v>
      </c>
      <c r="BM64">
        <f t="shared" si="60"/>
        <v>0</v>
      </c>
      <c r="BN64" s="19">
        <f t="shared" si="61"/>
        <v>51</v>
      </c>
      <c r="BO64">
        <f t="shared" si="62"/>
        <v>46</v>
      </c>
      <c r="BP64" s="17">
        <f t="shared" si="63"/>
        <v>52</v>
      </c>
      <c r="BQ64" t="str">
        <f t="shared" si="64"/>
        <v>event_team_player_1</v>
      </c>
      <c r="BR64">
        <f>COUNTIFS(S$3:S64,"="&amp;S64,AH$3:AH64,"="&amp;AH64)</f>
        <v>1</v>
      </c>
      <c r="BS64" t="str">
        <f>IFERROR(VLOOKUP(BA64&amp;BT64&amp;X64,game_rosters!U:W,3,FALSE),"")</f>
        <v>P100094</v>
      </c>
      <c r="BT64" t="str">
        <f t="shared" si="65"/>
        <v>Triple J</v>
      </c>
    </row>
    <row r="65" spans="1:72" x14ac:dyDescent="0.2">
      <c r="A65" t="str">
        <f t="shared" si="9"/>
        <v/>
      </c>
      <c r="E65" s="4"/>
      <c r="F65" s="45"/>
      <c r="G65" s="4"/>
      <c r="H65" s="47"/>
      <c r="I65" s="26">
        <v>22</v>
      </c>
      <c r="J65" s="26" t="str">
        <f t="shared" si="68"/>
        <v/>
      </c>
      <c r="N65" t="str">
        <f t="shared" si="83"/>
        <v/>
      </c>
      <c r="Q65" t="str">
        <f t="shared" si="77"/>
        <v/>
      </c>
      <c r="S65">
        <f>IF(A65=1,MAX($S$2:$S64)+1,IF(OR($I65&lt;&gt;"",A65="x"),$S64,""))</f>
        <v>32</v>
      </c>
      <c r="T65" t="str">
        <f>IF(D65=1,MAX($T$2:$T64)+1,IF(S65=S64,$T64,IF(D65="x",T64,IF(D64="x","",""))))</f>
        <v/>
      </c>
      <c r="U65" t="str">
        <f>IF(B65=1,MAX($U$2:$U64)+1,IF(AND($T65&lt;&gt;"",$T65=$T64),$U64,IF(B65="x",U64,"")))</f>
        <v/>
      </c>
      <c r="V65" t="str">
        <f>IF(C65=1,MAX($V$2:$V64)+1,IF(AND($T65&lt;&gt;"",$T65=$T64),$U64,IF(C65="x",V64,"")))</f>
        <v/>
      </c>
      <c r="W65" t="str" cm="1">
        <f t="array" ref="W65">IFERROR(_xlfn._xlws.FILTER(game_rosters!AC:AC,(game_rosters!J:J=events!X65)*(K65&lt;&gt;"")),"")</f>
        <v/>
      </c>
      <c r="X65" cm="1">
        <f t="array" ref="X65">IF($I65&lt;&gt;"",$I65,INDEX($I$1:$I65,ROW()-COUNTIFS($T$1:$T65,"="&amp;$T65,$S$1:$S65,"&lt;"&amp;$S65)))</f>
        <v>22</v>
      </c>
      <c r="Y65" t="str" cm="1">
        <f t="array" ref="Y65">IFERROR(IF(_xlfn._xlws.FILTER(game_rosters!$J:$J,(game_rosters!$G:$G=events!$AM65)*(game_rosters!$J:$J=events!$X65))&gt;0,1,""),"")</f>
        <v/>
      </c>
      <c r="Z65" s="6">
        <f t="shared" si="34"/>
        <v>1</v>
      </c>
      <c r="AA65">
        <f t="shared" si="35"/>
        <v>1032</v>
      </c>
      <c r="AB65" t="str">
        <f t="shared" si="36"/>
        <v/>
      </c>
      <c r="AC65">
        <f t="shared" si="37"/>
        <v>1032</v>
      </c>
      <c r="AD65" t="str">
        <f t="shared" si="38"/>
        <v>17</v>
      </c>
      <c r="AE65" t="str">
        <f t="shared" si="39"/>
        <v>09</v>
      </c>
      <c r="AF65" t="str">
        <f t="shared" si="40"/>
        <v>17</v>
      </c>
      <c r="AG65" t="str">
        <f t="shared" si="41"/>
        <v>08</v>
      </c>
      <c r="AH65" t="str">
        <f t="shared" si="90"/>
        <v>o</v>
      </c>
      <c r="AI65" t="str">
        <f t="shared" si="132"/>
        <v>o</v>
      </c>
      <c r="AJ65" t="str">
        <f t="shared" si="132"/>
        <v>o</v>
      </c>
      <c r="AK65" t="str">
        <f t="shared" si="92"/>
        <v/>
      </c>
      <c r="AL65" t="str">
        <f t="shared" si="93"/>
        <v/>
      </c>
      <c r="AM65" t="str">
        <f t="shared" si="44"/>
        <v>Home</v>
      </c>
      <c r="AN65" t="str">
        <f t="shared" si="94"/>
        <v>h</v>
      </c>
      <c r="AO65" t="str">
        <f t="shared" si="95"/>
        <v>o</v>
      </c>
      <c r="AP65" t="str">
        <f t="shared" si="96"/>
        <v>d</v>
      </c>
      <c r="AQ65" t="str">
        <f>IF(AM65&lt;&gt;"",AM65,IF($AC65=#REF!,#REF!,""))</f>
        <v>Home</v>
      </c>
      <c r="AR65" t="str">
        <f t="shared" si="97"/>
        <v>h</v>
      </c>
      <c r="AS65" t="str">
        <f t="shared" si="98"/>
        <v>Defensive</v>
      </c>
      <c r="AT65" t="str">
        <f t="shared" si="50"/>
        <v/>
      </c>
      <c r="AU65" t="str">
        <f t="shared" si="51"/>
        <v/>
      </c>
      <c r="AV65" t="str" cm="1">
        <f t="array" ref="AV65">IFERROR(IF(O65&lt;&gt;"",O65,IF(OR($S65="",$T65=""),"",IF(O65&lt;&gt;"",O65,IF($T65&lt;&gt;"",_xlfn._xlws.FILTER(O:O,($BT:$BT=$BT65)*($I:$I=$I65)*($T:$T=$T65)*($S:$S=_xlfn.MINIFS($S:$S,$T:$T,"="&amp;$T65)),"")))))&amp;"",IF(O65="","",""))&amp;""</f>
        <v/>
      </c>
      <c r="AW65" t="str" cm="1">
        <f t="array" ref="AW65">IFERROR(IF(P65&lt;&gt;"",P65,IF(OR($S65="",$T65=""),"",IF($T65&lt;&gt;"",_xlfn._xlws.FILTER(P:P,($BT:$BT=$BT65)*($I:$I=$I65)*($T:$T=$T65)*($S:$S=_xlfn.MINIFS($S:$S,$T:$T,"="&amp;$T65)),""))))&amp;"",IF(P65="","",""))&amp;""</f>
        <v/>
      </c>
      <c r="AX65" t="str" cm="1">
        <f t="array" ref="AX65">IFERROR(IF(Q65&lt;&gt;"",Q65,IF(OR($S65="",$T65=""),"",IF($T65&lt;&gt;"",_xlfn._xlws.FILTER(Q:Q,($BT:$BT=$BT65)*($I:$I=$I65)*($T:$T=$T65)*($S:$S=_xlfn.MINIFS($S:$S,$T:$T,"="&amp;$T65)),""))))&amp;"",IF(Q65="","",""))&amp;""</f>
        <v/>
      </c>
      <c r="AY65" t="str" cm="1">
        <f t="array" ref="AY65">IFERROR(IF(R65&lt;&gt;"",R65,IF(OR($S65="",$T65=""),"",IF($T65&lt;&gt;"",_xlfn._xlws.FILTER(R:R,($BT:$BT=$BT65)*($I:$I=$I65)*($T:$T=$T65)*($S:$S=_xlfn.MINIFS($S:$S,$T:$T,"="&amp;$T65)),""))))&amp;"",IF(R65="","",""))&amp;""</f>
        <v/>
      </c>
      <c r="AZ65" s="6">
        <f t="shared" si="52"/>
        <v>8</v>
      </c>
      <c r="BA65">
        <f t="shared" ref="BA65:BC65" si="139">BA64</f>
        <v>18991</v>
      </c>
      <c r="BB65" t="str">
        <f t="shared" si="139"/>
        <v>Triple J</v>
      </c>
      <c r="BC65" t="str">
        <f t="shared" si="139"/>
        <v>Velodrome</v>
      </c>
      <c r="BD65" t="str">
        <f t="shared" si="54"/>
        <v>Possession</v>
      </c>
      <c r="BE65" t="str">
        <f t="shared" si="55"/>
        <v>PuckRecovery</v>
      </c>
      <c r="BF65" t="str">
        <f t="shared" si="56"/>
        <v/>
      </c>
      <c r="BG65" t="str">
        <f t="shared" si="22"/>
        <v>u</v>
      </c>
      <c r="BH65" cm="1">
        <f t="array" ref="BH65">IFERROR(_xlfn._xlws.FILTER(shifts!A:A,(shifts!B:B=events!Z65)*(shifts!AG:AG&gt;=events!BJ65)*(shifts!AH:AH&lt;=events!BK65)),BH64)</f>
        <v>1</v>
      </c>
      <c r="BI65" s="15">
        <f t="shared" si="57"/>
        <v>1</v>
      </c>
      <c r="BJ65">
        <f t="shared" si="58"/>
        <v>1029</v>
      </c>
      <c r="BK65">
        <f t="shared" si="59"/>
        <v>1028</v>
      </c>
      <c r="BL65" s="15">
        <f>SUMIFS(BI$2:BI65,K$2:K65,"=Intermission")+SUMIFS(BI$2:BI65,K$2:K65,"=Timeout")</f>
        <v>0</v>
      </c>
      <c r="BM65">
        <f t="shared" si="60"/>
        <v>0</v>
      </c>
      <c r="BN65" s="19">
        <f t="shared" si="61"/>
        <v>51</v>
      </c>
      <c r="BO65">
        <f t="shared" si="62"/>
        <v>46</v>
      </c>
      <c r="BP65" s="17">
        <f t="shared" si="63"/>
        <v>52</v>
      </c>
      <c r="BQ65" t="str">
        <f t="shared" si="64"/>
        <v>opp_team_player_1</v>
      </c>
      <c r="BR65">
        <f>COUNTIFS(S$3:S65,"="&amp;S65,AH$3:AH65,"="&amp;AH65)</f>
        <v>1</v>
      </c>
      <c r="BS65" t="str">
        <f>IFERROR(VLOOKUP(BA65&amp;BT65&amp;X65,game_rosters!U:W,3,FALSE),"")</f>
        <v>P100108</v>
      </c>
      <c r="BT65" t="str">
        <f t="shared" si="65"/>
        <v>Velodrome</v>
      </c>
    </row>
    <row r="66" spans="1:72" x14ac:dyDescent="0.2">
      <c r="A66">
        <f t="shared" si="9"/>
        <v>1</v>
      </c>
      <c r="D66" s="26">
        <v>1</v>
      </c>
      <c r="E66" s="4"/>
      <c r="F66" s="45"/>
      <c r="G66" s="4"/>
      <c r="H66" s="47"/>
      <c r="I66" s="26">
        <v>16</v>
      </c>
      <c r="J66" s="26" t="s">
        <v>368</v>
      </c>
      <c r="K66" t="s">
        <v>7</v>
      </c>
      <c r="L66" t="s">
        <v>192</v>
      </c>
      <c r="M66" t="s">
        <v>67</v>
      </c>
      <c r="N66" t="str">
        <f t="shared" si="83"/>
        <v>u</v>
      </c>
      <c r="O66" t="s">
        <v>576</v>
      </c>
      <c r="Q66" t="str">
        <f t="shared" si="77"/>
        <v>u</v>
      </c>
      <c r="R66" s="26">
        <v>1</v>
      </c>
      <c r="S66">
        <f>IF(A66=1,MAX($S$2:$S65)+1,IF(OR($I66&lt;&gt;"",A66="x"),$S65,""))</f>
        <v>33</v>
      </c>
      <c r="T66">
        <f>IF(D66=1,MAX($T$2:$T65)+1,IF(S66=S65,$T65,IF(D66="x",T65,IF(D65="x","",""))))</f>
        <v>4</v>
      </c>
      <c r="U66" t="str">
        <f>IF(B66=1,MAX($U$2:$U65)+1,IF(AND($T66&lt;&gt;"",$T66=$T65),$U65,IF(B66="x",U65,"")))</f>
        <v/>
      </c>
      <c r="V66" t="str">
        <f>IF(C66=1,MAX($V$2:$V65)+1,IF(AND($T66&lt;&gt;"",$T66=$T65),$U65,IF(C66="x",V65,"")))</f>
        <v/>
      </c>
      <c r="W66" t="str" cm="1">
        <f t="array" ref="W66">IFERROR(_xlfn._xlws.FILTER(game_rosters!AC:AC,(game_rosters!J:J=events!X66)*(K66&lt;&gt;"")),"")</f>
        <v>h</v>
      </c>
      <c r="X66" cm="1">
        <f t="array" ref="X66">IF($I66&lt;&gt;"",$I66,INDEX($I$1:$I66,ROW()-COUNTIFS($T$1:$T66,"="&amp;$T66,$S$1:$S66,"&lt;"&amp;$S66)))</f>
        <v>16</v>
      </c>
      <c r="Y66" cm="1">
        <f t="array" ref="Y66">IFERROR(IF(_xlfn._xlws.FILTER(game_rosters!$J:$J,(game_rosters!$G:$G=events!$AM66)*(game_rosters!$J:$J=events!$X66))&gt;0,1,""),"")</f>
        <v>1</v>
      </c>
      <c r="Z66" s="6">
        <f t="shared" si="34"/>
        <v>1</v>
      </c>
      <c r="AA66">
        <f t="shared" si="35"/>
        <v>1033</v>
      </c>
      <c r="AB66">
        <f t="shared" si="36"/>
        <v>9004</v>
      </c>
      <c r="AC66">
        <f t="shared" si="37"/>
        <v>9004</v>
      </c>
      <c r="AD66" t="str">
        <f t="shared" si="38"/>
        <v>17</v>
      </c>
      <c r="AE66" t="str">
        <f t="shared" si="39"/>
        <v>08</v>
      </c>
      <c r="AF66" t="str">
        <f t="shared" si="40"/>
        <v/>
      </c>
      <c r="AG66" t="str">
        <f t="shared" si="41"/>
        <v/>
      </c>
      <c r="AH66" t="str">
        <f t="shared" si="90"/>
        <v>e</v>
      </c>
      <c r="AI66" t="str">
        <f t="shared" si="132"/>
        <v>o</v>
      </c>
      <c r="AJ66" t="str">
        <f t="shared" si="132"/>
        <v>o</v>
      </c>
      <c r="AK66" t="str">
        <f t="shared" si="92"/>
        <v>o</v>
      </c>
      <c r="AL66" t="str">
        <f t="shared" si="93"/>
        <v>d</v>
      </c>
      <c r="AM66" t="str">
        <f t="shared" si="44"/>
        <v>Home</v>
      </c>
      <c r="AN66" t="str">
        <f t="shared" si="94"/>
        <v>h</v>
      </c>
      <c r="AO66" t="str">
        <f t="shared" si="95"/>
        <v>o</v>
      </c>
      <c r="AP66" t="str">
        <f t="shared" si="96"/>
        <v>d</v>
      </c>
      <c r="AQ66" t="str">
        <f>IF(AM66&lt;&gt;"",AM66,IF($AC66=#REF!,#REF!,""))</f>
        <v>Home</v>
      </c>
      <c r="AR66" t="str">
        <f t="shared" si="97"/>
        <v>h</v>
      </c>
      <c r="AS66" t="str">
        <f t="shared" si="98"/>
        <v>Offensive</v>
      </c>
      <c r="AT66" t="str">
        <f t="shared" si="50"/>
        <v/>
      </c>
      <c r="AU66" t="str">
        <f t="shared" si="51"/>
        <v/>
      </c>
      <c r="AV66" t="str" cm="1">
        <f t="array" ref="AV66">IFERROR(IF(O66&lt;&gt;"",O66,IF(OR($S66="",$T66=""),"",IF(O66&lt;&gt;"",O66,IF($T66&lt;&gt;"",_xlfn._xlws.FILTER(O:O,($BT:$BT=$BT66)*($I:$I=$I66)*($T:$T=$T66)*($S:$S=_xlfn.MINIFS($S:$S,$T:$T,"="&amp;$T66)),"")))))&amp;"",IF(O66="","",""))&amp;""</f>
        <v>SecondTouch</v>
      </c>
      <c r="AW66" t="str" cm="1">
        <f t="array" ref="AW66">IFERROR(IF(P66&lt;&gt;"",P66,IF(OR($S66="",$T66=""),"",IF($T66&lt;&gt;"",_xlfn._xlws.FILTER(P:P,($BT:$BT=$BT66)*($I:$I=$I66)*($T:$T=$T66)*($S:$S=_xlfn.MINIFS($S:$S,$T:$T,"="&amp;$T66)),""))))&amp;"",IF(P66="","",""))&amp;""</f>
        <v/>
      </c>
      <c r="AX66" t="str" cm="1">
        <f t="array" ref="AX66">IFERROR(IF(Q66&lt;&gt;"",Q66,IF(OR($S66="",$T66=""),"",IF($T66&lt;&gt;"",_xlfn._xlws.FILTER(Q:Q,($BT:$BT=$BT66)*($I:$I=$I66)*($T:$T=$T66)*($S:$S=_xlfn.MINIFS($S:$S,$T:$T,"="&amp;$T66)),""))))&amp;"",IF(Q66="","",""))&amp;""</f>
        <v>u</v>
      </c>
      <c r="AY66" t="str" cm="1">
        <f t="array" ref="AY66">IFERROR(IF(R66&lt;&gt;"",R66,IF(OR($S66="",$T66=""),"",IF($T66&lt;&gt;"",_xlfn._xlws.FILTER(R:R,($BT:$BT=$BT66)*($I:$I=$I66)*($T:$T=$T66)*($S:$S=_xlfn.MINIFS($S:$S,$T:$T,"="&amp;$T66)),""))))&amp;"",IF(R66="","",""))&amp;""</f>
        <v>1</v>
      </c>
      <c r="AZ66" s="6">
        <f t="shared" si="52"/>
        <v>8</v>
      </c>
      <c r="BA66">
        <f t="shared" ref="BA66:BC66" si="140">BA65</f>
        <v>18991</v>
      </c>
      <c r="BB66" t="str">
        <f t="shared" si="140"/>
        <v>Triple J</v>
      </c>
      <c r="BC66" t="str">
        <f t="shared" si="140"/>
        <v>Velodrome</v>
      </c>
      <c r="BD66" t="str">
        <f t="shared" si="54"/>
        <v>Pass</v>
      </c>
      <c r="BE66" t="str">
        <f t="shared" si="55"/>
        <v>Pass_Deflected</v>
      </c>
      <c r="BF66" t="str">
        <f t="shared" si="56"/>
        <v>Pass-Backhand</v>
      </c>
      <c r="BG66" t="str">
        <f t="shared" si="22"/>
        <v>u</v>
      </c>
      <c r="BH66" cm="1">
        <f t="array" ref="BH66">IFERROR(_xlfn._xlws.FILTER(shifts!A:A,(shifts!B:B=events!Z66)*(shifts!AG:AG&gt;=events!BJ66)*(shifts!AH:AH&lt;=events!BK66)),BH65)</f>
        <v>1</v>
      </c>
      <c r="BI66" s="15">
        <f t="shared" si="57"/>
        <v>0</v>
      </c>
      <c r="BJ66">
        <f t="shared" si="58"/>
        <v>1028</v>
      </c>
      <c r="BK66">
        <f t="shared" si="59"/>
        <v>1028</v>
      </c>
      <c r="BL66" s="15">
        <f>SUMIFS(BI$2:BI66,K$2:K66,"=Intermission")+SUMIFS(BI$2:BI66,K$2:K66,"=Timeout")</f>
        <v>0</v>
      </c>
      <c r="BM66">
        <f t="shared" si="60"/>
        <v>0</v>
      </c>
      <c r="BN66" s="19">
        <f t="shared" si="61"/>
        <v>52</v>
      </c>
      <c r="BO66">
        <f t="shared" si="62"/>
        <v>47</v>
      </c>
      <c r="BP66" s="17">
        <f t="shared" si="63"/>
        <v>52</v>
      </c>
      <c r="BQ66" t="str">
        <f t="shared" si="64"/>
        <v>event_team_player_1</v>
      </c>
      <c r="BR66">
        <f>COUNTIFS(S$3:S66,"="&amp;S66,AH$3:AH66,"="&amp;AH66)</f>
        <v>1</v>
      </c>
      <c r="BS66" t="str">
        <f>IFERROR(VLOOKUP(BA66&amp;BT66&amp;X66,game_rosters!U:W,3,FALSE),"")</f>
        <v>P100094</v>
      </c>
      <c r="BT66" t="str">
        <f t="shared" si="65"/>
        <v>Triple J</v>
      </c>
    </row>
    <row r="67" spans="1:72" x14ac:dyDescent="0.2">
      <c r="A67" t="str">
        <f t="shared" si="9"/>
        <v>x</v>
      </c>
      <c r="D67" s="26" t="s">
        <v>729</v>
      </c>
      <c r="E67" s="4"/>
      <c r="F67" s="45"/>
      <c r="G67" s="4"/>
      <c r="H67" s="47"/>
      <c r="I67" s="26">
        <v>12</v>
      </c>
      <c r="J67" s="26" t="str">
        <f t="shared" si="68"/>
        <v/>
      </c>
      <c r="N67" t="str">
        <f t="shared" si="83"/>
        <v/>
      </c>
      <c r="Q67" t="str">
        <f t="shared" si="77"/>
        <v/>
      </c>
      <c r="S67">
        <f>IF(A67=1,MAX($S$2:$S66)+1,IF(OR($I67&lt;&gt;"",A67="x"),$S66,""))</f>
        <v>33</v>
      </c>
      <c r="T67">
        <f>IF(D67=1,MAX($T$2:$T66)+1,IF(S67=S66,$T66,IF(D67="x",T66,IF(D66="x","",""))))</f>
        <v>4</v>
      </c>
      <c r="U67" t="str">
        <f>IF(B67=1,MAX($U$2:$U66)+1,IF(AND($T67&lt;&gt;"",$T67=$T66),$U66,IF(B67="x",U66,"")))</f>
        <v/>
      </c>
      <c r="V67" t="str">
        <f>IF(C67=1,MAX($V$2:$V66)+1,IF(AND($T67&lt;&gt;"",$T67=$T66),$U66,IF(C67="x",V66,"")))</f>
        <v/>
      </c>
      <c r="W67" t="str" cm="1">
        <f t="array" ref="W67">IFERROR(_xlfn._xlws.FILTER(game_rosters!AC:AC,(game_rosters!J:J=events!X67)*(K67&lt;&gt;"")),"")</f>
        <v/>
      </c>
      <c r="X67" cm="1">
        <f t="array" ref="X67">IF($I67&lt;&gt;"",$I67,INDEX($I$1:$I67,ROW()-COUNTIFS($T$1:$T67,"="&amp;$T67,$S$1:$S67,"&lt;"&amp;$S67)))</f>
        <v>12</v>
      </c>
      <c r="Y67" t="str" cm="1">
        <f t="array" ref="Y67">IFERROR(IF(_xlfn._xlws.FILTER(game_rosters!$J:$J,(game_rosters!$G:$G=events!$AM67)*(game_rosters!$J:$J=events!$X67))&gt;0,1,""),"")</f>
        <v/>
      </c>
      <c r="Z67" s="6">
        <f t="shared" si="34"/>
        <v>1</v>
      </c>
      <c r="AA67">
        <f t="shared" si="35"/>
        <v>1033</v>
      </c>
      <c r="AB67">
        <f t="shared" si="36"/>
        <v>9004</v>
      </c>
      <c r="AC67">
        <f t="shared" si="37"/>
        <v>9004</v>
      </c>
      <c r="AD67" t="str">
        <f t="shared" si="38"/>
        <v>17</v>
      </c>
      <c r="AE67" t="str">
        <f t="shared" si="39"/>
        <v>08</v>
      </c>
      <c r="AF67" t="str">
        <f t="shared" si="40"/>
        <v/>
      </c>
      <c r="AG67" t="str">
        <f t="shared" si="41"/>
        <v/>
      </c>
      <c r="AH67" t="str">
        <f t="shared" si="90"/>
        <v>o</v>
      </c>
      <c r="AI67" t="str">
        <f t="shared" si="132"/>
        <v>o</v>
      </c>
      <c r="AJ67" t="str">
        <f t="shared" si="132"/>
        <v>o</v>
      </c>
      <c r="AK67" t="str">
        <f t="shared" si="92"/>
        <v/>
      </c>
      <c r="AL67" t="str">
        <f t="shared" si="93"/>
        <v/>
      </c>
      <c r="AM67" t="str">
        <f t="shared" si="44"/>
        <v>Home</v>
      </c>
      <c r="AN67" t="str">
        <f t="shared" si="94"/>
        <v>h</v>
      </c>
      <c r="AO67" t="str">
        <f t="shared" si="95"/>
        <v>o</v>
      </c>
      <c r="AP67" t="str">
        <f t="shared" si="96"/>
        <v>d</v>
      </c>
      <c r="AQ67" t="str">
        <f>IF(AM67&lt;&gt;"",AM67,IF($AC67=#REF!,#REF!,""))</f>
        <v>Home</v>
      </c>
      <c r="AR67" t="str">
        <f t="shared" si="97"/>
        <v>h</v>
      </c>
      <c r="AS67" t="str">
        <f t="shared" si="98"/>
        <v>Defensive</v>
      </c>
      <c r="AT67" t="str">
        <f t="shared" si="50"/>
        <v/>
      </c>
      <c r="AU67" t="str">
        <f t="shared" si="51"/>
        <v/>
      </c>
      <c r="AV67" t="str" cm="1">
        <f t="array" ref="AV67">IFERROR(IF(O67&lt;&gt;"",O67,IF(OR($S67="",$T67=""),"",IF(O67&lt;&gt;"",O67,IF($T67&lt;&gt;"",_xlfn._xlws.FILTER(O:O,($BT:$BT=$BT67)*($I:$I=$I67)*($T:$T=$T67)*($S:$S=_xlfn.MINIFS($S:$S,$T:$T,"="&amp;$T67)),"")))))&amp;"",IF(O67="","",""))&amp;""</f>
        <v/>
      </c>
      <c r="AW67" t="str" cm="1">
        <f t="array" ref="AW67">IFERROR(IF(P67&lt;&gt;"",P67,IF(OR($S67="",$T67=""),"",IF($T67&lt;&gt;"",_xlfn._xlws.FILTER(P:P,($BT:$BT=$BT67)*($I:$I=$I67)*($T:$T=$T67)*($S:$S=_xlfn.MINIFS($S:$S,$T:$T,"="&amp;$T67)),""))))&amp;"",IF(P67="","",""))&amp;""</f>
        <v/>
      </c>
      <c r="AX67" t="str" cm="1">
        <f t="array" ref="AX67">IFERROR(IF(Q67&lt;&gt;"",Q67,IF(OR($S67="",$T67=""),"",IF($T67&lt;&gt;"",_xlfn._xlws.FILTER(Q:Q,($BT:$BT=$BT67)*($I:$I=$I67)*($T:$T=$T67)*($S:$S=_xlfn.MINIFS($S:$S,$T:$T,"="&amp;$T67)),""))))&amp;"",IF(Q67="","",""))&amp;""</f>
        <v/>
      </c>
      <c r="AY67" t="str" cm="1">
        <f t="array" ref="AY67">IFERROR(IF(R67&lt;&gt;"",R67,IF(OR($S67="",$T67=""),"",IF($T67&lt;&gt;"",_xlfn._xlws.FILTER(R:R,($BT:$BT=$BT67)*($I:$I=$I67)*($T:$T=$T67)*($S:$S=_xlfn.MINIFS($S:$S,$T:$T,"="&amp;$T67)),""))))&amp;"",IF(R67="","",""))&amp;""</f>
        <v/>
      </c>
      <c r="AZ67" s="6">
        <f t="shared" si="52"/>
        <v>8</v>
      </c>
      <c r="BA67">
        <f t="shared" ref="BA67:BC67" si="141">BA66</f>
        <v>18991</v>
      </c>
      <c r="BB67" t="str">
        <f t="shared" si="141"/>
        <v>Triple J</v>
      </c>
      <c r="BC67" t="str">
        <f t="shared" si="141"/>
        <v>Velodrome</v>
      </c>
      <c r="BD67" t="str">
        <f t="shared" si="54"/>
        <v>Pass</v>
      </c>
      <c r="BE67" t="str">
        <f t="shared" si="55"/>
        <v>Pass_Deflected</v>
      </c>
      <c r="BF67" t="str">
        <f t="shared" si="56"/>
        <v>Pass-Backhand</v>
      </c>
      <c r="BG67" t="str">
        <f t="shared" si="22"/>
        <v>u</v>
      </c>
      <c r="BH67" cm="1">
        <f t="array" ref="BH67">IFERROR(_xlfn._xlws.FILTER(shifts!A:A,(shifts!B:B=events!Z67)*(shifts!AG:AG&gt;=events!BJ67)*(shifts!AH:AH&lt;=events!BK67)),BH66)</f>
        <v>1</v>
      </c>
      <c r="BI67" s="15">
        <f t="shared" si="57"/>
        <v>0</v>
      </c>
      <c r="BJ67">
        <f t="shared" si="58"/>
        <v>1028</v>
      </c>
      <c r="BK67">
        <f t="shared" si="59"/>
        <v>1028</v>
      </c>
      <c r="BL67" s="15">
        <f>SUMIFS(BI$2:BI67,K$2:K67,"=Intermission")+SUMIFS(BI$2:BI67,K$2:K67,"=Timeout")</f>
        <v>0</v>
      </c>
      <c r="BM67">
        <f t="shared" si="60"/>
        <v>0</v>
      </c>
      <c r="BN67" s="19">
        <f t="shared" si="61"/>
        <v>52</v>
      </c>
      <c r="BO67">
        <f t="shared" si="62"/>
        <v>47</v>
      </c>
      <c r="BP67" s="17">
        <f t="shared" si="63"/>
        <v>52</v>
      </c>
      <c r="BQ67" t="str">
        <f t="shared" si="64"/>
        <v>opp_team_player_1</v>
      </c>
      <c r="BR67">
        <f>COUNTIFS(S$3:S67,"="&amp;S67,AH$3:AH67,"="&amp;AH67)</f>
        <v>1</v>
      </c>
      <c r="BS67" t="str">
        <f>IFERROR(VLOOKUP(BA67&amp;BT67&amp;X67,game_rosters!U:W,3,FALSE),"")</f>
        <v/>
      </c>
      <c r="BT67" t="str">
        <f t="shared" si="65"/>
        <v>Velodrome</v>
      </c>
    </row>
    <row r="68" spans="1:72" x14ac:dyDescent="0.2">
      <c r="A68" t="str">
        <f t="shared" si="9"/>
        <v>x</v>
      </c>
      <c r="D68" s="26" t="s">
        <v>729</v>
      </c>
      <c r="E68" s="4"/>
      <c r="F68" s="45"/>
      <c r="G68" s="4"/>
      <c r="H68" s="47"/>
      <c r="I68" s="26">
        <v>70</v>
      </c>
      <c r="J68" s="26" t="str">
        <f t="shared" si="68"/>
        <v/>
      </c>
      <c r="N68" t="str">
        <f t="shared" si="83"/>
        <v/>
      </c>
      <c r="O68" t="s">
        <v>782</v>
      </c>
      <c r="Q68" t="str">
        <f t="shared" si="77"/>
        <v/>
      </c>
      <c r="S68">
        <f>IF(A68=1,MAX($S$2:$S67)+1,IF(OR($I68&lt;&gt;"",A68="x"),$S67,""))</f>
        <v>33</v>
      </c>
      <c r="T68">
        <f>IF(D68=1,MAX($T$2:$T67)+1,IF(S68=S67,$T67,IF(D68="x",T67,IF(D67="x","",""))))</f>
        <v>4</v>
      </c>
      <c r="U68" t="str">
        <f>IF(B68=1,MAX($U$2:$U67)+1,IF(AND($T68&lt;&gt;"",$T68=$T67),$U67,IF(B68="x",U67,"")))</f>
        <v/>
      </c>
      <c r="V68" t="str">
        <f>IF(C68=1,MAX($V$2:$V67)+1,IF(AND($T68&lt;&gt;"",$T68=$T67),$U67,IF(C68="x",V67,"")))</f>
        <v/>
      </c>
      <c r="W68" t="str" cm="1">
        <f t="array" ref="W68">IFERROR(_xlfn._xlws.FILTER(game_rosters!AC:AC,(game_rosters!J:J=events!X68)*(K68&lt;&gt;"")),"")</f>
        <v/>
      </c>
      <c r="X68" cm="1">
        <f t="array" ref="X68">IF($I68&lt;&gt;"",$I68,INDEX($I$1:$I68,ROW()-COUNTIFS($T$1:$T68,"="&amp;$T68,$S$1:$S68,"&lt;"&amp;$S68)))</f>
        <v>70</v>
      </c>
      <c r="Y68" t="str" cm="1">
        <f t="array" ref="Y68">IFERROR(IF(_xlfn._xlws.FILTER(game_rosters!$J:$J,(game_rosters!$G:$G=events!$AM68)*(game_rosters!$J:$J=events!$X68))&gt;0,1,""),"")</f>
        <v/>
      </c>
      <c r="Z68" s="6">
        <f t="shared" si="34"/>
        <v>1</v>
      </c>
      <c r="AA68">
        <f t="shared" si="35"/>
        <v>1033</v>
      </c>
      <c r="AB68">
        <f t="shared" si="36"/>
        <v>9004</v>
      </c>
      <c r="AC68">
        <f t="shared" si="37"/>
        <v>9004</v>
      </c>
      <c r="AD68" t="str">
        <f t="shared" si="38"/>
        <v>17</v>
      </c>
      <c r="AE68" t="str">
        <f t="shared" si="39"/>
        <v>08</v>
      </c>
      <c r="AF68" t="str">
        <f t="shared" si="40"/>
        <v/>
      </c>
      <c r="AG68" t="str">
        <f t="shared" si="41"/>
        <v/>
      </c>
      <c r="AH68" t="str">
        <f t="shared" si="90"/>
        <v>o</v>
      </c>
      <c r="AI68" t="str">
        <f t="shared" si="132"/>
        <v>o</v>
      </c>
      <c r="AJ68" t="str">
        <f t="shared" si="132"/>
        <v>o</v>
      </c>
      <c r="AK68" t="str">
        <f t="shared" si="92"/>
        <v/>
      </c>
      <c r="AL68" t="str">
        <f t="shared" si="93"/>
        <v/>
      </c>
      <c r="AM68" t="str">
        <f t="shared" si="44"/>
        <v>Home</v>
      </c>
      <c r="AN68" t="str">
        <f t="shared" si="94"/>
        <v>h</v>
      </c>
      <c r="AO68" t="str">
        <f t="shared" si="95"/>
        <v>o</v>
      </c>
      <c r="AP68" t="str">
        <f t="shared" si="96"/>
        <v>d</v>
      </c>
      <c r="AQ68" t="str">
        <f>IF(AM68&lt;&gt;"",AM68,IF($AC68=#REF!,#REF!,""))</f>
        <v>Home</v>
      </c>
      <c r="AR68" t="str">
        <f t="shared" si="97"/>
        <v>h</v>
      </c>
      <c r="AS68" t="str">
        <f t="shared" si="98"/>
        <v>Defensive</v>
      </c>
      <c r="AT68" t="str">
        <f t="shared" si="50"/>
        <v/>
      </c>
      <c r="AU68" t="str">
        <f t="shared" si="51"/>
        <v/>
      </c>
      <c r="AV68" t="str" cm="1">
        <f t="array" ref="AV68">IFERROR(IF(O68&lt;&gt;"",O68,IF(OR($S68="",$T68=""),"",IF(O68&lt;&gt;"",O68,IF($T68&lt;&gt;"",_xlfn._xlws.FILTER(O:O,($BT:$BT=$BT68)*($I:$I=$I68)*($T:$T=$T68)*($S:$S=_xlfn.MINIFS($S:$S,$T:$T,"="&amp;$T68)),"")))))&amp;"",IF(O68="","",""))&amp;""</f>
        <v>PassDeflected</v>
      </c>
      <c r="AW68" t="str" cm="1">
        <f t="array" ref="AW68">IFERROR(IF(P68&lt;&gt;"",P68,IF(OR($S68="",$T68=""),"",IF($T68&lt;&gt;"",_xlfn._xlws.FILTER(P:P,($BT:$BT=$BT68)*($I:$I=$I68)*($T:$T=$T68)*($S:$S=_xlfn.MINIFS($S:$S,$T:$T,"="&amp;$T68)),""))))&amp;"",IF(P68="","",""))&amp;""</f>
        <v/>
      </c>
      <c r="AX68" t="str" cm="1">
        <f t="array" ref="AX68">IFERROR(IF(Q68&lt;&gt;"",Q68,IF(OR($S68="",$T68=""),"",IF($T68&lt;&gt;"",_xlfn._xlws.FILTER(Q:Q,($BT:$BT=$BT68)*($I:$I=$I68)*($T:$T=$T68)*($S:$S=_xlfn.MINIFS($S:$S,$T:$T,"="&amp;$T68)),""))))&amp;"",IF(Q68="","",""))&amp;""</f>
        <v/>
      </c>
      <c r="AY68" t="str" cm="1">
        <f t="array" ref="AY68">IFERROR(IF(R68&lt;&gt;"",R68,IF(OR($S68="",$T68=""),"",IF($T68&lt;&gt;"",_xlfn._xlws.FILTER(R:R,($BT:$BT=$BT68)*($I:$I=$I68)*($T:$T=$T68)*($S:$S=_xlfn.MINIFS($S:$S,$T:$T,"="&amp;$T68)),""))))&amp;"",IF(R68="","",""))&amp;""</f>
        <v/>
      </c>
      <c r="AZ68" s="6">
        <f t="shared" si="52"/>
        <v>8</v>
      </c>
      <c r="BA68">
        <f t="shared" ref="BA68:BC68" si="142">BA67</f>
        <v>18991</v>
      </c>
      <c r="BB68" t="str">
        <f t="shared" si="142"/>
        <v>Triple J</v>
      </c>
      <c r="BC68" t="str">
        <f t="shared" si="142"/>
        <v>Velodrome</v>
      </c>
      <c r="BD68" t="str">
        <f t="shared" si="54"/>
        <v>Pass</v>
      </c>
      <c r="BE68" t="str">
        <f t="shared" si="55"/>
        <v>Pass_Deflected</v>
      </c>
      <c r="BF68" t="str">
        <f t="shared" si="56"/>
        <v>Pass-Backhand</v>
      </c>
      <c r="BG68" t="str">
        <f t="shared" si="22"/>
        <v>u</v>
      </c>
      <c r="BH68" cm="1">
        <f t="array" ref="BH68">IFERROR(_xlfn._xlws.FILTER(shifts!A:A,(shifts!B:B=events!Z68)*(shifts!AG:AG&gt;=events!BJ68)*(shifts!AH:AH&lt;=events!BK68)),BH67)</f>
        <v>1</v>
      </c>
      <c r="BI68" s="15">
        <f t="shared" si="57"/>
        <v>0</v>
      </c>
      <c r="BJ68">
        <f t="shared" si="58"/>
        <v>1028</v>
      </c>
      <c r="BK68">
        <f t="shared" si="59"/>
        <v>1028</v>
      </c>
      <c r="BL68" s="15">
        <f>SUMIFS(BI$2:BI68,K$2:K68,"=Intermission")+SUMIFS(BI$2:BI68,K$2:K68,"=Timeout")</f>
        <v>0</v>
      </c>
      <c r="BM68">
        <f t="shared" si="60"/>
        <v>0</v>
      </c>
      <c r="BN68" s="19">
        <f t="shared" si="61"/>
        <v>52</v>
      </c>
      <c r="BO68">
        <f t="shared" si="62"/>
        <v>47</v>
      </c>
      <c r="BP68" s="17">
        <f t="shared" si="63"/>
        <v>52</v>
      </c>
      <c r="BQ68" t="str">
        <f t="shared" si="64"/>
        <v>opp_team_player_2</v>
      </c>
      <c r="BR68">
        <f>COUNTIFS(S$3:S68,"="&amp;S68,AH$3:AH68,"="&amp;AH68)</f>
        <v>2</v>
      </c>
      <c r="BS68" t="str">
        <f>IFERROR(VLOOKUP(BA68&amp;BT68&amp;X68,game_rosters!U:W,3,FALSE),"")</f>
        <v>P100001</v>
      </c>
      <c r="BT68" t="str">
        <f t="shared" si="65"/>
        <v>Velodrome</v>
      </c>
    </row>
    <row r="69" spans="1:72" x14ac:dyDescent="0.2">
      <c r="A69" t="str">
        <f t="shared" ref="A69:A132" si="143">IF(K69&lt;&gt;"",1,IF(D69="x","x",""))</f>
        <v>x</v>
      </c>
      <c r="D69" s="26" t="s">
        <v>729</v>
      </c>
      <c r="E69" s="4"/>
      <c r="F69" s="45"/>
      <c r="G69" s="4"/>
      <c r="H69" s="47"/>
      <c r="I69" s="26">
        <v>22</v>
      </c>
      <c r="J69" s="26" t="str">
        <f t="shared" si="68"/>
        <v/>
      </c>
      <c r="N69" t="str">
        <f t="shared" si="83"/>
        <v/>
      </c>
      <c r="Q69" t="str">
        <f t="shared" si="77"/>
        <v/>
      </c>
      <c r="R69" s="26">
        <v>1</v>
      </c>
      <c r="S69">
        <f>IF(A69=1,MAX($S$2:$S68)+1,IF(OR($I69&lt;&gt;"",A69="x"),$S68,""))</f>
        <v>33</v>
      </c>
      <c r="T69">
        <f>IF(D69=1,MAX($T$2:$T68)+1,IF(S69=S68,$T68,IF(D69="x",T68,IF(D68="x","",""))))</f>
        <v>4</v>
      </c>
      <c r="U69" t="str">
        <f>IF(B69=1,MAX($U$2:$U68)+1,IF(AND($T69&lt;&gt;"",$T69=$T68),$U68,IF(B69="x",U68,"")))</f>
        <v/>
      </c>
      <c r="V69" t="str">
        <f>IF(C69=1,MAX($V$2:$V68)+1,IF(AND($T69&lt;&gt;"",$T69=$T68),$U68,IF(C69="x",V68,"")))</f>
        <v/>
      </c>
      <c r="W69" t="str" cm="1">
        <f t="array" ref="W69">IFERROR(_xlfn._xlws.FILTER(game_rosters!AC:AC,(game_rosters!J:J=events!X69)*(K69&lt;&gt;"")),"")</f>
        <v/>
      </c>
      <c r="X69" cm="1">
        <f t="array" ref="X69">IF($I69&lt;&gt;"",$I69,INDEX($I$1:$I69,ROW()-COUNTIFS($T$1:$T69,"="&amp;$T69,$S$1:$S69,"&lt;"&amp;$S69)))</f>
        <v>22</v>
      </c>
      <c r="Y69" t="str" cm="1">
        <f t="array" ref="Y69">IFERROR(IF(_xlfn._xlws.FILTER(game_rosters!$J:$J,(game_rosters!$G:$G=events!$AM69)*(game_rosters!$J:$J=events!$X69))&gt;0,1,""),"")</f>
        <v/>
      </c>
      <c r="Z69" s="6">
        <f t="shared" ref="Z69:Z132" si="144">IF(K69="Intermission",Z68+1,Z68)</f>
        <v>1</v>
      </c>
      <c r="AA69">
        <f t="shared" ref="AA69:AA132" si="145">S69+1000</f>
        <v>1033</v>
      </c>
      <c r="AB69">
        <f t="shared" ref="AB69:AB132" si="146">IF(T69&lt;&gt;"",9000+T69,"")</f>
        <v>9004</v>
      </c>
      <c r="AC69">
        <f t="shared" ref="AC69:AC132" si="147">IF(AB69&lt;&gt;"",AB69,S69+1000)</f>
        <v>9004</v>
      </c>
      <c r="AD69" t="str">
        <f t="shared" ref="AD69:AD132" si="148">IF(E69&lt;&gt;"",E69,IF($AC69=$AC68,AD68,IF(AF68&lt;&gt;"",AF68,IF(AD68&lt;&gt;"",AD68,""))))</f>
        <v>17</v>
      </c>
      <c r="AE69" t="str">
        <f t="shared" ref="AE69:AE132" si="149">IF(F69&lt;&gt;"",F69,IF($AC69=$AC68,AE68,IF(AG68&lt;&gt;"",AG68,IF(AE68&lt;&gt;"",AE68,""))))</f>
        <v>08</v>
      </c>
      <c r="AF69" t="str">
        <f t="shared" ref="AF69:AF132" si="150">IF(G69&lt;&gt;"",G69,IF($AC69=$AC68,AF68,IF(H69="","",AD69)))</f>
        <v/>
      </c>
      <c r="AG69" t="str">
        <f t="shared" ref="AG69:AG132" si="151">IF(H69&lt;&gt;"",H69,IF($S69=$S68,AG68,""))</f>
        <v/>
      </c>
      <c r="AH69" t="str">
        <f t="shared" si="90"/>
        <v>o</v>
      </c>
      <c r="AI69" t="str">
        <f t="shared" si="132"/>
        <v>o</v>
      </c>
      <c r="AJ69" t="str">
        <f t="shared" si="132"/>
        <v>o</v>
      </c>
      <c r="AK69" t="str">
        <f t="shared" si="92"/>
        <v/>
      </c>
      <c r="AL69" t="str">
        <f t="shared" si="93"/>
        <v/>
      </c>
      <c r="AM69" t="str">
        <f t="shared" ref="AM69:AM132" si="152">IF(AN69="H","Home",IF(AN69="A","Away",""))</f>
        <v>Home</v>
      </c>
      <c r="AN69" t="str">
        <f t="shared" si="94"/>
        <v>h</v>
      </c>
      <c r="AO69" t="str">
        <f t="shared" si="95"/>
        <v>o</v>
      </c>
      <c r="AP69" t="str">
        <f t="shared" si="96"/>
        <v>d</v>
      </c>
      <c r="AQ69" t="str">
        <f>IF(AM69&lt;&gt;"",AM69,IF($AC69=#REF!,#REF!,""))</f>
        <v>Home</v>
      </c>
      <c r="AR69" t="str">
        <f t="shared" si="97"/>
        <v>h</v>
      </c>
      <c r="AS69" t="str">
        <f t="shared" si="98"/>
        <v>Defensive</v>
      </c>
      <c r="AT69" t="str">
        <f t="shared" ref="AT69:AT132" si="153">IF(U69&lt;&gt;"",U69+5000,"")</f>
        <v/>
      </c>
      <c r="AU69" t="str">
        <f t="shared" ref="AU69:AU132" si="154">IF(V69&lt;&gt;"",V69+6000,"")</f>
        <v/>
      </c>
      <c r="AV69" t="str" cm="1">
        <f t="array" ref="AV69">IFERROR(IF(O69&lt;&gt;"",O69,IF(OR($S69="",$T69=""),"",IF(O69&lt;&gt;"",O69,IF($T69&lt;&gt;"",_xlfn._xlws.FILTER(O:O,($BT:$BT=$BT69)*($I:$I=$I69)*($T:$T=$T69)*($S:$S=_xlfn.MINIFS($S:$S,$T:$T,"="&amp;$T69)),"")))))&amp;"",IF(O69="","",""))&amp;""</f>
        <v/>
      </c>
      <c r="AW69" t="str" cm="1">
        <f t="array" ref="AW69">IFERROR(IF(P69&lt;&gt;"",P69,IF(OR($S69="",$T69=""),"",IF($T69&lt;&gt;"",_xlfn._xlws.FILTER(P:P,($BT:$BT=$BT69)*($I:$I=$I69)*($T:$T=$T69)*($S:$S=_xlfn.MINIFS($S:$S,$T:$T,"="&amp;$T69)),""))))&amp;"",IF(P69="","",""))&amp;""</f>
        <v/>
      </c>
      <c r="AX69" t="str" cm="1">
        <f t="array" ref="AX69">IFERROR(IF(Q69&lt;&gt;"",Q69,IF(OR($S69="",$T69=""),"",IF($T69&lt;&gt;"",_xlfn._xlws.FILTER(Q:Q,($BT:$BT=$BT69)*($I:$I=$I69)*($T:$T=$T69)*($S:$S=_xlfn.MINIFS($S:$S,$T:$T,"="&amp;$T69)),""))))&amp;"",IF(Q69="","",""))&amp;""</f>
        <v/>
      </c>
      <c r="AY69" t="str" cm="1">
        <f t="array" ref="AY69">IFERROR(IF(R69&lt;&gt;"",R69,IF(OR($S69="",$T69=""),"",IF($T69&lt;&gt;"",_xlfn._xlws.FILTER(R:R,($BT:$BT=$BT69)*($I:$I=$I69)*($T:$T=$T69)*($S:$S=_xlfn.MINIFS($S:$S,$T:$T,"="&amp;$T69)),""))))&amp;"",IF(R69="","",""))&amp;""</f>
        <v>1</v>
      </c>
      <c r="AZ69" s="6">
        <f t="shared" ref="AZ69:AZ132" si="155">IF(OR(L69="Zone_Entry",L69="Zone_Exit"),AZ68+1,AZ68)</f>
        <v>8</v>
      </c>
      <c r="BA69">
        <f t="shared" ref="BA69:BC69" si="156">BA68</f>
        <v>18991</v>
      </c>
      <c r="BB69" t="str">
        <f t="shared" si="156"/>
        <v>Triple J</v>
      </c>
      <c r="BC69" t="str">
        <f t="shared" si="156"/>
        <v>Velodrome</v>
      </c>
      <c r="BD69" t="str">
        <f t="shared" ref="BD69:BD132" si="157">IF($K69&lt;&gt;"",$K69,IF($S69=$S68,BD68,""))</f>
        <v>Pass</v>
      </c>
      <c r="BE69" t="str">
        <f t="shared" ref="BE69:BE132" si="158">IF(L69&lt;&gt;"",L69,IF($S69=$S68,BE68,""))</f>
        <v>Pass_Deflected</v>
      </c>
      <c r="BF69" t="str">
        <f t="shared" ref="BF69:BF132" si="159">IF(M69&lt;&gt;"",M69,IF($S69=$S68,BF68,""))</f>
        <v>Pass-Backhand</v>
      </c>
      <c r="BG69" t="str">
        <f t="shared" si="22"/>
        <v>u</v>
      </c>
      <c r="BH69" cm="1">
        <f t="array" ref="BH69">IFERROR(_xlfn._xlws.FILTER(shifts!A:A,(shifts!B:B=events!Z69)*(shifts!AG:AG&gt;=events!BJ69)*(shifts!AH:AH&lt;=events!BK69)),BH68)</f>
        <v>1</v>
      </c>
      <c r="BI69" s="15">
        <f t="shared" ref="BI69:BI132" si="160">IF(AND(AF69="",AG69=""),0,((AD69*60)+AE69)-((AF69*60)+AG69))</f>
        <v>0</v>
      </c>
      <c r="BJ69">
        <f t="shared" ref="BJ69:BJ132" si="161">(AD69*60)+AE69</f>
        <v>1028</v>
      </c>
      <c r="BK69">
        <f t="shared" ref="BK69:BK132" si="162">IF(AND(AF69="",AG69=""),BJ69,((AF69*60)+AG69))</f>
        <v>1028</v>
      </c>
      <c r="BL69" s="15">
        <f>SUMIFS(BI$2:BI69,K$2:K69,"=Intermission")+SUMIFS(BI$2:BI69,K$2:K69,"=Timeout")</f>
        <v>0</v>
      </c>
      <c r="BM69">
        <f t="shared" ref="BM69:BM132" si="163">IF(Z69=1,0,IF(Z69=2,1080+BL69,IF(Z69=3,(1080*2)+BL69,0)))</f>
        <v>0</v>
      </c>
      <c r="BN69" s="19">
        <f t="shared" ref="BN69:BN132" si="164">IF(K69="Intermission",BN68,((1080)-((AD69*60)+AE69))+BM69)</f>
        <v>52</v>
      </c>
      <c r="BO69">
        <f t="shared" ref="BO69:BO132" si="165">IF(BN69&lt;5,0,BN69-5)</f>
        <v>47</v>
      </c>
      <c r="BP69" s="17">
        <f t="shared" ref="BP69:BP132" si="166">BO69+BI69+5</f>
        <v>52</v>
      </c>
      <c r="BQ69" t="str">
        <f t="shared" ref="BQ69:BQ132" si="167">IF(AH69="e","event_team_player_"&amp;BR69,IF(AH69="o","opp_team_player_"&amp;BR69,""))</f>
        <v>opp_team_player_3</v>
      </c>
      <c r="BR69">
        <f>COUNTIFS(S$3:S69,"="&amp;S69,AH$3:AH69,"="&amp;AH69)</f>
        <v>3</v>
      </c>
      <c r="BS69" t="str">
        <f>IFERROR(VLOOKUP(BA69&amp;BT69&amp;X69,game_rosters!U:W,3,FALSE),"")</f>
        <v>P100108</v>
      </c>
      <c r="BT69" t="str">
        <f t="shared" ref="BT69:BT132" si="168">IF(AQ69="","",IF(AND(AQ69="Away",AH69="e"),BC69,IF(AND(AQ69="Home",AH69="e"),BB69,IF(AND(AQ69="Away",AH69="o"),BB69,IF(AND(AQ69="Home",AH69="o"),BC69)))))</f>
        <v>Velodrome</v>
      </c>
    </row>
    <row r="70" spans="1:72" x14ac:dyDescent="0.2">
      <c r="A70">
        <f t="shared" si="143"/>
        <v>1</v>
      </c>
      <c r="D70" s="26" t="s">
        <v>729</v>
      </c>
      <c r="E70" s="4"/>
      <c r="F70" s="45"/>
      <c r="G70" s="4"/>
      <c r="H70" s="47"/>
      <c r="J70" s="26" t="s">
        <v>368</v>
      </c>
      <c r="K70" t="s">
        <v>9</v>
      </c>
      <c r="L70" t="s">
        <v>173</v>
      </c>
      <c r="M70" t="s">
        <v>75</v>
      </c>
      <c r="N70" t="str">
        <f t="shared" si="83"/>
        <v>u</v>
      </c>
      <c r="Q70" t="str">
        <f t="shared" si="77"/>
        <v/>
      </c>
      <c r="S70">
        <f>IF(A70=1,MAX($S$2:$S69)+1,IF(OR($I70&lt;&gt;"",A70="x"),$S69,""))</f>
        <v>34</v>
      </c>
      <c r="T70">
        <f>IF(D70=1,MAX($T$2:$T69)+1,IF(S70=S69,$T69,IF(D70="x",T69,IF(D69="x","",""))))</f>
        <v>4</v>
      </c>
      <c r="U70" t="str">
        <f>IF(B70=1,MAX($U$2:$U69)+1,IF(AND($T70&lt;&gt;"",$T70=$T69),$U69,IF(B70="x",U69,"")))</f>
        <v/>
      </c>
      <c r="V70" t="str">
        <f>IF(C70=1,MAX($V$2:$V69)+1,IF(AND($T70&lt;&gt;"",$T70=$T69),$U69,IF(C70="x",V69,"")))</f>
        <v/>
      </c>
      <c r="W70" t="str" cm="1">
        <f t="array" ref="W70">IFERROR(_xlfn._xlws.FILTER(game_rosters!AC:AC,(game_rosters!J:J=events!X70)*(K70&lt;&gt;"")),"")</f>
        <v>h</v>
      </c>
      <c r="X70" cm="1">
        <f t="array" ref="X70">IF($I70&lt;&gt;"",$I70,INDEX($I$1:$I70,ROW()-COUNTIFS($T$1:$T70,"="&amp;$T70,$S$1:$S70,"&lt;"&amp;$S70)))</f>
        <v>16</v>
      </c>
      <c r="Y70" cm="1">
        <f t="array" ref="Y70">IFERROR(IF(_xlfn._xlws.FILTER(game_rosters!$J:$J,(game_rosters!$G:$G=events!$AM70)*(game_rosters!$J:$J=events!$X70))&gt;0,1,""),"")</f>
        <v>1</v>
      </c>
      <c r="Z70" s="6">
        <f t="shared" si="144"/>
        <v>1</v>
      </c>
      <c r="AA70">
        <f t="shared" si="145"/>
        <v>1034</v>
      </c>
      <c r="AB70">
        <f t="shared" si="146"/>
        <v>9004</v>
      </c>
      <c r="AC70">
        <f t="shared" si="147"/>
        <v>9004</v>
      </c>
      <c r="AD70" t="str">
        <f t="shared" si="148"/>
        <v>17</v>
      </c>
      <c r="AE70" t="str">
        <f t="shared" si="149"/>
        <v>08</v>
      </c>
      <c r="AF70" t="str">
        <f t="shared" si="150"/>
        <v/>
      </c>
      <c r="AG70" t="str">
        <f t="shared" si="151"/>
        <v/>
      </c>
      <c r="AH70" t="str">
        <f t="shared" si="90"/>
        <v>e</v>
      </c>
      <c r="AI70" t="str">
        <f t="shared" si="132"/>
        <v>o</v>
      </c>
      <c r="AJ70" t="str">
        <f t="shared" si="132"/>
        <v>o</v>
      </c>
      <c r="AK70" t="str">
        <f t="shared" si="92"/>
        <v>o</v>
      </c>
      <c r="AL70" t="str">
        <f t="shared" si="93"/>
        <v>d</v>
      </c>
      <c r="AM70" t="str">
        <f t="shared" si="152"/>
        <v>Home</v>
      </c>
      <c r="AN70" t="str">
        <f t="shared" si="94"/>
        <v>h</v>
      </c>
      <c r="AO70" t="str">
        <f t="shared" si="95"/>
        <v>o</v>
      </c>
      <c r="AP70" t="str">
        <f t="shared" si="96"/>
        <v>d</v>
      </c>
      <c r="AQ70" t="str">
        <f>IF(AM70&lt;&gt;"",AM70,IF($AC70=#REF!,#REF!,""))</f>
        <v>Home</v>
      </c>
      <c r="AR70" t="str">
        <f t="shared" si="97"/>
        <v>h</v>
      </c>
      <c r="AS70" t="str">
        <f t="shared" si="98"/>
        <v>Offensive</v>
      </c>
      <c r="AT70" t="str">
        <f t="shared" si="153"/>
        <v/>
      </c>
      <c r="AU70" t="str">
        <f t="shared" si="154"/>
        <v/>
      </c>
      <c r="AV70" t="str" cm="1">
        <f t="array" ref="AV70">IFERROR(IF(O70&lt;&gt;"",O70,IF(OR($S70="",$T70=""),"",IF(O70&lt;&gt;"",O70,IF($T70&lt;&gt;"",_xlfn._xlws.FILTER(O:O,($BT:$BT=$BT70)*($I:$I=$I70)*($T:$T=$T70)*($S:$S=_xlfn.MINIFS($S:$S,$T:$T,"="&amp;$T70)),"")))))&amp;"",IF(O70="","",""))&amp;""</f>
        <v/>
      </c>
      <c r="AW70" t="str" cm="1">
        <f t="array" ref="AW70">IFERROR(IF(P70&lt;&gt;"",P70,IF(OR($S70="",$T70=""),"",IF($T70&lt;&gt;"",_xlfn._xlws.FILTER(P:P,($BT:$BT=$BT70)*($I:$I=$I70)*($T:$T=$T70)*($S:$S=_xlfn.MINIFS($S:$S,$T:$T,"="&amp;$T70)),""))))&amp;"",IF(P70="","",""))&amp;""</f>
        <v/>
      </c>
      <c r="AX70" t="str" cm="1">
        <f t="array" ref="AX70">IFERROR(IF(Q70&lt;&gt;"",Q70,IF(OR($S70="",$T70=""),"",IF($T70&lt;&gt;"",_xlfn._xlws.FILTER(Q:Q,($BT:$BT=$BT70)*($I:$I=$I70)*($T:$T=$T70)*($S:$S=_xlfn.MINIFS($S:$S,$T:$T,"="&amp;$T70)),""))))&amp;"",IF(Q70="","",""))&amp;""</f>
        <v/>
      </c>
      <c r="AY70" t="str" cm="1">
        <f t="array" ref="AY70">IFERROR(IF(R70&lt;&gt;"",R70,IF(OR($S70="",$T70=""),"",IF($T70&lt;&gt;"",_xlfn._xlws.FILTER(R:R,($BT:$BT=$BT70)*($I:$I=$I70)*($T:$T=$T70)*($S:$S=_xlfn.MINIFS($S:$S,$T:$T,"="&amp;$T70)),""))))&amp;"",IF(R70="","",""))&amp;""</f>
        <v/>
      </c>
      <c r="AZ70" s="6">
        <f t="shared" si="155"/>
        <v>8</v>
      </c>
      <c r="BA70">
        <f t="shared" ref="BA70:BC70" si="169">BA69</f>
        <v>18991</v>
      </c>
      <c r="BB70" t="str">
        <f t="shared" si="169"/>
        <v>Triple J</v>
      </c>
      <c r="BC70" t="str">
        <f t="shared" si="169"/>
        <v>Velodrome</v>
      </c>
      <c r="BD70" t="str">
        <f t="shared" si="157"/>
        <v>Turnover</v>
      </c>
      <c r="BE70" t="str">
        <f t="shared" si="158"/>
        <v>Turnover_Giveaway</v>
      </c>
      <c r="BF70" t="str">
        <f t="shared" si="159"/>
        <v>Giveaway-PassBlocked</v>
      </c>
      <c r="BG70" t="str">
        <f t="shared" si="22"/>
        <v>u</v>
      </c>
      <c r="BH70" cm="1">
        <f t="array" ref="BH70">IFERROR(_xlfn._xlws.FILTER(shifts!A:A,(shifts!B:B=events!Z70)*(shifts!AG:AG&gt;=events!BJ70)*(shifts!AH:AH&lt;=events!BK70)),BH69)</f>
        <v>1</v>
      </c>
      <c r="BI70" s="15">
        <f t="shared" si="160"/>
        <v>0</v>
      </c>
      <c r="BJ70">
        <f t="shared" si="161"/>
        <v>1028</v>
      </c>
      <c r="BK70">
        <f t="shared" si="162"/>
        <v>1028</v>
      </c>
      <c r="BL70" s="15">
        <f>SUMIFS(BI$2:BI70,K$2:K70,"=Intermission")+SUMIFS(BI$2:BI70,K$2:K70,"=Timeout")</f>
        <v>0</v>
      </c>
      <c r="BM70">
        <f t="shared" si="163"/>
        <v>0</v>
      </c>
      <c r="BN70" s="19">
        <f t="shared" si="164"/>
        <v>52</v>
      </c>
      <c r="BO70">
        <f t="shared" si="165"/>
        <v>47</v>
      </c>
      <c r="BP70" s="17">
        <f t="shared" si="166"/>
        <v>52</v>
      </c>
      <c r="BQ70" t="str">
        <f t="shared" si="167"/>
        <v>event_team_player_1</v>
      </c>
      <c r="BR70">
        <f>COUNTIFS(S$3:S70,"="&amp;S70,AH$3:AH70,"="&amp;AH70)</f>
        <v>1</v>
      </c>
      <c r="BS70" t="str">
        <f>IFERROR(VLOOKUP(BA70&amp;BT70&amp;X70,game_rosters!U:W,3,FALSE),"")</f>
        <v>P100094</v>
      </c>
      <c r="BT70" t="str">
        <f t="shared" si="168"/>
        <v>Triple J</v>
      </c>
    </row>
    <row r="71" spans="1:72" x14ac:dyDescent="0.2">
      <c r="A71" t="str">
        <f t="shared" si="143"/>
        <v>x</v>
      </c>
      <c r="D71" s="26" t="s">
        <v>729</v>
      </c>
      <c r="E71" s="4"/>
      <c r="F71" s="45"/>
      <c r="G71" s="4"/>
      <c r="H71" s="47"/>
      <c r="J71" s="26" t="str">
        <f t="shared" ref="J71:J133" si="170">IF(OR(K71="Goal",K71="Shot",L71="Zone_Entry",M71="Stoppage-Goal",M70="Stoppage-Goal"),"o",IF(OR(K71="Save",K71="Rebound",L71="Zone_Exit",M71="Stoppage-GoalieStoppage",M70="Stoppage-GoalieStoppage"),"d",IF(OR(L71="Faceoff_AfterGoal",L71="Faceoff_PeriodStart",698="Faceoff_GameStart",M70="Stoppage-Goal"),"n","")))</f>
        <v/>
      </c>
      <c r="N71" t="str">
        <f t="shared" si="83"/>
        <v/>
      </c>
      <c r="Q71" t="str">
        <f t="shared" si="77"/>
        <v/>
      </c>
      <c r="S71">
        <f>IF(A71=1,MAX($S$2:$S70)+1,IF(OR($I71&lt;&gt;"",A71="x"),$S70,""))</f>
        <v>34</v>
      </c>
      <c r="T71">
        <f>IF(D71=1,MAX($T$2:$T70)+1,IF(S71=S70,$T70,IF(D71="x",T70,IF(D70="x","",""))))</f>
        <v>4</v>
      </c>
      <c r="U71" t="str">
        <f>IF(B71=1,MAX($U$2:$U70)+1,IF(AND($T71&lt;&gt;"",$T71=$T70),$U70,IF(B71="x",U70,"")))</f>
        <v/>
      </c>
      <c r="V71" t="str">
        <f>IF(C71=1,MAX($V$2:$V70)+1,IF(AND($T71&lt;&gt;"",$T71=$T70),$U70,IF(C71="x",V70,"")))</f>
        <v/>
      </c>
      <c r="W71" t="str" cm="1">
        <f t="array" ref="W71">IFERROR(_xlfn._xlws.FILTER(game_rosters!AC:AC,(game_rosters!J:J=events!X71)*(K71&lt;&gt;"")),"")</f>
        <v/>
      </c>
      <c r="X71" cm="1">
        <f t="array" ref="X71">IF($I71&lt;&gt;"",$I71,INDEX($I$1:$I71,ROW()-COUNTIFS($T$1:$T71,"="&amp;$T71,$S$1:$S71,"&lt;"&amp;$S71)))</f>
        <v>12</v>
      </c>
      <c r="Y71" t="str" cm="1">
        <f t="array" ref="Y71">IFERROR(IF(_xlfn._xlws.FILTER(game_rosters!$J:$J,(game_rosters!$G:$G=events!$AM71)*(game_rosters!$J:$J=events!$X71))&gt;0,1,""),"")</f>
        <v/>
      </c>
      <c r="Z71" s="6">
        <f t="shared" si="144"/>
        <v>1</v>
      </c>
      <c r="AA71">
        <f t="shared" si="145"/>
        <v>1034</v>
      </c>
      <c r="AB71">
        <f t="shared" si="146"/>
        <v>9004</v>
      </c>
      <c r="AC71">
        <f t="shared" si="147"/>
        <v>9004</v>
      </c>
      <c r="AD71" t="str">
        <f t="shared" si="148"/>
        <v>17</v>
      </c>
      <c r="AE71" t="str">
        <f t="shared" si="149"/>
        <v>08</v>
      </c>
      <c r="AF71" t="str">
        <f t="shared" si="150"/>
        <v/>
      </c>
      <c r="AG71" t="str">
        <f t="shared" si="151"/>
        <v/>
      </c>
      <c r="AH71" t="str">
        <f t="shared" si="90"/>
        <v>o</v>
      </c>
      <c r="AI71" t="str">
        <f t="shared" si="132"/>
        <v>o</v>
      </c>
      <c r="AJ71" t="str">
        <f t="shared" si="132"/>
        <v>o</v>
      </c>
      <c r="AK71" t="str">
        <f t="shared" si="92"/>
        <v/>
      </c>
      <c r="AL71" t="str">
        <f t="shared" si="93"/>
        <v/>
      </c>
      <c r="AM71" t="str">
        <f t="shared" si="152"/>
        <v>Home</v>
      </c>
      <c r="AN71" t="str">
        <f t="shared" si="94"/>
        <v>h</v>
      </c>
      <c r="AO71" t="str">
        <f t="shared" si="95"/>
        <v>o</v>
      </c>
      <c r="AP71" t="str">
        <f t="shared" si="96"/>
        <v>d</v>
      </c>
      <c r="AQ71" t="str">
        <f>IF(AM71&lt;&gt;"",AM71,IF($AC71=#REF!,#REF!,""))</f>
        <v>Home</v>
      </c>
      <c r="AR71" t="str">
        <f t="shared" si="97"/>
        <v>h</v>
      </c>
      <c r="AS71" t="str">
        <f t="shared" si="98"/>
        <v>Defensive</v>
      </c>
      <c r="AT71" t="str">
        <f t="shared" si="153"/>
        <v/>
      </c>
      <c r="AU71" t="str">
        <f t="shared" si="154"/>
        <v/>
      </c>
      <c r="AV71" t="str" cm="1">
        <f t="array" ref="AV71">IFERROR(IF(O71&lt;&gt;"",O71,IF(OR($S71="",$T71=""),"",IF(O71&lt;&gt;"",O71,IF($T71&lt;&gt;"",_xlfn._xlws.FILTER(O:O,($BT:$BT=$BT71)*($I:$I=$I71)*($T:$T=$T71)*($S:$S=_xlfn.MINIFS($S:$S,$T:$T,"="&amp;$T71)),"")))))&amp;"",IF(O71="","",""))&amp;""</f>
        <v/>
      </c>
      <c r="AW71" t="str" cm="1">
        <f t="array" ref="AW71">IFERROR(IF(P71&lt;&gt;"",P71,IF(OR($S71="",$T71=""),"",IF($T71&lt;&gt;"",_xlfn._xlws.FILTER(P:P,($BT:$BT=$BT71)*($I:$I=$I71)*($T:$T=$T71)*($S:$S=_xlfn.MINIFS($S:$S,$T:$T,"="&amp;$T71)),""))))&amp;"",IF(P71="","",""))&amp;""</f>
        <v/>
      </c>
      <c r="AX71" t="str" cm="1">
        <f t="array" ref="AX71">IFERROR(IF(Q71&lt;&gt;"",Q71,IF(OR($S71="",$T71=""),"",IF($T71&lt;&gt;"",_xlfn._xlws.FILTER(Q:Q,($BT:$BT=$BT71)*($I:$I=$I71)*($T:$T=$T71)*($S:$S=_xlfn.MINIFS($S:$S,$T:$T,"="&amp;$T71)),""))))&amp;"",IF(Q71="","",""))&amp;""</f>
        <v/>
      </c>
      <c r="AY71" t="str" cm="1">
        <f t="array" ref="AY71">IFERROR(IF(R71&lt;&gt;"",R71,IF(OR($S71="",$T71=""),"",IF($T71&lt;&gt;"",_xlfn._xlws.FILTER(R:R,($BT:$BT=$BT71)*($I:$I=$I71)*($T:$T=$T71)*($S:$S=_xlfn.MINIFS($S:$S,$T:$T,"="&amp;$T71)),""))))&amp;"",IF(R71="","",""))&amp;""</f>
        <v/>
      </c>
      <c r="AZ71" s="6">
        <f t="shared" si="155"/>
        <v>8</v>
      </c>
      <c r="BA71">
        <f t="shared" ref="BA71:BC71" si="171">BA70</f>
        <v>18991</v>
      </c>
      <c r="BB71" t="str">
        <f t="shared" si="171"/>
        <v>Triple J</v>
      </c>
      <c r="BC71" t="str">
        <f t="shared" si="171"/>
        <v>Velodrome</v>
      </c>
      <c r="BD71" t="str">
        <f t="shared" si="157"/>
        <v>Turnover</v>
      </c>
      <c r="BE71" t="str">
        <f t="shared" si="158"/>
        <v>Turnover_Giveaway</v>
      </c>
      <c r="BF71" t="str">
        <f t="shared" si="159"/>
        <v>Giveaway-PassBlocked</v>
      </c>
      <c r="BG71" t="str">
        <f t="shared" si="22"/>
        <v>u</v>
      </c>
      <c r="BH71" cm="1">
        <f t="array" ref="BH71">IFERROR(_xlfn._xlws.FILTER(shifts!A:A,(shifts!B:B=events!Z71)*(shifts!AG:AG&gt;=events!BJ71)*(shifts!AH:AH&lt;=events!BK71)),BH70)</f>
        <v>1</v>
      </c>
      <c r="BI71" s="15">
        <f t="shared" si="160"/>
        <v>0</v>
      </c>
      <c r="BJ71">
        <f t="shared" si="161"/>
        <v>1028</v>
      </c>
      <c r="BK71">
        <f t="shared" si="162"/>
        <v>1028</v>
      </c>
      <c r="BL71" s="15">
        <f>SUMIFS(BI$2:BI71,K$2:K71,"=Intermission")+SUMIFS(BI$2:BI71,K$2:K71,"=Timeout")</f>
        <v>0</v>
      </c>
      <c r="BM71">
        <f t="shared" si="163"/>
        <v>0</v>
      </c>
      <c r="BN71" s="19">
        <f t="shared" si="164"/>
        <v>52</v>
      </c>
      <c r="BO71">
        <f t="shared" si="165"/>
        <v>47</v>
      </c>
      <c r="BP71" s="17">
        <f t="shared" si="166"/>
        <v>52</v>
      </c>
      <c r="BQ71" t="str">
        <f t="shared" si="167"/>
        <v>opp_team_player_1</v>
      </c>
      <c r="BR71">
        <f>COUNTIFS(S$3:S71,"="&amp;S71,AH$3:AH71,"="&amp;AH71)</f>
        <v>1</v>
      </c>
      <c r="BS71" t="str">
        <f>IFERROR(VLOOKUP(BA71&amp;BT71&amp;X71,game_rosters!U:W,3,FALSE),"")</f>
        <v/>
      </c>
      <c r="BT71" t="str">
        <f t="shared" si="168"/>
        <v>Velodrome</v>
      </c>
    </row>
    <row r="72" spans="1:72" x14ac:dyDescent="0.2">
      <c r="A72" t="str">
        <f t="shared" si="143"/>
        <v>x</v>
      </c>
      <c r="D72" s="26" t="s">
        <v>729</v>
      </c>
      <c r="E72" s="4"/>
      <c r="F72" s="45"/>
      <c r="G72" s="4"/>
      <c r="H72" s="47"/>
      <c r="J72" s="26" t="str">
        <f t="shared" si="170"/>
        <v/>
      </c>
      <c r="N72" t="str">
        <f t="shared" si="83"/>
        <v/>
      </c>
      <c r="Q72" t="str">
        <f t="shared" si="77"/>
        <v/>
      </c>
      <c r="S72">
        <f>IF(A72=1,MAX($S$2:$S71)+1,IF(OR($I72&lt;&gt;"",A72="x"),$S71,""))</f>
        <v>34</v>
      </c>
      <c r="T72">
        <f>IF(D72=1,MAX($T$2:$T71)+1,IF(S72=S71,$T71,IF(D72="x",T71,IF(D71="x","",""))))</f>
        <v>4</v>
      </c>
      <c r="U72" t="str">
        <f>IF(B72=1,MAX($U$2:$U71)+1,IF(AND($T72&lt;&gt;"",$T72=$T71),$U71,IF(B72="x",U71,"")))</f>
        <v/>
      </c>
      <c r="V72" t="str">
        <f>IF(C72=1,MAX($V$2:$V71)+1,IF(AND($T72&lt;&gt;"",$T72=$T71),$U71,IF(C72="x",V71,"")))</f>
        <v/>
      </c>
      <c r="W72" t="str" cm="1">
        <f t="array" ref="W72">IFERROR(_xlfn._xlws.FILTER(game_rosters!AC:AC,(game_rosters!J:J=events!X72)*(K72&lt;&gt;"")),"")</f>
        <v/>
      </c>
      <c r="X72" cm="1">
        <f t="array" ref="X72">IF($I72&lt;&gt;"",$I72,INDEX($I$1:$I72,ROW()-COUNTIFS($T$1:$T72,"="&amp;$T72,$S$1:$S72,"&lt;"&amp;$S72)))</f>
        <v>70</v>
      </c>
      <c r="Y72" t="str" cm="1">
        <f t="array" ref="Y72">IFERROR(IF(_xlfn._xlws.FILTER(game_rosters!$J:$J,(game_rosters!$G:$G=events!$AM72)*(game_rosters!$J:$J=events!$X72))&gt;0,1,""),"")</f>
        <v/>
      </c>
      <c r="Z72" s="6">
        <f t="shared" si="144"/>
        <v>1</v>
      </c>
      <c r="AA72">
        <f t="shared" si="145"/>
        <v>1034</v>
      </c>
      <c r="AB72">
        <f t="shared" si="146"/>
        <v>9004</v>
      </c>
      <c r="AC72">
        <f t="shared" si="147"/>
        <v>9004</v>
      </c>
      <c r="AD72" t="str">
        <f t="shared" si="148"/>
        <v>17</v>
      </c>
      <c r="AE72" t="str">
        <f t="shared" si="149"/>
        <v>08</v>
      </c>
      <c r="AF72" t="str">
        <f t="shared" si="150"/>
        <v/>
      </c>
      <c r="AG72" t="str">
        <f t="shared" si="151"/>
        <v/>
      </c>
      <c r="AH72" t="str">
        <f t="shared" si="90"/>
        <v>o</v>
      </c>
      <c r="AI72" t="str">
        <f t="shared" si="132"/>
        <v>o</v>
      </c>
      <c r="AJ72" t="str">
        <f t="shared" si="132"/>
        <v>o</v>
      </c>
      <c r="AK72" t="str">
        <f t="shared" si="92"/>
        <v/>
      </c>
      <c r="AL72" t="str">
        <f t="shared" si="93"/>
        <v/>
      </c>
      <c r="AM72" t="str">
        <f t="shared" si="152"/>
        <v>Home</v>
      </c>
      <c r="AN72" t="str">
        <f t="shared" si="94"/>
        <v>h</v>
      </c>
      <c r="AO72" t="str">
        <f t="shared" si="95"/>
        <v>o</v>
      </c>
      <c r="AP72" t="str">
        <f t="shared" si="96"/>
        <v>d</v>
      </c>
      <c r="AQ72" t="str">
        <f>IF(AM72&lt;&gt;"",AM72,IF($AC72=#REF!,#REF!,""))</f>
        <v>Home</v>
      </c>
      <c r="AR72" t="str">
        <f t="shared" si="97"/>
        <v>h</v>
      </c>
      <c r="AS72" t="str">
        <f t="shared" si="98"/>
        <v>Defensive</v>
      </c>
      <c r="AT72" t="str">
        <f t="shared" si="153"/>
        <v/>
      </c>
      <c r="AU72" t="str">
        <f t="shared" si="154"/>
        <v/>
      </c>
      <c r="AV72" t="str" cm="1">
        <f t="array" ref="AV72">IFERROR(IF(O72&lt;&gt;"",O72,IF(OR($S72="",$T72=""),"",IF(O72&lt;&gt;"",O72,IF($T72&lt;&gt;"",_xlfn._xlws.FILTER(O:O,($BT:$BT=$BT72)*($I:$I=$I72)*($T:$T=$T72)*($S:$S=_xlfn.MINIFS($S:$S,$T:$T,"="&amp;$T72)),"")))))&amp;"",IF(O72="","",""))&amp;""</f>
        <v/>
      </c>
      <c r="AW72" t="str" cm="1">
        <f t="array" ref="AW72">IFERROR(IF(P72&lt;&gt;"",P72,IF(OR($S72="",$T72=""),"",IF($T72&lt;&gt;"",_xlfn._xlws.FILTER(P:P,($BT:$BT=$BT72)*($I:$I=$I72)*($T:$T=$T72)*($S:$S=_xlfn.MINIFS($S:$S,$T:$T,"="&amp;$T72)),""))))&amp;"",IF(P72="","",""))&amp;""</f>
        <v/>
      </c>
      <c r="AX72" t="str" cm="1">
        <f t="array" ref="AX72">IFERROR(IF(Q72&lt;&gt;"",Q72,IF(OR($S72="",$T72=""),"",IF($T72&lt;&gt;"",_xlfn._xlws.FILTER(Q:Q,($BT:$BT=$BT72)*($I:$I=$I72)*($T:$T=$T72)*($S:$S=_xlfn.MINIFS($S:$S,$T:$T,"="&amp;$T72)),""))))&amp;"",IF(Q72="","",""))&amp;""</f>
        <v/>
      </c>
      <c r="AY72" t="str" cm="1">
        <f t="array" ref="AY72">IFERROR(IF(R72&lt;&gt;"",R72,IF(OR($S72="",$T72=""),"",IF($T72&lt;&gt;"",_xlfn._xlws.FILTER(R:R,($BT:$BT=$BT72)*($I:$I=$I72)*($T:$T=$T72)*($S:$S=_xlfn.MINIFS($S:$S,$T:$T,"="&amp;$T72)),""))))&amp;"",IF(R72="","",""))&amp;""</f>
        <v/>
      </c>
      <c r="AZ72" s="6">
        <f t="shared" si="155"/>
        <v>8</v>
      </c>
      <c r="BA72">
        <f t="shared" ref="BA72:BC72" si="172">BA71</f>
        <v>18991</v>
      </c>
      <c r="BB72" t="str">
        <f t="shared" si="172"/>
        <v>Triple J</v>
      </c>
      <c r="BC72" t="str">
        <f t="shared" si="172"/>
        <v>Velodrome</v>
      </c>
      <c r="BD72" t="str">
        <f t="shared" si="157"/>
        <v>Turnover</v>
      </c>
      <c r="BE72" t="str">
        <f t="shared" si="158"/>
        <v>Turnover_Giveaway</v>
      </c>
      <c r="BF72" t="str">
        <f t="shared" si="159"/>
        <v>Giveaway-PassBlocked</v>
      </c>
      <c r="BG72" t="str">
        <f t="shared" si="22"/>
        <v>u</v>
      </c>
      <c r="BH72" cm="1">
        <f t="array" ref="BH72">IFERROR(_xlfn._xlws.FILTER(shifts!A:A,(shifts!B:B=events!Z72)*(shifts!AG:AG&gt;=events!BJ72)*(shifts!AH:AH&lt;=events!BK72)),BH71)</f>
        <v>1</v>
      </c>
      <c r="BI72" s="15">
        <f t="shared" si="160"/>
        <v>0</v>
      </c>
      <c r="BJ72">
        <f t="shared" si="161"/>
        <v>1028</v>
      </c>
      <c r="BK72">
        <f t="shared" si="162"/>
        <v>1028</v>
      </c>
      <c r="BL72" s="15">
        <f>SUMIFS(BI$2:BI72,K$2:K72,"=Intermission")+SUMIFS(BI$2:BI72,K$2:K72,"=Timeout")</f>
        <v>0</v>
      </c>
      <c r="BM72">
        <f t="shared" si="163"/>
        <v>0</v>
      </c>
      <c r="BN72" s="19">
        <f t="shared" si="164"/>
        <v>52</v>
      </c>
      <c r="BO72">
        <f t="shared" si="165"/>
        <v>47</v>
      </c>
      <c r="BP72" s="17">
        <f t="shared" si="166"/>
        <v>52</v>
      </c>
      <c r="BQ72" t="str">
        <f t="shared" si="167"/>
        <v>opp_team_player_2</v>
      </c>
      <c r="BR72">
        <f>COUNTIFS(S$3:S72,"="&amp;S72,AH$3:AH72,"="&amp;AH72)</f>
        <v>2</v>
      </c>
      <c r="BS72" t="str">
        <f>IFERROR(VLOOKUP(BA72&amp;BT72&amp;X72,game_rosters!U:W,3,FALSE),"")</f>
        <v>P100001</v>
      </c>
      <c r="BT72" t="str">
        <f t="shared" si="168"/>
        <v>Velodrome</v>
      </c>
    </row>
    <row r="73" spans="1:72" x14ac:dyDescent="0.2">
      <c r="A73" t="str">
        <f t="shared" si="143"/>
        <v>x</v>
      </c>
      <c r="D73" s="26" t="s">
        <v>729</v>
      </c>
      <c r="E73" s="4"/>
      <c r="F73" s="45"/>
      <c r="G73" s="4"/>
      <c r="H73" s="47"/>
      <c r="J73" s="26" t="str">
        <f t="shared" si="170"/>
        <v/>
      </c>
      <c r="N73" t="str">
        <f t="shared" si="83"/>
        <v/>
      </c>
      <c r="Q73" t="str">
        <f t="shared" si="77"/>
        <v/>
      </c>
      <c r="S73">
        <f>IF(A73=1,MAX($S$2:$S72)+1,IF(OR($I73&lt;&gt;"",A73="x"),$S72,""))</f>
        <v>34</v>
      </c>
      <c r="T73">
        <f>IF(D73=1,MAX($T$2:$T72)+1,IF(S73=S72,$T72,IF(D73="x",T72,IF(D72="x","",""))))</f>
        <v>4</v>
      </c>
      <c r="U73" t="str">
        <f>IF(B73=1,MAX($U$2:$U72)+1,IF(AND($T73&lt;&gt;"",$T73=$T72),$U72,IF(B73="x",U72,"")))</f>
        <v/>
      </c>
      <c r="V73" t="str">
        <f>IF(C73=1,MAX($V$2:$V72)+1,IF(AND($T73&lt;&gt;"",$T73=$T72),$U72,IF(C73="x",V72,"")))</f>
        <v/>
      </c>
      <c r="W73" t="str" cm="1">
        <f t="array" ref="W73">IFERROR(_xlfn._xlws.FILTER(game_rosters!AC:AC,(game_rosters!J:J=events!X73)*(K73&lt;&gt;"")),"")</f>
        <v/>
      </c>
      <c r="X73" cm="1">
        <f t="array" ref="X73">IF($I73&lt;&gt;"",$I73,INDEX($I$1:$I73,ROW()-COUNTIFS($T$1:$T73,"="&amp;$T73,$S$1:$S73,"&lt;"&amp;$S73)))</f>
        <v>22</v>
      </c>
      <c r="Y73" t="str" cm="1">
        <f t="array" ref="Y73">IFERROR(IF(_xlfn._xlws.FILTER(game_rosters!$J:$J,(game_rosters!$G:$G=events!$AM73)*(game_rosters!$J:$J=events!$X73))&gt;0,1,""),"")</f>
        <v/>
      </c>
      <c r="Z73" s="6">
        <f t="shared" si="144"/>
        <v>1</v>
      </c>
      <c r="AA73">
        <f t="shared" si="145"/>
        <v>1034</v>
      </c>
      <c r="AB73">
        <f t="shared" si="146"/>
        <v>9004</v>
      </c>
      <c r="AC73">
        <f t="shared" si="147"/>
        <v>9004</v>
      </c>
      <c r="AD73" t="str">
        <f t="shared" si="148"/>
        <v>17</v>
      </c>
      <c r="AE73" t="str">
        <f t="shared" si="149"/>
        <v>08</v>
      </c>
      <c r="AF73" t="str">
        <f t="shared" si="150"/>
        <v/>
      </c>
      <c r="AG73" t="str">
        <f t="shared" si="151"/>
        <v/>
      </c>
      <c r="AH73" t="str">
        <f t="shared" si="90"/>
        <v>o</v>
      </c>
      <c r="AI73" t="str">
        <f t="shared" si="132"/>
        <v>o</v>
      </c>
      <c r="AJ73" t="str">
        <f t="shared" si="132"/>
        <v>o</v>
      </c>
      <c r="AK73" t="str">
        <f t="shared" si="92"/>
        <v/>
      </c>
      <c r="AL73" t="str">
        <f t="shared" si="93"/>
        <v/>
      </c>
      <c r="AM73" t="str">
        <f t="shared" si="152"/>
        <v>Home</v>
      </c>
      <c r="AN73" t="str">
        <f t="shared" si="94"/>
        <v>h</v>
      </c>
      <c r="AO73" t="str">
        <f t="shared" si="95"/>
        <v>o</v>
      </c>
      <c r="AP73" t="str">
        <f t="shared" si="96"/>
        <v>d</v>
      </c>
      <c r="AQ73" t="str">
        <f>IF(AM73&lt;&gt;"",AM73,IF($AC73=#REF!,#REF!,""))</f>
        <v>Home</v>
      </c>
      <c r="AR73" t="str">
        <f t="shared" si="97"/>
        <v>h</v>
      </c>
      <c r="AS73" t="str">
        <f t="shared" si="98"/>
        <v>Defensive</v>
      </c>
      <c r="AT73" t="str">
        <f t="shared" si="153"/>
        <v/>
      </c>
      <c r="AU73" t="str">
        <f t="shared" si="154"/>
        <v/>
      </c>
      <c r="AV73" t="str" cm="1">
        <f t="array" ref="AV73">IFERROR(IF(O73&lt;&gt;"",O73,IF(OR($S73="",$T73=""),"",IF(O73&lt;&gt;"",O73,IF($T73&lt;&gt;"",_xlfn._xlws.FILTER(O:O,($BT:$BT=$BT73)*($I:$I=$I73)*($T:$T=$T73)*($S:$S=_xlfn.MINIFS($S:$S,$T:$T,"="&amp;$T73)),"")))))&amp;"",IF(O73="","",""))&amp;""</f>
        <v/>
      </c>
      <c r="AW73" t="str" cm="1">
        <f t="array" ref="AW73">IFERROR(IF(P73&lt;&gt;"",P73,IF(OR($S73="",$T73=""),"",IF($T73&lt;&gt;"",_xlfn._xlws.FILTER(P:P,($BT:$BT=$BT73)*($I:$I=$I73)*($T:$T=$T73)*($S:$S=_xlfn.MINIFS($S:$S,$T:$T,"="&amp;$T73)),""))))&amp;"",IF(P73="","",""))&amp;""</f>
        <v/>
      </c>
      <c r="AX73" t="str" cm="1">
        <f t="array" ref="AX73">IFERROR(IF(Q73&lt;&gt;"",Q73,IF(OR($S73="",$T73=""),"",IF($T73&lt;&gt;"",_xlfn._xlws.FILTER(Q:Q,($BT:$BT=$BT73)*($I:$I=$I73)*($T:$T=$T73)*($S:$S=_xlfn.MINIFS($S:$S,$T:$T,"="&amp;$T73)),""))))&amp;"",IF(Q73="","",""))&amp;""</f>
        <v/>
      </c>
      <c r="AY73" t="str" cm="1">
        <f t="array" ref="AY73">IFERROR(IF(R73&lt;&gt;"",R73,IF(OR($S73="",$T73=""),"",IF($T73&lt;&gt;"",_xlfn._xlws.FILTER(R:R,($BT:$BT=$BT73)*($I:$I=$I73)*($T:$T=$T73)*($S:$S=_xlfn.MINIFS($S:$S,$T:$T,"="&amp;$T73)),""))))&amp;"",IF(R73="","",""))&amp;""</f>
        <v/>
      </c>
      <c r="AZ73" s="6">
        <f t="shared" si="155"/>
        <v>8</v>
      </c>
      <c r="BA73">
        <f t="shared" ref="BA73:BC73" si="173">BA72</f>
        <v>18991</v>
      </c>
      <c r="BB73" t="str">
        <f t="shared" si="173"/>
        <v>Triple J</v>
      </c>
      <c r="BC73" t="str">
        <f t="shared" si="173"/>
        <v>Velodrome</v>
      </c>
      <c r="BD73" t="str">
        <f t="shared" si="157"/>
        <v>Turnover</v>
      </c>
      <c r="BE73" t="str">
        <f t="shared" si="158"/>
        <v>Turnover_Giveaway</v>
      </c>
      <c r="BF73" t="str">
        <f t="shared" si="159"/>
        <v>Giveaway-PassBlocked</v>
      </c>
      <c r="BG73" t="str">
        <f t="shared" si="22"/>
        <v>u</v>
      </c>
      <c r="BH73" cm="1">
        <f t="array" ref="BH73">IFERROR(_xlfn._xlws.FILTER(shifts!A:A,(shifts!B:B=events!Z73)*(shifts!AG:AG&gt;=events!BJ73)*(shifts!AH:AH&lt;=events!BK73)),BH72)</f>
        <v>1</v>
      </c>
      <c r="BI73" s="15">
        <f t="shared" si="160"/>
        <v>0</v>
      </c>
      <c r="BJ73">
        <f t="shared" si="161"/>
        <v>1028</v>
      </c>
      <c r="BK73">
        <f t="shared" si="162"/>
        <v>1028</v>
      </c>
      <c r="BL73" s="15">
        <f>SUMIFS(BI$2:BI73,K$2:K73,"=Intermission")+SUMIFS(BI$2:BI73,K$2:K73,"=Timeout")</f>
        <v>0</v>
      </c>
      <c r="BM73">
        <f t="shared" si="163"/>
        <v>0</v>
      </c>
      <c r="BN73" s="19">
        <f t="shared" si="164"/>
        <v>52</v>
      </c>
      <c r="BO73">
        <f t="shared" si="165"/>
        <v>47</v>
      </c>
      <c r="BP73" s="17">
        <f t="shared" si="166"/>
        <v>52</v>
      </c>
      <c r="BQ73" t="str">
        <f t="shared" si="167"/>
        <v>opp_team_player_3</v>
      </c>
      <c r="BR73">
        <f>COUNTIFS(S$3:S73,"="&amp;S73,AH$3:AH73,"="&amp;AH73)</f>
        <v>3</v>
      </c>
      <c r="BS73" t="str">
        <f>IFERROR(VLOOKUP(BA73&amp;BT73&amp;X73,game_rosters!U:W,3,FALSE),"")</f>
        <v>P100108</v>
      </c>
      <c r="BT73" t="str">
        <f t="shared" si="168"/>
        <v>Velodrome</v>
      </c>
    </row>
    <row r="74" spans="1:72" x14ac:dyDescent="0.2">
      <c r="A74">
        <f t="shared" si="143"/>
        <v>1</v>
      </c>
      <c r="E74" s="4"/>
      <c r="F74" s="45" t="s">
        <v>1042</v>
      </c>
      <c r="G74" s="4"/>
      <c r="H74" s="47" t="s">
        <v>1040</v>
      </c>
      <c r="I74" s="26">
        <v>70</v>
      </c>
      <c r="J74" s="26" t="s">
        <v>736</v>
      </c>
      <c r="K74" t="s">
        <v>13</v>
      </c>
      <c r="L74" t="s">
        <v>586</v>
      </c>
      <c r="N74" t="s">
        <v>595</v>
      </c>
      <c r="O74" t="s">
        <v>907</v>
      </c>
      <c r="Q74" t="str">
        <f t="shared" si="77"/>
        <v>s</v>
      </c>
      <c r="R74" s="26">
        <v>1</v>
      </c>
      <c r="S74">
        <f>IF(A74=1,MAX($S$2:$S73)+1,IF(OR($I74&lt;&gt;"",A74="x"),$S73,""))</f>
        <v>35</v>
      </c>
      <c r="T74" t="str">
        <f>IF(D74=1,MAX($T$2:$T73)+1,IF(S74=S73,$T73,IF(D74="x",T73,IF(D73="x","",""))))</f>
        <v/>
      </c>
      <c r="U74" t="str">
        <f>IF(B74=1,MAX($U$2:$U73)+1,IF(AND($T74&lt;&gt;"",$T74=$T73),$U73,IF(B74="x",U73,"")))</f>
        <v/>
      </c>
      <c r="V74" t="str">
        <f>IF(C74=1,MAX($V$2:$V73)+1,IF(AND($T74&lt;&gt;"",$T74=$T73),$U73,IF(C74="x",V73,"")))</f>
        <v/>
      </c>
      <c r="W74" t="str" cm="1">
        <f t="array" ref="W74">IFERROR(_xlfn._xlws.FILTER(game_rosters!AC:AC,(game_rosters!J:J=events!X74)*(K74&lt;&gt;"")),"")</f>
        <v>a</v>
      </c>
      <c r="X74" cm="1">
        <f t="array" ref="X74">IF($I74&lt;&gt;"",$I74,INDEX($I$1:$I74,ROW()-COUNTIFS($T$1:$T74,"="&amp;$T74,$S$1:$S74,"&lt;"&amp;$S74)))</f>
        <v>70</v>
      </c>
      <c r="Y74" cm="1">
        <f t="array" ref="Y74">IFERROR(IF(_xlfn._xlws.FILTER(game_rosters!$J:$J,(game_rosters!$G:$G=events!$AM74)*(game_rosters!$J:$J=events!$X74))&gt;0,1,""),"")</f>
        <v>1</v>
      </c>
      <c r="Z74" s="6">
        <f t="shared" si="144"/>
        <v>1</v>
      </c>
      <c r="AA74">
        <f t="shared" si="145"/>
        <v>1035</v>
      </c>
      <c r="AB74" t="str">
        <f t="shared" si="146"/>
        <v/>
      </c>
      <c r="AC74">
        <f t="shared" si="147"/>
        <v>1035</v>
      </c>
      <c r="AD74" t="str">
        <f t="shared" si="148"/>
        <v>17</v>
      </c>
      <c r="AE74" t="str">
        <f t="shared" si="149"/>
        <v>06</v>
      </c>
      <c r="AF74" t="str">
        <f t="shared" si="150"/>
        <v>17</v>
      </c>
      <c r="AG74" t="str">
        <f t="shared" si="151"/>
        <v>02</v>
      </c>
      <c r="AH74" t="str">
        <f t="shared" si="90"/>
        <v>e</v>
      </c>
      <c r="AI74" t="str">
        <f t="shared" si="132"/>
        <v>d</v>
      </c>
      <c r="AJ74" t="str">
        <f t="shared" si="132"/>
        <v>d</v>
      </c>
      <c r="AK74" t="str">
        <f t="shared" si="92"/>
        <v>o</v>
      </c>
      <c r="AL74" t="str">
        <f t="shared" si="93"/>
        <v>d</v>
      </c>
      <c r="AM74" t="str">
        <f t="shared" si="152"/>
        <v>Away</v>
      </c>
      <c r="AN74" t="str">
        <f t="shared" si="94"/>
        <v>a</v>
      </c>
      <c r="AO74" t="str">
        <f t="shared" si="95"/>
        <v>o</v>
      </c>
      <c r="AP74" t="str">
        <f t="shared" si="96"/>
        <v>d</v>
      </c>
      <c r="AQ74" t="str">
        <f>IF(AM74&lt;&gt;"",AM74,IF($AC74=#REF!,#REF!,""))</f>
        <v>Away</v>
      </c>
      <c r="AR74" t="str">
        <f t="shared" si="97"/>
        <v>a</v>
      </c>
      <c r="AS74" t="str">
        <f t="shared" si="98"/>
        <v>Offensive</v>
      </c>
      <c r="AT74" t="str">
        <f t="shared" si="153"/>
        <v/>
      </c>
      <c r="AU74" t="str">
        <f t="shared" si="154"/>
        <v/>
      </c>
      <c r="AV74" t="str" cm="1">
        <f t="array" ref="AV74">IFERROR(IF(O74&lt;&gt;"",O74,IF(OR($S74="",$T74=""),"",IF(O74&lt;&gt;"",O74,IF($T74&lt;&gt;"",_xlfn._xlws.FILTER(O:O,($BT:$BT=$BT74)*($I:$I=$I74)*($T:$T=$T74)*($S:$S=_xlfn.MINIFS($S:$S,$T:$T,"="&amp;$T74)),"")))))&amp;"",IF(O74="","",""))&amp;""</f>
        <v>PuckRecoveryRetreivalPass</v>
      </c>
      <c r="AW74" t="str" cm="1">
        <f t="array" ref="AW74">IFERROR(IF(P74&lt;&gt;"",P74,IF(OR($S74="",$T74=""),"",IF($T74&lt;&gt;"",_xlfn._xlws.FILTER(P:P,($BT:$BT=$BT74)*($I:$I=$I74)*($T:$T=$T74)*($S:$S=_xlfn.MINIFS($S:$S,$T:$T,"="&amp;$T74)),""))))&amp;"",IF(P74="","",""))&amp;""</f>
        <v/>
      </c>
      <c r="AX74" t="str" cm="1">
        <f t="array" ref="AX74">IFERROR(IF(Q74&lt;&gt;"",Q74,IF(OR($S74="",$T74=""),"",IF($T74&lt;&gt;"",_xlfn._xlws.FILTER(Q:Q,($BT:$BT=$BT74)*($I:$I=$I74)*($T:$T=$T74)*($S:$S=_xlfn.MINIFS($S:$S,$T:$T,"="&amp;$T74)),""))))&amp;"",IF(Q74="","",""))&amp;""</f>
        <v>s</v>
      </c>
      <c r="AY74" t="str" cm="1">
        <f t="array" ref="AY74">IFERROR(IF(R74&lt;&gt;"",R74,IF(OR($S74="",$T74=""),"",IF($T74&lt;&gt;"",_xlfn._xlws.FILTER(R:R,($BT:$BT=$BT74)*($I:$I=$I74)*($T:$T=$T74)*($S:$S=_xlfn.MINIFS($S:$S,$T:$T,"="&amp;$T74)),""))))&amp;"",IF(R74="","",""))&amp;""</f>
        <v>1</v>
      </c>
      <c r="AZ74" s="6">
        <f t="shared" si="155"/>
        <v>8</v>
      </c>
      <c r="BA74">
        <f t="shared" ref="BA74:BC74" si="174">BA73</f>
        <v>18991</v>
      </c>
      <c r="BB74" t="str">
        <f t="shared" si="174"/>
        <v>Triple J</v>
      </c>
      <c r="BC74" t="str">
        <f t="shared" si="174"/>
        <v>Velodrome</v>
      </c>
      <c r="BD74" t="str">
        <f t="shared" si="157"/>
        <v>Possession</v>
      </c>
      <c r="BE74" t="str">
        <f t="shared" si="158"/>
        <v>PuckRetrieval</v>
      </c>
      <c r="BF74" t="str">
        <f t="shared" si="159"/>
        <v/>
      </c>
      <c r="BG74" t="str">
        <f t="shared" si="22"/>
        <v>s</v>
      </c>
      <c r="BH74" cm="1">
        <f t="array" ref="BH74">IFERROR(_xlfn._xlws.FILTER(shifts!A:A,(shifts!B:B=events!Z74)*(shifts!AG:AG&gt;=events!BJ74)*(shifts!AH:AH&lt;=events!BK74)),BH73)</f>
        <v>1</v>
      </c>
      <c r="BI74" s="15">
        <f t="shared" si="160"/>
        <v>4</v>
      </c>
      <c r="BJ74">
        <f t="shared" si="161"/>
        <v>1026</v>
      </c>
      <c r="BK74">
        <f t="shared" si="162"/>
        <v>1022</v>
      </c>
      <c r="BL74" s="15">
        <f>SUMIFS(BI$2:BI74,K$2:K74,"=Intermission")+SUMIFS(BI$2:BI74,K$2:K74,"=Timeout")</f>
        <v>0</v>
      </c>
      <c r="BM74">
        <f t="shared" si="163"/>
        <v>0</v>
      </c>
      <c r="BN74" s="19">
        <f t="shared" si="164"/>
        <v>54</v>
      </c>
      <c r="BO74">
        <f t="shared" si="165"/>
        <v>49</v>
      </c>
      <c r="BP74" s="17">
        <f t="shared" si="166"/>
        <v>58</v>
      </c>
      <c r="BQ74" t="str">
        <f t="shared" si="167"/>
        <v>event_team_player_1</v>
      </c>
      <c r="BR74">
        <f>COUNTIFS(S$3:S74,"="&amp;S74,AH$3:AH74,"="&amp;AH74)</f>
        <v>1</v>
      </c>
      <c r="BS74" t="str">
        <f>IFERROR(VLOOKUP(BA74&amp;BT74&amp;X74,game_rosters!U:W,3,FALSE),"")</f>
        <v>P100001</v>
      </c>
      <c r="BT74" t="str">
        <f t="shared" si="168"/>
        <v>Velodrome</v>
      </c>
    </row>
    <row r="75" spans="1:72" x14ac:dyDescent="0.2">
      <c r="A75" t="str">
        <f t="shared" si="143"/>
        <v/>
      </c>
      <c r="E75" s="4"/>
      <c r="F75" s="45"/>
      <c r="G75" s="4"/>
      <c r="H75" s="47"/>
      <c r="I75" s="26">
        <v>73</v>
      </c>
      <c r="N75" t="str">
        <f t="shared" si="83"/>
        <v/>
      </c>
      <c r="Q75" t="str">
        <f t="shared" si="77"/>
        <v/>
      </c>
      <c r="R75" s="26">
        <v>1</v>
      </c>
      <c r="S75">
        <f>IF(A75=1,MAX($S$2:$S74)+1,IF(OR($I75&lt;&gt;"",A75="x"),$S74,""))</f>
        <v>35</v>
      </c>
      <c r="T75" t="str">
        <f>IF(D75=1,MAX($T$2:$T74)+1,IF(S75=S74,$T74,IF(D75="x",T74,IF(D74="x","",""))))</f>
        <v/>
      </c>
      <c r="U75" t="str">
        <f>IF(B75=1,MAX($U$2:$U74)+1,IF(AND($T75&lt;&gt;"",$T75=$T74),$U74,IF(B75="x",U74,"")))</f>
        <v/>
      </c>
      <c r="V75" t="str">
        <f>IF(C75=1,MAX($V$2:$V74)+1,IF(AND($T75&lt;&gt;"",$T75=$T74),$U74,IF(C75="x",V74,"")))</f>
        <v/>
      </c>
      <c r="W75" t="str" cm="1">
        <f t="array" ref="W75">IFERROR(_xlfn._xlws.FILTER(game_rosters!AC:AC,(game_rosters!J:J=events!X75)*(K75&lt;&gt;"")),"")</f>
        <v/>
      </c>
      <c r="X75" cm="1">
        <f t="array" ref="X75">IF($I75&lt;&gt;"",$I75,INDEX($I$1:$I75,ROW()-COUNTIFS($T$1:$T75,"="&amp;$T75,$S$1:$S75,"&lt;"&amp;$S75)))</f>
        <v>73</v>
      </c>
      <c r="Y75" t="str" cm="1">
        <f t="array" ref="Y75">IFERROR(IF(_xlfn._xlws.FILTER(game_rosters!$J:$J,(game_rosters!$G:$G=events!$AM75)*(game_rosters!$J:$J=events!$X75))&gt;0,1,""),"")</f>
        <v/>
      </c>
      <c r="Z75" s="6">
        <f t="shared" si="144"/>
        <v>1</v>
      </c>
      <c r="AA75">
        <f t="shared" si="145"/>
        <v>1035</v>
      </c>
      <c r="AB75" t="str">
        <f t="shared" si="146"/>
        <v/>
      </c>
      <c r="AC75">
        <f t="shared" si="147"/>
        <v>1035</v>
      </c>
      <c r="AD75" t="str">
        <f t="shared" si="148"/>
        <v>17</v>
      </c>
      <c r="AE75" t="str">
        <f t="shared" si="149"/>
        <v>06</v>
      </c>
      <c r="AF75" t="str">
        <f t="shared" si="150"/>
        <v>17</v>
      </c>
      <c r="AG75" t="str">
        <f t="shared" si="151"/>
        <v>02</v>
      </c>
      <c r="AH75" t="str">
        <f t="shared" si="90"/>
        <v>o</v>
      </c>
      <c r="AI75" t="str">
        <f t="shared" ref="AI75:AJ90" si="175">IF($J75&lt;&gt;"",$J75,IF($AC75=$AC74,AI74,""))</f>
        <v>d</v>
      </c>
      <c r="AJ75" t="str">
        <f t="shared" si="175"/>
        <v>d</v>
      </c>
      <c r="AK75" t="str">
        <f t="shared" si="92"/>
        <v/>
      </c>
      <c r="AL75" t="str">
        <f t="shared" si="93"/>
        <v/>
      </c>
      <c r="AM75" t="str">
        <f t="shared" si="152"/>
        <v>Away</v>
      </c>
      <c r="AN75" t="str">
        <f t="shared" si="94"/>
        <v>a</v>
      </c>
      <c r="AO75" t="str">
        <f t="shared" si="95"/>
        <v>o</v>
      </c>
      <c r="AP75" t="str">
        <f t="shared" si="96"/>
        <v>d</v>
      </c>
      <c r="AQ75" t="str">
        <f>IF(AM75&lt;&gt;"",AM75,IF($AC75=#REF!,#REF!,""))</f>
        <v>Away</v>
      </c>
      <c r="AR75" t="str">
        <f t="shared" si="97"/>
        <v>a</v>
      </c>
      <c r="AS75" t="str">
        <f t="shared" si="98"/>
        <v>Defensive</v>
      </c>
      <c r="AT75" t="str">
        <f t="shared" si="153"/>
        <v/>
      </c>
      <c r="AU75" t="str">
        <f t="shared" si="154"/>
        <v/>
      </c>
      <c r="AV75" t="str" cm="1">
        <f t="array" ref="AV75">IFERROR(IF(O75&lt;&gt;"",O75,IF(OR($S75="",$T75=""),"",IF(O75&lt;&gt;"",O75,IF($T75&lt;&gt;"",_xlfn._xlws.FILTER(O:O,($BT:$BT=$BT75)*($I:$I=$I75)*($T:$T=$T75)*($S:$S=_xlfn.MINIFS($S:$S,$T:$T,"="&amp;$T75)),"")))))&amp;"",IF(O75="","",""))&amp;""</f>
        <v/>
      </c>
      <c r="AW75" t="str" cm="1">
        <f t="array" ref="AW75">IFERROR(IF(P75&lt;&gt;"",P75,IF(OR($S75="",$T75=""),"",IF($T75&lt;&gt;"",_xlfn._xlws.FILTER(P:P,($BT:$BT=$BT75)*($I:$I=$I75)*($T:$T=$T75)*($S:$S=_xlfn.MINIFS($S:$S,$T:$T,"="&amp;$T75)),""))))&amp;"",IF(P75="","",""))&amp;""</f>
        <v/>
      </c>
      <c r="AX75" t="str" cm="1">
        <f t="array" ref="AX75">IFERROR(IF(Q75&lt;&gt;"",Q75,IF(OR($S75="",$T75=""),"",IF($T75&lt;&gt;"",_xlfn._xlws.FILTER(Q:Q,($BT:$BT=$BT75)*($I:$I=$I75)*($T:$T=$T75)*($S:$S=_xlfn.MINIFS($S:$S,$T:$T,"="&amp;$T75)),""))))&amp;"",IF(Q75="","",""))&amp;""</f>
        <v/>
      </c>
      <c r="AY75" t="str" cm="1">
        <f t="array" ref="AY75">IFERROR(IF(R75&lt;&gt;"",R75,IF(OR($S75="",$T75=""),"",IF($T75&lt;&gt;"",_xlfn._xlws.FILTER(R:R,($BT:$BT=$BT75)*($I:$I=$I75)*($T:$T=$T75)*($S:$S=_xlfn.MINIFS($S:$S,$T:$T,"="&amp;$T75)),""))))&amp;"",IF(R75="","",""))&amp;""</f>
        <v>1</v>
      </c>
      <c r="AZ75" s="6">
        <f t="shared" si="155"/>
        <v>8</v>
      </c>
      <c r="BA75">
        <f t="shared" ref="BA75:BC75" si="176">BA74</f>
        <v>18991</v>
      </c>
      <c r="BB75" t="str">
        <f t="shared" si="176"/>
        <v>Triple J</v>
      </c>
      <c r="BC75" t="str">
        <f t="shared" si="176"/>
        <v>Velodrome</v>
      </c>
      <c r="BD75" t="str">
        <f t="shared" si="157"/>
        <v>Possession</v>
      </c>
      <c r="BE75" t="str">
        <f t="shared" si="158"/>
        <v>PuckRetrieval</v>
      </c>
      <c r="BF75" t="str">
        <f t="shared" si="159"/>
        <v/>
      </c>
      <c r="BG75" t="str">
        <f t="shared" si="22"/>
        <v>s</v>
      </c>
      <c r="BH75" cm="1">
        <f t="array" ref="BH75">IFERROR(_xlfn._xlws.FILTER(shifts!A:A,(shifts!B:B=events!Z75)*(shifts!AG:AG&gt;=events!BJ75)*(shifts!AH:AH&lt;=events!BK75)),BH74)</f>
        <v>1</v>
      </c>
      <c r="BI75" s="15">
        <f t="shared" si="160"/>
        <v>4</v>
      </c>
      <c r="BJ75">
        <f t="shared" si="161"/>
        <v>1026</v>
      </c>
      <c r="BK75">
        <f t="shared" si="162"/>
        <v>1022</v>
      </c>
      <c r="BL75" s="15">
        <f>SUMIFS(BI$2:BI75,K$2:K75,"=Intermission")+SUMIFS(BI$2:BI75,K$2:K75,"=Timeout")</f>
        <v>0</v>
      </c>
      <c r="BM75">
        <f t="shared" si="163"/>
        <v>0</v>
      </c>
      <c r="BN75" s="19">
        <f t="shared" si="164"/>
        <v>54</v>
      </c>
      <c r="BO75">
        <f t="shared" si="165"/>
        <v>49</v>
      </c>
      <c r="BP75" s="17">
        <f t="shared" si="166"/>
        <v>58</v>
      </c>
      <c r="BQ75" t="str">
        <f t="shared" si="167"/>
        <v>opp_team_player_1</v>
      </c>
      <c r="BR75">
        <f>COUNTIFS(S$3:S75,"="&amp;S75,AH$3:AH75,"="&amp;AH75)</f>
        <v>1</v>
      </c>
      <c r="BS75" t="str">
        <f>IFERROR(VLOOKUP(BA75&amp;BT75&amp;X75,game_rosters!U:W,3,FALSE),"")</f>
        <v>P100021</v>
      </c>
      <c r="BT75" t="str">
        <f t="shared" si="168"/>
        <v>Triple J</v>
      </c>
    </row>
    <row r="76" spans="1:72" x14ac:dyDescent="0.2">
      <c r="A76">
        <f t="shared" si="143"/>
        <v>1</v>
      </c>
      <c r="D76" s="26">
        <v>1</v>
      </c>
      <c r="E76" s="4"/>
      <c r="F76" s="45"/>
      <c r="G76" s="4"/>
      <c r="H76" s="47"/>
      <c r="I76" s="26">
        <v>70</v>
      </c>
      <c r="J76" s="26" t="s">
        <v>736</v>
      </c>
      <c r="K76" t="s">
        <v>6</v>
      </c>
      <c r="L76" t="s">
        <v>205</v>
      </c>
      <c r="M76" t="s">
        <v>61</v>
      </c>
      <c r="N76" t="str">
        <f t="shared" si="83"/>
        <v>s</v>
      </c>
      <c r="O76" t="s">
        <v>450</v>
      </c>
      <c r="Q76" t="str">
        <f t="shared" si="77"/>
        <v>s</v>
      </c>
      <c r="S76">
        <f>IF(A76=1,MAX($S$2:$S75)+1,IF(OR($I76&lt;&gt;"",A76="x"),$S75,""))</f>
        <v>36</v>
      </c>
      <c r="T76">
        <f>IF(D76=1,MAX($T$2:$T75)+1,IF(S76=S75,$T75,IF(D76="x",T75,IF(D75="x","",""))))</f>
        <v>5</v>
      </c>
      <c r="U76" t="str">
        <f>IF(B76=1,MAX($U$2:$U75)+1,IF(AND($T76&lt;&gt;"",$T76=$T75),$U75,IF(B76="x",U75,"")))</f>
        <v/>
      </c>
      <c r="V76" t="str">
        <f>IF(C76=1,MAX($V$2:$V75)+1,IF(AND($T76&lt;&gt;"",$T76=$T75),$U75,IF(C76="x",V75,"")))</f>
        <v/>
      </c>
      <c r="W76" t="str" cm="1">
        <f t="array" ref="W76">IFERROR(_xlfn._xlws.FILTER(game_rosters!AC:AC,(game_rosters!J:J=events!X76)*(K76&lt;&gt;"")),"")</f>
        <v>a</v>
      </c>
      <c r="X76" cm="1">
        <f t="array" ref="X76">IF($I76&lt;&gt;"",$I76,INDEX($I$1:$I76,ROW()-COUNTIFS($T$1:$T76,"="&amp;$T76,$S$1:$S76,"&lt;"&amp;$S76)))</f>
        <v>70</v>
      </c>
      <c r="Y76" cm="1">
        <f t="array" ref="Y76">IFERROR(IF(_xlfn._xlws.FILTER(game_rosters!$J:$J,(game_rosters!$G:$G=events!$AM76)*(game_rosters!$J:$J=events!$X76))&gt;0,1,""),"")</f>
        <v>1</v>
      </c>
      <c r="Z76" s="6">
        <f t="shared" si="144"/>
        <v>1</v>
      </c>
      <c r="AA76">
        <f t="shared" si="145"/>
        <v>1036</v>
      </c>
      <c r="AB76">
        <f t="shared" si="146"/>
        <v>9005</v>
      </c>
      <c r="AC76">
        <f t="shared" si="147"/>
        <v>9005</v>
      </c>
      <c r="AD76" t="str">
        <f t="shared" si="148"/>
        <v>17</v>
      </c>
      <c r="AE76" t="str">
        <f t="shared" si="149"/>
        <v>02</v>
      </c>
      <c r="AF76" t="str">
        <f t="shared" si="150"/>
        <v/>
      </c>
      <c r="AG76" t="str">
        <f t="shared" si="151"/>
        <v/>
      </c>
      <c r="AH76" t="str">
        <f t="shared" si="90"/>
        <v>e</v>
      </c>
      <c r="AI76" t="str">
        <f t="shared" si="175"/>
        <v>d</v>
      </c>
      <c r="AJ76" t="str">
        <f t="shared" si="175"/>
        <v>d</v>
      </c>
      <c r="AK76" t="str">
        <f t="shared" si="92"/>
        <v>o</v>
      </c>
      <c r="AL76" t="str">
        <f t="shared" si="93"/>
        <v>d</v>
      </c>
      <c r="AM76" t="str">
        <f t="shared" si="152"/>
        <v>Away</v>
      </c>
      <c r="AN76" t="str">
        <f t="shared" si="94"/>
        <v>a</v>
      </c>
      <c r="AO76" t="str">
        <f t="shared" si="95"/>
        <v>o</v>
      </c>
      <c r="AP76" t="str">
        <f t="shared" si="96"/>
        <v>d</v>
      </c>
      <c r="AQ76" t="str">
        <f>IF(AM76&lt;&gt;"",AM76,IF($AC76=#REF!,#REF!,""))</f>
        <v>Away</v>
      </c>
      <c r="AR76" t="str">
        <f t="shared" si="97"/>
        <v>a</v>
      </c>
      <c r="AS76" t="str">
        <f t="shared" si="98"/>
        <v>Offensive</v>
      </c>
      <c r="AT76" t="str">
        <f t="shared" si="153"/>
        <v/>
      </c>
      <c r="AU76" t="str">
        <f t="shared" si="154"/>
        <v/>
      </c>
      <c r="AV76" t="str" cm="1">
        <f t="array" ref="AV76">IFERROR(IF(O76&lt;&gt;"",O76,IF(OR($S76="",$T76=""),"",IF(O76&lt;&gt;"",O76,IF($T76&lt;&gt;"",_xlfn._xlws.FILTER(O:O,($BT:$BT=$BT76)*($I:$I=$I76)*($T:$T=$T76)*($S:$S=_xlfn.MINIFS($S:$S,$T:$T,"="&amp;$T76)),"")))))&amp;"",IF(O76="","",""))&amp;""</f>
        <v>Breakout</v>
      </c>
      <c r="AW76" t="str" cm="1">
        <f t="array" ref="AW76">IFERROR(IF(P76&lt;&gt;"",P76,IF(OR($S76="",$T76=""),"",IF($T76&lt;&gt;"",_xlfn._xlws.FILTER(P:P,($BT:$BT=$BT76)*($I:$I=$I76)*($T:$T=$T76)*($S:$S=_xlfn.MINIFS($S:$S,$T:$T,"="&amp;$T76)),""))))&amp;"",IF(P76="","",""))&amp;""</f>
        <v/>
      </c>
      <c r="AX76" t="str" cm="1">
        <f t="array" ref="AX76">IFERROR(IF(Q76&lt;&gt;"",Q76,IF(OR($S76="",$T76=""),"",IF($T76&lt;&gt;"",_xlfn._xlws.FILTER(Q:Q,($BT:$BT=$BT76)*($I:$I=$I76)*($T:$T=$T76)*($S:$S=_xlfn.MINIFS($S:$S,$T:$T,"="&amp;$T76)),""))))&amp;"",IF(Q76="","",""))&amp;""</f>
        <v>s</v>
      </c>
      <c r="AY76" t="str" cm="1">
        <f t="array" ref="AY76">IFERROR(IF(R76&lt;&gt;"",R76,IF(OR($S76="",$T76=""),"",IF($T76&lt;&gt;"",_xlfn._xlws.FILTER(R:R,($BT:$BT=$BT76)*($I:$I=$I76)*($T:$T=$T76)*($S:$S=_xlfn.MINIFS($S:$S,$T:$T,"="&amp;$T76)),""))))&amp;"",IF(R76="","",""))&amp;""</f>
        <v/>
      </c>
      <c r="AZ76" s="6">
        <f t="shared" si="155"/>
        <v>8</v>
      </c>
      <c r="BA76">
        <f t="shared" ref="BA76:BC76" si="177">BA75</f>
        <v>18991</v>
      </c>
      <c r="BB76" t="str">
        <f t="shared" si="177"/>
        <v>Triple J</v>
      </c>
      <c r="BC76" t="str">
        <f t="shared" si="177"/>
        <v>Velodrome</v>
      </c>
      <c r="BD76" t="str">
        <f t="shared" si="157"/>
        <v>Shot</v>
      </c>
      <c r="BE76" t="str">
        <f t="shared" si="158"/>
        <v>Shot_OnNetSaved</v>
      </c>
      <c r="BF76" t="str">
        <f t="shared" si="159"/>
        <v>Shot-Dumpin</v>
      </c>
      <c r="BG76" t="str">
        <f t="shared" si="22"/>
        <v>s</v>
      </c>
      <c r="BH76" cm="1">
        <f t="array" ref="BH76">IFERROR(_xlfn._xlws.FILTER(shifts!A:A,(shifts!B:B=events!Z76)*(shifts!AG:AG&gt;=events!BJ76)*(shifts!AH:AH&lt;=events!BK76)),BH75)</f>
        <v>1</v>
      </c>
      <c r="BI76" s="15">
        <f t="shared" si="160"/>
        <v>0</v>
      </c>
      <c r="BJ76">
        <f t="shared" si="161"/>
        <v>1022</v>
      </c>
      <c r="BK76">
        <f t="shared" si="162"/>
        <v>1022</v>
      </c>
      <c r="BL76" s="15">
        <f>SUMIFS(BI$2:BI76,K$2:K76,"=Intermission")+SUMIFS(BI$2:BI76,K$2:K76,"=Timeout")</f>
        <v>0</v>
      </c>
      <c r="BM76">
        <f t="shared" si="163"/>
        <v>0</v>
      </c>
      <c r="BN76" s="19">
        <f t="shared" si="164"/>
        <v>58</v>
      </c>
      <c r="BO76">
        <f t="shared" si="165"/>
        <v>53</v>
      </c>
      <c r="BP76" s="17">
        <f t="shared" si="166"/>
        <v>58</v>
      </c>
      <c r="BQ76" t="str">
        <f t="shared" si="167"/>
        <v>event_team_player_1</v>
      </c>
      <c r="BR76">
        <f>COUNTIFS(S$3:S76,"="&amp;S76,AH$3:AH76,"="&amp;AH76)</f>
        <v>1</v>
      </c>
      <c r="BS76" t="str">
        <f>IFERROR(VLOOKUP(BA76&amp;BT76&amp;X76,game_rosters!U:W,3,FALSE),"")</f>
        <v>P100001</v>
      </c>
      <c r="BT76" t="str">
        <f t="shared" si="168"/>
        <v>Velodrome</v>
      </c>
    </row>
    <row r="77" spans="1:72" x14ac:dyDescent="0.2">
      <c r="A77">
        <f t="shared" si="143"/>
        <v>1</v>
      </c>
      <c r="D77" s="26" t="s">
        <v>729</v>
      </c>
      <c r="E77" s="4"/>
      <c r="F77" s="45"/>
      <c r="G77" s="4"/>
      <c r="H77" s="47"/>
      <c r="J77" s="26" t="s">
        <v>736</v>
      </c>
      <c r="K77" t="s">
        <v>238</v>
      </c>
      <c r="L77" t="s">
        <v>184</v>
      </c>
      <c r="M77" t="s">
        <v>727</v>
      </c>
      <c r="N77" t="str">
        <f t="shared" si="83"/>
        <v>s</v>
      </c>
      <c r="Q77" t="str">
        <f t="shared" si="77"/>
        <v/>
      </c>
      <c r="S77">
        <f>IF(A77=1,MAX($S$2:$S76)+1,IF(OR($I77&lt;&gt;"",A77="x"),$S76,""))</f>
        <v>37</v>
      </c>
      <c r="T77">
        <f>IF(D77=1,MAX($T$2:$T76)+1,IF(S77=S76,$T76,IF(D77="x",T76,IF(D76="x","",""))))</f>
        <v>5</v>
      </c>
      <c r="U77" t="str">
        <f>IF(B77=1,MAX($U$2:$U76)+1,IF(AND($T77&lt;&gt;"",$T77=$T76),$U76,IF(B77="x",U76,"")))</f>
        <v/>
      </c>
      <c r="V77" t="str">
        <f>IF(C77=1,MAX($V$2:$V76)+1,IF(AND($T77&lt;&gt;"",$T77=$T76),$U76,IF(C77="x",V76,"")))</f>
        <v/>
      </c>
      <c r="W77" t="str" cm="1">
        <f t="array" ref="W77">IFERROR(_xlfn._xlws.FILTER(game_rosters!AC:AC,(game_rosters!J:J=events!X77)*(K77&lt;&gt;"")),"")</f>
        <v>a</v>
      </c>
      <c r="X77" cm="1">
        <f t="array" ref="X77">IF($I77&lt;&gt;"",$I77,INDEX($I$1:$I77,ROW()-COUNTIFS($T$1:$T77,"="&amp;$T77,$S$1:$S77,"&lt;"&amp;$S77)))</f>
        <v>70</v>
      </c>
      <c r="Y77" cm="1">
        <f t="array" ref="Y77">IFERROR(IF(_xlfn._xlws.FILTER(game_rosters!$J:$J,(game_rosters!$G:$G=events!$AM77)*(game_rosters!$J:$J=events!$X77))&gt;0,1,""),"")</f>
        <v>1</v>
      </c>
      <c r="Z77" s="6">
        <f t="shared" si="144"/>
        <v>1</v>
      </c>
      <c r="AA77">
        <f t="shared" si="145"/>
        <v>1037</v>
      </c>
      <c r="AB77">
        <f t="shared" si="146"/>
        <v>9005</v>
      </c>
      <c r="AC77">
        <f t="shared" si="147"/>
        <v>9005</v>
      </c>
      <c r="AD77" t="str">
        <f t="shared" si="148"/>
        <v>17</v>
      </c>
      <c r="AE77" t="str">
        <f t="shared" si="149"/>
        <v>02</v>
      </c>
      <c r="AF77" t="str">
        <f t="shared" si="150"/>
        <v/>
      </c>
      <c r="AG77" t="str">
        <f t="shared" si="151"/>
        <v/>
      </c>
      <c r="AH77" t="str">
        <f t="shared" si="90"/>
        <v>e</v>
      </c>
      <c r="AI77" t="str">
        <f t="shared" si="175"/>
        <v>d</v>
      </c>
      <c r="AJ77" t="str">
        <f t="shared" si="175"/>
        <v>d</v>
      </c>
      <c r="AK77" t="str">
        <f t="shared" si="92"/>
        <v>o</v>
      </c>
      <c r="AL77" t="str">
        <f t="shared" si="93"/>
        <v>d</v>
      </c>
      <c r="AM77" t="str">
        <f t="shared" si="152"/>
        <v>Away</v>
      </c>
      <c r="AN77" t="str">
        <f t="shared" si="94"/>
        <v>a</v>
      </c>
      <c r="AO77" t="str">
        <f t="shared" si="95"/>
        <v>o</v>
      </c>
      <c r="AP77" t="str">
        <f t="shared" si="96"/>
        <v>d</v>
      </c>
      <c r="AQ77" t="str">
        <f>IF(AM77&lt;&gt;"",AM77,IF($AC77=#REF!,#REF!,""))</f>
        <v>Away</v>
      </c>
      <c r="AR77" t="str">
        <f t="shared" si="97"/>
        <v>a</v>
      </c>
      <c r="AS77" t="str">
        <f t="shared" si="98"/>
        <v>Offensive</v>
      </c>
      <c r="AT77" t="str">
        <f t="shared" si="153"/>
        <v/>
      </c>
      <c r="AU77" t="str">
        <f t="shared" si="154"/>
        <v/>
      </c>
      <c r="AV77" t="str" cm="1">
        <f t="array" ref="AV77">IFERROR(IF(O77&lt;&gt;"",O77,IF(OR($S77="",$T77=""),"",IF(O77&lt;&gt;"",O77,IF($T77&lt;&gt;"",_xlfn._xlws.FILTER(O:O,($BT:$BT=$BT77)*($I:$I=$I77)*($T:$T=$T77)*($S:$S=_xlfn.MINIFS($S:$S,$T:$T,"="&amp;$T77)),"")))))&amp;"",IF(O77="","",""))&amp;""</f>
        <v/>
      </c>
      <c r="AW77" t="str" cm="1">
        <f t="array" ref="AW77">IFERROR(IF(P77&lt;&gt;"",P77,IF(OR($S77="",$T77=""),"",IF($T77&lt;&gt;"",_xlfn._xlws.FILTER(P:P,($BT:$BT=$BT77)*($I:$I=$I77)*($T:$T=$T77)*($S:$S=_xlfn.MINIFS($S:$S,$T:$T,"="&amp;$T77)),""))))&amp;"",IF(P77="","",""))&amp;""</f>
        <v/>
      </c>
      <c r="AX77" t="str" cm="1">
        <f t="array" ref="AX77">IFERROR(IF(Q77&lt;&gt;"",Q77,IF(OR($S77="",$T77=""),"",IF($T77&lt;&gt;"",_xlfn._xlws.FILTER(Q:Q,($BT:$BT=$BT77)*($I:$I=$I77)*($T:$T=$T77)*($S:$S=_xlfn.MINIFS($S:$S,$T:$T,"="&amp;$T77)),""))))&amp;"",IF(Q77="","",""))&amp;""</f>
        <v/>
      </c>
      <c r="AY77" t="str" cm="1">
        <f t="array" ref="AY77">IFERROR(IF(R77&lt;&gt;"",R77,IF(OR($S77="",$T77=""),"",IF($T77&lt;&gt;"",_xlfn._xlws.FILTER(R:R,($BT:$BT=$BT77)*($I:$I=$I77)*($T:$T=$T77)*($S:$S=_xlfn.MINIFS($S:$S,$T:$T,"="&amp;$T77)),""))))&amp;"",IF(R77="","",""))&amp;""</f>
        <v/>
      </c>
      <c r="AZ77" s="6">
        <f t="shared" si="155"/>
        <v>9</v>
      </c>
      <c r="BA77">
        <f t="shared" ref="BA77:BC77" si="178">BA76</f>
        <v>18991</v>
      </c>
      <c r="BB77" t="str">
        <f t="shared" si="178"/>
        <v>Triple J</v>
      </c>
      <c r="BC77" t="str">
        <f t="shared" si="178"/>
        <v>Velodrome</v>
      </c>
      <c r="BD77" t="str">
        <f t="shared" si="157"/>
        <v>Zone_Entry_Exit</v>
      </c>
      <c r="BE77" t="str">
        <f t="shared" si="158"/>
        <v>Zone_Exit</v>
      </c>
      <c r="BF77" t="str">
        <f t="shared" si="159"/>
        <v>ZoneExit-Shot</v>
      </c>
      <c r="BG77" t="str">
        <f t="shared" si="22"/>
        <v>s</v>
      </c>
      <c r="BH77" cm="1">
        <f t="array" ref="BH77">IFERROR(_xlfn._xlws.FILTER(shifts!A:A,(shifts!B:B=events!Z77)*(shifts!AG:AG&gt;=events!BJ77)*(shifts!AH:AH&lt;=events!BK77)),BH76)</f>
        <v>1</v>
      </c>
      <c r="BI77" s="15">
        <f t="shared" si="160"/>
        <v>0</v>
      </c>
      <c r="BJ77">
        <f t="shared" si="161"/>
        <v>1022</v>
      </c>
      <c r="BK77">
        <f t="shared" si="162"/>
        <v>1022</v>
      </c>
      <c r="BL77" s="15">
        <f>SUMIFS(BI$2:BI77,K$2:K77,"=Intermission")+SUMIFS(BI$2:BI77,K$2:K77,"=Timeout")</f>
        <v>0</v>
      </c>
      <c r="BM77">
        <f t="shared" si="163"/>
        <v>0</v>
      </c>
      <c r="BN77" s="19">
        <f t="shared" si="164"/>
        <v>58</v>
      </c>
      <c r="BO77">
        <f t="shared" si="165"/>
        <v>53</v>
      </c>
      <c r="BP77" s="17">
        <f t="shared" si="166"/>
        <v>58</v>
      </c>
      <c r="BQ77" t="str">
        <f t="shared" si="167"/>
        <v>event_team_player_1</v>
      </c>
      <c r="BR77">
        <f>COUNTIFS(S$3:S77,"="&amp;S77,AH$3:AH77,"="&amp;AH77)</f>
        <v>1</v>
      </c>
      <c r="BS77" t="str">
        <f>IFERROR(VLOOKUP(BA77&amp;BT77&amp;X77,game_rosters!U:W,3,FALSE),"")</f>
        <v>P100001</v>
      </c>
      <c r="BT77" t="str">
        <f t="shared" si="168"/>
        <v>Velodrome</v>
      </c>
    </row>
    <row r="78" spans="1:72" x14ac:dyDescent="0.2">
      <c r="A78">
        <f t="shared" si="143"/>
        <v>1</v>
      </c>
      <c r="D78" s="26" t="s">
        <v>729</v>
      </c>
      <c r="E78" s="4"/>
      <c r="F78" s="45"/>
      <c r="G78" s="4"/>
      <c r="H78" s="47"/>
      <c r="J78" s="26" t="s">
        <v>736</v>
      </c>
      <c r="K78" t="s">
        <v>238</v>
      </c>
      <c r="L78" t="s">
        <v>174</v>
      </c>
      <c r="M78" t="s">
        <v>375</v>
      </c>
      <c r="N78" t="str">
        <f t="shared" si="83"/>
        <v>u</v>
      </c>
      <c r="Q78" t="str">
        <f t="shared" si="77"/>
        <v/>
      </c>
      <c r="S78">
        <f>IF(A78=1,MAX($S$2:$S77)+1,IF(OR($I78&lt;&gt;"",A78="x"),$S77,""))</f>
        <v>38</v>
      </c>
      <c r="T78">
        <f>IF(D78=1,MAX($T$2:$T77)+1,IF(S78=S77,$T77,IF(D78="x",T77,IF(D77="x","",""))))</f>
        <v>5</v>
      </c>
      <c r="U78" t="str">
        <f>IF(B78=1,MAX($U$2:$U77)+1,IF(AND($T78&lt;&gt;"",$T78=$T77),$U77,IF(B78="x",U77,"")))</f>
        <v/>
      </c>
      <c r="V78" t="str">
        <f>IF(C78=1,MAX($V$2:$V77)+1,IF(AND($T78&lt;&gt;"",$T78=$T77),$U77,IF(C78="x",V77,"")))</f>
        <v/>
      </c>
      <c r="W78" t="str" cm="1">
        <f t="array" ref="W78">IFERROR(_xlfn._xlws.FILTER(game_rosters!AC:AC,(game_rosters!J:J=events!X78)*(K78&lt;&gt;"")),"")</f>
        <v>a</v>
      </c>
      <c r="X78" cm="1">
        <f t="array" ref="X78">IF($I78&lt;&gt;"",$I78,INDEX($I$1:$I78,ROW()-COUNTIFS($T$1:$T78,"="&amp;$T78,$S$1:$S78,"&lt;"&amp;$S78)))</f>
        <v>70</v>
      </c>
      <c r="Y78" cm="1">
        <f t="array" ref="Y78">IFERROR(IF(_xlfn._xlws.FILTER(game_rosters!$J:$J,(game_rosters!$G:$G=events!$AM78)*(game_rosters!$J:$J=events!$X78))&gt;0,1,""),"")</f>
        <v>1</v>
      </c>
      <c r="Z78" s="6">
        <f t="shared" si="144"/>
        <v>1</v>
      </c>
      <c r="AA78">
        <f t="shared" si="145"/>
        <v>1038</v>
      </c>
      <c r="AB78">
        <f t="shared" si="146"/>
        <v>9005</v>
      </c>
      <c r="AC78">
        <f t="shared" si="147"/>
        <v>9005</v>
      </c>
      <c r="AD78" t="str">
        <f t="shared" si="148"/>
        <v>17</v>
      </c>
      <c r="AE78" t="str">
        <f t="shared" si="149"/>
        <v>02</v>
      </c>
      <c r="AF78" t="str">
        <f t="shared" si="150"/>
        <v/>
      </c>
      <c r="AG78" t="str">
        <f t="shared" si="151"/>
        <v/>
      </c>
      <c r="AH78" t="str">
        <f t="shared" si="90"/>
        <v>e</v>
      </c>
      <c r="AI78" t="str">
        <f t="shared" si="175"/>
        <v>d</v>
      </c>
      <c r="AJ78" t="str">
        <f t="shared" si="175"/>
        <v>d</v>
      </c>
      <c r="AK78" t="str">
        <f t="shared" si="92"/>
        <v>o</v>
      </c>
      <c r="AL78" t="str">
        <f t="shared" si="93"/>
        <v>d</v>
      </c>
      <c r="AM78" t="str">
        <f t="shared" si="152"/>
        <v>Away</v>
      </c>
      <c r="AN78" t="str">
        <f t="shared" si="94"/>
        <v>a</v>
      </c>
      <c r="AO78" t="str">
        <f t="shared" si="95"/>
        <v>o</v>
      </c>
      <c r="AP78" t="str">
        <f t="shared" si="96"/>
        <v>d</v>
      </c>
      <c r="AQ78" t="str">
        <f>IF(AM78&lt;&gt;"",AM78,IF($AC78=#REF!,#REF!,""))</f>
        <v>Away</v>
      </c>
      <c r="AR78" t="str">
        <f t="shared" si="97"/>
        <v>a</v>
      </c>
      <c r="AS78" t="str">
        <f t="shared" si="98"/>
        <v>Offensive</v>
      </c>
      <c r="AT78" t="str">
        <f t="shared" si="153"/>
        <v/>
      </c>
      <c r="AU78" t="str">
        <f t="shared" si="154"/>
        <v/>
      </c>
      <c r="AV78" t="str" cm="1">
        <f t="array" ref="AV78">IFERROR(IF(O78&lt;&gt;"",O78,IF(OR($S78="",$T78=""),"",IF(O78&lt;&gt;"",O78,IF($T78&lt;&gt;"",_xlfn._xlws.FILTER(O:O,($BT:$BT=$BT78)*($I:$I=$I78)*($T:$T=$T78)*($S:$S=_xlfn.MINIFS($S:$S,$T:$T,"="&amp;$T78)),"")))))&amp;"",IF(O78="","",""))&amp;""</f>
        <v/>
      </c>
      <c r="AW78" t="str" cm="1">
        <f t="array" ref="AW78">IFERROR(IF(P78&lt;&gt;"",P78,IF(OR($S78="",$T78=""),"",IF($T78&lt;&gt;"",_xlfn._xlws.FILTER(P:P,($BT:$BT=$BT78)*($I:$I=$I78)*($T:$T=$T78)*($S:$S=_xlfn.MINIFS($S:$S,$T:$T,"="&amp;$T78)),""))))&amp;"",IF(P78="","",""))&amp;""</f>
        <v/>
      </c>
      <c r="AX78" t="str" cm="1">
        <f t="array" ref="AX78">IFERROR(IF(Q78&lt;&gt;"",Q78,IF(OR($S78="",$T78=""),"",IF($T78&lt;&gt;"",_xlfn._xlws.FILTER(Q:Q,($BT:$BT=$BT78)*($I:$I=$I78)*($T:$T=$T78)*($S:$S=_xlfn.MINIFS($S:$S,$T:$T,"="&amp;$T78)),""))))&amp;"",IF(Q78="","",""))&amp;""</f>
        <v/>
      </c>
      <c r="AY78" t="str" cm="1">
        <f t="array" ref="AY78">IFERROR(IF(R78&lt;&gt;"",R78,IF(OR($S78="",$T78=""),"",IF($T78&lt;&gt;"",_xlfn._xlws.FILTER(R:R,($BT:$BT=$BT78)*($I:$I=$I78)*($T:$T=$T78)*($S:$S=_xlfn.MINIFS($S:$S,$T:$T,"="&amp;$T78)),""))))&amp;"",IF(R78="","",""))&amp;""</f>
        <v/>
      </c>
      <c r="AZ78" s="6">
        <f t="shared" si="155"/>
        <v>10</v>
      </c>
      <c r="BA78">
        <f t="shared" ref="BA78:BC78" si="179">BA77</f>
        <v>18991</v>
      </c>
      <c r="BB78" t="str">
        <f t="shared" si="179"/>
        <v>Triple J</v>
      </c>
      <c r="BC78" t="str">
        <f t="shared" si="179"/>
        <v>Velodrome</v>
      </c>
      <c r="BD78" t="str">
        <f t="shared" si="157"/>
        <v>Zone_Entry_Exit</v>
      </c>
      <c r="BE78" t="str">
        <f t="shared" si="158"/>
        <v>Zone_Entry</v>
      </c>
      <c r="BF78" t="str">
        <f t="shared" si="159"/>
        <v>ZoneEntry-FromExitClear</v>
      </c>
      <c r="BG78" t="str">
        <f t="shared" si="22"/>
        <v>u</v>
      </c>
      <c r="BH78" cm="1">
        <f t="array" ref="BH78">IFERROR(_xlfn._xlws.FILTER(shifts!A:A,(shifts!B:B=events!Z78)*(shifts!AG:AG&gt;=events!BJ78)*(shifts!AH:AH&lt;=events!BK78)),BH77)</f>
        <v>1</v>
      </c>
      <c r="BI78" s="15">
        <f t="shared" si="160"/>
        <v>0</v>
      </c>
      <c r="BJ78">
        <f t="shared" si="161"/>
        <v>1022</v>
      </c>
      <c r="BK78">
        <f t="shared" si="162"/>
        <v>1022</v>
      </c>
      <c r="BL78" s="15">
        <f>SUMIFS(BI$2:BI78,K$2:K78,"=Intermission")+SUMIFS(BI$2:BI78,K$2:K78,"=Timeout")</f>
        <v>0</v>
      </c>
      <c r="BM78">
        <f t="shared" si="163"/>
        <v>0</v>
      </c>
      <c r="BN78" s="19">
        <f t="shared" si="164"/>
        <v>58</v>
      </c>
      <c r="BO78">
        <f t="shared" si="165"/>
        <v>53</v>
      </c>
      <c r="BP78" s="17">
        <f t="shared" si="166"/>
        <v>58</v>
      </c>
      <c r="BQ78" t="str">
        <f t="shared" si="167"/>
        <v>event_team_player_1</v>
      </c>
      <c r="BR78">
        <f>COUNTIFS(S$3:S78,"="&amp;S78,AH$3:AH78,"="&amp;AH78)</f>
        <v>1</v>
      </c>
      <c r="BS78" t="str">
        <f>IFERROR(VLOOKUP(BA78&amp;BT78&amp;X78,game_rosters!U:W,3,FALSE),"")</f>
        <v>P100001</v>
      </c>
      <c r="BT78" t="str">
        <f t="shared" si="168"/>
        <v>Velodrome</v>
      </c>
    </row>
    <row r="79" spans="1:72" x14ac:dyDescent="0.2">
      <c r="A79">
        <f t="shared" si="143"/>
        <v>1</v>
      </c>
      <c r="D79" s="26" t="s">
        <v>729</v>
      </c>
      <c r="E79" s="4"/>
      <c r="F79" s="45"/>
      <c r="G79" s="4"/>
      <c r="H79" s="47"/>
      <c r="J79" s="26" t="s">
        <v>736</v>
      </c>
      <c r="K79" t="s">
        <v>9</v>
      </c>
      <c r="L79" t="s">
        <v>173</v>
      </c>
      <c r="M79" t="s">
        <v>354</v>
      </c>
      <c r="N79" t="str">
        <f t="shared" si="83"/>
        <v>u</v>
      </c>
      <c r="Q79" t="str">
        <f t="shared" si="77"/>
        <v/>
      </c>
      <c r="S79">
        <f>IF(A79=1,MAX($S$2:$S78)+1,IF(OR($I79&lt;&gt;"",A79="x"),$S78,""))</f>
        <v>39</v>
      </c>
      <c r="T79">
        <f>IF(D79=1,MAX($T$2:$T78)+1,IF(S79=S78,$T78,IF(D79="x",T78,IF(D78="x","",""))))</f>
        <v>5</v>
      </c>
      <c r="U79" t="str">
        <f>IF(B79=1,MAX($U$2:$U78)+1,IF(AND($T79&lt;&gt;"",$T79=$T78),$U78,IF(B79="x",U78,"")))</f>
        <v/>
      </c>
      <c r="V79" t="str">
        <f>IF(C79=1,MAX($V$2:$V78)+1,IF(AND($T79&lt;&gt;"",$T79=$T78),$U78,IF(C79="x",V78,"")))</f>
        <v/>
      </c>
      <c r="W79" t="str" cm="1">
        <f t="array" ref="W79">IFERROR(_xlfn._xlws.FILTER(game_rosters!AC:AC,(game_rosters!J:J=events!X79)*(K79&lt;&gt;"")),"")</f>
        <v>a</v>
      </c>
      <c r="X79" cm="1">
        <f t="array" ref="X79">IF($I79&lt;&gt;"",$I79,INDEX($I$1:$I79,ROW()-COUNTIFS($T$1:$T79,"="&amp;$T79,$S$1:$S79,"&lt;"&amp;$S79)))</f>
        <v>70</v>
      </c>
      <c r="Y79" cm="1">
        <f t="array" ref="Y79">IFERROR(IF(_xlfn._xlws.FILTER(game_rosters!$J:$J,(game_rosters!$G:$G=events!$AM79)*(game_rosters!$J:$J=events!$X79))&gt;0,1,""),"")</f>
        <v>1</v>
      </c>
      <c r="Z79" s="6">
        <f t="shared" si="144"/>
        <v>1</v>
      </c>
      <c r="AA79">
        <f t="shared" si="145"/>
        <v>1039</v>
      </c>
      <c r="AB79">
        <f t="shared" si="146"/>
        <v>9005</v>
      </c>
      <c r="AC79">
        <f t="shared" si="147"/>
        <v>9005</v>
      </c>
      <c r="AD79" t="str">
        <f t="shared" si="148"/>
        <v>17</v>
      </c>
      <c r="AE79" t="str">
        <f t="shared" si="149"/>
        <v>02</v>
      </c>
      <c r="AF79" t="str">
        <f t="shared" si="150"/>
        <v/>
      </c>
      <c r="AG79" t="str">
        <f t="shared" si="151"/>
        <v/>
      </c>
      <c r="AH79" t="str">
        <f t="shared" si="90"/>
        <v>e</v>
      </c>
      <c r="AI79" t="str">
        <f t="shared" si="175"/>
        <v>d</v>
      </c>
      <c r="AJ79" t="str">
        <f t="shared" si="175"/>
        <v>d</v>
      </c>
      <c r="AK79" t="str">
        <f t="shared" si="92"/>
        <v>o</v>
      </c>
      <c r="AL79" t="str">
        <f t="shared" si="93"/>
        <v>d</v>
      </c>
      <c r="AM79" t="str">
        <f t="shared" si="152"/>
        <v>Away</v>
      </c>
      <c r="AN79" t="str">
        <f t="shared" si="94"/>
        <v>a</v>
      </c>
      <c r="AO79" t="str">
        <f t="shared" si="95"/>
        <v>o</v>
      </c>
      <c r="AP79" t="str">
        <f t="shared" si="96"/>
        <v>d</v>
      </c>
      <c r="AQ79" t="str">
        <f>IF(AM79&lt;&gt;"",AM79,IF($AC79=#REF!,#REF!,""))</f>
        <v>Away</v>
      </c>
      <c r="AR79" t="str">
        <f t="shared" si="97"/>
        <v>a</v>
      </c>
      <c r="AS79" t="str">
        <f t="shared" si="98"/>
        <v>Offensive</v>
      </c>
      <c r="AT79" t="str">
        <f t="shared" si="153"/>
        <v/>
      </c>
      <c r="AU79" t="str">
        <f t="shared" si="154"/>
        <v/>
      </c>
      <c r="AV79" t="str" cm="1">
        <f t="array" ref="AV79">IFERROR(IF(O79&lt;&gt;"",O79,IF(OR($S79="",$T79=""),"",IF(O79&lt;&gt;"",O79,IF($T79&lt;&gt;"",_xlfn._xlws.FILTER(O:O,($BT:$BT=$BT79)*($I:$I=$I79)*($T:$T=$T79)*($S:$S=_xlfn.MINIFS($S:$S,$T:$T,"="&amp;$T79)),"")))))&amp;"",IF(O79="","",""))&amp;""</f>
        <v/>
      </c>
      <c r="AW79" t="str" cm="1">
        <f t="array" ref="AW79">IFERROR(IF(P79&lt;&gt;"",P79,IF(OR($S79="",$T79=""),"",IF($T79&lt;&gt;"",_xlfn._xlws.FILTER(P:P,($BT:$BT=$BT79)*($I:$I=$I79)*($T:$T=$T79)*($S:$S=_xlfn.MINIFS($S:$S,$T:$T,"="&amp;$T79)),""))))&amp;"",IF(P79="","",""))&amp;""</f>
        <v/>
      </c>
      <c r="AX79" t="str" cm="1">
        <f t="array" ref="AX79">IFERROR(IF(Q79&lt;&gt;"",Q79,IF(OR($S79="",$T79=""),"",IF($T79&lt;&gt;"",_xlfn._xlws.FILTER(Q:Q,($BT:$BT=$BT79)*($I:$I=$I79)*($T:$T=$T79)*($S:$S=_xlfn.MINIFS($S:$S,$T:$T,"="&amp;$T79)),""))))&amp;"",IF(Q79="","",""))&amp;""</f>
        <v/>
      </c>
      <c r="AY79" t="str" cm="1">
        <f t="array" ref="AY79">IFERROR(IF(R79&lt;&gt;"",R79,IF(OR($S79="",$T79=""),"",IF($T79&lt;&gt;"",_xlfn._xlws.FILTER(R:R,($BT:$BT=$BT79)*($I:$I=$I79)*($T:$T=$T79)*($S:$S=_xlfn.MINIFS($S:$S,$T:$T,"="&amp;$T79)),""))))&amp;"",IF(R79="","",""))&amp;""</f>
        <v/>
      </c>
      <c r="AZ79" s="6">
        <f t="shared" si="155"/>
        <v>10</v>
      </c>
      <c r="BA79">
        <f t="shared" ref="BA79:BC79" si="180">BA78</f>
        <v>18991</v>
      </c>
      <c r="BB79" t="str">
        <f t="shared" si="180"/>
        <v>Triple J</v>
      </c>
      <c r="BC79" t="str">
        <f t="shared" si="180"/>
        <v>Velodrome</v>
      </c>
      <c r="BD79" t="str">
        <f t="shared" si="157"/>
        <v>Turnover</v>
      </c>
      <c r="BE79" t="str">
        <f t="shared" si="158"/>
        <v>Turnover_Giveaway</v>
      </c>
      <c r="BF79" t="str">
        <f t="shared" si="159"/>
        <v>Giveaway-ZoneClear/Dump</v>
      </c>
      <c r="BG79" t="str">
        <f t="shared" si="22"/>
        <v>u</v>
      </c>
      <c r="BH79" cm="1">
        <f t="array" ref="BH79">IFERROR(_xlfn._xlws.FILTER(shifts!A:A,(shifts!B:B=events!Z79)*(shifts!AG:AG&gt;=events!BJ79)*(shifts!AH:AH&lt;=events!BK79)),BH78)</f>
        <v>1</v>
      </c>
      <c r="BI79" s="15">
        <f t="shared" si="160"/>
        <v>0</v>
      </c>
      <c r="BJ79">
        <f t="shared" si="161"/>
        <v>1022</v>
      </c>
      <c r="BK79">
        <f t="shared" si="162"/>
        <v>1022</v>
      </c>
      <c r="BL79" s="15">
        <f>SUMIFS(BI$2:BI79,K$2:K79,"=Intermission")+SUMIFS(BI$2:BI79,K$2:K79,"=Timeout")</f>
        <v>0</v>
      </c>
      <c r="BM79">
        <f t="shared" si="163"/>
        <v>0</v>
      </c>
      <c r="BN79" s="19">
        <f t="shared" si="164"/>
        <v>58</v>
      </c>
      <c r="BO79">
        <f t="shared" si="165"/>
        <v>53</v>
      </c>
      <c r="BP79" s="17">
        <f t="shared" si="166"/>
        <v>58</v>
      </c>
      <c r="BQ79" t="str">
        <f t="shared" si="167"/>
        <v>event_team_player_1</v>
      </c>
      <c r="BR79">
        <f>COUNTIFS(S$3:S79,"="&amp;S79,AH$3:AH79,"="&amp;AH79)</f>
        <v>1</v>
      </c>
      <c r="BS79" t="str">
        <f>IFERROR(VLOOKUP(BA79&amp;BT79&amp;X79,game_rosters!U:W,3,FALSE),"")</f>
        <v>P100001</v>
      </c>
      <c r="BT79" t="str">
        <f t="shared" si="168"/>
        <v>Velodrome</v>
      </c>
    </row>
    <row r="80" spans="1:72" x14ac:dyDescent="0.2">
      <c r="A80">
        <f t="shared" si="143"/>
        <v>1</v>
      </c>
      <c r="D80" s="26" t="s">
        <v>729</v>
      </c>
      <c r="E80" s="4"/>
      <c r="F80" s="45"/>
      <c r="G80" s="4"/>
      <c r="H80" s="47"/>
      <c r="I80" s="26">
        <v>1</v>
      </c>
      <c r="J80" s="26" t="str">
        <f t="shared" si="170"/>
        <v>d</v>
      </c>
      <c r="K80" t="s">
        <v>15</v>
      </c>
      <c r="L80" t="s">
        <v>384</v>
      </c>
      <c r="M80" t="s">
        <v>98</v>
      </c>
      <c r="N80" t="str">
        <f t="shared" si="83"/>
        <v/>
      </c>
      <c r="Q80" t="str">
        <f t="shared" ref="Q80:Q143" si="181">IF(O80="","",IF(AND(N80&lt;&gt;"",OR(O80&lt;&gt;"",P80&lt;&gt;"")),N80,IF(OR(ISNUMBER(SEARCH("attemp",O80)),ISNUMBER(SEARCH("beat",O80)),ISNUMBER(SEARCH("mis",O80)),ISNUMBER(SEARCH("fail",O80)),ISNUMBER(SEARCH("loss",O80)),ISNUMBER(SEARCH("lost",O80)),ISNUMBER(SEARCH("attemp",P80)),ISNUMBER(SEARCH("mis",P80)),ISNUMBER(SEARCH("fail",P80)),ISNUMBER(SEARCH("loss",P80)),ISNUMBER(SEARCH("beat",P80)),ISNUMBER(SEARCH("lost",P80))),"u","")))</f>
        <v/>
      </c>
      <c r="S80">
        <f>IF(A80=1,MAX($S$2:$S79)+1,IF(OR($I80&lt;&gt;"",A80="x"),$S79,""))</f>
        <v>40</v>
      </c>
      <c r="T80">
        <f>IF(D80=1,MAX($T$2:$T79)+1,IF(S80=S79,$T79,IF(D80="x",T79,IF(D79="x","",""))))</f>
        <v>5</v>
      </c>
      <c r="U80" t="str">
        <f>IF(B80=1,MAX($U$2:$U79)+1,IF(AND($T80&lt;&gt;"",$T80=$T79),$U79,IF(B80="x",U79,"")))</f>
        <v/>
      </c>
      <c r="V80" t="str">
        <f>IF(C80=1,MAX($V$2:$V79)+1,IF(AND($T80&lt;&gt;"",$T80=$T79),$U79,IF(C80="x",V79,"")))</f>
        <v/>
      </c>
      <c r="W80" t="str" cm="1">
        <f t="array" ref="W80">IFERROR(_xlfn._xlws.FILTER(game_rosters!AC:AC,(game_rosters!J:J=events!X80)*(K80&lt;&gt;"")),"")</f>
        <v>h</v>
      </c>
      <c r="X80" cm="1">
        <f t="array" ref="X80">IF($I80&lt;&gt;"",$I80,INDEX($I$1:$I80,ROW()-COUNTIFS($T$1:$T80,"="&amp;$T80,$S$1:$S80,"&lt;"&amp;$S80)))</f>
        <v>1</v>
      </c>
      <c r="Y80" cm="1">
        <f t="array" ref="Y80">IFERROR(IF(_xlfn._xlws.FILTER(game_rosters!$J:$J,(game_rosters!$G:$G=events!$AM80)*(game_rosters!$J:$J=events!$X80))&gt;0,1,""),"")</f>
        <v>1</v>
      </c>
      <c r="Z80" s="6">
        <f t="shared" si="144"/>
        <v>1</v>
      </c>
      <c r="AA80">
        <f t="shared" si="145"/>
        <v>1040</v>
      </c>
      <c r="AB80">
        <f t="shared" si="146"/>
        <v>9005</v>
      </c>
      <c r="AC80">
        <f t="shared" si="147"/>
        <v>9005</v>
      </c>
      <c r="AD80" t="str">
        <f t="shared" si="148"/>
        <v>17</v>
      </c>
      <c r="AE80" t="str">
        <f t="shared" si="149"/>
        <v>02</v>
      </c>
      <c r="AF80" t="str">
        <f t="shared" si="150"/>
        <v/>
      </c>
      <c r="AG80" t="str">
        <f t="shared" si="151"/>
        <v/>
      </c>
      <c r="AH80" t="str">
        <f t="shared" si="90"/>
        <v>e</v>
      </c>
      <c r="AI80" t="str">
        <f t="shared" si="175"/>
        <v>d</v>
      </c>
      <c r="AJ80" t="str">
        <f t="shared" si="175"/>
        <v>d</v>
      </c>
      <c r="AK80" t="str">
        <f t="shared" si="92"/>
        <v>d</v>
      </c>
      <c r="AL80" t="str">
        <f t="shared" si="93"/>
        <v>o</v>
      </c>
      <c r="AM80" t="str">
        <f t="shared" si="152"/>
        <v>Home</v>
      </c>
      <c r="AN80" t="str">
        <f t="shared" si="94"/>
        <v>h</v>
      </c>
      <c r="AO80" t="str">
        <f t="shared" si="95"/>
        <v>d</v>
      </c>
      <c r="AP80" t="str">
        <f t="shared" si="96"/>
        <v>o</v>
      </c>
      <c r="AQ80" t="str">
        <f>IF(AM80&lt;&gt;"",AM80,IF($AC80=#REF!,#REF!,""))</f>
        <v>Home</v>
      </c>
      <c r="AR80" t="str">
        <f t="shared" si="97"/>
        <v>h</v>
      </c>
      <c r="AS80" t="str">
        <f t="shared" si="98"/>
        <v>Defensive</v>
      </c>
      <c r="AT80" t="str">
        <f t="shared" si="153"/>
        <v/>
      </c>
      <c r="AU80" t="str">
        <f t="shared" si="154"/>
        <v/>
      </c>
      <c r="AV80" t="str" cm="1">
        <f t="array" ref="AV80">IFERROR(IF(O80&lt;&gt;"",O80,IF(OR($S80="",$T80=""),"",IF(O80&lt;&gt;"",O80,IF($T80&lt;&gt;"",_xlfn._xlws.FILTER(O:O,($BT:$BT=$BT80)*($I:$I=$I80)*($T:$T=$T80)*($S:$S=_xlfn.MINIFS($S:$S,$T:$T,"="&amp;$T80)),"")))))&amp;"",IF(O80="","",""))&amp;""</f>
        <v/>
      </c>
      <c r="AW80" t="str" cm="1">
        <f t="array" ref="AW80">IFERROR(IF(P80&lt;&gt;"",P80,IF(OR($S80="",$T80=""),"",IF($T80&lt;&gt;"",_xlfn._xlws.FILTER(P:P,($BT:$BT=$BT80)*($I:$I=$I80)*($T:$T=$T80)*($S:$S=_xlfn.MINIFS($S:$S,$T:$T,"="&amp;$T80)),""))))&amp;"",IF(P80="","",""))&amp;""</f>
        <v/>
      </c>
      <c r="AX80" t="str" cm="1">
        <f t="array" ref="AX80">IFERROR(IF(Q80&lt;&gt;"",Q80,IF(OR($S80="",$T80=""),"",IF($T80&lt;&gt;"",_xlfn._xlws.FILTER(Q:Q,($BT:$BT=$BT80)*($I:$I=$I80)*($T:$T=$T80)*($S:$S=_xlfn.MINIFS($S:$S,$T:$T,"="&amp;$T80)),""))))&amp;"",IF(Q80="","",""))&amp;""</f>
        <v/>
      </c>
      <c r="AY80" t="str" cm="1">
        <f t="array" ref="AY80">IFERROR(IF(R80&lt;&gt;"",R80,IF(OR($S80="",$T80=""),"",IF($T80&lt;&gt;"",_xlfn._xlws.FILTER(R:R,($BT:$BT=$BT80)*($I:$I=$I80)*($T:$T=$T80)*($S:$S=_xlfn.MINIFS($S:$S,$T:$T,"="&amp;$T80)),""))))&amp;"",IF(R80="","",""))&amp;""</f>
        <v/>
      </c>
      <c r="AZ80" s="6">
        <f t="shared" si="155"/>
        <v>10</v>
      </c>
      <c r="BA80">
        <f t="shared" ref="BA80:BC80" si="182">BA79</f>
        <v>18991</v>
      </c>
      <c r="BB80" t="str">
        <f t="shared" si="182"/>
        <v>Triple J</v>
      </c>
      <c r="BC80" t="str">
        <f t="shared" si="182"/>
        <v>Velodrome</v>
      </c>
      <c r="BD80" t="str">
        <f t="shared" si="157"/>
        <v>Save</v>
      </c>
      <c r="BE80" t="str">
        <f t="shared" si="158"/>
        <v>Save_Played</v>
      </c>
      <c r="BF80" t="str">
        <f t="shared" si="159"/>
        <v>Save-Stick</v>
      </c>
      <c r="BG80" t="str">
        <f t="shared" si="22"/>
        <v/>
      </c>
      <c r="BH80" cm="1">
        <f t="array" ref="BH80">IFERROR(_xlfn._xlws.FILTER(shifts!A:A,(shifts!B:B=events!Z80)*(shifts!AG:AG&gt;=events!BJ80)*(shifts!AH:AH&lt;=events!BK80)),BH79)</f>
        <v>1</v>
      </c>
      <c r="BI80" s="15">
        <f t="shared" si="160"/>
        <v>0</v>
      </c>
      <c r="BJ80">
        <f t="shared" si="161"/>
        <v>1022</v>
      </c>
      <c r="BK80">
        <f t="shared" si="162"/>
        <v>1022</v>
      </c>
      <c r="BL80" s="15">
        <f>SUMIFS(BI$2:BI80,K$2:K80,"=Intermission")+SUMIFS(BI$2:BI80,K$2:K80,"=Timeout")</f>
        <v>0</v>
      </c>
      <c r="BM80">
        <f t="shared" si="163"/>
        <v>0</v>
      </c>
      <c r="BN80" s="19">
        <f t="shared" si="164"/>
        <v>58</v>
      </c>
      <c r="BO80">
        <f t="shared" si="165"/>
        <v>53</v>
      </c>
      <c r="BP80" s="17">
        <f t="shared" si="166"/>
        <v>58</v>
      </c>
      <c r="BQ80" t="str">
        <f t="shared" si="167"/>
        <v>event_team_player_1</v>
      </c>
      <c r="BR80">
        <f>COUNTIFS(S$3:S80,"="&amp;S80,AH$3:AH80,"="&amp;AH80)</f>
        <v>1</v>
      </c>
      <c r="BS80" t="str">
        <f>IFERROR(VLOOKUP(BA80&amp;BT80&amp;X80,game_rosters!U:W,3,FALSE),"")</f>
        <v>P100020</v>
      </c>
      <c r="BT80" t="str">
        <f t="shared" si="168"/>
        <v>Triple J</v>
      </c>
    </row>
    <row r="81" spans="1:72" x14ac:dyDescent="0.2">
      <c r="A81">
        <f t="shared" si="143"/>
        <v>1</v>
      </c>
      <c r="E81" s="4" t="s">
        <v>1054</v>
      </c>
      <c r="F81" s="45" t="s">
        <v>1033</v>
      </c>
      <c r="G81" s="4"/>
      <c r="H81" s="47"/>
      <c r="I81" s="26">
        <v>1</v>
      </c>
      <c r="J81" s="26" t="s">
        <v>736</v>
      </c>
      <c r="K81" t="s">
        <v>7</v>
      </c>
      <c r="L81" t="s">
        <v>172</v>
      </c>
      <c r="M81" t="s">
        <v>372</v>
      </c>
      <c r="N81" t="str">
        <f t="shared" si="83"/>
        <v>s</v>
      </c>
      <c r="Q81" t="str">
        <f t="shared" si="181"/>
        <v/>
      </c>
      <c r="S81">
        <f>IF(A81=1,MAX($S$2:$S80)+1,IF(OR($I81&lt;&gt;"",A81="x"),$S80,""))</f>
        <v>41</v>
      </c>
      <c r="T81" t="str">
        <f>IF(D81=1,MAX($T$2:$T80)+1,IF(S81=S80,$T80,IF(D81="x",T80,IF(D80="x","",""))))</f>
        <v/>
      </c>
      <c r="U81" t="str">
        <f>IF(B81=1,MAX($U$2:$U80)+1,IF(AND($T81&lt;&gt;"",$T81=$T80),$U80,IF(B81="x",U80,"")))</f>
        <v/>
      </c>
      <c r="V81" t="str">
        <f>IF(C81=1,MAX($V$2:$V80)+1,IF(AND($T81&lt;&gt;"",$T81=$T80),$U80,IF(C81="x",V80,"")))</f>
        <v/>
      </c>
      <c r="W81" t="str" cm="1">
        <f t="array" ref="W81">IFERROR(_xlfn._xlws.FILTER(game_rosters!AC:AC,(game_rosters!J:J=events!X81)*(K81&lt;&gt;"")),"")</f>
        <v>h</v>
      </c>
      <c r="X81" cm="1">
        <f t="array" ref="X81">IF($I81&lt;&gt;"",$I81,INDEX($I$1:$I81,ROW()-COUNTIFS($T$1:$T81,"="&amp;$T81,$S$1:$S81,"&lt;"&amp;$S81)))</f>
        <v>1</v>
      </c>
      <c r="Y81" cm="1">
        <f t="array" ref="Y81">IFERROR(IF(_xlfn._xlws.FILTER(game_rosters!$J:$J,(game_rosters!$G:$G=events!$AM81)*(game_rosters!$J:$J=events!$X81))&gt;0,1,""),"")</f>
        <v>1</v>
      </c>
      <c r="Z81" s="6">
        <f t="shared" si="144"/>
        <v>1</v>
      </c>
      <c r="AA81">
        <f t="shared" si="145"/>
        <v>1041</v>
      </c>
      <c r="AB81" t="str">
        <f t="shared" si="146"/>
        <v/>
      </c>
      <c r="AC81">
        <f t="shared" si="147"/>
        <v>1041</v>
      </c>
      <c r="AD81" t="str">
        <f t="shared" si="148"/>
        <v>16</v>
      </c>
      <c r="AE81" t="str">
        <f t="shared" si="149"/>
        <v>57</v>
      </c>
      <c r="AF81" t="str">
        <f t="shared" si="150"/>
        <v/>
      </c>
      <c r="AG81" t="str">
        <f t="shared" si="151"/>
        <v/>
      </c>
      <c r="AH81" t="str">
        <f t="shared" si="90"/>
        <v>e</v>
      </c>
      <c r="AI81" t="str">
        <f t="shared" si="175"/>
        <v>d</v>
      </c>
      <c r="AJ81" t="str">
        <f t="shared" si="175"/>
        <v>d</v>
      </c>
      <c r="AK81" t="str">
        <f t="shared" si="92"/>
        <v>d</v>
      </c>
      <c r="AL81" t="str">
        <f t="shared" si="93"/>
        <v>o</v>
      </c>
      <c r="AM81" t="str">
        <f t="shared" si="152"/>
        <v>Home</v>
      </c>
      <c r="AN81" t="str">
        <f t="shared" si="94"/>
        <v>h</v>
      </c>
      <c r="AO81" t="str">
        <f t="shared" si="95"/>
        <v>d</v>
      </c>
      <c r="AP81" t="str">
        <f t="shared" si="96"/>
        <v>o</v>
      </c>
      <c r="AQ81" t="str">
        <f>IF(AM81&lt;&gt;"",AM81,IF($AC81=#REF!,#REF!,""))</f>
        <v>Home</v>
      </c>
      <c r="AR81" t="str">
        <f t="shared" si="97"/>
        <v>h</v>
      </c>
      <c r="AS81" t="str">
        <f t="shared" si="98"/>
        <v>Offensive</v>
      </c>
      <c r="AT81" t="str">
        <f t="shared" si="153"/>
        <v/>
      </c>
      <c r="AU81" t="str">
        <f t="shared" si="154"/>
        <v/>
      </c>
      <c r="AV81" t="str" cm="1">
        <f t="array" ref="AV81">IFERROR(IF(O81&lt;&gt;"",O81,IF(OR($S81="",$T81=""),"",IF(O81&lt;&gt;"",O81,IF($T81&lt;&gt;"",_xlfn._xlws.FILTER(O:O,($BT:$BT=$BT81)*($I:$I=$I81)*($T:$T=$T81)*($S:$S=_xlfn.MINIFS($S:$S,$T:$T,"="&amp;$T81)),"")))))&amp;"",IF(O81="","",""))&amp;""</f>
        <v/>
      </c>
      <c r="AW81" t="str" cm="1">
        <f t="array" ref="AW81">IFERROR(IF(P81&lt;&gt;"",P81,IF(OR($S81="",$T81=""),"",IF($T81&lt;&gt;"",_xlfn._xlws.FILTER(P:P,($BT:$BT=$BT81)*($I:$I=$I81)*($T:$T=$T81)*($S:$S=_xlfn.MINIFS($S:$S,$T:$T,"="&amp;$T81)),""))))&amp;"",IF(P81="","",""))&amp;""</f>
        <v/>
      </c>
      <c r="AX81" t="str" cm="1">
        <f t="array" ref="AX81">IFERROR(IF(Q81&lt;&gt;"",Q81,IF(OR($S81="",$T81=""),"",IF($T81&lt;&gt;"",_xlfn._xlws.FILTER(Q:Q,($BT:$BT=$BT81)*($I:$I=$I81)*($T:$T=$T81)*($S:$S=_xlfn.MINIFS($S:$S,$T:$T,"="&amp;$T81)),""))))&amp;"",IF(Q81="","",""))&amp;""</f>
        <v/>
      </c>
      <c r="AY81" t="str" cm="1">
        <f t="array" ref="AY81">IFERROR(IF(R81&lt;&gt;"",R81,IF(OR($S81="",$T81=""),"",IF($T81&lt;&gt;"",_xlfn._xlws.FILTER(R:R,($BT:$BT=$BT81)*($I:$I=$I81)*($T:$T=$T81)*($S:$S=_xlfn.MINIFS($S:$S,$T:$T,"="&amp;$T81)),""))))&amp;"",IF(R81="","",""))&amp;""</f>
        <v/>
      </c>
      <c r="AZ81" s="6">
        <f t="shared" si="155"/>
        <v>10</v>
      </c>
      <c r="BA81">
        <f t="shared" ref="BA81:BC81" si="183">BA80</f>
        <v>18991</v>
      </c>
      <c r="BB81" t="str">
        <f t="shared" si="183"/>
        <v>Triple J</v>
      </c>
      <c r="BC81" t="str">
        <f t="shared" si="183"/>
        <v>Velodrome</v>
      </c>
      <c r="BD81" t="str">
        <f t="shared" si="157"/>
        <v>Pass</v>
      </c>
      <c r="BE81" t="str">
        <f t="shared" si="158"/>
        <v>Pass_Completed</v>
      </c>
      <c r="BF81" t="str">
        <f t="shared" si="159"/>
        <v>Pass-Tipped</v>
      </c>
      <c r="BG81" t="str">
        <f t="shared" si="22"/>
        <v>s</v>
      </c>
      <c r="BH81" cm="1">
        <f t="array" ref="BH81">IFERROR(_xlfn._xlws.FILTER(shifts!A:A,(shifts!B:B=events!Z81)*(shifts!AG:AG&gt;=events!BJ81)*(shifts!AH:AH&lt;=events!BK81)),BH80)</f>
        <v>2</v>
      </c>
      <c r="BI81" s="15">
        <f t="shared" si="160"/>
        <v>0</v>
      </c>
      <c r="BJ81">
        <f t="shared" si="161"/>
        <v>1017</v>
      </c>
      <c r="BK81">
        <f t="shared" si="162"/>
        <v>1017</v>
      </c>
      <c r="BL81" s="15">
        <f>SUMIFS(BI$2:BI81,K$2:K81,"=Intermission")+SUMIFS(BI$2:BI81,K$2:K81,"=Timeout")</f>
        <v>0</v>
      </c>
      <c r="BM81">
        <f t="shared" si="163"/>
        <v>0</v>
      </c>
      <c r="BN81" s="19">
        <f t="shared" si="164"/>
        <v>63</v>
      </c>
      <c r="BO81">
        <f t="shared" si="165"/>
        <v>58</v>
      </c>
      <c r="BP81" s="17">
        <f t="shared" si="166"/>
        <v>63</v>
      </c>
      <c r="BQ81" t="str">
        <f t="shared" si="167"/>
        <v>event_team_player_1</v>
      </c>
      <c r="BR81">
        <f>COUNTIFS(S$3:S81,"="&amp;S81,AH$3:AH81,"="&amp;AH81)</f>
        <v>1</v>
      </c>
      <c r="BS81" t="str">
        <f>IFERROR(VLOOKUP(BA81&amp;BT81&amp;X81,game_rosters!U:W,3,FALSE),"")</f>
        <v>P100020</v>
      </c>
      <c r="BT81" t="str">
        <f t="shared" si="168"/>
        <v>Triple J</v>
      </c>
    </row>
    <row r="82" spans="1:72" x14ac:dyDescent="0.2">
      <c r="A82" t="str">
        <f t="shared" si="143"/>
        <v/>
      </c>
      <c r="E82" s="4"/>
      <c r="F82" s="45"/>
      <c r="G82" s="4"/>
      <c r="H82" s="47"/>
      <c r="I82" s="26">
        <v>19</v>
      </c>
      <c r="J82" s="26" t="str">
        <f t="shared" si="170"/>
        <v/>
      </c>
      <c r="N82" t="str">
        <f t="shared" si="83"/>
        <v/>
      </c>
      <c r="Q82" t="str">
        <f t="shared" si="181"/>
        <v/>
      </c>
      <c r="S82">
        <f>IF(A82=1,MAX($S$2:$S81)+1,IF(OR($I82&lt;&gt;"",A82="x"),$S81,""))</f>
        <v>41</v>
      </c>
      <c r="T82" t="str">
        <f>IF(D82=1,MAX($T$2:$T81)+1,IF(S82=S81,$T81,IF(D82="x",T81,IF(D81="x","",""))))</f>
        <v/>
      </c>
      <c r="U82" t="str">
        <f>IF(B82=1,MAX($U$2:$U81)+1,IF(AND($T82&lt;&gt;"",$T82=$T81),$U81,IF(B82="x",U81,"")))</f>
        <v/>
      </c>
      <c r="V82" t="str">
        <f>IF(C82=1,MAX($V$2:$V81)+1,IF(AND($T82&lt;&gt;"",$T82=$T81),$U81,IF(C82="x",V81,"")))</f>
        <v/>
      </c>
      <c r="W82" t="str" cm="1">
        <f t="array" ref="W82">IFERROR(_xlfn._xlws.FILTER(game_rosters!AC:AC,(game_rosters!J:J=events!X82)*(K82&lt;&gt;"")),"")</f>
        <v/>
      </c>
      <c r="X82" cm="1">
        <f t="array" ref="X82">IF($I82&lt;&gt;"",$I82,INDEX($I$1:$I82,ROW()-COUNTIFS($T$1:$T82,"="&amp;$T82,$S$1:$S82,"&lt;"&amp;$S82)))</f>
        <v>19</v>
      </c>
      <c r="Y82" cm="1">
        <f t="array" ref="Y82">IFERROR(IF(_xlfn._xlws.FILTER(game_rosters!$J:$J,(game_rosters!$G:$G=events!$AM82)*(game_rosters!$J:$J=events!$X82))&gt;0,1,""),"")</f>
        <v>1</v>
      </c>
      <c r="Z82" s="6">
        <f t="shared" si="144"/>
        <v>1</v>
      </c>
      <c r="AA82">
        <f t="shared" si="145"/>
        <v>1041</v>
      </c>
      <c r="AB82" t="str">
        <f t="shared" si="146"/>
        <v/>
      </c>
      <c r="AC82">
        <f t="shared" si="147"/>
        <v>1041</v>
      </c>
      <c r="AD82" t="str">
        <f t="shared" si="148"/>
        <v>16</v>
      </c>
      <c r="AE82" t="str">
        <f t="shared" si="149"/>
        <v>57</v>
      </c>
      <c r="AF82" t="str">
        <f t="shared" si="150"/>
        <v/>
      </c>
      <c r="AG82" t="str">
        <f t="shared" si="151"/>
        <v/>
      </c>
      <c r="AH82" t="str">
        <f t="shared" si="90"/>
        <v>e</v>
      </c>
      <c r="AI82" t="str">
        <f t="shared" si="175"/>
        <v>d</v>
      </c>
      <c r="AJ82" t="str">
        <f t="shared" si="175"/>
        <v>d</v>
      </c>
      <c r="AK82" t="str">
        <f t="shared" si="92"/>
        <v/>
      </c>
      <c r="AL82" t="str">
        <f t="shared" si="93"/>
        <v/>
      </c>
      <c r="AM82" t="str">
        <f t="shared" si="152"/>
        <v>Home</v>
      </c>
      <c r="AN82" t="str">
        <f t="shared" si="94"/>
        <v>h</v>
      </c>
      <c r="AO82" t="str">
        <f t="shared" si="95"/>
        <v>d</v>
      </c>
      <c r="AP82" t="str">
        <f t="shared" si="96"/>
        <v>o</v>
      </c>
      <c r="AQ82" t="str">
        <f>IF(AM82&lt;&gt;"",AM82,IF($AC82=#REF!,#REF!,""))</f>
        <v>Home</v>
      </c>
      <c r="AR82" t="str">
        <f t="shared" si="97"/>
        <v>h</v>
      </c>
      <c r="AS82" t="str">
        <f t="shared" si="98"/>
        <v>Offensive</v>
      </c>
      <c r="AT82" t="str">
        <f t="shared" si="153"/>
        <v/>
      </c>
      <c r="AU82" t="str">
        <f t="shared" si="154"/>
        <v/>
      </c>
      <c r="AV82" t="str" cm="1">
        <f t="array" ref="AV82">IFERROR(IF(O82&lt;&gt;"",O82,IF(OR($S82="",$T82=""),"",IF(O82&lt;&gt;"",O82,IF($T82&lt;&gt;"",_xlfn._xlws.FILTER(O:O,($BT:$BT=$BT82)*($I:$I=$I82)*($T:$T=$T82)*($S:$S=_xlfn.MINIFS($S:$S,$T:$T,"="&amp;$T82)),"")))))&amp;"",IF(O82="","",""))&amp;""</f>
        <v/>
      </c>
      <c r="AW82" t="str" cm="1">
        <f t="array" ref="AW82">IFERROR(IF(P82&lt;&gt;"",P82,IF(OR($S82="",$T82=""),"",IF($T82&lt;&gt;"",_xlfn._xlws.FILTER(P:P,($BT:$BT=$BT82)*($I:$I=$I82)*($T:$T=$T82)*($S:$S=_xlfn.MINIFS($S:$S,$T:$T,"="&amp;$T82)),""))))&amp;"",IF(P82="","",""))&amp;""</f>
        <v/>
      </c>
      <c r="AX82" t="str" cm="1">
        <f t="array" ref="AX82">IFERROR(IF(Q82&lt;&gt;"",Q82,IF(OR($S82="",$T82=""),"",IF($T82&lt;&gt;"",_xlfn._xlws.FILTER(Q:Q,($BT:$BT=$BT82)*($I:$I=$I82)*($T:$T=$T82)*($S:$S=_xlfn.MINIFS($S:$S,$T:$T,"="&amp;$T82)),""))))&amp;"",IF(Q82="","",""))&amp;""</f>
        <v/>
      </c>
      <c r="AY82" t="str" cm="1">
        <f t="array" ref="AY82">IFERROR(IF(R82&lt;&gt;"",R82,IF(OR($S82="",$T82=""),"",IF($T82&lt;&gt;"",_xlfn._xlws.FILTER(R:R,($BT:$BT=$BT82)*($I:$I=$I82)*($T:$T=$T82)*($S:$S=_xlfn.MINIFS($S:$S,$T:$T,"="&amp;$T82)),""))))&amp;"",IF(R82="","",""))&amp;""</f>
        <v/>
      </c>
      <c r="AZ82" s="6">
        <f t="shared" si="155"/>
        <v>10</v>
      </c>
      <c r="BA82">
        <f t="shared" ref="BA82:BC82" si="184">BA81</f>
        <v>18991</v>
      </c>
      <c r="BB82" t="str">
        <f t="shared" si="184"/>
        <v>Triple J</v>
      </c>
      <c r="BC82" t="str">
        <f t="shared" si="184"/>
        <v>Velodrome</v>
      </c>
      <c r="BD82" t="str">
        <f t="shared" si="157"/>
        <v>Pass</v>
      </c>
      <c r="BE82" t="str">
        <f t="shared" si="158"/>
        <v>Pass_Completed</v>
      </c>
      <c r="BF82" t="str">
        <f t="shared" si="159"/>
        <v>Pass-Tipped</v>
      </c>
      <c r="BG82" t="str">
        <f t="shared" si="22"/>
        <v>s</v>
      </c>
      <c r="BH82" cm="1">
        <f t="array" ref="BH82">IFERROR(_xlfn._xlws.FILTER(shifts!A:A,(shifts!B:B=events!Z82)*(shifts!AG:AG&gt;=events!BJ82)*(shifts!AH:AH&lt;=events!BK82)),BH81)</f>
        <v>2</v>
      </c>
      <c r="BI82" s="15">
        <f t="shared" si="160"/>
        <v>0</v>
      </c>
      <c r="BJ82">
        <f t="shared" si="161"/>
        <v>1017</v>
      </c>
      <c r="BK82">
        <f t="shared" si="162"/>
        <v>1017</v>
      </c>
      <c r="BL82" s="15">
        <f>SUMIFS(BI$2:BI82,K$2:K82,"=Intermission")+SUMIFS(BI$2:BI82,K$2:K82,"=Timeout")</f>
        <v>0</v>
      </c>
      <c r="BM82">
        <f t="shared" si="163"/>
        <v>0</v>
      </c>
      <c r="BN82" s="19">
        <f t="shared" si="164"/>
        <v>63</v>
      </c>
      <c r="BO82">
        <f t="shared" si="165"/>
        <v>58</v>
      </c>
      <c r="BP82" s="17">
        <f t="shared" si="166"/>
        <v>63</v>
      </c>
      <c r="BQ82" t="str">
        <f t="shared" si="167"/>
        <v>event_team_player_2</v>
      </c>
      <c r="BR82">
        <f>COUNTIFS(S$3:S82,"="&amp;S82,AH$3:AH82,"="&amp;AH82)</f>
        <v>2</v>
      </c>
      <c r="BS82" t="str">
        <f>IFERROR(VLOOKUP(BA82&amp;BT82&amp;X82,game_rosters!U:W,3,FALSE),"")</f>
        <v>P100089</v>
      </c>
      <c r="BT82" t="str">
        <f t="shared" si="168"/>
        <v>Triple J</v>
      </c>
    </row>
    <row r="83" spans="1:72" x14ac:dyDescent="0.2">
      <c r="A83">
        <f t="shared" si="143"/>
        <v>1</v>
      </c>
      <c r="E83" s="4"/>
      <c r="F83" s="45"/>
      <c r="G83" s="4" t="s">
        <v>1054</v>
      </c>
      <c r="H83" s="47" t="s">
        <v>1059</v>
      </c>
      <c r="I83" s="26">
        <v>19</v>
      </c>
      <c r="J83" s="26" t="s">
        <v>736</v>
      </c>
      <c r="K83" t="s">
        <v>13</v>
      </c>
      <c r="L83" t="s">
        <v>574</v>
      </c>
      <c r="N83" t="str">
        <f t="shared" si="83"/>
        <v/>
      </c>
      <c r="Q83" t="str">
        <f t="shared" si="181"/>
        <v/>
      </c>
      <c r="S83">
        <f>IF(A83=1,MAX($S$2:$S82)+1,IF(OR($I83&lt;&gt;"",A83="x"),$S82,""))</f>
        <v>42</v>
      </c>
      <c r="T83" t="str">
        <f>IF(D83=1,MAX($T$2:$T82)+1,IF(S83=S82,$T82,IF(D83="x",T82,IF(D82="x","",""))))</f>
        <v/>
      </c>
      <c r="U83" t="str">
        <f>IF(B83=1,MAX($U$2:$U82)+1,IF(AND($T83&lt;&gt;"",$T83=$T82),$U82,IF(B83="x",U82,"")))</f>
        <v/>
      </c>
      <c r="V83" t="str">
        <f>IF(C83=1,MAX($V$2:$V82)+1,IF(AND($T83&lt;&gt;"",$T83=$T82),$U82,IF(C83="x",V82,"")))</f>
        <v/>
      </c>
      <c r="W83" t="str" cm="1">
        <f t="array" ref="W83">IFERROR(_xlfn._xlws.FILTER(game_rosters!AC:AC,(game_rosters!J:J=events!X83)*(K83&lt;&gt;"")),"")</f>
        <v>h</v>
      </c>
      <c r="X83" cm="1">
        <f t="array" ref="X83">IF($I83&lt;&gt;"",$I83,INDEX($I$1:$I83,ROW()-COUNTIFS($T$1:$T83,"="&amp;$T83,$S$1:$S83,"&lt;"&amp;$S83)))</f>
        <v>19</v>
      </c>
      <c r="Y83" cm="1">
        <f t="array" ref="Y83">IFERROR(IF(_xlfn._xlws.FILTER(game_rosters!$J:$J,(game_rosters!$G:$G=events!$AM83)*(game_rosters!$J:$J=events!$X83))&gt;0,1,""),"")</f>
        <v>1</v>
      </c>
      <c r="Z83" s="6">
        <f t="shared" si="144"/>
        <v>1</v>
      </c>
      <c r="AA83">
        <f t="shared" si="145"/>
        <v>1042</v>
      </c>
      <c r="AB83" t="str">
        <f t="shared" si="146"/>
        <v/>
      </c>
      <c r="AC83">
        <f t="shared" si="147"/>
        <v>1042</v>
      </c>
      <c r="AD83" t="str">
        <f t="shared" si="148"/>
        <v>16</v>
      </c>
      <c r="AE83" t="str">
        <f t="shared" si="149"/>
        <v>57</v>
      </c>
      <c r="AF83" t="str">
        <f t="shared" si="150"/>
        <v>16</v>
      </c>
      <c r="AG83" t="str">
        <f t="shared" si="151"/>
        <v>54</v>
      </c>
      <c r="AH83" t="str">
        <f t="shared" si="90"/>
        <v>e</v>
      </c>
      <c r="AI83" t="str">
        <f t="shared" si="175"/>
        <v>d</v>
      </c>
      <c r="AJ83" t="str">
        <f t="shared" si="175"/>
        <v>d</v>
      </c>
      <c r="AK83" t="str">
        <f t="shared" si="92"/>
        <v>d</v>
      </c>
      <c r="AL83" t="str">
        <f t="shared" si="93"/>
        <v>o</v>
      </c>
      <c r="AM83" t="str">
        <f t="shared" si="152"/>
        <v>Home</v>
      </c>
      <c r="AN83" t="str">
        <f t="shared" si="94"/>
        <v>h</v>
      </c>
      <c r="AO83" t="str">
        <f t="shared" si="95"/>
        <v>d</v>
      </c>
      <c r="AP83" t="str">
        <f t="shared" si="96"/>
        <v>o</v>
      </c>
      <c r="AQ83" t="str">
        <f>IF(AM83&lt;&gt;"",AM83,IF($AC83=#REF!,#REF!,""))</f>
        <v>Home</v>
      </c>
      <c r="AR83" t="str">
        <f t="shared" si="97"/>
        <v>h</v>
      </c>
      <c r="AS83" t="str">
        <f t="shared" si="98"/>
        <v>Offensive</v>
      </c>
      <c r="AT83" t="str">
        <f t="shared" si="153"/>
        <v/>
      </c>
      <c r="AU83" t="str">
        <f t="shared" si="154"/>
        <v/>
      </c>
      <c r="AV83" t="str" cm="1">
        <f t="array" ref="AV83">IFERROR(IF(O83&lt;&gt;"",O83,IF(OR($S83="",$T83=""),"",IF(O83&lt;&gt;"",O83,IF($T83&lt;&gt;"",_xlfn._xlws.FILTER(O:O,($BT:$BT=$BT83)*($I:$I=$I83)*($T:$T=$T83)*($S:$S=_xlfn.MINIFS($S:$S,$T:$T,"="&amp;$T83)),"")))))&amp;"",IF(O83="","",""))&amp;""</f>
        <v/>
      </c>
      <c r="AW83" t="str" cm="1">
        <f t="array" ref="AW83">IFERROR(IF(P83&lt;&gt;"",P83,IF(OR($S83="",$T83=""),"",IF($T83&lt;&gt;"",_xlfn._xlws.FILTER(P:P,($BT:$BT=$BT83)*($I:$I=$I83)*($T:$T=$T83)*($S:$S=_xlfn.MINIFS($S:$S,$T:$T,"="&amp;$T83)),""))))&amp;"",IF(P83="","",""))&amp;""</f>
        <v/>
      </c>
      <c r="AX83" t="str" cm="1">
        <f t="array" ref="AX83">IFERROR(IF(Q83&lt;&gt;"",Q83,IF(OR($S83="",$T83=""),"",IF($T83&lt;&gt;"",_xlfn._xlws.FILTER(Q:Q,($BT:$BT=$BT83)*($I:$I=$I83)*($T:$T=$T83)*($S:$S=_xlfn.MINIFS($S:$S,$T:$T,"="&amp;$T83)),""))))&amp;"",IF(Q83="","",""))&amp;""</f>
        <v/>
      </c>
      <c r="AY83" t="str" cm="1">
        <f t="array" ref="AY83">IFERROR(IF(R83&lt;&gt;"",R83,IF(OR($S83="",$T83=""),"",IF($T83&lt;&gt;"",_xlfn._xlws.FILTER(R:R,($BT:$BT=$BT83)*($I:$I=$I83)*($T:$T=$T83)*($S:$S=_xlfn.MINIFS($S:$S,$T:$T,"="&amp;$T83)),""))))&amp;"",IF(R83="","",""))&amp;""</f>
        <v/>
      </c>
      <c r="AZ83" s="6">
        <f t="shared" si="155"/>
        <v>10</v>
      </c>
      <c r="BA83">
        <f t="shared" ref="BA83:BC83" si="185">BA82</f>
        <v>18991</v>
      </c>
      <c r="BB83" t="str">
        <f t="shared" si="185"/>
        <v>Triple J</v>
      </c>
      <c r="BC83" t="str">
        <f t="shared" si="185"/>
        <v>Velodrome</v>
      </c>
      <c r="BD83" t="str">
        <f t="shared" si="157"/>
        <v>Possession</v>
      </c>
      <c r="BE83" t="str">
        <f t="shared" si="158"/>
        <v>Regroup</v>
      </c>
      <c r="BF83" t="str">
        <f t="shared" si="159"/>
        <v/>
      </c>
      <c r="BG83" t="str">
        <f t="shared" si="22"/>
        <v/>
      </c>
      <c r="BH83" cm="1">
        <f t="array" ref="BH83">IFERROR(_xlfn._xlws.FILTER(shifts!A:A,(shifts!B:B=events!Z83)*(shifts!AG:AG&gt;=events!BJ83)*(shifts!AH:AH&lt;=events!BK83)),BH82)</f>
        <v>2</v>
      </c>
      <c r="BI83" s="15">
        <f t="shared" si="160"/>
        <v>3</v>
      </c>
      <c r="BJ83">
        <f t="shared" si="161"/>
        <v>1017</v>
      </c>
      <c r="BK83">
        <f t="shared" si="162"/>
        <v>1014</v>
      </c>
      <c r="BL83" s="15">
        <f>SUMIFS(BI$2:BI83,K$2:K83,"=Intermission")+SUMIFS(BI$2:BI83,K$2:K83,"=Timeout")</f>
        <v>0</v>
      </c>
      <c r="BM83">
        <f t="shared" si="163"/>
        <v>0</v>
      </c>
      <c r="BN83" s="19">
        <f t="shared" si="164"/>
        <v>63</v>
      </c>
      <c r="BO83">
        <f t="shared" si="165"/>
        <v>58</v>
      </c>
      <c r="BP83" s="17">
        <f t="shared" si="166"/>
        <v>66</v>
      </c>
      <c r="BQ83" t="str">
        <f t="shared" si="167"/>
        <v>event_team_player_1</v>
      </c>
      <c r="BR83">
        <f>COUNTIFS(S$3:S83,"="&amp;S83,AH$3:AH83,"="&amp;AH83)</f>
        <v>1</v>
      </c>
      <c r="BS83" t="str">
        <f>IFERROR(VLOOKUP(BA83&amp;BT83&amp;X83,game_rosters!U:W,3,FALSE),"")</f>
        <v>P100089</v>
      </c>
      <c r="BT83" t="str">
        <f t="shared" si="168"/>
        <v>Triple J</v>
      </c>
    </row>
    <row r="84" spans="1:72" x14ac:dyDescent="0.2">
      <c r="A84">
        <f t="shared" si="143"/>
        <v>1</v>
      </c>
      <c r="E84" s="4"/>
      <c r="F84" s="45"/>
      <c r="G84" s="4"/>
      <c r="H84" s="47"/>
      <c r="I84" s="26">
        <v>19</v>
      </c>
      <c r="J84" s="26" t="str">
        <f t="shared" si="170"/>
        <v/>
      </c>
      <c r="K84" t="s">
        <v>7</v>
      </c>
      <c r="L84" t="s">
        <v>182</v>
      </c>
      <c r="M84" t="s">
        <v>66</v>
      </c>
      <c r="N84" t="str">
        <f t="shared" si="83"/>
        <v>u</v>
      </c>
      <c r="O84" t="s">
        <v>767</v>
      </c>
      <c r="Q84" t="str">
        <f t="shared" si="181"/>
        <v>u</v>
      </c>
      <c r="S84">
        <f>IF(A84=1,MAX($S$2:$S83)+1,IF(OR($I84&lt;&gt;"",A84="x"),$S83,""))</f>
        <v>43</v>
      </c>
      <c r="T84" t="str">
        <f>IF(D84=1,MAX($T$2:$T83)+1,IF(S84=S83,$T83,IF(D84="x",T83,IF(D83="x","",""))))</f>
        <v/>
      </c>
      <c r="U84" t="str">
        <f>IF(B84=1,MAX($U$2:$U83)+1,IF(AND($T84&lt;&gt;"",$T84=$T83),$U83,IF(B84="x",U83,"")))</f>
        <v/>
      </c>
      <c r="V84" t="str">
        <f>IF(C84=1,MAX($V$2:$V83)+1,IF(AND($T84&lt;&gt;"",$T84=$T83),$U83,IF(C84="x",V83,"")))</f>
        <v/>
      </c>
      <c r="W84" t="str" cm="1">
        <f t="array" ref="W84">IFERROR(_xlfn._xlws.FILTER(game_rosters!AC:AC,(game_rosters!J:J=events!X84)*(K84&lt;&gt;"")),"")</f>
        <v>h</v>
      </c>
      <c r="X84" cm="1">
        <f t="array" ref="X84">IF($I84&lt;&gt;"",$I84,INDEX($I$1:$I84,ROW()-COUNTIFS($T$1:$T84,"="&amp;$T84,$S$1:$S84,"&lt;"&amp;$S84)))</f>
        <v>19</v>
      </c>
      <c r="Y84" cm="1">
        <f t="array" ref="Y84">IFERROR(IF(_xlfn._xlws.FILTER(game_rosters!$J:$J,(game_rosters!$G:$G=events!$AM84)*(game_rosters!$J:$J=events!$X84))&gt;0,1,""),"")</f>
        <v>1</v>
      </c>
      <c r="Z84" s="6">
        <f t="shared" si="144"/>
        <v>1</v>
      </c>
      <c r="AA84">
        <f t="shared" si="145"/>
        <v>1043</v>
      </c>
      <c r="AB84" t="str">
        <f t="shared" si="146"/>
        <v/>
      </c>
      <c r="AC84">
        <f t="shared" si="147"/>
        <v>1043</v>
      </c>
      <c r="AD84" t="str">
        <f t="shared" si="148"/>
        <v>16</v>
      </c>
      <c r="AE84" t="str">
        <f t="shared" si="149"/>
        <v>54</v>
      </c>
      <c r="AF84" t="str">
        <f t="shared" si="150"/>
        <v/>
      </c>
      <c r="AG84" t="str">
        <f t="shared" si="151"/>
        <v/>
      </c>
      <c r="AH84" t="str">
        <f t="shared" si="90"/>
        <v>e</v>
      </c>
      <c r="AI84" t="str">
        <f t="shared" si="175"/>
        <v/>
      </c>
      <c r="AJ84" t="str">
        <f t="shared" si="175"/>
        <v/>
      </c>
      <c r="AK84" t="str">
        <f t="shared" si="92"/>
        <v/>
      </c>
      <c r="AL84" t="str">
        <f t="shared" si="93"/>
        <v/>
      </c>
      <c r="AM84" t="str">
        <f t="shared" si="152"/>
        <v>Home</v>
      </c>
      <c r="AN84" t="str">
        <f t="shared" si="94"/>
        <v>h</v>
      </c>
      <c r="AO84" t="str">
        <f t="shared" si="95"/>
        <v/>
      </c>
      <c r="AP84" t="str">
        <f t="shared" si="96"/>
        <v/>
      </c>
      <c r="AQ84" t="str">
        <f>IF(AM84&lt;&gt;"",AM84,IF($AC84=#REF!,#REF!,""))</f>
        <v>Home</v>
      </c>
      <c r="AR84" t="str">
        <f t="shared" si="97"/>
        <v>h</v>
      </c>
      <c r="AS84" t="str">
        <f t="shared" si="98"/>
        <v>Offensive</v>
      </c>
      <c r="AT84" t="str">
        <f t="shared" si="153"/>
        <v/>
      </c>
      <c r="AU84" t="str">
        <f t="shared" si="154"/>
        <v/>
      </c>
      <c r="AV84" t="str" cm="1">
        <f t="array" ref="AV84">IFERROR(IF(O84&lt;&gt;"",O84,IF(OR($S84="",$T84=""),"",IF(O84&lt;&gt;"",O84,IF($T84&lt;&gt;"",_xlfn._xlws.FILTER(O:O,($BT:$BT=$BT84)*($I:$I=$I84)*($T:$T=$T84)*($S:$S=_xlfn.MINIFS($S:$S,$T:$T,"="&amp;$T84)),"")))))&amp;"",IF(O84="","",""))&amp;""</f>
        <v>AttemptedBreakOutPass</v>
      </c>
      <c r="AW84" t="str" cm="1">
        <f t="array" ref="AW84">IFERROR(IF(P84&lt;&gt;"",P84,IF(OR($S84="",$T84=""),"",IF($T84&lt;&gt;"",_xlfn._xlws.FILTER(P:P,($BT:$BT=$BT84)*($I:$I=$I84)*($T:$T=$T84)*($S:$S=_xlfn.MINIFS($S:$S,$T:$T,"="&amp;$T84)),""))))&amp;"",IF(P84="","",""))&amp;""</f>
        <v/>
      </c>
      <c r="AX84" t="str" cm="1">
        <f t="array" ref="AX84">IFERROR(IF(Q84&lt;&gt;"",Q84,IF(OR($S84="",$T84=""),"",IF($T84&lt;&gt;"",_xlfn._xlws.FILTER(Q:Q,($BT:$BT=$BT84)*($I:$I=$I84)*($T:$T=$T84)*($S:$S=_xlfn.MINIFS($S:$S,$T:$T,"="&amp;$T84)),""))))&amp;"",IF(Q84="","",""))&amp;""</f>
        <v>u</v>
      </c>
      <c r="AY84" t="str" cm="1">
        <f t="array" ref="AY84">IFERROR(IF(R84&lt;&gt;"",R84,IF(OR($S84="",$T84=""),"",IF($T84&lt;&gt;"",_xlfn._xlws.FILTER(R:R,($BT:$BT=$BT84)*($I:$I=$I84)*($T:$T=$T84)*($S:$S=_xlfn.MINIFS($S:$S,$T:$T,"="&amp;$T84)),""))))&amp;"",IF(R84="","",""))&amp;""</f>
        <v/>
      </c>
      <c r="AZ84" s="6">
        <f t="shared" si="155"/>
        <v>10</v>
      </c>
      <c r="BA84">
        <f t="shared" ref="BA84:BC84" si="186">BA83</f>
        <v>18991</v>
      </c>
      <c r="BB84" t="str">
        <f t="shared" si="186"/>
        <v>Triple J</v>
      </c>
      <c r="BC84" t="str">
        <f t="shared" si="186"/>
        <v>Velodrome</v>
      </c>
      <c r="BD84" t="str">
        <f t="shared" si="157"/>
        <v>Pass</v>
      </c>
      <c r="BE84" t="str">
        <f t="shared" si="158"/>
        <v>Pass_Missed</v>
      </c>
      <c r="BF84" t="str">
        <f t="shared" si="159"/>
        <v>Pass-Rim/Wrap</v>
      </c>
      <c r="BG84" t="str">
        <f t="shared" si="22"/>
        <v>u</v>
      </c>
      <c r="BH84" cm="1">
        <f t="array" ref="BH84">IFERROR(_xlfn._xlws.FILTER(shifts!A:A,(shifts!B:B=events!Z84)*(shifts!AG:AG&gt;=events!BJ84)*(shifts!AH:AH&lt;=events!BK84)),BH83)</f>
        <v>2</v>
      </c>
      <c r="BI84" s="15">
        <f t="shared" si="160"/>
        <v>0</v>
      </c>
      <c r="BJ84">
        <f t="shared" si="161"/>
        <v>1014</v>
      </c>
      <c r="BK84">
        <f t="shared" si="162"/>
        <v>1014</v>
      </c>
      <c r="BL84" s="15">
        <f>SUMIFS(BI$2:BI84,K$2:K84,"=Intermission")+SUMIFS(BI$2:BI84,K$2:K84,"=Timeout")</f>
        <v>0</v>
      </c>
      <c r="BM84">
        <f t="shared" si="163"/>
        <v>0</v>
      </c>
      <c r="BN84" s="19">
        <f t="shared" si="164"/>
        <v>66</v>
      </c>
      <c r="BO84">
        <f t="shared" si="165"/>
        <v>61</v>
      </c>
      <c r="BP84" s="17">
        <f t="shared" si="166"/>
        <v>66</v>
      </c>
      <c r="BQ84" t="str">
        <f t="shared" si="167"/>
        <v>event_team_player_1</v>
      </c>
      <c r="BR84">
        <f>COUNTIFS(S$3:S84,"="&amp;S84,AH$3:AH84,"="&amp;AH84)</f>
        <v>1</v>
      </c>
      <c r="BS84" t="str">
        <f>IFERROR(VLOOKUP(BA84&amp;BT84&amp;X84,game_rosters!U:W,3,FALSE),"")</f>
        <v>P100089</v>
      </c>
      <c r="BT84" t="str">
        <f t="shared" si="168"/>
        <v>Triple J</v>
      </c>
    </row>
    <row r="85" spans="1:72" x14ac:dyDescent="0.2">
      <c r="A85" t="str">
        <f t="shared" si="143"/>
        <v/>
      </c>
      <c r="E85" s="4"/>
      <c r="F85" s="45"/>
      <c r="G85" s="4"/>
      <c r="H85" s="47"/>
      <c r="I85" s="26">
        <v>12</v>
      </c>
      <c r="J85" s="26" t="str">
        <f t="shared" si="170"/>
        <v/>
      </c>
      <c r="N85" t="str">
        <f t="shared" ref="N85:N148" si="187">IF(K85="","",IF(K85="Goal","s",IF(AND(K85="Zone_Entry_Exit",OR(ISNUMBER(SEARCH("fail",L85)),ISNUMBER(SEARCH("FromExitClear",M85)),ISNUMBER(SEARCH("miss",M85)))),"u",IF(AND(K85="Zone_Entry_Exit",OR(NOT(ISNUMBER(SEARCH("fail",L85))),NOT(ISNUMBER(SEARCH("FromExitClear",M85))),NOT(ISNUMBER(SEARCH("miss",M85))))),"s",IF(AND(OR(K85="Shot",K85="Pass"),OR(ISNUMBER(SEARCH("complete",L85)),ISNUMBER(SEARCH("goal",L85)),ISNUMBER(SEARCH("OnNet",L85)))),"s",IF(L85="Turnover_Giveaway","u",IF(AND(OR(K85="Shot",K85="Pass"),OR(ISNUMBER(SEARCH("fail",L85)),NOT(ISNUMBER(SEARCH("complete",L85))),NOT(ISNUMBER(SEARCH("OnNet",L85))))),"u","")))))))</f>
        <v/>
      </c>
      <c r="Q85" t="str">
        <f t="shared" si="181"/>
        <v/>
      </c>
      <c r="S85">
        <f>IF(A85=1,MAX($S$2:$S84)+1,IF(OR($I85&lt;&gt;"",A85="x"),$S84,""))</f>
        <v>43</v>
      </c>
      <c r="T85" t="str">
        <f>IF(D85=1,MAX($T$2:$T84)+1,IF(S85=S84,$T84,IF(D85="x",T84,IF(D84="x","",""))))</f>
        <v/>
      </c>
      <c r="U85" t="str">
        <f>IF(B85=1,MAX($U$2:$U84)+1,IF(AND($T85&lt;&gt;"",$T85=$T84),$U84,IF(B85="x",U84,"")))</f>
        <v/>
      </c>
      <c r="V85" t="str">
        <f>IF(C85=1,MAX($V$2:$V84)+1,IF(AND($T85&lt;&gt;"",$T85=$T84),$U84,IF(C85="x",V84,"")))</f>
        <v/>
      </c>
      <c r="W85" t="str" cm="1">
        <f t="array" ref="W85">IFERROR(_xlfn._xlws.FILTER(game_rosters!AC:AC,(game_rosters!J:J=events!X85)*(K85&lt;&gt;"")),"")</f>
        <v/>
      </c>
      <c r="X85" cm="1">
        <f t="array" ref="X85">IF($I85&lt;&gt;"",$I85,INDEX($I$1:$I85,ROW()-COUNTIFS($T$1:$T85,"="&amp;$T85,$S$1:$S85,"&lt;"&amp;$S85)))</f>
        <v>12</v>
      </c>
      <c r="Y85" t="str" cm="1">
        <f t="array" ref="Y85">IFERROR(IF(_xlfn._xlws.FILTER(game_rosters!$J:$J,(game_rosters!$G:$G=events!$AM85)*(game_rosters!$J:$J=events!$X85))&gt;0,1,""),"")</f>
        <v/>
      </c>
      <c r="Z85" s="6">
        <f t="shared" si="144"/>
        <v>1</v>
      </c>
      <c r="AA85">
        <f t="shared" si="145"/>
        <v>1043</v>
      </c>
      <c r="AB85" t="str">
        <f t="shared" si="146"/>
        <v/>
      </c>
      <c r="AC85">
        <f t="shared" si="147"/>
        <v>1043</v>
      </c>
      <c r="AD85" t="str">
        <f t="shared" si="148"/>
        <v>16</v>
      </c>
      <c r="AE85" t="str">
        <f t="shared" si="149"/>
        <v>54</v>
      </c>
      <c r="AF85" t="str">
        <f t="shared" si="150"/>
        <v/>
      </c>
      <c r="AG85" t="str">
        <f t="shared" si="151"/>
        <v/>
      </c>
      <c r="AH85" t="str">
        <f t="shared" si="90"/>
        <v>o</v>
      </c>
      <c r="AI85" t="str">
        <f t="shared" si="175"/>
        <v/>
      </c>
      <c r="AJ85" t="str">
        <f t="shared" si="175"/>
        <v/>
      </c>
      <c r="AK85" t="str">
        <f t="shared" si="92"/>
        <v/>
      </c>
      <c r="AL85" t="str">
        <f t="shared" si="93"/>
        <v/>
      </c>
      <c r="AM85" t="str">
        <f t="shared" si="152"/>
        <v>Home</v>
      </c>
      <c r="AN85" t="str">
        <f t="shared" si="94"/>
        <v>h</v>
      </c>
      <c r="AO85" t="str">
        <f t="shared" si="95"/>
        <v/>
      </c>
      <c r="AP85" t="str">
        <f t="shared" si="96"/>
        <v/>
      </c>
      <c r="AQ85" t="str">
        <f>IF(AM85&lt;&gt;"",AM85,IF($AC85=#REF!,#REF!,""))</f>
        <v>Home</v>
      </c>
      <c r="AR85" t="str">
        <f t="shared" si="97"/>
        <v>h</v>
      </c>
      <c r="AS85" t="str">
        <f t="shared" si="98"/>
        <v>Defensive</v>
      </c>
      <c r="AT85" t="str">
        <f t="shared" si="153"/>
        <v/>
      </c>
      <c r="AU85" t="str">
        <f t="shared" si="154"/>
        <v/>
      </c>
      <c r="AV85" t="str" cm="1">
        <f t="array" ref="AV85">IFERROR(IF(O85&lt;&gt;"",O85,IF(OR($S85="",$T85=""),"",IF(O85&lt;&gt;"",O85,IF($T85&lt;&gt;"",_xlfn._xlws.FILTER(O:O,($BT:$BT=$BT85)*($I:$I=$I85)*($T:$T=$T85)*($S:$S=_xlfn.MINIFS($S:$S,$T:$T,"="&amp;$T85)),"")))))&amp;"",IF(O85="","",""))&amp;""</f>
        <v/>
      </c>
      <c r="AW85" t="str" cm="1">
        <f t="array" ref="AW85">IFERROR(IF(P85&lt;&gt;"",P85,IF(OR($S85="",$T85=""),"",IF($T85&lt;&gt;"",_xlfn._xlws.FILTER(P:P,($BT:$BT=$BT85)*($I:$I=$I85)*($T:$T=$T85)*($S:$S=_xlfn.MINIFS($S:$S,$T:$T,"="&amp;$T85)),""))))&amp;"",IF(P85="","",""))&amp;""</f>
        <v/>
      </c>
      <c r="AX85" t="str" cm="1">
        <f t="array" ref="AX85">IFERROR(IF(Q85&lt;&gt;"",Q85,IF(OR($S85="",$T85=""),"",IF($T85&lt;&gt;"",_xlfn._xlws.FILTER(Q:Q,($BT:$BT=$BT85)*($I:$I=$I85)*($T:$T=$T85)*($S:$S=_xlfn.MINIFS($S:$S,$T:$T,"="&amp;$T85)),""))))&amp;"",IF(Q85="","",""))&amp;""</f>
        <v/>
      </c>
      <c r="AY85" t="str" cm="1">
        <f t="array" ref="AY85">IFERROR(IF(R85&lt;&gt;"",R85,IF(OR($S85="",$T85=""),"",IF($T85&lt;&gt;"",_xlfn._xlws.FILTER(R:R,($BT:$BT=$BT85)*($I:$I=$I85)*($T:$T=$T85)*($S:$S=_xlfn.MINIFS($S:$S,$T:$T,"="&amp;$T85)),""))))&amp;"",IF(R85="","",""))&amp;""</f>
        <v/>
      </c>
      <c r="AZ85" s="6">
        <f t="shared" si="155"/>
        <v>10</v>
      </c>
      <c r="BA85">
        <f t="shared" ref="BA85:BC85" si="188">BA84</f>
        <v>18991</v>
      </c>
      <c r="BB85" t="str">
        <f t="shared" si="188"/>
        <v>Triple J</v>
      </c>
      <c r="BC85" t="str">
        <f t="shared" si="188"/>
        <v>Velodrome</v>
      </c>
      <c r="BD85" t="str">
        <f t="shared" si="157"/>
        <v>Pass</v>
      </c>
      <c r="BE85" t="str">
        <f t="shared" si="158"/>
        <v>Pass_Missed</v>
      </c>
      <c r="BF85" t="str">
        <f t="shared" si="159"/>
        <v>Pass-Rim/Wrap</v>
      </c>
      <c r="BG85" t="str">
        <f t="shared" si="22"/>
        <v>u</v>
      </c>
      <c r="BH85" cm="1">
        <f t="array" ref="BH85">IFERROR(_xlfn._xlws.FILTER(shifts!A:A,(shifts!B:B=events!Z85)*(shifts!AG:AG&gt;=events!BJ85)*(shifts!AH:AH&lt;=events!BK85)),BH84)</f>
        <v>2</v>
      </c>
      <c r="BI85" s="15">
        <f t="shared" si="160"/>
        <v>0</v>
      </c>
      <c r="BJ85">
        <f t="shared" si="161"/>
        <v>1014</v>
      </c>
      <c r="BK85">
        <f t="shared" si="162"/>
        <v>1014</v>
      </c>
      <c r="BL85" s="15">
        <f>SUMIFS(BI$2:BI85,K$2:K85,"=Intermission")+SUMIFS(BI$2:BI85,K$2:K85,"=Timeout")</f>
        <v>0</v>
      </c>
      <c r="BM85">
        <f t="shared" si="163"/>
        <v>0</v>
      </c>
      <c r="BN85" s="19">
        <f t="shared" si="164"/>
        <v>66</v>
      </c>
      <c r="BO85">
        <f t="shared" si="165"/>
        <v>61</v>
      </c>
      <c r="BP85" s="17">
        <f t="shared" si="166"/>
        <v>66</v>
      </c>
      <c r="BQ85" t="str">
        <f t="shared" si="167"/>
        <v>opp_team_player_1</v>
      </c>
      <c r="BR85">
        <f>COUNTIFS(S$3:S85,"="&amp;S85,AH$3:AH85,"="&amp;AH85)</f>
        <v>1</v>
      </c>
      <c r="BS85" t="str">
        <f>IFERROR(VLOOKUP(BA85&amp;BT85&amp;X85,game_rosters!U:W,3,FALSE),"")</f>
        <v/>
      </c>
      <c r="BT85" t="str">
        <f t="shared" si="168"/>
        <v>Velodrome</v>
      </c>
    </row>
    <row r="86" spans="1:72" x14ac:dyDescent="0.2">
      <c r="A86">
        <f t="shared" si="143"/>
        <v>1</v>
      </c>
      <c r="D86" s="26">
        <v>1</v>
      </c>
      <c r="E86" s="4"/>
      <c r="F86" s="45"/>
      <c r="G86" s="4"/>
      <c r="H86" s="47"/>
      <c r="I86" s="26">
        <v>19</v>
      </c>
      <c r="J86" s="26" t="str">
        <f t="shared" si="170"/>
        <v>d</v>
      </c>
      <c r="K86" t="s">
        <v>238</v>
      </c>
      <c r="L86" t="s">
        <v>184</v>
      </c>
      <c r="M86" t="s">
        <v>376</v>
      </c>
      <c r="N86" t="str">
        <f t="shared" si="187"/>
        <v>u</v>
      </c>
      <c r="Q86" t="str">
        <f t="shared" si="181"/>
        <v/>
      </c>
      <c r="S86">
        <f>IF(A86=1,MAX($S$2:$S85)+1,IF(OR($I86&lt;&gt;"",A86="x"),$S85,""))</f>
        <v>44</v>
      </c>
      <c r="T86">
        <f>IF(D86=1,MAX($T$2:$T85)+1,IF(S86=S85,$T85,IF(D86="x",T85,IF(D85="x","",""))))</f>
        <v>6</v>
      </c>
      <c r="U86" t="str">
        <f>IF(B86=1,MAX($U$2:$U85)+1,IF(AND($T86&lt;&gt;"",$T86=$T85),$U85,IF(B86="x",U85,"")))</f>
        <v/>
      </c>
      <c r="V86" t="str">
        <f>IF(C86=1,MAX($V$2:$V85)+1,IF(AND($T86&lt;&gt;"",$T86=$T85),$U85,IF(C86="x",V85,"")))</f>
        <v/>
      </c>
      <c r="W86" t="str" cm="1">
        <f t="array" ref="W86">IFERROR(_xlfn._xlws.FILTER(game_rosters!AC:AC,(game_rosters!J:J=events!X86)*(K86&lt;&gt;"")),"")</f>
        <v>h</v>
      </c>
      <c r="X86" cm="1">
        <f t="array" ref="X86">IF($I86&lt;&gt;"",$I86,INDEX($I$1:$I86,ROW()-COUNTIFS($T$1:$T86,"="&amp;$T86,$S$1:$S86,"&lt;"&amp;$S86)))</f>
        <v>19</v>
      </c>
      <c r="Y86" cm="1">
        <f t="array" ref="Y86">IFERROR(IF(_xlfn._xlws.FILTER(game_rosters!$J:$J,(game_rosters!$G:$G=events!$AM86)*(game_rosters!$J:$J=events!$X86))&gt;0,1,""),"")</f>
        <v>1</v>
      </c>
      <c r="Z86" s="6">
        <f t="shared" si="144"/>
        <v>1</v>
      </c>
      <c r="AA86">
        <f t="shared" si="145"/>
        <v>1044</v>
      </c>
      <c r="AB86">
        <f t="shared" si="146"/>
        <v>9006</v>
      </c>
      <c r="AC86">
        <f t="shared" si="147"/>
        <v>9006</v>
      </c>
      <c r="AD86" t="str">
        <f t="shared" si="148"/>
        <v>16</v>
      </c>
      <c r="AE86" t="str">
        <f t="shared" si="149"/>
        <v>54</v>
      </c>
      <c r="AF86" t="str">
        <f t="shared" si="150"/>
        <v/>
      </c>
      <c r="AG86" t="str">
        <f t="shared" si="151"/>
        <v/>
      </c>
      <c r="AH86" t="str">
        <f t="shared" si="90"/>
        <v>e</v>
      </c>
      <c r="AI86" t="str">
        <f t="shared" si="175"/>
        <v>d</v>
      </c>
      <c r="AJ86" t="str">
        <f t="shared" si="175"/>
        <v>d</v>
      </c>
      <c r="AK86" t="str">
        <f t="shared" si="92"/>
        <v>d</v>
      </c>
      <c r="AL86" t="str">
        <f t="shared" si="93"/>
        <v>o</v>
      </c>
      <c r="AM86" t="str">
        <f t="shared" si="152"/>
        <v>Home</v>
      </c>
      <c r="AN86" t="str">
        <f t="shared" si="94"/>
        <v>h</v>
      </c>
      <c r="AO86" t="str">
        <f t="shared" si="95"/>
        <v>d</v>
      </c>
      <c r="AP86" t="str">
        <f t="shared" si="96"/>
        <v>o</v>
      </c>
      <c r="AQ86" t="str">
        <f>IF(AM86&lt;&gt;"",AM86,IF($AC86=#REF!,#REF!,""))</f>
        <v>Home</v>
      </c>
      <c r="AR86" t="str">
        <f t="shared" si="97"/>
        <v>h</v>
      </c>
      <c r="AS86" t="str">
        <f t="shared" si="98"/>
        <v>Offensive</v>
      </c>
      <c r="AT86" t="str">
        <f t="shared" si="153"/>
        <v/>
      </c>
      <c r="AU86" t="str">
        <f t="shared" si="154"/>
        <v/>
      </c>
      <c r="AV86" t="str" cm="1">
        <f t="array" ref="AV86">IFERROR(IF(O86&lt;&gt;"",O86,IF(OR($S86="",$T86=""),"",IF(O86&lt;&gt;"",O86,IF($T86&lt;&gt;"",_xlfn._xlws.FILTER(O:O,($BT:$BT=$BT86)*($I:$I=$I86)*($T:$T=$T86)*($S:$S=_xlfn.MINIFS($S:$S,$T:$T,"="&amp;$T86)),"")))))&amp;"",IF(O86="","",""))&amp;""</f>
        <v/>
      </c>
      <c r="AW86" t="str" cm="1">
        <f t="array" ref="AW86">IFERROR(IF(P86&lt;&gt;"",P86,IF(OR($S86="",$T86=""),"",IF($T86&lt;&gt;"",_xlfn._xlws.FILTER(P:P,($BT:$BT=$BT86)*($I:$I=$I86)*($T:$T=$T86)*($S:$S=_xlfn.MINIFS($S:$S,$T:$T,"="&amp;$T86)),""))))&amp;"",IF(P86="","",""))&amp;""</f>
        <v/>
      </c>
      <c r="AX86" t="str" cm="1">
        <f t="array" ref="AX86">IFERROR(IF(Q86&lt;&gt;"",Q86,IF(OR($S86="",$T86=""),"",IF($T86&lt;&gt;"",_xlfn._xlws.FILTER(Q:Q,($BT:$BT=$BT86)*($I:$I=$I86)*($T:$T=$T86)*($S:$S=_xlfn.MINIFS($S:$S,$T:$T,"="&amp;$T86)),""))))&amp;"",IF(Q86="","",""))&amp;""</f>
        <v/>
      </c>
      <c r="AY86" t="str" cm="1">
        <f t="array" ref="AY86">IFERROR(IF(R86&lt;&gt;"",R86,IF(OR($S86="",$T86=""),"",IF($T86&lt;&gt;"",_xlfn._xlws.FILTER(R:R,($BT:$BT=$BT86)*($I:$I=$I86)*($T:$T=$T86)*($S:$S=_xlfn.MINIFS($S:$S,$T:$T,"="&amp;$T86)),""))))&amp;"",IF(R86="","",""))&amp;""</f>
        <v/>
      </c>
      <c r="AZ86" s="6">
        <f t="shared" si="155"/>
        <v>11</v>
      </c>
      <c r="BA86">
        <f t="shared" ref="BA86:BC86" si="189">BA85</f>
        <v>18991</v>
      </c>
      <c r="BB86" t="str">
        <f t="shared" si="189"/>
        <v>Triple J</v>
      </c>
      <c r="BC86" t="str">
        <f t="shared" si="189"/>
        <v>Velodrome</v>
      </c>
      <c r="BD86" t="str">
        <f t="shared" si="157"/>
        <v>Zone_Entry_Exit</v>
      </c>
      <c r="BE86" t="str">
        <f t="shared" si="158"/>
        <v>Zone_Exit</v>
      </c>
      <c r="BF86" t="str">
        <f t="shared" si="159"/>
        <v>ZoneExit-PassMiss/Misplay</v>
      </c>
      <c r="BG86" t="str">
        <f t="shared" si="22"/>
        <v>u</v>
      </c>
      <c r="BH86" cm="1">
        <f t="array" ref="BH86">IFERROR(_xlfn._xlws.FILTER(shifts!A:A,(shifts!B:B=events!Z86)*(shifts!AG:AG&gt;=events!BJ86)*(shifts!AH:AH&lt;=events!BK86)),BH85)</f>
        <v>2</v>
      </c>
      <c r="BI86" s="15">
        <f t="shared" si="160"/>
        <v>0</v>
      </c>
      <c r="BJ86">
        <f t="shared" si="161"/>
        <v>1014</v>
      </c>
      <c r="BK86">
        <f t="shared" si="162"/>
        <v>1014</v>
      </c>
      <c r="BL86" s="15">
        <f>SUMIFS(BI$2:BI86,K$2:K86,"=Intermission")+SUMIFS(BI$2:BI86,K$2:K86,"=Timeout")</f>
        <v>0</v>
      </c>
      <c r="BM86">
        <f t="shared" si="163"/>
        <v>0</v>
      </c>
      <c r="BN86" s="19">
        <f t="shared" si="164"/>
        <v>66</v>
      </c>
      <c r="BO86">
        <f t="shared" si="165"/>
        <v>61</v>
      </c>
      <c r="BP86" s="17">
        <f t="shared" si="166"/>
        <v>66</v>
      </c>
      <c r="BQ86" t="str">
        <f t="shared" si="167"/>
        <v>event_team_player_1</v>
      </c>
      <c r="BR86">
        <f>COUNTIFS(S$3:S86,"="&amp;S86,AH$3:AH86,"="&amp;AH86)</f>
        <v>1</v>
      </c>
      <c r="BS86" t="str">
        <f>IFERROR(VLOOKUP(BA86&amp;BT86&amp;X86,game_rosters!U:W,3,FALSE),"")</f>
        <v>P100089</v>
      </c>
      <c r="BT86" t="str">
        <f t="shared" si="168"/>
        <v>Triple J</v>
      </c>
    </row>
    <row r="87" spans="1:72" x14ac:dyDescent="0.2">
      <c r="A87" t="str">
        <f t="shared" si="143"/>
        <v>x</v>
      </c>
      <c r="D87" s="26" t="s">
        <v>729</v>
      </c>
      <c r="E87" s="4"/>
      <c r="F87" s="45"/>
      <c r="G87" s="4"/>
      <c r="H87" s="47"/>
      <c r="J87" s="26" t="str">
        <f t="shared" si="170"/>
        <v/>
      </c>
      <c r="N87" t="str">
        <f t="shared" si="187"/>
        <v/>
      </c>
      <c r="Q87" t="str">
        <f t="shared" si="181"/>
        <v/>
      </c>
      <c r="S87">
        <f>IF(A87=1,MAX($S$2:$S86)+1,IF(OR($I87&lt;&gt;"",A87="x"),$S86,""))</f>
        <v>44</v>
      </c>
      <c r="T87">
        <f>IF(D87=1,MAX($T$2:$T86)+1,IF(S87=S86,$T86,IF(D87="x",T86,IF(D86="x","",""))))</f>
        <v>6</v>
      </c>
      <c r="U87" t="str">
        <f>IF(B87=1,MAX($U$2:$U86)+1,IF(AND($T87&lt;&gt;"",$T87=$T86),$U86,IF(B87="x",U86,"")))</f>
        <v/>
      </c>
      <c r="V87" t="str">
        <f>IF(C87=1,MAX($V$2:$V86)+1,IF(AND($T87&lt;&gt;"",$T87=$T86),$U86,IF(C87="x",V86,"")))</f>
        <v/>
      </c>
      <c r="W87" t="str" cm="1">
        <f t="array" ref="W87">IFERROR(_xlfn._xlws.FILTER(game_rosters!AC:AC,(game_rosters!J:J=events!X87)*(K87&lt;&gt;"")),"")</f>
        <v/>
      </c>
      <c r="X87" cm="1">
        <f t="array" ref="X87">IF($I87&lt;&gt;"",$I87,INDEX($I$1:$I87,ROW()-COUNTIFS($T$1:$T87,"="&amp;$T87,$S$1:$S87,"&lt;"&amp;$S87)))</f>
        <v>0</v>
      </c>
      <c r="Y87" t="str" cm="1">
        <f t="array" ref="Y87">IFERROR(IF(_xlfn._xlws.FILTER(game_rosters!$J:$J,(game_rosters!$G:$G=events!$AM87)*(game_rosters!$J:$J=events!$X87))&gt;0,1,""),"")</f>
        <v/>
      </c>
      <c r="Z87" s="6">
        <f t="shared" si="144"/>
        <v>1</v>
      </c>
      <c r="AA87">
        <f t="shared" si="145"/>
        <v>1044</v>
      </c>
      <c r="AB87">
        <f t="shared" si="146"/>
        <v>9006</v>
      </c>
      <c r="AC87">
        <f t="shared" si="147"/>
        <v>9006</v>
      </c>
      <c r="AD87" t="str">
        <f t="shared" si="148"/>
        <v>16</v>
      </c>
      <c r="AE87" t="str">
        <f t="shared" si="149"/>
        <v>54</v>
      </c>
      <c r="AF87" t="str">
        <f t="shared" si="150"/>
        <v/>
      </c>
      <c r="AG87" t="str">
        <f t="shared" si="151"/>
        <v/>
      </c>
      <c r="AH87" t="str">
        <f t="shared" si="90"/>
        <v>o</v>
      </c>
      <c r="AI87" t="str">
        <f t="shared" si="175"/>
        <v>d</v>
      </c>
      <c r="AJ87" t="str">
        <f t="shared" si="175"/>
        <v>d</v>
      </c>
      <c r="AK87" t="str">
        <f t="shared" si="92"/>
        <v/>
      </c>
      <c r="AL87" t="str">
        <f t="shared" si="93"/>
        <v/>
      </c>
      <c r="AM87" t="str">
        <f t="shared" si="152"/>
        <v>Home</v>
      </c>
      <c r="AN87" t="str">
        <f t="shared" si="94"/>
        <v>h</v>
      </c>
      <c r="AO87" t="str">
        <f t="shared" si="95"/>
        <v>d</v>
      </c>
      <c r="AP87" t="str">
        <f t="shared" si="96"/>
        <v>o</v>
      </c>
      <c r="AQ87" t="str">
        <f>IF(AM87&lt;&gt;"",AM87,IF($AC87=#REF!,#REF!,""))</f>
        <v>Home</v>
      </c>
      <c r="AR87" t="str">
        <f t="shared" si="97"/>
        <v>h</v>
      </c>
      <c r="AS87" t="str">
        <f t="shared" si="98"/>
        <v>Defensive</v>
      </c>
      <c r="AT87" t="str">
        <f t="shared" si="153"/>
        <v/>
      </c>
      <c r="AU87" t="str">
        <f t="shared" si="154"/>
        <v/>
      </c>
      <c r="AV87" t="str" cm="1">
        <f t="array" ref="AV87">IFERROR(IF(O87&lt;&gt;"",O87,IF(OR($S87="",$T87=""),"",IF(O87&lt;&gt;"",O87,IF($T87&lt;&gt;"",_xlfn._xlws.FILTER(O:O,($BT:$BT=$BT87)*($I:$I=$I87)*($T:$T=$T87)*($S:$S=_xlfn.MINIFS($S:$S,$T:$T,"="&amp;$T87)),"")))))&amp;"",IF(O87="","",""))&amp;""</f>
        <v/>
      </c>
      <c r="AW87" t="str" cm="1">
        <f t="array" ref="AW87">IFERROR(IF(P87&lt;&gt;"",P87,IF(OR($S87="",$T87=""),"",IF($T87&lt;&gt;"",_xlfn._xlws.FILTER(P:P,($BT:$BT=$BT87)*($I:$I=$I87)*($T:$T=$T87)*($S:$S=_xlfn.MINIFS($S:$S,$T:$T,"="&amp;$T87)),""))))&amp;"",IF(P87="","",""))&amp;""</f>
        <v/>
      </c>
      <c r="AX87" t="str" cm="1">
        <f t="array" ref="AX87">IFERROR(IF(Q87&lt;&gt;"",Q87,IF(OR($S87="",$T87=""),"",IF($T87&lt;&gt;"",_xlfn._xlws.FILTER(Q:Q,($BT:$BT=$BT87)*($I:$I=$I87)*($T:$T=$T87)*($S:$S=_xlfn.MINIFS($S:$S,$T:$T,"="&amp;$T87)),""))))&amp;"",IF(Q87="","",""))&amp;""</f>
        <v/>
      </c>
      <c r="AY87" t="str" cm="1">
        <f t="array" ref="AY87">IFERROR(IF(R87&lt;&gt;"",R87,IF(OR($S87="",$T87=""),"",IF($T87&lt;&gt;"",_xlfn._xlws.FILTER(R:R,($BT:$BT=$BT87)*($I:$I=$I87)*($T:$T=$T87)*($S:$S=_xlfn.MINIFS($S:$S,$T:$T,"="&amp;$T87)),""))))&amp;"",IF(R87="","",""))&amp;""</f>
        <v/>
      </c>
      <c r="AZ87" s="6">
        <f t="shared" si="155"/>
        <v>11</v>
      </c>
      <c r="BA87">
        <f t="shared" ref="BA87:BC87" si="190">BA86</f>
        <v>18991</v>
      </c>
      <c r="BB87" t="str">
        <f t="shared" si="190"/>
        <v>Triple J</v>
      </c>
      <c r="BC87" t="str">
        <f t="shared" si="190"/>
        <v>Velodrome</v>
      </c>
      <c r="BD87" t="str">
        <f t="shared" si="157"/>
        <v>Zone_Entry_Exit</v>
      </c>
      <c r="BE87" t="str">
        <f t="shared" si="158"/>
        <v>Zone_Exit</v>
      </c>
      <c r="BF87" t="str">
        <f t="shared" si="159"/>
        <v>ZoneExit-PassMiss/Misplay</v>
      </c>
      <c r="BG87" t="str">
        <f t="shared" si="22"/>
        <v>u</v>
      </c>
      <c r="BH87" cm="1">
        <f t="array" ref="BH87">IFERROR(_xlfn._xlws.FILTER(shifts!A:A,(shifts!B:B=events!Z87)*(shifts!AG:AG&gt;=events!BJ87)*(shifts!AH:AH&lt;=events!BK87)),BH86)</f>
        <v>2</v>
      </c>
      <c r="BI87" s="15">
        <f t="shared" si="160"/>
        <v>0</v>
      </c>
      <c r="BJ87">
        <f t="shared" si="161"/>
        <v>1014</v>
      </c>
      <c r="BK87">
        <f t="shared" si="162"/>
        <v>1014</v>
      </c>
      <c r="BL87" s="15">
        <f>SUMIFS(BI$2:BI87,K$2:K87,"=Intermission")+SUMIFS(BI$2:BI87,K$2:K87,"=Timeout")</f>
        <v>0</v>
      </c>
      <c r="BM87">
        <f t="shared" si="163"/>
        <v>0</v>
      </c>
      <c r="BN87" s="19">
        <f t="shared" si="164"/>
        <v>66</v>
      </c>
      <c r="BO87">
        <f t="shared" si="165"/>
        <v>61</v>
      </c>
      <c r="BP87" s="17">
        <f t="shared" si="166"/>
        <v>66</v>
      </c>
      <c r="BQ87" t="str">
        <f t="shared" si="167"/>
        <v>opp_team_player_1</v>
      </c>
      <c r="BR87">
        <f>COUNTIFS(S$3:S87,"="&amp;S87,AH$3:AH87,"="&amp;AH87)</f>
        <v>1</v>
      </c>
      <c r="BS87" t="str">
        <f>IFERROR(VLOOKUP(BA87&amp;BT87&amp;X87,game_rosters!U:W,3,FALSE),"")</f>
        <v/>
      </c>
      <c r="BT87" t="str">
        <f t="shared" si="168"/>
        <v>Velodrome</v>
      </c>
    </row>
    <row r="88" spans="1:72" x14ac:dyDescent="0.2">
      <c r="A88">
        <f t="shared" si="143"/>
        <v>1</v>
      </c>
      <c r="D88" s="26" t="s">
        <v>729</v>
      </c>
      <c r="E88" s="4"/>
      <c r="F88" s="45"/>
      <c r="G88" s="4"/>
      <c r="H88" s="47"/>
      <c r="J88" s="26" t="str">
        <f t="shared" si="170"/>
        <v/>
      </c>
      <c r="K88" t="s">
        <v>9</v>
      </c>
      <c r="L88" t="s">
        <v>173</v>
      </c>
      <c r="M88" t="s">
        <v>74</v>
      </c>
      <c r="N88" t="str">
        <f t="shared" si="187"/>
        <v>u</v>
      </c>
      <c r="Q88" t="str">
        <f t="shared" si="181"/>
        <v/>
      </c>
      <c r="S88">
        <f>IF(A88=1,MAX($S$2:$S87)+1,IF(OR($I88&lt;&gt;"",A88="x"),$S87,""))</f>
        <v>45</v>
      </c>
      <c r="T88">
        <f>IF(D88=1,MAX($T$2:$T87)+1,IF(S88=S87,$T87,IF(D88="x",T87,IF(D87="x","",""))))</f>
        <v>6</v>
      </c>
      <c r="U88" t="str">
        <f>IF(B88=1,MAX($U$2:$U87)+1,IF(AND($T88&lt;&gt;"",$T88=$T87),$U87,IF(B88="x",U87,"")))</f>
        <v/>
      </c>
      <c r="V88" t="str">
        <f>IF(C88=1,MAX($V$2:$V87)+1,IF(AND($T88&lt;&gt;"",$T88=$T87),$U87,IF(C88="x",V87,"")))</f>
        <v/>
      </c>
      <c r="W88" t="str" cm="1">
        <f t="array" ref="W88">IFERROR(_xlfn._xlws.FILTER(game_rosters!AC:AC,(game_rosters!J:J=events!X88)*(K88&lt;&gt;"")),"")</f>
        <v>h</v>
      </c>
      <c r="X88" cm="1">
        <f t="array" ref="X88">IF($I88&lt;&gt;"",$I88,INDEX($I$1:$I88,ROW()-COUNTIFS($T$1:$T88,"="&amp;$T88,$S$1:$S88,"&lt;"&amp;$S88)))</f>
        <v>19</v>
      </c>
      <c r="Y88" cm="1">
        <f t="array" ref="Y88">IFERROR(IF(_xlfn._xlws.FILTER(game_rosters!$J:$J,(game_rosters!$G:$G=events!$AM88)*(game_rosters!$J:$J=events!$X88))&gt;0,1,""),"")</f>
        <v>1</v>
      </c>
      <c r="Z88" s="6">
        <f t="shared" si="144"/>
        <v>1</v>
      </c>
      <c r="AA88">
        <f t="shared" si="145"/>
        <v>1045</v>
      </c>
      <c r="AB88">
        <f t="shared" si="146"/>
        <v>9006</v>
      </c>
      <c r="AC88">
        <f t="shared" si="147"/>
        <v>9006</v>
      </c>
      <c r="AD88" t="str">
        <f t="shared" si="148"/>
        <v>16</v>
      </c>
      <c r="AE88" t="str">
        <f t="shared" si="149"/>
        <v>54</v>
      </c>
      <c r="AF88" t="str">
        <f t="shared" si="150"/>
        <v/>
      </c>
      <c r="AG88" t="str">
        <f t="shared" si="151"/>
        <v/>
      </c>
      <c r="AH88" t="str">
        <f t="shared" si="90"/>
        <v>e</v>
      </c>
      <c r="AI88" t="str">
        <f t="shared" si="175"/>
        <v>d</v>
      </c>
      <c r="AJ88" t="str">
        <f t="shared" si="175"/>
        <v>d</v>
      </c>
      <c r="AK88" t="str">
        <f t="shared" si="92"/>
        <v>d</v>
      </c>
      <c r="AL88" t="str">
        <f t="shared" si="93"/>
        <v/>
      </c>
      <c r="AM88" t="str">
        <f t="shared" si="152"/>
        <v>Home</v>
      </c>
      <c r="AN88" t="str">
        <f t="shared" si="94"/>
        <v>h</v>
      </c>
      <c r="AO88" t="str">
        <f t="shared" si="95"/>
        <v>d</v>
      </c>
      <c r="AP88" t="str">
        <f t="shared" si="96"/>
        <v>o</v>
      </c>
      <c r="AQ88" t="str">
        <f>IF(AM88&lt;&gt;"",AM88,IF($AC88=#REF!,#REF!,""))</f>
        <v>Home</v>
      </c>
      <c r="AR88" t="str">
        <f t="shared" si="97"/>
        <v>h</v>
      </c>
      <c r="AS88" t="str">
        <f t="shared" si="98"/>
        <v>Offensive</v>
      </c>
      <c r="AT88" t="str">
        <f t="shared" si="153"/>
        <v/>
      </c>
      <c r="AU88" t="str">
        <f t="shared" si="154"/>
        <v/>
      </c>
      <c r="AV88" t="str" cm="1">
        <f t="array" ref="AV88">IFERROR(IF(O88&lt;&gt;"",O88,IF(OR($S88="",$T88=""),"",IF(O88&lt;&gt;"",O88,IF($T88&lt;&gt;"",_xlfn._xlws.FILTER(O:O,($BT:$BT=$BT88)*($I:$I=$I88)*($T:$T=$T88)*($S:$S=_xlfn.MINIFS($S:$S,$T:$T,"="&amp;$T88)),"")))))&amp;"",IF(O88="","",""))&amp;""</f>
        <v/>
      </c>
      <c r="AW88" t="str" cm="1">
        <f t="array" ref="AW88">IFERROR(IF(P88&lt;&gt;"",P88,IF(OR($S88="",$T88=""),"",IF($T88&lt;&gt;"",_xlfn._xlws.FILTER(P:P,($BT:$BT=$BT88)*($I:$I=$I88)*($T:$T=$T88)*($S:$S=_xlfn.MINIFS($S:$S,$T:$T,"="&amp;$T88)),""))))&amp;"",IF(P88="","",""))&amp;""</f>
        <v/>
      </c>
      <c r="AX88" t="str" cm="1">
        <f t="array" ref="AX88">IFERROR(IF(Q88&lt;&gt;"",Q88,IF(OR($S88="",$T88=""),"",IF($T88&lt;&gt;"",_xlfn._xlws.FILTER(Q:Q,($BT:$BT=$BT88)*($I:$I=$I88)*($T:$T=$T88)*($S:$S=_xlfn.MINIFS($S:$S,$T:$T,"="&amp;$T88)),""))))&amp;"",IF(Q88="","",""))&amp;""</f>
        <v/>
      </c>
      <c r="AY88" t="str" cm="1">
        <f t="array" ref="AY88">IFERROR(IF(R88&lt;&gt;"",R88,IF(OR($S88="",$T88=""),"",IF($T88&lt;&gt;"",_xlfn._xlws.FILTER(R:R,($BT:$BT=$BT88)*($I:$I=$I88)*($T:$T=$T88)*($S:$S=_xlfn.MINIFS($S:$S,$T:$T,"="&amp;$T88)),""))))&amp;"",IF(R88="","",""))&amp;""</f>
        <v/>
      </c>
      <c r="AZ88" s="6">
        <f t="shared" si="155"/>
        <v>11</v>
      </c>
      <c r="BA88">
        <f t="shared" ref="BA88:BC88" si="191">BA87</f>
        <v>18991</v>
      </c>
      <c r="BB88" t="str">
        <f t="shared" si="191"/>
        <v>Triple J</v>
      </c>
      <c r="BC88" t="str">
        <f t="shared" si="191"/>
        <v>Velodrome</v>
      </c>
      <c r="BD88" t="str">
        <f t="shared" si="157"/>
        <v>Turnover</v>
      </c>
      <c r="BE88" t="str">
        <f t="shared" si="158"/>
        <v>Turnover_Giveaway</v>
      </c>
      <c r="BF88" t="str">
        <f t="shared" si="159"/>
        <v>Giveaway-PassMissed</v>
      </c>
      <c r="BG88" t="str">
        <f t="shared" si="22"/>
        <v>u</v>
      </c>
      <c r="BH88" cm="1">
        <f t="array" ref="BH88">IFERROR(_xlfn._xlws.FILTER(shifts!A:A,(shifts!B:B=events!Z88)*(shifts!AG:AG&gt;=events!BJ88)*(shifts!AH:AH&lt;=events!BK88)),BH87)</f>
        <v>2</v>
      </c>
      <c r="BI88" s="15">
        <f t="shared" si="160"/>
        <v>0</v>
      </c>
      <c r="BJ88">
        <f t="shared" si="161"/>
        <v>1014</v>
      </c>
      <c r="BK88">
        <f t="shared" si="162"/>
        <v>1014</v>
      </c>
      <c r="BL88" s="15">
        <f>SUMIFS(BI$2:BI88,K$2:K88,"=Intermission")+SUMIFS(BI$2:BI88,K$2:K88,"=Timeout")</f>
        <v>0</v>
      </c>
      <c r="BM88">
        <f t="shared" si="163"/>
        <v>0</v>
      </c>
      <c r="BN88" s="19">
        <f t="shared" si="164"/>
        <v>66</v>
      </c>
      <c r="BO88">
        <f t="shared" si="165"/>
        <v>61</v>
      </c>
      <c r="BP88" s="17">
        <f t="shared" si="166"/>
        <v>66</v>
      </c>
      <c r="BQ88" t="str">
        <f t="shared" si="167"/>
        <v>event_team_player_1</v>
      </c>
      <c r="BR88">
        <f>COUNTIFS(S$3:S88,"="&amp;S88,AH$3:AH88,"="&amp;AH88)</f>
        <v>1</v>
      </c>
      <c r="BS88" t="str">
        <f>IFERROR(VLOOKUP(BA88&amp;BT88&amp;X88,game_rosters!U:W,3,FALSE),"")</f>
        <v>P100089</v>
      </c>
      <c r="BT88" t="str">
        <f t="shared" si="168"/>
        <v>Triple J</v>
      </c>
    </row>
    <row r="89" spans="1:72" x14ac:dyDescent="0.2">
      <c r="A89" t="str">
        <f t="shared" si="143"/>
        <v>x</v>
      </c>
      <c r="D89" s="26" t="s">
        <v>729</v>
      </c>
      <c r="E89" s="4"/>
      <c r="F89" s="45"/>
      <c r="G89" s="4"/>
      <c r="H89" s="47"/>
      <c r="J89" s="26" t="str">
        <f t="shared" si="170"/>
        <v/>
      </c>
      <c r="N89" t="str">
        <f t="shared" si="187"/>
        <v/>
      </c>
      <c r="Q89" t="str">
        <f t="shared" si="181"/>
        <v/>
      </c>
      <c r="S89">
        <f>IF(A89=1,MAX($S$2:$S88)+1,IF(OR($I89&lt;&gt;"",A89="x"),$S88,""))</f>
        <v>45</v>
      </c>
      <c r="T89">
        <f>IF(D89=1,MAX($T$2:$T88)+1,IF(S89=S88,$T88,IF(D89="x",T88,IF(D88="x","",""))))</f>
        <v>6</v>
      </c>
      <c r="U89" t="str">
        <f>IF(B89=1,MAX($U$2:$U88)+1,IF(AND($T89&lt;&gt;"",$T89=$T88),$U88,IF(B89="x",U88,"")))</f>
        <v/>
      </c>
      <c r="V89" t="str">
        <f>IF(C89=1,MAX($V$2:$V88)+1,IF(AND($T89&lt;&gt;"",$T89=$T88),$U88,IF(C89="x",V88,"")))</f>
        <v/>
      </c>
      <c r="W89" t="str" cm="1">
        <f t="array" ref="W89">IFERROR(_xlfn._xlws.FILTER(game_rosters!AC:AC,(game_rosters!J:J=events!X89)*(K89&lt;&gt;"")),"")</f>
        <v/>
      </c>
      <c r="X89" cm="1">
        <f t="array" ref="X89">IF($I89&lt;&gt;"",$I89,INDEX($I$1:$I89,ROW()-COUNTIFS($T$1:$T89,"="&amp;$T89,$S$1:$S89,"&lt;"&amp;$S89)))</f>
        <v>0</v>
      </c>
      <c r="Y89" t="str" cm="1">
        <f t="array" ref="Y89">IFERROR(IF(_xlfn._xlws.FILTER(game_rosters!$J:$J,(game_rosters!$G:$G=events!$AM89)*(game_rosters!$J:$J=events!$X89))&gt;0,1,""),"")</f>
        <v/>
      </c>
      <c r="Z89" s="6">
        <f t="shared" si="144"/>
        <v>1</v>
      </c>
      <c r="AA89">
        <f t="shared" si="145"/>
        <v>1045</v>
      </c>
      <c r="AB89">
        <f t="shared" si="146"/>
        <v>9006</v>
      </c>
      <c r="AC89">
        <f t="shared" si="147"/>
        <v>9006</v>
      </c>
      <c r="AD89" t="str">
        <f t="shared" si="148"/>
        <v>16</v>
      </c>
      <c r="AE89" t="str">
        <f t="shared" si="149"/>
        <v>54</v>
      </c>
      <c r="AF89" t="str">
        <f t="shared" si="150"/>
        <v/>
      </c>
      <c r="AG89" t="str">
        <f t="shared" si="151"/>
        <v/>
      </c>
      <c r="AH89" t="str">
        <f t="shared" si="90"/>
        <v>o</v>
      </c>
      <c r="AI89" t="str">
        <f t="shared" si="175"/>
        <v>d</v>
      </c>
      <c r="AJ89" t="str">
        <f t="shared" si="175"/>
        <v>d</v>
      </c>
      <c r="AK89" t="str">
        <f t="shared" si="92"/>
        <v/>
      </c>
      <c r="AL89" t="str">
        <f t="shared" si="93"/>
        <v/>
      </c>
      <c r="AM89" t="str">
        <f t="shared" si="152"/>
        <v>Home</v>
      </c>
      <c r="AN89" t="str">
        <f t="shared" si="94"/>
        <v>h</v>
      </c>
      <c r="AO89" t="str">
        <f t="shared" si="95"/>
        <v>d</v>
      </c>
      <c r="AP89" t="str">
        <f t="shared" si="96"/>
        <v>o</v>
      </c>
      <c r="AQ89" t="str">
        <f>IF(AM89&lt;&gt;"",AM89,IF($AC89=#REF!,#REF!,""))</f>
        <v>Home</v>
      </c>
      <c r="AR89" t="str">
        <f t="shared" si="97"/>
        <v>h</v>
      </c>
      <c r="AS89" t="str">
        <f t="shared" si="98"/>
        <v>Defensive</v>
      </c>
      <c r="AT89" t="str">
        <f t="shared" si="153"/>
        <v/>
      </c>
      <c r="AU89" t="str">
        <f t="shared" si="154"/>
        <v/>
      </c>
      <c r="AV89" t="str" cm="1">
        <f t="array" ref="AV89">IFERROR(IF(O89&lt;&gt;"",O89,IF(OR($S89="",$T89=""),"",IF(O89&lt;&gt;"",O89,IF($T89&lt;&gt;"",_xlfn._xlws.FILTER(O:O,($BT:$BT=$BT89)*($I:$I=$I89)*($T:$T=$T89)*($S:$S=_xlfn.MINIFS($S:$S,$T:$T,"="&amp;$T89)),"")))))&amp;"",IF(O89="","",""))&amp;""</f>
        <v/>
      </c>
      <c r="AW89" t="str" cm="1">
        <f t="array" ref="AW89">IFERROR(IF(P89&lt;&gt;"",P89,IF(OR($S89="",$T89=""),"",IF($T89&lt;&gt;"",_xlfn._xlws.FILTER(P:P,($BT:$BT=$BT89)*($I:$I=$I89)*($T:$T=$T89)*($S:$S=_xlfn.MINIFS($S:$S,$T:$T,"="&amp;$T89)),""))))&amp;"",IF(P89="","",""))&amp;""</f>
        <v/>
      </c>
      <c r="AX89" t="str" cm="1">
        <f t="array" ref="AX89">IFERROR(IF(Q89&lt;&gt;"",Q89,IF(OR($S89="",$T89=""),"",IF($T89&lt;&gt;"",_xlfn._xlws.FILTER(Q:Q,($BT:$BT=$BT89)*($I:$I=$I89)*($T:$T=$T89)*($S:$S=_xlfn.MINIFS($S:$S,$T:$T,"="&amp;$T89)),""))))&amp;"",IF(Q89="","",""))&amp;""</f>
        <v/>
      </c>
      <c r="AY89" t="str" cm="1">
        <f t="array" ref="AY89">IFERROR(IF(R89&lt;&gt;"",R89,IF(OR($S89="",$T89=""),"",IF($T89&lt;&gt;"",_xlfn._xlws.FILTER(R:R,($BT:$BT=$BT89)*($I:$I=$I89)*($T:$T=$T89)*($S:$S=_xlfn.MINIFS($S:$S,$T:$T,"="&amp;$T89)),""))))&amp;"",IF(R89="","",""))&amp;""</f>
        <v/>
      </c>
      <c r="AZ89" s="6">
        <f t="shared" si="155"/>
        <v>11</v>
      </c>
      <c r="BA89">
        <f t="shared" ref="BA89:BC89" si="192">BA88</f>
        <v>18991</v>
      </c>
      <c r="BB89" t="str">
        <f t="shared" si="192"/>
        <v>Triple J</v>
      </c>
      <c r="BC89" t="str">
        <f t="shared" si="192"/>
        <v>Velodrome</v>
      </c>
      <c r="BD89" t="str">
        <f t="shared" si="157"/>
        <v>Turnover</v>
      </c>
      <c r="BE89" t="str">
        <f t="shared" si="158"/>
        <v>Turnover_Giveaway</v>
      </c>
      <c r="BF89" t="str">
        <f t="shared" si="159"/>
        <v>Giveaway-PassMissed</v>
      </c>
      <c r="BG89" t="str">
        <f t="shared" si="22"/>
        <v>u</v>
      </c>
      <c r="BH89" cm="1">
        <f t="array" ref="BH89">IFERROR(_xlfn._xlws.FILTER(shifts!A:A,(shifts!B:B=events!Z89)*(shifts!AG:AG&gt;=events!BJ89)*(shifts!AH:AH&lt;=events!BK89)),BH88)</f>
        <v>2</v>
      </c>
      <c r="BI89" s="15">
        <f t="shared" si="160"/>
        <v>0</v>
      </c>
      <c r="BJ89">
        <f t="shared" si="161"/>
        <v>1014</v>
      </c>
      <c r="BK89">
        <f t="shared" si="162"/>
        <v>1014</v>
      </c>
      <c r="BL89" s="15">
        <f>SUMIFS(BI$2:BI89,K$2:K89,"=Intermission")+SUMIFS(BI$2:BI89,K$2:K89,"=Timeout")</f>
        <v>0</v>
      </c>
      <c r="BM89">
        <f t="shared" si="163"/>
        <v>0</v>
      </c>
      <c r="BN89" s="19">
        <f t="shared" si="164"/>
        <v>66</v>
      </c>
      <c r="BO89">
        <f t="shared" si="165"/>
        <v>61</v>
      </c>
      <c r="BP89" s="17">
        <f t="shared" si="166"/>
        <v>66</v>
      </c>
      <c r="BQ89" t="str">
        <f t="shared" si="167"/>
        <v>opp_team_player_1</v>
      </c>
      <c r="BR89">
        <f>COUNTIFS(S$3:S89,"="&amp;S89,AH$3:AH89,"="&amp;AH89)</f>
        <v>1</v>
      </c>
      <c r="BS89" t="str">
        <f>IFERROR(VLOOKUP(BA89&amp;BT89&amp;X89,game_rosters!U:W,3,FALSE),"")</f>
        <v/>
      </c>
      <c r="BT89" t="str">
        <f t="shared" si="168"/>
        <v>Velodrome</v>
      </c>
    </row>
    <row r="90" spans="1:72" x14ac:dyDescent="0.2">
      <c r="A90">
        <f t="shared" si="143"/>
        <v>1</v>
      </c>
      <c r="E90" s="4"/>
      <c r="F90" s="45" t="s">
        <v>1066</v>
      </c>
      <c r="G90" s="4"/>
      <c r="H90" s="47" t="s">
        <v>1031</v>
      </c>
      <c r="I90" s="26">
        <v>93</v>
      </c>
      <c r="J90" s="26" t="s">
        <v>734</v>
      </c>
      <c r="K90" t="s">
        <v>13</v>
      </c>
      <c r="L90" t="s">
        <v>586</v>
      </c>
      <c r="N90" t="s">
        <v>595</v>
      </c>
      <c r="O90" t="s">
        <v>907</v>
      </c>
      <c r="Q90" t="str">
        <f t="shared" si="181"/>
        <v>s</v>
      </c>
      <c r="S90">
        <f>IF(A90=1,MAX($S$2:$S89)+1,IF(OR($I90&lt;&gt;"",A90="x"),$S89,""))</f>
        <v>46</v>
      </c>
      <c r="T90" t="str">
        <f>IF(D90=1,MAX($T$2:$T89)+1,IF(S90=S89,$T89,IF(D90="x",T89,IF(D89="x","",""))))</f>
        <v/>
      </c>
      <c r="U90" t="str">
        <f>IF(B90=1,MAX($U$2:$U89)+1,IF(AND($T90&lt;&gt;"",$T90=$T89),$U89,IF(B90="x",U89,"")))</f>
        <v/>
      </c>
      <c r="V90" t="str">
        <f>IF(C90=1,MAX($V$2:$V89)+1,IF(AND($T90&lt;&gt;"",$T90=$T89),$U89,IF(C90="x",V89,"")))</f>
        <v/>
      </c>
      <c r="W90" t="str" cm="1">
        <f t="array" ref="W90">IFERROR(_xlfn._xlws.FILTER(game_rosters!AC:AC,(game_rosters!J:J=events!X90)*(K90&lt;&gt;"")),"")</f>
        <v>a</v>
      </c>
      <c r="X90" cm="1">
        <f t="array" ref="X90">IF($I90&lt;&gt;"",$I90,INDEX($I$1:$I90,ROW()-COUNTIFS($T$1:$T90,"="&amp;$T90,$S$1:$S90,"&lt;"&amp;$S90)))</f>
        <v>93</v>
      </c>
      <c r="Y90" cm="1">
        <f t="array" ref="Y90">IFERROR(IF(_xlfn._xlws.FILTER(game_rosters!$J:$J,(game_rosters!$G:$G=events!$AM90)*(game_rosters!$J:$J=events!$X90))&gt;0,1,""),"")</f>
        <v>1</v>
      </c>
      <c r="Z90" s="6">
        <f t="shared" si="144"/>
        <v>1</v>
      </c>
      <c r="AA90">
        <f t="shared" si="145"/>
        <v>1046</v>
      </c>
      <c r="AB90" t="str">
        <f t="shared" si="146"/>
        <v/>
      </c>
      <c r="AC90">
        <f t="shared" si="147"/>
        <v>1046</v>
      </c>
      <c r="AD90" t="str">
        <f t="shared" si="148"/>
        <v>16</v>
      </c>
      <c r="AE90" t="str">
        <f t="shared" si="149"/>
        <v>48</v>
      </c>
      <c r="AF90" t="str">
        <f t="shared" si="150"/>
        <v>16</v>
      </c>
      <c r="AG90" t="str">
        <f t="shared" si="151"/>
        <v>47</v>
      </c>
      <c r="AH90" t="str">
        <f t="shared" si="90"/>
        <v>e</v>
      </c>
      <c r="AI90" t="str">
        <f t="shared" si="175"/>
        <v>n</v>
      </c>
      <c r="AJ90" t="str">
        <f t="shared" si="175"/>
        <v>n</v>
      </c>
      <c r="AK90" t="str">
        <f t="shared" si="92"/>
        <v>n</v>
      </c>
      <c r="AL90" t="str">
        <f t="shared" si="93"/>
        <v>n</v>
      </c>
      <c r="AM90" t="str">
        <f t="shared" si="152"/>
        <v>Away</v>
      </c>
      <c r="AN90" t="str">
        <f t="shared" si="94"/>
        <v>a</v>
      </c>
      <c r="AO90" t="str">
        <f t="shared" si="95"/>
        <v>n</v>
      </c>
      <c r="AP90" t="str">
        <f t="shared" si="96"/>
        <v>n</v>
      </c>
      <c r="AQ90" t="str">
        <f>IF(AM90&lt;&gt;"",AM90,IF($AC90=#REF!,#REF!,""))</f>
        <v>Away</v>
      </c>
      <c r="AR90" t="str">
        <f t="shared" si="97"/>
        <v>a</v>
      </c>
      <c r="AS90" t="str">
        <f t="shared" si="98"/>
        <v>Offensive</v>
      </c>
      <c r="AT90" t="str">
        <f t="shared" si="153"/>
        <v/>
      </c>
      <c r="AU90" t="str">
        <f t="shared" si="154"/>
        <v/>
      </c>
      <c r="AV90" t="str" cm="1">
        <f t="array" ref="AV90">IFERROR(IF(O90&lt;&gt;"",O90,IF(OR($S90="",$T90=""),"",IF(O90&lt;&gt;"",O90,IF($T90&lt;&gt;"",_xlfn._xlws.FILTER(O:O,($BT:$BT=$BT90)*($I:$I=$I90)*($T:$T=$T90)*($S:$S=_xlfn.MINIFS($S:$S,$T:$T,"="&amp;$T90)),"")))))&amp;"",IF(O90="","",""))&amp;""</f>
        <v>PuckRecoveryRetreivalPass</v>
      </c>
      <c r="AW90" t="str" cm="1">
        <f t="array" ref="AW90">IFERROR(IF(P90&lt;&gt;"",P90,IF(OR($S90="",$T90=""),"",IF($T90&lt;&gt;"",_xlfn._xlws.FILTER(P:P,($BT:$BT=$BT90)*($I:$I=$I90)*($T:$T=$T90)*($S:$S=_xlfn.MINIFS($S:$S,$T:$T,"="&amp;$T90)),""))))&amp;"",IF(P90="","",""))&amp;""</f>
        <v/>
      </c>
      <c r="AX90" t="str" cm="1">
        <f t="array" ref="AX90">IFERROR(IF(Q90&lt;&gt;"",Q90,IF(OR($S90="",$T90=""),"",IF($T90&lt;&gt;"",_xlfn._xlws.FILTER(Q:Q,($BT:$BT=$BT90)*($I:$I=$I90)*($T:$T=$T90)*($S:$S=_xlfn.MINIFS($S:$S,$T:$T,"="&amp;$T90)),""))))&amp;"",IF(Q90="","",""))&amp;""</f>
        <v>s</v>
      </c>
      <c r="AY90" t="str" cm="1">
        <f t="array" ref="AY90">IFERROR(IF(R90&lt;&gt;"",R90,IF(OR($S90="",$T90=""),"",IF($T90&lt;&gt;"",_xlfn._xlws.FILTER(R:R,($BT:$BT=$BT90)*($I:$I=$I90)*($T:$T=$T90)*($S:$S=_xlfn.MINIFS($S:$S,$T:$T,"="&amp;$T90)),""))))&amp;"",IF(R90="","",""))&amp;""</f>
        <v/>
      </c>
      <c r="AZ90" s="6">
        <f t="shared" si="155"/>
        <v>11</v>
      </c>
      <c r="BA90">
        <f t="shared" ref="BA90:BC90" si="193">BA89</f>
        <v>18991</v>
      </c>
      <c r="BB90" t="str">
        <f t="shared" si="193"/>
        <v>Triple J</v>
      </c>
      <c r="BC90" t="str">
        <f t="shared" si="193"/>
        <v>Velodrome</v>
      </c>
      <c r="BD90" t="str">
        <f t="shared" si="157"/>
        <v>Possession</v>
      </c>
      <c r="BE90" t="str">
        <f t="shared" si="158"/>
        <v>PuckRetrieval</v>
      </c>
      <c r="BF90" t="str">
        <f t="shared" si="159"/>
        <v/>
      </c>
      <c r="BG90" t="str">
        <f t="shared" si="22"/>
        <v>s</v>
      </c>
      <c r="BH90" cm="1">
        <f t="array" ref="BH90">IFERROR(_xlfn._xlws.FILTER(shifts!A:A,(shifts!B:B=events!Z90)*(shifts!AG:AG&gt;=events!BJ90)*(shifts!AH:AH&lt;=events!BK90)),BH89)</f>
        <v>2</v>
      </c>
      <c r="BI90" s="15">
        <f t="shared" si="160"/>
        <v>1</v>
      </c>
      <c r="BJ90">
        <f t="shared" si="161"/>
        <v>1008</v>
      </c>
      <c r="BK90">
        <f t="shared" si="162"/>
        <v>1007</v>
      </c>
      <c r="BL90" s="15">
        <f>SUMIFS(BI$2:BI90,K$2:K90,"=Intermission")+SUMIFS(BI$2:BI90,K$2:K90,"=Timeout")</f>
        <v>0</v>
      </c>
      <c r="BM90">
        <f t="shared" si="163"/>
        <v>0</v>
      </c>
      <c r="BN90" s="19">
        <f t="shared" si="164"/>
        <v>72</v>
      </c>
      <c r="BO90">
        <f t="shared" si="165"/>
        <v>67</v>
      </c>
      <c r="BP90" s="17">
        <f t="shared" si="166"/>
        <v>73</v>
      </c>
      <c r="BQ90" t="str">
        <f t="shared" si="167"/>
        <v>event_team_player_1</v>
      </c>
      <c r="BR90">
        <f>COUNTIFS(S$3:S90,"="&amp;S90,AH$3:AH90,"="&amp;AH90)</f>
        <v>1</v>
      </c>
      <c r="BS90" t="str">
        <f>IFERROR(VLOOKUP(BA90&amp;BT90&amp;X90,game_rosters!U:W,3,FALSE),"")</f>
        <v>P100093</v>
      </c>
      <c r="BT90" t="str">
        <f t="shared" si="168"/>
        <v>Velodrome</v>
      </c>
    </row>
    <row r="91" spans="1:72" x14ac:dyDescent="0.2">
      <c r="A91">
        <f t="shared" si="143"/>
        <v>1</v>
      </c>
      <c r="D91" s="26">
        <v>1</v>
      </c>
      <c r="E91" s="4"/>
      <c r="F91" s="45"/>
      <c r="G91" s="4"/>
      <c r="H91" s="47"/>
      <c r="I91" s="26">
        <v>93</v>
      </c>
      <c r="J91" s="26" t="s">
        <v>734</v>
      </c>
      <c r="K91" t="s">
        <v>7</v>
      </c>
      <c r="L91" t="s">
        <v>182</v>
      </c>
      <c r="M91" t="s">
        <v>68</v>
      </c>
      <c r="N91" t="str">
        <f t="shared" si="187"/>
        <v>u</v>
      </c>
      <c r="Q91" t="str">
        <f t="shared" si="181"/>
        <v/>
      </c>
      <c r="S91">
        <f>IF(A91=1,MAX($S$2:$S90)+1,IF(OR($I91&lt;&gt;"",A91="x"),$S90,""))</f>
        <v>47</v>
      </c>
      <c r="T91">
        <f>IF(D91=1,MAX($T$2:$T90)+1,IF(S91=S90,$T90,IF(D91="x",T90,IF(D90="x","",""))))</f>
        <v>7</v>
      </c>
      <c r="U91" t="str">
        <f>IF(B91=1,MAX($U$2:$U90)+1,IF(AND($T91&lt;&gt;"",$T91=$T90),$U90,IF(B91="x",U90,"")))</f>
        <v/>
      </c>
      <c r="V91" t="str">
        <f>IF(C91=1,MAX($V$2:$V90)+1,IF(AND($T91&lt;&gt;"",$T91=$T90),$U90,IF(C91="x",V90,"")))</f>
        <v/>
      </c>
      <c r="W91" t="str" cm="1">
        <f t="array" ref="W91">IFERROR(_xlfn._xlws.FILTER(game_rosters!AC:AC,(game_rosters!J:J=events!X91)*(K91&lt;&gt;"")),"")</f>
        <v>a</v>
      </c>
      <c r="X91" cm="1">
        <f t="array" ref="X91">IF($I91&lt;&gt;"",$I91,INDEX($I$1:$I91,ROW()-COUNTIFS($T$1:$T91,"="&amp;$T91,$S$1:$S91,"&lt;"&amp;$S91)))</f>
        <v>93</v>
      </c>
      <c r="Y91" cm="1">
        <f t="array" ref="Y91">IFERROR(IF(_xlfn._xlws.FILTER(game_rosters!$J:$J,(game_rosters!$G:$G=events!$AM91)*(game_rosters!$J:$J=events!$X91))&gt;0,1,""),"")</f>
        <v>1</v>
      </c>
      <c r="Z91" s="6">
        <f t="shared" si="144"/>
        <v>1</v>
      </c>
      <c r="AA91">
        <f t="shared" si="145"/>
        <v>1047</v>
      </c>
      <c r="AB91">
        <f t="shared" si="146"/>
        <v>9007</v>
      </c>
      <c r="AC91">
        <f t="shared" si="147"/>
        <v>9007</v>
      </c>
      <c r="AD91" t="str">
        <f t="shared" si="148"/>
        <v>16</v>
      </c>
      <c r="AE91" t="str">
        <f t="shared" si="149"/>
        <v>47</v>
      </c>
      <c r="AF91" t="str">
        <f t="shared" si="150"/>
        <v/>
      </c>
      <c r="AG91" t="str">
        <f t="shared" si="151"/>
        <v/>
      </c>
      <c r="AH91" t="str">
        <f t="shared" ref="AH91:AH154" si="194">IF(Y91="x","",IF(Y91=1,"e","o"))</f>
        <v>e</v>
      </c>
      <c r="AI91" t="str">
        <f t="shared" ref="AI91:AJ106" si="195">IF($J91&lt;&gt;"",$J91,IF($AC91=$AC90,AI90,""))</f>
        <v>n</v>
      </c>
      <c r="AJ91" t="str">
        <f t="shared" si="195"/>
        <v>n</v>
      </c>
      <c r="AK91" t="str">
        <f t="shared" ref="AK91:AK154" si="196">IF($W91="","",IF($AI91="","",IF($W91="h",$AI91,IF($AI91="n","n",IF(AND($W91="a",$AI91="d"),"o",IF(AND($W91="a",$AI91="o"),"d"))))))</f>
        <v>n</v>
      </c>
      <c r="AL91" t="str">
        <f t="shared" ref="AL91:AL154" si="197">IF($W91="","",IF(J91="","",IF(AK91="n","n",IF(AK91="d","o",IF(AK91="o","d","")))))</f>
        <v>n</v>
      </c>
      <c r="AM91" t="str">
        <f t="shared" si="152"/>
        <v>Away</v>
      </c>
      <c r="AN91" t="str">
        <f t="shared" ref="AN91:AN154" si="198">IF($W91&lt;&gt;"",$W91,IF($AC91=AC90,AN90,""))</f>
        <v>a</v>
      </c>
      <c r="AO91" t="str">
        <f t="shared" ref="AO91:AO154" si="199">IF(AK91&lt;&gt;"",AK91,IF($AC91=AC90,AO90,""))</f>
        <v>n</v>
      </c>
      <c r="AP91" t="str">
        <f t="shared" ref="AP91:AP154" si="200">IF(AL91&lt;&gt;"",AL91,IF($AC91=AC90,AP90,""))</f>
        <v>n</v>
      </c>
      <c r="AQ91" t="str">
        <f>IF(AM91&lt;&gt;"",AM91,IF($AC91=#REF!,#REF!,""))</f>
        <v>Away</v>
      </c>
      <c r="AR91" t="str">
        <f t="shared" ref="AR91:AR154" si="201">IF(AN91&lt;&gt;"",AN91,IF($AC91=AC90,AQ90,""))</f>
        <v>a</v>
      </c>
      <c r="AS91" t="str">
        <f t="shared" ref="AS91:AS154" si="202">IF(AND(AH91="e",OR(BD91="Save",BE91="Turnover_Takeaway",BE91="Play_Defensive")),"Defensive",IF(AND(AH91="o",OR(BD91="Save",BE91="Turnover_Takeaway",BE91="Play_Defensive")),"Offensive",IF(OR(BD91="Deadice",BD91="Stoppage",BD91="Intermission"),"",IF(AH91="e","Offensive",IF(AH91="o","Defensive","")))))</f>
        <v>Offensive</v>
      </c>
      <c r="AT91" t="str">
        <f t="shared" si="153"/>
        <v/>
      </c>
      <c r="AU91" t="str">
        <f t="shared" si="154"/>
        <v/>
      </c>
      <c r="AV91" t="str" cm="1">
        <f t="array" ref="AV91">IFERROR(IF(O91&lt;&gt;"",O91,IF(OR($S91="",$T91=""),"",IF(O91&lt;&gt;"",O91,IF($T91&lt;&gt;"",_xlfn._xlws.FILTER(O:O,($BT:$BT=$BT91)*($I:$I=$I91)*($T:$T=$T91)*($S:$S=_xlfn.MINIFS($S:$S,$T:$T,"="&amp;$T91)),"")))))&amp;"",IF(O91="","",""))&amp;""</f>
        <v/>
      </c>
      <c r="AW91" t="str" cm="1">
        <f t="array" ref="AW91">IFERROR(IF(P91&lt;&gt;"",P91,IF(OR($S91="",$T91=""),"",IF($T91&lt;&gt;"",_xlfn._xlws.FILTER(P:P,($BT:$BT=$BT91)*($I:$I=$I91)*($T:$T=$T91)*($S:$S=_xlfn.MINIFS($S:$S,$T:$T,"="&amp;$T91)),""))))&amp;"",IF(P91="","",""))&amp;""</f>
        <v/>
      </c>
      <c r="AX91" t="str" cm="1">
        <f t="array" ref="AX91">IFERROR(IF(Q91&lt;&gt;"",Q91,IF(OR($S91="",$T91=""),"",IF($T91&lt;&gt;"",_xlfn._xlws.FILTER(Q:Q,($BT:$BT=$BT91)*($I:$I=$I91)*($T:$T=$T91)*($S:$S=_xlfn.MINIFS($S:$S,$T:$T,"="&amp;$T91)),""))))&amp;"",IF(Q91="","",""))&amp;""</f>
        <v/>
      </c>
      <c r="AY91" t="str" cm="1">
        <f t="array" ref="AY91">IFERROR(IF(R91&lt;&gt;"",R91,IF(OR($S91="",$T91=""),"",IF($T91&lt;&gt;"",_xlfn._xlws.FILTER(R:R,($BT:$BT=$BT91)*($I:$I=$I91)*($T:$T=$T91)*($S:$S=_xlfn.MINIFS($S:$S,$T:$T,"="&amp;$T91)),""))))&amp;"",IF(R91="","",""))&amp;""</f>
        <v/>
      </c>
      <c r="AZ91" s="6">
        <f t="shared" si="155"/>
        <v>11</v>
      </c>
      <c r="BA91">
        <f t="shared" ref="BA91:BC91" si="203">BA90</f>
        <v>18991</v>
      </c>
      <c r="BB91" t="str">
        <f t="shared" si="203"/>
        <v>Triple J</v>
      </c>
      <c r="BC91" t="str">
        <f t="shared" si="203"/>
        <v>Velodrome</v>
      </c>
      <c r="BD91" t="str">
        <f t="shared" si="157"/>
        <v>Pass</v>
      </c>
      <c r="BE91" t="str">
        <f t="shared" si="158"/>
        <v>Pass_Missed</v>
      </c>
      <c r="BF91" t="str">
        <f t="shared" si="159"/>
        <v>Pass-Forehand</v>
      </c>
      <c r="BG91" t="str">
        <f t="shared" si="22"/>
        <v>u</v>
      </c>
      <c r="BH91" cm="1">
        <f t="array" ref="BH91">IFERROR(_xlfn._xlws.FILTER(shifts!A:A,(shifts!B:B=events!Z91)*(shifts!AG:AG&gt;=events!BJ91)*(shifts!AH:AH&lt;=events!BK91)),BH90)</f>
        <v>2</v>
      </c>
      <c r="BI91" s="15">
        <f t="shared" si="160"/>
        <v>0</v>
      </c>
      <c r="BJ91">
        <f t="shared" si="161"/>
        <v>1007</v>
      </c>
      <c r="BK91">
        <f t="shared" si="162"/>
        <v>1007</v>
      </c>
      <c r="BL91" s="15">
        <f>SUMIFS(BI$2:BI91,K$2:K91,"=Intermission")+SUMIFS(BI$2:BI91,K$2:K91,"=Timeout")</f>
        <v>0</v>
      </c>
      <c r="BM91">
        <f t="shared" si="163"/>
        <v>0</v>
      </c>
      <c r="BN91" s="19">
        <f t="shared" si="164"/>
        <v>73</v>
      </c>
      <c r="BO91">
        <f t="shared" si="165"/>
        <v>68</v>
      </c>
      <c r="BP91" s="17">
        <f t="shared" si="166"/>
        <v>73</v>
      </c>
      <c r="BQ91" t="str">
        <f t="shared" si="167"/>
        <v>event_team_player_1</v>
      </c>
      <c r="BR91">
        <f>COUNTIFS(S$3:S91,"="&amp;S91,AH$3:AH91,"="&amp;AH91)</f>
        <v>1</v>
      </c>
      <c r="BS91" t="str">
        <f>IFERROR(VLOOKUP(BA91&amp;BT91&amp;X91,game_rosters!U:W,3,FALSE),"")</f>
        <v>P100093</v>
      </c>
      <c r="BT91" t="str">
        <f t="shared" si="168"/>
        <v>Velodrome</v>
      </c>
    </row>
    <row r="92" spans="1:72" x14ac:dyDescent="0.2">
      <c r="A92" t="str">
        <f t="shared" si="143"/>
        <v>x</v>
      </c>
      <c r="D92" s="26" t="s">
        <v>729</v>
      </c>
      <c r="E92" s="4"/>
      <c r="F92" s="45"/>
      <c r="G92" s="4"/>
      <c r="H92" s="47"/>
      <c r="I92" s="26">
        <v>87</v>
      </c>
      <c r="J92" s="26" t="str">
        <f t="shared" si="170"/>
        <v/>
      </c>
      <c r="N92" t="str">
        <f t="shared" si="187"/>
        <v/>
      </c>
      <c r="Q92" t="str">
        <f t="shared" si="181"/>
        <v/>
      </c>
      <c r="S92">
        <f>IF(A92=1,MAX($S$2:$S91)+1,IF(OR($I92&lt;&gt;"",A92="x"),$S91,""))</f>
        <v>47</v>
      </c>
      <c r="T92">
        <f>IF(D92=1,MAX($T$2:$T91)+1,IF(S92=S91,$T91,IF(D92="x",T91,IF(D91="x","",""))))</f>
        <v>7</v>
      </c>
      <c r="U92" t="str">
        <f>IF(B92=1,MAX($U$2:$U91)+1,IF(AND($T92&lt;&gt;"",$T92=$T91),$U91,IF(B92="x",U91,"")))</f>
        <v/>
      </c>
      <c r="V92" t="str">
        <f>IF(C92=1,MAX($V$2:$V91)+1,IF(AND($T92&lt;&gt;"",$T92=$T91),$U91,IF(C92="x",V91,"")))</f>
        <v/>
      </c>
      <c r="W92" t="str" cm="1">
        <f t="array" ref="W92">IFERROR(_xlfn._xlws.FILTER(game_rosters!AC:AC,(game_rosters!J:J=events!X92)*(K92&lt;&gt;"")),"")</f>
        <v/>
      </c>
      <c r="X92" cm="1">
        <f t="array" ref="X92">IF($I92&lt;&gt;"",$I92,INDEX($I$1:$I92,ROW()-COUNTIFS($T$1:$T92,"="&amp;$T92,$S$1:$S92,"&lt;"&amp;$S92)))</f>
        <v>87</v>
      </c>
      <c r="Y92" cm="1">
        <f t="array" ref="Y92">IFERROR(IF(_xlfn._xlws.FILTER(game_rosters!$J:$J,(game_rosters!$G:$G=events!$AM92)*(game_rosters!$J:$J=events!$X92))&gt;0,1,""),"")</f>
        <v>1</v>
      </c>
      <c r="Z92" s="6">
        <f t="shared" si="144"/>
        <v>1</v>
      </c>
      <c r="AA92">
        <f t="shared" si="145"/>
        <v>1047</v>
      </c>
      <c r="AB92">
        <f t="shared" si="146"/>
        <v>9007</v>
      </c>
      <c r="AC92">
        <f t="shared" si="147"/>
        <v>9007</v>
      </c>
      <c r="AD92" t="str">
        <f t="shared" si="148"/>
        <v>16</v>
      </c>
      <c r="AE92" t="str">
        <f t="shared" si="149"/>
        <v>47</v>
      </c>
      <c r="AF92" t="str">
        <f t="shared" si="150"/>
        <v/>
      </c>
      <c r="AG92" t="str">
        <f t="shared" si="151"/>
        <v/>
      </c>
      <c r="AH92" t="str">
        <f t="shared" si="194"/>
        <v>e</v>
      </c>
      <c r="AI92" t="str">
        <f t="shared" si="195"/>
        <v>n</v>
      </c>
      <c r="AJ92" t="str">
        <f t="shared" si="195"/>
        <v>n</v>
      </c>
      <c r="AK92" t="str">
        <f t="shared" si="196"/>
        <v/>
      </c>
      <c r="AL92" t="str">
        <f t="shared" si="197"/>
        <v/>
      </c>
      <c r="AM92" t="str">
        <f t="shared" si="152"/>
        <v>Away</v>
      </c>
      <c r="AN92" t="str">
        <f t="shared" si="198"/>
        <v>a</v>
      </c>
      <c r="AO92" t="str">
        <f t="shared" si="199"/>
        <v>n</v>
      </c>
      <c r="AP92" t="str">
        <f t="shared" si="200"/>
        <v>n</v>
      </c>
      <c r="AQ92" t="str">
        <f>IF(AM92&lt;&gt;"",AM92,IF($AC92=#REF!,#REF!,""))</f>
        <v>Away</v>
      </c>
      <c r="AR92" t="str">
        <f t="shared" si="201"/>
        <v>a</v>
      </c>
      <c r="AS92" t="str">
        <f t="shared" si="202"/>
        <v>Offensive</v>
      </c>
      <c r="AT92" t="str">
        <f t="shared" si="153"/>
        <v/>
      </c>
      <c r="AU92" t="str">
        <f t="shared" si="154"/>
        <v/>
      </c>
      <c r="AV92" t="str" cm="1">
        <f t="array" ref="AV92">IFERROR(IF(O92&lt;&gt;"",O92,IF(OR($S92="",$T92=""),"",IF(O92&lt;&gt;"",O92,IF($T92&lt;&gt;"",_xlfn._xlws.FILTER(O:O,($BT:$BT=$BT92)*($I:$I=$I92)*($T:$T=$T92)*($S:$S=_xlfn.MINIFS($S:$S,$T:$T,"="&amp;$T92)),"")))))&amp;"",IF(O92="","",""))&amp;""</f>
        <v/>
      </c>
      <c r="AW92" t="str" cm="1">
        <f t="array" ref="AW92">IFERROR(IF(P92&lt;&gt;"",P92,IF(OR($S92="",$T92=""),"",IF($T92&lt;&gt;"",_xlfn._xlws.FILTER(P:P,($BT:$BT=$BT92)*($I:$I=$I92)*($T:$T=$T92)*($S:$S=_xlfn.MINIFS($S:$S,$T:$T,"="&amp;$T92)),""))))&amp;"",IF(P92="","",""))&amp;""</f>
        <v/>
      </c>
      <c r="AX92" t="str" cm="1">
        <f t="array" ref="AX92">IFERROR(IF(Q92&lt;&gt;"",Q92,IF(OR($S92="",$T92=""),"",IF($T92&lt;&gt;"",_xlfn._xlws.FILTER(Q:Q,($BT:$BT=$BT92)*($I:$I=$I92)*($T:$T=$T92)*($S:$S=_xlfn.MINIFS($S:$S,$T:$T,"="&amp;$T92)),""))))&amp;"",IF(Q92="","",""))&amp;""</f>
        <v/>
      </c>
      <c r="AY92" t="str" cm="1">
        <f t="array" ref="AY92">IFERROR(IF(R92&lt;&gt;"",R92,IF(OR($S92="",$T92=""),"",IF($T92&lt;&gt;"",_xlfn._xlws.FILTER(R:R,($BT:$BT=$BT92)*($I:$I=$I92)*($T:$T=$T92)*($S:$S=_xlfn.MINIFS($S:$S,$T:$T,"="&amp;$T92)),""))))&amp;"",IF(R92="","",""))&amp;""</f>
        <v/>
      </c>
      <c r="AZ92" s="6">
        <f t="shared" si="155"/>
        <v>11</v>
      </c>
      <c r="BA92">
        <f t="shared" ref="BA92:BC92" si="204">BA91</f>
        <v>18991</v>
      </c>
      <c r="BB92" t="str">
        <f t="shared" si="204"/>
        <v>Triple J</v>
      </c>
      <c r="BC92" t="str">
        <f t="shared" si="204"/>
        <v>Velodrome</v>
      </c>
      <c r="BD92" t="str">
        <f t="shared" si="157"/>
        <v>Pass</v>
      </c>
      <c r="BE92" t="str">
        <f t="shared" si="158"/>
        <v>Pass_Missed</v>
      </c>
      <c r="BF92" t="str">
        <f t="shared" si="159"/>
        <v>Pass-Forehand</v>
      </c>
      <c r="BG92" t="str">
        <f t="shared" si="22"/>
        <v>u</v>
      </c>
      <c r="BH92" cm="1">
        <f t="array" ref="BH92">IFERROR(_xlfn._xlws.FILTER(shifts!A:A,(shifts!B:B=events!Z92)*(shifts!AG:AG&gt;=events!BJ92)*(shifts!AH:AH&lt;=events!BK92)),BH91)</f>
        <v>2</v>
      </c>
      <c r="BI92" s="15">
        <f t="shared" si="160"/>
        <v>0</v>
      </c>
      <c r="BJ92">
        <f t="shared" si="161"/>
        <v>1007</v>
      </c>
      <c r="BK92">
        <f t="shared" si="162"/>
        <v>1007</v>
      </c>
      <c r="BL92" s="15">
        <f>SUMIFS(BI$2:BI92,K$2:K92,"=Intermission")+SUMIFS(BI$2:BI92,K$2:K92,"=Timeout")</f>
        <v>0</v>
      </c>
      <c r="BM92">
        <f t="shared" si="163"/>
        <v>0</v>
      </c>
      <c r="BN92" s="19">
        <f t="shared" si="164"/>
        <v>73</v>
      </c>
      <c r="BO92">
        <f t="shared" si="165"/>
        <v>68</v>
      </c>
      <c r="BP92" s="17">
        <f t="shared" si="166"/>
        <v>73</v>
      </c>
      <c r="BQ92" t="str">
        <f t="shared" si="167"/>
        <v>event_team_player_2</v>
      </c>
      <c r="BR92">
        <f>COUNTIFS(S$3:S92,"="&amp;S92,AH$3:AH92,"="&amp;AH92)</f>
        <v>2</v>
      </c>
      <c r="BS92" t="str">
        <f>IFERROR(VLOOKUP(BA92&amp;BT92&amp;X92,game_rosters!U:W,3,FALSE),"")</f>
        <v>P100159</v>
      </c>
      <c r="BT92" t="str">
        <f t="shared" si="168"/>
        <v>Velodrome</v>
      </c>
    </row>
    <row r="93" spans="1:72" x14ac:dyDescent="0.2">
      <c r="A93">
        <f t="shared" si="143"/>
        <v>1</v>
      </c>
      <c r="D93" s="26" t="s">
        <v>729</v>
      </c>
      <c r="E93" s="4"/>
      <c r="F93" s="45"/>
      <c r="G93" s="4"/>
      <c r="H93" s="47"/>
      <c r="J93" s="26" t="s">
        <v>734</v>
      </c>
      <c r="K93" t="s">
        <v>238</v>
      </c>
      <c r="L93" t="s">
        <v>174</v>
      </c>
      <c r="M93" t="s">
        <v>390</v>
      </c>
      <c r="N93" t="str">
        <f t="shared" si="187"/>
        <v>u</v>
      </c>
      <c r="Q93" t="str">
        <f t="shared" si="181"/>
        <v/>
      </c>
      <c r="S93">
        <f>IF(A93=1,MAX($S$2:$S92)+1,IF(OR($I93&lt;&gt;"",A93="x"),$S92,""))</f>
        <v>48</v>
      </c>
      <c r="T93">
        <f>IF(D93=1,MAX($T$2:$T92)+1,IF(S93=S92,$T92,IF(D93="x",T92,IF(D92="x","",""))))</f>
        <v>7</v>
      </c>
      <c r="U93" t="str">
        <f>IF(B93=1,MAX($U$2:$U92)+1,IF(AND($T93&lt;&gt;"",$T93=$T92),$U92,IF(B93="x",U92,"")))</f>
        <v/>
      </c>
      <c r="V93" t="str">
        <f>IF(C93=1,MAX($V$2:$V92)+1,IF(AND($T93&lt;&gt;"",$T93=$T92),$U92,IF(C93="x",V92,"")))</f>
        <v/>
      </c>
      <c r="W93" t="str" cm="1">
        <f t="array" ref="W93">IFERROR(_xlfn._xlws.FILTER(game_rosters!AC:AC,(game_rosters!J:J=events!X93)*(K93&lt;&gt;"")),"")</f>
        <v>a</v>
      </c>
      <c r="X93" cm="1">
        <f t="array" ref="X93">IF($I93&lt;&gt;"",$I93,INDEX($I$1:$I93,ROW()-COUNTIFS($T$1:$T93,"="&amp;$T93,$S$1:$S93,"&lt;"&amp;$S93)))</f>
        <v>93</v>
      </c>
      <c r="Y93" cm="1">
        <f t="array" ref="Y93">IFERROR(IF(_xlfn._xlws.FILTER(game_rosters!$J:$J,(game_rosters!$G:$G=events!$AM93)*(game_rosters!$J:$J=events!$X93))&gt;0,1,""),"")</f>
        <v>1</v>
      </c>
      <c r="Z93" s="6">
        <f t="shared" si="144"/>
        <v>1</v>
      </c>
      <c r="AA93">
        <f t="shared" si="145"/>
        <v>1048</v>
      </c>
      <c r="AB93">
        <f t="shared" si="146"/>
        <v>9007</v>
      </c>
      <c r="AC93">
        <f t="shared" si="147"/>
        <v>9007</v>
      </c>
      <c r="AD93" t="str">
        <f t="shared" si="148"/>
        <v>16</v>
      </c>
      <c r="AE93" t="str">
        <f t="shared" si="149"/>
        <v>47</v>
      </c>
      <c r="AF93" t="str">
        <f t="shared" si="150"/>
        <v/>
      </c>
      <c r="AG93" t="str">
        <f t="shared" si="151"/>
        <v/>
      </c>
      <c r="AH93" t="str">
        <f t="shared" si="194"/>
        <v>e</v>
      </c>
      <c r="AI93" t="str">
        <f t="shared" si="195"/>
        <v>n</v>
      </c>
      <c r="AJ93" t="str">
        <f t="shared" si="195"/>
        <v>n</v>
      </c>
      <c r="AK93" t="str">
        <f t="shared" si="196"/>
        <v>n</v>
      </c>
      <c r="AL93" t="str">
        <f t="shared" si="197"/>
        <v>n</v>
      </c>
      <c r="AM93" t="str">
        <f t="shared" si="152"/>
        <v>Away</v>
      </c>
      <c r="AN93" t="str">
        <f t="shared" si="198"/>
        <v>a</v>
      </c>
      <c r="AO93" t="str">
        <f t="shared" si="199"/>
        <v>n</v>
      </c>
      <c r="AP93" t="str">
        <f t="shared" si="200"/>
        <v>n</v>
      </c>
      <c r="AQ93" t="str">
        <f>IF(AM93&lt;&gt;"",AM93,IF($AC93=#REF!,#REF!,""))</f>
        <v>Away</v>
      </c>
      <c r="AR93" t="str">
        <f t="shared" si="201"/>
        <v>a</v>
      </c>
      <c r="AS93" t="str">
        <f t="shared" si="202"/>
        <v>Offensive</v>
      </c>
      <c r="AT93" t="str">
        <f t="shared" si="153"/>
        <v/>
      </c>
      <c r="AU93" t="str">
        <f t="shared" si="154"/>
        <v/>
      </c>
      <c r="AV93" t="str" cm="1">
        <f t="array" ref="AV93">IFERROR(IF(O93&lt;&gt;"",O93,IF(OR($S93="",$T93=""),"",IF(O93&lt;&gt;"",O93,IF($T93&lt;&gt;"",_xlfn._xlws.FILTER(O:O,($BT:$BT=$BT93)*($I:$I=$I93)*($T:$T=$T93)*($S:$S=_xlfn.MINIFS($S:$S,$T:$T,"="&amp;$T93)),"")))))&amp;"",IF(O93="","",""))&amp;""</f>
        <v/>
      </c>
      <c r="AW93" t="str" cm="1">
        <f t="array" ref="AW93">IFERROR(IF(P93&lt;&gt;"",P93,IF(OR($S93="",$T93=""),"",IF($T93&lt;&gt;"",_xlfn._xlws.FILTER(P:P,($BT:$BT=$BT93)*($I:$I=$I93)*($T:$T=$T93)*($S:$S=_xlfn.MINIFS($S:$S,$T:$T,"="&amp;$T93)),""))))&amp;"",IF(P93="","",""))&amp;""</f>
        <v/>
      </c>
      <c r="AX93" t="str" cm="1">
        <f t="array" ref="AX93">IFERROR(IF(Q93&lt;&gt;"",Q93,IF(OR($S93="",$T93=""),"",IF($T93&lt;&gt;"",_xlfn._xlws.FILTER(Q:Q,($BT:$BT=$BT93)*($I:$I=$I93)*($T:$T=$T93)*($S:$S=_xlfn.MINIFS($S:$S,$T:$T,"="&amp;$T93)),""))))&amp;"",IF(Q93="","",""))&amp;""</f>
        <v/>
      </c>
      <c r="AY93" t="str" cm="1">
        <f t="array" ref="AY93">IFERROR(IF(R93&lt;&gt;"",R93,IF(OR($S93="",$T93=""),"",IF($T93&lt;&gt;"",_xlfn._xlws.FILTER(R:R,($BT:$BT=$BT93)*($I:$I=$I93)*($T:$T=$T93)*($S:$S=_xlfn.MINIFS($S:$S,$T:$T,"="&amp;$T93)),""))))&amp;"",IF(R93="","",""))&amp;""</f>
        <v/>
      </c>
      <c r="AZ93" s="6">
        <f t="shared" si="155"/>
        <v>12</v>
      </c>
      <c r="BA93">
        <f t="shared" ref="BA93:BC93" si="205">BA92</f>
        <v>18991</v>
      </c>
      <c r="BB93" t="str">
        <f t="shared" si="205"/>
        <v>Triple J</v>
      </c>
      <c r="BC93" t="str">
        <f t="shared" si="205"/>
        <v>Velodrome</v>
      </c>
      <c r="BD93" t="str">
        <f t="shared" si="157"/>
        <v>Zone_Entry_Exit</v>
      </c>
      <c r="BE93" t="str">
        <f t="shared" si="158"/>
        <v>Zone_Entry</v>
      </c>
      <c r="BF93" t="str">
        <f t="shared" si="159"/>
        <v>ZoneEntry-PassMiss/Misplay</v>
      </c>
      <c r="BG93" t="str">
        <f t="shared" si="22"/>
        <v>u</v>
      </c>
      <c r="BH93" cm="1">
        <f t="array" ref="BH93">IFERROR(_xlfn._xlws.FILTER(shifts!A:A,(shifts!B:B=events!Z93)*(shifts!AG:AG&gt;=events!BJ93)*(shifts!AH:AH&lt;=events!BK93)),BH92)</f>
        <v>2</v>
      </c>
      <c r="BI93" s="15">
        <f t="shared" si="160"/>
        <v>0</v>
      </c>
      <c r="BJ93">
        <f t="shared" si="161"/>
        <v>1007</v>
      </c>
      <c r="BK93">
        <f t="shared" si="162"/>
        <v>1007</v>
      </c>
      <c r="BL93" s="15">
        <f>SUMIFS(BI$2:BI93,K$2:K93,"=Intermission")+SUMIFS(BI$2:BI93,K$2:K93,"=Timeout")</f>
        <v>0</v>
      </c>
      <c r="BM93">
        <f t="shared" si="163"/>
        <v>0</v>
      </c>
      <c r="BN93" s="19">
        <f t="shared" si="164"/>
        <v>73</v>
      </c>
      <c r="BO93">
        <f t="shared" si="165"/>
        <v>68</v>
      </c>
      <c r="BP93" s="17">
        <f t="shared" si="166"/>
        <v>73</v>
      </c>
      <c r="BQ93" t="str">
        <f t="shared" si="167"/>
        <v>event_team_player_1</v>
      </c>
      <c r="BR93">
        <f>COUNTIFS(S$3:S93,"="&amp;S93,AH$3:AH93,"="&amp;AH93)</f>
        <v>1</v>
      </c>
      <c r="BS93" t="str">
        <f>IFERROR(VLOOKUP(BA93&amp;BT93&amp;X93,game_rosters!U:W,3,FALSE),"")</f>
        <v>P100093</v>
      </c>
      <c r="BT93" t="str">
        <f t="shared" si="168"/>
        <v>Velodrome</v>
      </c>
    </row>
    <row r="94" spans="1:72" x14ac:dyDescent="0.2">
      <c r="A94" t="str">
        <f t="shared" si="143"/>
        <v>x</v>
      </c>
      <c r="D94" s="26" t="s">
        <v>729</v>
      </c>
      <c r="E94" s="4"/>
      <c r="F94" s="45"/>
      <c r="G94" s="4"/>
      <c r="H94" s="47"/>
      <c r="J94" s="26" t="str">
        <f t="shared" si="170"/>
        <v/>
      </c>
      <c r="N94" t="str">
        <f t="shared" si="187"/>
        <v/>
      </c>
      <c r="Q94" t="str">
        <f t="shared" si="181"/>
        <v/>
      </c>
      <c r="S94">
        <f>IF(A94=1,MAX($S$2:$S93)+1,IF(OR($I94&lt;&gt;"",A94="x"),$S93,""))</f>
        <v>48</v>
      </c>
      <c r="T94">
        <f>IF(D94=1,MAX($T$2:$T93)+1,IF(S94=S93,$T93,IF(D94="x",T93,IF(D93="x","",""))))</f>
        <v>7</v>
      </c>
      <c r="U94" t="str">
        <f>IF(B94=1,MAX($U$2:$U93)+1,IF(AND($T94&lt;&gt;"",$T94=$T93),$U93,IF(B94="x",U93,"")))</f>
        <v/>
      </c>
      <c r="V94" t="str">
        <f>IF(C94=1,MAX($V$2:$V93)+1,IF(AND($T94&lt;&gt;"",$T94=$T93),$U93,IF(C94="x",V93,"")))</f>
        <v/>
      </c>
      <c r="W94" t="str" cm="1">
        <f t="array" ref="W94">IFERROR(_xlfn._xlws.FILTER(game_rosters!AC:AC,(game_rosters!J:J=events!X94)*(K94&lt;&gt;"")),"")</f>
        <v/>
      </c>
      <c r="X94" cm="1">
        <f t="array" ref="X94">IF($I94&lt;&gt;"",$I94,INDEX($I$1:$I94,ROW()-COUNTIFS($T$1:$T94,"="&amp;$T94,$S$1:$S94,"&lt;"&amp;$S94)))</f>
        <v>87</v>
      </c>
      <c r="Y94" cm="1">
        <f t="array" ref="Y94">IFERROR(IF(_xlfn._xlws.FILTER(game_rosters!$J:$J,(game_rosters!$G:$G=events!$AM94)*(game_rosters!$J:$J=events!$X94))&gt;0,1,""),"")</f>
        <v>1</v>
      </c>
      <c r="Z94" s="6">
        <f t="shared" si="144"/>
        <v>1</v>
      </c>
      <c r="AA94">
        <f t="shared" si="145"/>
        <v>1048</v>
      </c>
      <c r="AB94">
        <f t="shared" si="146"/>
        <v>9007</v>
      </c>
      <c r="AC94">
        <f t="shared" si="147"/>
        <v>9007</v>
      </c>
      <c r="AD94" t="str">
        <f t="shared" si="148"/>
        <v>16</v>
      </c>
      <c r="AE94" t="str">
        <f t="shared" si="149"/>
        <v>47</v>
      </c>
      <c r="AF94" t="str">
        <f t="shared" si="150"/>
        <v/>
      </c>
      <c r="AG94" t="str">
        <f t="shared" si="151"/>
        <v/>
      </c>
      <c r="AH94" t="str">
        <f t="shared" si="194"/>
        <v>e</v>
      </c>
      <c r="AI94" t="str">
        <f t="shared" si="195"/>
        <v>n</v>
      </c>
      <c r="AJ94" t="str">
        <f t="shared" si="195"/>
        <v>n</v>
      </c>
      <c r="AK94" t="str">
        <f t="shared" si="196"/>
        <v/>
      </c>
      <c r="AL94" t="str">
        <f t="shared" si="197"/>
        <v/>
      </c>
      <c r="AM94" t="str">
        <f t="shared" si="152"/>
        <v>Away</v>
      </c>
      <c r="AN94" t="str">
        <f t="shared" si="198"/>
        <v>a</v>
      </c>
      <c r="AO94" t="str">
        <f t="shared" si="199"/>
        <v>n</v>
      </c>
      <c r="AP94" t="str">
        <f t="shared" si="200"/>
        <v>n</v>
      </c>
      <c r="AQ94" t="str">
        <f>IF(AM94&lt;&gt;"",AM94,IF($AC94=#REF!,#REF!,""))</f>
        <v>Away</v>
      </c>
      <c r="AR94" t="str">
        <f t="shared" si="201"/>
        <v>a</v>
      </c>
      <c r="AS94" t="str">
        <f t="shared" si="202"/>
        <v>Offensive</v>
      </c>
      <c r="AT94" t="str">
        <f t="shared" si="153"/>
        <v/>
      </c>
      <c r="AU94" t="str">
        <f t="shared" si="154"/>
        <v/>
      </c>
      <c r="AV94" t="str" cm="1">
        <f t="array" ref="AV94">IFERROR(IF(O94&lt;&gt;"",O94,IF(OR($S94="",$T94=""),"",IF(O94&lt;&gt;"",O94,IF($T94&lt;&gt;"",_xlfn._xlws.FILTER(O:O,($BT:$BT=$BT94)*($I:$I=$I94)*($T:$T=$T94)*($S:$S=_xlfn.MINIFS($S:$S,$T:$T,"="&amp;$T94)),"")))))&amp;"",IF(O94="","",""))&amp;""</f>
        <v/>
      </c>
      <c r="AW94" t="str" cm="1">
        <f t="array" ref="AW94">IFERROR(IF(P94&lt;&gt;"",P94,IF(OR($S94="",$T94=""),"",IF($T94&lt;&gt;"",_xlfn._xlws.FILTER(P:P,($BT:$BT=$BT94)*($I:$I=$I94)*($T:$T=$T94)*($S:$S=_xlfn.MINIFS($S:$S,$T:$T,"="&amp;$T94)),""))))&amp;"",IF(P94="","",""))&amp;""</f>
        <v/>
      </c>
      <c r="AX94" t="str" cm="1">
        <f t="array" ref="AX94">IFERROR(IF(Q94&lt;&gt;"",Q94,IF(OR($S94="",$T94=""),"",IF($T94&lt;&gt;"",_xlfn._xlws.FILTER(Q:Q,($BT:$BT=$BT94)*($I:$I=$I94)*($T:$T=$T94)*($S:$S=_xlfn.MINIFS($S:$S,$T:$T,"="&amp;$T94)),""))))&amp;"",IF(Q94="","",""))&amp;""</f>
        <v/>
      </c>
      <c r="AY94" t="str" cm="1">
        <f t="array" ref="AY94">IFERROR(IF(R94&lt;&gt;"",R94,IF(OR($S94="",$T94=""),"",IF($T94&lt;&gt;"",_xlfn._xlws.FILTER(R:R,($BT:$BT=$BT94)*($I:$I=$I94)*($T:$T=$T94)*($S:$S=_xlfn.MINIFS($S:$S,$T:$T,"="&amp;$T94)),""))))&amp;"",IF(R94="","",""))&amp;""</f>
        <v/>
      </c>
      <c r="AZ94" s="6">
        <f t="shared" si="155"/>
        <v>12</v>
      </c>
      <c r="BA94">
        <f t="shared" ref="BA94:BC94" si="206">BA93</f>
        <v>18991</v>
      </c>
      <c r="BB94" t="str">
        <f t="shared" si="206"/>
        <v>Triple J</v>
      </c>
      <c r="BC94" t="str">
        <f t="shared" si="206"/>
        <v>Velodrome</v>
      </c>
      <c r="BD94" t="str">
        <f t="shared" si="157"/>
        <v>Zone_Entry_Exit</v>
      </c>
      <c r="BE94" t="str">
        <f t="shared" si="158"/>
        <v>Zone_Entry</v>
      </c>
      <c r="BF94" t="str">
        <f t="shared" si="159"/>
        <v>ZoneEntry-PassMiss/Misplay</v>
      </c>
      <c r="BG94" t="str">
        <f t="shared" si="22"/>
        <v>u</v>
      </c>
      <c r="BH94" cm="1">
        <f t="array" ref="BH94">IFERROR(_xlfn._xlws.FILTER(shifts!A:A,(shifts!B:B=events!Z94)*(shifts!AG:AG&gt;=events!BJ94)*(shifts!AH:AH&lt;=events!BK94)),BH93)</f>
        <v>2</v>
      </c>
      <c r="BI94" s="15">
        <f t="shared" si="160"/>
        <v>0</v>
      </c>
      <c r="BJ94">
        <f t="shared" si="161"/>
        <v>1007</v>
      </c>
      <c r="BK94">
        <f t="shared" si="162"/>
        <v>1007</v>
      </c>
      <c r="BL94" s="15">
        <f>SUMIFS(BI$2:BI94,K$2:K94,"=Intermission")+SUMIFS(BI$2:BI94,K$2:K94,"=Timeout")</f>
        <v>0</v>
      </c>
      <c r="BM94">
        <f t="shared" si="163"/>
        <v>0</v>
      </c>
      <c r="BN94" s="19">
        <f t="shared" si="164"/>
        <v>73</v>
      </c>
      <c r="BO94">
        <f t="shared" si="165"/>
        <v>68</v>
      </c>
      <c r="BP94" s="17">
        <f t="shared" si="166"/>
        <v>73</v>
      </c>
      <c r="BQ94" t="str">
        <f t="shared" si="167"/>
        <v>event_team_player_2</v>
      </c>
      <c r="BR94">
        <f>COUNTIFS(S$3:S94,"="&amp;S94,AH$3:AH94,"="&amp;AH94)</f>
        <v>2</v>
      </c>
      <c r="BS94" t="str">
        <f>IFERROR(VLOOKUP(BA94&amp;BT94&amp;X94,game_rosters!U:W,3,FALSE),"")</f>
        <v>P100159</v>
      </c>
      <c r="BT94" t="str">
        <f t="shared" si="168"/>
        <v>Velodrome</v>
      </c>
    </row>
    <row r="95" spans="1:72" x14ac:dyDescent="0.2">
      <c r="A95">
        <f t="shared" si="143"/>
        <v>1</v>
      </c>
      <c r="D95" s="26" t="s">
        <v>729</v>
      </c>
      <c r="E95" s="4"/>
      <c r="F95" s="45"/>
      <c r="G95" s="4"/>
      <c r="H95" s="47"/>
      <c r="J95" s="26" t="s">
        <v>734</v>
      </c>
      <c r="K95" t="s">
        <v>9</v>
      </c>
      <c r="L95" t="s">
        <v>173</v>
      </c>
      <c r="M95" t="s">
        <v>74</v>
      </c>
      <c r="N95" t="str">
        <f t="shared" si="187"/>
        <v>u</v>
      </c>
      <c r="Q95" t="str">
        <f t="shared" si="181"/>
        <v/>
      </c>
      <c r="S95">
        <f>IF(A95=1,MAX($S$2:$S94)+1,IF(OR($I95&lt;&gt;"",A95="x"),$S94,""))</f>
        <v>49</v>
      </c>
      <c r="T95">
        <f>IF(D95=1,MAX($T$2:$T94)+1,IF(S95=S94,$T94,IF(D95="x",T94,IF(D94="x","",""))))</f>
        <v>7</v>
      </c>
      <c r="U95" t="str">
        <f>IF(B95=1,MAX($U$2:$U94)+1,IF(AND($T95&lt;&gt;"",$T95=$T94),$U94,IF(B95="x",U94,"")))</f>
        <v/>
      </c>
      <c r="V95" t="str">
        <f>IF(C95=1,MAX($V$2:$V94)+1,IF(AND($T95&lt;&gt;"",$T95=$T94),$U94,IF(C95="x",V94,"")))</f>
        <v/>
      </c>
      <c r="W95" t="str" cm="1">
        <f t="array" ref="W95">IFERROR(_xlfn._xlws.FILTER(game_rosters!AC:AC,(game_rosters!J:J=events!X95)*(K95&lt;&gt;"")),"")</f>
        <v>a</v>
      </c>
      <c r="X95" cm="1">
        <f t="array" ref="X95">IF($I95&lt;&gt;"",$I95,INDEX($I$1:$I95,ROW()-COUNTIFS($T$1:$T95,"="&amp;$T95,$S$1:$S95,"&lt;"&amp;$S95)))</f>
        <v>93</v>
      </c>
      <c r="Y95" cm="1">
        <f t="array" ref="Y95">IFERROR(IF(_xlfn._xlws.FILTER(game_rosters!$J:$J,(game_rosters!$G:$G=events!$AM95)*(game_rosters!$J:$J=events!$X95))&gt;0,1,""),"")</f>
        <v>1</v>
      </c>
      <c r="Z95" s="6">
        <f t="shared" si="144"/>
        <v>1</v>
      </c>
      <c r="AA95">
        <f t="shared" si="145"/>
        <v>1049</v>
      </c>
      <c r="AB95">
        <f t="shared" si="146"/>
        <v>9007</v>
      </c>
      <c r="AC95">
        <f t="shared" si="147"/>
        <v>9007</v>
      </c>
      <c r="AD95" t="str">
        <f t="shared" si="148"/>
        <v>16</v>
      </c>
      <c r="AE95" t="str">
        <f t="shared" si="149"/>
        <v>47</v>
      </c>
      <c r="AF95" t="str">
        <f t="shared" si="150"/>
        <v/>
      </c>
      <c r="AG95" t="str">
        <f t="shared" si="151"/>
        <v/>
      </c>
      <c r="AH95" t="str">
        <f t="shared" si="194"/>
        <v>e</v>
      </c>
      <c r="AI95" t="str">
        <f t="shared" si="195"/>
        <v>n</v>
      </c>
      <c r="AJ95" t="str">
        <f t="shared" si="195"/>
        <v>n</v>
      </c>
      <c r="AK95" t="str">
        <f t="shared" si="196"/>
        <v>n</v>
      </c>
      <c r="AL95" t="str">
        <f t="shared" si="197"/>
        <v>n</v>
      </c>
      <c r="AM95" t="str">
        <f t="shared" si="152"/>
        <v>Away</v>
      </c>
      <c r="AN95" t="str">
        <f t="shared" si="198"/>
        <v>a</v>
      </c>
      <c r="AO95" t="str">
        <f t="shared" si="199"/>
        <v>n</v>
      </c>
      <c r="AP95" t="str">
        <f t="shared" si="200"/>
        <v>n</v>
      </c>
      <c r="AQ95" t="str">
        <f>IF(AM95&lt;&gt;"",AM95,IF($AC95=#REF!,#REF!,""))</f>
        <v>Away</v>
      </c>
      <c r="AR95" t="str">
        <f t="shared" si="201"/>
        <v>a</v>
      </c>
      <c r="AS95" t="str">
        <f t="shared" si="202"/>
        <v>Offensive</v>
      </c>
      <c r="AT95" t="str">
        <f t="shared" si="153"/>
        <v/>
      </c>
      <c r="AU95" t="str">
        <f t="shared" si="154"/>
        <v/>
      </c>
      <c r="AV95" t="str" cm="1">
        <f t="array" ref="AV95">IFERROR(IF(O95&lt;&gt;"",O95,IF(OR($S95="",$T95=""),"",IF(O95&lt;&gt;"",O95,IF($T95&lt;&gt;"",_xlfn._xlws.FILTER(O:O,($BT:$BT=$BT95)*($I:$I=$I95)*($T:$T=$T95)*($S:$S=_xlfn.MINIFS($S:$S,$T:$T,"="&amp;$T95)),"")))))&amp;"",IF(O95="","",""))&amp;""</f>
        <v/>
      </c>
      <c r="AW95" t="str" cm="1">
        <f t="array" ref="AW95">IFERROR(IF(P95&lt;&gt;"",P95,IF(OR($S95="",$T95=""),"",IF($T95&lt;&gt;"",_xlfn._xlws.FILTER(P:P,($BT:$BT=$BT95)*($I:$I=$I95)*($T:$T=$T95)*($S:$S=_xlfn.MINIFS($S:$S,$T:$T,"="&amp;$T95)),""))))&amp;"",IF(P95="","",""))&amp;""</f>
        <v/>
      </c>
      <c r="AX95" t="str" cm="1">
        <f t="array" ref="AX95">IFERROR(IF(Q95&lt;&gt;"",Q95,IF(OR($S95="",$T95=""),"",IF($T95&lt;&gt;"",_xlfn._xlws.FILTER(Q:Q,($BT:$BT=$BT95)*($I:$I=$I95)*($T:$T=$T95)*($S:$S=_xlfn.MINIFS($S:$S,$T:$T,"="&amp;$T95)),""))))&amp;"",IF(Q95="","",""))&amp;""</f>
        <v/>
      </c>
      <c r="AY95" t="str" cm="1">
        <f t="array" ref="AY95">IFERROR(IF(R95&lt;&gt;"",R95,IF(OR($S95="",$T95=""),"",IF($T95&lt;&gt;"",_xlfn._xlws.FILTER(R:R,($BT:$BT=$BT95)*($I:$I=$I95)*($T:$T=$T95)*($S:$S=_xlfn.MINIFS($S:$S,$T:$T,"="&amp;$T95)),""))))&amp;"",IF(R95="","",""))&amp;""</f>
        <v/>
      </c>
      <c r="AZ95" s="6">
        <f t="shared" si="155"/>
        <v>12</v>
      </c>
      <c r="BA95">
        <f t="shared" ref="BA95:BC95" si="207">BA94</f>
        <v>18991</v>
      </c>
      <c r="BB95" t="str">
        <f t="shared" si="207"/>
        <v>Triple J</v>
      </c>
      <c r="BC95" t="str">
        <f t="shared" si="207"/>
        <v>Velodrome</v>
      </c>
      <c r="BD95" t="str">
        <f t="shared" si="157"/>
        <v>Turnover</v>
      </c>
      <c r="BE95" t="str">
        <f t="shared" si="158"/>
        <v>Turnover_Giveaway</v>
      </c>
      <c r="BF95" t="str">
        <f t="shared" si="159"/>
        <v>Giveaway-PassMissed</v>
      </c>
      <c r="BG95" t="str">
        <f t="shared" si="22"/>
        <v>u</v>
      </c>
      <c r="BH95" cm="1">
        <f t="array" ref="BH95">IFERROR(_xlfn._xlws.FILTER(shifts!A:A,(shifts!B:B=events!Z95)*(shifts!AG:AG&gt;=events!BJ95)*(shifts!AH:AH&lt;=events!BK95)),BH94)</f>
        <v>2</v>
      </c>
      <c r="BI95" s="15">
        <f t="shared" si="160"/>
        <v>0</v>
      </c>
      <c r="BJ95">
        <f t="shared" si="161"/>
        <v>1007</v>
      </c>
      <c r="BK95">
        <f t="shared" si="162"/>
        <v>1007</v>
      </c>
      <c r="BL95" s="15">
        <f>SUMIFS(BI$2:BI95,K$2:K95,"=Intermission")+SUMIFS(BI$2:BI95,K$2:K95,"=Timeout")</f>
        <v>0</v>
      </c>
      <c r="BM95">
        <f t="shared" si="163"/>
        <v>0</v>
      </c>
      <c r="BN95" s="19">
        <f t="shared" si="164"/>
        <v>73</v>
      </c>
      <c r="BO95">
        <f t="shared" si="165"/>
        <v>68</v>
      </c>
      <c r="BP95" s="17">
        <f t="shared" si="166"/>
        <v>73</v>
      </c>
      <c r="BQ95" t="str">
        <f t="shared" si="167"/>
        <v>event_team_player_1</v>
      </c>
      <c r="BR95">
        <f>COUNTIFS(S$3:S95,"="&amp;S95,AH$3:AH95,"="&amp;AH95)</f>
        <v>1</v>
      </c>
      <c r="BS95" t="str">
        <f>IFERROR(VLOOKUP(BA95&amp;BT95&amp;X95,game_rosters!U:W,3,FALSE),"")</f>
        <v>P100093</v>
      </c>
      <c r="BT95" t="str">
        <f t="shared" si="168"/>
        <v>Velodrome</v>
      </c>
    </row>
    <row r="96" spans="1:72" x14ac:dyDescent="0.2">
      <c r="A96" t="str">
        <f t="shared" si="143"/>
        <v>x</v>
      </c>
      <c r="D96" s="26" t="s">
        <v>729</v>
      </c>
      <c r="E96" s="4"/>
      <c r="F96" s="45"/>
      <c r="G96" s="4"/>
      <c r="H96" s="47"/>
      <c r="J96" s="26" t="str">
        <f t="shared" si="170"/>
        <v/>
      </c>
      <c r="N96" t="str">
        <f t="shared" si="187"/>
        <v/>
      </c>
      <c r="Q96" t="str">
        <f t="shared" si="181"/>
        <v/>
      </c>
      <c r="S96">
        <f>IF(A96=1,MAX($S$2:$S95)+1,IF(OR($I96&lt;&gt;"",A96="x"),$S95,""))</f>
        <v>49</v>
      </c>
      <c r="T96">
        <f>IF(D96=1,MAX($T$2:$T95)+1,IF(S96=S95,$T95,IF(D96="x",T95,IF(D95="x","",""))))</f>
        <v>7</v>
      </c>
      <c r="U96" t="str">
        <f>IF(B96=1,MAX($U$2:$U95)+1,IF(AND($T96&lt;&gt;"",$T96=$T95),$U95,IF(B96="x",U95,"")))</f>
        <v/>
      </c>
      <c r="V96" t="str">
        <f>IF(C96=1,MAX($V$2:$V95)+1,IF(AND($T96&lt;&gt;"",$T96=$T95),$U95,IF(C96="x",V95,"")))</f>
        <v/>
      </c>
      <c r="W96" t="str" cm="1">
        <f t="array" ref="W96">IFERROR(_xlfn._xlws.FILTER(game_rosters!AC:AC,(game_rosters!J:J=events!X96)*(K96&lt;&gt;"")),"")</f>
        <v/>
      </c>
      <c r="X96" cm="1">
        <f t="array" ref="X96">IF($I96&lt;&gt;"",$I96,INDEX($I$1:$I96,ROW()-COUNTIFS($T$1:$T96,"="&amp;$T96,$S$1:$S96,"&lt;"&amp;$S96)))</f>
        <v>87</v>
      </c>
      <c r="Y96" cm="1">
        <f t="array" ref="Y96">IFERROR(IF(_xlfn._xlws.FILTER(game_rosters!$J:$J,(game_rosters!$G:$G=events!$AM96)*(game_rosters!$J:$J=events!$X96))&gt;0,1,""),"")</f>
        <v>1</v>
      </c>
      <c r="Z96" s="6">
        <f t="shared" si="144"/>
        <v>1</v>
      </c>
      <c r="AA96">
        <f t="shared" si="145"/>
        <v>1049</v>
      </c>
      <c r="AB96">
        <f t="shared" si="146"/>
        <v>9007</v>
      </c>
      <c r="AC96">
        <f t="shared" si="147"/>
        <v>9007</v>
      </c>
      <c r="AD96" t="str">
        <f t="shared" si="148"/>
        <v>16</v>
      </c>
      <c r="AE96" t="str">
        <f t="shared" si="149"/>
        <v>47</v>
      </c>
      <c r="AF96" t="str">
        <f t="shared" si="150"/>
        <v/>
      </c>
      <c r="AG96" t="str">
        <f t="shared" si="151"/>
        <v/>
      </c>
      <c r="AH96" t="str">
        <f t="shared" si="194"/>
        <v>e</v>
      </c>
      <c r="AI96" t="str">
        <f t="shared" si="195"/>
        <v>n</v>
      </c>
      <c r="AJ96" t="str">
        <f t="shared" si="195"/>
        <v>n</v>
      </c>
      <c r="AK96" t="str">
        <f t="shared" si="196"/>
        <v/>
      </c>
      <c r="AL96" t="str">
        <f t="shared" si="197"/>
        <v/>
      </c>
      <c r="AM96" t="str">
        <f t="shared" si="152"/>
        <v>Away</v>
      </c>
      <c r="AN96" t="str">
        <f t="shared" si="198"/>
        <v>a</v>
      </c>
      <c r="AO96" t="str">
        <f t="shared" si="199"/>
        <v>n</v>
      </c>
      <c r="AP96" t="str">
        <f t="shared" si="200"/>
        <v>n</v>
      </c>
      <c r="AQ96" t="str">
        <f>IF(AM96&lt;&gt;"",AM96,IF($AC96=#REF!,#REF!,""))</f>
        <v>Away</v>
      </c>
      <c r="AR96" t="str">
        <f t="shared" si="201"/>
        <v>a</v>
      </c>
      <c r="AS96" t="str">
        <f t="shared" si="202"/>
        <v>Offensive</v>
      </c>
      <c r="AT96" t="str">
        <f t="shared" si="153"/>
        <v/>
      </c>
      <c r="AU96" t="str">
        <f t="shared" si="154"/>
        <v/>
      </c>
      <c r="AV96" t="str" cm="1">
        <f t="array" ref="AV96">IFERROR(IF(O96&lt;&gt;"",O96,IF(OR($S96="",$T96=""),"",IF(O96&lt;&gt;"",O96,IF($T96&lt;&gt;"",_xlfn._xlws.FILTER(O:O,($BT:$BT=$BT96)*($I:$I=$I96)*($T:$T=$T96)*($S:$S=_xlfn.MINIFS($S:$S,$T:$T,"="&amp;$T96)),"")))))&amp;"",IF(O96="","",""))&amp;""</f>
        <v/>
      </c>
      <c r="AW96" t="str" cm="1">
        <f t="array" ref="AW96">IFERROR(IF(P96&lt;&gt;"",P96,IF(OR($S96="",$T96=""),"",IF($T96&lt;&gt;"",_xlfn._xlws.FILTER(P:P,($BT:$BT=$BT96)*($I:$I=$I96)*($T:$T=$T96)*($S:$S=_xlfn.MINIFS($S:$S,$T:$T,"="&amp;$T96)),""))))&amp;"",IF(P96="","",""))&amp;""</f>
        <v/>
      </c>
      <c r="AX96" t="str" cm="1">
        <f t="array" ref="AX96">IFERROR(IF(Q96&lt;&gt;"",Q96,IF(OR($S96="",$T96=""),"",IF($T96&lt;&gt;"",_xlfn._xlws.FILTER(Q:Q,($BT:$BT=$BT96)*($I:$I=$I96)*($T:$T=$T96)*($S:$S=_xlfn.MINIFS($S:$S,$T:$T,"="&amp;$T96)),""))))&amp;"",IF(Q96="","",""))&amp;""</f>
        <v/>
      </c>
      <c r="AY96" t="str" cm="1">
        <f t="array" ref="AY96">IFERROR(IF(R96&lt;&gt;"",R96,IF(OR($S96="",$T96=""),"",IF($T96&lt;&gt;"",_xlfn._xlws.FILTER(R:R,($BT:$BT=$BT96)*($I:$I=$I96)*($T:$T=$T96)*($S:$S=_xlfn.MINIFS($S:$S,$T:$T,"="&amp;$T96)),""))))&amp;"",IF(R96="","",""))&amp;""</f>
        <v/>
      </c>
      <c r="AZ96" s="6">
        <f t="shared" si="155"/>
        <v>12</v>
      </c>
      <c r="BA96">
        <f t="shared" ref="BA96:BC96" si="208">BA95</f>
        <v>18991</v>
      </c>
      <c r="BB96" t="str">
        <f t="shared" si="208"/>
        <v>Triple J</v>
      </c>
      <c r="BC96" t="str">
        <f t="shared" si="208"/>
        <v>Velodrome</v>
      </c>
      <c r="BD96" t="str">
        <f t="shared" si="157"/>
        <v>Turnover</v>
      </c>
      <c r="BE96" t="str">
        <f t="shared" si="158"/>
        <v>Turnover_Giveaway</v>
      </c>
      <c r="BF96" t="str">
        <f t="shared" si="159"/>
        <v>Giveaway-PassMissed</v>
      </c>
      <c r="BG96" t="str">
        <f t="shared" si="22"/>
        <v>u</v>
      </c>
      <c r="BH96" cm="1">
        <f t="array" ref="BH96">IFERROR(_xlfn._xlws.FILTER(shifts!A:A,(shifts!B:B=events!Z96)*(shifts!AG:AG&gt;=events!BJ96)*(shifts!AH:AH&lt;=events!BK96)),BH95)</f>
        <v>2</v>
      </c>
      <c r="BI96" s="15">
        <f t="shared" si="160"/>
        <v>0</v>
      </c>
      <c r="BJ96">
        <f t="shared" si="161"/>
        <v>1007</v>
      </c>
      <c r="BK96">
        <f t="shared" si="162"/>
        <v>1007</v>
      </c>
      <c r="BL96" s="15">
        <f>SUMIFS(BI$2:BI96,K$2:K96,"=Intermission")+SUMIFS(BI$2:BI96,K$2:K96,"=Timeout")</f>
        <v>0</v>
      </c>
      <c r="BM96">
        <f t="shared" si="163"/>
        <v>0</v>
      </c>
      <c r="BN96" s="19">
        <f t="shared" si="164"/>
        <v>73</v>
      </c>
      <c r="BO96">
        <f t="shared" si="165"/>
        <v>68</v>
      </c>
      <c r="BP96" s="17">
        <f t="shared" si="166"/>
        <v>73</v>
      </c>
      <c r="BQ96" t="str">
        <f t="shared" si="167"/>
        <v>event_team_player_2</v>
      </c>
      <c r="BR96">
        <f>COUNTIFS(S$3:S96,"="&amp;S96,AH$3:AH96,"="&amp;AH96)</f>
        <v>2</v>
      </c>
      <c r="BS96" t="str">
        <f>IFERROR(VLOOKUP(BA96&amp;BT96&amp;X96,game_rosters!U:W,3,FALSE),"")</f>
        <v>P100159</v>
      </c>
      <c r="BT96" t="str">
        <f t="shared" si="168"/>
        <v>Velodrome</v>
      </c>
    </row>
    <row r="97" spans="1:72" x14ac:dyDescent="0.2">
      <c r="A97">
        <f t="shared" si="143"/>
        <v>1</v>
      </c>
      <c r="E97" s="4"/>
      <c r="F97" s="45" t="s">
        <v>1041</v>
      </c>
      <c r="G97" s="4"/>
      <c r="H97" s="47"/>
      <c r="I97" s="26">
        <v>1</v>
      </c>
      <c r="J97" s="26" t="s">
        <v>736</v>
      </c>
      <c r="K97" t="s">
        <v>13</v>
      </c>
      <c r="L97" t="s">
        <v>586</v>
      </c>
      <c r="N97" t="s">
        <v>594</v>
      </c>
      <c r="O97" t="s">
        <v>907</v>
      </c>
      <c r="Q97" t="str">
        <f t="shared" si="181"/>
        <v>u</v>
      </c>
      <c r="S97">
        <f>IF(A97=1,MAX($S$2:$S96)+1,IF(OR($I97&lt;&gt;"",A97="x"),$S96,""))</f>
        <v>50</v>
      </c>
      <c r="T97" t="str">
        <f>IF(D97=1,MAX($T$2:$T96)+1,IF(S97=S96,$T96,IF(D97="x",T96,IF(D96="x","",""))))</f>
        <v/>
      </c>
      <c r="U97" t="str">
        <f>IF(B97=1,MAX($U$2:$U96)+1,IF(AND($T97&lt;&gt;"",$T97=$T96),$U96,IF(B97="x",U96,"")))</f>
        <v/>
      </c>
      <c r="V97" t="str">
        <f>IF(C97=1,MAX($V$2:$V96)+1,IF(AND($T97&lt;&gt;"",$T97=$T96),$U96,IF(C97="x",V96,"")))</f>
        <v/>
      </c>
      <c r="W97" t="str" cm="1">
        <f t="array" ref="W97">IFERROR(_xlfn._xlws.FILTER(game_rosters!AC:AC,(game_rosters!J:J=events!X97)*(K97&lt;&gt;"")),"")</f>
        <v>h</v>
      </c>
      <c r="X97" cm="1">
        <f t="array" ref="X97">IF($I97&lt;&gt;"",$I97,INDEX($I$1:$I97,ROW()-COUNTIFS($T$1:$T97,"="&amp;$T97,$S$1:$S97,"&lt;"&amp;$S97)))</f>
        <v>1</v>
      </c>
      <c r="Y97" cm="1">
        <f t="array" ref="Y97">IFERROR(IF(_xlfn._xlws.FILTER(game_rosters!$J:$J,(game_rosters!$G:$G=events!$AM97)*(game_rosters!$J:$J=events!$X97))&gt;0,1,""),"")</f>
        <v>1</v>
      </c>
      <c r="Z97" s="6">
        <f t="shared" si="144"/>
        <v>1</v>
      </c>
      <c r="AA97">
        <f t="shared" si="145"/>
        <v>1050</v>
      </c>
      <c r="AB97" t="str">
        <f t="shared" si="146"/>
        <v/>
      </c>
      <c r="AC97">
        <f t="shared" si="147"/>
        <v>1050</v>
      </c>
      <c r="AD97" t="str">
        <f t="shared" si="148"/>
        <v>16</v>
      </c>
      <c r="AE97" t="str">
        <f t="shared" si="149"/>
        <v>43</v>
      </c>
      <c r="AF97" t="str">
        <f t="shared" si="150"/>
        <v/>
      </c>
      <c r="AG97" t="str">
        <f t="shared" si="151"/>
        <v/>
      </c>
      <c r="AH97" t="str">
        <f t="shared" si="194"/>
        <v>e</v>
      </c>
      <c r="AI97" t="str">
        <f t="shared" si="195"/>
        <v>d</v>
      </c>
      <c r="AJ97" t="str">
        <f t="shared" si="195"/>
        <v>d</v>
      </c>
      <c r="AK97" t="str">
        <f t="shared" si="196"/>
        <v>d</v>
      </c>
      <c r="AL97" t="str">
        <f t="shared" si="197"/>
        <v>o</v>
      </c>
      <c r="AM97" t="str">
        <f t="shared" si="152"/>
        <v>Home</v>
      </c>
      <c r="AN97" t="str">
        <f t="shared" si="198"/>
        <v>h</v>
      </c>
      <c r="AO97" t="str">
        <f t="shared" si="199"/>
        <v>d</v>
      </c>
      <c r="AP97" t="str">
        <f t="shared" si="200"/>
        <v>o</v>
      </c>
      <c r="AQ97" t="str">
        <f>IF(AM97&lt;&gt;"",AM97,IF($AC97=#REF!,#REF!,""))</f>
        <v>Home</v>
      </c>
      <c r="AR97" t="str">
        <f t="shared" si="201"/>
        <v>h</v>
      </c>
      <c r="AS97" t="str">
        <f t="shared" si="202"/>
        <v>Offensive</v>
      </c>
      <c r="AT97" t="str">
        <f t="shared" si="153"/>
        <v/>
      </c>
      <c r="AU97" t="str">
        <f t="shared" si="154"/>
        <v/>
      </c>
      <c r="AV97" t="str" cm="1">
        <f t="array" ref="AV97">IFERROR(IF(O97&lt;&gt;"",O97,IF(OR($S97="",$T97=""),"",IF(O97&lt;&gt;"",O97,IF($T97&lt;&gt;"",_xlfn._xlws.FILTER(O:O,($BT:$BT=$BT97)*($I:$I=$I97)*($T:$T=$T97)*($S:$S=_xlfn.MINIFS($S:$S,$T:$T,"="&amp;$T97)),"")))))&amp;"",IF(O97="","",""))&amp;""</f>
        <v>PuckRecoveryRetreivalPass</v>
      </c>
      <c r="AW97" t="str" cm="1">
        <f t="array" ref="AW97">IFERROR(IF(P97&lt;&gt;"",P97,IF(OR($S97="",$T97=""),"",IF($T97&lt;&gt;"",_xlfn._xlws.FILTER(P:P,($BT:$BT=$BT97)*($I:$I=$I97)*($T:$T=$T97)*($S:$S=_xlfn.MINIFS($S:$S,$T:$T,"="&amp;$T97)),""))))&amp;"",IF(P97="","",""))&amp;""</f>
        <v/>
      </c>
      <c r="AX97" t="str" cm="1">
        <f t="array" ref="AX97">IFERROR(IF(Q97&lt;&gt;"",Q97,IF(OR($S97="",$T97=""),"",IF($T97&lt;&gt;"",_xlfn._xlws.FILTER(Q:Q,($BT:$BT=$BT97)*($I:$I=$I97)*($T:$T=$T97)*($S:$S=_xlfn.MINIFS($S:$S,$T:$T,"="&amp;$T97)),""))))&amp;"",IF(Q97="","",""))&amp;""</f>
        <v>u</v>
      </c>
      <c r="AY97" t="str" cm="1">
        <f t="array" ref="AY97">IFERROR(IF(R97&lt;&gt;"",R97,IF(OR($S97="",$T97=""),"",IF($T97&lt;&gt;"",_xlfn._xlws.FILTER(R:R,($BT:$BT=$BT97)*($I:$I=$I97)*($T:$T=$T97)*($S:$S=_xlfn.MINIFS($S:$S,$T:$T,"="&amp;$T97)),""))))&amp;"",IF(R97="","",""))&amp;""</f>
        <v/>
      </c>
      <c r="AZ97" s="6">
        <f t="shared" si="155"/>
        <v>12</v>
      </c>
      <c r="BA97">
        <f t="shared" ref="BA97:BC97" si="209">BA96</f>
        <v>18991</v>
      </c>
      <c r="BB97" t="str">
        <f t="shared" si="209"/>
        <v>Triple J</v>
      </c>
      <c r="BC97" t="str">
        <f t="shared" si="209"/>
        <v>Velodrome</v>
      </c>
      <c r="BD97" t="str">
        <f t="shared" si="157"/>
        <v>Possession</v>
      </c>
      <c r="BE97" t="str">
        <f t="shared" si="158"/>
        <v>PuckRetrieval</v>
      </c>
      <c r="BF97" t="str">
        <f t="shared" si="159"/>
        <v/>
      </c>
      <c r="BG97" t="str">
        <f t="shared" si="22"/>
        <v>u</v>
      </c>
      <c r="BH97" cm="1">
        <f t="array" ref="BH97">IFERROR(_xlfn._xlws.FILTER(shifts!A:A,(shifts!B:B=events!Z97)*(shifts!AG:AG&gt;=events!BJ97)*(shifts!AH:AH&lt;=events!BK97)),BH96)</f>
        <v>3</v>
      </c>
      <c r="BI97" s="15">
        <f t="shared" si="160"/>
        <v>0</v>
      </c>
      <c r="BJ97">
        <f t="shared" si="161"/>
        <v>1003</v>
      </c>
      <c r="BK97">
        <f t="shared" si="162"/>
        <v>1003</v>
      </c>
      <c r="BL97" s="15">
        <f>SUMIFS(BI$2:BI97,K$2:K97,"=Intermission")+SUMIFS(BI$2:BI97,K$2:K97,"=Timeout")</f>
        <v>0</v>
      </c>
      <c r="BM97">
        <f t="shared" si="163"/>
        <v>0</v>
      </c>
      <c r="BN97" s="19">
        <f t="shared" si="164"/>
        <v>77</v>
      </c>
      <c r="BO97">
        <f t="shared" si="165"/>
        <v>72</v>
      </c>
      <c r="BP97" s="17">
        <f t="shared" si="166"/>
        <v>77</v>
      </c>
      <c r="BQ97" t="str">
        <f t="shared" si="167"/>
        <v>event_team_player_1</v>
      </c>
      <c r="BR97">
        <f>COUNTIFS(S$3:S97,"="&amp;S97,AH$3:AH97,"="&amp;AH97)</f>
        <v>1</v>
      </c>
      <c r="BS97" t="str">
        <f>IFERROR(VLOOKUP(BA97&amp;BT97&amp;X97,game_rosters!U:W,3,FALSE),"")</f>
        <v>P100020</v>
      </c>
      <c r="BT97" t="str">
        <f t="shared" si="168"/>
        <v>Triple J</v>
      </c>
    </row>
    <row r="98" spans="1:72" x14ac:dyDescent="0.2">
      <c r="A98">
        <f t="shared" si="143"/>
        <v>1</v>
      </c>
      <c r="E98" s="4"/>
      <c r="F98" s="45"/>
      <c r="G98" s="4"/>
      <c r="H98" s="47"/>
      <c r="I98" s="26">
        <v>1</v>
      </c>
      <c r="J98" s="26" t="s">
        <v>736</v>
      </c>
      <c r="K98" t="s">
        <v>9</v>
      </c>
      <c r="L98" t="s">
        <v>173</v>
      </c>
      <c r="M98" t="s">
        <v>365</v>
      </c>
      <c r="N98" t="str">
        <f t="shared" si="187"/>
        <v>u</v>
      </c>
      <c r="O98" t="s">
        <v>769</v>
      </c>
      <c r="P98" t="s">
        <v>576</v>
      </c>
      <c r="Q98" t="str">
        <f t="shared" si="181"/>
        <v>u</v>
      </c>
      <c r="S98">
        <f>IF(A98=1,MAX($S$2:$S97)+1,IF(OR($I98&lt;&gt;"",A98="x"),$S97,""))</f>
        <v>51</v>
      </c>
      <c r="T98" t="str">
        <f>IF(D98=1,MAX($T$2:$T97)+1,IF(S98=S97,$T97,IF(D98="x",T97,IF(D97="x","",""))))</f>
        <v/>
      </c>
      <c r="U98" t="str">
        <f>IF(B98=1,MAX($U$2:$U97)+1,IF(AND($T98&lt;&gt;"",$T98=$T97),$U97,IF(B98="x",U97,"")))</f>
        <v/>
      </c>
      <c r="V98" t="str">
        <f>IF(C98=1,MAX($V$2:$V97)+1,IF(AND($T98&lt;&gt;"",$T98=$T97),$U97,IF(C98="x",V97,"")))</f>
        <v/>
      </c>
      <c r="W98" t="str" cm="1">
        <f t="array" ref="W98">IFERROR(_xlfn._xlws.FILTER(game_rosters!AC:AC,(game_rosters!J:J=events!X98)*(K98&lt;&gt;"")),"")</f>
        <v>h</v>
      </c>
      <c r="X98" cm="1">
        <f t="array" ref="X98">IF($I98&lt;&gt;"",$I98,INDEX($I$1:$I98,ROW()-COUNTIFS($T$1:$T98,"="&amp;$T98,$S$1:$S98,"&lt;"&amp;$S98)))</f>
        <v>1</v>
      </c>
      <c r="Y98" cm="1">
        <f t="array" ref="Y98">IFERROR(IF(_xlfn._xlws.FILTER(game_rosters!$J:$J,(game_rosters!$G:$G=events!$AM98)*(game_rosters!$J:$J=events!$X98))&gt;0,1,""),"")</f>
        <v>1</v>
      </c>
      <c r="Z98" s="6">
        <f t="shared" si="144"/>
        <v>1</v>
      </c>
      <c r="AA98">
        <f t="shared" si="145"/>
        <v>1051</v>
      </c>
      <c r="AB98" t="str">
        <f t="shared" si="146"/>
        <v/>
      </c>
      <c r="AC98">
        <f t="shared" si="147"/>
        <v>1051</v>
      </c>
      <c r="AD98" t="str">
        <f t="shared" si="148"/>
        <v>16</v>
      </c>
      <c r="AE98" t="str">
        <f t="shared" si="149"/>
        <v>43</v>
      </c>
      <c r="AF98" t="str">
        <f t="shared" si="150"/>
        <v/>
      </c>
      <c r="AG98" t="str">
        <f t="shared" si="151"/>
        <v/>
      </c>
      <c r="AH98" t="str">
        <f t="shared" si="194"/>
        <v>e</v>
      </c>
      <c r="AI98" t="str">
        <f t="shared" si="195"/>
        <v>d</v>
      </c>
      <c r="AJ98" t="str">
        <f t="shared" si="195"/>
        <v>d</v>
      </c>
      <c r="AK98" t="str">
        <f t="shared" si="196"/>
        <v>d</v>
      </c>
      <c r="AL98" t="str">
        <f t="shared" si="197"/>
        <v>o</v>
      </c>
      <c r="AM98" t="str">
        <f t="shared" si="152"/>
        <v>Home</v>
      </c>
      <c r="AN98" t="str">
        <f t="shared" si="198"/>
        <v>h</v>
      </c>
      <c r="AO98" t="str">
        <f t="shared" si="199"/>
        <v>d</v>
      </c>
      <c r="AP98" t="str">
        <f t="shared" si="200"/>
        <v>o</v>
      </c>
      <c r="AQ98" t="str">
        <f>IF(AM98&lt;&gt;"",AM98,IF($AC98=#REF!,#REF!,""))</f>
        <v>Home</v>
      </c>
      <c r="AR98" t="str">
        <f t="shared" si="201"/>
        <v>h</v>
      </c>
      <c r="AS98" t="str">
        <f t="shared" si="202"/>
        <v>Offensive</v>
      </c>
      <c r="AT98" t="str">
        <f t="shared" si="153"/>
        <v/>
      </c>
      <c r="AU98" t="str">
        <f t="shared" si="154"/>
        <v/>
      </c>
      <c r="AV98" t="str" cm="1">
        <f t="array" ref="AV98">IFERROR(IF(O98&lt;&gt;"",O98,IF(OR($S98="",$T98=""),"",IF(O98&lt;&gt;"",O98,IF($T98&lt;&gt;"",_xlfn._xlws.FILTER(O:O,($BT:$BT=$BT98)*($I:$I=$I98)*($T:$T=$T98)*($S:$S=_xlfn.MINIFS($S:$S,$T:$T,"="&amp;$T98)),"")))))&amp;"",IF(O98="","",""))&amp;""</f>
        <v>AttemptedBreakOutClear</v>
      </c>
      <c r="AW98" t="str" cm="1">
        <f t="array" ref="AW98">IFERROR(IF(P98&lt;&gt;"",P98,IF(OR($S98="",$T98=""),"",IF($T98&lt;&gt;"",_xlfn._xlws.FILTER(P:P,($BT:$BT=$BT98)*($I:$I=$I98)*($T:$T=$T98)*($S:$S=_xlfn.MINIFS($S:$S,$T:$T,"="&amp;$T98)),""))))&amp;"",IF(P98="","",""))&amp;""</f>
        <v>SecondTouch</v>
      </c>
      <c r="AX98" t="str" cm="1">
        <f t="array" ref="AX98">IFERROR(IF(Q98&lt;&gt;"",Q98,IF(OR($S98="",$T98=""),"",IF($T98&lt;&gt;"",_xlfn._xlws.FILTER(Q:Q,($BT:$BT=$BT98)*($I:$I=$I98)*($T:$T=$T98)*($S:$S=_xlfn.MINIFS($S:$S,$T:$T,"="&amp;$T98)),""))))&amp;"",IF(Q98="","",""))&amp;""</f>
        <v>u</v>
      </c>
      <c r="AY98" t="str" cm="1">
        <f t="array" ref="AY98">IFERROR(IF(R98&lt;&gt;"",R98,IF(OR($S98="",$T98=""),"",IF($T98&lt;&gt;"",_xlfn._xlws.FILTER(R:R,($BT:$BT=$BT98)*($I:$I=$I98)*($T:$T=$T98)*($S:$S=_xlfn.MINIFS($S:$S,$T:$T,"="&amp;$T98)),""))))&amp;"",IF(R98="","",""))&amp;""</f>
        <v/>
      </c>
      <c r="AZ98" s="6">
        <f t="shared" si="155"/>
        <v>12</v>
      </c>
      <c r="BA98">
        <f t="shared" ref="BA98:BC98" si="210">BA97</f>
        <v>18991</v>
      </c>
      <c r="BB98" t="str">
        <f t="shared" si="210"/>
        <v>Triple J</v>
      </c>
      <c r="BC98" t="str">
        <f t="shared" si="210"/>
        <v>Velodrome</v>
      </c>
      <c r="BD98" t="str">
        <f t="shared" si="157"/>
        <v>Turnover</v>
      </c>
      <c r="BE98" t="str">
        <f t="shared" si="158"/>
        <v>Turnover_Giveaway</v>
      </c>
      <c r="BF98" t="str">
        <f t="shared" si="159"/>
        <v>Giveaway-AttemptedZoneClear/Dump</v>
      </c>
      <c r="BG98" t="str">
        <f t="shared" si="22"/>
        <v>u</v>
      </c>
      <c r="BH98" cm="1">
        <f t="array" ref="BH98">IFERROR(_xlfn._xlws.FILTER(shifts!A:A,(shifts!B:B=events!Z98)*(shifts!AG:AG&gt;=events!BJ98)*(shifts!AH:AH&lt;=events!BK98)),BH97)</f>
        <v>3</v>
      </c>
      <c r="BI98" s="15">
        <f t="shared" si="160"/>
        <v>0</v>
      </c>
      <c r="BJ98">
        <f t="shared" si="161"/>
        <v>1003</v>
      </c>
      <c r="BK98">
        <f t="shared" si="162"/>
        <v>1003</v>
      </c>
      <c r="BL98" s="15">
        <f>SUMIFS(BI$2:BI98,K$2:K98,"=Intermission")+SUMIFS(BI$2:BI98,K$2:K98,"=Timeout")</f>
        <v>0</v>
      </c>
      <c r="BM98">
        <f t="shared" si="163"/>
        <v>0</v>
      </c>
      <c r="BN98" s="19">
        <f t="shared" si="164"/>
        <v>77</v>
      </c>
      <c r="BO98">
        <f t="shared" si="165"/>
        <v>72</v>
      </c>
      <c r="BP98" s="17">
        <f t="shared" si="166"/>
        <v>77</v>
      </c>
      <c r="BQ98" t="str">
        <f t="shared" si="167"/>
        <v>event_team_player_1</v>
      </c>
      <c r="BR98">
        <f>COUNTIFS(S$3:S98,"="&amp;S98,AH$3:AH98,"="&amp;AH98)</f>
        <v>1</v>
      </c>
      <c r="BS98" t="str">
        <f>IFERROR(VLOOKUP(BA98&amp;BT98&amp;X98,game_rosters!U:W,3,FALSE),"")</f>
        <v>P100020</v>
      </c>
      <c r="BT98" t="str">
        <f t="shared" si="168"/>
        <v>Triple J</v>
      </c>
    </row>
    <row r="99" spans="1:72" x14ac:dyDescent="0.2">
      <c r="A99">
        <f t="shared" si="143"/>
        <v>1</v>
      </c>
      <c r="E99" s="4"/>
      <c r="F99" s="45" t="s">
        <v>749</v>
      </c>
      <c r="G99" s="4"/>
      <c r="H99" s="47" t="s">
        <v>1035</v>
      </c>
      <c r="I99" s="26">
        <v>91</v>
      </c>
      <c r="J99" s="26" t="s">
        <v>368</v>
      </c>
      <c r="K99" t="s">
        <v>13</v>
      </c>
      <c r="L99" t="s">
        <v>586</v>
      </c>
      <c r="N99" t="s">
        <v>594</v>
      </c>
      <c r="O99" t="s">
        <v>911</v>
      </c>
      <c r="P99" t="s">
        <v>150</v>
      </c>
      <c r="Q99" t="s">
        <v>595</v>
      </c>
      <c r="R99" s="26">
        <v>1</v>
      </c>
      <c r="S99">
        <f>IF(A99=1,MAX($S$2:$S98)+1,IF(OR($I99&lt;&gt;"",A99="x"),$S98,""))</f>
        <v>52</v>
      </c>
      <c r="T99" t="str">
        <f>IF(D99=1,MAX($T$2:$T98)+1,IF(S99=S98,$T98,IF(D99="x",T98,IF(D98="x","",""))))</f>
        <v/>
      </c>
      <c r="U99" t="str">
        <f>IF(B99=1,MAX($U$2:$U98)+1,IF(AND($T99&lt;&gt;"",$T99=$T98),$U98,IF(B99="x",U98,"")))</f>
        <v/>
      </c>
      <c r="V99" t="str">
        <f>IF(C99=1,MAX($V$2:$V98)+1,IF(AND($T99&lt;&gt;"",$T99=$T98),$U98,IF(C99="x",V98,"")))</f>
        <v/>
      </c>
      <c r="W99" t="str" cm="1">
        <f t="array" ref="W99">IFERROR(_xlfn._xlws.FILTER(game_rosters!AC:AC,(game_rosters!J:J=events!X99)*(K99&lt;&gt;"")),"")</f>
        <v>a</v>
      </c>
      <c r="X99" cm="1">
        <f t="array" ref="X99">IF($I99&lt;&gt;"",$I99,INDEX($I$1:$I99,ROW()-COUNTIFS($T$1:$T99,"="&amp;$T99,$S$1:$S99,"&lt;"&amp;$S99)))</f>
        <v>91</v>
      </c>
      <c r="Y99" cm="1">
        <f t="array" ref="Y99">IFERROR(IF(_xlfn._xlws.FILTER(game_rosters!$J:$J,(game_rosters!$G:$G=events!$AM99)*(game_rosters!$J:$J=events!$X99))&gt;0,1,""),"")</f>
        <v>1</v>
      </c>
      <c r="Z99" s="6">
        <f t="shared" si="144"/>
        <v>1</v>
      </c>
      <c r="AA99">
        <f t="shared" si="145"/>
        <v>1052</v>
      </c>
      <c r="AB99" t="str">
        <f t="shared" si="146"/>
        <v/>
      </c>
      <c r="AC99">
        <f t="shared" si="147"/>
        <v>1052</v>
      </c>
      <c r="AD99" t="str">
        <f t="shared" si="148"/>
        <v>16</v>
      </c>
      <c r="AE99" t="str">
        <f t="shared" si="149"/>
        <v>39</v>
      </c>
      <c r="AF99" t="str">
        <f t="shared" si="150"/>
        <v>16</v>
      </c>
      <c r="AG99" t="str">
        <f t="shared" si="151"/>
        <v>38</v>
      </c>
      <c r="AH99" t="str">
        <f t="shared" si="194"/>
        <v>e</v>
      </c>
      <c r="AI99" t="str">
        <f t="shared" si="195"/>
        <v>o</v>
      </c>
      <c r="AJ99" t="str">
        <f t="shared" si="195"/>
        <v>o</v>
      </c>
      <c r="AK99" t="str">
        <f t="shared" si="196"/>
        <v>d</v>
      </c>
      <c r="AL99" t="str">
        <f t="shared" si="197"/>
        <v>o</v>
      </c>
      <c r="AM99" t="str">
        <f t="shared" si="152"/>
        <v>Away</v>
      </c>
      <c r="AN99" t="str">
        <f t="shared" si="198"/>
        <v>a</v>
      </c>
      <c r="AO99" t="str">
        <f t="shared" si="199"/>
        <v>d</v>
      </c>
      <c r="AP99" t="str">
        <f t="shared" si="200"/>
        <v>o</v>
      </c>
      <c r="AQ99" t="str">
        <f>IF(AM99&lt;&gt;"",AM99,IF($AC99=#REF!,#REF!,""))</f>
        <v>Away</v>
      </c>
      <c r="AR99" t="str">
        <f t="shared" si="201"/>
        <v>a</v>
      </c>
      <c r="AS99" t="str">
        <f t="shared" si="202"/>
        <v>Offensive</v>
      </c>
      <c r="AT99" t="str">
        <f t="shared" si="153"/>
        <v/>
      </c>
      <c r="AU99" t="str">
        <f t="shared" si="154"/>
        <v/>
      </c>
      <c r="AV99" t="str" cm="1">
        <f t="array" ref="AV99">IFERROR(IF(O99&lt;&gt;"",O99,IF(OR($S99="",$T99=""),"",IF(O99&lt;&gt;"",O99,IF($T99&lt;&gt;"",_xlfn._xlws.FILTER(O:O,($BT:$BT=$BT99)*($I:$I=$I99)*($T:$T=$T99)*($S:$S=_xlfn.MINIFS($S:$S,$T:$T,"="&amp;$T99)),"")))))&amp;"",IF(O99="","",""))&amp;""</f>
        <v>PuckRecoveryRetreivalAttemptedClear</v>
      </c>
      <c r="AW99" t="str" cm="1">
        <f t="array" ref="AW99">IFERROR(IF(P99&lt;&gt;"",P99,IF(OR($S99="",$T99=""),"",IF($T99&lt;&gt;"",_xlfn._xlws.FILTER(P:P,($BT:$BT=$BT99)*($I:$I=$I99)*($T:$T=$T99)*($S:$S=_xlfn.MINIFS($S:$S,$T:$T,"="&amp;$T99)),""))))&amp;"",IF(P99="","",""))&amp;""</f>
        <v>Deke</v>
      </c>
      <c r="AX99" t="str" cm="1">
        <f t="array" ref="AX99">IFERROR(IF(Q99&lt;&gt;"",Q99,IF(OR($S99="",$T99=""),"",IF($T99&lt;&gt;"",_xlfn._xlws.FILTER(Q:Q,($BT:$BT=$BT99)*($I:$I=$I99)*($T:$T=$T99)*($S:$S=_xlfn.MINIFS($S:$S,$T:$T,"="&amp;$T99)),""))))&amp;"",IF(Q99="","",""))&amp;""</f>
        <v>s</v>
      </c>
      <c r="AY99" t="str" cm="1">
        <f t="array" ref="AY99">IFERROR(IF(R99&lt;&gt;"",R99,IF(OR($S99="",$T99=""),"",IF($T99&lt;&gt;"",_xlfn._xlws.FILTER(R:R,($BT:$BT=$BT99)*($I:$I=$I99)*($T:$T=$T99)*($S:$S=_xlfn.MINIFS($S:$S,$T:$T,"="&amp;$T99)),""))))&amp;"",IF(R99="","",""))&amp;""</f>
        <v>1</v>
      </c>
      <c r="AZ99" s="6">
        <f t="shared" si="155"/>
        <v>12</v>
      </c>
      <c r="BA99">
        <f t="shared" ref="BA99:BC99" si="211">BA98</f>
        <v>18991</v>
      </c>
      <c r="BB99" t="str">
        <f t="shared" si="211"/>
        <v>Triple J</v>
      </c>
      <c r="BC99" t="str">
        <f t="shared" si="211"/>
        <v>Velodrome</v>
      </c>
      <c r="BD99" t="str">
        <f t="shared" si="157"/>
        <v>Possession</v>
      </c>
      <c r="BE99" t="str">
        <f t="shared" si="158"/>
        <v>PuckRetrieval</v>
      </c>
      <c r="BF99" t="str">
        <f t="shared" si="159"/>
        <v/>
      </c>
      <c r="BG99" t="str">
        <f t="shared" si="22"/>
        <v>u</v>
      </c>
      <c r="BH99" cm="1">
        <f t="array" ref="BH99">IFERROR(_xlfn._xlws.FILTER(shifts!A:A,(shifts!B:B=events!Z99)*(shifts!AG:AG&gt;=events!BJ99)*(shifts!AH:AH&lt;=events!BK99)),BH98)</f>
        <v>3</v>
      </c>
      <c r="BI99" s="15">
        <f t="shared" si="160"/>
        <v>1</v>
      </c>
      <c r="BJ99">
        <f t="shared" si="161"/>
        <v>999</v>
      </c>
      <c r="BK99">
        <f t="shared" si="162"/>
        <v>998</v>
      </c>
      <c r="BL99" s="15">
        <f>SUMIFS(BI$2:BI99,K$2:K99,"=Intermission")+SUMIFS(BI$2:BI99,K$2:K99,"=Timeout")</f>
        <v>0</v>
      </c>
      <c r="BM99">
        <f t="shared" si="163"/>
        <v>0</v>
      </c>
      <c r="BN99" s="19">
        <f t="shared" si="164"/>
        <v>81</v>
      </c>
      <c r="BO99">
        <f t="shared" si="165"/>
        <v>76</v>
      </c>
      <c r="BP99" s="17">
        <f t="shared" si="166"/>
        <v>82</v>
      </c>
      <c r="BQ99" t="str">
        <f t="shared" si="167"/>
        <v>event_team_player_1</v>
      </c>
      <c r="BR99">
        <f>COUNTIFS(S$3:S99,"="&amp;S99,AH$3:AH99,"="&amp;AH99)</f>
        <v>1</v>
      </c>
      <c r="BS99" t="str">
        <f>IFERROR(VLOOKUP(BA99&amp;BT99&amp;X99,game_rosters!U:W,3,FALSE),"")</f>
        <v>P100002</v>
      </c>
      <c r="BT99" t="str">
        <f t="shared" si="168"/>
        <v>Velodrome</v>
      </c>
    </row>
    <row r="100" spans="1:72" x14ac:dyDescent="0.2">
      <c r="A100" t="str">
        <f t="shared" si="143"/>
        <v/>
      </c>
      <c r="E100" s="4"/>
      <c r="F100" s="45"/>
      <c r="G100" s="4"/>
      <c r="H100" s="47"/>
      <c r="I100" s="26">
        <v>90</v>
      </c>
      <c r="J100" s="26" t="str">
        <f t="shared" si="170"/>
        <v/>
      </c>
      <c r="N100" t="str">
        <f t="shared" si="187"/>
        <v/>
      </c>
      <c r="O100" t="s">
        <v>164</v>
      </c>
      <c r="Q100" t="str">
        <f t="shared" si="181"/>
        <v>u</v>
      </c>
      <c r="R100" s="26">
        <v>1</v>
      </c>
      <c r="S100">
        <f>IF(A100=1,MAX($S$2:$S99)+1,IF(OR($I100&lt;&gt;"",A100="x"),$S99,""))</f>
        <v>52</v>
      </c>
      <c r="T100" t="str">
        <f>IF(D100=1,MAX($T$2:$T99)+1,IF(S100=S99,$T99,IF(D100="x",T99,IF(D99="x","",""))))</f>
        <v/>
      </c>
      <c r="U100" t="str">
        <f>IF(B100=1,MAX($U$2:$U99)+1,IF(AND($T100&lt;&gt;"",$T100=$T99),$U99,IF(B100="x",U99,"")))</f>
        <v/>
      </c>
      <c r="V100" t="str">
        <f>IF(C100=1,MAX($V$2:$V99)+1,IF(AND($T100&lt;&gt;"",$T100=$T99),$U99,IF(C100="x",V99,"")))</f>
        <v/>
      </c>
      <c r="W100" t="str" cm="1">
        <f t="array" ref="W100">IFERROR(_xlfn._xlws.FILTER(game_rosters!AC:AC,(game_rosters!J:J=events!X100)*(K100&lt;&gt;"")),"")</f>
        <v/>
      </c>
      <c r="X100" cm="1">
        <f t="array" ref="X100">IF($I100&lt;&gt;"",$I100,INDEX($I$1:$I100,ROW()-COUNTIFS($T$1:$T100,"="&amp;$T100,$S$1:$S100,"&lt;"&amp;$S100)))</f>
        <v>90</v>
      </c>
      <c r="Y100" t="str" cm="1">
        <f t="array" ref="Y100">IFERROR(IF(_xlfn._xlws.FILTER(game_rosters!$J:$J,(game_rosters!$G:$G=events!$AM100)*(game_rosters!$J:$J=events!$X100))&gt;0,1,""),"")</f>
        <v/>
      </c>
      <c r="Z100" s="6">
        <f t="shared" si="144"/>
        <v>1</v>
      </c>
      <c r="AA100">
        <f t="shared" si="145"/>
        <v>1052</v>
      </c>
      <c r="AB100" t="str">
        <f t="shared" si="146"/>
        <v/>
      </c>
      <c r="AC100">
        <f t="shared" si="147"/>
        <v>1052</v>
      </c>
      <c r="AD100" t="str">
        <f t="shared" si="148"/>
        <v>16</v>
      </c>
      <c r="AE100" t="str">
        <f t="shared" si="149"/>
        <v>39</v>
      </c>
      <c r="AF100" t="str">
        <f t="shared" si="150"/>
        <v>16</v>
      </c>
      <c r="AG100" t="str">
        <f t="shared" si="151"/>
        <v>38</v>
      </c>
      <c r="AH100" t="str">
        <f t="shared" si="194"/>
        <v>o</v>
      </c>
      <c r="AI100" t="str">
        <f t="shared" si="195"/>
        <v>o</v>
      </c>
      <c r="AJ100" t="str">
        <f t="shared" si="195"/>
        <v>o</v>
      </c>
      <c r="AK100" t="str">
        <f t="shared" si="196"/>
        <v/>
      </c>
      <c r="AL100" t="str">
        <f t="shared" si="197"/>
        <v/>
      </c>
      <c r="AM100" t="str">
        <f t="shared" si="152"/>
        <v>Away</v>
      </c>
      <c r="AN100" t="str">
        <f t="shared" si="198"/>
        <v>a</v>
      </c>
      <c r="AO100" t="str">
        <f t="shared" si="199"/>
        <v>d</v>
      </c>
      <c r="AP100" t="str">
        <f t="shared" si="200"/>
        <v>o</v>
      </c>
      <c r="AQ100" t="str">
        <f>IF(AM100&lt;&gt;"",AM100,IF($AC100=#REF!,#REF!,""))</f>
        <v>Away</v>
      </c>
      <c r="AR100" t="str">
        <f t="shared" si="201"/>
        <v>a</v>
      </c>
      <c r="AS100" t="str">
        <f t="shared" si="202"/>
        <v>Defensive</v>
      </c>
      <c r="AT100" t="str">
        <f t="shared" si="153"/>
        <v/>
      </c>
      <c r="AU100" t="str">
        <f t="shared" si="154"/>
        <v/>
      </c>
      <c r="AV100" t="str" cm="1">
        <f t="array" ref="AV100">IFERROR(IF(O100&lt;&gt;"",O100,IF(OR($S100="",$T100=""),"",IF(O100&lt;&gt;"",O100,IF($T100&lt;&gt;"",_xlfn._xlws.FILTER(O:O,($BT:$BT=$BT100)*($I:$I=$I100)*($T:$T=$T100)*($S:$S=_xlfn.MINIFS($S:$S,$T:$T,"="&amp;$T100)),"")))))&amp;"",IF(O100="","",""))&amp;""</f>
        <v>BeatDeke</v>
      </c>
      <c r="AW100" t="str" cm="1">
        <f t="array" ref="AW100">IFERROR(IF(P100&lt;&gt;"",P100,IF(OR($S100="",$T100=""),"",IF($T100&lt;&gt;"",_xlfn._xlws.FILTER(P:P,($BT:$BT=$BT100)*($I:$I=$I100)*($T:$T=$T100)*($S:$S=_xlfn.MINIFS($S:$S,$T:$T,"="&amp;$T100)),""))))&amp;"",IF(P100="","",""))&amp;""</f>
        <v/>
      </c>
      <c r="AX100" t="str" cm="1">
        <f t="array" ref="AX100">IFERROR(IF(Q100&lt;&gt;"",Q100,IF(OR($S100="",$T100=""),"",IF($T100&lt;&gt;"",_xlfn._xlws.FILTER(Q:Q,($BT:$BT=$BT100)*($I:$I=$I100)*($T:$T=$T100)*($S:$S=_xlfn.MINIFS($S:$S,$T:$T,"="&amp;$T100)),""))))&amp;"",IF(Q100="","",""))&amp;""</f>
        <v>u</v>
      </c>
      <c r="AY100" t="str" cm="1">
        <f t="array" ref="AY100">IFERROR(IF(R100&lt;&gt;"",R100,IF(OR($S100="",$T100=""),"",IF($T100&lt;&gt;"",_xlfn._xlws.FILTER(R:R,($BT:$BT=$BT100)*($I:$I=$I100)*($T:$T=$T100)*($S:$S=_xlfn.MINIFS($S:$S,$T:$T,"="&amp;$T100)),""))))&amp;"",IF(R100="","",""))&amp;""</f>
        <v>1</v>
      </c>
      <c r="AZ100" s="6">
        <f t="shared" si="155"/>
        <v>12</v>
      </c>
      <c r="BA100">
        <f t="shared" ref="BA100:BC100" si="212">BA99</f>
        <v>18991</v>
      </c>
      <c r="BB100" t="str">
        <f t="shared" si="212"/>
        <v>Triple J</v>
      </c>
      <c r="BC100" t="str">
        <f t="shared" si="212"/>
        <v>Velodrome</v>
      </c>
      <c r="BD100" t="str">
        <f t="shared" si="157"/>
        <v>Possession</v>
      </c>
      <c r="BE100" t="str">
        <f t="shared" si="158"/>
        <v>PuckRetrieval</v>
      </c>
      <c r="BF100" t="str">
        <f t="shared" si="159"/>
        <v/>
      </c>
      <c r="BG100" t="str">
        <f t="shared" si="22"/>
        <v>u</v>
      </c>
      <c r="BH100" cm="1">
        <f t="array" ref="BH100">IFERROR(_xlfn._xlws.FILTER(shifts!A:A,(shifts!B:B=events!Z100)*(shifts!AG:AG&gt;=events!BJ100)*(shifts!AH:AH&lt;=events!BK100)),BH99)</f>
        <v>3</v>
      </c>
      <c r="BI100" s="15">
        <f t="shared" si="160"/>
        <v>1</v>
      </c>
      <c r="BJ100">
        <f t="shared" si="161"/>
        <v>999</v>
      </c>
      <c r="BK100">
        <f t="shared" si="162"/>
        <v>998</v>
      </c>
      <c r="BL100" s="15">
        <f>SUMIFS(BI$2:BI100,K$2:K100,"=Intermission")+SUMIFS(BI$2:BI100,K$2:K100,"=Timeout")</f>
        <v>0</v>
      </c>
      <c r="BM100">
        <f t="shared" si="163"/>
        <v>0</v>
      </c>
      <c r="BN100" s="19">
        <f t="shared" si="164"/>
        <v>81</v>
      </c>
      <c r="BO100">
        <f t="shared" si="165"/>
        <v>76</v>
      </c>
      <c r="BP100" s="17">
        <f t="shared" si="166"/>
        <v>82</v>
      </c>
      <c r="BQ100" t="str">
        <f t="shared" si="167"/>
        <v>opp_team_player_1</v>
      </c>
      <c r="BR100">
        <f>COUNTIFS(S$3:S100,"="&amp;S100,AH$3:AH100,"="&amp;AH100)</f>
        <v>1</v>
      </c>
      <c r="BS100" t="str">
        <f>IFERROR(VLOOKUP(BA100&amp;BT100&amp;X100,game_rosters!U:W,3,FALSE),"")</f>
        <v>P100233</v>
      </c>
      <c r="BT100" t="str">
        <f t="shared" si="168"/>
        <v>Triple J</v>
      </c>
    </row>
    <row r="101" spans="1:72" x14ac:dyDescent="0.2">
      <c r="A101">
        <f t="shared" si="143"/>
        <v>1</v>
      </c>
      <c r="E101" s="4"/>
      <c r="F101" s="45"/>
      <c r="G101" s="4"/>
      <c r="H101" s="47"/>
      <c r="I101" s="26">
        <v>91</v>
      </c>
      <c r="J101" s="26" t="s">
        <v>368</v>
      </c>
      <c r="K101" t="s">
        <v>13</v>
      </c>
      <c r="N101" t="str">
        <f t="shared" si="187"/>
        <v/>
      </c>
      <c r="Q101" t="str">
        <f t="shared" si="181"/>
        <v/>
      </c>
      <c r="R101" s="26">
        <v>1</v>
      </c>
      <c r="S101">
        <f>IF(A101=1,MAX($S$2:$S100)+1,IF(OR($I101&lt;&gt;"",A101="x"),$S100,""))</f>
        <v>53</v>
      </c>
      <c r="T101" t="str">
        <f>IF(D101=1,MAX($T$2:$T100)+1,IF(S101=S100,$T100,IF(D101="x",T100,IF(D100="x","",""))))</f>
        <v/>
      </c>
      <c r="U101" t="str">
        <f>IF(B101=1,MAX($U$2:$U100)+1,IF(AND($T101&lt;&gt;"",$T101=$T100),$U100,IF(B101="x",U100,"")))</f>
        <v/>
      </c>
      <c r="V101" t="str">
        <f>IF(C101=1,MAX($V$2:$V100)+1,IF(AND($T101&lt;&gt;"",$T101=$T100),$U100,IF(C101="x",V100,"")))</f>
        <v/>
      </c>
      <c r="W101" t="str" cm="1">
        <f t="array" ref="W101">IFERROR(_xlfn._xlws.FILTER(game_rosters!AC:AC,(game_rosters!J:J=events!X101)*(K101&lt;&gt;"")),"")</f>
        <v>a</v>
      </c>
      <c r="X101" cm="1">
        <f t="array" ref="X101">IF($I101&lt;&gt;"",$I101,INDEX($I$1:$I101,ROW()-COUNTIFS($T$1:$T101,"="&amp;$T101,$S$1:$S101,"&lt;"&amp;$S101)))</f>
        <v>91</v>
      </c>
      <c r="Y101" cm="1">
        <f t="array" ref="Y101">IFERROR(IF(_xlfn._xlws.FILTER(game_rosters!$J:$J,(game_rosters!$G:$G=events!$AM101)*(game_rosters!$J:$J=events!$X101))&gt;0,1,""),"")</f>
        <v>1</v>
      </c>
      <c r="Z101" s="6">
        <f t="shared" si="144"/>
        <v>1</v>
      </c>
      <c r="AA101">
        <f t="shared" si="145"/>
        <v>1053</v>
      </c>
      <c r="AB101" t="str">
        <f t="shared" si="146"/>
        <v/>
      </c>
      <c r="AC101">
        <f t="shared" si="147"/>
        <v>1053</v>
      </c>
      <c r="AD101" t="str">
        <f t="shared" si="148"/>
        <v>16</v>
      </c>
      <c r="AE101" t="str">
        <f t="shared" si="149"/>
        <v>38</v>
      </c>
      <c r="AF101" t="str">
        <f t="shared" si="150"/>
        <v/>
      </c>
      <c r="AG101" t="str">
        <f t="shared" si="151"/>
        <v/>
      </c>
      <c r="AH101" t="str">
        <f t="shared" si="194"/>
        <v>e</v>
      </c>
      <c r="AI101" t="str">
        <f t="shared" si="195"/>
        <v>o</v>
      </c>
      <c r="AJ101" t="str">
        <f t="shared" si="195"/>
        <v>o</v>
      </c>
      <c r="AK101" t="str">
        <f t="shared" si="196"/>
        <v>d</v>
      </c>
      <c r="AL101" t="str">
        <f t="shared" si="197"/>
        <v>o</v>
      </c>
      <c r="AM101" t="str">
        <f t="shared" si="152"/>
        <v>Away</v>
      </c>
      <c r="AN101" t="str">
        <f t="shared" si="198"/>
        <v>a</v>
      </c>
      <c r="AO101" t="str">
        <f t="shared" si="199"/>
        <v>d</v>
      </c>
      <c r="AP101" t="str">
        <f t="shared" si="200"/>
        <v>o</v>
      </c>
      <c r="AQ101" t="str">
        <f>IF(AM101&lt;&gt;"",AM101,IF($AC101=#REF!,#REF!,""))</f>
        <v>Away</v>
      </c>
      <c r="AR101" t="str">
        <f t="shared" si="201"/>
        <v>a</v>
      </c>
      <c r="AS101" t="str">
        <f t="shared" si="202"/>
        <v>Offensive</v>
      </c>
      <c r="AT101" t="str">
        <f t="shared" si="153"/>
        <v/>
      </c>
      <c r="AU101" t="str">
        <f t="shared" si="154"/>
        <v/>
      </c>
      <c r="AV101" t="str" cm="1">
        <f t="array" ref="AV101">IFERROR(IF(O101&lt;&gt;"",O101,IF(OR($S101="",$T101=""),"",IF(O101&lt;&gt;"",O101,IF($T101&lt;&gt;"",_xlfn._xlws.FILTER(O:O,($BT:$BT=$BT101)*($I:$I=$I101)*($T:$T=$T101)*($S:$S=_xlfn.MINIFS($S:$S,$T:$T,"="&amp;$T101)),"")))))&amp;"",IF(O101="","",""))&amp;""</f>
        <v/>
      </c>
      <c r="AW101" t="str" cm="1">
        <f t="array" ref="AW101">IFERROR(IF(P101&lt;&gt;"",P101,IF(OR($S101="",$T101=""),"",IF($T101&lt;&gt;"",_xlfn._xlws.FILTER(P:P,($BT:$BT=$BT101)*($I:$I=$I101)*($T:$T=$T101)*($S:$S=_xlfn.MINIFS($S:$S,$T:$T,"="&amp;$T101)),""))))&amp;"",IF(P101="","",""))&amp;""</f>
        <v/>
      </c>
      <c r="AX101" t="str" cm="1">
        <f t="array" ref="AX101">IFERROR(IF(Q101&lt;&gt;"",Q101,IF(OR($S101="",$T101=""),"",IF($T101&lt;&gt;"",_xlfn._xlws.FILTER(Q:Q,($BT:$BT=$BT101)*($I:$I=$I101)*($T:$T=$T101)*($S:$S=_xlfn.MINIFS($S:$S,$T:$T,"="&amp;$T101)),""))))&amp;"",IF(Q101="","",""))&amp;""</f>
        <v/>
      </c>
      <c r="AY101" t="str" cm="1">
        <f t="array" ref="AY101">IFERROR(IF(R101&lt;&gt;"",R101,IF(OR($S101="",$T101=""),"",IF($T101&lt;&gt;"",_xlfn._xlws.FILTER(R:R,($BT:$BT=$BT101)*($I:$I=$I101)*($T:$T=$T101)*($S:$S=_xlfn.MINIFS($S:$S,$T:$T,"="&amp;$T101)),""))))&amp;"",IF(R101="","",""))&amp;""</f>
        <v>1</v>
      </c>
      <c r="AZ101" s="6">
        <f t="shared" si="155"/>
        <v>12</v>
      </c>
      <c r="BA101">
        <f t="shared" ref="BA101:BC101" si="213">BA100</f>
        <v>18991</v>
      </c>
      <c r="BB101" t="str">
        <f t="shared" si="213"/>
        <v>Triple J</v>
      </c>
      <c r="BC101" t="str">
        <f t="shared" si="213"/>
        <v>Velodrome</v>
      </c>
      <c r="BD101" t="str">
        <f t="shared" si="157"/>
        <v>Possession</v>
      </c>
      <c r="BE101" t="str">
        <f t="shared" si="158"/>
        <v/>
      </c>
      <c r="BF101" t="str">
        <f t="shared" si="159"/>
        <v/>
      </c>
      <c r="BG101" t="str">
        <f t="shared" si="22"/>
        <v/>
      </c>
      <c r="BH101" cm="1">
        <f t="array" ref="BH101">IFERROR(_xlfn._xlws.FILTER(shifts!A:A,(shifts!B:B=events!Z101)*(shifts!AG:AG&gt;=events!BJ101)*(shifts!AH:AH&lt;=events!BK101)),BH100)</f>
        <v>3</v>
      </c>
      <c r="BI101" s="15">
        <f t="shared" si="160"/>
        <v>0</v>
      </c>
      <c r="BJ101">
        <f t="shared" si="161"/>
        <v>998</v>
      </c>
      <c r="BK101">
        <f t="shared" si="162"/>
        <v>998</v>
      </c>
      <c r="BL101" s="15">
        <f>SUMIFS(BI$2:BI101,K$2:K101,"=Intermission")+SUMIFS(BI$2:BI101,K$2:K101,"=Timeout")</f>
        <v>0</v>
      </c>
      <c r="BM101">
        <f t="shared" si="163"/>
        <v>0</v>
      </c>
      <c r="BN101" s="19">
        <f t="shared" si="164"/>
        <v>82</v>
      </c>
      <c r="BO101">
        <f t="shared" si="165"/>
        <v>77</v>
      </c>
      <c r="BP101" s="17">
        <f t="shared" si="166"/>
        <v>82</v>
      </c>
      <c r="BQ101" t="str">
        <f t="shared" si="167"/>
        <v>event_team_player_1</v>
      </c>
      <c r="BR101">
        <f>COUNTIFS(S$3:S101,"="&amp;S101,AH$3:AH101,"="&amp;AH101)</f>
        <v>1</v>
      </c>
      <c r="BS101" t="str">
        <f>IFERROR(VLOOKUP(BA101&amp;BT101&amp;X101,game_rosters!U:W,3,FALSE),"")</f>
        <v>P100002</v>
      </c>
      <c r="BT101" t="str">
        <f t="shared" si="168"/>
        <v>Velodrome</v>
      </c>
    </row>
    <row r="102" spans="1:72" x14ac:dyDescent="0.2">
      <c r="A102" t="str">
        <f t="shared" si="143"/>
        <v/>
      </c>
      <c r="E102" s="4"/>
      <c r="F102" s="45"/>
      <c r="G102" s="4"/>
      <c r="H102" s="47"/>
      <c r="I102" s="26">
        <v>73</v>
      </c>
      <c r="J102" s="26" t="str">
        <f t="shared" si="170"/>
        <v/>
      </c>
      <c r="N102" t="str">
        <f t="shared" si="187"/>
        <v/>
      </c>
      <c r="O102" t="s">
        <v>567</v>
      </c>
      <c r="Q102" t="str">
        <f t="shared" si="181"/>
        <v/>
      </c>
      <c r="R102" s="26">
        <v>1</v>
      </c>
      <c r="S102">
        <f>IF(A102=1,MAX($S$2:$S101)+1,IF(OR($I102&lt;&gt;"",A102="x"),$S101,""))</f>
        <v>53</v>
      </c>
      <c r="T102" t="str">
        <f>IF(D102=1,MAX($T$2:$T101)+1,IF(S102=S101,$T101,IF(D102="x",T101,IF(D101="x","",""))))</f>
        <v/>
      </c>
      <c r="U102" t="str">
        <f>IF(B102=1,MAX($U$2:$U101)+1,IF(AND($T102&lt;&gt;"",$T102=$T101),$U101,IF(B102="x",U101,"")))</f>
        <v/>
      </c>
      <c r="V102" t="str">
        <f>IF(C102=1,MAX($V$2:$V101)+1,IF(AND($T102&lt;&gt;"",$T102=$T101),$U101,IF(C102="x",V101,"")))</f>
        <v/>
      </c>
      <c r="W102" t="str" cm="1">
        <f t="array" ref="W102">IFERROR(_xlfn._xlws.FILTER(game_rosters!AC:AC,(game_rosters!J:J=events!X102)*(K102&lt;&gt;"")),"")</f>
        <v/>
      </c>
      <c r="X102" cm="1">
        <f t="array" ref="X102">IF($I102&lt;&gt;"",$I102,INDEX($I$1:$I102,ROW()-COUNTIFS($T$1:$T102,"="&amp;$T102,$S$1:$S102,"&lt;"&amp;$S102)))</f>
        <v>73</v>
      </c>
      <c r="Y102" t="str" cm="1">
        <f t="array" ref="Y102">IFERROR(IF(_xlfn._xlws.FILTER(game_rosters!$J:$J,(game_rosters!$G:$G=events!$AM102)*(game_rosters!$J:$J=events!$X102))&gt;0,1,""),"")</f>
        <v/>
      </c>
      <c r="Z102" s="6">
        <f t="shared" si="144"/>
        <v>1</v>
      </c>
      <c r="AA102">
        <f t="shared" si="145"/>
        <v>1053</v>
      </c>
      <c r="AB102" t="str">
        <f t="shared" si="146"/>
        <v/>
      </c>
      <c r="AC102">
        <f t="shared" si="147"/>
        <v>1053</v>
      </c>
      <c r="AD102" t="str">
        <f t="shared" si="148"/>
        <v>16</v>
      </c>
      <c r="AE102" t="str">
        <f t="shared" si="149"/>
        <v>38</v>
      </c>
      <c r="AF102" t="str">
        <f t="shared" si="150"/>
        <v/>
      </c>
      <c r="AG102" t="str">
        <f t="shared" si="151"/>
        <v/>
      </c>
      <c r="AH102" t="str">
        <f t="shared" si="194"/>
        <v>o</v>
      </c>
      <c r="AI102" t="str">
        <f t="shared" si="195"/>
        <v>o</v>
      </c>
      <c r="AJ102" t="str">
        <f t="shared" si="195"/>
        <v>o</v>
      </c>
      <c r="AK102" t="str">
        <f t="shared" si="196"/>
        <v/>
      </c>
      <c r="AL102" t="str">
        <f t="shared" si="197"/>
        <v/>
      </c>
      <c r="AM102" t="str">
        <f t="shared" si="152"/>
        <v>Away</v>
      </c>
      <c r="AN102" t="str">
        <f t="shared" si="198"/>
        <v>a</v>
      </c>
      <c r="AO102" t="str">
        <f t="shared" si="199"/>
        <v>d</v>
      </c>
      <c r="AP102" t="str">
        <f t="shared" si="200"/>
        <v>o</v>
      </c>
      <c r="AQ102" t="str">
        <f>IF(AM102&lt;&gt;"",AM102,IF($AC102=#REF!,#REF!,""))</f>
        <v>Away</v>
      </c>
      <c r="AR102" t="str">
        <f t="shared" si="201"/>
        <v>a</v>
      </c>
      <c r="AS102" t="str">
        <f t="shared" si="202"/>
        <v>Defensive</v>
      </c>
      <c r="AT102" t="str">
        <f t="shared" si="153"/>
        <v/>
      </c>
      <c r="AU102" t="str">
        <f t="shared" si="154"/>
        <v/>
      </c>
      <c r="AV102" t="str" cm="1">
        <f t="array" ref="AV102">IFERROR(IF(O102&lt;&gt;"",O102,IF(OR($S102="",$T102=""),"",IF(O102&lt;&gt;"",O102,IF($T102&lt;&gt;"",_xlfn._xlws.FILTER(O:O,($BT:$BT=$BT102)*($I:$I=$I102)*($T:$T=$T102)*($S:$S=_xlfn.MINIFS($S:$S,$T:$T,"="&amp;$T102)),"")))))&amp;"",IF(O102="","",""))&amp;""</f>
        <v>StickCheck</v>
      </c>
      <c r="AW102" t="str" cm="1">
        <f t="array" ref="AW102">IFERROR(IF(P102&lt;&gt;"",P102,IF(OR($S102="",$T102=""),"",IF($T102&lt;&gt;"",_xlfn._xlws.FILTER(P:P,($BT:$BT=$BT102)*($I:$I=$I102)*($T:$T=$T102)*($S:$S=_xlfn.MINIFS($S:$S,$T:$T,"="&amp;$T102)),""))))&amp;"",IF(P102="","",""))&amp;""</f>
        <v/>
      </c>
      <c r="AX102" t="str" cm="1">
        <f t="array" ref="AX102">IFERROR(IF(Q102&lt;&gt;"",Q102,IF(OR($S102="",$T102=""),"",IF($T102&lt;&gt;"",_xlfn._xlws.FILTER(Q:Q,($BT:$BT=$BT102)*($I:$I=$I102)*($T:$T=$T102)*($S:$S=_xlfn.MINIFS($S:$S,$T:$T,"="&amp;$T102)),""))))&amp;"",IF(Q102="","",""))&amp;""</f>
        <v/>
      </c>
      <c r="AY102" t="str" cm="1">
        <f t="array" ref="AY102">IFERROR(IF(R102&lt;&gt;"",R102,IF(OR($S102="",$T102=""),"",IF($T102&lt;&gt;"",_xlfn._xlws.FILTER(R:R,($BT:$BT=$BT102)*($I:$I=$I102)*($T:$T=$T102)*($S:$S=_xlfn.MINIFS($S:$S,$T:$T,"="&amp;$T102)),""))))&amp;"",IF(R102="","",""))&amp;""</f>
        <v>1</v>
      </c>
      <c r="AZ102" s="6">
        <f t="shared" si="155"/>
        <v>12</v>
      </c>
      <c r="BA102">
        <f t="shared" ref="BA102:BC102" si="214">BA101</f>
        <v>18991</v>
      </c>
      <c r="BB102" t="str">
        <f t="shared" si="214"/>
        <v>Triple J</v>
      </c>
      <c r="BC102" t="str">
        <f t="shared" si="214"/>
        <v>Velodrome</v>
      </c>
      <c r="BD102" t="str">
        <f t="shared" si="157"/>
        <v>Possession</v>
      </c>
      <c r="BE102" t="str">
        <f t="shared" si="158"/>
        <v/>
      </c>
      <c r="BF102" t="str">
        <f t="shared" si="159"/>
        <v/>
      </c>
      <c r="BG102" t="str">
        <f t="shared" si="22"/>
        <v/>
      </c>
      <c r="BH102" cm="1">
        <f t="array" ref="BH102">IFERROR(_xlfn._xlws.FILTER(shifts!A:A,(shifts!B:B=events!Z102)*(shifts!AG:AG&gt;=events!BJ102)*(shifts!AH:AH&lt;=events!BK102)),BH101)</f>
        <v>3</v>
      </c>
      <c r="BI102" s="15">
        <f t="shared" si="160"/>
        <v>0</v>
      </c>
      <c r="BJ102">
        <f t="shared" si="161"/>
        <v>998</v>
      </c>
      <c r="BK102">
        <f t="shared" si="162"/>
        <v>998</v>
      </c>
      <c r="BL102" s="15">
        <f>SUMIFS(BI$2:BI102,K$2:K102,"=Intermission")+SUMIFS(BI$2:BI102,K$2:K102,"=Timeout")</f>
        <v>0</v>
      </c>
      <c r="BM102">
        <f t="shared" si="163"/>
        <v>0</v>
      </c>
      <c r="BN102" s="19">
        <f t="shared" si="164"/>
        <v>82</v>
      </c>
      <c r="BO102">
        <f t="shared" si="165"/>
        <v>77</v>
      </c>
      <c r="BP102" s="17">
        <f t="shared" si="166"/>
        <v>82</v>
      </c>
      <c r="BQ102" t="str">
        <f t="shared" si="167"/>
        <v>opp_team_player_1</v>
      </c>
      <c r="BR102">
        <f>COUNTIFS(S$3:S102,"="&amp;S102,AH$3:AH102,"="&amp;AH102)</f>
        <v>1</v>
      </c>
      <c r="BS102" t="str">
        <f>IFERROR(VLOOKUP(BA102&amp;BT102&amp;X102,game_rosters!U:W,3,FALSE),"")</f>
        <v>P100021</v>
      </c>
      <c r="BT102" t="str">
        <f t="shared" si="168"/>
        <v>Triple J</v>
      </c>
    </row>
    <row r="103" spans="1:72" x14ac:dyDescent="0.2">
      <c r="A103">
        <f t="shared" si="143"/>
        <v>1</v>
      </c>
      <c r="D103" s="26">
        <v>1</v>
      </c>
      <c r="E103" s="4"/>
      <c r="F103" s="45"/>
      <c r="G103" s="4"/>
      <c r="H103" s="47"/>
      <c r="I103" s="26">
        <v>73</v>
      </c>
      <c r="J103" s="26" t="s">
        <v>736</v>
      </c>
      <c r="K103" t="s">
        <v>230</v>
      </c>
      <c r="L103" t="s">
        <v>389</v>
      </c>
      <c r="M103" t="s">
        <v>432</v>
      </c>
      <c r="N103" t="s">
        <v>595</v>
      </c>
      <c r="O103" t="s">
        <v>156</v>
      </c>
      <c r="Q103" t="str">
        <f t="shared" si="181"/>
        <v>s</v>
      </c>
      <c r="R103" s="26">
        <v>1</v>
      </c>
      <c r="S103">
        <f>IF(A103=1,MAX($S$2:$S102)+1,IF(OR($I103&lt;&gt;"",A103="x"),$S102,""))</f>
        <v>54</v>
      </c>
      <c r="T103">
        <f>IF(D103=1,MAX($T$2:$T102)+1,IF(S103=S102,$T102,IF(D103="x",T102,IF(D102="x","",""))))</f>
        <v>8</v>
      </c>
      <c r="U103" t="str">
        <f>IF(B103=1,MAX($U$2:$U102)+1,IF(AND($T103&lt;&gt;"",$T103=$T102),$U102,IF(B103="x",U102,"")))</f>
        <v/>
      </c>
      <c r="V103" t="str">
        <f>IF(C103=1,MAX($V$2:$V102)+1,IF(AND($T103&lt;&gt;"",$T103=$T102),$U102,IF(C103="x",V102,"")))</f>
        <v/>
      </c>
      <c r="W103" t="str" cm="1">
        <f t="array" ref="W103">IFERROR(_xlfn._xlws.FILTER(game_rosters!AC:AC,(game_rosters!J:J=events!X103)*(K103&lt;&gt;"")),"")</f>
        <v>h</v>
      </c>
      <c r="X103" cm="1">
        <f t="array" ref="X103">IF($I103&lt;&gt;"",$I103,INDEX($I$1:$I103,ROW()-COUNTIFS($T$1:$T103,"="&amp;$T103,$S$1:$S103,"&lt;"&amp;$S103)))</f>
        <v>73</v>
      </c>
      <c r="Y103" cm="1">
        <f t="array" ref="Y103">IFERROR(IF(_xlfn._xlws.FILTER(game_rosters!$J:$J,(game_rosters!$G:$G=events!$AM103)*(game_rosters!$J:$J=events!$X103))&gt;0,1,""),"")</f>
        <v>1</v>
      </c>
      <c r="Z103" s="6">
        <f t="shared" si="144"/>
        <v>1</v>
      </c>
      <c r="AA103">
        <f t="shared" si="145"/>
        <v>1054</v>
      </c>
      <c r="AB103">
        <f t="shared" si="146"/>
        <v>9008</v>
      </c>
      <c r="AC103">
        <f t="shared" si="147"/>
        <v>9008</v>
      </c>
      <c r="AD103" t="str">
        <f t="shared" si="148"/>
        <v>16</v>
      </c>
      <c r="AE103" t="str">
        <f t="shared" si="149"/>
        <v>38</v>
      </c>
      <c r="AF103" t="str">
        <f t="shared" si="150"/>
        <v/>
      </c>
      <c r="AG103" t="str">
        <f t="shared" si="151"/>
        <v/>
      </c>
      <c r="AH103" t="str">
        <f t="shared" si="194"/>
        <v>e</v>
      </c>
      <c r="AI103" t="str">
        <f t="shared" si="195"/>
        <v>d</v>
      </c>
      <c r="AJ103" t="str">
        <f t="shared" si="195"/>
        <v>d</v>
      </c>
      <c r="AK103" t="str">
        <f t="shared" si="196"/>
        <v>d</v>
      </c>
      <c r="AL103" t="str">
        <f t="shared" si="197"/>
        <v>o</v>
      </c>
      <c r="AM103" t="str">
        <f t="shared" si="152"/>
        <v>Home</v>
      </c>
      <c r="AN103" t="str">
        <f t="shared" si="198"/>
        <v>h</v>
      </c>
      <c r="AO103" t="str">
        <f t="shared" si="199"/>
        <v>d</v>
      </c>
      <c r="AP103" t="str">
        <f t="shared" si="200"/>
        <v>o</v>
      </c>
      <c r="AQ103" t="str">
        <f>IF(AM103&lt;&gt;"",AM103,IF($AC103=#REF!,#REF!,""))</f>
        <v>Home</v>
      </c>
      <c r="AR103" t="str">
        <f t="shared" si="201"/>
        <v>h</v>
      </c>
      <c r="AS103" t="str">
        <f t="shared" si="202"/>
        <v>Defensive</v>
      </c>
      <c r="AT103" t="str">
        <f t="shared" si="153"/>
        <v/>
      </c>
      <c r="AU103" t="str">
        <f t="shared" si="154"/>
        <v/>
      </c>
      <c r="AV103" t="str" cm="1">
        <f t="array" ref="AV103">IFERROR(IF(O103&lt;&gt;"",O103,IF(OR($S103="",$T103=""),"",IF(O103&lt;&gt;"",O103,IF($T103&lt;&gt;"",_xlfn._xlws.FILTER(O:O,($BT:$BT=$BT103)*($I:$I=$I103)*($T:$T=$T103)*($S:$S=_xlfn.MINIFS($S:$S,$T:$T,"="&amp;$T103)),"")))))&amp;"",IF(O103="","",""))&amp;""</f>
        <v>PokeCheck</v>
      </c>
      <c r="AW103" t="str" cm="1">
        <f t="array" ref="AW103">IFERROR(IF(P103&lt;&gt;"",P103,IF(OR($S103="",$T103=""),"",IF($T103&lt;&gt;"",_xlfn._xlws.FILTER(P:P,($BT:$BT=$BT103)*($I:$I=$I103)*($T:$T=$T103)*($S:$S=_xlfn.MINIFS($S:$S,$T:$T,"="&amp;$T103)),""))))&amp;"",IF(P103="","",""))&amp;""</f>
        <v/>
      </c>
      <c r="AX103" t="str" cm="1">
        <f t="array" ref="AX103">IFERROR(IF(Q103&lt;&gt;"",Q103,IF(OR($S103="",$T103=""),"",IF($T103&lt;&gt;"",_xlfn._xlws.FILTER(Q:Q,($BT:$BT=$BT103)*($I:$I=$I103)*($T:$T=$T103)*($S:$S=_xlfn.MINIFS($S:$S,$T:$T,"="&amp;$T103)),""))))&amp;"",IF(Q103="","",""))&amp;""</f>
        <v>s</v>
      </c>
      <c r="AY103" t="str" cm="1">
        <f t="array" ref="AY103">IFERROR(IF(R103&lt;&gt;"",R103,IF(OR($S103="",$T103=""),"",IF($T103&lt;&gt;"",_xlfn._xlws.FILTER(R:R,($BT:$BT=$BT103)*($I:$I=$I103)*($T:$T=$T103)*($S:$S=_xlfn.MINIFS($S:$S,$T:$T,"="&amp;$T103)),""))))&amp;"",IF(R103="","",""))&amp;""</f>
        <v>1</v>
      </c>
      <c r="AZ103" s="6">
        <f t="shared" si="155"/>
        <v>12</v>
      </c>
      <c r="BA103">
        <f t="shared" ref="BA103:BC103" si="215">BA102</f>
        <v>18991</v>
      </c>
      <c r="BB103" t="str">
        <f t="shared" si="215"/>
        <v>Triple J</v>
      </c>
      <c r="BC103" t="str">
        <f t="shared" si="215"/>
        <v>Velodrome</v>
      </c>
      <c r="BD103" t="str">
        <f t="shared" si="157"/>
        <v>Play</v>
      </c>
      <c r="BE103" t="str">
        <f t="shared" si="158"/>
        <v>Play_Defensive</v>
      </c>
      <c r="BF103" t="str">
        <f t="shared" si="159"/>
        <v>Play-PokeCheck</v>
      </c>
      <c r="BG103" t="str">
        <f t="shared" si="22"/>
        <v>s</v>
      </c>
      <c r="BH103" cm="1">
        <f t="array" ref="BH103">IFERROR(_xlfn._xlws.FILTER(shifts!A:A,(shifts!B:B=events!Z103)*(shifts!AG:AG&gt;=events!BJ103)*(shifts!AH:AH&lt;=events!BK103)),BH102)</f>
        <v>3</v>
      </c>
      <c r="BI103" s="15">
        <f t="shared" si="160"/>
        <v>0</v>
      </c>
      <c r="BJ103">
        <f t="shared" si="161"/>
        <v>998</v>
      </c>
      <c r="BK103">
        <f t="shared" si="162"/>
        <v>998</v>
      </c>
      <c r="BL103" s="15">
        <f>SUMIFS(BI$2:BI103,K$2:K103,"=Intermission")+SUMIFS(BI$2:BI103,K$2:K103,"=Timeout")</f>
        <v>0</v>
      </c>
      <c r="BM103">
        <f t="shared" si="163"/>
        <v>0</v>
      </c>
      <c r="BN103" s="19">
        <f t="shared" si="164"/>
        <v>82</v>
      </c>
      <c r="BO103">
        <f t="shared" si="165"/>
        <v>77</v>
      </c>
      <c r="BP103" s="17">
        <f t="shared" si="166"/>
        <v>82</v>
      </c>
      <c r="BQ103" t="str">
        <f t="shared" si="167"/>
        <v>event_team_player_1</v>
      </c>
      <c r="BR103">
        <f>COUNTIFS(S$3:S103,"="&amp;S103,AH$3:AH103,"="&amp;AH103)</f>
        <v>1</v>
      </c>
      <c r="BS103" t="str">
        <f>IFERROR(VLOOKUP(BA103&amp;BT103&amp;X103,game_rosters!U:W,3,FALSE),"")</f>
        <v>P100021</v>
      </c>
      <c r="BT103" t="str">
        <f t="shared" si="168"/>
        <v>Triple J</v>
      </c>
    </row>
    <row r="104" spans="1:72" x14ac:dyDescent="0.2">
      <c r="A104" t="str">
        <f t="shared" si="143"/>
        <v>x</v>
      </c>
      <c r="D104" s="26" t="s">
        <v>729</v>
      </c>
      <c r="E104" s="4"/>
      <c r="F104" s="45"/>
      <c r="G104" s="4"/>
      <c r="H104" s="47"/>
      <c r="I104" s="26">
        <v>91</v>
      </c>
      <c r="J104" s="26" t="str">
        <f t="shared" si="170"/>
        <v/>
      </c>
      <c r="N104" t="str">
        <f t="shared" si="187"/>
        <v/>
      </c>
      <c r="O104" t="s">
        <v>785</v>
      </c>
      <c r="Q104" t="str">
        <f t="shared" si="181"/>
        <v>u</v>
      </c>
      <c r="R104" s="26">
        <v>1</v>
      </c>
      <c r="S104">
        <f>IF(A104=1,MAX($S$2:$S103)+1,IF(OR($I104&lt;&gt;"",A104="x"),$S103,""))</f>
        <v>54</v>
      </c>
      <c r="T104">
        <f>IF(D104=1,MAX($T$2:$T103)+1,IF(S104=S103,$T103,IF(D104="x",T103,IF(D103="x","",""))))</f>
        <v>8</v>
      </c>
      <c r="U104" t="str">
        <f>IF(B104=1,MAX($U$2:$U103)+1,IF(AND($T104&lt;&gt;"",$T104=$T103),$U103,IF(B104="x",U103,"")))</f>
        <v/>
      </c>
      <c r="V104" t="str">
        <f>IF(C104=1,MAX($V$2:$V103)+1,IF(AND($T104&lt;&gt;"",$T104=$T103),$U103,IF(C104="x",V103,"")))</f>
        <v/>
      </c>
      <c r="W104" t="str" cm="1">
        <f t="array" ref="W104">IFERROR(_xlfn._xlws.FILTER(game_rosters!AC:AC,(game_rosters!J:J=events!X104)*(K104&lt;&gt;"")),"")</f>
        <v/>
      </c>
      <c r="X104" cm="1">
        <f t="array" ref="X104">IF($I104&lt;&gt;"",$I104,INDEX($I$1:$I104,ROW()-COUNTIFS($T$1:$T104,"="&amp;$T104,$S$1:$S104,"&lt;"&amp;$S104)))</f>
        <v>91</v>
      </c>
      <c r="Y104" t="str" cm="1">
        <f t="array" ref="Y104">IFERROR(IF(_xlfn._xlws.FILTER(game_rosters!$J:$J,(game_rosters!$G:$G=events!$AM104)*(game_rosters!$J:$J=events!$X104))&gt;0,1,""),"")</f>
        <v/>
      </c>
      <c r="Z104" s="6">
        <f t="shared" si="144"/>
        <v>1</v>
      </c>
      <c r="AA104">
        <f t="shared" si="145"/>
        <v>1054</v>
      </c>
      <c r="AB104">
        <f t="shared" si="146"/>
        <v>9008</v>
      </c>
      <c r="AC104">
        <f t="shared" si="147"/>
        <v>9008</v>
      </c>
      <c r="AD104" t="str">
        <f t="shared" si="148"/>
        <v>16</v>
      </c>
      <c r="AE104" t="str">
        <f t="shared" si="149"/>
        <v>38</v>
      </c>
      <c r="AF104" t="str">
        <f t="shared" si="150"/>
        <v/>
      </c>
      <c r="AG104" t="str">
        <f t="shared" si="151"/>
        <v/>
      </c>
      <c r="AH104" t="str">
        <f t="shared" si="194"/>
        <v>o</v>
      </c>
      <c r="AI104" t="str">
        <f t="shared" si="195"/>
        <v>d</v>
      </c>
      <c r="AJ104" t="str">
        <f t="shared" si="195"/>
        <v>d</v>
      </c>
      <c r="AK104" t="str">
        <f t="shared" si="196"/>
        <v/>
      </c>
      <c r="AL104" t="str">
        <f t="shared" si="197"/>
        <v/>
      </c>
      <c r="AM104" t="str">
        <f t="shared" si="152"/>
        <v>Home</v>
      </c>
      <c r="AN104" t="str">
        <f t="shared" si="198"/>
        <v>h</v>
      </c>
      <c r="AO104" t="str">
        <f t="shared" si="199"/>
        <v>d</v>
      </c>
      <c r="AP104" t="str">
        <f t="shared" si="200"/>
        <v>o</v>
      </c>
      <c r="AQ104" t="str">
        <f>IF(AM104&lt;&gt;"",AM104,IF($AC104=#REF!,#REF!,""))</f>
        <v>Home</v>
      </c>
      <c r="AR104" t="str">
        <f t="shared" si="201"/>
        <v>h</v>
      </c>
      <c r="AS104" t="str">
        <f t="shared" si="202"/>
        <v>Offensive</v>
      </c>
      <c r="AT104" t="str">
        <f t="shared" si="153"/>
        <v/>
      </c>
      <c r="AU104" t="str">
        <f t="shared" si="154"/>
        <v/>
      </c>
      <c r="AV104" t="str" cm="1">
        <f t="array" ref="AV104">IFERROR(IF(O104&lt;&gt;"",O104,IF(OR($S104="",$T104=""),"",IF(O104&lt;&gt;"",O104,IF($T104&lt;&gt;"",_xlfn._xlws.FILTER(O:O,($BT:$BT=$BT104)*($I:$I=$I104)*($T:$T=$T104)*($S:$S=_xlfn.MINIFS($S:$S,$T:$T,"="&amp;$T104)),"")))))&amp;"",IF(O104="","",""))&amp;""</f>
        <v>LostPuck</v>
      </c>
      <c r="AW104" t="str" cm="1">
        <f t="array" ref="AW104">IFERROR(IF(P104&lt;&gt;"",P104,IF(OR($S104="",$T104=""),"",IF($T104&lt;&gt;"",_xlfn._xlws.FILTER(P:P,($BT:$BT=$BT104)*($I:$I=$I104)*($T:$T=$T104)*($S:$S=_xlfn.MINIFS($S:$S,$T:$T,"="&amp;$T104)),""))))&amp;"",IF(P104="","",""))&amp;""</f>
        <v/>
      </c>
      <c r="AX104" t="str" cm="1">
        <f t="array" ref="AX104">IFERROR(IF(Q104&lt;&gt;"",Q104,IF(OR($S104="",$T104=""),"",IF($T104&lt;&gt;"",_xlfn._xlws.FILTER(Q:Q,($BT:$BT=$BT104)*($I:$I=$I104)*($T:$T=$T104)*($S:$S=_xlfn.MINIFS($S:$S,$T:$T,"="&amp;$T104)),""))))&amp;"",IF(Q104="","",""))&amp;""</f>
        <v>u</v>
      </c>
      <c r="AY104" t="str" cm="1">
        <f t="array" ref="AY104">IFERROR(IF(R104&lt;&gt;"",R104,IF(OR($S104="",$T104=""),"",IF($T104&lt;&gt;"",_xlfn._xlws.FILTER(R:R,($BT:$BT=$BT104)*($I:$I=$I104)*($T:$T=$T104)*($S:$S=_xlfn.MINIFS($S:$S,$T:$T,"="&amp;$T104)),""))))&amp;"",IF(R104="","",""))&amp;""</f>
        <v>1</v>
      </c>
      <c r="AZ104" s="6">
        <f t="shared" si="155"/>
        <v>12</v>
      </c>
      <c r="BA104">
        <f t="shared" ref="BA104:BC104" si="216">BA103</f>
        <v>18991</v>
      </c>
      <c r="BB104" t="str">
        <f t="shared" si="216"/>
        <v>Triple J</v>
      </c>
      <c r="BC104" t="str">
        <f t="shared" si="216"/>
        <v>Velodrome</v>
      </c>
      <c r="BD104" t="str">
        <f t="shared" si="157"/>
        <v>Play</v>
      </c>
      <c r="BE104" t="str">
        <f t="shared" si="158"/>
        <v>Play_Defensive</v>
      </c>
      <c r="BF104" t="str">
        <f t="shared" si="159"/>
        <v>Play-PokeCheck</v>
      </c>
      <c r="BG104" t="str">
        <f t="shared" si="22"/>
        <v>s</v>
      </c>
      <c r="BH104" cm="1">
        <f t="array" ref="BH104">IFERROR(_xlfn._xlws.FILTER(shifts!A:A,(shifts!B:B=events!Z104)*(shifts!AG:AG&gt;=events!BJ104)*(shifts!AH:AH&lt;=events!BK104)),BH103)</f>
        <v>3</v>
      </c>
      <c r="BI104" s="15">
        <f t="shared" si="160"/>
        <v>0</v>
      </c>
      <c r="BJ104">
        <f t="shared" si="161"/>
        <v>998</v>
      </c>
      <c r="BK104">
        <f t="shared" si="162"/>
        <v>998</v>
      </c>
      <c r="BL104" s="15">
        <f>SUMIFS(BI$2:BI104,K$2:K104,"=Intermission")+SUMIFS(BI$2:BI104,K$2:K104,"=Timeout")</f>
        <v>0</v>
      </c>
      <c r="BM104">
        <f t="shared" si="163"/>
        <v>0</v>
      </c>
      <c r="BN104" s="19">
        <f t="shared" si="164"/>
        <v>82</v>
      </c>
      <c r="BO104">
        <f t="shared" si="165"/>
        <v>77</v>
      </c>
      <c r="BP104" s="17">
        <f t="shared" si="166"/>
        <v>82</v>
      </c>
      <c r="BQ104" t="str">
        <f t="shared" si="167"/>
        <v>opp_team_player_1</v>
      </c>
      <c r="BR104">
        <f>COUNTIFS(S$3:S104,"="&amp;S104,AH$3:AH104,"="&amp;AH104)</f>
        <v>1</v>
      </c>
      <c r="BS104" t="str">
        <f>IFERROR(VLOOKUP(BA104&amp;BT104&amp;X104,game_rosters!U:W,3,FALSE),"")</f>
        <v>P100002</v>
      </c>
      <c r="BT104" t="str">
        <f t="shared" si="168"/>
        <v>Velodrome</v>
      </c>
    </row>
    <row r="105" spans="1:72" x14ac:dyDescent="0.2">
      <c r="A105">
        <f t="shared" si="143"/>
        <v>1</v>
      </c>
      <c r="D105" s="26" t="s">
        <v>729</v>
      </c>
      <c r="E105" s="4"/>
      <c r="F105" s="45"/>
      <c r="G105" s="4"/>
      <c r="H105" s="47"/>
      <c r="I105" s="26">
        <v>73</v>
      </c>
      <c r="J105" s="26" t="str">
        <f t="shared" si="170"/>
        <v>d</v>
      </c>
      <c r="K105" t="s">
        <v>238</v>
      </c>
      <c r="L105" t="s">
        <v>184</v>
      </c>
      <c r="M105" t="s">
        <v>415</v>
      </c>
      <c r="N105" t="str">
        <f t="shared" si="187"/>
        <v>s</v>
      </c>
      <c r="Q105" t="str">
        <f t="shared" si="181"/>
        <v/>
      </c>
      <c r="R105" s="26">
        <v>1</v>
      </c>
      <c r="S105">
        <f>IF(A105=1,MAX($S$2:$S104)+1,IF(OR($I105&lt;&gt;"",A105="x"),$S104,""))</f>
        <v>55</v>
      </c>
      <c r="T105">
        <f>IF(D105=1,MAX($T$2:$T104)+1,IF(S105=S104,$T104,IF(D105="x",T104,IF(D104="x","",""))))</f>
        <v>8</v>
      </c>
      <c r="U105" t="str">
        <f>IF(B105=1,MAX($U$2:$U104)+1,IF(AND($T105&lt;&gt;"",$T105=$T104),$U104,IF(B105="x",U104,"")))</f>
        <v/>
      </c>
      <c r="V105" t="str">
        <f>IF(C105=1,MAX($V$2:$V104)+1,IF(AND($T105&lt;&gt;"",$T105=$T104),$U104,IF(C105="x",V104,"")))</f>
        <v/>
      </c>
      <c r="W105" t="str" cm="1">
        <f t="array" ref="W105">IFERROR(_xlfn._xlws.FILTER(game_rosters!AC:AC,(game_rosters!J:J=events!X105)*(K105&lt;&gt;"")),"")</f>
        <v>h</v>
      </c>
      <c r="X105" cm="1">
        <f t="array" ref="X105">IF($I105&lt;&gt;"",$I105,INDEX($I$1:$I105,ROW()-COUNTIFS($T$1:$T105,"="&amp;$T105,$S$1:$S105,"&lt;"&amp;$S105)))</f>
        <v>73</v>
      </c>
      <c r="Y105" cm="1">
        <f t="array" ref="Y105">IFERROR(IF(_xlfn._xlws.FILTER(game_rosters!$J:$J,(game_rosters!$G:$G=events!$AM105)*(game_rosters!$J:$J=events!$X105))&gt;0,1,""),"")</f>
        <v>1</v>
      </c>
      <c r="Z105" s="6">
        <f t="shared" si="144"/>
        <v>1</v>
      </c>
      <c r="AA105">
        <f t="shared" si="145"/>
        <v>1055</v>
      </c>
      <c r="AB105">
        <f t="shared" si="146"/>
        <v>9008</v>
      </c>
      <c r="AC105">
        <f t="shared" si="147"/>
        <v>9008</v>
      </c>
      <c r="AD105" t="str">
        <f t="shared" si="148"/>
        <v>16</v>
      </c>
      <c r="AE105" t="str">
        <f t="shared" si="149"/>
        <v>38</v>
      </c>
      <c r="AF105" t="str">
        <f t="shared" si="150"/>
        <v/>
      </c>
      <c r="AG105" t="str">
        <f t="shared" si="151"/>
        <v/>
      </c>
      <c r="AH105" t="str">
        <f t="shared" si="194"/>
        <v>e</v>
      </c>
      <c r="AI105" t="str">
        <f t="shared" si="195"/>
        <v>d</v>
      </c>
      <c r="AJ105" t="str">
        <f t="shared" si="195"/>
        <v>d</v>
      </c>
      <c r="AK105" t="str">
        <f t="shared" si="196"/>
        <v>d</v>
      </c>
      <c r="AL105" t="str">
        <f t="shared" si="197"/>
        <v>o</v>
      </c>
      <c r="AM105" t="str">
        <f t="shared" si="152"/>
        <v>Home</v>
      </c>
      <c r="AN105" t="str">
        <f t="shared" si="198"/>
        <v>h</v>
      </c>
      <c r="AO105" t="str">
        <f t="shared" si="199"/>
        <v>d</v>
      </c>
      <c r="AP105" t="str">
        <f t="shared" si="200"/>
        <v>o</v>
      </c>
      <c r="AQ105" t="str">
        <f>IF(AM105&lt;&gt;"",AM105,IF($AC105=#REF!,#REF!,""))</f>
        <v>Home</v>
      </c>
      <c r="AR105" t="str">
        <f t="shared" si="201"/>
        <v>h</v>
      </c>
      <c r="AS105" t="str">
        <f t="shared" si="202"/>
        <v>Offensive</v>
      </c>
      <c r="AT105" t="str">
        <f t="shared" si="153"/>
        <v/>
      </c>
      <c r="AU105" t="str">
        <f t="shared" si="154"/>
        <v/>
      </c>
      <c r="AV105" t="str" cm="1">
        <f t="array" ref="AV105">IFERROR(IF(O105&lt;&gt;"",O105,IF(OR($S105="",$T105=""),"",IF(O105&lt;&gt;"",O105,IF($T105&lt;&gt;"",_xlfn._xlws.FILTER(O:O,($BT:$BT=$BT105)*($I:$I=$I105)*($T:$T=$T105)*($S:$S=_xlfn.MINIFS($S:$S,$T:$T,"="&amp;$T105)),"")))))&amp;"",IF(O105="","",""))&amp;""</f>
        <v>PokeCheck</v>
      </c>
      <c r="AW105" t="str" cm="1">
        <f t="array" ref="AW105">IFERROR(IF(P105&lt;&gt;"",P105,IF(OR($S105="",$T105=""),"",IF($T105&lt;&gt;"",_xlfn._xlws.FILTER(P:P,($BT:$BT=$BT105)*($I:$I=$I105)*($T:$T=$T105)*($S:$S=_xlfn.MINIFS($S:$S,$T:$T,"="&amp;$T105)),""))))&amp;"",IF(P105="","",""))&amp;""</f>
        <v/>
      </c>
      <c r="AX105" t="str" cm="1">
        <f t="array" ref="AX105">IFERROR(IF(Q105&lt;&gt;"",Q105,IF(OR($S105="",$T105=""),"",IF($T105&lt;&gt;"",_xlfn._xlws.FILTER(Q:Q,($BT:$BT=$BT105)*($I:$I=$I105)*($T:$T=$T105)*($S:$S=_xlfn.MINIFS($S:$S,$T:$T,"="&amp;$T105)),""))))&amp;"",IF(Q105="","",""))&amp;""</f>
        <v>s</v>
      </c>
      <c r="AY105" t="str" cm="1">
        <f t="array" ref="AY105">IFERROR(IF(R105&lt;&gt;"",R105,IF(OR($S105="",$T105=""),"",IF($T105&lt;&gt;"",_xlfn._xlws.FILTER(R:R,($BT:$BT=$BT105)*($I:$I=$I105)*($T:$T=$T105)*($S:$S=_xlfn.MINIFS($S:$S,$T:$T,"="&amp;$T105)),""))))&amp;"",IF(R105="","",""))&amp;""</f>
        <v>1</v>
      </c>
      <c r="AZ105" s="6">
        <f t="shared" si="155"/>
        <v>13</v>
      </c>
      <c r="BA105">
        <f t="shared" ref="BA105:BC105" si="217">BA104</f>
        <v>18991</v>
      </c>
      <c r="BB105" t="str">
        <f t="shared" si="217"/>
        <v>Triple J</v>
      </c>
      <c r="BC105" t="str">
        <f t="shared" si="217"/>
        <v>Velodrome</v>
      </c>
      <c r="BD105" t="str">
        <f t="shared" si="157"/>
        <v>Zone_Entry_Exit</v>
      </c>
      <c r="BE105" t="str">
        <f t="shared" si="158"/>
        <v>Zone_Exit</v>
      </c>
      <c r="BF105" t="str">
        <f t="shared" si="159"/>
        <v>ZoneExit-CausedTurnover</v>
      </c>
      <c r="BG105" t="str">
        <f t="shared" si="22"/>
        <v>s</v>
      </c>
      <c r="BH105" cm="1">
        <f t="array" ref="BH105">IFERROR(_xlfn._xlws.FILTER(shifts!A:A,(shifts!B:B=events!Z105)*(shifts!AG:AG&gt;=events!BJ105)*(shifts!AH:AH&lt;=events!BK105)),BH104)</f>
        <v>3</v>
      </c>
      <c r="BI105" s="15">
        <f t="shared" si="160"/>
        <v>0</v>
      </c>
      <c r="BJ105">
        <f t="shared" si="161"/>
        <v>998</v>
      </c>
      <c r="BK105">
        <f t="shared" si="162"/>
        <v>998</v>
      </c>
      <c r="BL105" s="15">
        <f>SUMIFS(BI$2:BI105,K$2:K105,"=Intermission")+SUMIFS(BI$2:BI105,K$2:K105,"=Timeout")</f>
        <v>0</v>
      </c>
      <c r="BM105">
        <f t="shared" si="163"/>
        <v>0</v>
      </c>
      <c r="BN105" s="19">
        <f t="shared" si="164"/>
        <v>82</v>
      </c>
      <c r="BO105">
        <f t="shared" si="165"/>
        <v>77</v>
      </c>
      <c r="BP105" s="17">
        <f t="shared" si="166"/>
        <v>82</v>
      </c>
      <c r="BQ105" t="str">
        <f t="shared" si="167"/>
        <v>event_team_player_1</v>
      </c>
      <c r="BR105">
        <f>COUNTIFS(S$3:S105,"="&amp;S105,AH$3:AH105,"="&amp;AH105)</f>
        <v>1</v>
      </c>
      <c r="BS105" t="str">
        <f>IFERROR(VLOOKUP(BA105&amp;BT105&amp;X105,game_rosters!U:W,3,FALSE),"")</f>
        <v>P100021</v>
      </c>
      <c r="BT105" t="str">
        <f t="shared" si="168"/>
        <v>Triple J</v>
      </c>
    </row>
    <row r="106" spans="1:72" x14ac:dyDescent="0.2">
      <c r="A106" t="str">
        <f t="shared" si="143"/>
        <v>x</v>
      </c>
      <c r="D106" s="26" t="s">
        <v>729</v>
      </c>
      <c r="E106" s="4"/>
      <c r="F106" s="45"/>
      <c r="G106" s="4"/>
      <c r="H106" s="47"/>
      <c r="I106" s="26">
        <v>91</v>
      </c>
      <c r="J106" s="26" t="str">
        <f t="shared" si="170"/>
        <v/>
      </c>
      <c r="N106" t="str">
        <f t="shared" si="187"/>
        <v/>
      </c>
      <c r="Q106" t="str">
        <f t="shared" si="181"/>
        <v/>
      </c>
      <c r="R106" s="26">
        <v>1</v>
      </c>
      <c r="S106">
        <f>IF(A106=1,MAX($S$2:$S105)+1,IF(OR($I106&lt;&gt;"",A106="x"),$S105,""))</f>
        <v>55</v>
      </c>
      <c r="T106">
        <f>IF(D106=1,MAX($T$2:$T105)+1,IF(S106=S105,$T105,IF(D106="x",T105,IF(D105="x","",""))))</f>
        <v>8</v>
      </c>
      <c r="U106" t="str">
        <f>IF(B106=1,MAX($U$2:$U105)+1,IF(AND($T106&lt;&gt;"",$T106=$T105),$U105,IF(B106="x",U105,"")))</f>
        <v/>
      </c>
      <c r="V106" t="str">
        <f>IF(C106=1,MAX($V$2:$V105)+1,IF(AND($T106&lt;&gt;"",$T106=$T105),$U105,IF(C106="x",V105,"")))</f>
        <v/>
      </c>
      <c r="W106" t="str" cm="1">
        <f t="array" ref="W106">IFERROR(_xlfn._xlws.FILTER(game_rosters!AC:AC,(game_rosters!J:J=events!X106)*(K106&lt;&gt;"")),"")</f>
        <v/>
      </c>
      <c r="X106" cm="1">
        <f t="array" ref="X106">IF($I106&lt;&gt;"",$I106,INDEX($I$1:$I106,ROW()-COUNTIFS($T$1:$T106,"="&amp;$T106,$S$1:$S106,"&lt;"&amp;$S106)))</f>
        <v>91</v>
      </c>
      <c r="Y106" t="str" cm="1">
        <f t="array" ref="Y106">IFERROR(IF(_xlfn._xlws.FILTER(game_rosters!$J:$J,(game_rosters!$G:$G=events!$AM106)*(game_rosters!$J:$J=events!$X106))&gt;0,1,""),"")</f>
        <v/>
      </c>
      <c r="Z106" s="6">
        <f t="shared" si="144"/>
        <v>1</v>
      </c>
      <c r="AA106">
        <f t="shared" si="145"/>
        <v>1055</v>
      </c>
      <c r="AB106">
        <f t="shared" si="146"/>
        <v>9008</v>
      </c>
      <c r="AC106">
        <f t="shared" si="147"/>
        <v>9008</v>
      </c>
      <c r="AD106" t="str">
        <f t="shared" si="148"/>
        <v>16</v>
      </c>
      <c r="AE106" t="str">
        <f t="shared" si="149"/>
        <v>38</v>
      </c>
      <c r="AF106" t="str">
        <f t="shared" si="150"/>
        <v/>
      </c>
      <c r="AG106" t="str">
        <f t="shared" si="151"/>
        <v/>
      </c>
      <c r="AH106" t="str">
        <f t="shared" si="194"/>
        <v>o</v>
      </c>
      <c r="AI106" t="str">
        <f t="shared" si="195"/>
        <v>d</v>
      </c>
      <c r="AJ106" t="str">
        <f t="shared" si="195"/>
        <v>d</v>
      </c>
      <c r="AK106" t="str">
        <f t="shared" si="196"/>
        <v/>
      </c>
      <c r="AL106" t="str">
        <f t="shared" si="197"/>
        <v/>
      </c>
      <c r="AM106" t="str">
        <f t="shared" si="152"/>
        <v>Home</v>
      </c>
      <c r="AN106" t="str">
        <f t="shared" si="198"/>
        <v>h</v>
      </c>
      <c r="AO106" t="str">
        <f t="shared" si="199"/>
        <v>d</v>
      </c>
      <c r="AP106" t="str">
        <f t="shared" si="200"/>
        <v>o</v>
      </c>
      <c r="AQ106" t="str">
        <f>IF(AM106&lt;&gt;"",AM106,IF($AC106=#REF!,#REF!,""))</f>
        <v>Home</v>
      </c>
      <c r="AR106" t="str">
        <f t="shared" si="201"/>
        <v>h</v>
      </c>
      <c r="AS106" t="str">
        <f t="shared" si="202"/>
        <v>Defensive</v>
      </c>
      <c r="AT106" t="str">
        <f t="shared" si="153"/>
        <v/>
      </c>
      <c r="AU106" t="str">
        <f t="shared" si="154"/>
        <v/>
      </c>
      <c r="AV106" t="str" cm="1">
        <f t="array" ref="AV106">IFERROR(IF(O106&lt;&gt;"",O106,IF(OR($S106="",$T106=""),"",IF(O106&lt;&gt;"",O106,IF($T106&lt;&gt;"",_xlfn._xlws.FILTER(O:O,($BT:$BT=$BT106)*($I:$I=$I106)*($T:$T=$T106)*($S:$S=_xlfn.MINIFS($S:$S,$T:$T,"="&amp;$T106)),"")))))&amp;"",IF(O106="","",""))&amp;""</f>
        <v>LostPuck</v>
      </c>
      <c r="AW106" t="str" cm="1">
        <f t="array" ref="AW106">IFERROR(IF(P106&lt;&gt;"",P106,IF(OR($S106="",$T106=""),"",IF($T106&lt;&gt;"",_xlfn._xlws.FILTER(P:P,($BT:$BT=$BT106)*($I:$I=$I106)*($T:$T=$T106)*($S:$S=_xlfn.MINIFS($S:$S,$T:$T,"="&amp;$T106)),""))))&amp;"",IF(P106="","",""))&amp;""</f>
        <v/>
      </c>
      <c r="AX106" t="str" cm="1">
        <f t="array" ref="AX106">IFERROR(IF(Q106&lt;&gt;"",Q106,IF(OR($S106="",$T106=""),"",IF($T106&lt;&gt;"",_xlfn._xlws.FILTER(Q:Q,($BT:$BT=$BT106)*($I:$I=$I106)*($T:$T=$T106)*($S:$S=_xlfn.MINIFS($S:$S,$T:$T,"="&amp;$T106)),""))))&amp;"",IF(Q106="","",""))&amp;""</f>
        <v>u</v>
      </c>
      <c r="AY106" t="str" cm="1">
        <f t="array" ref="AY106">IFERROR(IF(R106&lt;&gt;"",R106,IF(OR($S106="",$T106=""),"",IF($T106&lt;&gt;"",_xlfn._xlws.FILTER(R:R,($BT:$BT=$BT106)*($I:$I=$I106)*($T:$T=$T106)*($S:$S=_xlfn.MINIFS($S:$S,$T:$T,"="&amp;$T106)),""))))&amp;"",IF(R106="","",""))&amp;""</f>
        <v>1</v>
      </c>
      <c r="AZ106" s="6">
        <f t="shared" si="155"/>
        <v>13</v>
      </c>
      <c r="BA106">
        <f t="shared" ref="BA106:BC106" si="218">BA105</f>
        <v>18991</v>
      </c>
      <c r="BB106" t="str">
        <f t="shared" si="218"/>
        <v>Triple J</v>
      </c>
      <c r="BC106" t="str">
        <f t="shared" si="218"/>
        <v>Velodrome</v>
      </c>
      <c r="BD106" t="str">
        <f t="shared" si="157"/>
        <v>Zone_Entry_Exit</v>
      </c>
      <c r="BE106" t="str">
        <f t="shared" si="158"/>
        <v>Zone_Exit</v>
      </c>
      <c r="BF106" t="str">
        <f t="shared" si="159"/>
        <v>ZoneExit-CausedTurnover</v>
      </c>
      <c r="BG106" t="str">
        <f t="shared" si="22"/>
        <v>s</v>
      </c>
      <c r="BH106" cm="1">
        <f t="array" ref="BH106">IFERROR(_xlfn._xlws.FILTER(shifts!A:A,(shifts!B:B=events!Z106)*(shifts!AG:AG&gt;=events!BJ106)*(shifts!AH:AH&lt;=events!BK106)),BH105)</f>
        <v>3</v>
      </c>
      <c r="BI106" s="15">
        <f t="shared" si="160"/>
        <v>0</v>
      </c>
      <c r="BJ106">
        <f t="shared" si="161"/>
        <v>998</v>
      </c>
      <c r="BK106">
        <f t="shared" si="162"/>
        <v>998</v>
      </c>
      <c r="BL106" s="15">
        <f>SUMIFS(BI$2:BI106,K$2:K106,"=Intermission")+SUMIFS(BI$2:BI106,K$2:K106,"=Timeout")</f>
        <v>0</v>
      </c>
      <c r="BM106">
        <f t="shared" si="163"/>
        <v>0</v>
      </c>
      <c r="BN106" s="19">
        <f t="shared" si="164"/>
        <v>82</v>
      </c>
      <c r="BO106">
        <f t="shared" si="165"/>
        <v>77</v>
      </c>
      <c r="BP106" s="17">
        <f t="shared" si="166"/>
        <v>82</v>
      </c>
      <c r="BQ106" t="str">
        <f t="shared" si="167"/>
        <v>opp_team_player_1</v>
      </c>
      <c r="BR106">
        <f>COUNTIFS(S$3:S106,"="&amp;S106,AH$3:AH106,"="&amp;AH106)</f>
        <v>1</v>
      </c>
      <c r="BS106" t="str">
        <f>IFERROR(VLOOKUP(BA106&amp;BT106&amp;X106,game_rosters!U:W,3,FALSE),"")</f>
        <v>P100002</v>
      </c>
      <c r="BT106" t="str">
        <f t="shared" si="168"/>
        <v>Velodrome</v>
      </c>
    </row>
    <row r="107" spans="1:72" x14ac:dyDescent="0.2">
      <c r="A107">
        <f t="shared" si="143"/>
        <v>1</v>
      </c>
      <c r="E107" s="4"/>
      <c r="F107" s="45" t="s">
        <v>750</v>
      </c>
      <c r="G107" s="4"/>
      <c r="H107" s="47" t="s">
        <v>1043</v>
      </c>
      <c r="I107" s="26">
        <v>91</v>
      </c>
      <c r="J107" s="26" t="s">
        <v>734</v>
      </c>
      <c r="K107" t="s">
        <v>13</v>
      </c>
      <c r="L107" t="s">
        <v>587</v>
      </c>
      <c r="N107" t="s">
        <v>595</v>
      </c>
      <c r="O107" t="s">
        <v>910</v>
      </c>
      <c r="P107" t="s">
        <v>149</v>
      </c>
      <c r="Q107" t="str">
        <f t="shared" si="181"/>
        <v>s</v>
      </c>
      <c r="S107">
        <f>IF(A107=1,MAX($S$2:$S106)+1,IF(OR($I107&lt;&gt;"",A107="x"),$S106,""))</f>
        <v>56</v>
      </c>
      <c r="T107" t="str">
        <f>IF(D107=1,MAX($T$2:$T106)+1,IF(S107=S106,$T106,IF(D107="x",T106,IF(D106="x","",""))))</f>
        <v/>
      </c>
      <c r="U107" t="str">
        <f>IF(B107=1,MAX($U$2:$U106)+1,IF(AND($T107&lt;&gt;"",$T107=$T106),$U106,IF(B107="x",U106,"")))</f>
        <v/>
      </c>
      <c r="V107" t="str">
        <f>IF(C107=1,MAX($V$2:$V106)+1,IF(AND($T107&lt;&gt;"",$T107=$T106),$U106,IF(C107="x",V106,"")))</f>
        <v/>
      </c>
      <c r="W107" t="str" cm="1">
        <f t="array" ref="W107">IFERROR(_xlfn._xlws.FILTER(game_rosters!AC:AC,(game_rosters!J:J=events!X107)*(K107&lt;&gt;"")),"")</f>
        <v>a</v>
      </c>
      <c r="X107" cm="1">
        <f t="array" ref="X107">IF($I107&lt;&gt;"",$I107,INDEX($I$1:$I107,ROW()-COUNTIFS($T$1:$T107,"="&amp;$T107,$S$1:$S107,"&lt;"&amp;$S107)))</f>
        <v>91</v>
      </c>
      <c r="Y107" cm="1">
        <f t="array" ref="Y107">IFERROR(IF(_xlfn._xlws.FILTER(game_rosters!$J:$J,(game_rosters!$G:$G=events!$AM107)*(game_rosters!$J:$J=events!$X107))&gt;0,1,""),"")</f>
        <v>1</v>
      </c>
      <c r="Z107" s="6">
        <f t="shared" si="144"/>
        <v>1</v>
      </c>
      <c r="AA107">
        <f t="shared" si="145"/>
        <v>1056</v>
      </c>
      <c r="AB107" t="str">
        <f t="shared" si="146"/>
        <v/>
      </c>
      <c r="AC107">
        <f t="shared" si="147"/>
        <v>1056</v>
      </c>
      <c r="AD107" t="str">
        <f t="shared" si="148"/>
        <v>16</v>
      </c>
      <c r="AE107" t="str">
        <f t="shared" si="149"/>
        <v>35</v>
      </c>
      <c r="AF107" t="str">
        <f t="shared" si="150"/>
        <v>16</v>
      </c>
      <c r="AG107" t="str">
        <f t="shared" si="151"/>
        <v>33</v>
      </c>
      <c r="AH107" t="str">
        <f t="shared" si="194"/>
        <v>e</v>
      </c>
      <c r="AI107" t="str">
        <f t="shared" ref="AI107:AJ122" si="219">IF($J107&lt;&gt;"",$J107,IF($AC107=$AC106,AI106,""))</f>
        <v>n</v>
      </c>
      <c r="AJ107" t="str">
        <f t="shared" si="219"/>
        <v>n</v>
      </c>
      <c r="AK107" t="str">
        <f t="shared" si="196"/>
        <v>n</v>
      </c>
      <c r="AL107" t="str">
        <f t="shared" si="197"/>
        <v>n</v>
      </c>
      <c r="AM107" t="str">
        <f t="shared" si="152"/>
        <v>Away</v>
      </c>
      <c r="AN107" t="str">
        <f t="shared" si="198"/>
        <v>a</v>
      </c>
      <c r="AO107" t="str">
        <f t="shared" si="199"/>
        <v>n</v>
      </c>
      <c r="AP107" t="str">
        <f t="shared" si="200"/>
        <v>n</v>
      </c>
      <c r="AQ107" t="str">
        <f>IF(AM107&lt;&gt;"",AM107,IF($AC107=#REF!,#REF!,""))</f>
        <v>Away</v>
      </c>
      <c r="AR107" t="str">
        <f t="shared" si="201"/>
        <v>a</v>
      </c>
      <c r="AS107" t="str">
        <f t="shared" si="202"/>
        <v>Offensive</v>
      </c>
      <c r="AT107" t="str">
        <f t="shared" si="153"/>
        <v/>
      </c>
      <c r="AU107" t="str">
        <f t="shared" si="154"/>
        <v/>
      </c>
      <c r="AV107" t="str" cm="1">
        <f t="array" ref="AV107">IFERROR(IF(O107&lt;&gt;"",O107,IF(OR($S107="",$T107=""),"",IF(O107&lt;&gt;"",O107,IF($T107&lt;&gt;"",_xlfn._xlws.FILTER(O:O,($BT:$BT=$BT107)*($I:$I=$I107)*($T:$T=$T107)*($S:$S=_xlfn.MINIFS($S:$S,$T:$T,"="&amp;$T107)),"")))))&amp;"",IF(O107="","",""))&amp;""</f>
        <v>PuckRecoveryRetreivalTurnover</v>
      </c>
      <c r="AW107" t="str" cm="1">
        <f t="array" ref="AW107">IFERROR(IF(P107&lt;&gt;"",P107,IF(OR($S107="",$T107=""),"",IF($T107&lt;&gt;"",_xlfn._xlws.FILTER(P:P,($BT:$BT=$BT107)*($I:$I=$I107)*($T:$T=$T107)*($S:$S=_xlfn.MINIFS($S:$S,$T:$T,"="&amp;$T107)),""))))&amp;"",IF(P107="","",""))&amp;""</f>
        <v>Delay</v>
      </c>
      <c r="AX107" t="str" cm="1">
        <f t="array" ref="AX107">IFERROR(IF(Q107&lt;&gt;"",Q107,IF(OR($S107="",$T107=""),"",IF($T107&lt;&gt;"",_xlfn._xlws.FILTER(Q:Q,($BT:$BT=$BT107)*($I:$I=$I107)*($T:$T=$T107)*($S:$S=_xlfn.MINIFS($S:$S,$T:$T,"="&amp;$T107)),""))))&amp;"",IF(Q107="","",""))&amp;""</f>
        <v>s</v>
      </c>
      <c r="AY107" t="str" cm="1">
        <f t="array" ref="AY107">IFERROR(IF(R107&lt;&gt;"",R107,IF(OR($S107="",$T107=""),"",IF($T107&lt;&gt;"",_xlfn._xlws.FILTER(R:R,($BT:$BT=$BT107)*($I:$I=$I107)*($T:$T=$T107)*($S:$S=_xlfn.MINIFS($S:$S,$T:$T,"="&amp;$T107)),""))))&amp;"",IF(R107="","",""))&amp;""</f>
        <v/>
      </c>
      <c r="AZ107" s="6">
        <f t="shared" si="155"/>
        <v>13</v>
      </c>
      <c r="BA107">
        <f t="shared" ref="BA107:BC107" si="220">BA106</f>
        <v>18991</v>
      </c>
      <c r="BB107" t="str">
        <f t="shared" si="220"/>
        <v>Triple J</v>
      </c>
      <c r="BC107" t="str">
        <f t="shared" si="220"/>
        <v>Velodrome</v>
      </c>
      <c r="BD107" t="str">
        <f t="shared" si="157"/>
        <v>Possession</v>
      </c>
      <c r="BE107" t="str">
        <f t="shared" si="158"/>
        <v>PuckRecovery</v>
      </c>
      <c r="BF107" t="str">
        <f t="shared" si="159"/>
        <v/>
      </c>
      <c r="BG107" t="str">
        <f t="shared" si="22"/>
        <v>s</v>
      </c>
      <c r="BH107" cm="1">
        <f t="array" ref="BH107">IFERROR(_xlfn._xlws.FILTER(shifts!A:A,(shifts!B:B=events!Z107)*(shifts!AG:AG&gt;=events!BJ107)*(shifts!AH:AH&lt;=events!BK107)),BH106)</f>
        <v>3</v>
      </c>
      <c r="BI107" s="15">
        <f t="shared" si="160"/>
        <v>2</v>
      </c>
      <c r="BJ107">
        <f t="shared" si="161"/>
        <v>995</v>
      </c>
      <c r="BK107">
        <f t="shared" si="162"/>
        <v>993</v>
      </c>
      <c r="BL107" s="15">
        <f>SUMIFS(BI$2:BI107,K$2:K107,"=Intermission")+SUMIFS(BI$2:BI107,K$2:K107,"=Timeout")</f>
        <v>0</v>
      </c>
      <c r="BM107">
        <f t="shared" si="163"/>
        <v>0</v>
      </c>
      <c r="BN107" s="19">
        <f t="shared" si="164"/>
        <v>85</v>
      </c>
      <c r="BO107">
        <f t="shared" si="165"/>
        <v>80</v>
      </c>
      <c r="BP107" s="17">
        <f t="shared" si="166"/>
        <v>87</v>
      </c>
      <c r="BQ107" t="str">
        <f t="shared" si="167"/>
        <v>event_team_player_1</v>
      </c>
      <c r="BR107">
        <f>COUNTIFS(S$3:S107,"="&amp;S107,AH$3:AH107,"="&amp;AH107)</f>
        <v>1</v>
      </c>
      <c r="BS107" t="str">
        <f>IFERROR(VLOOKUP(BA107&amp;BT107&amp;X107,game_rosters!U:W,3,FALSE),"")</f>
        <v>P100002</v>
      </c>
      <c r="BT107" t="str">
        <f t="shared" si="168"/>
        <v>Velodrome</v>
      </c>
    </row>
    <row r="108" spans="1:72" x14ac:dyDescent="0.2">
      <c r="A108">
        <f t="shared" si="143"/>
        <v>1</v>
      </c>
      <c r="E108" s="4"/>
      <c r="F108" s="45"/>
      <c r="G108" s="4"/>
      <c r="H108" s="47"/>
      <c r="I108" s="26">
        <v>91</v>
      </c>
      <c r="J108" s="26" t="s">
        <v>734</v>
      </c>
      <c r="K108" t="s">
        <v>7</v>
      </c>
      <c r="L108" t="s">
        <v>172</v>
      </c>
      <c r="M108" t="s">
        <v>68</v>
      </c>
      <c r="N108" t="str">
        <f t="shared" si="187"/>
        <v>s</v>
      </c>
      <c r="Q108" t="str">
        <f t="shared" si="181"/>
        <v/>
      </c>
      <c r="S108">
        <f>IF(A108=1,MAX($S$2:$S107)+1,IF(OR($I108&lt;&gt;"",A108="x"),$S107,""))</f>
        <v>57</v>
      </c>
      <c r="T108" t="str">
        <f>IF(D108=1,MAX($T$2:$T107)+1,IF(S108=S107,$T107,IF(D108="x",T107,IF(D107="x","",""))))</f>
        <v/>
      </c>
      <c r="U108" t="str">
        <f>IF(B108=1,MAX($U$2:$U107)+1,IF(AND($T108&lt;&gt;"",$T108=$T107),$U107,IF(B108="x",U107,"")))</f>
        <v/>
      </c>
      <c r="V108" t="str">
        <f>IF(C108=1,MAX($V$2:$V107)+1,IF(AND($T108&lt;&gt;"",$T108=$T107),$U107,IF(C108="x",V107,"")))</f>
        <v/>
      </c>
      <c r="W108" t="str" cm="1">
        <f t="array" ref="W108">IFERROR(_xlfn._xlws.FILTER(game_rosters!AC:AC,(game_rosters!J:J=events!X108)*(K108&lt;&gt;"")),"")</f>
        <v>a</v>
      </c>
      <c r="X108" cm="1">
        <f t="array" ref="X108">IF($I108&lt;&gt;"",$I108,INDEX($I$1:$I108,ROW()-COUNTIFS($T$1:$T108,"="&amp;$T108,$S$1:$S108,"&lt;"&amp;$S108)))</f>
        <v>91</v>
      </c>
      <c r="Y108" cm="1">
        <f t="array" ref="Y108">IFERROR(IF(_xlfn._xlws.FILTER(game_rosters!$J:$J,(game_rosters!$G:$G=events!$AM108)*(game_rosters!$J:$J=events!$X108))&gt;0,1,""),"")</f>
        <v>1</v>
      </c>
      <c r="Z108" s="6">
        <f t="shared" si="144"/>
        <v>1</v>
      </c>
      <c r="AA108">
        <f t="shared" si="145"/>
        <v>1057</v>
      </c>
      <c r="AB108" t="str">
        <f t="shared" si="146"/>
        <v/>
      </c>
      <c r="AC108">
        <f t="shared" si="147"/>
        <v>1057</v>
      </c>
      <c r="AD108" t="str">
        <f t="shared" si="148"/>
        <v>16</v>
      </c>
      <c r="AE108" t="str">
        <f t="shared" si="149"/>
        <v>33</v>
      </c>
      <c r="AF108" t="str">
        <f t="shared" si="150"/>
        <v/>
      </c>
      <c r="AG108" t="str">
        <f t="shared" si="151"/>
        <v/>
      </c>
      <c r="AH108" t="str">
        <f t="shared" si="194"/>
        <v>e</v>
      </c>
      <c r="AI108" t="str">
        <f t="shared" si="219"/>
        <v>n</v>
      </c>
      <c r="AJ108" t="str">
        <f t="shared" si="219"/>
        <v>n</v>
      </c>
      <c r="AK108" t="str">
        <f t="shared" si="196"/>
        <v>n</v>
      </c>
      <c r="AL108" t="str">
        <f t="shared" si="197"/>
        <v>n</v>
      </c>
      <c r="AM108" t="str">
        <f t="shared" si="152"/>
        <v>Away</v>
      </c>
      <c r="AN108" t="str">
        <f t="shared" si="198"/>
        <v>a</v>
      </c>
      <c r="AO108" t="str">
        <f t="shared" si="199"/>
        <v>n</v>
      </c>
      <c r="AP108" t="str">
        <f t="shared" si="200"/>
        <v>n</v>
      </c>
      <c r="AQ108" t="str">
        <f>IF(AM108&lt;&gt;"",AM108,IF($AC108=#REF!,#REF!,""))</f>
        <v>Away</v>
      </c>
      <c r="AR108" t="str">
        <f t="shared" si="201"/>
        <v>a</v>
      </c>
      <c r="AS108" t="str">
        <f t="shared" si="202"/>
        <v>Offensive</v>
      </c>
      <c r="AT108" t="str">
        <f t="shared" si="153"/>
        <v/>
      </c>
      <c r="AU108" t="str">
        <f t="shared" si="154"/>
        <v/>
      </c>
      <c r="AV108" t="str" cm="1">
        <f t="array" ref="AV108">IFERROR(IF(O108&lt;&gt;"",O108,IF(OR($S108="",$T108=""),"",IF(O108&lt;&gt;"",O108,IF($T108&lt;&gt;"",_xlfn._xlws.FILTER(O:O,($BT:$BT=$BT108)*($I:$I=$I108)*($T:$T=$T108)*($S:$S=_xlfn.MINIFS($S:$S,$T:$T,"="&amp;$T108)),"")))))&amp;"",IF(O108="","",""))&amp;""</f>
        <v/>
      </c>
      <c r="AW108" t="str" cm="1">
        <f t="array" ref="AW108">IFERROR(IF(P108&lt;&gt;"",P108,IF(OR($S108="",$T108=""),"",IF($T108&lt;&gt;"",_xlfn._xlws.FILTER(P:P,($BT:$BT=$BT108)*($I:$I=$I108)*($T:$T=$T108)*($S:$S=_xlfn.MINIFS($S:$S,$T:$T,"="&amp;$T108)),""))))&amp;"",IF(P108="","",""))&amp;""</f>
        <v/>
      </c>
      <c r="AX108" t="str" cm="1">
        <f t="array" ref="AX108">IFERROR(IF(Q108&lt;&gt;"",Q108,IF(OR($S108="",$T108=""),"",IF($T108&lt;&gt;"",_xlfn._xlws.FILTER(Q:Q,($BT:$BT=$BT108)*($I:$I=$I108)*($T:$T=$T108)*($S:$S=_xlfn.MINIFS($S:$S,$T:$T,"="&amp;$T108)),""))))&amp;"",IF(Q108="","",""))&amp;""</f>
        <v/>
      </c>
      <c r="AY108" t="str" cm="1">
        <f t="array" ref="AY108">IFERROR(IF(R108&lt;&gt;"",R108,IF(OR($S108="",$T108=""),"",IF($T108&lt;&gt;"",_xlfn._xlws.FILTER(R:R,($BT:$BT=$BT108)*($I:$I=$I108)*($T:$T=$T108)*($S:$S=_xlfn.MINIFS($S:$S,$T:$T,"="&amp;$T108)),""))))&amp;"",IF(R108="","",""))&amp;""</f>
        <v/>
      </c>
      <c r="AZ108" s="6">
        <f t="shared" si="155"/>
        <v>13</v>
      </c>
      <c r="BA108">
        <f t="shared" ref="BA108:BC108" si="221">BA107</f>
        <v>18991</v>
      </c>
      <c r="BB108" t="str">
        <f t="shared" si="221"/>
        <v>Triple J</v>
      </c>
      <c r="BC108" t="str">
        <f t="shared" si="221"/>
        <v>Velodrome</v>
      </c>
      <c r="BD108" t="str">
        <f t="shared" si="157"/>
        <v>Pass</v>
      </c>
      <c r="BE108" t="str">
        <f t="shared" si="158"/>
        <v>Pass_Completed</v>
      </c>
      <c r="BF108" t="str">
        <f t="shared" si="159"/>
        <v>Pass-Forehand</v>
      </c>
      <c r="BG108" t="str">
        <f t="shared" si="22"/>
        <v>s</v>
      </c>
      <c r="BH108" cm="1">
        <f t="array" ref="BH108">IFERROR(_xlfn._xlws.FILTER(shifts!A:A,(shifts!B:B=events!Z108)*(shifts!AG:AG&gt;=events!BJ108)*(shifts!AH:AH&lt;=events!BK108)),BH107)</f>
        <v>4</v>
      </c>
      <c r="BI108" s="15">
        <f t="shared" si="160"/>
        <v>0</v>
      </c>
      <c r="BJ108">
        <f t="shared" si="161"/>
        <v>993</v>
      </c>
      <c r="BK108">
        <f t="shared" si="162"/>
        <v>993</v>
      </c>
      <c r="BL108" s="15">
        <f>SUMIFS(BI$2:BI108,K$2:K108,"=Intermission")+SUMIFS(BI$2:BI108,K$2:K108,"=Timeout")</f>
        <v>0</v>
      </c>
      <c r="BM108">
        <f t="shared" si="163"/>
        <v>0</v>
      </c>
      <c r="BN108" s="19">
        <f t="shared" si="164"/>
        <v>87</v>
      </c>
      <c r="BO108">
        <f t="shared" si="165"/>
        <v>82</v>
      </c>
      <c r="BP108" s="17">
        <f t="shared" si="166"/>
        <v>87</v>
      </c>
      <c r="BQ108" t="str">
        <f t="shared" si="167"/>
        <v>event_team_player_1</v>
      </c>
      <c r="BR108">
        <f>COUNTIFS(S$3:S108,"="&amp;S108,AH$3:AH108,"="&amp;AH108)</f>
        <v>1</v>
      </c>
      <c r="BS108" t="str">
        <f>IFERROR(VLOOKUP(BA108&amp;BT108&amp;X108,game_rosters!U:W,3,FALSE),"")</f>
        <v>P100002</v>
      </c>
      <c r="BT108" t="str">
        <f t="shared" si="168"/>
        <v>Velodrome</v>
      </c>
    </row>
    <row r="109" spans="1:72" x14ac:dyDescent="0.2">
      <c r="A109" t="str">
        <f t="shared" si="143"/>
        <v/>
      </c>
      <c r="E109" s="4"/>
      <c r="F109" s="45"/>
      <c r="G109" s="4"/>
      <c r="H109" s="47"/>
      <c r="I109" s="26">
        <v>93</v>
      </c>
      <c r="J109" s="26" t="str">
        <f t="shared" si="170"/>
        <v/>
      </c>
      <c r="N109" t="str">
        <f t="shared" si="187"/>
        <v/>
      </c>
      <c r="Q109" t="str">
        <f t="shared" si="181"/>
        <v/>
      </c>
      <c r="S109">
        <f>IF(A109=1,MAX($S$2:$S108)+1,IF(OR($I109&lt;&gt;"",A109="x"),$S108,""))</f>
        <v>57</v>
      </c>
      <c r="T109" t="str">
        <f>IF(D109=1,MAX($T$2:$T108)+1,IF(S109=S108,$T108,IF(D109="x",T108,IF(D108="x","",""))))</f>
        <v/>
      </c>
      <c r="U109" t="str">
        <f>IF(B109=1,MAX($U$2:$U108)+1,IF(AND($T109&lt;&gt;"",$T109=$T108),$U108,IF(B109="x",U108,"")))</f>
        <v/>
      </c>
      <c r="V109" t="str">
        <f>IF(C109=1,MAX($V$2:$V108)+1,IF(AND($T109&lt;&gt;"",$T109=$T108),$U108,IF(C109="x",V108,"")))</f>
        <v/>
      </c>
      <c r="W109" t="str" cm="1">
        <f t="array" ref="W109">IFERROR(_xlfn._xlws.FILTER(game_rosters!AC:AC,(game_rosters!J:J=events!X109)*(K109&lt;&gt;"")),"")</f>
        <v/>
      </c>
      <c r="X109" cm="1">
        <f t="array" ref="X109">IF($I109&lt;&gt;"",$I109,INDEX($I$1:$I109,ROW()-COUNTIFS($T$1:$T109,"="&amp;$T109,$S$1:$S109,"&lt;"&amp;$S109)))</f>
        <v>93</v>
      </c>
      <c r="Y109" cm="1">
        <f t="array" ref="Y109">IFERROR(IF(_xlfn._xlws.FILTER(game_rosters!$J:$J,(game_rosters!$G:$G=events!$AM109)*(game_rosters!$J:$J=events!$X109))&gt;0,1,""),"")</f>
        <v>1</v>
      </c>
      <c r="Z109" s="6">
        <f t="shared" si="144"/>
        <v>1</v>
      </c>
      <c r="AA109">
        <f t="shared" si="145"/>
        <v>1057</v>
      </c>
      <c r="AB109" t="str">
        <f t="shared" si="146"/>
        <v/>
      </c>
      <c r="AC109">
        <f t="shared" si="147"/>
        <v>1057</v>
      </c>
      <c r="AD109" t="str">
        <f t="shared" si="148"/>
        <v>16</v>
      </c>
      <c r="AE109" t="str">
        <f t="shared" si="149"/>
        <v>33</v>
      </c>
      <c r="AF109" t="str">
        <f t="shared" si="150"/>
        <v/>
      </c>
      <c r="AG109" t="str">
        <f t="shared" si="151"/>
        <v/>
      </c>
      <c r="AH109" t="str">
        <f t="shared" si="194"/>
        <v>e</v>
      </c>
      <c r="AI109" t="str">
        <f t="shared" si="219"/>
        <v>n</v>
      </c>
      <c r="AJ109" t="str">
        <f t="shared" si="219"/>
        <v>n</v>
      </c>
      <c r="AK109" t="str">
        <f t="shared" si="196"/>
        <v/>
      </c>
      <c r="AL109" t="str">
        <f t="shared" si="197"/>
        <v/>
      </c>
      <c r="AM109" t="str">
        <f t="shared" si="152"/>
        <v>Away</v>
      </c>
      <c r="AN109" t="str">
        <f t="shared" si="198"/>
        <v>a</v>
      </c>
      <c r="AO109" t="str">
        <f t="shared" si="199"/>
        <v>n</v>
      </c>
      <c r="AP109" t="str">
        <f t="shared" si="200"/>
        <v>n</v>
      </c>
      <c r="AQ109" t="str">
        <f>IF(AM109&lt;&gt;"",AM109,IF($AC109=#REF!,#REF!,""))</f>
        <v>Away</v>
      </c>
      <c r="AR109" t="str">
        <f t="shared" si="201"/>
        <v>a</v>
      </c>
      <c r="AS109" t="str">
        <f t="shared" si="202"/>
        <v>Offensive</v>
      </c>
      <c r="AT109" t="str">
        <f t="shared" si="153"/>
        <v/>
      </c>
      <c r="AU109" t="str">
        <f t="shared" si="154"/>
        <v/>
      </c>
      <c r="AV109" t="str" cm="1">
        <f t="array" ref="AV109">IFERROR(IF(O109&lt;&gt;"",O109,IF(OR($S109="",$T109=""),"",IF(O109&lt;&gt;"",O109,IF($T109&lt;&gt;"",_xlfn._xlws.FILTER(O:O,($BT:$BT=$BT109)*($I:$I=$I109)*($T:$T=$T109)*($S:$S=_xlfn.MINIFS($S:$S,$T:$T,"="&amp;$T109)),"")))))&amp;"",IF(O109="","",""))&amp;""</f>
        <v/>
      </c>
      <c r="AW109" t="str" cm="1">
        <f t="array" ref="AW109">IFERROR(IF(P109&lt;&gt;"",P109,IF(OR($S109="",$T109=""),"",IF($T109&lt;&gt;"",_xlfn._xlws.FILTER(P:P,($BT:$BT=$BT109)*($I:$I=$I109)*($T:$T=$T109)*($S:$S=_xlfn.MINIFS($S:$S,$T:$T,"="&amp;$T109)),""))))&amp;"",IF(P109="","",""))&amp;""</f>
        <v/>
      </c>
      <c r="AX109" t="str" cm="1">
        <f t="array" ref="AX109">IFERROR(IF(Q109&lt;&gt;"",Q109,IF(OR($S109="",$T109=""),"",IF($T109&lt;&gt;"",_xlfn._xlws.FILTER(Q:Q,($BT:$BT=$BT109)*($I:$I=$I109)*($T:$T=$T109)*($S:$S=_xlfn.MINIFS($S:$S,$T:$T,"="&amp;$T109)),""))))&amp;"",IF(Q109="","",""))&amp;""</f>
        <v/>
      </c>
      <c r="AY109" t="str" cm="1">
        <f t="array" ref="AY109">IFERROR(IF(R109&lt;&gt;"",R109,IF(OR($S109="",$T109=""),"",IF($T109&lt;&gt;"",_xlfn._xlws.FILTER(R:R,($BT:$BT=$BT109)*($I:$I=$I109)*($T:$T=$T109)*($S:$S=_xlfn.MINIFS($S:$S,$T:$T,"="&amp;$T109)),""))))&amp;"",IF(R109="","",""))&amp;""</f>
        <v/>
      </c>
      <c r="AZ109" s="6">
        <f t="shared" si="155"/>
        <v>13</v>
      </c>
      <c r="BA109">
        <f t="shared" ref="BA109:BC109" si="222">BA108</f>
        <v>18991</v>
      </c>
      <c r="BB109" t="str">
        <f t="shared" si="222"/>
        <v>Triple J</v>
      </c>
      <c r="BC109" t="str">
        <f t="shared" si="222"/>
        <v>Velodrome</v>
      </c>
      <c r="BD109" t="str">
        <f t="shared" si="157"/>
        <v>Pass</v>
      </c>
      <c r="BE109" t="str">
        <f t="shared" si="158"/>
        <v>Pass_Completed</v>
      </c>
      <c r="BF109" t="str">
        <f t="shared" si="159"/>
        <v>Pass-Forehand</v>
      </c>
      <c r="BG109" t="str">
        <f t="shared" si="22"/>
        <v>s</v>
      </c>
      <c r="BH109" cm="1">
        <f t="array" ref="BH109">IFERROR(_xlfn._xlws.FILTER(shifts!A:A,(shifts!B:B=events!Z109)*(shifts!AG:AG&gt;=events!BJ109)*(shifts!AH:AH&lt;=events!BK109)),BH108)</f>
        <v>4</v>
      </c>
      <c r="BI109" s="15">
        <f t="shared" si="160"/>
        <v>0</v>
      </c>
      <c r="BJ109">
        <f t="shared" si="161"/>
        <v>993</v>
      </c>
      <c r="BK109">
        <f t="shared" si="162"/>
        <v>993</v>
      </c>
      <c r="BL109" s="15">
        <f>SUMIFS(BI$2:BI109,K$2:K109,"=Intermission")+SUMIFS(BI$2:BI109,K$2:K109,"=Timeout")</f>
        <v>0</v>
      </c>
      <c r="BM109">
        <f t="shared" si="163"/>
        <v>0</v>
      </c>
      <c r="BN109" s="19">
        <f t="shared" si="164"/>
        <v>87</v>
      </c>
      <c r="BO109">
        <f t="shared" si="165"/>
        <v>82</v>
      </c>
      <c r="BP109" s="17">
        <f t="shared" si="166"/>
        <v>87</v>
      </c>
      <c r="BQ109" t="str">
        <f t="shared" si="167"/>
        <v>event_team_player_2</v>
      </c>
      <c r="BR109">
        <f>COUNTIFS(S$3:S109,"="&amp;S109,AH$3:AH109,"="&amp;AH109)</f>
        <v>2</v>
      </c>
      <c r="BS109" t="str">
        <f>IFERROR(VLOOKUP(BA109&amp;BT109&amp;X109,game_rosters!U:W,3,FALSE),"")</f>
        <v>P100093</v>
      </c>
      <c r="BT109" t="str">
        <f t="shared" si="168"/>
        <v>Velodrome</v>
      </c>
    </row>
    <row r="110" spans="1:72" x14ac:dyDescent="0.2">
      <c r="A110">
        <f t="shared" si="143"/>
        <v>1</v>
      </c>
      <c r="D110" s="26">
        <v>1</v>
      </c>
      <c r="E110" s="4"/>
      <c r="F110" s="45"/>
      <c r="G110" s="4"/>
      <c r="H110" s="47"/>
      <c r="I110" s="26">
        <v>93</v>
      </c>
      <c r="J110" s="26" t="s">
        <v>734</v>
      </c>
      <c r="K110" t="s">
        <v>7</v>
      </c>
      <c r="L110" t="s">
        <v>182</v>
      </c>
      <c r="M110" t="s">
        <v>68</v>
      </c>
      <c r="N110" t="str">
        <f t="shared" si="187"/>
        <v>u</v>
      </c>
      <c r="O110" t="s">
        <v>576</v>
      </c>
      <c r="Q110" t="str">
        <f t="shared" si="181"/>
        <v>u</v>
      </c>
      <c r="S110">
        <f>IF(A110=1,MAX($S$2:$S109)+1,IF(OR($I110&lt;&gt;"",A110="x"),$S109,""))</f>
        <v>58</v>
      </c>
      <c r="T110">
        <f>IF(D110=1,MAX($T$2:$T109)+1,IF(S110=S109,$T109,IF(D110="x",T109,IF(D109="x","",""))))</f>
        <v>9</v>
      </c>
      <c r="U110" t="str">
        <f>IF(B110=1,MAX($U$2:$U109)+1,IF(AND($T110&lt;&gt;"",$T110=$T109),$U109,IF(B110="x",U109,"")))</f>
        <v/>
      </c>
      <c r="V110" t="str">
        <f>IF(C110=1,MAX($V$2:$V109)+1,IF(AND($T110&lt;&gt;"",$T110=$T109),$U109,IF(C110="x",V109,"")))</f>
        <v/>
      </c>
      <c r="W110" t="str" cm="1">
        <f t="array" ref="W110">IFERROR(_xlfn._xlws.FILTER(game_rosters!AC:AC,(game_rosters!J:J=events!X110)*(K110&lt;&gt;"")),"")</f>
        <v>a</v>
      </c>
      <c r="X110" cm="1">
        <f t="array" ref="X110">IF($I110&lt;&gt;"",$I110,INDEX($I$1:$I110,ROW()-COUNTIFS($T$1:$T110,"="&amp;$T110,$S$1:$S110,"&lt;"&amp;$S110)))</f>
        <v>93</v>
      </c>
      <c r="Y110" cm="1">
        <f t="array" ref="Y110">IFERROR(IF(_xlfn._xlws.FILTER(game_rosters!$J:$J,(game_rosters!$G:$G=events!$AM110)*(game_rosters!$J:$J=events!$X110))&gt;0,1,""),"")</f>
        <v>1</v>
      </c>
      <c r="Z110" s="6">
        <f t="shared" si="144"/>
        <v>1</v>
      </c>
      <c r="AA110">
        <f t="shared" si="145"/>
        <v>1058</v>
      </c>
      <c r="AB110">
        <f t="shared" si="146"/>
        <v>9009</v>
      </c>
      <c r="AC110">
        <f t="shared" si="147"/>
        <v>9009</v>
      </c>
      <c r="AD110" t="str">
        <f t="shared" si="148"/>
        <v>16</v>
      </c>
      <c r="AE110" t="str">
        <f t="shared" si="149"/>
        <v>33</v>
      </c>
      <c r="AF110" t="str">
        <f t="shared" si="150"/>
        <v/>
      </c>
      <c r="AG110" t="str">
        <f t="shared" si="151"/>
        <v/>
      </c>
      <c r="AH110" t="str">
        <f t="shared" si="194"/>
        <v>e</v>
      </c>
      <c r="AI110" t="str">
        <f t="shared" si="219"/>
        <v>n</v>
      </c>
      <c r="AJ110" t="str">
        <f t="shared" si="219"/>
        <v>n</v>
      </c>
      <c r="AK110" t="str">
        <f t="shared" si="196"/>
        <v>n</v>
      </c>
      <c r="AL110" t="str">
        <f t="shared" si="197"/>
        <v>n</v>
      </c>
      <c r="AM110" t="str">
        <f t="shared" si="152"/>
        <v>Away</v>
      </c>
      <c r="AN110" t="str">
        <f t="shared" si="198"/>
        <v>a</v>
      </c>
      <c r="AO110" t="str">
        <f t="shared" si="199"/>
        <v>n</v>
      </c>
      <c r="AP110" t="str">
        <f t="shared" si="200"/>
        <v>n</v>
      </c>
      <c r="AQ110" t="str">
        <f>IF(AM110&lt;&gt;"",AM110,IF($AC110=#REF!,#REF!,""))</f>
        <v>Away</v>
      </c>
      <c r="AR110" t="str">
        <f t="shared" si="201"/>
        <v>a</v>
      </c>
      <c r="AS110" t="str">
        <f t="shared" si="202"/>
        <v>Offensive</v>
      </c>
      <c r="AT110" t="str">
        <f t="shared" si="153"/>
        <v/>
      </c>
      <c r="AU110" t="str">
        <f t="shared" si="154"/>
        <v/>
      </c>
      <c r="AV110" t="str" cm="1">
        <f t="array" ref="AV110">IFERROR(IF(O110&lt;&gt;"",O110,IF(OR($S110="",$T110=""),"",IF(O110&lt;&gt;"",O110,IF($T110&lt;&gt;"",_xlfn._xlws.FILTER(O:O,($BT:$BT=$BT110)*($I:$I=$I110)*($T:$T=$T110)*($S:$S=_xlfn.MINIFS($S:$S,$T:$T,"="&amp;$T110)),"")))))&amp;"",IF(O110="","",""))&amp;""</f>
        <v>SecondTouch</v>
      </c>
      <c r="AW110" t="str" cm="1">
        <f t="array" ref="AW110">IFERROR(IF(P110&lt;&gt;"",P110,IF(OR($S110="",$T110=""),"",IF($T110&lt;&gt;"",_xlfn._xlws.FILTER(P:P,($BT:$BT=$BT110)*($I:$I=$I110)*($T:$T=$T110)*($S:$S=_xlfn.MINIFS($S:$S,$T:$T,"="&amp;$T110)),""))))&amp;"",IF(P110="","",""))&amp;""</f>
        <v/>
      </c>
      <c r="AX110" t="str" cm="1">
        <f t="array" ref="AX110">IFERROR(IF(Q110&lt;&gt;"",Q110,IF(OR($S110="",$T110=""),"",IF($T110&lt;&gt;"",_xlfn._xlws.FILTER(Q:Q,($BT:$BT=$BT110)*($I:$I=$I110)*($T:$T=$T110)*($S:$S=_xlfn.MINIFS($S:$S,$T:$T,"="&amp;$T110)),""))))&amp;"",IF(Q110="","",""))&amp;""</f>
        <v>u</v>
      </c>
      <c r="AY110" t="str" cm="1">
        <f t="array" ref="AY110">IFERROR(IF(R110&lt;&gt;"",R110,IF(OR($S110="",$T110=""),"",IF($T110&lt;&gt;"",_xlfn._xlws.FILTER(R:R,($BT:$BT=$BT110)*($I:$I=$I110)*($T:$T=$T110)*($S:$S=_xlfn.MINIFS($S:$S,$T:$T,"="&amp;$T110)),""))))&amp;"",IF(R110="","",""))&amp;""</f>
        <v/>
      </c>
      <c r="AZ110" s="6">
        <f t="shared" si="155"/>
        <v>13</v>
      </c>
      <c r="BA110">
        <f t="shared" ref="BA110:BC110" si="223">BA109</f>
        <v>18991</v>
      </c>
      <c r="BB110" t="str">
        <f t="shared" si="223"/>
        <v>Triple J</v>
      </c>
      <c r="BC110" t="str">
        <f t="shared" si="223"/>
        <v>Velodrome</v>
      </c>
      <c r="BD110" t="str">
        <f t="shared" si="157"/>
        <v>Pass</v>
      </c>
      <c r="BE110" t="str">
        <f t="shared" si="158"/>
        <v>Pass_Missed</v>
      </c>
      <c r="BF110" t="str">
        <f t="shared" si="159"/>
        <v>Pass-Forehand</v>
      </c>
      <c r="BG110" t="str">
        <f t="shared" si="22"/>
        <v>u</v>
      </c>
      <c r="BH110" cm="1">
        <f t="array" ref="BH110">IFERROR(_xlfn._xlws.FILTER(shifts!A:A,(shifts!B:B=events!Z110)*(shifts!AG:AG&gt;=events!BJ110)*(shifts!AH:AH&lt;=events!BK110)),BH109)</f>
        <v>4</v>
      </c>
      <c r="BI110" s="15">
        <f t="shared" si="160"/>
        <v>0</v>
      </c>
      <c r="BJ110">
        <f t="shared" si="161"/>
        <v>993</v>
      </c>
      <c r="BK110">
        <f t="shared" si="162"/>
        <v>993</v>
      </c>
      <c r="BL110" s="15">
        <f>SUMIFS(BI$2:BI110,K$2:K110,"=Intermission")+SUMIFS(BI$2:BI110,K$2:K110,"=Timeout")</f>
        <v>0</v>
      </c>
      <c r="BM110">
        <f t="shared" si="163"/>
        <v>0</v>
      </c>
      <c r="BN110" s="19">
        <f t="shared" si="164"/>
        <v>87</v>
      </c>
      <c r="BO110">
        <f t="shared" si="165"/>
        <v>82</v>
      </c>
      <c r="BP110" s="17">
        <f t="shared" si="166"/>
        <v>87</v>
      </c>
      <c r="BQ110" t="str">
        <f t="shared" si="167"/>
        <v>event_team_player_1</v>
      </c>
      <c r="BR110">
        <f>COUNTIFS(S$3:S110,"="&amp;S110,AH$3:AH110,"="&amp;AH110)</f>
        <v>1</v>
      </c>
      <c r="BS110" t="str">
        <f>IFERROR(VLOOKUP(BA110&amp;BT110&amp;X110,game_rosters!U:W,3,FALSE),"")</f>
        <v>P100093</v>
      </c>
      <c r="BT110" t="str">
        <f t="shared" si="168"/>
        <v>Velodrome</v>
      </c>
    </row>
    <row r="111" spans="1:72" x14ac:dyDescent="0.2">
      <c r="A111" t="str">
        <f t="shared" si="143"/>
        <v>x</v>
      </c>
      <c r="D111" s="26" t="s">
        <v>729</v>
      </c>
      <c r="E111" s="4"/>
      <c r="F111" s="45"/>
      <c r="G111" s="4"/>
      <c r="H111" s="47"/>
      <c r="I111" s="26">
        <v>24</v>
      </c>
      <c r="J111" s="26" t="str">
        <f t="shared" si="170"/>
        <v/>
      </c>
      <c r="N111" t="str">
        <f t="shared" si="187"/>
        <v/>
      </c>
      <c r="Q111" t="str">
        <f t="shared" si="181"/>
        <v/>
      </c>
      <c r="S111">
        <f>IF(A111=1,MAX($S$2:$S110)+1,IF(OR($I111&lt;&gt;"",A111="x"),$S110,""))</f>
        <v>58</v>
      </c>
      <c r="T111">
        <f>IF(D111=1,MAX($T$2:$T110)+1,IF(S111=S110,$T110,IF(D111="x",T110,IF(D110="x","",""))))</f>
        <v>9</v>
      </c>
      <c r="U111" t="str">
        <f>IF(B111=1,MAX($U$2:$U110)+1,IF(AND($T111&lt;&gt;"",$T111=$T110),$U110,IF(B111="x",U110,"")))</f>
        <v/>
      </c>
      <c r="V111" t="str">
        <f>IF(C111=1,MAX($V$2:$V110)+1,IF(AND($T111&lt;&gt;"",$T111=$T110),$U110,IF(C111="x",V110,"")))</f>
        <v/>
      </c>
      <c r="W111" t="str" cm="1">
        <f t="array" ref="W111">IFERROR(_xlfn._xlws.FILTER(game_rosters!AC:AC,(game_rosters!J:J=events!X111)*(K111&lt;&gt;"")),"")</f>
        <v/>
      </c>
      <c r="X111" cm="1">
        <f t="array" ref="X111">IF($I111&lt;&gt;"",$I111,INDEX($I$1:$I111,ROW()-COUNTIFS($T$1:$T111,"="&amp;$T111,$S$1:$S111,"&lt;"&amp;$S111)))</f>
        <v>24</v>
      </c>
      <c r="Y111" cm="1">
        <f t="array" ref="Y111">IFERROR(IF(_xlfn._xlws.FILTER(game_rosters!$J:$J,(game_rosters!$G:$G=events!$AM111)*(game_rosters!$J:$J=events!$X111))&gt;0,1,""),"")</f>
        <v>1</v>
      </c>
      <c r="Z111" s="6">
        <f t="shared" si="144"/>
        <v>1</v>
      </c>
      <c r="AA111">
        <f t="shared" si="145"/>
        <v>1058</v>
      </c>
      <c r="AB111">
        <f t="shared" si="146"/>
        <v>9009</v>
      </c>
      <c r="AC111">
        <f t="shared" si="147"/>
        <v>9009</v>
      </c>
      <c r="AD111" t="str">
        <f t="shared" si="148"/>
        <v>16</v>
      </c>
      <c r="AE111" t="str">
        <f t="shared" si="149"/>
        <v>33</v>
      </c>
      <c r="AF111" t="str">
        <f t="shared" si="150"/>
        <v/>
      </c>
      <c r="AG111" t="str">
        <f t="shared" si="151"/>
        <v/>
      </c>
      <c r="AH111" t="str">
        <f t="shared" si="194"/>
        <v>e</v>
      </c>
      <c r="AI111" t="str">
        <f t="shared" si="219"/>
        <v>n</v>
      </c>
      <c r="AJ111" t="str">
        <f t="shared" si="219"/>
        <v>n</v>
      </c>
      <c r="AK111" t="str">
        <f t="shared" si="196"/>
        <v/>
      </c>
      <c r="AL111" t="str">
        <f t="shared" si="197"/>
        <v/>
      </c>
      <c r="AM111" t="str">
        <f t="shared" si="152"/>
        <v>Away</v>
      </c>
      <c r="AN111" t="str">
        <f t="shared" si="198"/>
        <v>a</v>
      </c>
      <c r="AO111" t="str">
        <f t="shared" si="199"/>
        <v>n</v>
      </c>
      <c r="AP111" t="str">
        <f t="shared" si="200"/>
        <v>n</v>
      </c>
      <c r="AQ111" t="str">
        <f>IF(AM111&lt;&gt;"",AM111,IF($AC111=#REF!,#REF!,""))</f>
        <v>Away</v>
      </c>
      <c r="AR111" t="str">
        <f t="shared" si="201"/>
        <v>a</v>
      </c>
      <c r="AS111" t="str">
        <f t="shared" si="202"/>
        <v>Offensive</v>
      </c>
      <c r="AT111" t="str">
        <f t="shared" si="153"/>
        <v/>
      </c>
      <c r="AU111" t="str">
        <f t="shared" si="154"/>
        <v/>
      </c>
      <c r="AV111" t="str" cm="1">
        <f t="array" ref="AV111">IFERROR(IF(O111&lt;&gt;"",O111,IF(OR($S111="",$T111=""),"",IF(O111&lt;&gt;"",O111,IF($T111&lt;&gt;"",_xlfn._xlws.FILTER(O:O,($BT:$BT=$BT111)*($I:$I=$I111)*($T:$T=$T111)*($S:$S=_xlfn.MINIFS($S:$S,$T:$T,"="&amp;$T111)),"")))))&amp;"",IF(O111="","",""))&amp;""</f>
        <v/>
      </c>
      <c r="AW111" t="str" cm="1">
        <f t="array" ref="AW111">IFERROR(IF(P111&lt;&gt;"",P111,IF(OR($S111="",$T111=""),"",IF($T111&lt;&gt;"",_xlfn._xlws.FILTER(P:P,($BT:$BT=$BT111)*($I:$I=$I111)*($T:$T=$T111)*($S:$S=_xlfn.MINIFS($S:$S,$T:$T,"="&amp;$T111)),""))))&amp;"",IF(P111="","",""))&amp;""</f>
        <v/>
      </c>
      <c r="AX111" t="str" cm="1">
        <f t="array" ref="AX111">IFERROR(IF(Q111&lt;&gt;"",Q111,IF(OR($S111="",$T111=""),"",IF($T111&lt;&gt;"",_xlfn._xlws.FILTER(Q:Q,($BT:$BT=$BT111)*($I:$I=$I111)*($T:$T=$T111)*($S:$S=_xlfn.MINIFS($S:$S,$T:$T,"="&amp;$T111)),""))))&amp;"",IF(Q111="","",""))&amp;""</f>
        <v/>
      </c>
      <c r="AY111" t="str" cm="1">
        <f t="array" ref="AY111">IFERROR(IF(R111&lt;&gt;"",R111,IF(OR($S111="",$T111=""),"",IF($T111&lt;&gt;"",_xlfn._xlws.FILTER(R:R,($BT:$BT=$BT111)*($I:$I=$I111)*($T:$T=$T111)*($S:$S=_xlfn.MINIFS($S:$S,$T:$T,"="&amp;$T111)),""))))&amp;"",IF(R111="","",""))&amp;""</f>
        <v/>
      </c>
      <c r="AZ111" s="6">
        <f t="shared" si="155"/>
        <v>13</v>
      </c>
      <c r="BA111">
        <f t="shared" ref="BA111:BC111" si="224">BA110</f>
        <v>18991</v>
      </c>
      <c r="BB111" t="str">
        <f t="shared" si="224"/>
        <v>Triple J</v>
      </c>
      <c r="BC111" t="str">
        <f t="shared" si="224"/>
        <v>Velodrome</v>
      </c>
      <c r="BD111" t="str">
        <f t="shared" si="157"/>
        <v>Pass</v>
      </c>
      <c r="BE111" t="str">
        <f t="shared" si="158"/>
        <v>Pass_Missed</v>
      </c>
      <c r="BF111" t="str">
        <f t="shared" si="159"/>
        <v>Pass-Forehand</v>
      </c>
      <c r="BG111" t="str">
        <f t="shared" si="22"/>
        <v>u</v>
      </c>
      <c r="BH111" cm="1">
        <f t="array" ref="BH111">IFERROR(_xlfn._xlws.FILTER(shifts!A:A,(shifts!B:B=events!Z111)*(shifts!AG:AG&gt;=events!BJ111)*(shifts!AH:AH&lt;=events!BK111)),BH110)</f>
        <v>4</v>
      </c>
      <c r="BI111" s="15">
        <f t="shared" si="160"/>
        <v>0</v>
      </c>
      <c r="BJ111">
        <f t="shared" si="161"/>
        <v>993</v>
      </c>
      <c r="BK111">
        <f t="shared" si="162"/>
        <v>993</v>
      </c>
      <c r="BL111" s="15">
        <f>SUMIFS(BI$2:BI111,K$2:K111,"=Intermission")+SUMIFS(BI$2:BI111,K$2:K111,"=Timeout")</f>
        <v>0</v>
      </c>
      <c r="BM111">
        <f t="shared" si="163"/>
        <v>0</v>
      </c>
      <c r="BN111" s="19">
        <f t="shared" si="164"/>
        <v>87</v>
      </c>
      <c r="BO111">
        <f t="shared" si="165"/>
        <v>82</v>
      </c>
      <c r="BP111" s="17">
        <f t="shared" si="166"/>
        <v>87</v>
      </c>
      <c r="BQ111" t="str">
        <f t="shared" si="167"/>
        <v>event_team_player_2</v>
      </c>
      <c r="BR111">
        <f>COUNTIFS(S$3:S111,"="&amp;S111,AH$3:AH111,"="&amp;AH111)</f>
        <v>2</v>
      </c>
      <c r="BS111" t="str">
        <f>IFERROR(VLOOKUP(BA111&amp;BT111&amp;X111,game_rosters!U:W,3,FALSE),"")</f>
        <v>P100230</v>
      </c>
      <c r="BT111" t="str">
        <f t="shared" si="168"/>
        <v>Velodrome</v>
      </c>
    </row>
    <row r="112" spans="1:72" x14ac:dyDescent="0.2">
      <c r="A112">
        <f t="shared" si="143"/>
        <v>1</v>
      </c>
      <c r="D112" s="26" t="s">
        <v>729</v>
      </c>
      <c r="E112" s="4"/>
      <c r="F112" s="45"/>
      <c r="G112" s="4"/>
      <c r="H112" s="47"/>
      <c r="I112" s="26">
        <v>93</v>
      </c>
      <c r="J112" s="26" t="s">
        <v>734</v>
      </c>
      <c r="K112" t="s">
        <v>9</v>
      </c>
      <c r="L112" t="s">
        <v>173</v>
      </c>
      <c r="M112" t="s">
        <v>74</v>
      </c>
      <c r="N112" t="str">
        <f t="shared" si="187"/>
        <v>u</v>
      </c>
      <c r="Q112" t="str">
        <f t="shared" si="181"/>
        <v/>
      </c>
      <c r="S112">
        <f>IF(A112=1,MAX($S$2:$S111)+1,IF(OR($I112&lt;&gt;"",A112="x"),$S111,""))</f>
        <v>59</v>
      </c>
      <c r="T112">
        <f>IF(D112=1,MAX($T$2:$T111)+1,IF(S112=S111,$T111,IF(D112="x",T111,IF(D111="x","",""))))</f>
        <v>9</v>
      </c>
      <c r="U112" t="str">
        <f>IF(B112=1,MAX($U$2:$U111)+1,IF(AND($T112&lt;&gt;"",$T112=$T111),$U111,IF(B112="x",U111,"")))</f>
        <v/>
      </c>
      <c r="V112" t="str">
        <f>IF(C112=1,MAX($V$2:$V111)+1,IF(AND($T112&lt;&gt;"",$T112=$T111),$U111,IF(C112="x",V111,"")))</f>
        <v/>
      </c>
      <c r="W112" t="str" cm="1">
        <f t="array" ref="W112">IFERROR(_xlfn._xlws.FILTER(game_rosters!AC:AC,(game_rosters!J:J=events!X112)*(K112&lt;&gt;"")),"")</f>
        <v>a</v>
      </c>
      <c r="X112" cm="1">
        <f t="array" ref="X112">IF($I112&lt;&gt;"",$I112,INDEX($I$1:$I112,ROW()-COUNTIFS($T$1:$T112,"="&amp;$T112,$S$1:$S112,"&lt;"&amp;$S112)))</f>
        <v>93</v>
      </c>
      <c r="Y112" cm="1">
        <f t="array" ref="Y112">IFERROR(IF(_xlfn._xlws.FILTER(game_rosters!$J:$J,(game_rosters!$G:$G=events!$AM112)*(game_rosters!$J:$J=events!$X112))&gt;0,1,""),"")</f>
        <v>1</v>
      </c>
      <c r="Z112" s="6">
        <f t="shared" si="144"/>
        <v>1</v>
      </c>
      <c r="AA112">
        <f t="shared" si="145"/>
        <v>1059</v>
      </c>
      <c r="AB112">
        <f t="shared" si="146"/>
        <v>9009</v>
      </c>
      <c r="AC112">
        <f t="shared" si="147"/>
        <v>9009</v>
      </c>
      <c r="AD112" t="str">
        <f t="shared" si="148"/>
        <v>16</v>
      </c>
      <c r="AE112" t="str">
        <f t="shared" si="149"/>
        <v>33</v>
      </c>
      <c r="AF112" t="str">
        <f t="shared" si="150"/>
        <v/>
      </c>
      <c r="AG112" t="str">
        <f t="shared" si="151"/>
        <v/>
      </c>
      <c r="AH112" t="str">
        <f t="shared" si="194"/>
        <v>e</v>
      </c>
      <c r="AI112" t="str">
        <f t="shared" si="219"/>
        <v>n</v>
      </c>
      <c r="AJ112" t="str">
        <f t="shared" si="219"/>
        <v>n</v>
      </c>
      <c r="AK112" t="str">
        <f t="shared" si="196"/>
        <v>n</v>
      </c>
      <c r="AL112" t="str">
        <f t="shared" si="197"/>
        <v>n</v>
      </c>
      <c r="AM112" t="str">
        <f t="shared" si="152"/>
        <v>Away</v>
      </c>
      <c r="AN112" t="str">
        <f t="shared" si="198"/>
        <v>a</v>
      </c>
      <c r="AO112" t="str">
        <f t="shared" si="199"/>
        <v>n</v>
      </c>
      <c r="AP112" t="str">
        <f t="shared" si="200"/>
        <v>n</v>
      </c>
      <c r="AQ112" t="str">
        <f>IF(AM112&lt;&gt;"",AM112,IF($AC112=#REF!,#REF!,""))</f>
        <v>Away</v>
      </c>
      <c r="AR112" t="str">
        <f t="shared" si="201"/>
        <v>a</v>
      </c>
      <c r="AS112" t="str">
        <f t="shared" si="202"/>
        <v>Offensive</v>
      </c>
      <c r="AT112" t="str">
        <f t="shared" si="153"/>
        <v/>
      </c>
      <c r="AU112" t="str">
        <f t="shared" si="154"/>
        <v/>
      </c>
      <c r="AV112" t="str" cm="1">
        <f t="array" ref="AV112">IFERROR(IF(O112&lt;&gt;"",O112,IF(OR($S112="",$T112=""),"",IF(O112&lt;&gt;"",O112,IF($T112&lt;&gt;"",_xlfn._xlws.FILTER(O:O,($BT:$BT=$BT112)*($I:$I=$I112)*($T:$T=$T112)*($S:$S=_xlfn.MINIFS($S:$S,$T:$T,"="&amp;$T112)),"")))))&amp;"",IF(O112="","",""))&amp;""</f>
        <v>SecondTouch</v>
      </c>
      <c r="AW112" t="str" cm="1">
        <f t="array" ref="AW112">IFERROR(IF(P112&lt;&gt;"",P112,IF(OR($S112="",$T112=""),"",IF($T112&lt;&gt;"",_xlfn._xlws.FILTER(P:P,($BT:$BT=$BT112)*($I:$I=$I112)*($T:$T=$T112)*($S:$S=_xlfn.MINIFS($S:$S,$T:$T,"="&amp;$T112)),""))))&amp;"",IF(P112="","",""))&amp;""</f>
        <v/>
      </c>
      <c r="AX112" t="str" cm="1">
        <f t="array" ref="AX112">IFERROR(IF(Q112&lt;&gt;"",Q112,IF(OR($S112="",$T112=""),"",IF($T112&lt;&gt;"",_xlfn._xlws.FILTER(Q:Q,($BT:$BT=$BT112)*($I:$I=$I112)*($T:$T=$T112)*($S:$S=_xlfn.MINIFS($S:$S,$T:$T,"="&amp;$T112)),""))))&amp;"",IF(Q112="","",""))&amp;""</f>
        <v>u</v>
      </c>
      <c r="AY112" t="str" cm="1">
        <f t="array" ref="AY112">IFERROR(IF(R112&lt;&gt;"",R112,IF(OR($S112="",$T112=""),"",IF($T112&lt;&gt;"",_xlfn._xlws.FILTER(R:R,($BT:$BT=$BT112)*($I:$I=$I112)*($T:$T=$T112)*($S:$S=_xlfn.MINIFS($S:$S,$T:$T,"="&amp;$T112)),""))))&amp;"",IF(R112="","",""))&amp;""</f>
        <v/>
      </c>
      <c r="AZ112" s="6">
        <f t="shared" si="155"/>
        <v>13</v>
      </c>
      <c r="BA112">
        <f t="shared" ref="BA112:BC112" si="225">BA111</f>
        <v>18991</v>
      </c>
      <c r="BB112" t="str">
        <f t="shared" si="225"/>
        <v>Triple J</v>
      </c>
      <c r="BC112" t="str">
        <f t="shared" si="225"/>
        <v>Velodrome</v>
      </c>
      <c r="BD112" t="str">
        <f t="shared" si="157"/>
        <v>Turnover</v>
      </c>
      <c r="BE112" t="str">
        <f t="shared" si="158"/>
        <v>Turnover_Giveaway</v>
      </c>
      <c r="BF112" t="str">
        <f t="shared" si="159"/>
        <v>Giveaway-PassMissed</v>
      </c>
      <c r="BG112" t="str">
        <f t="shared" si="22"/>
        <v>u</v>
      </c>
      <c r="BH112" cm="1">
        <f t="array" ref="BH112">IFERROR(_xlfn._xlws.FILTER(shifts!A:A,(shifts!B:B=events!Z112)*(shifts!AG:AG&gt;=events!BJ112)*(shifts!AH:AH&lt;=events!BK112)),BH111)</f>
        <v>4</v>
      </c>
      <c r="BI112" s="15">
        <f t="shared" si="160"/>
        <v>0</v>
      </c>
      <c r="BJ112">
        <f t="shared" si="161"/>
        <v>993</v>
      </c>
      <c r="BK112">
        <f t="shared" si="162"/>
        <v>993</v>
      </c>
      <c r="BL112" s="15">
        <f>SUMIFS(BI$2:BI112,K$2:K112,"=Intermission")+SUMIFS(BI$2:BI112,K$2:K112,"=Timeout")</f>
        <v>0</v>
      </c>
      <c r="BM112">
        <f t="shared" si="163"/>
        <v>0</v>
      </c>
      <c r="BN112" s="19">
        <f t="shared" si="164"/>
        <v>87</v>
      </c>
      <c r="BO112">
        <f t="shared" si="165"/>
        <v>82</v>
      </c>
      <c r="BP112" s="17">
        <f t="shared" si="166"/>
        <v>87</v>
      </c>
      <c r="BQ112" t="str">
        <f t="shared" si="167"/>
        <v>event_team_player_1</v>
      </c>
      <c r="BR112">
        <f>COUNTIFS(S$3:S112,"="&amp;S112,AH$3:AH112,"="&amp;AH112)</f>
        <v>1</v>
      </c>
      <c r="BS112" t="str">
        <f>IFERROR(VLOOKUP(BA112&amp;BT112&amp;X112,game_rosters!U:W,3,FALSE),"")</f>
        <v>P100093</v>
      </c>
      <c r="BT112" t="str">
        <f t="shared" si="168"/>
        <v>Velodrome</v>
      </c>
    </row>
    <row r="113" spans="1:72" x14ac:dyDescent="0.2">
      <c r="A113" t="str">
        <f t="shared" si="143"/>
        <v>x</v>
      </c>
      <c r="D113" s="26" t="s">
        <v>729</v>
      </c>
      <c r="E113" s="4"/>
      <c r="F113" s="45"/>
      <c r="G113" s="4"/>
      <c r="H113" s="47"/>
      <c r="I113" s="26">
        <v>24</v>
      </c>
      <c r="J113" s="26" t="str">
        <f t="shared" si="170"/>
        <v/>
      </c>
      <c r="N113" t="str">
        <f t="shared" si="187"/>
        <v/>
      </c>
      <c r="Q113" t="str">
        <f t="shared" si="181"/>
        <v/>
      </c>
      <c r="S113">
        <f>IF(A113=1,MAX($S$2:$S112)+1,IF(OR($I113&lt;&gt;"",A113="x"),$S112,""))</f>
        <v>59</v>
      </c>
      <c r="T113">
        <f>IF(D113=1,MAX($T$2:$T112)+1,IF(S113=S112,$T112,IF(D113="x",T112,IF(D112="x","",""))))</f>
        <v>9</v>
      </c>
      <c r="U113" t="str">
        <f>IF(B113=1,MAX($U$2:$U112)+1,IF(AND($T113&lt;&gt;"",$T113=$T112),$U112,IF(B113="x",U112,"")))</f>
        <v/>
      </c>
      <c r="V113" t="str">
        <f>IF(C113=1,MAX($V$2:$V112)+1,IF(AND($T113&lt;&gt;"",$T113=$T112),$U112,IF(C113="x",V112,"")))</f>
        <v/>
      </c>
      <c r="W113" t="str" cm="1">
        <f t="array" ref="W113">IFERROR(_xlfn._xlws.FILTER(game_rosters!AC:AC,(game_rosters!J:J=events!X113)*(K113&lt;&gt;"")),"")</f>
        <v/>
      </c>
      <c r="X113" cm="1">
        <f t="array" ref="X113">IF($I113&lt;&gt;"",$I113,INDEX($I$1:$I113,ROW()-COUNTIFS($T$1:$T113,"="&amp;$T113,$S$1:$S113,"&lt;"&amp;$S113)))</f>
        <v>24</v>
      </c>
      <c r="Y113" cm="1">
        <f t="array" ref="Y113">IFERROR(IF(_xlfn._xlws.FILTER(game_rosters!$J:$J,(game_rosters!$G:$G=events!$AM113)*(game_rosters!$J:$J=events!$X113))&gt;0,1,""),"")</f>
        <v>1</v>
      </c>
      <c r="Z113" s="6">
        <f t="shared" si="144"/>
        <v>1</v>
      </c>
      <c r="AA113">
        <f t="shared" si="145"/>
        <v>1059</v>
      </c>
      <c r="AB113">
        <f t="shared" si="146"/>
        <v>9009</v>
      </c>
      <c r="AC113">
        <f t="shared" si="147"/>
        <v>9009</v>
      </c>
      <c r="AD113" t="str">
        <f t="shared" si="148"/>
        <v>16</v>
      </c>
      <c r="AE113" t="str">
        <f t="shared" si="149"/>
        <v>33</v>
      </c>
      <c r="AF113" t="str">
        <f t="shared" si="150"/>
        <v/>
      </c>
      <c r="AG113" t="str">
        <f t="shared" si="151"/>
        <v/>
      </c>
      <c r="AH113" t="str">
        <f t="shared" si="194"/>
        <v>e</v>
      </c>
      <c r="AI113" t="str">
        <f t="shared" si="219"/>
        <v>n</v>
      </c>
      <c r="AJ113" t="str">
        <f t="shared" si="219"/>
        <v>n</v>
      </c>
      <c r="AK113" t="str">
        <f t="shared" si="196"/>
        <v/>
      </c>
      <c r="AL113" t="str">
        <f t="shared" si="197"/>
        <v/>
      </c>
      <c r="AM113" t="str">
        <f t="shared" si="152"/>
        <v>Away</v>
      </c>
      <c r="AN113" t="str">
        <f t="shared" si="198"/>
        <v>a</v>
      </c>
      <c r="AO113" t="str">
        <f t="shared" si="199"/>
        <v>n</v>
      </c>
      <c r="AP113" t="str">
        <f t="shared" si="200"/>
        <v>n</v>
      </c>
      <c r="AQ113" t="str">
        <f>IF(AM113&lt;&gt;"",AM113,IF($AC113=#REF!,#REF!,""))</f>
        <v>Away</v>
      </c>
      <c r="AR113" t="str">
        <f t="shared" si="201"/>
        <v>a</v>
      </c>
      <c r="AS113" t="str">
        <f t="shared" si="202"/>
        <v>Offensive</v>
      </c>
      <c r="AT113" t="str">
        <f t="shared" si="153"/>
        <v/>
      </c>
      <c r="AU113" t="str">
        <f t="shared" si="154"/>
        <v/>
      </c>
      <c r="AV113" t="str" cm="1">
        <f t="array" ref="AV113">IFERROR(IF(O113&lt;&gt;"",O113,IF(OR($S113="",$T113=""),"",IF(O113&lt;&gt;"",O113,IF($T113&lt;&gt;"",_xlfn._xlws.FILTER(O:O,($BT:$BT=$BT113)*($I:$I=$I113)*($T:$T=$T113)*($S:$S=_xlfn.MINIFS($S:$S,$T:$T,"="&amp;$T113)),"")))))&amp;"",IF(O113="","",""))&amp;""</f>
        <v/>
      </c>
      <c r="AW113" t="str" cm="1">
        <f t="array" ref="AW113">IFERROR(IF(P113&lt;&gt;"",P113,IF(OR($S113="",$T113=""),"",IF($T113&lt;&gt;"",_xlfn._xlws.FILTER(P:P,($BT:$BT=$BT113)*($I:$I=$I113)*($T:$T=$T113)*($S:$S=_xlfn.MINIFS($S:$S,$T:$T,"="&amp;$T113)),""))))&amp;"",IF(P113="","",""))&amp;""</f>
        <v/>
      </c>
      <c r="AX113" t="str" cm="1">
        <f t="array" ref="AX113">IFERROR(IF(Q113&lt;&gt;"",Q113,IF(OR($S113="",$T113=""),"",IF($T113&lt;&gt;"",_xlfn._xlws.FILTER(Q:Q,($BT:$BT=$BT113)*($I:$I=$I113)*($T:$T=$T113)*($S:$S=_xlfn.MINIFS($S:$S,$T:$T,"="&amp;$T113)),""))))&amp;"",IF(Q113="","",""))&amp;""</f>
        <v/>
      </c>
      <c r="AY113" t="str" cm="1">
        <f t="array" ref="AY113">IFERROR(IF(R113&lt;&gt;"",R113,IF(OR($S113="",$T113=""),"",IF($T113&lt;&gt;"",_xlfn._xlws.FILTER(R:R,($BT:$BT=$BT113)*($I:$I=$I113)*($T:$T=$T113)*($S:$S=_xlfn.MINIFS($S:$S,$T:$T,"="&amp;$T113)),""))))&amp;"",IF(R113="","",""))&amp;""</f>
        <v/>
      </c>
      <c r="AZ113" s="6">
        <f t="shared" si="155"/>
        <v>13</v>
      </c>
      <c r="BA113">
        <f t="shared" ref="BA113:BC113" si="226">BA112</f>
        <v>18991</v>
      </c>
      <c r="BB113" t="str">
        <f t="shared" si="226"/>
        <v>Triple J</v>
      </c>
      <c r="BC113" t="str">
        <f t="shared" si="226"/>
        <v>Velodrome</v>
      </c>
      <c r="BD113" t="str">
        <f t="shared" si="157"/>
        <v>Turnover</v>
      </c>
      <c r="BE113" t="str">
        <f t="shared" si="158"/>
        <v>Turnover_Giveaway</v>
      </c>
      <c r="BF113" t="str">
        <f t="shared" si="159"/>
        <v>Giveaway-PassMissed</v>
      </c>
      <c r="BG113" t="str">
        <f t="shared" si="22"/>
        <v>u</v>
      </c>
      <c r="BH113" cm="1">
        <f t="array" ref="BH113">IFERROR(_xlfn._xlws.FILTER(shifts!A:A,(shifts!B:B=events!Z113)*(shifts!AG:AG&gt;=events!BJ113)*(shifts!AH:AH&lt;=events!BK113)),BH112)</f>
        <v>4</v>
      </c>
      <c r="BI113" s="15">
        <f t="shared" si="160"/>
        <v>0</v>
      </c>
      <c r="BJ113">
        <f t="shared" si="161"/>
        <v>993</v>
      </c>
      <c r="BK113">
        <f t="shared" si="162"/>
        <v>993</v>
      </c>
      <c r="BL113" s="15">
        <f>SUMIFS(BI$2:BI113,K$2:K113,"=Intermission")+SUMIFS(BI$2:BI113,K$2:K113,"=Timeout")</f>
        <v>0</v>
      </c>
      <c r="BM113">
        <f t="shared" si="163"/>
        <v>0</v>
      </c>
      <c r="BN113" s="19">
        <f t="shared" si="164"/>
        <v>87</v>
      </c>
      <c r="BO113">
        <f t="shared" si="165"/>
        <v>82</v>
      </c>
      <c r="BP113" s="17">
        <f t="shared" si="166"/>
        <v>87</v>
      </c>
      <c r="BQ113" t="str">
        <f t="shared" si="167"/>
        <v>event_team_player_2</v>
      </c>
      <c r="BR113">
        <f>COUNTIFS(S$3:S113,"="&amp;S113,AH$3:AH113,"="&amp;AH113)</f>
        <v>2</v>
      </c>
      <c r="BS113" t="str">
        <f>IFERROR(VLOOKUP(BA113&amp;BT113&amp;X113,game_rosters!U:W,3,FALSE),"")</f>
        <v>P100230</v>
      </c>
      <c r="BT113" t="str">
        <f t="shared" si="168"/>
        <v>Velodrome</v>
      </c>
    </row>
    <row r="114" spans="1:72" x14ac:dyDescent="0.2">
      <c r="A114">
        <f t="shared" si="143"/>
        <v>1</v>
      </c>
      <c r="E114" s="4"/>
      <c r="F114" s="45" t="s">
        <v>1063</v>
      </c>
      <c r="G114" s="4"/>
      <c r="H114" s="47"/>
      <c r="I114" s="26">
        <v>57</v>
      </c>
      <c r="J114" s="26" t="s">
        <v>734</v>
      </c>
      <c r="K114" t="s">
        <v>13</v>
      </c>
      <c r="L114" t="s">
        <v>586</v>
      </c>
      <c r="N114" t="s">
        <v>594</v>
      </c>
      <c r="O114" t="s">
        <v>907</v>
      </c>
      <c r="Q114" t="str">
        <f t="shared" si="181"/>
        <v>u</v>
      </c>
      <c r="S114">
        <f>IF(A114=1,MAX($S$2:$S113)+1,IF(OR($I114&lt;&gt;"",A114="x"),$S113,""))</f>
        <v>60</v>
      </c>
      <c r="T114" t="str">
        <f>IF(D114=1,MAX($T$2:$T113)+1,IF(S114=S113,$T113,IF(D114="x",T113,IF(D113="x","",""))))</f>
        <v/>
      </c>
      <c r="U114" t="str">
        <f>IF(B114=1,MAX($U$2:$U113)+1,IF(AND($T114&lt;&gt;"",$T114=$T113),$U113,IF(B114="x",U113,"")))</f>
        <v/>
      </c>
      <c r="V114" t="str">
        <f>IF(C114=1,MAX($V$2:$V113)+1,IF(AND($T114&lt;&gt;"",$T114=$T113),$U113,IF(C114="x",V113,"")))</f>
        <v/>
      </c>
      <c r="W114" t="str" cm="1">
        <f t="array" ref="W114">IFERROR(_xlfn._xlws.FILTER(game_rosters!AC:AC,(game_rosters!J:J=events!X114)*(K114&lt;&gt;"")),"")</f>
        <v>h</v>
      </c>
      <c r="X114" cm="1">
        <f t="array" ref="X114">IF($I114&lt;&gt;"",$I114,INDEX($I$1:$I114,ROW()-COUNTIFS($T$1:$T114,"="&amp;$T114,$S$1:$S114,"&lt;"&amp;$S114)))</f>
        <v>57</v>
      </c>
      <c r="Y114" cm="1">
        <f t="array" ref="Y114">IFERROR(IF(_xlfn._xlws.FILTER(game_rosters!$J:$J,(game_rosters!$G:$G=events!$AM114)*(game_rosters!$J:$J=events!$X114))&gt;0,1,""),"")</f>
        <v>1</v>
      </c>
      <c r="Z114" s="6">
        <f t="shared" si="144"/>
        <v>1</v>
      </c>
      <c r="AA114">
        <f t="shared" si="145"/>
        <v>1060</v>
      </c>
      <c r="AB114" t="str">
        <f t="shared" si="146"/>
        <v/>
      </c>
      <c r="AC114">
        <f t="shared" si="147"/>
        <v>1060</v>
      </c>
      <c r="AD114" t="str">
        <f t="shared" si="148"/>
        <v>16</v>
      </c>
      <c r="AE114" t="str">
        <f t="shared" si="149"/>
        <v>29</v>
      </c>
      <c r="AF114" t="str">
        <f t="shared" si="150"/>
        <v/>
      </c>
      <c r="AG114" t="str">
        <f t="shared" si="151"/>
        <v/>
      </c>
      <c r="AH114" t="str">
        <f t="shared" si="194"/>
        <v>e</v>
      </c>
      <c r="AI114" t="str">
        <f t="shared" si="219"/>
        <v>n</v>
      </c>
      <c r="AJ114" t="str">
        <f t="shared" si="219"/>
        <v>n</v>
      </c>
      <c r="AK114" t="str">
        <f t="shared" si="196"/>
        <v>n</v>
      </c>
      <c r="AL114" t="str">
        <f t="shared" si="197"/>
        <v>n</v>
      </c>
      <c r="AM114" t="str">
        <f t="shared" si="152"/>
        <v>Home</v>
      </c>
      <c r="AN114" t="str">
        <f t="shared" si="198"/>
        <v>h</v>
      </c>
      <c r="AO114" t="str">
        <f t="shared" si="199"/>
        <v>n</v>
      </c>
      <c r="AP114" t="str">
        <f t="shared" si="200"/>
        <v>n</v>
      </c>
      <c r="AQ114" t="str">
        <f>IF(AM114&lt;&gt;"",AM114,IF($AC114=#REF!,#REF!,""))</f>
        <v>Home</v>
      </c>
      <c r="AR114" t="str">
        <f t="shared" si="201"/>
        <v>h</v>
      </c>
      <c r="AS114" t="str">
        <f t="shared" si="202"/>
        <v>Offensive</v>
      </c>
      <c r="AT114" t="str">
        <f t="shared" si="153"/>
        <v/>
      </c>
      <c r="AU114" t="str">
        <f t="shared" si="154"/>
        <v/>
      </c>
      <c r="AV114" t="str" cm="1">
        <f t="array" ref="AV114">IFERROR(IF(O114&lt;&gt;"",O114,IF(OR($S114="",$T114=""),"",IF(O114&lt;&gt;"",O114,IF($T114&lt;&gt;"",_xlfn._xlws.FILTER(O:O,($BT:$BT=$BT114)*($I:$I=$I114)*($T:$T=$T114)*($S:$S=_xlfn.MINIFS($S:$S,$T:$T,"="&amp;$T114)),"")))))&amp;"",IF(O114="","",""))&amp;""</f>
        <v>PuckRecoveryRetreivalPass</v>
      </c>
      <c r="AW114" t="str" cm="1">
        <f t="array" ref="AW114">IFERROR(IF(P114&lt;&gt;"",P114,IF(OR($S114="",$T114=""),"",IF($T114&lt;&gt;"",_xlfn._xlws.FILTER(P:P,($BT:$BT=$BT114)*($I:$I=$I114)*($T:$T=$T114)*($S:$S=_xlfn.MINIFS($S:$S,$T:$T,"="&amp;$T114)),""))))&amp;"",IF(P114="","",""))&amp;""</f>
        <v/>
      </c>
      <c r="AX114" t="str" cm="1">
        <f t="array" ref="AX114">IFERROR(IF(Q114&lt;&gt;"",Q114,IF(OR($S114="",$T114=""),"",IF($T114&lt;&gt;"",_xlfn._xlws.FILTER(Q:Q,($BT:$BT=$BT114)*($I:$I=$I114)*($T:$T=$T114)*($S:$S=_xlfn.MINIFS($S:$S,$T:$T,"="&amp;$T114)),""))))&amp;"",IF(Q114="","",""))&amp;""</f>
        <v>u</v>
      </c>
      <c r="AY114" t="str" cm="1">
        <f t="array" ref="AY114">IFERROR(IF(R114&lt;&gt;"",R114,IF(OR($S114="",$T114=""),"",IF($T114&lt;&gt;"",_xlfn._xlws.FILTER(R:R,($BT:$BT=$BT114)*($I:$I=$I114)*($T:$T=$T114)*($S:$S=_xlfn.MINIFS($S:$S,$T:$T,"="&amp;$T114)),""))))&amp;"",IF(R114="","",""))&amp;""</f>
        <v/>
      </c>
      <c r="AZ114" s="6">
        <f t="shared" si="155"/>
        <v>13</v>
      </c>
      <c r="BA114">
        <f t="shared" ref="BA114:BC114" si="227">BA113</f>
        <v>18991</v>
      </c>
      <c r="BB114" t="str">
        <f t="shared" si="227"/>
        <v>Triple J</v>
      </c>
      <c r="BC114" t="str">
        <f t="shared" si="227"/>
        <v>Velodrome</v>
      </c>
      <c r="BD114" t="str">
        <f t="shared" si="157"/>
        <v>Possession</v>
      </c>
      <c r="BE114" t="str">
        <f t="shared" si="158"/>
        <v>PuckRetrieval</v>
      </c>
      <c r="BF114" t="str">
        <f t="shared" si="159"/>
        <v/>
      </c>
      <c r="BG114" t="str">
        <f t="shared" si="22"/>
        <v>u</v>
      </c>
      <c r="BH114" cm="1">
        <f t="array" ref="BH114">IFERROR(_xlfn._xlws.FILTER(shifts!A:A,(shifts!B:B=events!Z114)*(shifts!AG:AG&gt;=events!BJ114)*(shifts!AH:AH&lt;=events!BK114)),BH113)</f>
        <v>4</v>
      </c>
      <c r="BI114" s="15">
        <f t="shared" si="160"/>
        <v>0</v>
      </c>
      <c r="BJ114">
        <f t="shared" si="161"/>
        <v>989</v>
      </c>
      <c r="BK114">
        <f t="shared" si="162"/>
        <v>989</v>
      </c>
      <c r="BL114" s="15">
        <f>SUMIFS(BI$2:BI114,K$2:K114,"=Intermission")+SUMIFS(BI$2:BI114,K$2:K114,"=Timeout")</f>
        <v>0</v>
      </c>
      <c r="BM114">
        <f t="shared" si="163"/>
        <v>0</v>
      </c>
      <c r="BN114" s="19">
        <f t="shared" si="164"/>
        <v>91</v>
      </c>
      <c r="BO114">
        <f t="shared" si="165"/>
        <v>86</v>
      </c>
      <c r="BP114" s="17">
        <f t="shared" si="166"/>
        <v>91</v>
      </c>
      <c r="BQ114" t="str">
        <f t="shared" si="167"/>
        <v>event_team_player_1</v>
      </c>
      <c r="BR114">
        <f>COUNTIFS(S$3:S114,"="&amp;S114,AH$3:AH114,"="&amp;AH114)</f>
        <v>1</v>
      </c>
      <c r="BS114" t="str">
        <f>IFERROR(VLOOKUP(BA114&amp;BT114&amp;X114,game_rosters!U:W,3,FALSE),"")</f>
        <v>P100007</v>
      </c>
      <c r="BT114" t="str">
        <f t="shared" si="168"/>
        <v>Triple J</v>
      </c>
    </row>
    <row r="115" spans="1:72" x14ac:dyDescent="0.2">
      <c r="A115">
        <f t="shared" si="143"/>
        <v>1</v>
      </c>
      <c r="E115" s="4"/>
      <c r="F115" s="45"/>
      <c r="G115" s="4"/>
      <c r="H115" s="47"/>
      <c r="I115" s="26">
        <v>57</v>
      </c>
      <c r="J115" s="26" t="s">
        <v>734</v>
      </c>
      <c r="K115" t="s">
        <v>7</v>
      </c>
      <c r="L115" t="s">
        <v>182</v>
      </c>
      <c r="M115" t="s">
        <v>67</v>
      </c>
      <c r="N115" t="str">
        <f t="shared" si="187"/>
        <v>u</v>
      </c>
      <c r="O115" t="s">
        <v>576</v>
      </c>
      <c r="Q115" t="str">
        <f t="shared" si="181"/>
        <v>u</v>
      </c>
      <c r="S115">
        <f>IF(A115=1,MAX($S$2:$S114)+1,IF(OR($I115&lt;&gt;"",A115="x"),$S114,""))</f>
        <v>61</v>
      </c>
      <c r="T115" t="str">
        <f>IF(D115=1,MAX($T$2:$T114)+1,IF(S115=S114,$T114,IF(D115="x",T114,IF(D114="x","",""))))</f>
        <v/>
      </c>
      <c r="U115" t="str">
        <f>IF(B115=1,MAX($U$2:$U114)+1,IF(AND($T115&lt;&gt;"",$T115=$T114),$U114,IF(B115="x",U114,"")))</f>
        <v/>
      </c>
      <c r="V115" t="str">
        <f>IF(C115=1,MAX($V$2:$V114)+1,IF(AND($T115&lt;&gt;"",$T115=$T114),$U114,IF(C115="x",V114,"")))</f>
        <v/>
      </c>
      <c r="W115" t="str" cm="1">
        <f t="array" ref="W115">IFERROR(_xlfn._xlws.FILTER(game_rosters!AC:AC,(game_rosters!J:J=events!X115)*(K115&lt;&gt;"")),"")</f>
        <v>h</v>
      </c>
      <c r="X115" cm="1">
        <f t="array" ref="X115">IF($I115&lt;&gt;"",$I115,INDEX($I$1:$I115,ROW()-COUNTIFS($T$1:$T115,"="&amp;$T115,$S$1:$S115,"&lt;"&amp;$S115)))</f>
        <v>57</v>
      </c>
      <c r="Y115" cm="1">
        <f t="array" ref="Y115">IFERROR(IF(_xlfn._xlws.FILTER(game_rosters!$J:$J,(game_rosters!$G:$G=events!$AM115)*(game_rosters!$J:$J=events!$X115))&gt;0,1,""),"")</f>
        <v>1</v>
      </c>
      <c r="Z115" s="6">
        <f t="shared" si="144"/>
        <v>1</v>
      </c>
      <c r="AA115">
        <f t="shared" si="145"/>
        <v>1061</v>
      </c>
      <c r="AB115" t="str">
        <f t="shared" si="146"/>
        <v/>
      </c>
      <c r="AC115">
        <f t="shared" si="147"/>
        <v>1061</v>
      </c>
      <c r="AD115" t="str">
        <f t="shared" si="148"/>
        <v>16</v>
      </c>
      <c r="AE115" t="str">
        <f t="shared" si="149"/>
        <v>29</v>
      </c>
      <c r="AF115" t="str">
        <f t="shared" si="150"/>
        <v/>
      </c>
      <c r="AG115" t="str">
        <f t="shared" si="151"/>
        <v/>
      </c>
      <c r="AH115" t="str">
        <f t="shared" si="194"/>
        <v>e</v>
      </c>
      <c r="AI115" t="str">
        <f t="shared" si="219"/>
        <v>n</v>
      </c>
      <c r="AJ115" t="str">
        <f t="shared" si="219"/>
        <v>n</v>
      </c>
      <c r="AK115" t="str">
        <f t="shared" si="196"/>
        <v>n</v>
      </c>
      <c r="AL115" t="str">
        <f t="shared" si="197"/>
        <v>n</v>
      </c>
      <c r="AM115" t="str">
        <f t="shared" si="152"/>
        <v>Home</v>
      </c>
      <c r="AN115" t="str">
        <f t="shared" si="198"/>
        <v>h</v>
      </c>
      <c r="AO115" t="str">
        <f t="shared" si="199"/>
        <v>n</v>
      </c>
      <c r="AP115" t="str">
        <f t="shared" si="200"/>
        <v>n</v>
      </c>
      <c r="AQ115" t="str">
        <f>IF(AM115&lt;&gt;"",AM115,IF($AC115=#REF!,#REF!,""))</f>
        <v>Home</v>
      </c>
      <c r="AR115" t="str">
        <f t="shared" si="201"/>
        <v>h</v>
      </c>
      <c r="AS115" t="str">
        <f t="shared" si="202"/>
        <v>Offensive</v>
      </c>
      <c r="AT115" t="str">
        <f t="shared" si="153"/>
        <v/>
      </c>
      <c r="AU115" t="str">
        <f t="shared" si="154"/>
        <v/>
      </c>
      <c r="AV115" t="str" cm="1">
        <f t="array" ref="AV115">IFERROR(IF(O115&lt;&gt;"",O115,IF(OR($S115="",$T115=""),"",IF(O115&lt;&gt;"",O115,IF($T115&lt;&gt;"",_xlfn._xlws.FILTER(O:O,($BT:$BT=$BT115)*($I:$I=$I115)*($T:$T=$T115)*($S:$S=_xlfn.MINIFS($S:$S,$T:$T,"="&amp;$T115)),"")))))&amp;"",IF(O115="","",""))&amp;""</f>
        <v>SecondTouch</v>
      </c>
      <c r="AW115" t="str" cm="1">
        <f t="array" ref="AW115">IFERROR(IF(P115&lt;&gt;"",P115,IF(OR($S115="",$T115=""),"",IF($T115&lt;&gt;"",_xlfn._xlws.FILTER(P:P,($BT:$BT=$BT115)*($I:$I=$I115)*($T:$T=$T115)*($S:$S=_xlfn.MINIFS($S:$S,$T:$T,"="&amp;$T115)),""))))&amp;"",IF(P115="","",""))&amp;""</f>
        <v/>
      </c>
      <c r="AX115" t="str" cm="1">
        <f t="array" ref="AX115">IFERROR(IF(Q115&lt;&gt;"",Q115,IF(OR($S115="",$T115=""),"",IF($T115&lt;&gt;"",_xlfn._xlws.FILTER(Q:Q,($BT:$BT=$BT115)*($I:$I=$I115)*($T:$T=$T115)*($S:$S=_xlfn.MINIFS($S:$S,$T:$T,"="&amp;$T115)),""))))&amp;"",IF(Q115="","",""))&amp;""</f>
        <v>u</v>
      </c>
      <c r="AY115" t="str" cm="1">
        <f t="array" ref="AY115">IFERROR(IF(R115&lt;&gt;"",R115,IF(OR($S115="",$T115=""),"",IF($T115&lt;&gt;"",_xlfn._xlws.FILTER(R:R,($BT:$BT=$BT115)*($I:$I=$I115)*($T:$T=$T115)*($S:$S=_xlfn.MINIFS($S:$S,$T:$T,"="&amp;$T115)),""))))&amp;"",IF(R115="","",""))&amp;""</f>
        <v/>
      </c>
      <c r="AZ115" s="6">
        <f t="shared" si="155"/>
        <v>13</v>
      </c>
      <c r="BA115">
        <f t="shared" ref="BA115:BC115" si="228">BA114</f>
        <v>18991</v>
      </c>
      <c r="BB115" t="str">
        <f t="shared" si="228"/>
        <v>Triple J</v>
      </c>
      <c r="BC115" t="str">
        <f t="shared" si="228"/>
        <v>Velodrome</v>
      </c>
      <c r="BD115" t="str">
        <f t="shared" si="157"/>
        <v>Pass</v>
      </c>
      <c r="BE115" t="str">
        <f t="shared" si="158"/>
        <v>Pass_Missed</v>
      </c>
      <c r="BF115" t="str">
        <f t="shared" si="159"/>
        <v>Pass-Backhand</v>
      </c>
      <c r="BG115" t="str">
        <f t="shared" si="22"/>
        <v>u</v>
      </c>
      <c r="BH115" cm="1">
        <f t="array" ref="BH115">IFERROR(_xlfn._xlws.FILTER(shifts!A:A,(shifts!B:B=events!Z115)*(shifts!AG:AG&gt;=events!BJ115)*(shifts!AH:AH&lt;=events!BK115)),BH114)</f>
        <v>4</v>
      </c>
      <c r="BI115" s="15">
        <f t="shared" si="160"/>
        <v>0</v>
      </c>
      <c r="BJ115">
        <f t="shared" si="161"/>
        <v>989</v>
      </c>
      <c r="BK115">
        <f t="shared" si="162"/>
        <v>989</v>
      </c>
      <c r="BL115" s="15">
        <f>SUMIFS(BI$2:BI115,K$2:K115,"=Intermission")+SUMIFS(BI$2:BI115,K$2:K115,"=Timeout")</f>
        <v>0</v>
      </c>
      <c r="BM115">
        <f t="shared" si="163"/>
        <v>0</v>
      </c>
      <c r="BN115" s="19">
        <f t="shared" si="164"/>
        <v>91</v>
      </c>
      <c r="BO115">
        <f t="shared" si="165"/>
        <v>86</v>
      </c>
      <c r="BP115" s="17">
        <f t="shared" si="166"/>
        <v>91</v>
      </c>
      <c r="BQ115" t="str">
        <f t="shared" si="167"/>
        <v>event_team_player_1</v>
      </c>
      <c r="BR115">
        <f>COUNTIFS(S$3:S115,"="&amp;S115,AH$3:AH115,"="&amp;AH115)</f>
        <v>1</v>
      </c>
      <c r="BS115" t="str">
        <f>IFERROR(VLOOKUP(BA115&amp;BT115&amp;X115,game_rosters!U:W,3,FALSE),"")</f>
        <v>P100007</v>
      </c>
      <c r="BT115" t="str">
        <f t="shared" si="168"/>
        <v>Triple J</v>
      </c>
    </row>
    <row r="116" spans="1:72" x14ac:dyDescent="0.2">
      <c r="A116">
        <f t="shared" si="143"/>
        <v>1</v>
      </c>
      <c r="E116" s="4"/>
      <c r="F116" s="45" t="s">
        <v>1034</v>
      </c>
      <c r="G116" s="4"/>
      <c r="H116" s="47" t="s">
        <v>1055</v>
      </c>
      <c r="I116" s="26">
        <v>69</v>
      </c>
      <c r="J116" s="26" t="s">
        <v>734</v>
      </c>
      <c r="K116" t="s">
        <v>13</v>
      </c>
      <c r="L116" t="s">
        <v>587</v>
      </c>
      <c r="N116" t="s">
        <v>595</v>
      </c>
      <c r="O116" t="s">
        <v>907</v>
      </c>
      <c r="Q116" t="str">
        <f t="shared" si="181"/>
        <v>s</v>
      </c>
      <c r="S116">
        <f>IF(A116=1,MAX($S$2:$S115)+1,IF(OR($I116&lt;&gt;"",A116="x"),$S115,""))</f>
        <v>62</v>
      </c>
      <c r="T116" t="str">
        <f>IF(D116=1,MAX($T$2:$T115)+1,IF(S116=S115,$T115,IF(D116="x",T115,IF(D115="x","",""))))</f>
        <v/>
      </c>
      <c r="U116" t="str">
        <f>IF(B116=1,MAX($U$2:$U115)+1,IF(AND($T116&lt;&gt;"",$T116=$T115),$U115,IF(B116="x",U115,"")))</f>
        <v/>
      </c>
      <c r="V116" t="str">
        <f>IF(C116=1,MAX($V$2:$V115)+1,IF(AND($T116&lt;&gt;"",$T116=$T115),$U115,IF(C116="x",V115,"")))</f>
        <v/>
      </c>
      <c r="W116" t="str" cm="1">
        <f t="array" ref="W116">IFERROR(_xlfn._xlws.FILTER(game_rosters!AC:AC,(game_rosters!J:J=events!X116)*(K116&lt;&gt;"")),"")</f>
        <v>h</v>
      </c>
      <c r="X116" cm="1">
        <f t="array" ref="X116">IF($I116&lt;&gt;"",$I116,INDEX($I$1:$I116,ROW()-COUNTIFS($T$1:$T116,"="&amp;$T116,$S$1:$S116,"&lt;"&amp;$S116)))</f>
        <v>69</v>
      </c>
      <c r="Y116" cm="1">
        <f t="array" ref="Y116">IFERROR(IF(_xlfn._xlws.FILTER(game_rosters!$J:$J,(game_rosters!$G:$G=events!$AM116)*(game_rosters!$J:$J=events!$X116))&gt;0,1,""),"")</f>
        <v>1</v>
      </c>
      <c r="Z116" s="6">
        <f t="shared" si="144"/>
        <v>1</v>
      </c>
      <c r="AA116">
        <f t="shared" si="145"/>
        <v>1062</v>
      </c>
      <c r="AB116" t="str">
        <f t="shared" si="146"/>
        <v/>
      </c>
      <c r="AC116">
        <f t="shared" si="147"/>
        <v>1062</v>
      </c>
      <c r="AD116" t="str">
        <f t="shared" si="148"/>
        <v>16</v>
      </c>
      <c r="AE116" t="str">
        <f t="shared" si="149"/>
        <v>24</v>
      </c>
      <c r="AF116" t="str">
        <f t="shared" si="150"/>
        <v>16</v>
      </c>
      <c r="AG116" t="str">
        <f t="shared" si="151"/>
        <v>23</v>
      </c>
      <c r="AH116" t="str">
        <f t="shared" si="194"/>
        <v>e</v>
      </c>
      <c r="AI116" t="str">
        <f t="shared" si="219"/>
        <v>n</v>
      </c>
      <c r="AJ116" t="str">
        <f t="shared" si="219"/>
        <v>n</v>
      </c>
      <c r="AK116" t="str">
        <f t="shared" si="196"/>
        <v>n</v>
      </c>
      <c r="AL116" t="str">
        <f t="shared" si="197"/>
        <v>n</v>
      </c>
      <c r="AM116" t="str">
        <f t="shared" si="152"/>
        <v>Home</v>
      </c>
      <c r="AN116" t="str">
        <f t="shared" si="198"/>
        <v>h</v>
      </c>
      <c r="AO116" t="str">
        <f t="shared" si="199"/>
        <v>n</v>
      </c>
      <c r="AP116" t="str">
        <f t="shared" si="200"/>
        <v>n</v>
      </c>
      <c r="AQ116" t="str">
        <f>IF(AM116&lt;&gt;"",AM116,IF($AC116=#REF!,#REF!,""))</f>
        <v>Home</v>
      </c>
      <c r="AR116" t="str">
        <f t="shared" si="201"/>
        <v>h</v>
      </c>
      <c r="AS116" t="str">
        <f t="shared" si="202"/>
        <v>Offensive</v>
      </c>
      <c r="AT116" t="str">
        <f t="shared" si="153"/>
        <v/>
      </c>
      <c r="AU116" t="str">
        <f t="shared" si="154"/>
        <v/>
      </c>
      <c r="AV116" t="str" cm="1">
        <f t="array" ref="AV116">IFERROR(IF(O116&lt;&gt;"",O116,IF(OR($S116="",$T116=""),"",IF(O116&lt;&gt;"",O116,IF($T116&lt;&gt;"",_xlfn._xlws.FILTER(O:O,($BT:$BT=$BT116)*($I:$I=$I116)*($T:$T=$T116)*($S:$S=_xlfn.MINIFS($S:$S,$T:$T,"="&amp;$T116)),"")))))&amp;"",IF(O116="","",""))&amp;""</f>
        <v>PuckRecoveryRetreivalPass</v>
      </c>
      <c r="AW116" t="str" cm="1">
        <f t="array" ref="AW116">IFERROR(IF(P116&lt;&gt;"",P116,IF(OR($S116="",$T116=""),"",IF($T116&lt;&gt;"",_xlfn._xlws.FILTER(P:P,($BT:$BT=$BT116)*($I:$I=$I116)*($T:$T=$T116)*($S:$S=_xlfn.MINIFS($S:$S,$T:$T,"="&amp;$T116)),""))))&amp;"",IF(P116="","",""))&amp;""</f>
        <v/>
      </c>
      <c r="AX116" t="str" cm="1">
        <f t="array" ref="AX116">IFERROR(IF(Q116&lt;&gt;"",Q116,IF(OR($S116="",$T116=""),"",IF($T116&lt;&gt;"",_xlfn._xlws.FILTER(Q:Q,($BT:$BT=$BT116)*($I:$I=$I116)*($T:$T=$T116)*($S:$S=_xlfn.MINIFS($S:$S,$T:$T,"="&amp;$T116)),""))))&amp;"",IF(Q116="","",""))&amp;""</f>
        <v>s</v>
      </c>
      <c r="AY116" t="str" cm="1">
        <f t="array" ref="AY116">IFERROR(IF(R116&lt;&gt;"",R116,IF(OR($S116="",$T116=""),"",IF($T116&lt;&gt;"",_xlfn._xlws.FILTER(R:R,($BT:$BT=$BT116)*($I:$I=$I116)*($T:$T=$T116)*($S:$S=_xlfn.MINIFS($S:$S,$T:$T,"="&amp;$T116)),""))))&amp;"",IF(R116="","",""))&amp;""</f>
        <v/>
      </c>
      <c r="AZ116" s="6">
        <f t="shared" si="155"/>
        <v>13</v>
      </c>
      <c r="BA116">
        <f t="shared" ref="BA116:BC116" si="229">BA115</f>
        <v>18991</v>
      </c>
      <c r="BB116" t="str">
        <f t="shared" si="229"/>
        <v>Triple J</v>
      </c>
      <c r="BC116" t="str">
        <f t="shared" si="229"/>
        <v>Velodrome</v>
      </c>
      <c r="BD116" t="str">
        <f t="shared" si="157"/>
        <v>Possession</v>
      </c>
      <c r="BE116" t="str">
        <f t="shared" si="158"/>
        <v>PuckRecovery</v>
      </c>
      <c r="BF116" t="str">
        <f t="shared" si="159"/>
        <v/>
      </c>
      <c r="BG116" t="str">
        <f t="shared" si="22"/>
        <v>s</v>
      </c>
      <c r="BH116" cm="1">
        <f t="array" ref="BH116">IFERROR(_xlfn._xlws.FILTER(shifts!A:A,(shifts!B:B=events!Z116)*(shifts!AG:AG&gt;=events!BJ116)*(shifts!AH:AH&lt;=events!BK116)),BH115)</f>
        <v>4</v>
      </c>
      <c r="BI116" s="15">
        <f t="shared" si="160"/>
        <v>1</v>
      </c>
      <c r="BJ116">
        <f t="shared" si="161"/>
        <v>984</v>
      </c>
      <c r="BK116">
        <f t="shared" si="162"/>
        <v>983</v>
      </c>
      <c r="BL116" s="15">
        <f>SUMIFS(BI$2:BI116,K$2:K116,"=Intermission")+SUMIFS(BI$2:BI116,K$2:K116,"=Timeout")</f>
        <v>0</v>
      </c>
      <c r="BM116">
        <f t="shared" si="163"/>
        <v>0</v>
      </c>
      <c r="BN116" s="19">
        <f t="shared" si="164"/>
        <v>96</v>
      </c>
      <c r="BO116">
        <f t="shared" si="165"/>
        <v>91</v>
      </c>
      <c r="BP116" s="17">
        <f t="shared" si="166"/>
        <v>97</v>
      </c>
      <c r="BQ116" t="str">
        <f t="shared" si="167"/>
        <v>event_team_player_1</v>
      </c>
      <c r="BR116">
        <f>COUNTIFS(S$3:S116,"="&amp;S116,AH$3:AH116,"="&amp;AH116)</f>
        <v>1</v>
      </c>
      <c r="BS116" t="str">
        <f>IFERROR(VLOOKUP(BA116&amp;BT116&amp;X116,game_rosters!U:W,3,FALSE),"")</f>
        <v>P100014</v>
      </c>
      <c r="BT116" t="str">
        <f t="shared" si="168"/>
        <v>Triple J</v>
      </c>
    </row>
    <row r="117" spans="1:72" x14ac:dyDescent="0.2">
      <c r="A117">
        <f t="shared" si="143"/>
        <v>1</v>
      </c>
      <c r="E117" s="4"/>
      <c r="F117" s="45"/>
      <c r="G117" s="4"/>
      <c r="H117" s="47"/>
      <c r="I117" s="26">
        <v>69</v>
      </c>
      <c r="J117" s="26" t="s">
        <v>734</v>
      </c>
      <c r="K117" t="s">
        <v>7</v>
      </c>
      <c r="L117" t="s">
        <v>172</v>
      </c>
      <c r="M117" t="s">
        <v>68</v>
      </c>
      <c r="N117" t="str">
        <f t="shared" si="187"/>
        <v>s</v>
      </c>
      <c r="O117" t="s">
        <v>576</v>
      </c>
      <c r="Q117" t="str">
        <f t="shared" si="181"/>
        <v>s</v>
      </c>
      <c r="S117">
        <f>IF(A117=1,MAX($S$2:$S116)+1,IF(OR($I117&lt;&gt;"",A117="x"),$S116,""))</f>
        <v>63</v>
      </c>
      <c r="T117" t="str">
        <f>IF(D117=1,MAX($T$2:$T116)+1,IF(S117=S116,$T116,IF(D117="x",T116,IF(D116="x","",""))))</f>
        <v/>
      </c>
      <c r="U117" t="str">
        <f>IF(B117=1,MAX($U$2:$U116)+1,IF(AND($T117&lt;&gt;"",$T117=$T116),$U116,IF(B117="x",U116,"")))</f>
        <v/>
      </c>
      <c r="V117" t="str">
        <f>IF(C117=1,MAX($V$2:$V116)+1,IF(AND($T117&lt;&gt;"",$T117=$T116),$U116,IF(C117="x",V116,"")))</f>
        <v/>
      </c>
      <c r="W117" t="str" cm="1">
        <f t="array" ref="W117">IFERROR(_xlfn._xlws.FILTER(game_rosters!AC:AC,(game_rosters!J:J=events!X117)*(K117&lt;&gt;"")),"")</f>
        <v>h</v>
      </c>
      <c r="X117" cm="1">
        <f t="array" ref="X117">IF($I117&lt;&gt;"",$I117,INDEX($I$1:$I117,ROW()-COUNTIFS($T$1:$T117,"="&amp;$T117,$S$1:$S117,"&lt;"&amp;$S117)))</f>
        <v>69</v>
      </c>
      <c r="Y117" cm="1">
        <f t="array" ref="Y117">IFERROR(IF(_xlfn._xlws.FILTER(game_rosters!$J:$J,(game_rosters!$G:$G=events!$AM117)*(game_rosters!$J:$J=events!$X117))&gt;0,1,""),"")</f>
        <v>1</v>
      </c>
      <c r="Z117" s="6">
        <f t="shared" si="144"/>
        <v>1</v>
      </c>
      <c r="AA117">
        <f t="shared" si="145"/>
        <v>1063</v>
      </c>
      <c r="AB117" t="str">
        <f t="shared" si="146"/>
        <v/>
      </c>
      <c r="AC117">
        <f t="shared" si="147"/>
        <v>1063</v>
      </c>
      <c r="AD117" t="str">
        <f t="shared" si="148"/>
        <v>16</v>
      </c>
      <c r="AE117" t="str">
        <f t="shared" si="149"/>
        <v>23</v>
      </c>
      <c r="AF117" t="str">
        <f t="shared" si="150"/>
        <v/>
      </c>
      <c r="AG117" t="str">
        <f t="shared" si="151"/>
        <v/>
      </c>
      <c r="AH117" t="str">
        <f t="shared" si="194"/>
        <v>e</v>
      </c>
      <c r="AI117" t="str">
        <f t="shared" si="219"/>
        <v>n</v>
      </c>
      <c r="AJ117" t="str">
        <f t="shared" si="219"/>
        <v>n</v>
      </c>
      <c r="AK117" t="str">
        <f t="shared" si="196"/>
        <v>n</v>
      </c>
      <c r="AL117" t="str">
        <f t="shared" si="197"/>
        <v>n</v>
      </c>
      <c r="AM117" t="str">
        <f t="shared" si="152"/>
        <v>Home</v>
      </c>
      <c r="AN117" t="str">
        <f t="shared" si="198"/>
        <v>h</v>
      </c>
      <c r="AO117" t="str">
        <f t="shared" si="199"/>
        <v>n</v>
      </c>
      <c r="AP117" t="str">
        <f t="shared" si="200"/>
        <v>n</v>
      </c>
      <c r="AQ117" t="str">
        <f>IF(AM117&lt;&gt;"",AM117,IF($AC117=#REF!,#REF!,""))</f>
        <v>Home</v>
      </c>
      <c r="AR117" t="str">
        <f t="shared" si="201"/>
        <v>h</v>
      </c>
      <c r="AS117" t="str">
        <f t="shared" si="202"/>
        <v>Offensive</v>
      </c>
      <c r="AT117" t="str">
        <f t="shared" si="153"/>
        <v/>
      </c>
      <c r="AU117" t="str">
        <f t="shared" si="154"/>
        <v/>
      </c>
      <c r="AV117" t="str" cm="1">
        <f t="array" ref="AV117">IFERROR(IF(O117&lt;&gt;"",O117,IF(OR($S117="",$T117=""),"",IF(O117&lt;&gt;"",O117,IF($T117&lt;&gt;"",_xlfn._xlws.FILTER(O:O,($BT:$BT=$BT117)*($I:$I=$I117)*($T:$T=$T117)*($S:$S=_xlfn.MINIFS($S:$S,$T:$T,"="&amp;$T117)),"")))))&amp;"",IF(O117="","",""))&amp;""</f>
        <v>SecondTouch</v>
      </c>
      <c r="AW117" t="str" cm="1">
        <f t="array" ref="AW117">IFERROR(IF(P117&lt;&gt;"",P117,IF(OR($S117="",$T117=""),"",IF($T117&lt;&gt;"",_xlfn._xlws.FILTER(P:P,($BT:$BT=$BT117)*($I:$I=$I117)*($T:$T=$T117)*($S:$S=_xlfn.MINIFS($S:$S,$T:$T,"="&amp;$T117)),""))))&amp;"",IF(P117="","",""))&amp;""</f>
        <v/>
      </c>
      <c r="AX117" t="str" cm="1">
        <f t="array" ref="AX117">IFERROR(IF(Q117&lt;&gt;"",Q117,IF(OR($S117="",$T117=""),"",IF($T117&lt;&gt;"",_xlfn._xlws.FILTER(Q:Q,($BT:$BT=$BT117)*($I:$I=$I117)*($T:$T=$T117)*($S:$S=_xlfn.MINIFS($S:$S,$T:$T,"="&amp;$T117)),""))))&amp;"",IF(Q117="","",""))&amp;""</f>
        <v>s</v>
      </c>
      <c r="AY117" t="str" cm="1">
        <f t="array" ref="AY117">IFERROR(IF(R117&lt;&gt;"",R117,IF(OR($S117="",$T117=""),"",IF($T117&lt;&gt;"",_xlfn._xlws.FILTER(R:R,($BT:$BT=$BT117)*($I:$I=$I117)*($T:$T=$T117)*($S:$S=_xlfn.MINIFS($S:$S,$T:$T,"="&amp;$T117)),""))))&amp;"",IF(R117="","",""))&amp;""</f>
        <v/>
      </c>
      <c r="AZ117" s="6">
        <f t="shared" si="155"/>
        <v>13</v>
      </c>
      <c r="BA117">
        <f t="shared" ref="BA117:BC117" si="230">BA116</f>
        <v>18991</v>
      </c>
      <c r="BB117" t="str">
        <f t="shared" si="230"/>
        <v>Triple J</v>
      </c>
      <c r="BC117" t="str">
        <f t="shared" si="230"/>
        <v>Velodrome</v>
      </c>
      <c r="BD117" t="str">
        <f t="shared" si="157"/>
        <v>Pass</v>
      </c>
      <c r="BE117" t="str">
        <f t="shared" si="158"/>
        <v>Pass_Completed</v>
      </c>
      <c r="BF117" t="str">
        <f t="shared" si="159"/>
        <v>Pass-Forehand</v>
      </c>
      <c r="BG117" t="str">
        <f t="shared" si="22"/>
        <v>s</v>
      </c>
      <c r="BH117" cm="1">
        <f t="array" ref="BH117">IFERROR(_xlfn._xlws.FILTER(shifts!A:A,(shifts!B:B=events!Z117)*(shifts!AG:AG&gt;=events!BJ117)*(shifts!AH:AH&lt;=events!BK117)),BH116)</f>
        <v>4</v>
      </c>
      <c r="BI117" s="15">
        <f t="shared" si="160"/>
        <v>0</v>
      </c>
      <c r="BJ117">
        <f t="shared" si="161"/>
        <v>983</v>
      </c>
      <c r="BK117">
        <f t="shared" si="162"/>
        <v>983</v>
      </c>
      <c r="BL117" s="15">
        <f>SUMIFS(BI$2:BI117,K$2:K117,"=Intermission")+SUMIFS(BI$2:BI117,K$2:K117,"=Timeout")</f>
        <v>0</v>
      </c>
      <c r="BM117">
        <f t="shared" si="163"/>
        <v>0</v>
      </c>
      <c r="BN117" s="19">
        <f t="shared" si="164"/>
        <v>97</v>
      </c>
      <c r="BO117">
        <f t="shared" si="165"/>
        <v>92</v>
      </c>
      <c r="BP117" s="17">
        <f t="shared" si="166"/>
        <v>97</v>
      </c>
      <c r="BQ117" t="str">
        <f t="shared" si="167"/>
        <v>event_team_player_1</v>
      </c>
      <c r="BR117">
        <f>COUNTIFS(S$3:S117,"="&amp;S117,AH$3:AH117,"="&amp;AH117)</f>
        <v>1</v>
      </c>
      <c r="BS117" t="str">
        <f>IFERROR(VLOOKUP(BA117&amp;BT117&amp;X117,game_rosters!U:W,3,FALSE),"")</f>
        <v>P100014</v>
      </c>
      <c r="BT117" t="str">
        <f t="shared" si="168"/>
        <v>Triple J</v>
      </c>
    </row>
    <row r="118" spans="1:72" x14ac:dyDescent="0.2">
      <c r="A118" t="str">
        <f t="shared" si="143"/>
        <v/>
      </c>
      <c r="E118" s="4"/>
      <c r="F118" s="45"/>
      <c r="G118" s="4"/>
      <c r="H118" s="47"/>
      <c r="I118" s="26">
        <v>21</v>
      </c>
      <c r="J118" s="26" t="str">
        <f t="shared" si="170"/>
        <v/>
      </c>
      <c r="N118" t="str">
        <f t="shared" si="187"/>
        <v/>
      </c>
      <c r="Q118" t="str">
        <f t="shared" si="181"/>
        <v/>
      </c>
      <c r="S118">
        <f>IF(A118=1,MAX($S$2:$S117)+1,IF(OR($I118&lt;&gt;"",A118="x"),$S117,""))</f>
        <v>63</v>
      </c>
      <c r="T118" t="str">
        <f>IF(D118=1,MAX($T$2:$T117)+1,IF(S118=S117,$T117,IF(D118="x",T117,IF(D117="x","",""))))</f>
        <v/>
      </c>
      <c r="U118" t="str">
        <f>IF(B118=1,MAX($U$2:$U117)+1,IF(AND($T118&lt;&gt;"",$T118=$T117),$U117,IF(B118="x",U117,"")))</f>
        <v/>
      </c>
      <c r="V118" t="str">
        <f>IF(C118=1,MAX($V$2:$V117)+1,IF(AND($T118&lt;&gt;"",$T118=$T117),$U117,IF(C118="x",V117,"")))</f>
        <v/>
      </c>
      <c r="W118" t="str" cm="1">
        <f t="array" ref="W118">IFERROR(_xlfn._xlws.FILTER(game_rosters!AC:AC,(game_rosters!J:J=events!X118)*(K118&lt;&gt;"")),"")</f>
        <v/>
      </c>
      <c r="X118" cm="1">
        <f t="array" ref="X118">IF($I118&lt;&gt;"",$I118,INDEX($I$1:$I118,ROW()-COUNTIFS($T$1:$T118,"="&amp;$T118,$S$1:$S118,"&lt;"&amp;$S118)))</f>
        <v>21</v>
      </c>
      <c r="Y118" cm="1">
        <f t="array" ref="Y118">IFERROR(IF(_xlfn._xlws.FILTER(game_rosters!$J:$J,(game_rosters!$G:$G=events!$AM118)*(game_rosters!$J:$J=events!$X118))&gt;0,1,""),"")</f>
        <v>1</v>
      </c>
      <c r="Z118" s="6">
        <f t="shared" si="144"/>
        <v>1</v>
      </c>
      <c r="AA118">
        <f t="shared" si="145"/>
        <v>1063</v>
      </c>
      <c r="AB118" t="str">
        <f t="shared" si="146"/>
        <v/>
      </c>
      <c r="AC118">
        <f t="shared" si="147"/>
        <v>1063</v>
      </c>
      <c r="AD118" t="str">
        <f t="shared" si="148"/>
        <v>16</v>
      </c>
      <c r="AE118" t="str">
        <f t="shared" si="149"/>
        <v>23</v>
      </c>
      <c r="AF118" t="str">
        <f t="shared" si="150"/>
        <v/>
      </c>
      <c r="AG118" t="str">
        <f t="shared" si="151"/>
        <v/>
      </c>
      <c r="AH118" t="str">
        <f t="shared" si="194"/>
        <v>e</v>
      </c>
      <c r="AI118" t="str">
        <f t="shared" si="219"/>
        <v>n</v>
      </c>
      <c r="AJ118" t="str">
        <f t="shared" si="219"/>
        <v>n</v>
      </c>
      <c r="AK118" t="str">
        <f t="shared" si="196"/>
        <v/>
      </c>
      <c r="AL118" t="str">
        <f t="shared" si="197"/>
        <v/>
      </c>
      <c r="AM118" t="str">
        <f t="shared" si="152"/>
        <v>Home</v>
      </c>
      <c r="AN118" t="str">
        <f t="shared" si="198"/>
        <v>h</v>
      </c>
      <c r="AO118" t="str">
        <f t="shared" si="199"/>
        <v>n</v>
      </c>
      <c r="AP118" t="str">
        <f t="shared" si="200"/>
        <v>n</v>
      </c>
      <c r="AQ118" t="str">
        <f>IF(AM118&lt;&gt;"",AM118,IF($AC118=#REF!,#REF!,""))</f>
        <v>Home</v>
      </c>
      <c r="AR118" t="str">
        <f t="shared" si="201"/>
        <v>h</v>
      </c>
      <c r="AS118" t="str">
        <f t="shared" si="202"/>
        <v>Offensive</v>
      </c>
      <c r="AT118" t="str">
        <f t="shared" si="153"/>
        <v/>
      </c>
      <c r="AU118" t="str">
        <f t="shared" si="154"/>
        <v/>
      </c>
      <c r="AV118" t="str" cm="1">
        <f t="array" ref="AV118">IFERROR(IF(O118&lt;&gt;"",O118,IF(OR($S118="",$T118=""),"",IF(O118&lt;&gt;"",O118,IF($T118&lt;&gt;"",_xlfn._xlws.FILTER(O:O,($BT:$BT=$BT118)*($I:$I=$I118)*($T:$T=$T118)*($S:$S=_xlfn.MINIFS($S:$S,$T:$T,"="&amp;$T118)),"")))))&amp;"",IF(O118="","",""))&amp;""</f>
        <v/>
      </c>
      <c r="AW118" t="str" cm="1">
        <f t="array" ref="AW118">IFERROR(IF(P118&lt;&gt;"",P118,IF(OR($S118="",$T118=""),"",IF($T118&lt;&gt;"",_xlfn._xlws.FILTER(P:P,($BT:$BT=$BT118)*($I:$I=$I118)*($T:$T=$T118)*($S:$S=_xlfn.MINIFS($S:$S,$T:$T,"="&amp;$T118)),""))))&amp;"",IF(P118="","",""))&amp;""</f>
        <v/>
      </c>
      <c r="AX118" t="str" cm="1">
        <f t="array" ref="AX118">IFERROR(IF(Q118&lt;&gt;"",Q118,IF(OR($S118="",$T118=""),"",IF($T118&lt;&gt;"",_xlfn._xlws.FILTER(Q:Q,($BT:$BT=$BT118)*($I:$I=$I118)*($T:$T=$T118)*($S:$S=_xlfn.MINIFS($S:$S,$T:$T,"="&amp;$T118)),""))))&amp;"",IF(Q118="","",""))&amp;""</f>
        <v/>
      </c>
      <c r="AY118" t="str" cm="1">
        <f t="array" ref="AY118">IFERROR(IF(R118&lt;&gt;"",R118,IF(OR($S118="",$T118=""),"",IF($T118&lt;&gt;"",_xlfn._xlws.FILTER(R:R,($BT:$BT=$BT118)*($I:$I=$I118)*($T:$T=$T118)*($S:$S=_xlfn.MINIFS($S:$S,$T:$T,"="&amp;$T118)),""))))&amp;"",IF(R118="","",""))&amp;""</f>
        <v/>
      </c>
      <c r="AZ118" s="6">
        <f t="shared" si="155"/>
        <v>13</v>
      </c>
      <c r="BA118">
        <f t="shared" ref="BA118:BC118" si="231">BA117</f>
        <v>18991</v>
      </c>
      <c r="BB118" t="str">
        <f t="shared" si="231"/>
        <v>Triple J</v>
      </c>
      <c r="BC118" t="str">
        <f t="shared" si="231"/>
        <v>Velodrome</v>
      </c>
      <c r="BD118" t="str">
        <f t="shared" si="157"/>
        <v>Pass</v>
      </c>
      <c r="BE118" t="str">
        <f t="shared" si="158"/>
        <v>Pass_Completed</v>
      </c>
      <c r="BF118" t="str">
        <f t="shared" si="159"/>
        <v>Pass-Forehand</v>
      </c>
      <c r="BG118" t="str">
        <f t="shared" si="22"/>
        <v>s</v>
      </c>
      <c r="BH118" cm="1">
        <f t="array" ref="BH118">IFERROR(_xlfn._xlws.FILTER(shifts!A:A,(shifts!B:B=events!Z118)*(shifts!AG:AG&gt;=events!BJ118)*(shifts!AH:AH&lt;=events!BK118)),BH117)</f>
        <v>4</v>
      </c>
      <c r="BI118" s="15">
        <f t="shared" si="160"/>
        <v>0</v>
      </c>
      <c r="BJ118">
        <f t="shared" si="161"/>
        <v>983</v>
      </c>
      <c r="BK118">
        <f t="shared" si="162"/>
        <v>983</v>
      </c>
      <c r="BL118" s="15">
        <f>SUMIFS(BI$2:BI118,K$2:K118,"=Intermission")+SUMIFS(BI$2:BI118,K$2:K118,"=Timeout")</f>
        <v>0</v>
      </c>
      <c r="BM118">
        <f t="shared" si="163"/>
        <v>0</v>
      </c>
      <c r="BN118" s="19">
        <f t="shared" si="164"/>
        <v>97</v>
      </c>
      <c r="BO118">
        <f t="shared" si="165"/>
        <v>92</v>
      </c>
      <c r="BP118" s="17">
        <f t="shared" si="166"/>
        <v>97</v>
      </c>
      <c r="BQ118" t="str">
        <f t="shared" si="167"/>
        <v>event_team_player_2</v>
      </c>
      <c r="BR118">
        <f>COUNTIFS(S$3:S118,"="&amp;S118,AH$3:AH118,"="&amp;AH118)</f>
        <v>2</v>
      </c>
      <c r="BS118" t="str">
        <f>IFERROR(VLOOKUP(BA118&amp;BT118&amp;X118,game_rosters!U:W,3,FALSE),"")</f>
        <v>P100019</v>
      </c>
      <c r="BT118" t="str">
        <f t="shared" si="168"/>
        <v>Triple J</v>
      </c>
    </row>
    <row r="119" spans="1:72" x14ac:dyDescent="0.2">
      <c r="A119">
        <f t="shared" si="143"/>
        <v>1</v>
      </c>
      <c r="E119" s="4"/>
      <c r="F119" s="45"/>
      <c r="G119" s="4"/>
      <c r="H119" s="47" t="s">
        <v>1067</v>
      </c>
      <c r="I119" s="26">
        <v>21</v>
      </c>
      <c r="J119" s="26" t="s">
        <v>734</v>
      </c>
      <c r="K119" t="s">
        <v>13</v>
      </c>
      <c r="N119" t="str">
        <f t="shared" si="187"/>
        <v/>
      </c>
      <c r="Q119" t="str">
        <f t="shared" si="181"/>
        <v/>
      </c>
      <c r="S119">
        <f>IF(A119=1,MAX($S$2:$S118)+1,IF(OR($I119&lt;&gt;"",A119="x"),$S118,""))</f>
        <v>64</v>
      </c>
      <c r="T119" t="str">
        <f>IF(D119=1,MAX($T$2:$T118)+1,IF(S119=S118,$T118,IF(D119="x",T118,IF(D118="x","",""))))</f>
        <v/>
      </c>
      <c r="U119" t="str">
        <f>IF(B119=1,MAX($U$2:$U118)+1,IF(AND($T119&lt;&gt;"",$T119=$T118),$U118,IF(B119="x",U118,"")))</f>
        <v/>
      </c>
      <c r="V119" t="str">
        <f>IF(C119=1,MAX($V$2:$V118)+1,IF(AND($T119&lt;&gt;"",$T119=$T118),$U118,IF(C119="x",V118,"")))</f>
        <v/>
      </c>
      <c r="W119" t="str" cm="1">
        <f t="array" ref="W119">IFERROR(_xlfn._xlws.FILTER(game_rosters!AC:AC,(game_rosters!J:J=events!X119)*(K119&lt;&gt;"")),"")</f>
        <v>h</v>
      </c>
      <c r="X119" cm="1">
        <f t="array" ref="X119">IF($I119&lt;&gt;"",$I119,INDEX($I$1:$I119,ROW()-COUNTIFS($T$1:$T119,"="&amp;$T119,$S$1:$S119,"&lt;"&amp;$S119)))</f>
        <v>21</v>
      </c>
      <c r="Y119" cm="1">
        <f t="array" ref="Y119">IFERROR(IF(_xlfn._xlws.FILTER(game_rosters!$J:$J,(game_rosters!$G:$G=events!$AM119)*(game_rosters!$J:$J=events!$X119))&gt;0,1,""),"")</f>
        <v>1</v>
      </c>
      <c r="Z119" s="6">
        <f t="shared" si="144"/>
        <v>1</v>
      </c>
      <c r="AA119">
        <f t="shared" si="145"/>
        <v>1064</v>
      </c>
      <c r="AB119" t="str">
        <f t="shared" si="146"/>
        <v/>
      </c>
      <c r="AC119">
        <f t="shared" si="147"/>
        <v>1064</v>
      </c>
      <c r="AD119" t="str">
        <f t="shared" si="148"/>
        <v>16</v>
      </c>
      <c r="AE119" t="str">
        <f t="shared" si="149"/>
        <v>23</v>
      </c>
      <c r="AF119" t="str">
        <f t="shared" si="150"/>
        <v>16</v>
      </c>
      <c r="AG119" t="str">
        <f t="shared" si="151"/>
        <v>22</v>
      </c>
      <c r="AH119" t="str">
        <f t="shared" si="194"/>
        <v>e</v>
      </c>
      <c r="AI119" t="str">
        <f t="shared" si="219"/>
        <v>n</v>
      </c>
      <c r="AJ119" t="str">
        <f t="shared" si="219"/>
        <v>n</v>
      </c>
      <c r="AK119" t="str">
        <f t="shared" si="196"/>
        <v>n</v>
      </c>
      <c r="AL119" t="str">
        <f t="shared" si="197"/>
        <v>n</v>
      </c>
      <c r="AM119" t="str">
        <f t="shared" si="152"/>
        <v>Home</v>
      </c>
      <c r="AN119" t="str">
        <f t="shared" si="198"/>
        <v>h</v>
      </c>
      <c r="AO119" t="str">
        <f t="shared" si="199"/>
        <v>n</v>
      </c>
      <c r="AP119" t="str">
        <f t="shared" si="200"/>
        <v>n</v>
      </c>
      <c r="AQ119" t="str">
        <f>IF(AM119&lt;&gt;"",AM119,IF($AC119=#REF!,#REF!,""))</f>
        <v>Home</v>
      </c>
      <c r="AR119" t="str">
        <f t="shared" si="201"/>
        <v>h</v>
      </c>
      <c r="AS119" t="str">
        <f t="shared" si="202"/>
        <v>Offensive</v>
      </c>
      <c r="AT119" t="str">
        <f t="shared" si="153"/>
        <v/>
      </c>
      <c r="AU119" t="str">
        <f t="shared" si="154"/>
        <v/>
      </c>
      <c r="AV119" t="str" cm="1">
        <f t="array" ref="AV119">IFERROR(IF(O119&lt;&gt;"",O119,IF(OR($S119="",$T119=""),"",IF(O119&lt;&gt;"",O119,IF($T119&lt;&gt;"",_xlfn._xlws.FILTER(O:O,($BT:$BT=$BT119)*($I:$I=$I119)*($T:$T=$T119)*($S:$S=_xlfn.MINIFS($S:$S,$T:$T,"="&amp;$T119)),"")))))&amp;"",IF(O119="","",""))&amp;""</f>
        <v/>
      </c>
      <c r="AW119" t="str" cm="1">
        <f t="array" ref="AW119">IFERROR(IF(P119&lt;&gt;"",P119,IF(OR($S119="",$T119=""),"",IF($T119&lt;&gt;"",_xlfn._xlws.FILTER(P:P,($BT:$BT=$BT119)*($I:$I=$I119)*($T:$T=$T119)*($S:$S=_xlfn.MINIFS($S:$S,$T:$T,"="&amp;$T119)),""))))&amp;"",IF(P119="","",""))&amp;""</f>
        <v/>
      </c>
      <c r="AX119" t="str" cm="1">
        <f t="array" ref="AX119">IFERROR(IF(Q119&lt;&gt;"",Q119,IF(OR($S119="",$T119=""),"",IF($T119&lt;&gt;"",_xlfn._xlws.FILTER(Q:Q,($BT:$BT=$BT119)*($I:$I=$I119)*($T:$T=$T119)*($S:$S=_xlfn.MINIFS($S:$S,$T:$T,"="&amp;$T119)),""))))&amp;"",IF(Q119="","",""))&amp;""</f>
        <v/>
      </c>
      <c r="AY119" t="str" cm="1">
        <f t="array" ref="AY119">IFERROR(IF(R119&lt;&gt;"",R119,IF(OR($S119="",$T119=""),"",IF($T119&lt;&gt;"",_xlfn._xlws.FILTER(R:R,($BT:$BT=$BT119)*($I:$I=$I119)*($T:$T=$T119)*($S:$S=_xlfn.MINIFS($S:$S,$T:$T,"="&amp;$T119)),""))))&amp;"",IF(R119="","",""))&amp;""</f>
        <v/>
      </c>
      <c r="AZ119" s="6">
        <f t="shared" si="155"/>
        <v>13</v>
      </c>
      <c r="BA119">
        <f t="shared" ref="BA119:BC119" si="232">BA118</f>
        <v>18991</v>
      </c>
      <c r="BB119" t="str">
        <f t="shared" si="232"/>
        <v>Triple J</v>
      </c>
      <c r="BC119" t="str">
        <f t="shared" si="232"/>
        <v>Velodrome</v>
      </c>
      <c r="BD119" t="str">
        <f t="shared" si="157"/>
        <v>Possession</v>
      </c>
      <c r="BE119" t="str">
        <f t="shared" si="158"/>
        <v/>
      </c>
      <c r="BF119" t="str">
        <f t="shared" si="159"/>
        <v/>
      </c>
      <c r="BG119" t="str">
        <f t="shared" si="22"/>
        <v/>
      </c>
      <c r="BH119" cm="1">
        <f t="array" ref="BH119">IFERROR(_xlfn._xlws.FILTER(shifts!A:A,(shifts!B:B=events!Z119)*(shifts!AG:AG&gt;=events!BJ119)*(shifts!AH:AH&lt;=events!BK119)),BH118)</f>
        <v>4</v>
      </c>
      <c r="BI119" s="15">
        <f t="shared" si="160"/>
        <v>1</v>
      </c>
      <c r="BJ119">
        <f t="shared" si="161"/>
        <v>983</v>
      </c>
      <c r="BK119">
        <f t="shared" si="162"/>
        <v>982</v>
      </c>
      <c r="BL119" s="15">
        <f>SUMIFS(BI$2:BI119,K$2:K119,"=Intermission")+SUMIFS(BI$2:BI119,K$2:K119,"=Timeout")</f>
        <v>0</v>
      </c>
      <c r="BM119">
        <f t="shared" si="163"/>
        <v>0</v>
      </c>
      <c r="BN119" s="19">
        <f t="shared" si="164"/>
        <v>97</v>
      </c>
      <c r="BO119">
        <f t="shared" si="165"/>
        <v>92</v>
      </c>
      <c r="BP119" s="17">
        <f t="shared" si="166"/>
        <v>98</v>
      </c>
      <c r="BQ119" t="str">
        <f t="shared" si="167"/>
        <v>event_team_player_1</v>
      </c>
      <c r="BR119">
        <f>COUNTIFS(S$3:S119,"="&amp;S119,AH$3:AH119,"="&amp;AH119)</f>
        <v>1</v>
      </c>
      <c r="BS119" t="str">
        <f>IFERROR(VLOOKUP(BA119&amp;BT119&amp;X119,game_rosters!U:W,3,FALSE),"")</f>
        <v>P100019</v>
      </c>
      <c r="BT119" t="str">
        <f t="shared" si="168"/>
        <v>Triple J</v>
      </c>
    </row>
    <row r="120" spans="1:72" x14ac:dyDescent="0.2">
      <c r="A120">
        <f t="shared" si="143"/>
        <v>1</v>
      </c>
      <c r="E120" s="4"/>
      <c r="F120" s="45"/>
      <c r="G120" s="4"/>
      <c r="H120" s="47" t="s">
        <v>743</v>
      </c>
      <c r="I120" s="26">
        <v>21</v>
      </c>
      <c r="J120" s="26" t="str">
        <f t="shared" si="170"/>
        <v>o</v>
      </c>
      <c r="K120" t="s">
        <v>238</v>
      </c>
      <c r="L120" t="s">
        <v>174</v>
      </c>
      <c r="M120" t="s">
        <v>85</v>
      </c>
      <c r="N120" t="str">
        <f t="shared" si="187"/>
        <v>s</v>
      </c>
      <c r="O120" t="s">
        <v>144</v>
      </c>
      <c r="Q120" t="str">
        <f t="shared" si="181"/>
        <v>s</v>
      </c>
      <c r="R120" s="26">
        <v>1</v>
      </c>
      <c r="S120">
        <f>IF(A120=1,MAX($S$2:$S119)+1,IF(OR($I120&lt;&gt;"",A120="x"),$S119,""))</f>
        <v>65</v>
      </c>
      <c r="T120" t="str">
        <f>IF(D120=1,MAX($T$2:$T119)+1,IF(S120=S119,$T119,IF(D120="x",T119,IF(D119="x","",""))))</f>
        <v/>
      </c>
      <c r="U120" t="str">
        <f>IF(B120=1,MAX($U$2:$U119)+1,IF(AND($T120&lt;&gt;"",$T120=$T119),$U119,IF(B120="x",U119,"")))</f>
        <v/>
      </c>
      <c r="V120" t="str">
        <f>IF(C120=1,MAX($V$2:$V119)+1,IF(AND($T120&lt;&gt;"",$T120=$T119),$U119,IF(C120="x",V119,"")))</f>
        <v/>
      </c>
      <c r="W120" t="str" cm="1">
        <f t="array" ref="W120">IFERROR(_xlfn._xlws.FILTER(game_rosters!AC:AC,(game_rosters!J:J=events!X120)*(K120&lt;&gt;"")),"")</f>
        <v>h</v>
      </c>
      <c r="X120" cm="1">
        <f t="array" ref="X120">IF($I120&lt;&gt;"",$I120,INDEX($I$1:$I120,ROW()-COUNTIFS($T$1:$T120,"="&amp;$T120,$S$1:$S120,"&lt;"&amp;$S120)))</f>
        <v>21</v>
      </c>
      <c r="Y120" cm="1">
        <f t="array" ref="Y120">IFERROR(IF(_xlfn._xlws.FILTER(game_rosters!$J:$J,(game_rosters!$G:$G=events!$AM120)*(game_rosters!$J:$J=events!$X120))&gt;0,1,""),"")</f>
        <v>1</v>
      </c>
      <c r="Z120" s="6">
        <f t="shared" si="144"/>
        <v>1</v>
      </c>
      <c r="AA120">
        <f t="shared" si="145"/>
        <v>1065</v>
      </c>
      <c r="AB120" t="str">
        <f t="shared" si="146"/>
        <v/>
      </c>
      <c r="AC120">
        <f t="shared" si="147"/>
        <v>1065</v>
      </c>
      <c r="AD120" t="str">
        <f t="shared" si="148"/>
        <v>16</v>
      </c>
      <c r="AE120" t="str">
        <f t="shared" si="149"/>
        <v>22</v>
      </c>
      <c r="AF120" t="str">
        <f t="shared" si="150"/>
        <v>16</v>
      </c>
      <c r="AG120" t="str">
        <f t="shared" si="151"/>
        <v>18</v>
      </c>
      <c r="AH120" t="str">
        <f t="shared" si="194"/>
        <v>e</v>
      </c>
      <c r="AI120" t="str">
        <f t="shared" si="219"/>
        <v>o</v>
      </c>
      <c r="AJ120" t="str">
        <f t="shared" si="219"/>
        <v>o</v>
      </c>
      <c r="AK120" t="str">
        <f t="shared" si="196"/>
        <v>o</v>
      </c>
      <c r="AL120" t="str">
        <f t="shared" si="197"/>
        <v>d</v>
      </c>
      <c r="AM120" t="str">
        <f t="shared" si="152"/>
        <v>Home</v>
      </c>
      <c r="AN120" t="str">
        <f t="shared" si="198"/>
        <v>h</v>
      </c>
      <c r="AO120" t="str">
        <f t="shared" si="199"/>
        <v>o</v>
      </c>
      <c r="AP120" t="str">
        <f t="shared" si="200"/>
        <v>d</v>
      </c>
      <c r="AQ120" t="str">
        <f>IF(AM120&lt;&gt;"",AM120,IF($AC120=#REF!,#REF!,""))</f>
        <v>Home</v>
      </c>
      <c r="AR120" t="str">
        <f t="shared" si="201"/>
        <v>h</v>
      </c>
      <c r="AS120" t="str">
        <f t="shared" si="202"/>
        <v>Offensive</v>
      </c>
      <c r="AT120" t="str">
        <f t="shared" si="153"/>
        <v/>
      </c>
      <c r="AU120" t="str">
        <f t="shared" si="154"/>
        <v/>
      </c>
      <c r="AV120" t="str" cm="1">
        <f t="array" ref="AV120">IFERROR(IF(O120&lt;&gt;"",O120,IF(OR($S120="",$T120=""),"",IF(O120&lt;&gt;"",O120,IF($T120&lt;&gt;"",_xlfn._xlws.FILTER(O:O,($BT:$BT=$BT120)*($I:$I=$I120)*($T:$T=$T120)*($S:$S=_xlfn.MINIFS($S:$S,$T:$T,"="&amp;$T120)),"")))))&amp;"",IF(O120="","",""))&amp;""</f>
        <v>DriveWide</v>
      </c>
      <c r="AW120" t="str" cm="1">
        <f t="array" ref="AW120">IFERROR(IF(P120&lt;&gt;"",P120,IF(OR($S120="",$T120=""),"",IF($T120&lt;&gt;"",_xlfn._xlws.FILTER(P:P,($BT:$BT=$BT120)*($I:$I=$I120)*($T:$T=$T120)*($S:$S=_xlfn.MINIFS($S:$S,$T:$T,"="&amp;$T120)),""))))&amp;"",IF(P120="","",""))&amp;""</f>
        <v/>
      </c>
      <c r="AX120" t="str" cm="1">
        <f t="array" ref="AX120">IFERROR(IF(Q120&lt;&gt;"",Q120,IF(OR($S120="",$T120=""),"",IF($T120&lt;&gt;"",_xlfn._xlws.FILTER(Q:Q,($BT:$BT=$BT120)*($I:$I=$I120)*($T:$T=$T120)*($S:$S=_xlfn.MINIFS($S:$S,$T:$T,"="&amp;$T120)),""))))&amp;"",IF(Q120="","",""))&amp;""</f>
        <v>s</v>
      </c>
      <c r="AY120" t="str" cm="1">
        <f t="array" ref="AY120">IFERROR(IF(R120&lt;&gt;"",R120,IF(OR($S120="",$T120=""),"",IF($T120&lt;&gt;"",_xlfn._xlws.FILTER(R:R,($BT:$BT=$BT120)*($I:$I=$I120)*($T:$T=$T120)*($S:$S=_xlfn.MINIFS($S:$S,$T:$T,"="&amp;$T120)),""))))&amp;"",IF(R120="","",""))&amp;""</f>
        <v>1</v>
      </c>
      <c r="AZ120" s="6">
        <f t="shared" si="155"/>
        <v>14</v>
      </c>
      <c r="BA120">
        <f t="shared" ref="BA120:BC120" si="233">BA119</f>
        <v>18991</v>
      </c>
      <c r="BB120" t="str">
        <f t="shared" si="233"/>
        <v>Triple J</v>
      </c>
      <c r="BC120" t="str">
        <f t="shared" si="233"/>
        <v>Velodrome</v>
      </c>
      <c r="BD120" t="str">
        <f t="shared" si="157"/>
        <v>Zone_Entry_Exit</v>
      </c>
      <c r="BE120" t="str">
        <f t="shared" si="158"/>
        <v>Zone_Entry</v>
      </c>
      <c r="BF120" t="str">
        <f t="shared" si="159"/>
        <v>ZoneEntry-Rush</v>
      </c>
      <c r="BG120" t="str">
        <f t="shared" si="22"/>
        <v>s</v>
      </c>
      <c r="BH120" cm="1">
        <f t="array" ref="BH120">IFERROR(_xlfn._xlws.FILTER(shifts!A:A,(shifts!B:B=events!Z120)*(shifts!AG:AG&gt;=events!BJ120)*(shifts!AH:AH&lt;=events!BK120)),BH119)</f>
        <v>4</v>
      </c>
      <c r="BI120" s="15">
        <f t="shared" si="160"/>
        <v>4</v>
      </c>
      <c r="BJ120">
        <f t="shared" si="161"/>
        <v>982</v>
      </c>
      <c r="BK120">
        <f t="shared" si="162"/>
        <v>978</v>
      </c>
      <c r="BL120" s="15">
        <f>SUMIFS(BI$2:BI120,K$2:K120,"=Intermission")+SUMIFS(BI$2:BI120,K$2:K120,"=Timeout")</f>
        <v>0</v>
      </c>
      <c r="BM120">
        <f t="shared" si="163"/>
        <v>0</v>
      </c>
      <c r="BN120" s="19">
        <f t="shared" si="164"/>
        <v>98</v>
      </c>
      <c r="BO120">
        <f t="shared" si="165"/>
        <v>93</v>
      </c>
      <c r="BP120" s="17">
        <f t="shared" si="166"/>
        <v>102</v>
      </c>
      <c r="BQ120" t="str">
        <f t="shared" si="167"/>
        <v>event_team_player_1</v>
      </c>
      <c r="BR120">
        <f>COUNTIFS(S$3:S120,"="&amp;S120,AH$3:AH120,"="&amp;AH120)</f>
        <v>1</v>
      </c>
      <c r="BS120" t="str">
        <f>IFERROR(VLOOKUP(BA120&amp;BT120&amp;X120,game_rosters!U:W,3,FALSE),"")</f>
        <v>P100019</v>
      </c>
      <c r="BT120" t="str">
        <f t="shared" si="168"/>
        <v>Triple J</v>
      </c>
    </row>
    <row r="121" spans="1:72" x14ac:dyDescent="0.2">
      <c r="A121" t="str">
        <f t="shared" si="143"/>
        <v/>
      </c>
      <c r="E121" s="4"/>
      <c r="F121" s="45"/>
      <c r="G121" s="4"/>
      <c r="H121" s="47"/>
      <c r="I121" s="26">
        <v>93</v>
      </c>
      <c r="J121" s="26" t="str">
        <f t="shared" si="170"/>
        <v/>
      </c>
      <c r="N121" t="str">
        <f t="shared" si="187"/>
        <v/>
      </c>
      <c r="Q121" t="str">
        <f t="shared" si="181"/>
        <v/>
      </c>
      <c r="R121" s="26">
        <v>1</v>
      </c>
      <c r="S121">
        <f>IF(A121=1,MAX($S$2:$S120)+1,IF(OR($I121&lt;&gt;"",A121="x"),$S120,""))</f>
        <v>65</v>
      </c>
      <c r="T121" t="str">
        <f>IF(D121=1,MAX($T$2:$T120)+1,IF(S121=S120,$T120,IF(D121="x",T120,IF(D120="x","",""))))</f>
        <v/>
      </c>
      <c r="U121" t="str">
        <f>IF(B121=1,MAX($U$2:$U120)+1,IF(AND($T121&lt;&gt;"",$T121=$T120),$U120,IF(B121="x",U120,"")))</f>
        <v/>
      </c>
      <c r="V121" t="str">
        <f>IF(C121=1,MAX($V$2:$V120)+1,IF(AND($T121&lt;&gt;"",$T121=$T120),$U120,IF(C121="x",V120,"")))</f>
        <v/>
      </c>
      <c r="W121" t="str" cm="1">
        <f t="array" ref="W121">IFERROR(_xlfn._xlws.FILTER(game_rosters!AC:AC,(game_rosters!J:J=events!X121)*(K121&lt;&gt;"")),"")</f>
        <v/>
      </c>
      <c r="X121" cm="1">
        <f t="array" ref="X121">IF($I121&lt;&gt;"",$I121,INDEX($I$1:$I121,ROW()-COUNTIFS($T$1:$T121,"="&amp;$T121,$S$1:$S121,"&lt;"&amp;$S121)))</f>
        <v>93</v>
      </c>
      <c r="Y121" t="str" cm="1">
        <f t="array" ref="Y121">IFERROR(IF(_xlfn._xlws.FILTER(game_rosters!$J:$J,(game_rosters!$G:$G=events!$AM121)*(game_rosters!$J:$J=events!$X121))&gt;0,1,""),"")</f>
        <v/>
      </c>
      <c r="Z121" s="6">
        <f t="shared" si="144"/>
        <v>1</v>
      </c>
      <c r="AA121">
        <f t="shared" si="145"/>
        <v>1065</v>
      </c>
      <c r="AB121" t="str">
        <f t="shared" si="146"/>
        <v/>
      </c>
      <c r="AC121">
        <f t="shared" si="147"/>
        <v>1065</v>
      </c>
      <c r="AD121" t="str">
        <f t="shared" si="148"/>
        <v>16</v>
      </c>
      <c r="AE121" t="str">
        <f t="shared" si="149"/>
        <v>22</v>
      </c>
      <c r="AF121" t="str">
        <f t="shared" si="150"/>
        <v>16</v>
      </c>
      <c r="AG121" t="str">
        <f t="shared" si="151"/>
        <v>18</v>
      </c>
      <c r="AH121" t="str">
        <f t="shared" si="194"/>
        <v>o</v>
      </c>
      <c r="AI121" t="str">
        <f t="shared" si="219"/>
        <v>o</v>
      </c>
      <c r="AJ121" t="str">
        <f t="shared" si="219"/>
        <v>o</v>
      </c>
      <c r="AK121" t="str">
        <f t="shared" si="196"/>
        <v/>
      </c>
      <c r="AL121" t="str">
        <f t="shared" si="197"/>
        <v/>
      </c>
      <c r="AM121" t="str">
        <f t="shared" si="152"/>
        <v>Home</v>
      </c>
      <c r="AN121" t="str">
        <f t="shared" si="198"/>
        <v>h</v>
      </c>
      <c r="AO121" t="str">
        <f t="shared" si="199"/>
        <v>o</v>
      </c>
      <c r="AP121" t="str">
        <f t="shared" si="200"/>
        <v>d</v>
      </c>
      <c r="AQ121" t="str">
        <f>IF(AM121&lt;&gt;"",AM121,IF($AC121=#REF!,#REF!,""))</f>
        <v>Home</v>
      </c>
      <c r="AR121" t="str">
        <f t="shared" si="201"/>
        <v>h</v>
      </c>
      <c r="AS121" t="str">
        <f t="shared" si="202"/>
        <v>Defensive</v>
      </c>
      <c r="AT121" t="str">
        <f t="shared" si="153"/>
        <v/>
      </c>
      <c r="AU121" t="str">
        <f t="shared" si="154"/>
        <v/>
      </c>
      <c r="AV121" t="str" cm="1">
        <f t="array" ref="AV121">IFERROR(IF(O121&lt;&gt;"",O121,IF(OR($S121="",$T121=""),"",IF(O121&lt;&gt;"",O121,IF($T121&lt;&gt;"",_xlfn._xlws.FILTER(O:O,($BT:$BT=$BT121)*($I:$I=$I121)*($T:$T=$T121)*($S:$S=_xlfn.MINIFS($S:$S,$T:$T,"="&amp;$T121)),"")))))&amp;"",IF(O121="","",""))&amp;""</f>
        <v/>
      </c>
      <c r="AW121" t="str" cm="1">
        <f t="array" ref="AW121">IFERROR(IF(P121&lt;&gt;"",P121,IF(OR($S121="",$T121=""),"",IF($T121&lt;&gt;"",_xlfn._xlws.FILTER(P:P,($BT:$BT=$BT121)*($I:$I=$I121)*($T:$T=$T121)*($S:$S=_xlfn.MINIFS($S:$S,$T:$T,"="&amp;$T121)),""))))&amp;"",IF(P121="","",""))&amp;""</f>
        <v/>
      </c>
      <c r="AX121" t="str" cm="1">
        <f t="array" ref="AX121">IFERROR(IF(Q121&lt;&gt;"",Q121,IF(OR($S121="",$T121=""),"",IF($T121&lt;&gt;"",_xlfn._xlws.FILTER(Q:Q,($BT:$BT=$BT121)*($I:$I=$I121)*($T:$T=$T121)*($S:$S=_xlfn.MINIFS($S:$S,$T:$T,"="&amp;$T121)),""))))&amp;"",IF(Q121="","",""))&amp;""</f>
        <v/>
      </c>
      <c r="AY121" t="str" cm="1">
        <f t="array" ref="AY121">IFERROR(IF(R121&lt;&gt;"",R121,IF(OR($S121="",$T121=""),"",IF($T121&lt;&gt;"",_xlfn._xlws.FILTER(R:R,($BT:$BT=$BT121)*($I:$I=$I121)*($T:$T=$T121)*($S:$S=_xlfn.MINIFS($S:$S,$T:$T,"="&amp;$T121)),""))))&amp;"",IF(R121="","",""))&amp;""</f>
        <v>1</v>
      </c>
      <c r="AZ121" s="6">
        <f t="shared" si="155"/>
        <v>14</v>
      </c>
      <c r="BA121">
        <f t="shared" ref="BA121:BC121" si="234">BA120</f>
        <v>18991</v>
      </c>
      <c r="BB121" t="str">
        <f t="shared" si="234"/>
        <v>Triple J</v>
      </c>
      <c r="BC121" t="str">
        <f t="shared" si="234"/>
        <v>Velodrome</v>
      </c>
      <c r="BD121" t="str">
        <f t="shared" si="157"/>
        <v>Zone_Entry_Exit</v>
      </c>
      <c r="BE121" t="str">
        <f t="shared" si="158"/>
        <v>Zone_Entry</v>
      </c>
      <c r="BF121" t="str">
        <f t="shared" si="159"/>
        <v>ZoneEntry-Rush</v>
      </c>
      <c r="BG121" t="str">
        <f t="shared" si="22"/>
        <v>s</v>
      </c>
      <c r="BH121" cm="1">
        <f t="array" ref="BH121">IFERROR(_xlfn._xlws.FILTER(shifts!A:A,(shifts!B:B=events!Z121)*(shifts!AG:AG&gt;=events!BJ121)*(shifts!AH:AH&lt;=events!BK121)),BH120)</f>
        <v>4</v>
      </c>
      <c r="BI121" s="15">
        <f t="shared" si="160"/>
        <v>4</v>
      </c>
      <c r="BJ121">
        <f t="shared" si="161"/>
        <v>982</v>
      </c>
      <c r="BK121">
        <f t="shared" si="162"/>
        <v>978</v>
      </c>
      <c r="BL121" s="15">
        <f>SUMIFS(BI$2:BI121,K$2:K121,"=Intermission")+SUMIFS(BI$2:BI121,K$2:K121,"=Timeout")</f>
        <v>0</v>
      </c>
      <c r="BM121">
        <f t="shared" si="163"/>
        <v>0</v>
      </c>
      <c r="BN121" s="19">
        <f t="shared" si="164"/>
        <v>98</v>
      </c>
      <c r="BO121">
        <f t="shared" si="165"/>
        <v>93</v>
      </c>
      <c r="BP121" s="17">
        <f t="shared" si="166"/>
        <v>102</v>
      </c>
      <c r="BQ121" t="str">
        <f t="shared" si="167"/>
        <v>opp_team_player_1</v>
      </c>
      <c r="BR121">
        <f>COUNTIFS(S$3:S121,"="&amp;S121,AH$3:AH121,"="&amp;AH121)</f>
        <v>1</v>
      </c>
      <c r="BS121" t="str">
        <f>IFERROR(VLOOKUP(BA121&amp;BT121&amp;X121,game_rosters!U:W,3,FALSE),"")</f>
        <v>P100093</v>
      </c>
      <c r="BT121" t="str">
        <f t="shared" si="168"/>
        <v>Velodrome</v>
      </c>
    </row>
    <row r="122" spans="1:72" x14ac:dyDescent="0.2">
      <c r="A122">
        <f t="shared" si="143"/>
        <v>1</v>
      </c>
      <c r="E122" s="4"/>
      <c r="F122" s="45"/>
      <c r="G122" s="4"/>
      <c r="H122" s="47" t="s">
        <v>744</v>
      </c>
      <c r="I122" s="26">
        <v>21</v>
      </c>
      <c r="J122" s="26" t="s">
        <v>368</v>
      </c>
      <c r="K122" t="s">
        <v>13</v>
      </c>
      <c r="N122" t="str">
        <f t="shared" si="187"/>
        <v/>
      </c>
      <c r="Q122" t="str">
        <f t="shared" si="181"/>
        <v/>
      </c>
      <c r="R122" s="26">
        <v>1</v>
      </c>
      <c r="S122">
        <f>IF(A122=1,MAX($S$2:$S121)+1,IF(OR($I122&lt;&gt;"",A122="x"),$S121,""))</f>
        <v>66</v>
      </c>
      <c r="T122" t="str">
        <f>IF(D122=1,MAX($T$2:$T121)+1,IF(S122=S121,$T121,IF(D122="x",T121,IF(D121="x","",""))))</f>
        <v/>
      </c>
      <c r="U122" t="str">
        <f>IF(B122=1,MAX($U$2:$U121)+1,IF(AND($T122&lt;&gt;"",$T122=$T121),$U121,IF(B122="x",U121,"")))</f>
        <v/>
      </c>
      <c r="V122" t="str">
        <f>IF(C122=1,MAX($V$2:$V121)+1,IF(AND($T122&lt;&gt;"",$T122=$T121),$U121,IF(C122="x",V121,"")))</f>
        <v/>
      </c>
      <c r="W122" t="str" cm="1">
        <f t="array" ref="W122">IFERROR(_xlfn._xlws.FILTER(game_rosters!AC:AC,(game_rosters!J:J=events!X122)*(K122&lt;&gt;"")),"")</f>
        <v>h</v>
      </c>
      <c r="X122" cm="1">
        <f t="array" ref="X122">IF($I122&lt;&gt;"",$I122,INDEX($I$1:$I122,ROW()-COUNTIFS($T$1:$T122,"="&amp;$T122,$S$1:$S122,"&lt;"&amp;$S122)))</f>
        <v>21</v>
      </c>
      <c r="Y122" cm="1">
        <f t="array" ref="Y122">IFERROR(IF(_xlfn._xlws.FILTER(game_rosters!$J:$J,(game_rosters!$G:$G=events!$AM122)*(game_rosters!$J:$J=events!$X122))&gt;0,1,""),"")</f>
        <v>1</v>
      </c>
      <c r="Z122" s="6">
        <f t="shared" si="144"/>
        <v>1</v>
      </c>
      <c r="AA122">
        <f t="shared" si="145"/>
        <v>1066</v>
      </c>
      <c r="AB122" t="str">
        <f t="shared" si="146"/>
        <v/>
      </c>
      <c r="AC122">
        <f t="shared" si="147"/>
        <v>1066</v>
      </c>
      <c r="AD122" t="str">
        <f t="shared" si="148"/>
        <v>16</v>
      </c>
      <c r="AE122" t="str">
        <f t="shared" si="149"/>
        <v>18</v>
      </c>
      <c r="AF122" t="str">
        <f t="shared" si="150"/>
        <v>16</v>
      </c>
      <c r="AG122" t="str">
        <f t="shared" si="151"/>
        <v>15</v>
      </c>
      <c r="AH122" t="str">
        <f t="shared" si="194"/>
        <v>e</v>
      </c>
      <c r="AI122" t="str">
        <f t="shared" si="219"/>
        <v>o</v>
      </c>
      <c r="AJ122" t="str">
        <f t="shared" si="219"/>
        <v>o</v>
      </c>
      <c r="AK122" t="str">
        <f t="shared" si="196"/>
        <v>o</v>
      </c>
      <c r="AL122" t="str">
        <f t="shared" si="197"/>
        <v>d</v>
      </c>
      <c r="AM122" t="str">
        <f t="shared" si="152"/>
        <v>Home</v>
      </c>
      <c r="AN122" t="str">
        <f t="shared" si="198"/>
        <v>h</v>
      </c>
      <c r="AO122" t="str">
        <f t="shared" si="199"/>
        <v>o</v>
      </c>
      <c r="AP122" t="str">
        <f t="shared" si="200"/>
        <v>d</v>
      </c>
      <c r="AQ122" t="str">
        <f>IF(AM122&lt;&gt;"",AM122,IF($AC122=#REF!,#REF!,""))</f>
        <v>Home</v>
      </c>
      <c r="AR122" t="str">
        <f t="shared" si="201"/>
        <v>h</v>
      </c>
      <c r="AS122" t="str">
        <f t="shared" si="202"/>
        <v>Offensive</v>
      </c>
      <c r="AT122" t="str">
        <f t="shared" si="153"/>
        <v/>
      </c>
      <c r="AU122" t="str">
        <f t="shared" si="154"/>
        <v/>
      </c>
      <c r="AV122" t="str" cm="1">
        <f t="array" ref="AV122">IFERROR(IF(O122&lt;&gt;"",O122,IF(OR($S122="",$T122=""),"",IF(O122&lt;&gt;"",O122,IF($T122&lt;&gt;"",_xlfn._xlws.FILTER(O:O,($BT:$BT=$BT122)*($I:$I=$I122)*($T:$T=$T122)*($S:$S=_xlfn.MINIFS($S:$S,$T:$T,"="&amp;$T122)),"")))))&amp;"",IF(O122="","",""))&amp;""</f>
        <v/>
      </c>
      <c r="AW122" t="str" cm="1">
        <f t="array" ref="AW122">IFERROR(IF(P122&lt;&gt;"",P122,IF(OR($S122="",$T122=""),"",IF($T122&lt;&gt;"",_xlfn._xlws.FILTER(P:P,($BT:$BT=$BT122)*($I:$I=$I122)*($T:$T=$T122)*($S:$S=_xlfn.MINIFS($S:$S,$T:$T,"="&amp;$T122)),""))))&amp;"",IF(P122="","",""))&amp;""</f>
        <v/>
      </c>
      <c r="AX122" t="str" cm="1">
        <f t="array" ref="AX122">IFERROR(IF(Q122&lt;&gt;"",Q122,IF(OR($S122="",$T122=""),"",IF($T122&lt;&gt;"",_xlfn._xlws.FILTER(Q:Q,($BT:$BT=$BT122)*($I:$I=$I122)*($T:$T=$T122)*($S:$S=_xlfn.MINIFS($S:$S,$T:$T,"="&amp;$T122)),""))))&amp;"",IF(Q122="","",""))&amp;""</f>
        <v/>
      </c>
      <c r="AY122" t="str" cm="1">
        <f t="array" ref="AY122">IFERROR(IF(R122&lt;&gt;"",R122,IF(OR($S122="",$T122=""),"",IF($T122&lt;&gt;"",_xlfn._xlws.FILTER(R:R,($BT:$BT=$BT122)*($I:$I=$I122)*($T:$T=$T122)*($S:$S=_xlfn.MINIFS($S:$S,$T:$T,"="&amp;$T122)),""))))&amp;"",IF(R122="","",""))&amp;""</f>
        <v>1</v>
      </c>
      <c r="AZ122" s="6">
        <f t="shared" si="155"/>
        <v>14</v>
      </c>
      <c r="BA122">
        <f t="shared" ref="BA122:BC122" si="235">BA121</f>
        <v>18991</v>
      </c>
      <c r="BB122" t="str">
        <f t="shared" si="235"/>
        <v>Triple J</v>
      </c>
      <c r="BC122" t="str">
        <f t="shared" si="235"/>
        <v>Velodrome</v>
      </c>
      <c r="BD122" t="str">
        <f t="shared" si="157"/>
        <v>Possession</v>
      </c>
      <c r="BE122" t="str">
        <f t="shared" si="158"/>
        <v/>
      </c>
      <c r="BF122" t="str">
        <f t="shared" si="159"/>
        <v/>
      </c>
      <c r="BG122" t="str">
        <f t="shared" si="22"/>
        <v/>
      </c>
      <c r="BH122" cm="1">
        <f t="array" ref="BH122">IFERROR(_xlfn._xlws.FILTER(shifts!A:A,(shifts!B:B=events!Z122)*(shifts!AG:AG&gt;=events!BJ122)*(shifts!AH:AH&lt;=events!BK122)),BH121)</f>
        <v>4</v>
      </c>
      <c r="BI122" s="15">
        <f t="shared" si="160"/>
        <v>3</v>
      </c>
      <c r="BJ122">
        <f t="shared" si="161"/>
        <v>978</v>
      </c>
      <c r="BK122">
        <f t="shared" si="162"/>
        <v>975</v>
      </c>
      <c r="BL122" s="15">
        <f>SUMIFS(BI$2:BI122,K$2:K122,"=Intermission")+SUMIFS(BI$2:BI122,K$2:K122,"=Timeout")</f>
        <v>0</v>
      </c>
      <c r="BM122">
        <f t="shared" si="163"/>
        <v>0</v>
      </c>
      <c r="BN122" s="19">
        <f t="shared" si="164"/>
        <v>102</v>
      </c>
      <c r="BO122">
        <f t="shared" si="165"/>
        <v>97</v>
      </c>
      <c r="BP122" s="17">
        <f t="shared" si="166"/>
        <v>105</v>
      </c>
      <c r="BQ122" t="str">
        <f t="shared" si="167"/>
        <v>event_team_player_1</v>
      </c>
      <c r="BR122">
        <f>COUNTIFS(S$3:S122,"="&amp;S122,AH$3:AH122,"="&amp;AH122)</f>
        <v>1</v>
      </c>
      <c r="BS122" t="str">
        <f>IFERROR(VLOOKUP(BA122&amp;BT122&amp;X122,game_rosters!U:W,3,FALSE),"")</f>
        <v>P100019</v>
      </c>
      <c r="BT122" t="str">
        <f t="shared" si="168"/>
        <v>Triple J</v>
      </c>
    </row>
    <row r="123" spans="1:72" x14ac:dyDescent="0.2">
      <c r="A123" t="str">
        <f t="shared" si="143"/>
        <v/>
      </c>
      <c r="E123" s="4"/>
      <c r="F123" s="45"/>
      <c r="G123" s="4"/>
      <c r="H123" s="47"/>
      <c r="I123" s="26">
        <v>9</v>
      </c>
      <c r="J123" s="26" t="str">
        <f t="shared" si="170"/>
        <v/>
      </c>
      <c r="N123" t="str">
        <f t="shared" si="187"/>
        <v/>
      </c>
      <c r="Q123" t="str">
        <f t="shared" si="181"/>
        <v/>
      </c>
      <c r="R123" s="26">
        <v>1</v>
      </c>
      <c r="S123">
        <f>IF(A123=1,MAX($S$2:$S122)+1,IF(OR($I123&lt;&gt;"",A123="x"),$S122,""))</f>
        <v>66</v>
      </c>
      <c r="T123" t="str">
        <f>IF(D123=1,MAX($T$2:$T122)+1,IF(S123=S122,$T122,IF(D123="x",T122,IF(D122="x","",""))))</f>
        <v/>
      </c>
      <c r="U123" t="str">
        <f>IF(B123=1,MAX($U$2:$U122)+1,IF(AND($T123&lt;&gt;"",$T123=$T122),$U122,IF(B123="x",U122,"")))</f>
        <v/>
      </c>
      <c r="V123" t="str">
        <f>IF(C123=1,MAX($V$2:$V122)+1,IF(AND($T123&lt;&gt;"",$T123=$T122),$U122,IF(C123="x",V122,"")))</f>
        <v/>
      </c>
      <c r="W123" t="str" cm="1">
        <f t="array" ref="W123">IFERROR(_xlfn._xlws.FILTER(game_rosters!AC:AC,(game_rosters!J:J=events!X123)*(K123&lt;&gt;"")),"")</f>
        <v/>
      </c>
      <c r="X123" cm="1">
        <f t="array" ref="X123">IF($I123&lt;&gt;"",$I123,INDEX($I$1:$I123,ROW()-COUNTIFS($T$1:$T123,"="&amp;$T123,$S$1:$S123,"&lt;"&amp;$S123)))</f>
        <v>9</v>
      </c>
      <c r="Y123" t="str" cm="1">
        <f t="array" ref="Y123">IFERROR(IF(_xlfn._xlws.FILTER(game_rosters!$J:$J,(game_rosters!$G:$G=events!$AM123)*(game_rosters!$J:$J=events!$X123))&gt;0,1,""),"")</f>
        <v/>
      </c>
      <c r="Z123" s="6">
        <f t="shared" si="144"/>
        <v>1</v>
      </c>
      <c r="AA123">
        <f t="shared" si="145"/>
        <v>1066</v>
      </c>
      <c r="AB123" t="str">
        <f t="shared" si="146"/>
        <v/>
      </c>
      <c r="AC123">
        <f t="shared" si="147"/>
        <v>1066</v>
      </c>
      <c r="AD123" t="str">
        <f t="shared" si="148"/>
        <v>16</v>
      </c>
      <c r="AE123" t="str">
        <f t="shared" si="149"/>
        <v>18</v>
      </c>
      <c r="AF123" t="str">
        <f t="shared" si="150"/>
        <v>16</v>
      </c>
      <c r="AG123" t="str">
        <f t="shared" si="151"/>
        <v>15</v>
      </c>
      <c r="AH123" t="str">
        <f t="shared" si="194"/>
        <v>o</v>
      </c>
      <c r="AI123" t="str">
        <f t="shared" ref="AI123:AJ138" si="236">IF($J123&lt;&gt;"",$J123,IF($AC123=$AC122,AI122,""))</f>
        <v>o</v>
      </c>
      <c r="AJ123" t="str">
        <f t="shared" si="236"/>
        <v>o</v>
      </c>
      <c r="AK123" t="str">
        <f t="shared" si="196"/>
        <v/>
      </c>
      <c r="AL123" t="str">
        <f t="shared" si="197"/>
        <v/>
      </c>
      <c r="AM123" t="str">
        <f t="shared" si="152"/>
        <v>Home</v>
      </c>
      <c r="AN123" t="str">
        <f t="shared" si="198"/>
        <v>h</v>
      </c>
      <c r="AO123" t="str">
        <f t="shared" si="199"/>
        <v>o</v>
      </c>
      <c r="AP123" t="str">
        <f t="shared" si="200"/>
        <v>d</v>
      </c>
      <c r="AQ123" t="str">
        <f>IF(AM123&lt;&gt;"",AM123,IF($AC123=#REF!,#REF!,""))</f>
        <v>Home</v>
      </c>
      <c r="AR123" t="str">
        <f t="shared" si="201"/>
        <v>h</v>
      </c>
      <c r="AS123" t="str">
        <f t="shared" si="202"/>
        <v>Defensive</v>
      </c>
      <c r="AT123" t="str">
        <f t="shared" si="153"/>
        <v/>
      </c>
      <c r="AU123" t="str">
        <f t="shared" si="154"/>
        <v/>
      </c>
      <c r="AV123" t="str" cm="1">
        <f t="array" ref="AV123">IFERROR(IF(O123&lt;&gt;"",O123,IF(OR($S123="",$T123=""),"",IF(O123&lt;&gt;"",O123,IF($T123&lt;&gt;"",_xlfn._xlws.FILTER(O:O,($BT:$BT=$BT123)*($I:$I=$I123)*($T:$T=$T123)*($S:$S=_xlfn.MINIFS($S:$S,$T:$T,"="&amp;$T123)),"")))))&amp;"",IF(O123="","",""))&amp;""</f>
        <v/>
      </c>
      <c r="AW123" t="str" cm="1">
        <f t="array" ref="AW123">IFERROR(IF(P123&lt;&gt;"",P123,IF(OR($S123="",$T123=""),"",IF($T123&lt;&gt;"",_xlfn._xlws.FILTER(P:P,($BT:$BT=$BT123)*($I:$I=$I123)*($T:$T=$T123)*($S:$S=_xlfn.MINIFS($S:$S,$T:$T,"="&amp;$T123)),""))))&amp;"",IF(P123="","",""))&amp;""</f>
        <v/>
      </c>
      <c r="AX123" t="str" cm="1">
        <f t="array" ref="AX123">IFERROR(IF(Q123&lt;&gt;"",Q123,IF(OR($S123="",$T123=""),"",IF($T123&lt;&gt;"",_xlfn._xlws.FILTER(Q:Q,($BT:$BT=$BT123)*($I:$I=$I123)*($T:$T=$T123)*($S:$S=_xlfn.MINIFS($S:$S,$T:$T,"="&amp;$T123)),""))))&amp;"",IF(Q123="","",""))&amp;""</f>
        <v/>
      </c>
      <c r="AY123" t="str" cm="1">
        <f t="array" ref="AY123">IFERROR(IF(R123&lt;&gt;"",R123,IF(OR($S123="",$T123=""),"",IF($T123&lt;&gt;"",_xlfn._xlws.FILTER(R:R,($BT:$BT=$BT123)*($I:$I=$I123)*($T:$T=$T123)*($S:$S=_xlfn.MINIFS($S:$S,$T:$T,"="&amp;$T123)),""))))&amp;"",IF(R123="","",""))&amp;""</f>
        <v>1</v>
      </c>
      <c r="AZ123" s="6">
        <f t="shared" si="155"/>
        <v>14</v>
      </c>
      <c r="BA123">
        <f t="shared" ref="BA123:BC123" si="237">BA122</f>
        <v>18991</v>
      </c>
      <c r="BB123" t="str">
        <f t="shared" si="237"/>
        <v>Triple J</v>
      </c>
      <c r="BC123" t="str">
        <f t="shared" si="237"/>
        <v>Velodrome</v>
      </c>
      <c r="BD123" t="str">
        <f t="shared" si="157"/>
        <v>Possession</v>
      </c>
      <c r="BE123" t="str">
        <f t="shared" si="158"/>
        <v/>
      </c>
      <c r="BF123" t="str">
        <f t="shared" si="159"/>
        <v/>
      </c>
      <c r="BG123" t="str">
        <f t="shared" si="22"/>
        <v/>
      </c>
      <c r="BH123" cm="1">
        <f t="array" ref="BH123">IFERROR(_xlfn._xlws.FILTER(shifts!A:A,(shifts!B:B=events!Z123)*(shifts!AG:AG&gt;=events!BJ123)*(shifts!AH:AH&lt;=events!BK123)),BH122)</f>
        <v>4</v>
      </c>
      <c r="BI123" s="15">
        <f t="shared" si="160"/>
        <v>3</v>
      </c>
      <c r="BJ123">
        <f t="shared" si="161"/>
        <v>978</v>
      </c>
      <c r="BK123">
        <f t="shared" si="162"/>
        <v>975</v>
      </c>
      <c r="BL123" s="15">
        <f>SUMIFS(BI$2:BI123,K$2:K123,"=Intermission")+SUMIFS(BI$2:BI123,K$2:K123,"=Timeout")</f>
        <v>0</v>
      </c>
      <c r="BM123">
        <f t="shared" si="163"/>
        <v>0</v>
      </c>
      <c r="BN123" s="19">
        <f t="shared" si="164"/>
        <v>102</v>
      </c>
      <c r="BO123">
        <f t="shared" si="165"/>
        <v>97</v>
      </c>
      <c r="BP123" s="17">
        <f t="shared" si="166"/>
        <v>105</v>
      </c>
      <c r="BQ123" t="str">
        <f t="shared" si="167"/>
        <v>opp_team_player_1</v>
      </c>
      <c r="BR123">
        <f>COUNTIFS(S$3:S123,"="&amp;S123,AH$3:AH123,"="&amp;AH123)</f>
        <v>1</v>
      </c>
      <c r="BS123" t="str">
        <f>IFERROR(VLOOKUP(BA123&amp;BT123&amp;X123,game_rosters!U:W,3,FALSE),"")</f>
        <v>P100105</v>
      </c>
      <c r="BT123" t="str">
        <f t="shared" si="168"/>
        <v>Velodrome</v>
      </c>
    </row>
    <row r="124" spans="1:72" x14ac:dyDescent="0.2">
      <c r="A124">
        <f t="shared" si="143"/>
        <v>1</v>
      </c>
      <c r="E124" s="4"/>
      <c r="F124" s="45"/>
      <c r="G124" s="4"/>
      <c r="H124" s="47"/>
      <c r="I124" s="26">
        <v>21</v>
      </c>
      <c r="J124" s="26" t="s">
        <v>368</v>
      </c>
      <c r="K124" t="s">
        <v>7</v>
      </c>
      <c r="L124" t="s">
        <v>192</v>
      </c>
      <c r="M124" t="s">
        <v>68</v>
      </c>
      <c r="N124" t="str">
        <f t="shared" si="187"/>
        <v>u</v>
      </c>
      <c r="Q124" t="str">
        <f t="shared" si="181"/>
        <v/>
      </c>
      <c r="R124" s="26">
        <v>1</v>
      </c>
      <c r="S124">
        <f>IF(A124=1,MAX($S$2:$S123)+1,IF(OR($I124&lt;&gt;"",A124="x"),$S123,""))</f>
        <v>67</v>
      </c>
      <c r="T124" t="str">
        <f>IF(D124=1,MAX($T$2:$T123)+1,IF(S124=S123,$T123,IF(D124="x",T123,IF(D123="x","",""))))</f>
        <v/>
      </c>
      <c r="U124" t="str">
        <f>IF(B124=1,MAX($U$2:$U123)+1,IF(AND($T124&lt;&gt;"",$T124=$T123),$U123,IF(B124="x",U123,"")))</f>
        <v/>
      </c>
      <c r="V124" t="str">
        <f>IF(C124=1,MAX($V$2:$V123)+1,IF(AND($T124&lt;&gt;"",$T124=$T123),$U123,IF(C124="x",V123,"")))</f>
        <v/>
      </c>
      <c r="W124" t="str" cm="1">
        <f t="array" ref="W124">IFERROR(_xlfn._xlws.FILTER(game_rosters!AC:AC,(game_rosters!J:J=events!X124)*(K124&lt;&gt;"")),"")</f>
        <v>h</v>
      </c>
      <c r="X124" cm="1">
        <f t="array" ref="X124">IF($I124&lt;&gt;"",$I124,INDEX($I$1:$I124,ROW()-COUNTIFS($T$1:$T124,"="&amp;$T124,$S$1:$S124,"&lt;"&amp;$S124)))</f>
        <v>21</v>
      </c>
      <c r="Y124" cm="1">
        <f t="array" ref="Y124">IFERROR(IF(_xlfn._xlws.FILTER(game_rosters!$J:$J,(game_rosters!$G:$G=events!$AM124)*(game_rosters!$J:$J=events!$X124))&gt;0,1,""),"")</f>
        <v>1</v>
      </c>
      <c r="Z124" s="6">
        <f t="shared" si="144"/>
        <v>1</v>
      </c>
      <c r="AA124">
        <f t="shared" si="145"/>
        <v>1067</v>
      </c>
      <c r="AB124" t="str">
        <f t="shared" si="146"/>
        <v/>
      </c>
      <c r="AC124">
        <f t="shared" si="147"/>
        <v>1067</v>
      </c>
      <c r="AD124" t="str">
        <f t="shared" si="148"/>
        <v>16</v>
      </c>
      <c r="AE124" t="str">
        <f t="shared" si="149"/>
        <v>15</v>
      </c>
      <c r="AF124" t="str">
        <f t="shared" si="150"/>
        <v/>
      </c>
      <c r="AG124" t="str">
        <f t="shared" si="151"/>
        <v/>
      </c>
      <c r="AH124" t="str">
        <f t="shared" si="194"/>
        <v>e</v>
      </c>
      <c r="AI124" t="str">
        <f t="shared" si="236"/>
        <v>o</v>
      </c>
      <c r="AJ124" t="str">
        <f t="shared" si="236"/>
        <v>o</v>
      </c>
      <c r="AK124" t="str">
        <f t="shared" si="196"/>
        <v>o</v>
      </c>
      <c r="AL124" t="str">
        <f t="shared" si="197"/>
        <v>d</v>
      </c>
      <c r="AM124" t="str">
        <f t="shared" si="152"/>
        <v>Home</v>
      </c>
      <c r="AN124" t="str">
        <f t="shared" si="198"/>
        <v>h</v>
      </c>
      <c r="AO124" t="str">
        <f t="shared" si="199"/>
        <v>o</v>
      </c>
      <c r="AP124" t="str">
        <f t="shared" si="200"/>
        <v>d</v>
      </c>
      <c r="AQ124" t="str">
        <f>IF(AM124&lt;&gt;"",AM124,IF($AC124=#REF!,#REF!,""))</f>
        <v>Home</v>
      </c>
      <c r="AR124" t="str">
        <f t="shared" si="201"/>
        <v>h</v>
      </c>
      <c r="AS124" t="str">
        <f t="shared" si="202"/>
        <v>Offensive</v>
      </c>
      <c r="AT124" t="str">
        <f t="shared" si="153"/>
        <v/>
      </c>
      <c r="AU124" t="str">
        <f t="shared" si="154"/>
        <v/>
      </c>
      <c r="AV124" t="str" cm="1">
        <f t="array" ref="AV124">IFERROR(IF(O124&lt;&gt;"",O124,IF(OR($S124="",$T124=""),"",IF(O124&lt;&gt;"",O124,IF($T124&lt;&gt;"",_xlfn._xlws.FILTER(O:O,($BT:$BT=$BT124)*($I:$I=$I124)*($T:$T=$T124)*($S:$S=_xlfn.MINIFS($S:$S,$T:$T,"="&amp;$T124)),"")))))&amp;"",IF(O124="","",""))&amp;""</f>
        <v/>
      </c>
      <c r="AW124" t="str" cm="1">
        <f t="array" ref="AW124">IFERROR(IF(P124&lt;&gt;"",P124,IF(OR($S124="",$T124=""),"",IF($T124&lt;&gt;"",_xlfn._xlws.FILTER(P:P,($BT:$BT=$BT124)*($I:$I=$I124)*($T:$T=$T124)*($S:$S=_xlfn.MINIFS($S:$S,$T:$T,"="&amp;$T124)),""))))&amp;"",IF(P124="","",""))&amp;""</f>
        <v/>
      </c>
      <c r="AX124" t="str" cm="1">
        <f t="array" ref="AX124">IFERROR(IF(Q124&lt;&gt;"",Q124,IF(OR($S124="",$T124=""),"",IF($T124&lt;&gt;"",_xlfn._xlws.FILTER(Q:Q,($BT:$BT=$BT124)*($I:$I=$I124)*($T:$T=$T124)*($S:$S=_xlfn.MINIFS($S:$S,$T:$T,"="&amp;$T124)),""))))&amp;"",IF(Q124="","",""))&amp;""</f>
        <v/>
      </c>
      <c r="AY124" t="str" cm="1">
        <f t="array" ref="AY124">IFERROR(IF(R124&lt;&gt;"",R124,IF(OR($S124="",$T124=""),"",IF($T124&lt;&gt;"",_xlfn._xlws.FILTER(R:R,($BT:$BT=$BT124)*($I:$I=$I124)*($T:$T=$T124)*($S:$S=_xlfn.MINIFS($S:$S,$T:$T,"="&amp;$T124)),""))))&amp;"",IF(R124="","",""))&amp;""</f>
        <v>1</v>
      </c>
      <c r="AZ124" s="6">
        <f t="shared" si="155"/>
        <v>14</v>
      </c>
      <c r="BA124">
        <f t="shared" ref="BA124:BC124" si="238">BA123</f>
        <v>18991</v>
      </c>
      <c r="BB124" t="str">
        <f t="shared" si="238"/>
        <v>Triple J</v>
      </c>
      <c r="BC124" t="str">
        <f t="shared" si="238"/>
        <v>Velodrome</v>
      </c>
      <c r="BD124" t="str">
        <f t="shared" si="157"/>
        <v>Pass</v>
      </c>
      <c r="BE124" t="str">
        <f t="shared" si="158"/>
        <v>Pass_Deflected</v>
      </c>
      <c r="BF124" t="str">
        <f t="shared" si="159"/>
        <v>Pass-Forehand</v>
      </c>
      <c r="BG124" t="str">
        <f t="shared" si="22"/>
        <v>u</v>
      </c>
      <c r="BH124" cm="1">
        <f t="array" ref="BH124">IFERROR(_xlfn._xlws.FILTER(shifts!A:A,(shifts!B:B=events!Z124)*(shifts!AG:AG&gt;=events!BJ124)*(shifts!AH:AH&lt;=events!BK124)),BH123)</f>
        <v>4</v>
      </c>
      <c r="BI124" s="15">
        <f t="shared" si="160"/>
        <v>0</v>
      </c>
      <c r="BJ124">
        <f t="shared" si="161"/>
        <v>975</v>
      </c>
      <c r="BK124">
        <f t="shared" si="162"/>
        <v>975</v>
      </c>
      <c r="BL124" s="15">
        <f>SUMIFS(BI$2:BI124,K$2:K124,"=Intermission")+SUMIFS(BI$2:BI124,K$2:K124,"=Timeout")</f>
        <v>0</v>
      </c>
      <c r="BM124">
        <f t="shared" si="163"/>
        <v>0</v>
      </c>
      <c r="BN124" s="19">
        <f t="shared" si="164"/>
        <v>105</v>
      </c>
      <c r="BO124">
        <f t="shared" si="165"/>
        <v>100</v>
      </c>
      <c r="BP124" s="17">
        <f t="shared" si="166"/>
        <v>105</v>
      </c>
      <c r="BQ124" t="str">
        <f t="shared" si="167"/>
        <v>event_team_player_1</v>
      </c>
      <c r="BR124">
        <f>COUNTIFS(S$3:S124,"="&amp;S124,AH$3:AH124,"="&amp;AH124)</f>
        <v>1</v>
      </c>
      <c r="BS124" t="str">
        <f>IFERROR(VLOOKUP(BA124&amp;BT124&amp;X124,game_rosters!U:W,3,FALSE),"")</f>
        <v>P100019</v>
      </c>
      <c r="BT124" t="str">
        <f t="shared" si="168"/>
        <v>Triple J</v>
      </c>
    </row>
    <row r="125" spans="1:72" x14ac:dyDescent="0.2">
      <c r="A125" t="str">
        <f t="shared" si="143"/>
        <v/>
      </c>
      <c r="E125" s="4"/>
      <c r="F125" s="45"/>
      <c r="G125" s="4"/>
      <c r="H125" s="47"/>
      <c r="I125" s="26">
        <v>90</v>
      </c>
      <c r="J125" s="26" t="str">
        <f t="shared" si="170"/>
        <v/>
      </c>
      <c r="N125" t="str">
        <f t="shared" si="187"/>
        <v/>
      </c>
      <c r="Q125" t="str">
        <f t="shared" si="181"/>
        <v/>
      </c>
      <c r="S125">
        <f>IF(A125=1,MAX($S$2:$S124)+1,IF(OR($I125&lt;&gt;"",A125="x"),$S124,""))</f>
        <v>67</v>
      </c>
      <c r="T125" t="str">
        <f>IF(D125=1,MAX($T$2:$T124)+1,IF(S125=S124,$T124,IF(D125="x",T124,IF(D124="x","",""))))</f>
        <v/>
      </c>
      <c r="U125" t="str">
        <f>IF(B125=1,MAX($U$2:$U124)+1,IF(AND($T125&lt;&gt;"",$T125=$T124),$U124,IF(B125="x",U124,"")))</f>
        <v/>
      </c>
      <c r="V125" t="str">
        <f>IF(C125=1,MAX($V$2:$V124)+1,IF(AND($T125&lt;&gt;"",$T125=$T124),$U124,IF(C125="x",V124,"")))</f>
        <v/>
      </c>
      <c r="W125" t="str" cm="1">
        <f t="array" ref="W125">IFERROR(_xlfn._xlws.FILTER(game_rosters!AC:AC,(game_rosters!J:J=events!X125)*(K125&lt;&gt;"")),"")</f>
        <v/>
      </c>
      <c r="X125" cm="1">
        <f t="array" ref="X125">IF($I125&lt;&gt;"",$I125,INDEX($I$1:$I125,ROW()-COUNTIFS($T$1:$T125,"="&amp;$T125,$S$1:$S125,"&lt;"&amp;$S125)))</f>
        <v>90</v>
      </c>
      <c r="Y125" cm="1">
        <f t="array" ref="Y125">IFERROR(IF(_xlfn._xlws.FILTER(game_rosters!$J:$J,(game_rosters!$G:$G=events!$AM125)*(game_rosters!$J:$J=events!$X125))&gt;0,1,""),"")</f>
        <v>1</v>
      </c>
      <c r="Z125" s="6">
        <f t="shared" si="144"/>
        <v>1</v>
      </c>
      <c r="AA125">
        <f t="shared" si="145"/>
        <v>1067</v>
      </c>
      <c r="AB125" t="str">
        <f t="shared" si="146"/>
        <v/>
      </c>
      <c r="AC125">
        <f t="shared" si="147"/>
        <v>1067</v>
      </c>
      <c r="AD125" t="str">
        <f t="shared" si="148"/>
        <v>16</v>
      </c>
      <c r="AE125" t="str">
        <f t="shared" si="149"/>
        <v>15</v>
      </c>
      <c r="AF125" t="str">
        <f t="shared" si="150"/>
        <v/>
      </c>
      <c r="AG125" t="str">
        <f t="shared" si="151"/>
        <v/>
      </c>
      <c r="AH125" t="str">
        <f t="shared" si="194"/>
        <v>e</v>
      </c>
      <c r="AI125" t="str">
        <f t="shared" si="236"/>
        <v>o</v>
      </c>
      <c r="AJ125" t="str">
        <f t="shared" si="236"/>
        <v>o</v>
      </c>
      <c r="AK125" t="str">
        <f t="shared" si="196"/>
        <v/>
      </c>
      <c r="AL125" t="str">
        <f t="shared" si="197"/>
        <v/>
      </c>
      <c r="AM125" t="str">
        <f t="shared" si="152"/>
        <v>Home</v>
      </c>
      <c r="AN125" t="str">
        <f t="shared" si="198"/>
        <v>h</v>
      </c>
      <c r="AO125" t="str">
        <f t="shared" si="199"/>
        <v>o</v>
      </c>
      <c r="AP125" t="str">
        <f t="shared" si="200"/>
        <v>d</v>
      </c>
      <c r="AQ125" t="str">
        <f>IF(AM125&lt;&gt;"",AM125,IF($AC125=#REF!,#REF!,""))</f>
        <v>Home</v>
      </c>
      <c r="AR125" t="str">
        <f t="shared" si="201"/>
        <v>h</v>
      </c>
      <c r="AS125" t="str">
        <f t="shared" si="202"/>
        <v>Offensive</v>
      </c>
      <c r="AT125" t="str">
        <f t="shared" si="153"/>
        <v/>
      </c>
      <c r="AU125" t="str">
        <f t="shared" si="154"/>
        <v/>
      </c>
      <c r="AV125" t="str" cm="1">
        <f t="array" ref="AV125">IFERROR(IF(O125&lt;&gt;"",O125,IF(OR($S125="",$T125=""),"",IF(O125&lt;&gt;"",O125,IF($T125&lt;&gt;"",_xlfn._xlws.FILTER(O:O,($BT:$BT=$BT125)*($I:$I=$I125)*($T:$T=$T125)*($S:$S=_xlfn.MINIFS($S:$S,$T:$T,"="&amp;$T125)),"")))))&amp;"",IF(O125="","",""))&amp;""</f>
        <v/>
      </c>
      <c r="AW125" t="str" cm="1">
        <f t="array" ref="AW125">IFERROR(IF(P125&lt;&gt;"",P125,IF(OR($S125="",$T125=""),"",IF($T125&lt;&gt;"",_xlfn._xlws.FILTER(P:P,($BT:$BT=$BT125)*($I:$I=$I125)*($T:$T=$T125)*($S:$S=_xlfn.MINIFS($S:$S,$T:$T,"="&amp;$T125)),""))))&amp;"",IF(P125="","",""))&amp;""</f>
        <v/>
      </c>
      <c r="AX125" t="str" cm="1">
        <f t="array" ref="AX125">IFERROR(IF(Q125&lt;&gt;"",Q125,IF(OR($S125="",$T125=""),"",IF($T125&lt;&gt;"",_xlfn._xlws.FILTER(Q:Q,($BT:$BT=$BT125)*($I:$I=$I125)*($T:$T=$T125)*($S:$S=_xlfn.MINIFS($S:$S,$T:$T,"="&amp;$T125)),""))))&amp;"",IF(Q125="","",""))&amp;""</f>
        <v/>
      </c>
      <c r="AY125" t="str" cm="1">
        <f t="array" ref="AY125">IFERROR(IF(R125&lt;&gt;"",R125,IF(OR($S125="",$T125=""),"",IF($T125&lt;&gt;"",_xlfn._xlws.FILTER(R:R,($BT:$BT=$BT125)*($I:$I=$I125)*($T:$T=$T125)*($S:$S=_xlfn.MINIFS($S:$S,$T:$T,"="&amp;$T125)),""))))&amp;"",IF(R125="","",""))&amp;""</f>
        <v/>
      </c>
      <c r="AZ125" s="6">
        <f t="shared" si="155"/>
        <v>14</v>
      </c>
      <c r="BA125">
        <f t="shared" ref="BA125:BC125" si="239">BA124</f>
        <v>18991</v>
      </c>
      <c r="BB125" t="str">
        <f t="shared" si="239"/>
        <v>Triple J</v>
      </c>
      <c r="BC125" t="str">
        <f t="shared" si="239"/>
        <v>Velodrome</v>
      </c>
      <c r="BD125" t="str">
        <f t="shared" si="157"/>
        <v>Pass</v>
      </c>
      <c r="BE125" t="str">
        <f t="shared" si="158"/>
        <v>Pass_Deflected</v>
      </c>
      <c r="BF125" t="str">
        <f t="shared" si="159"/>
        <v>Pass-Forehand</v>
      </c>
      <c r="BG125" t="str">
        <f t="shared" si="22"/>
        <v>u</v>
      </c>
      <c r="BH125" cm="1">
        <f t="array" ref="BH125">IFERROR(_xlfn._xlws.FILTER(shifts!A:A,(shifts!B:B=events!Z125)*(shifts!AG:AG&gt;=events!BJ125)*(shifts!AH:AH&lt;=events!BK125)),BH124)</f>
        <v>4</v>
      </c>
      <c r="BI125" s="15">
        <f t="shared" si="160"/>
        <v>0</v>
      </c>
      <c r="BJ125">
        <f t="shared" si="161"/>
        <v>975</v>
      </c>
      <c r="BK125">
        <f t="shared" si="162"/>
        <v>975</v>
      </c>
      <c r="BL125" s="15">
        <f>SUMIFS(BI$2:BI125,K$2:K125,"=Intermission")+SUMIFS(BI$2:BI125,K$2:K125,"=Timeout")</f>
        <v>0</v>
      </c>
      <c r="BM125">
        <f t="shared" si="163"/>
        <v>0</v>
      </c>
      <c r="BN125" s="19">
        <f t="shared" si="164"/>
        <v>105</v>
      </c>
      <c r="BO125">
        <f t="shared" si="165"/>
        <v>100</v>
      </c>
      <c r="BP125" s="17">
        <f t="shared" si="166"/>
        <v>105</v>
      </c>
      <c r="BQ125" t="str">
        <f t="shared" si="167"/>
        <v>event_team_player_2</v>
      </c>
      <c r="BR125">
        <f>COUNTIFS(S$3:S125,"="&amp;S125,AH$3:AH125,"="&amp;AH125)</f>
        <v>2</v>
      </c>
      <c r="BS125" t="str">
        <f>IFERROR(VLOOKUP(BA125&amp;BT125&amp;X125,game_rosters!U:W,3,FALSE),"")</f>
        <v>P100233</v>
      </c>
      <c r="BT125" t="str">
        <f t="shared" si="168"/>
        <v>Triple J</v>
      </c>
    </row>
    <row r="126" spans="1:72" x14ac:dyDescent="0.2">
      <c r="A126" t="str">
        <f t="shared" si="143"/>
        <v/>
      </c>
      <c r="E126" s="4"/>
      <c r="F126" s="45"/>
      <c r="G126" s="4"/>
      <c r="H126" s="47"/>
      <c r="I126" s="26">
        <v>9</v>
      </c>
      <c r="J126" s="26" t="str">
        <f t="shared" si="170"/>
        <v/>
      </c>
      <c r="N126" t="str">
        <f t="shared" si="187"/>
        <v/>
      </c>
      <c r="O126" t="s">
        <v>782</v>
      </c>
      <c r="Q126" t="str">
        <f t="shared" si="181"/>
        <v/>
      </c>
      <c r="R126" s="26">
        <v>1</v>
      </c>
      <c r="S126">
        <f>IF(A126=1,MAX($S$2:$S125)+1,IF(OR($I126&lt;&gt;"",A126="x"),$S125,""))</f>
        <v>67</v>
      </c>
      <c r="T126" t="str">
        <f>IF(D126=1,MAX($T$2:$T125)+1,IF(S126=S125,$T125,IF(D126="x",T125,IF(D125="x","",""))))</f>
        <v/>
      </c>
      <c r="U126" t="str">
        <f>IF(B126=1,MAX($U$2:$U125)+1,IF(AND($T126&lt;&gt;"",$T126=$T125),$U125,IF(B126="x",U125,"")))</f>
        <v/>
      </c>
      <c r="V126" t="str">
        <f>IF(C126=1,MAX($V$2:$V125)+1,IF(AND($T126&lt;&gt;"",$T126=$T125),$U125,IF(C126="x",V125,"")))</f>
        <v/>
      </c>
      <c r="W126" t="str" cm="1">
        <f t="array" ref="W126">IFERROR(_xlfn._xlws.FILTER(game_rosters!AC:AC,(game_rosters!J:J=events!X126)*(K126&lt;&gt;"")),"")</f>
        <v/>
      </c>
      <c r="X126" cm="1">
        <f t="array" ref="X126">IF($I126&lt;&gt;"",$I126,INDEX($I$1:$I126,ROW()-COUNTIFS($T$1:$T126,"="&amp;$T126,$S$1:$S126,"&lt;"&amp;$S126)))</f>
        <v>9</v>
      </c>
      <c r="Y126" t="str" cm="1">
        <f t="array" ref="Y126">IFERROR(IF(_xlfn._xlws.FILTER(game_rosters!$J:$J,(game_rosters!$G:$G=events!$AM126)*(game_rosters!$J:$J=events!$X126))&gt;0,1,""),"")</f>
        <v/>
      </c>
      <c r="Z126" s="6">
        <f t="shared" si="144"/>
        <v>1</v>
      </c>
      <c r="AA126">
        <f t="shared" si="145"/>
        <v>1067</v>
      </c>
      <c r="AB126" t="str">
        <f t="shared" si="146"/>
        <v/>
      </c>
      <c r="AC126">
        <f t="shared" si="147"/>
        <v>1067</v>
      </c>
      <c r="AD126" t="str">
        <f t="shared" si="148"/>
        <v>16</v>
      </c>
      <c r="AE126" t="str">
        <f t="shared" si="149"/>
        <v>15</v>
      </c>
      <c r="AF126" t="str">
        <f t="shared" si="150"/>
        <v/>
      </c>
      <c r="AG126" t="str">
        <f t="shared" si="151"/>
        <v/>
      </c>
      <c r="AH126" t="str">
        <f t="shared" si="194"/>
        <v>o</v>
      </c>
      <c r="AI126" t="str">
        <f t="shared" si="236"/>
        <v>o</v>
      </c>
      <c r="AJ126" t="str">
        <f t="shared" si="236"/>
        <v>o</v>
      </c>
      <c r="AK126" t="str">
        <f t="shared" si="196"/>
        <v/>
      </c>
      <c r="AL126" t="str">
        <f t="shared" si="197"/>
        <v/>
      </c>
      <c r="AM126" t="str">
        <f t="shared" si="152"/>
        <v>Home</v>
      </c>
      <c r="AN126" t="str">
        <f t="shared" si="198"/>
        <v>h</v>
      </c>
      <c r="AO126" t="str">
        <f t="shared" si="199"/>
        <v>o</v>
      </c>
      <c r="AP126" t="str">
        <f t="shared" si="200"/>
        <v>d</v>
      </c>
      <c r="AQ126" t="str">
        <f>IF(AM126&lt;&gt;"",AM126,IF($AC126=#REF!,#REF!,""))</f>
        <v>Home</v>
      </c>
      <c r="AR126" t="str">
        <f t="shared" si="201"/>
        <v>h</v>
      </c>
      <c r="AS126" t="str">
        <f t="shared" si="202"/>
        <v>Defensive</v>
      </c>
      <c r="AT126" t="str">
        <f t="shared" si="153"/>
        <v/>
      </c>
      <c r="AU126" t="str">
        <f t="shared" si="154"/>
        <v/>
      </c>
      <c r="AV126" t="str" cm="1">
        <f t="array" ref="AV126">IFERROR(IF(O126&lt;&gt;"",O126,IF(OR($S126="",$T126=""),"",IF(O126&lt;&gt;"",O126,IF($T126&lt;&gt;"",_xlfn._xlws.FILTER(O:O,($BT:$BT=$BT126)*($I:$I=$I126)*($T:$T=$T126)*($S:$S=_xlfn.MINIFS($S:$S,$T:$T,"="&amp;$T126)),"")))))&amp;"",IF(O126="","",""))&amp;""</f>
        <v>PassDeflected</v>
      </c>
      <c r="AW126" t="str" cm="1">
        <f t="array" ref="AW126">IFERROR(IF(P126&lt;&gt;"",P126,IF(OR($S126="",$T126=""),"",IF($T126&lt;&gt;"",_xlfn._xlws.FILTER(P:P,($BT:$BT=$BT126)*($I:$I=$I126)*($T:$T=$T126)*($S:$S=_xlfn.MINIFS($S:$S,$T:$T,"="&amp;$T126)),""))))&amp;"",IF(P126="","",""))&amp;""</f>
        <v/>
      </c>
      <c r="AX126" t="str" cm="1">
        <f t="array" ref="AX126">IFERROR(IF(Q126&lt;&gt;"",Q126,IF(OR($S126="",$T126=""),"",IF($T126&lt;&gt;"",_xlfn._xlws.FILTER(Q:Q,($BT:$BT=$BT126)*($I:$I=$I126)*($T:$T=$T126)*($S:$S=_xlfn.MINIFS($S:$S,$T:$T,"="&amp;$T126)),""))))&amp;"",IF(Q126="","",""))&amp;""</f>
        <v/>
      </c>
      <c r="AY126" t="str" cm="1">
        <f t="array" ref="AY126">IFERROR(IF(R126&lt;&gt;"",R126,IF(OR($S126="",$T126=""),"",IF($T126&lt;&gt;"",_xlfn._xlws.FILTER(R:R,($BT:$BT=$BT126)*($I:$I=$I126)*($T:$T=$T126)*($S:$S=_xlfn.MINIFS($S:$S,$T:$T,"="&amp;$T126)),""))))&amp;"",IF(R126="","",""))&amp;""</f>
        <v>1</v>
      </c>
      <c r="AZ126" s="6">
        <f t="shared" si="155"/>
        <v>14</v>
      </c>
      <c r="BA126">
        <f t="shared" ref="BA126:BC126" si="240">BA125</f>
        <v>18991</v>
      </c>
      <c r="BB126" t="str">
        <f t="shared" si="240"/>
        <v>Triple J</v>
      </c>
      <c r="BC126" t="str">
        <f t="shared" si="240"/>
        <v>Velodrome</v>
      </c>
      <c r="BD126" t="str">
        <f t="shared" si="157"/>
        <v>Pass</v>
      </c>
      <c r="BE126" t="str">
        <f t="shared" si="158"/>
        <v>Pass_Deflected</v>
      </c>
      <c r="BF126" t="str">
        <f t="shared" si="159"/>
        <v>Pass-Forehand</v>
      </c>
      <c r="BG126" t="str">
        <f t="shared" si="22"/>
        <v>u</v>
      </c>
      <c r="BH126" cm="1">
        <f t="array" ref="BH126">IFERROR(_xlfn._xlws.FILTER(shifts!A:A,(shifts!B:B=events!Z126)*(shifts!AG:AG&gt;=events!BJ126)*(shifts!AH:AH&lt;=events!BK126)),BH125)</f>
        <v>4</v>
      </c>
      <c r="BI126" s="15">
        <f t="shared" si="160"/>
        <v>0</v>
      </c>
      <c r="BJ126">
        <f t="shared" si="161"/>
        <v>975</v>
      </c>
      <c r="BK126">
        <f t="shared" si="162"/>
        <v>975</v>
      </c>
      <c r="BL126" s="15">
        <f>SUMIFS(BI$2:BI126,K$2:K126,"=Intermission")+SUMIFS(BI$2:BI126,K$2:K126,"=Timeout")</f>
        <v>0</v>
      </c>
      <c r="BM126">
        <f t="shared" si="163"/>
        <v>0</v>
      </c>
      <c r="BN126" s="19">
        <f t="shared" si="164"/>
        <v>105</v>
      </c>
      <c r="BO126">
        <f t="shared" si="165"/>
        <v>100</v>
      </c>
      <c r="BP126" s="17">
        <f t="shared" si="166"/>
        <v>105</v>
      </c>
      <c r="BQ126" t="str">
        <f t="shared" si="167"/>
        <v>opp_team_player_1</v>
      </c>
      <c r="BR126">
        <f>COUNTIFS(S$3:S126,"="&amp;S126,AH$3:AH126,"="&amp;AH126)</f>
        <v>1</v>
      </c>
      <c r="BS126" t="str">
        <f>IFERROR(VLOOKUP(BA126&amp;BT126&amp;X126,game_rosters!U:W,3,FALSE),"")</f>
        <v>P100105</v>
      </c>
      <c r="BT126" t="str">
        <f t="shared" si="168"/>
        <v>Velodrome</v>
      </c>
    </row>
    <row r="127" spans="1:72" x14ac:dyDescent="0.2">
      <c r="A127">
        <f t="shared" si="143"/>
        <v>1</v>
      </c>
      <c r="E127" s="4"/>
      <c r="F127" s="45" t="s">
        <v>1064</v>
      </c>
      <c r="G127" s="4"/>
      <c r="H127" s="47"/>
      <c r="I127" s="26">
        <v>57</v>
      </c>
      <c r="J127" s="26" t="s">
        <v>368</v>
      </c>
      <c r="K127" t="s">
        <v>238</v>
      </c>
      <c r="L127" t="s">
        <v>193</v>
      </c>
      <c r="M127" t="s">
        <v>91</v>
      </c>
      <c r="N127" t="str">
        <f t="shared" si="187"/>
        <v>s</v>
      </c>
      <c r="Q127" t="str">
        <f t="shared" si="181"/>
        <v/>
      </c>
      <c r="S127">
        <f>IF(A127=1,MAX($S$2:$S126)+1,IF(OR($I127&lt;&gt;"",A127="x"),$S126,""))</f>
        <v>68</v>
      </c>
      <c r="T127" t="str">
        <f>IF(D127=1,MAX($T$2:$T126)+1,IF(S127=S126,$T126,IF(D127="x",T126,IF(D126="x","",""))))</f>
        <v/>
      </c>
      <c r="U127" t="str">
        <f>IF(B127=1,MAX($U$2:$U126)+1,IF(AND($T127&lt;&gt;"",$T127=$T126),$U126,IF(B127="x",U126,"")))</f>
        <v/>
      </c>
      <c r="V127" t="str">
        <f>IF(C127=1,MAX($V$2:$V126)+1,IF(AND($T127&lt;&gt;"",$T127=$T126),$U126,IF(C127="x",V126,"")))</f>
        <v/>
      </c>
      <c r="W127" t="str" cm="1">
        <f t="array" ref="W127">IFERROR(_xlfn._xlws.FILTER(game_rosters!AC:AC,(game_rosters!J:J=events!X127)*(K127&lt;&gt;"")),"")</f>
        <v>h</v>
      </c>
      <c r="X127" cm="1">
        <f t="array" ref="X127">IF($I127&lt;&gt;"",$I127,INDEX($I$1:$I127,ROW()-COUNTIFS($T$1:$T127,"="&amp;$T127,$S$1:$S127,"&lt;"&amp;$S127)))</f>
        <v>57</v>
      </c>
      <c r="Y127" cm="1">
        <f t="array" ref="Y127">IFERROR(IF(_xlfn._xlws.FILTER(game_rosters!$J:$J,(game_rosters!$G:$G=events!$AM127)*(game_rosters!$J:$J=events!$X127))&gt;0,1,""),"")</f>
        <v>1</v>
      </c>
      <c r="Z127" s="6">
        <f t="shared" si="144"/>
        <v>1</v>
      </c>
      <c r="AA127">
        <f t="shared" si="145"/>
        <v>1068</v>
      </c>
      <c r="AB127" t="str">
        <f t="shared" si="146"/>
        <v/>
      </c>
      <c r="AC127">
        <f t="shared" si="147"/>
        <v>1068</v>
      </c>
      <c r="AD127" t="str">
        <f t="shared" si="148"/>
        <v>16</v>
      </c>
      <c r="AE127" t="str">
        <f t="shared" si="149"/>
        <v>13</v>
      </c>
      <c r="AF127" t="str">
        <f t="shared" si="150"/>
        <v/>
      </c>
      <c r="AG127" t="str">
        <f t="shared" si="151"/>
        <v/>
      </c>
      <c r="AH127" t="str">
        <f t="shared" si="194"/>
        <v>e</v>
      </c>
      <c r="AI127" t="str">
        <f t="shared" si="236"/>
        <v>o</v>
      </c>
      <c r="AJ127" t="str">
        <f t="shared" si="236"/>
        <v>o</v>
      </c>
      <c r="AK127" t="str">
        <f t="shared" si="196"/>
        <v>o</v>
      </c>
      <c r="AL127" t="str">
        <f t="shared" si="197"/>
        <v>d</v>
      </c>
      <c r="AM127" t="str">
        <f t="shared" si="152"/>
        <v>Home</v>
      </c>
      <c r="AN127" t="str">
        <f t="shared" si="198"/>
        <v>h</v>
      </c>
      <c r="AO127" t="str">
        <f t="shared" si="199"/>
        <v>o</v>
      </c>
      <c r="AP127" t="str">
        <f t="shared" si="200"/>
        <v>d</v>
      </c>
      <c r="AQ127" t="str">
        <f>IF(AM127&lt;&gt;"",AM127,IF($AC127=#REF!,#REF!,""))</f>
        <v>Home</v>
      </c>
      <c r="AR127" t="str">
        <f t="shared" si="201"/>
        <v>h</v>
      </c>
      <c r="AS127" t="str">
        <f t="shared" si="202"/>
        <v>Offensive</v>
      </c>
      <c r="AT127" t="str">
        <f t="shared" si="153"/>
        <v/>
      </c>
      <c r="AU127" t="str">
        <f t="shared" si="154"/>
        <v/>
      </c>
      <c r="AV127" t="str" cm="1">
        <f t="array" ref="AV127">IFERROR(IF(O127&lt;&gt;"",O127,IF(OR($S127="",$T127=""),"",IF(O127&lt;&gt;"",O127,IF($T127&lt;&gt;"",_xlfn._xlws.FILTER(O:O,($BT:$BT=$BT127)*($I:$I=$I127)*($T:$T=$T127)*($S:$S=_xlfn.MINIFS($S:$S,$T:$T,"="&amp;$T127)),"")))))&amp;"",IF(O127="","",""))&amp;""</f>
        <v/>
      </c>
      <c r="AW127" t="str" cm="1">
        <f t="array" ref="AW127">IFERROR(IF(P127&lt;&gt;"",P127,IF(OR($S127="",$T127=""),"",IF($T127&lt;&gt;"",_xlfn._xlws.FILTER(P:P,($BT:$BT=$BT127)*($I:$I=$I127)*($T:$T=$T127)*($S:$S=_xlfn.MINIFS($S:$S,$T:$T,"="&amp;$T127)),""))))&amp;"",IF(P127="","",""))&amp;""</f>
        <v/>
      </c>
      <c r="AX127" t="str" cm="1">
        <f t="array" ref="AX127">IFERROR(IF(Q127&lt;&gt;"",Q127,IF(OR($S127="",$T127=""),"",IF($T127&lt;&gt;"",_xlfn._xlws.FILTER(Q:Q,($BT:$BT=$BT127)*($I:$I=$I127)*($T:$T=$T127)*($S:$S=_xlfn.MINIFS($S:$S,$T:$T,"="&amp;$T127)),""))))&amp;"",IF(Q127="","",""))&amp;""</f>
        <v/>
      </c>
      <c r="AY127" t="str" cm="1">
        <f t="array" ref="AY127">IFERROR(IF(R127&lt;&gt;"",R127,IF(OR($S127="",$T127=""),"",IF($T127&lt;&gt;"",_xlfn._xlws.FILTER(R:R,($BT:$BT=$BT127)*($I:$I=$I127)*($T:$T=$T127)*($S:$S=_xlfn.MINIFS($S:$S,$T:$T,"="&amp;$T127)),""))))&amp;"",IF(R127="","",""))&amp;""</f>
        <v/>
      </c>
      <c r="AZ127" s="6">
        <f t="shared" si="155"/>
        <v>14</v>
      </c>
      <c r="BA127">
        <f t="shared" ref="BA127:BC127" si="241">BA126</f>
        <v>18991</v>
      </c>
      <c r="BB127" t="str">
        <f t="shared" si="241"/>
        <v>Triple J</v>
      </c>
      <c r="BC127" t="str">
        <f t="shared" si="241"/>
        <v>Velodrome</v>
      </c>
      <c r="BD127" t="str">
        <f t="shared" si="157"/>
        <v>Zone_Entry_Exit</v>
      </c>
      <c r="BE127" t="str">
        <f t="shared" si="158"/>
        <v>Zone_Keepin</v>
      </c>
      <c r="BF127" t="str">
        <f t="shared" si="159"/>
        <v>Zone-KeepIn</v>
      </c>
      <c r="BG127" t="str">
        <f t="shared" si="22"/>
        <v>s</v>
      </c>
      <c r="BH127" cm="1">
        <f t="array" ref="BH127">IFERROR(_xlfn._xlws.FILTER(shifts!A:A,(shifts!B:B=events!Z127)*(shifts!AG:AG&gt;=events!BJ127)*(shifts!AH:AH&lt;=events!BK127)),BH126)</f>
        <v>4</v>
      </c>
      <c r="BI127" s="15">
        <f t="shared" si="160"/>
        <v>0</v>
      </c>
      <c r="BJ127">
        <f t="shared" si="161"/>
        <v>973</v>
      </c>
      <c r="BK127">
        <f t="shared" si="162"/>
        <v>973</v>
      </c>
      <c r="BL127" s="15">
        <f>SUMIFS(BI$2:BI127,K$2:K127,"=Intermission")+SUMIFS(BI$2:BI127,K$2:K127,"=Timeout")</f>
        <v>0</v>
      </c>
      <c r="BM127">
        <f t="shared" si="163"/>
        <v>0</v>
      </c>
      <c r="BN127" s="19">
        <f t="shared" si="164"/>
        <v>107</v>
      </c>
      <c r="BO127">
        <f t="shared" si="165"/>
        <v>102</v>
      </c>
      <c r="BP127" s="17">
        <f t="shared" si="166"/>
        <v>107</v>
      </c>
      <c r="BQ127" t="str">
        <f t="shared" si="167"/>
        <v>event_team_player_1</v>
      </c>
      <c r="BR127">
        <f>COUNTIFS(S$3:S127,"="&amp;S127,AH$3:AH127,"="&amp;AH127)</f>
        <v>1</v>
      </c>
      <c r="BS127" t="str">
        <f>IFERROR(VLOOKUP(BA127&amp;BT127&amp;X127,game_rosters!U:W,3,FALSE),"")</f>
        <v>P100007</v>
      </c>
      <c r="BT127" t="str">
        <f t="shared" si="168"/>
        <v>Triple J</v>
      </c>
    </row>
    <row r="128" spans="1:72" x14ac:dyDescent="0.2">
      <c r="A128">
        <f t="shared" si="143"/>
        <v>1</v>
      </c>
      <c r="E128" s="4"/>
      <c r="F128" s="45"/>
      <c r="G128" s="4"/>
      <c r="H128" s="47" t="s">
        <v>746</v>
      </c>
      <c r="I128" s="26">
        <v>57</v>
      </c>
      <c r="J128" s="26" t="s">
        <v>368</v>
      </c>
      <c r="K128" t="s">
        <v>13</v>
      </c>
      <c r="L128" t="s">
        <v>587</v>
      </c>
      <c r="N128" t="str">
        <f t="shared" si="187"/>
        <v/>
      </c>
      <c r="O128" t="s">
        <v>907</v>
      </c>
      <c r="Q128" t="str">
        <f t="shared" si="181"/>
        <v/>
      </c>
      <c r="S128">
        <f>IF(A128=1,MAX($S$2:$S127)+1,IF(OR($I128&lt;&gt;"",A128="x"),$S127,""))</f>
        <v>69</v>
      </c>
      <c r="T128" t="str">
        <f>IF(D128=1,MAX($T$2:$T127)+1,IF(S128=S127,$T127,IF(D128="x",T127,IF(D127="x","",""))))</f>
        <v/>
      </c>
      <c r="U128" t="str">
        <f>IF(B128=1,MAX($U$2:$U127)+1,IF(AND($T128&lt;&gt;"",$T128=$T127),$U127,IF(B128="x",U127,"")))</f>
        <v/>
      </c>
      <c r="V128" t="str">
        <f>IF(C128=1,MAX($V$2:$V127)+1,IF(AND($T128&lt;&gt;"",$T128=$T127),$U127,IF(C128="x",V127,"")))</f>
        <v/>
      </c>
      <c r="W128" t="str" cm="1">
        <f t="array" ref="W128">IFERROR(_xlfn._xlws.FILTER(game_rosters!AC:AC,(game_rosters!J:J=events!X128)*(K128&lt;&gt;"")),"")</f>
        <v>h</v>
      </c>
      <c r="X128" cm="1">
        <f t="array" ref="X128">IF($I128&lt;&gt;"",$I128,INDEX($I$1:$I128,ROW()-COUNTIFS($T$1:$T128,"="&amp;$T128,$S$1:$S128,"&lt;"&amp;$S128)))</f>
        <v>57</v>
      </c>
      <c r="Y128" cm="1">
        <f t="array" ref="Y128">IFERROR(IF(_xlfn._xlws.FILTER(game_rosters!$J:$J,(game_rosters!$G:$G=events!$AM128)*(game_rosters!$J:$J=events!$X128))&gt;0,1,""),"")</f>
        <v>1</v>
      </c>
      <c r="Z128" s="6">
        <f t="shared" si="144"/>
        <v>1</v>
      </c>
      <c r="AA128">
        <f t="shared" si="145"/>
        <v>1069</v>
      </c>
      <c r="AB128" t="str">
        <f t="shared" si="146"/>
        <v/>
      </c>
      <c r="AC128">
        <f t="shared" si="147"/>
        <v>1069</v>
      </c>
      <c r="AD128" t="str">
        <f t="shared" si="148"/>
        <v>16</v>
      </c>
      <c r="AE128" t="str">
        <f t="shared" si="149"/>
        <v>13</v>
      </c>
      <c r="AF128" t="str">
        <f t="shared" si="150"/>
        <v>16</v>
      </c>
      <c r="AG128" t="str">
        <f t="shared" si="151"/>
        <v>12</v>
      </c>
      <c r="AH128" t="str">
        <f t="shared" si="194"/>
        <v>e</v>
      </c>
      <c r="AI128" t="str">
        <f t="shared" si="236"/>
        <v>o</v>
      </c>
      <c r="AJ128" t="str">
        <f t="shared" si="236"/>
        <v>o</v>
      </c>
      <c r="AK128" t="str">
        <f t="shared" si="196"/>
        <v>o</v>
      </c>
      <c r="AL128" t="str">
        <f t="shared" si="197"/>
        <v>d</v>
      </c>
      <c r="AM128" t="str">
        <f t="shared" si="152"/>
        <v>Home</v>
      </c>
      <c r="AN128" t="str">
        <f t="shared" si="198"/>
        <v>h</v>
      </c>
      <c r="AO128" t="str">
        <f t="shared" si="199"/>
        <v>o</v>
      </c>
      <c r="AP128" t="str">
        <f t="shared" si="200"/>
        <v>d</v>
      </c>
      <c r="AQ128" t="str">
        <f>IF(AM128&lt;&gt;"",AM128,IF($AC128=#REF!,#REF!,""))</f>
        <v>Home</v>
      </c>
      <c r="AR128" t="str">
        <f t="shared" si="201"/>
        <v>h</v>
      </c>
      <c r="AS128" t="str">
        <f t="shared" si="202"/>
        <v>Offensive</v>
      </c>
      <c r="AT128" t="str">
        <f t="shared" si="153"/>
        <v/>
      </c>
      <c r="AU128" t="str">
        <f t="shared" si="154"/>
        <v/>
      </c>
      <c r="AV128" t="str" cm="1">
        <f t="array" ref="AV128">IFERROR(IF(O128&lt;&gt;"",O128,IF(OR($S128="",$T128=""),"",IF(O128&lt;&gt;"",O128,IF($T128&lt;&gt;"",_xlfn._xlws.FILTER(O:O,($BT:$BT=$BT128)*($I:$I=$I128)*($T:$T=$T128)*($S:$S=_xlfn.MINIFS($S:$S,$T:$T,"="&amp;$T128)),"")))))&amp;"",IF(O128="","",""))&amp;""</f>
        <v>PuckRecoveryRetreivalPass</v>
      </c>
      <c r="AW128" t="str" cm="1">
        <f t="array" ref="AW128">IFERROR(IF(P128&lt;&gt;"",P128,IF(OR($S128="",$T128=""),"",IF($T128&lt;&gt;"",_xlfn._xlws.FILTER(P:P,($BT:$BT=$BT128)*($I:$I=$I128)*($T:$T=$T128)*($S:$S=_xlfn.MINIFS($S:$S,$T:$T,"="&amp;$T128)),""))))&amp;"",IF(P128="","",""))&amp;""</f>
        <v/>
      </c>
      <c r="AX128" t="str" cm="1">
        <f t="array" ref="AX128">IFERROR(IF(Q128&lt;&gt;"",Q128,IF(OR($S128="",$T128=""),"",IF($T128&lt;&gt;"",_xlfn._xlws.FILTER(Q:Q,($BT:$BT=$BT128)*($I:$I=$I128)*($T:$T=$T128)*($S:$S=_xlfn.MINIFS($S:$S,$T:$T,"="&amp;$T128)),""))))&amp;"",IF(Q128="","",""))&amp;""</f>
        <v/>
      </c>
      <c r="AY128" t="str" cm="1">
        <f t="array" ref="AY128">IFERROR(IF(R128&lt;&gt;"",R128,IF(OR($S128="",$T128=""),"",IF($T128&lt;&gt;"",_xlfn._xlws.FILTER(R:R,($BT:$BT=$BT128)*($I:$I=$I128)*($T:$T=$T128)*($S:$S=_xlfn.MINIFS($S:$S,$T:$T,"="&amp;$T128)),""))))&amp;"",IF(R128="","",""))&amp;""</f>
        <v/>
      </c>
      <c r="AZ128" s="6">
        <f t="shared" si="155"/>
        <v>14</v>
      </c>
      <c r="BA128">
        <f t="shared" ref="BA128:BC128" si="242">BA127</f>
        <v>18991</v>
      </c>
      <c r="BB128" t="str">
        <f t="shared" si="242"/>
        <v>Triple J</v>
      </c>
      <c r="BC128" t="str">
        <f t="shared" si="242"/>
        <v>Velodrome</v>
      </c>
      <c r="BD128" t="str">
        <f t="shared" si="157"/>
        <v>Possession</v>
      </c>
      <c r="BE128" t="str">
        <f t="shared" si="158"/>
        <v>PuckRecovery</v>
      </c>
      <c r="BF128" t="str">
        <f t="shared" si="159"/>
        <v/>
      </c>
      <c r="BG128" t="str">
        <f t="shared" si="22"/>
        <v/>
      </c>
      <c r="BH128" cm="1">
        <f t="array" ref="BH128">IFERROR(_xlfn._xlws.FILTER(shifts!A:A,(shifts!B:B=events!Z128)*(shifts!AG:AG&gt;=events!BJ128)*(shifts!AH:AH&lt;=events!BK128)),BH127)</f>
        <v>4</v>
      </c>
      <c r="BI128" s="15">
        <f t="shared" si="160"/>
        <v>1</v>
      </c>
      <c r="BJ128">
        <f t="shared" si="161"/>
        <v>973</v>
      </c>
      <c r="BK128">
        <f t="shared" si="162"/>
        <v>972</v>
      </c>
      <c r="BL128" s="15">
        <f>SUMIFS(BI$2:BI128,K$2:K128,"=Intermission")+SUMIFS(BI$2:BI128,K$2:K128,"=Timeout")</f>
        <v>0</v>
      </c>
      <c r="BM128">
        <f t="shared" si="163"/>
        <v>0</v>
      </c>
      <c r="BN128" s="19">
        <f t="shared" si="164"/>
        <v>107</v>
      </c>
      <c r="BO128">
        <f t="shared" si="165"/>
        <v>102</v>
      </c>
      <c r="BP128" s="17">
        <f t="shared" si="166"/>
        <v>108</v>
      </c>
      <c r="BQ128" t="str">
        <f t="shared" si="167"/>
        <v>event_team_player_1</v>
      </c>
      <c r="BR128">
        <f>COUNTIFS(S$3:S128,"="&amp;S128,AH$3:AH128,"="&amp;AH128)</f>
        <v>1</v>
      </c>
      <c r="BS128" t="str">
        <f>IFERROR(VLOOKUP(BA128&amp;BT128&amp;X128,game_rosters!U:W,3,FALSE),"")</f>
        <v>P100007</v>
      </c>
      <c r="BT128" t="str">
        <f t="shared" si="168"/>
        <v>Triple J</v>
      </c>
    </row>
    <row r="129" spans="1:72" x14ac:dyDescent="0.2">
      <c r="A129">
        <f t="shared" si="143"/>
        <v>1</v>
      </c>
      <c r="E129" s="4"/>
      <c r="F129" s="45"/>
      <c r="G129" s="4"/>
      <c r="H129" s="47"/>
      <c r="I129" s="26">
        <v>57</v>
      </c>
      <c r="J129" s="26" t="s">
        <v>368</v>
      </c>
      <c r="K129" t="s">
        <v>7</v>
      </c>
      <c r="L129" t="s">
        <v>172</v>
      </c>
      <c r="M129" t="s">
        <v>66</v>
      </c>
      <c r="N129" t="str">
        <f t="shared" si="187"/>
        <v>s</v>
      </c>
      <c r="Q129" t="str">
        <f t="shared" si="181"/>
        <v/>
      </c>
      <c r="R129" s="26">
        <v>1</v>
      </c>
      <c r="S129">
        <f>IF(A129=1,MAX($S$2:$S128)+1,IF(OR($I129&lt;&gt;"",A129="x"),$S128,""))</f>
        <v>70</v>
      </c>
      <c r="T129" t="str">
        <f>IF(D129=1,MAX($T$2:$T128)+1,IF(S129=S128,$T128,IF(D129="x",T128,IF(D128="x","",""))))</f>
        <v/>
      </c>
      <c r="U129" t="str">
        <f>IF(B129=1,MAX($U$2:$U128)+1,IF(AND($T129&lt;&gt;"",$T129=$T128),$U128,IF(B129="x",U128,"")))</f>
        <v/>
      </c>
      <c r="V129" t="str">
        <f>IF(C129=1,MAX($V$2:$V128)+1,IF(AND($T129&lt;&gt;"",$T129=$T128),$U128,IF(C129="x",V128,"")))</f>
        <v/>
      </c>
      <c r="W129" t="str" cm="1">
        <f t="array" ref="W129">IFERROR(_xlfn._xlws.FILTER(game_rosters!AC:AC,(game_rosters!J:J=events!X129)*(K129&lt;&gt;"")),"")</f>
        <v>h</v>
      </c>
      <c r="X129" cm="1">
        <f t="array" ref="X129">IF($I129&lt;&gt;"",$I129,INDEX($I$1:$I129,ROW()-COUNTIFS($T$1:$T129,"="&amp;$T129,$S$1:$S129,"&lt;"&amp;$S129)))</f>
        <v>57</v>
      </c>
      <c r="Y129" cm="1">
        <f t="array" ref="Y129">IFERROR(IF(_xlfn._xlws.FILTER(game_rosters!$J:$J,(game_rosters!$G:$G=events!$AM129)*(game_rosters!$J:$J=events!$X129))&gt;0,1,""),"")</f>
        <v>1</v>
      </c>
      <c r="Z129" s="6">
        <f t="shared" si="144"/>
        <v>1</v>
      </c>
      <c r="AA129">
        <f t="shared" si="145"/>
        <v>1070</v>
      </c>
      <c r="AB129" t="str">
        <f t="shared" si="146"/>
        <v/>
      </c>
      <c r="AC129">
        <f t="shared" si="147"/>
        <v>1070</v>
      </c>
      <c r="AD129" t="str">
        <f t="shared" si="148"/>
        <v>16</v>
      </c>
      <c r="AE129" t="str">
        <f t="shared" si="149"/>
        <v>12</v>
      </c>
      <c r="AF129" t="str">
        <f t="shared" si="150"/>
        <v/>
      </c>
      <c r="AG129" t="str">
        <f t="shared" si="151"/>
        <v/>
      </c>
      <c r="AH129" t="str">
        <f t="shared" si="194"/>
        <v>e</v>
      </c>
      <c r="AI129" t="str">
        <f t="shared" si="236"/>
        <v>o</v>
      </c>
      <c r="AJ129" t="str">
        <f t="shared" si="236"/>
        <v>o</v>
      </c>
      <c r="AK129" t="str">
        <f t="shared" si="196"/>
        <v>o</v>
      </c>
      <c r="AL129" t="str">
        <f t="shared" si="197"/>
        <v>d</v>
      </c>
      <c r="AM129" t="str">
        <f t="shared" si="152"/>
        <v>Home</v>
      </c>
      <c r="AN129" t="str">
        <f t="shared" si="198"/>
        <v>h</v>
      </c>
      <c r="AO129" t="str">
        <f t="shared" si="199"/>
        <v>o</v>
      </c>
      <c r="AP129" t="str">
        <f t="shared" si="200"/>
        <v>d</v>
      </c>
      <c r="AQ129" t="str">
        <f>IF(AM129&lt;&gt;"",AM129,IF($AC129=#REF!,#REF!,""))</f>
        <v>Home</v>
      </c>
      <c r="AR129" t="str">
        <f t="shared" si="201"/>
        <v>h</v>
      </c>
      <c r="AS129" t="str">
        <f t="shared" si="202"/>
        <v>Offensive</v>
      </c>
      <c r="AT129" t="str">
        <f t="shared" si="153"/>
        <v/>
      </c>
      <c r="AU129" t="str">
        <f t="shared" si="154"/>
        <v/>
      </c>
      <c r="AV129" t="str" cm="1">
        <f t="array" ref="AV129">IFERROR(IF(O129&lt;&gt;"",O129,IF(OR($S129="",$T129=""),"",IF(O129&lt;&gt;"",O129,IF($T129&lt;&gt;"",_xlfn._xlws.FILTER(O:O,($BT:$BT=$BT129)*($I:$I=$I129)*($T:$T=$T129)*($S:$S=_xlfn.MINIFS($S:$S,$T:$T,"="&amp;$T129)),"")))))&amp;"",IF(O129="","",""))&amp;""</f>
        <v/>
      </c>
      <c r="AW129" t="str" cm="1">
        <f t="array" ref="AW129">IFERROR(IF(P129&lt;&gt;"",P129,IF(OR($S129="",$T129=""),"",IF($T129&lt;&gt;"",_xlfn._xlws.FILTER(P:P,($BT:$BT=$BT129)*($I:$I=$I129)*($T:$T=$T129)*($S:$S=_xlfn.MINIFS($S:$S,$T:$T,"="&amp;$T129)),""))))&amp;"",IF(P129="","",""))&amp;""</f>
        <v/>
      </c>
      <c r="AX129" t="str" cm="1">
        <f t="array" ref="AX129">IFERROR(IF(Q129&lt;&gt;"",Q129,IF(OR($S129="",$T129=""),"",IF($T129&lt;&gt;"",_xlfn._xlws.FILTER(Q:Q,($BT:$BT=$BT129)*($I:$I=$I129)*($T:$T=$T129)*($S:$S=_xlfn.MINIFS($S:$S,$T:$T,"="&amp;$T129)),""))))&amp;"",IF(Q129="","",""))&amp;""</f>
        <v/>
      </c>
      <c r="AY129" t="str" cm="1">
        <f t="array" ref="AY129">IFERROR(IF(R129&lt;&gt;"",R129,IF(OR($S129="",$T129=""),"",IF($T129&lt;&gt;"",_xlfn._xlws.FILTER(R:R,($BT:$BT=$BT129)*($I:$I=$I129)*($T:$T=$T129)*($S:$S=_xlfn.MINIFS($S:$S,$T:$T,"="&amp;$T129)),""))))&amp;"",IF(R129="","",""))&amp;""</f>
        <v>1</v>
      </c>
      <c r="AZ129" s="6">
        <f t="shared" si="155"/>
        <v>14</v>
      </c>
      <c r="BA129">
        <f t="shared" ref="BA129:BC129" si="243">BA128</f>
        <v>18991</v>
      </c>
      <c r="BB129" t="str">
        <f t="shared" si="243"/>
        <v>Triple J</v>
      </c>
      <c r="BC129" t="str">
        <f t="shared" si="243"/>
        <v>Velodrome</v>
      </c>
      <c r="BD129" t="str">
        <f t="shared" si="157"/>
        <v>Pass</v>
      </c>
      <c r="BE129" t="str">
        <f t="shared" si="158"/>
        <v>Pass_Completed</v>
      </c>
      <c r="BF129" t="str">
        <f t="shared" si="159"/>
        <v>Pass-Rim/Wrap</v>
      </c>
      <c r="BG129" t="str">
        <f t="shared" si="22"/>
        <v>s</v>
      </c>
      <c r="BH129" cm="1">
        <f t="array" ref="BH129">IFERROR(_xlfn._xlws.FILTER(shifts!A:A,(shifts!B:B=events!Z129)*(shifts!AG:AG&gt;=events!BJ129)*(shifts!AH:AH&lt;=events!BK129)),BH128)</f>
        <v>4</v>
      </c>
      <c r="BI129" s="15">
        <f t="shared" si="160"/>
        <v>0</v>
      </c>
      <c r="BJ129">
        <f t="shared" si="161"/>
        <v>972</v>
      </c>
      <c r="BK129">
        <f t="shared" si="162"/>
        <v>972</v>
      </c>
      <c r="BL129" s="15">
        <f>SUMIFS(BI$2:BI129,K$2:K129,"=Intermission")+SUMIFS(BI$2:BI129,K$2:K129,"=Timeout")</f>
        <v>0</v>
      </c>
      <c r="BM129">
        <f t="shared" si="163"/>
        <v>0</v>
      </c>
      <c r="BN129" s="19">
        <f t="shared" si="164"/>
        <v>108</v>
      </c>
      <c r="BO129">
        <f t="shared" si="165"/>
        <v>103</v>
      </c>
      <c r="BP129" s="17">
        <f t="shared" si="166"/>
        <v>108</v>
      </c>
      <c r="BQ129" t="str">
        <f t="shared" si="167"/>
        <v>event_team_player_1</v>
      </c>
      <c r="BR129">
        <f>COUNTIFS(S$3:S129,"="&amp;S129,AH$3:AH129,"="&amp;AH129)</f>
        <v>1</v>
      </c>
      <c r="BS129" t="str">
        <f>IFERROR(VLOOKUP(BA129&amp;BT129&amp;X129,game_rosters!U:W,3,FALSE),"")</f>
        <v>P100007</v>
      </c>
      <c r="BT129" t="str">
        <f t="shared" si="168"/>
        <v>Triple J</v>
      </c>
    </row>
    <row r="130" spans="1:72" x14ac:dyDescent="0.2">
      <c r="A130" t="str">
        <f t="shared" si="143"/>
        <v/>
      </c>
      <c r="E130" s="4"/>
      <c r="F130" s="45"/>
      <c r="G130" s="4"/>
      <c r="H130" s="47"/>
      <c r="I130" s="26">
        <v>69</v>
      </c>
      <c r="J130" s="26" t="str">
        <f t="shared" si="170"/>
        <v/>
      </c>
      <c r="N130" t="str">
        <f t="shared" si="187"/>
        <v/>
      </c>
      <c r="Q130" t="str">
        <f t="shared" si="181"/>
        <v/>
      </c>
      <c r="S130">
        <f>IF(A130=1,MAX($S$2:$S129)+1,IF(OR($I130&lt;&gt;"",A130="x"),$S129,""))</f>
        <v>70</v>
      </c>
      <c r="T130" t="str">
        <f>IF(D130=1,MAX($T$2:$T129)+1,IF(S130=S129,$T129,IF(D130="x",T129,IF(D129="x","",""))))</f>
        <v/>
      </c>
      <c r="U130" t="str">
        <f>IF(B130=1,MAX($U$2:$U129)+1,IF(AND($T130&lt;&gt;"",$T130=$T129),$U129,IF(B130="x",U129,"")))</f>
        <v/>
      </c>
      <c r="V130" t="str">
        <f>IF(C130=1,MAX($V$2:$V129)+1,IF(AND($T130&lt;&gt;"",$T130=$T129),$U129,IF(C130="x",V129,"")))</f>
        <v/>
      </c>
      <c r="W130" t="str" cm="1">
        <f t="array" ref="W130">IFERROR(_xlfn._xlws.FILTER(game_rosters!AC:AC,(game_rosters!J:J=events!X130)*(K130&lt;&gt;"")),"")</f>
        <v/>
      </c>
      <c r="X130" cm="1">
        <f t="array" ref="X130">IF($I130&lt;&gt;"",$I130,INDEX($I$1:$I130,ROW()-COUNTIFS($T$1:$T130,"="&amp;$T130,$S$1:$S130,"&lt;"&amp;$S130)))</f>
        <v>69</v>
      </c>
      <c r="Y130" cm="1">
        <f t="array" ref="Y130">IFERROR(IF(_xlfn._xlws.FILTER(game_rosters!$J:$J,(game_rosters!$G:$G=events!$AM130)*(game_rosters!$J:$J=events!$X130))&gt;0,1,""),"")</f>
        <v>1</v>
      </c>
      <c r="Z130" s="6">
        <f t="shared" si="144"/>
        <v>1</v>
      </c>
      <c r="AA130">
        <f t="shared" si="145"/>
        <v>1070</v>
      </c>
      <c r="AB130" t="str">
        <f t="shared" si="146"/>
        <v/>
      </c>
      <c r="AC130">
        <f t="shared" si="147"/>
        <v>1070</v>
      </c>
      <c r="AD130" t="str">
        <f t="shared" si="148"/>
        <v>16</v>
      </c>
      <c r="AE130" t="str">
        <f t="shared" si="149"/>
        <v>12</v>
      </c>
      <c r="AF130" t="str">
        <f t="shared" si="150"/>
        <v/>
      </c>
      <c r="AG130" t="str">
        <f t="shared" si="151"/>
        <v/>
      </c>
      <c r="AH130" t="str">
        <f t="shared" si="194"/>
        <v>e</v>
      </c>
      <c r="AI130" t="str">
        <f t="shared" si="236"/>
        <v>o</v>
      </c>
      <c r="AJ130" t="str">
        <f t="shared" si="236"/>
        <v>o</v>
      </c>
      <c r="AK130" t="str">
        <f t="shared" si="196"/>
        <v/>
      </c>
      <c r="AL130" t="str">
        <f t="shared" si="197"/>
        <v/>
      </c>
      <c r="AM130" t="str">
        <f t="shared" si="152"/>
        <v>Home</v>
      </c>
      <c r="AN130" t="str">
        <f t="shared" si="198"/>
        <v>h</v>
      </c>
      <c r="AO130" t="str">
        <f t="shared" si="199"/>
        <v>o</v>
      </c>
      <c r="AP130" t="str">
        <f t="shared" si="200"/>
        <v>d</v>
      </c>
      <c r="AQ130" t="str">
        <f>IF(AM130&lt;&gt;"",AM130,IF($AC130=#REF!,#REF!,""))</f>
        <v>Home</v>
      </c>
      <c r="AR130" t="str">
        <f t="shared" si="201"/>
        <v>h</v>
      </c>
      <c r="AS130" t="str">
        <f t="shared" si="202"/>
        <v>Offensive</v>
      </c>
      <c r="AT130" t="str">
        <f t="shared" si="153"/>
        <v/>
      </c>
      <c r="AU130" t="str">
        <f t="shared" si="154"/>
        <v/>
      </c>
      <c r="AV130" t="str" cm="1">
        <f t="array" ref="AV130">IFERROR(IF(O130&lt;&gt;"",O130,IF(OR($S130="",$T130=""),"",IF(O130&lt;&gt;"",O130,IF($T130&lt;&gt;"",_xlfn._xlws.FILTER(O:O,($BT:$BT=$BT130)*($I:$I=$I130)*($T:$T=$T130)*($S:$S=_xlfn.MINIFS($S:$S,$T:$T,"="&amp;$T130)),"")))))&amp;"",IF(O130="","",""))&amp;""</f>
        <v/>
      </c>
      <c r="AW130" t="str" cm="1">
        <f t="array" ref="AW130">IFERROR(IF(P130&lt;&gt;"",P130,IF(OR($S130="",$T130=""),"",IF($T130&lt;&gt;"",_xlfn._xlws.FILTER(P:P,($BT:$BT=$BT130)*($I:$I=$I130)*($T:$T=$T130)*($S:$S=_xlfn.MINIFS($S:$S,$T:$T,"="&amp;$T130)),""))))&amp;"",IF(P130="","",""))&amp;""</f>
        <v/>
      </c>
      <c r="AX130" t="str" cm="1">
        <f t="array" ref="AX130">IFERROR(IF(Q130&lt;&gt;"",Q130,IF(OR($S130="",$T130=""),"",IF($T130&lt;&gt;"",_xlfn._xlws.FILTER(Q:Q,($BT:$BT=$BT130)*($I:$I=$I130)*($T:$T=$T130)*($S:$S=_xlfn.MINIFS($S:$S,$T:$T,"="&amp;$T130)),""))))&amp;"",IF(Q130="","",""))&amp;""</f>
        <v/>
      </c>
      <c r="AY130" t="str" cm="1">
        <f t="array" ref="AY130">IFERROR(IF(R130&lt;&gt;"",R130,IF(OR($S130="",$T130=""),"",IF($T130&lt;&gt;"",_xlfn._xlws.FILTER(R:R,($BT:$BT=$BT130)*($I:$I=$I130)*($T:$T=$T130)*($S:$S=_xlfn.MINIFS($S:$S,$T:$T,"="&amp;$T130)),""))))&amp;"",IF(R130="","",""))&amp;""</f>
        <v/>
      </c>
      <c r="AZ130" s="6">
        <f t="shared" si="155"/>
        <v>14</v>
      </c>
      <c r="BA130">
        <f t="shared" ref="BA130:BC130" si="244">BA129</f>
        <v>18991</v>
      </c>
      <c r="BB130" t="str">
        <f t="shared" si="244"/>
        <v>Triple J</v>
      </c>
      <c r="BC130" t="str">
        <f t="shared" si="244"/>
        <v>Velodrome</v>
      </c>
      <c r="BD130" t="str">
        <f t="shared" si="157"/>
        <v>Pass</v>
      </c>
      <c r="BE130" t="str">
        <f t="shared" si="158"/>
        <v>Pass_Completed</v>
      </c>
      <c r="BF130" t="str">
        <f t="shared" si="159"/>
        <v>Pass-Rim/Wrap</v>
      </c>
      <c r="BG130" t="str">
        <f t="shared" si="22"/>
        <v>s</v>
      </c>
      <c r="BH130" cm="1">
        <f t="array" ref="BH130">IFERROR(_xlfn._xlws.FILTER(shifts!A:A,(shifts!B:B=events!Z130)*(shifts!AG:AG&gt;=events!BJ130)*(shifts!AH:AH&lt;=events!BK130)),BH129)</f>
        <v>4</v>
      </c>
      <c r="BI130" s="15">
        <f t="shared" si="160"/>
        <v>0</v>
      </c>
      <c r="BJ130">
        <f t="shared" si="161"/>
        <v>972</v>
      </c>
      <c r="BK130">
        <f t="shared" si="162"/>
        <v>972</v>
      </c>
      <c r="BL130" s="15">
        <f>SUMIFS(BI$2:BI130,K$2:K130,"=Intermission")+SUMIFS(BI$2:BI130,K$2:K130,"=Timeout")</f>
        <v>0</v>
      </c>
      <c r="BM130">
        <f t="shared" si="163"/>
        <v>0</v>
      </c>
      <c r="BN130" s="19">
        <f t="shared" si="164"/>
        <v>108</v>
      </c>
      <c r="BO130">
        <f t="shared" si="165"/>
        <v>103</v>
      </c>
      <c r="BP130" s="17">
        <f t="shared" si="166"/>
        <v>108</v>
      </c>
      <c r="BQ130" t="str">
        <f t="shared" si="167"/>
        <v>event_team_player_2</v>
      </c>
      <c r="BR130">
        <f>COUNTIFS(S$3:S130,"="&amp;S130,AH$3:AH130,"="&amp;AH130)</f>
        <v>2</v>
      </c>
      <c r="BS130" t="str">
        <f>IFERROR(VLOOKUP(BA130&amp;BT130&amp;X130,game_rosters!U:W,3,FALSE),"")</f>
        <v>P100014</v>
      </c>
      <c r="BT130" t="str">
        <f t="shared" si="168"/>
        <v>Triple J</v>
      </c>
    </row>
    <row r="131" spans="1:72" x14ac:dyDescent="0.2">
      <c r="A131" t="str">
        <f t="shared" si="143"/>
        <v/>
      </c>
      <c r="E131" s="4"/>
      <c r="F131" s="45"/>
      <c r="G131" s="4"/>
      <c r="H131" s="47"/>
      <c r="I131" s="26">
        <v>87</v>
      </c>
      <c r="J131" s="26" t="str">
        <f t="shared" si="170"/>
        <v/>
      </c>
      <c r="N131" t="str">
        <f t="shared" si="187"/>
        <v/>
      </c>
      <c r="O131" t="s">
        <v>566</v>
      </c>
      <c r="Q131" t="str">
        <f t="shared" si="181"/>
        <v/>
      </c>
      <c r="R131" s="26">
        <v>1</v>
      </c>
      <c r="S131">
        <f>IF(A131=1,MAX($S$2:$S130)+1,IF(OR($I131&lt;&gt;"",A131="x"),$S130,""))</f>
        <v>70</v>
      </c>
      <c r="T131" t="str">
        <f>IF(D131=1,MAX($T$2:$T130)+1,IF(S131=S130,$T130,IF(D131="x",T130,IF(D130="x","",""))))</f>
        <v/>
      </c>
      <c r="U131" t="str">
        <f>IF(B131=1,MAX($U$2:$U130)+1,IF(AND($T131&lt;&gt;"",$T131=$T130),$U130,IF(B131="x",U130,"")))</f>
        <v/>
      </c>
      <c r="V131" t="str">
        <f>IF(C131=1,MAX($V$2:$V130)+1,IF(AND($T131&lt;&gt;"",$T131=$T130),$U130,IF(C131="x",V130,"")))</f>
        <v/>
      </c>
      <c r="W131" t="str" cm="1">
        <f t="array" ref="W131">IFERROR(_xlfn._xlws.FILTER(game_rosters!AC:AC,(game_rosters!J:J=events!X131)*(K131&lt;&gt;"")),"")</f>
        <v/>
      </c>
      <c r="X131" cm="1">
        <f t="array" ref="X131">IF($I131&lt;&gt;"",$I131,INDEX($I$1:$I131,ROW()-COUNTIFS($T$1:$T131,"="&amp;$T131,$S$1:$S131,"&lt;"&amp;$S131)))</f>
        <v>87</v>
      </c>
      <c r="Y131" t="str" cm="1">
        <f t="array" ref="Y131">IFERROR(IF(_xlfn._xlws.FILTER(game_rosters!$J:$J,(game_rosters!$G:$G=events!$AM131)*(game_rosters!$J:$J=events!$X131))&gt;0,1,""),"")</f>
        <v/>
      </c>
      <c r="Z131" s="6">
        <f t="shared" si="144"/>
        <v>1</v>
      </c>
      <c r="AA131">
        <f t="shared" si="145"/>
        <v>1070</v>
      </c>
      <c r="AB131" t="str">
        <f t="shared" si="146"/>
        <v/>
      </c>
      <c r="AC131">
        <f t="shared" si="147"/>
        <v>1070</v>
      </c>
      <c r="AD131" t="str">
        <f t="shared" si="148"/>
        <v>16</v>
      </c>
      <c r="AE131" t="str">
        <f t="shared" si="149"/>
        <v>12</v>
      </c>
      <c r="AF131" t="str">
        <f t="shared" si="150"/>
        <v/>
      </c>
      <c r="AG131" t="str">
        <f t="shared" si="151"/>
        <v/>
      </c>
      <c r="AH131" t="str">
        <f t="shared" si="194"/>
        <v>o</v>
      </c>
      <c r="AI131" t="str">
        <f t="shared" si="236"/>
        <v>o</v>
      </c>
      <c r="AJ131" t="str">
        <f t="shared" si="236"/>
        <v>o</v>
      </c>
      <c r="AK131" t="str">
        <f t="shared" si="196"/>
        <v/>
      </c>
      <c r="AL131" t="str">
        <f t="shared" si="197"/>
        <v/>
      </c>
      <c r="AM131" t="str">
        <f t="shared" si="152"/>
        <v>Home</v>
      </c>
      <c r="AN131" t="str">
        <f t="shared" si="198"/>
        <v>h</v>
      </c>
      <c r="AO131" t="str">
        <f t="shared" si="199"/>
        <v>o</v>
      </c>
      <c r="AP131" t="str">
        <f t="shared" si="200"/>
        <v>d</v>
      </c>
      <c r="AQ131" t="str">
        <f>IF(AM131&lt;&gt;"",AM131,IF($AC131=#REF!,#REF!,""))</f>
        <v>Home</v>
      </c>
      <c r="AR131" t="str">
        <f t="shared" si="201"/>
        <v>h</v>
      </c>
      <c r="AS131" t="str">
        <f t="shared" si="202"/>
        <v>Defensive</v>
      </c>
      <c r="AT131" t="str">
        <f t="shared" si="153"/>
        <v/>
      </c>
      <c r="AU131" t="str">
        <f t="shared" si="154"/>
        <v/>
      </c>
      <c r="AV131" t="str" cm="1">
        <f t="array" ref="AV131">IFERROR(IF(O131&lt;&gt;"",O131,IF(OR($S131="",$T131=""),"",IF(O131&lt;&gt;"",O131,IF($T131&lt;&gt;"",_xlfn._xlws.FILTER(O:O,($BT:$BT=$BT131)*($I:$I=$I131)*($T:$T=$T131)*($S:$S=_xlfn.MINIFS($S:$S,$T:$T,"="&amp;$T131)),"")))))&amp;"",IF(O131="","",""))&amp;""</f>
        <v>InShotPassLane</v>
      </c>
      <c r="AW131" t="str" cm="1">
        <f t="array" ref="AW131">IFERROR(IF(P131&lt;&gt;"",P131,IF(OR($S131="",$T131=""),"",IF($T131&lt;&gt;"",_xlfn._xlws.FILTER(P:P,($BT:$BT=$BT131)*($I:$I=$I131)*($T:$T=$T131)*($S:$S=_xlfn.MINIFS($S:$S,$T:$T,"="&amp;$T131)),""))))&amp;"",IF(P131="","",""))&amp;""</f>
        <v/>
      </c>
      <c r="AX131" t="str" cm="1">
        <f t="array" ref="AX131">IFERROR(IF(Q131&lt;&gt;"",Q131,IF(OR($S131="",$T131=""),"",IF($T131&lt;&gt;"",_xlfn._xlws.FILTER(Q:Q,($BT:$BT=$BT131)*($I:$I=$I131)*($T:$T=$T131)*($S:$S=_xlfn.MINIFS($S:$S,$T:$T,"="&amp;$T131)),""))))&amp;"",IF(Q131="","",""))&amp;""</f>
        <v/>
      </c>
      <c r="AY131" t="str" cm="1">
        <f t="array" ref="AY131">IFERROR(IF(R131&lt;&gt;"",R131,IF(OR($S131="",$T131=""),"",IF($T131&lt;&gt;"",_xlfn._xlws.FILTER(R:R,($BT:$BT=$BT131)*($I:$I=$I131)*($T:$T=$T131)*($S:$S=_xlfn.MINIFS($S:$S,$T:$T,"="&amp;$T131)),""))))&amp;"",IF(R131="","",""))&amp;""</f>
        <v>1</v>
      </c>
      <c r="AZ131" s="6">
        <f t="shared" si="155"/>
        <v>14</v>
      </c>
      <c r="BA131">
        <f t="shared" ref="BA131:BC131" si="245">BA130</f>
        <v>18991</v>
      </c>
      <c r="BB131" t="str">
        <f t="shared" si="245"/>
        <v>Triple J</v>
      </c>
      <c r="BC131" t="str">
        <f t="shared" si="245"/>
        <v>Velodrome</v>
      </c>
      <c r="BD131" t="str">
        <f t="shared" si="157"/>
        <v>Pass</v>
      </c>
      <c r="BE131" t="str">
        <f t="shared" si="158"/>
        <v>Pass_Completed</v>
      </c>
      <c r="BF131" t="str">
        <f t="shared" si="159"/>
        <v>Pass-Rim/Wrap</v>
      </c>
      <c r="BG131" t="str">
        <f t="shared" si="22"/>
        <v>s</v>
      </c>
      <c r="BH131" cm="1">
        <f t="array" ref="BH131">IFERROR(_xlfn._xlws.FILTER(shifts!A:A,(shifts!B:B=events!Z131)*(shifts!AG:AG&gt;=events!BJ131)*(shifts!AH:AH&lt;=events!BK131)),BH130)</f>
        <v>4</v>
      </c>
      <c r="BI131" s="15">
        <f t="shared" si="160"/>
        <v>0</v>
      </c>
      <c r="BJ131">
        <f t="shared" si="161"/>
        <v>972</v>
      </c>
      <c r="BK131">
        <f t="shared" si="162"/>
        <v>972</v>
      </c>
      <c r="BL131" s="15">
        <f>SUMIFS(BI$2:BI131,K$2:K131,"=Intermission")+SUMIFS(BI$2:BI131,K$2:K131,"=Timeout")</f>
        <v>0</v>
      </c>
      <c r="BM131">
        <f t="shared" si="163"/>
        <v>0</v>
      </c>
      <c r="BN131" s="19">
        <f t="shared" si="164"/>
        <v>108</v>
      </c>
      <c r="BO131">
        <f t="shared" si="165"/>
        <v>103</v>
      </c>
      <c r="BP131" s="17">
        <f t="shared" si="166"/>
        <v>108</v>
      </c>
      <c r="BQ131" t="str">
        <f t="shared" si="167"/>
        <v>opp_team_player_1</v>
      </c>
      <c r="BR131">
        <f>COUNTIFS(S$3:S131,"="&amp;S131,AH$3:AH131,"="&amp;AH131)</f>
        <v>1</v>
      </c>
      <c r="BS131" t="str">
        <f>IFERROR(VLOOKUP(BA131&amp;BT131&amp;X131,game_rosters!U:W,3,FALSE),"")</f>
        <v>P100159</v>
      </c>
      <c r="BT131" t="str">
        <f t="shared" si="168"/>
        <v>Velodrome</v>
      </c>
    </row>
    <row r="132" spans="1:72" x14ac:dyDescent="0.2">
      <c r="A132">
        <f t="shared" si="143"/>
        <v>1</v>
      </c>
      <c r="E132" s="4"/>
      <c r="F132" s="45" t="s">
        <v>1047</v>
      </c>
      <c r="G132" s="4"/>
      <c r="H132" s="47" t="s">
        <v>1065</v>
      </c>
      <c r="I132" s="26">
        <v>69</v>
      </c>
      <c r="J132" s="26" t="s">
        <v>368</v>
      </c>
      <c r="K132" t="s">
        <v>13</v>
      </c>
      <c r="N132" t="str">
        <f t="shared" si="187"/>
        <v/>
      </c>
      <c r="Q132" t="str">
        <f t="shared" si="181"/>
        <v/>
      </c>
      <c r="R132" s="26">
        <v>1</v>
      </c>
      <c r="S132">
        <f>IF(A132=1,MAX($S$2:$S131)+1,IF(OR($I132&lt;&gt;"",A132="x"),$S131,""))</f>
        <v>71</v>
      </c>
      <c r="T132" t="str">
        <f>IF(D132=1,MAX($T$2:$T131)+1,IF(S132=S131,$T131,IF(D132="x",T131,IF(D131="x","",""))))</f>
        <v/>
      </c>
      <c r="U132" t="str">
        <f>IF(B132=1,MAX($U$2:$U131)+1,IF(AND($T132&lt;&gt;"",$T132=$T131),$U131,IF(B132="x",U131,"")))</f>
        <v/>
      </c>
      <c r="V132" t="str">
        <f>IF(C132=1,MAX($V$2:$V131)+1,IF(AND($T132&lt;&gt;"",$T132=$T131),$U131,IF(C132="x",V131,"")))</f>
        <v/>
      </c>
      <c r="W132" t="str" cm="1">
        <f t="array" ref="W132">IFERROR(_xlfn._xlws.FILTER(game_rosters!AC:AC,(game_rosters!J:J=events!X132)*(K132&lt;&gt;"")),"")</f>
        <v>h</v>
      </c>
      <c r="X132" cm="1">
        <f t="array" ref="X132">IF($I132&lt;&gt;"",$I132,INDEX($I$1:$I132,ROW()-COUNTIFS($T$1:$T132,"="&amp;$T132,$S$1:$S132,"&lt;"&amp;$S132)))</f>
        <v>69</v>
      </c>
      <c r="Y132" cm="1">
        <f t="array" ref="Y132">IFERROR(IF(_xlfn._xlws.FILTER(game_rosters!$J:$J,(game_rosters!$G:$G=events!$AM132)*(game_rosters!$J:$J=events!$X132))&gt;0,1,""),"")</f>
        <v>1</v>
      </c>
      <c r="Z132" s="6">
        <f t="shared" si="144"/>
        <v>1</v>
      </c>
      <c r="AA132">
        <f t="shared" si="145"/>
        <v>1071</v>
      </c>
      <c r="AB132" t="str">
        <f t="shared" si="146"/>
        <v/>
      </c>
      <c r="AC132">
        <f t="shared" si="147"/>
        <v>1071</v>
      </c>
      <c r="AD132" t="str">
        <f t="shared" si="148"/>
        <v>16</v>
      </c>
      <c r="AE132" t="str">
        <f t="shared" si="149"/>
        <v>09</v>
      </c>
      <c r="AF132" t="str">
        <f t="shared" si="150"/>
        <v>16</v>
      </c>
      <c r="AG132" t="str">
        <f t="shared" si="151"/>
        <v>08</v>
      </c>
      <c r="AH132" t="str">
        <f t="shared" si="194"/>
        <v>e</v>
      </c>
      <c r="AI132" t="str">
        <f t="shared" si="236"/>
        <v>o</v>
      </c>
      <c r="AJ132" t="str">
        <f t="shared" si="236"/>
        <v>o</v>
      </c>
      <c r="AK132" t="str">
        <f t="shared" si="196"/>
        <v>o</v>
      </c>
      <c r="AL132" t="str">
        <f t="shared" si="197"/>
        <v>d</v>
      </c>
      <c r="AM132" t="str">
        <f t="shared" si="152"/>
        <v>Home</v>
      </c>
      <c r="AN132" t="str">
        <f t="shared" si="198"/>
        <v>h</v>
      </c>
      <c r="AO132" t="str">
        <f t="shared" si="199"/>
        <v>o</v>
      </c>
      <c r="AP132" t="str">
        <f t="shared" si="200"/>
        <v>d</v>
      </c>
      <c r="AQ132" t="str">
        <f>IF(AM132&lt;&gt;"",AM132,IF($AC132=#REF!,#REF!,""))</f>
        <v>Home</v>
      </c>
      <c r="AR132" t="str">
        <f t="shared" si="201"/>
        <v>h</v>
      </c>
      <c r="AS132" t="str">
        <f t="shared" si="202"/>
        <v>Offensive</v>
      </c>
      <c r="AT132" t="str">
        <f t="shared" si="153"/>
        <v/>
      </c>
      <c r="AU132" t="str">
        <f t="shared" si="154"/>
        <v/>
      </c>
      <c r="AV132" t="str" cm="1">
        <f t="array" ref="AV132">IFERROR(IF(O132&lt;&gt;"",O132,IF(OR($S132="",$T132=""),"",IF(O132&lt;&gt;"",O132,IF($T132&lt;&gt;"",_xlfn._xlws.FILTER(O:O,($BT:$BT=$BT132)*($I:$I=$I132)*($T:$T=$T132)*($S:$S=_xlfn.MINIFS($S:$S,$T:$T,"="&amp;$T132)),"")))))&amp;"",IF(O132="","",""))&amp;""</f>
        <v/>
      </c>
      <c r="AW132" t="str" cm="1">
        <f t="array" ref="AW132">IFERROR(IF(P132&lt;&gt;"",P132,IF(OR($S132="",$T132=""),"",IF($T132&lt;&gt;"",_xlfn._xlws.FILTER(P:P,($BT:$BT=$BT132)*($I:$I=$I132)*($T:$T=$T132)*($S:$S=_xlfn.MINIFS($S:$S,$T:$T,"="&amp;$T132)),""))))&amp;"",IF(P132="","",""))&amp;""</f>
        <v/>
      </c>
      <c r="AX132" t="str" cm="1">
        <f t="array" ref="AX132">IFERROR(IF(Q132&lt;&gt;"",Q132,IF(OR($S132="",$T132=""),"",IF($T132&lt;&gt;"",_xlfn._xlws.FILTER(Q:Q,($BT:$BT=$BT132)*($I:$I=$I132)*($T:$T=$T132)*($S:$S=_xlfn.MINIFS($S:$S,$T:$T,"="&amp;$T132)),""))))&amp;"",IF(Q132="","",""))&amp;""</f>
        <v/>
      </c>
      <c r="AY132" t="str" cm="1">
        <f t="array" ref="AY132">IFERROR(IF(R132&lt;&gt;"",R132,IF(OR($S132="",$T132=""),"",IF($T132&lt;&gt;"",_xlfn._xlws.FILTER(R:R,($BT:$BT=$BT132)*($I:$I=$I132)*($T:$T=$T132)*($S:$S=_xlfn.MINIFS($S:$S,$T:$T,"="&amp;$T132)),""))))&amp;"",IF(R132="","",""))&amp;""</f>
        <v>1</v>
      </c>
      <c r="AZ132" s="6">
        <f t="shared" si="155"/>
        <v>14</v>
      </c>
      <c r="BA132">
        <f t="shared" ref="BA132:BC132" si="246">BA131</f>
        <v>18991</v>
      </c>
      <c r="BB132" t="str">
        <f t="shared" si="246"/>
        <v>Triple J</v>
      </c>
      <c r="BC132" t="str">
        <f t="shared" si="246"/>
        <v>Velodrome</v>
      </c>
      <c r="BD132" t="str">
        <f t="shared" si="157"/>
        <v>Possession</v>
      </c>
      <c r="BE132" t="str">
        <f t="shared" si="158"/>
        <v/>
      </c>
      <c r="BF132" t="str">
        <f t="shared" si="159"/>
        <v/>
      </c>
      <c r="BG132" t="str">
        <f t="shared" si="22"/>
        <v/>
      </c>
      <c r="BH132" cm="1">
        <f t="array" ref="BH132">IFERROR(_xlfn._xlws.FILTER(shifts!A:A,(shifts!B:B=events!Z132)*(shifts!AG:AG&gt;=events!BJ132)*(shifts!AH:AH&lt;=events!BK132)),BH131)</f>
        <v>4</v>
      </c>
      <c r="BI132" s="15">
        <f t="shared" si="160"/>
        <v>1</v>
      </c>
      <c r="BJ132">
        <f t="shared" si="161"/>
        <v>969</v>
      </c>
      <c r="BK132">
        <f t="shared" si="162"/>
        <v>968</v>
      </c>
      <c r="BL132" s="15">
        <f>SUMIFS(BI$2:BI132,K$2:K132,"=Intermission")+SUMIFS(BI$2:BI132,K$2:K132,"=Timeout")</f>
        <v>0</v>
      </c>
      <c r="BM132">
        <f t="shared" si="163"/>
        <v>0</v>
      </c>
      <c r="BN132" s="19">
        <f t="shared" si="164"/>
        <v>111</v>
      </c>
      <c r="BO132">
        <f t="shared" si="165"/>
        <v>106</v>
      </c>
      <c r="BP132" s="17">
        <f t="shared" si="166"/>
        <v>112</v>
      </c>
      <c r="BQ132" t="str">
        <f t="shared" si="167"/>
        <v>event_team_player_1</v>
      </c>
      <c r="BR132">
        <f>COUNTIFS(S$3:S132,"="&amp;S132,AH$3:AH132,"="&amp;AH132)</f>
        <v>1</v>
      </c>
      <c r="BS132" t="str">
        <f>IFERROR(VLOOKUP(BA132&amp;BT132&amp;X132,game_rosters!U:W,3,FALSE),"")</f>
        <v>P100014</v>
      </c>
      <c r="BT132" t="str">
        <f t="shared" si="168"/>
        <v>Triple J</v>
      </c>
    </row>
    <row r="133" spans="1:72" x14ac:dyDescent="0.2">
      <c r="A133" t="str">
        <f t="shared" ref="A133:A196" si="247">IF(K133&lt;&gt;"",1,IF(D133="x","x",""))</f>
        <v/>
      </c>
      <c r="E133" s="4"/>
      <c r="F133" s="45"/>
      <c r="G133" s="4"/>
      <c r="H133" s="47"/>
      <c r="I133" s="26">
        <v>93</v>
      </c>
      <c r="J133" s="26" t="str">
        <f t="shared" si="170"/>
        <v/>
      </c>
      <c r="N133" t="str">
        <f t="shared" si="187"/>
        <v/>
      </c>
      <c r="Q133" t="str">
        <f t="shared" si="181"/>
        <v/>
      </c>
      <c r="R133" s="26">
        <v>1</v>
      </c>
      <c r="S133">
        <f>IF(A133=1,MAX($S$2:$S132)+1,IF(OR($I133&lt;&gt;"",A133="x"),$S132,""))</f>
        <v>71</v>
      </c>
      <c r="T133" t="str">
        <f>IF(D133=1,MAX($T$2:$T132)+1,IF(S133=S132,$T132,IF(D133="x",T132,IF(D132="x","",""))))</f>
        <v/>
      </c>
      <c r="U133" t="str">
        <f>IF(B133=1,MAX($U$2:$U132)+1,IF(AND($T133&lt;&gt;"",$T133=$T132),$U132,IF(B133="x",U132,"")))</f>
        <v/>
      </c>
      <c r="V133" t="str">
        <f>IF(C133=1,MAX($V$2:$V132)+1,IF(AND($T133&lt;&gt;"",$T133=$T132),$U132,IF(C133="x",V132,"")))</f>
        <v/>
      </c>
      <c r="W133" t="str" cm="1">
        <f t="array" ref="W133">IFERROR(_xlfn._xlws.FILTER(game_rosters!AC:AC,(game_rosters!J:J=events!X133)*(K133&lt;&gt;"")),"")</f>
        <v/>
      </c>
      <c r="X133" cm="1">
        <f t="array" ref="X133">IF($I133&lt;&gt;"",$I133,INDEX($I$1:$I133,ROW()-COUNTIFS($T$1:$T133,"="&amp;$T133,$S$1:$S133,"&lt;"&amp;$S133)))</f>
        <v>93</v>
      </c>
      <c r="Y133" t="str" cm="1">
        <f t="array" ref="Y133">IFERROR(IF(_xlfn._xlws.FILTER(game_rosters!$J:$J,(game_rosters!$G:$G=events!$AM133)*(game_rosters!$J:$J=events!$X133))&gt;0,1,""),"")</f>
        <v/>
      </c>
      <c r="Z133" s="6">
        <f t="shared" ref="Z133:Z196" si="248">IF(K133="Intermission",Z132+1,Z132)</f>
        <v>1</v>
      </c>
      <c r="AA133">
        <f t="shared" ref="AA133:AA196" si="249">S133+1000</f>
        <v>1071</v>
      </c>
      <c r="AB133" t="str">
        <f t="shared" ref="AB133:AB196" si="250">IF(T133&lt;&gt;"",9000+T133,"")</f>
        <v/>
      </c>
      <c r="AC133">
        <f t="shared" ref="AC133:AC196" si="251">IF(AB133&lt;&gt;"",AB133,S133+1000)</f>
        <v>1071</v>
      </c>
      <c r="AD133" t="str">
        <f t="shared" ref="AD133:AD196" si="252">IF(E133&lt;&gt;"",E133,IF($AC133=$AC132,AD132,IF(AF132&lt;&gt;"",AF132,IF(AD132&lt;&gt;"",AD132,""))))</f>
        <v>16</v>
      </c>
      <c r="AE133" t="str">
        <f t="shared" ref="AE133:AE196" si="253">IF(F133&lt;&gt;"",F133,IF($AC133=$AC132,AE132,IF(AG132&lt;&gt;"",AG132,IF(AE132&lt;&gt;"",AE132,""))))</f>
        <v>09</v>
      </c>
      <c r="AF133" t="str">
        <f t="shared" ref="AF133:AF196" si="254">IF(G133&lt;&gt;"",G133,IF($AC133=$AC132,AF132,IF(H133="","",AD133)))</f>
        <v>16</v>
      </c>
      <c r="AG133" t="str">
        <f t="shared" ref="AG133:AG196" si="255">IF(H133&lt;&gt;"",H133,IF($S133=$S132,AG132,""))</f>
        <v>08</v>
      </c>
      <c r="AH133" t="str">
        <f t="shared" si="194"/>
        <v>o</v>
      </c>
      <c r="AI133" t="str">
        <f t="shared" si="236"/>
        <v>o</v>
      </c>
      <c r="AJ133" t="str">
        <f t="shared" si="236"/>
        <v>o</v>
      </c>
      <c r="AK133" t="str">
        <f t="shared" si="196"/>
        <v/>
      </c>
      <c r="AL133" t="str">
        <f t="shared" si="197"/>
        <v/>
      </c>
      <c r="AM133" t="str">
        <f t="shared" ref="AM133:AM196" si="256">IF(AN133="H","Home",IF(AN133="A","Away",""))</f>
        <v>Home</v>
      </c>
      <c r="AN133" t="str">
        <f t="shared" si="198"/>
        <v>h</v>
      </c>
      <c r="AO133" t="str">
        <f t="shared" si="199"/>
        <v>o</v>
      </c>
      <c r="AP133" t="str">
        <f t="shared" si="200"/>
        <v>d</v>
      </c>
      <c r="AQ133" t="str">
        <f>IF(AM133&lt;&gt;"",AM133,IF($AC133=#REF!,#REF!,""))</f>
        <v>Home</v>
      </c>
      <c r="AR133" t="str">
        <f t="shared" si="201"/>
        <v>h</v>
      </c>
      <c r="AS133" t="str">
        <f t="shared" si="202"/>
        <v>Defensive</v>
      </c>
      <c r="AT133" t="str">
        <f t="shared" ref="AT133:AT196" si="257">IF(U133&lt;&gt;"",U133+5000,"")</f>
        <v/>
      </c>
      <c r="AU133" t="str">
        <f t="shared" ref="AU133:AU196" si="258">IF(V133&lt;&gt;"",V133+6000,"")</f>
        <v/>
      </c>
      <c r="AV133" t="str" cm="1">
        <f t="array" ref="AV133">IFERROR(IF(O133&lt;&gt;"",O133,IF(OR($S133="",$T133=""),"",IF(O133&lt;&gt;"",O133,IF($T133&lt;&gt;"",_xlfn._xlws.FILTER(O:O,($BT:$BT=$BT133)*($I:$I=$I133)*($T:$T=$T133)*($S:$S=_xlfn.MINIFS($S:$S,$T:$T,"="&amp;$T133)),"")))))&amp;"",IF(O133="","",""))&amp;""</f>
        <v/>
      </c>
      <c r="AW133" t="str" cm="1">
        <f t="array" ref="AW133">IFERROR(IF(P133&lt;&gt;"",P133,IF(OR($S133="",$T133=""),"",IF($T133&lt;&gt;"",_xlfn._xlws.FILTER(P:P,($BT:$BT=$BT133)*($I:$I=$I133)*($T:$T=$T133)*($S:$S=_xlfn.MINIFS($S:$S,$T:$T,"="&amp;$T133)),""))))&amp;"",IF(P133="","",""))&amp;""</f>
        <v/>
      </c>
      <c r="AX133" t="str" cm="1">
        <f t="array" ref="AX133">IFERROR(IF(Q133&lt;&gt;"",Q133,IF(OR($S133="",$T133=""),"",IF($T133&lt;&gt;"",_xlfn._xlws.FILTER(Q:Q,($BT:$BT=$BT133)*($I:$I=$I133)*($T:$T=$T133)*($S:$S=_xlfn.MINIFS($S:$S,$T:$T,"="&amp;$T133)),""))))&amp;"",IF(Q133="","",""))&amp;""</f>
        <v/>
      </c>
      <c r="AY133" t="str" cm="1">
        <f t="array" ref="AY133">IFERROR(IF(R133&lt;&gt;"",R133,IF(OR($S133="",$T133=""),"",IF($T133&lt;&gt;"",_xlfn._xlws.FILTER(R:R,($BT:$BT=$BT133)*($I:$I=$I133)*($T:$T=$T133)*($S:$S=_xlfn.MINIFS($S:$S,$T:$T,"="&amp;$T133)),""))))&amp;"",IF(R133="","",""))&amp;""</f>
        <v>1</v>
      </c>
      <c r="AZ133" s="6">
        <f t="shared" ref="AZ133:AZ196" si="259">IF(OR(L133="Zone_Entry",L133="Zone_Exit"),AZ132+1,AZ132)</f>
        <v>14</v>
      </c>
      <c r="BA133">
        <f t="shared" ref="BA133:BC133" si="260">BA132</f>
        <v>18991</v>
      </c>
      <c r="BB133" t="str">
        <f t="shared" si="260"/>
        <v>Triple J</v>
      </c>
      <c r="BC133" t="str">
        <f t="shared" si="260"/>
        <v>Velodrome</v>
      </c>
      <c r="BD133" t="str">
        <f t="shared" ref="BD133:BD196" si="261">IF($K133&lt;&gt;"",$K133,IF($S133=$S132,BD132,""))</f>
        <v>Possession</v>
      </c>
      <c r="BE133" t="str">
        <f t="shared" ref="BE133:BE196" si="262">IF(L133&lt;&gt;"",L133,IF($S133=$S132,BE132,""))</f>
        <v/>
      </c>
      <c r="BF133" t="str">
        <f t="shared" ref="BF133:BF196" si="263">IF(M133&lt;&gt;"",M133,IF($S133=$S132,BF132,""))</f>
        <v/>
      </c>
      <c r="BG133" t="str">
        <f t="shared" si="22"/>
        <v/>
      </c>
      <c r="BH133" cm="1">
        <f t="array" ref="BH133">IFERROR(_xlfn._xlws.FILTER(shifts!A:A,(shifts!B:B=events!Z133)*(shifts!AG:AG&gt;=events!BJ133)*(shifts!AH:AH&lt;=events!BK133)),BH132)</f>
        <v>4</v>
      </c>
      <c r="BI133" s="15">
        <f t="shared" ref="BI133:BI196" si="264">IF(AND(AF133="",AG133=""),0,((AD133*60)+AE133)-((AF133*60)+AG133))</f>
        <v>1</v>
      </c>
      <c r="BJ133">
        <f t="shared" ref="BJ133:BJ196" si="265">(AD133*60)+AE133</f>
        <v>969</v>
      </c>
      <c r="BK133">
        <f t="shared" ref="BK133:BK196" si="266">IF(AND(AF133="",AG133=""),BJ133,((AF133*60)+AG133))</f>
        <v>968</v>
      </c>
      <c r="BL133" s="15">
        <f>SUMIFS(BI$2:BI133,K$2:K133,"=Intermission")+SUMIFS(BI$2:BI133,K$2:K133,"=Timeout")</f>
        <v>0</v>
      </c>
      <c r="BM133">
        <f t="shared" ref="BM133:BM196" si="267">IF(Z133=1,0,IF(Z133=2,1080+BL133,IF(Z133=3,(1080*2)+BL133,0)))</f>
        <v>0</v>
      </c>
      <c r="BN133" s="19">
        <f t="shared" ref="BN133:BN196" si="268">IF(K133="Intermission",BN132,((1080)-((AD133*60)+AE133))+BM133)</f>
        <v>111</v>
      </c>
      <c r="BO133">
        <f t="shared" ref="BO133:BO196" si="269">IF(BN133&lt;5,0,BN133-5)</f>
        <v>106</v>
      </c>
      <c r="BP133" s="17">
        <f t="shared" ref="BP133:BP196" si="270">BO133+BI133+5</f>
        <v>112</v>
      </c>
      <c r="BQ133" t="str">
        <f t="shared" ref="BQ133:BQ196" si="271">IF(AH133="e","event_team_player_"&amp;BR133,IF(AH133="o","opp_team_player_"&amp;BR133,""))</f>
        <v>opp_team_player_1</v>
      </c>
      <c r="BR133">
        <f>COUNTIFS(S$3:S133,"="&amp;S133,AH$3:AH133,"="&amp;AH133)</f>
        <v>1</v>
      </c>
      <c r="BS133" t="str">
        <f>IFERROR(VLOOKUP(BA133&amp;BT133&amp;X133,game_rosters!U:W,3,FALSE),"")</f>
        <v>P100093</v>
      </c>
      <c r="BT133" t="str">
        <f t="shared" ref="BT133:BT196" si="272">IF(AQ133="","",IF(AND(AQ133="Away",AH133="e"),BC133,IF(AND(AQ133="Home",AH133="e"),BB133,IF(AND(AQ133="Away",AH133="o"),BB133,IF(AND(AQ133="Home",AH133="o"),BC133)))))</f>
        <v>Velodrome</v>
      </c>
    </row>
    <row r="134" spans="1:72" x14ac:dyDescent="0.2">
      <c r="A134">
        <f t="shared" si="247"/>
        <v>1</v>
      </c>
      <c r="E134" s="4"/>
      <c r="F134" s="45"/>
      <c r="G134" s="4"/>
      <c r="H134" s="47"/>
      <c r="I134" s="26">
        <v>69</v>
      </c>
      <c r="J134" s="26" t="s">
        <v>368</v>
      </c>
      <c r="K134" t="s">
        <v>7</v>
      </c>
      <c r="L134" t="s">
        <v>192</v>
      </c>
      <c r="M134" t="s">
        <v>67</v>
      </c>
      <c r="N134" t="str">
        <f t="shared" si="187"/>
        <v>u</v>
      </c>
      <c r="Q134" t="str">
        <f t="shared" si="181"/>
        <v/>
      </c>
      <c r="R134" s="26">
        <v>1</v>
      </c>
      <c r="S134">
        <f>IF(A134=1,MAX($S$2:$S133)+1,IF(OR($I134&lt;&gt;"",A134="x"),$S133,""))</f>
        <v>72</v>
      </c>
      <c r="T134" t="str">
        <f>IF(D134=1,MAX($T$2:$T133)+1,IF(S134=S133,$T133,IF(D134="x",T133,IF(D133="x","",""))))</f>
        <v/>
      </c>
      <c r="U134" t="str">
        <f>IF(B134=1,MAX($U$2:$U133)+1,IF(AND($T134&lt;&gt;"",$T134=$T133),$U133,IF(B134="x",U133,"")))</f>
        <v/>
      </c>
      <c r="V134" t="str">
        <f>IF(C134=1,MAX($V$2:$V133)+1,IF(AND($T134&lt;&gt;"",$T134=$T133),$U133,IF(C134="x",V133,"")))</f>
        <v/>
      </c>
      <c r="W134" t="str" cm="1">
        <f t="array" ref="W134">IFERROR(_xlfn._xlws.FILTER(game_rosters!AC:AC,(game_rosters!J:J=events!X134)*(K134&lt;&gt;"")),"")</f>
        <v>h</v>
      </c>
      <c r="X134" cm="1">
        <f t="array" ref="X134">IF($I134&lt;&gt;"",$I134,INDEX($I$1:$I134,ROW()-COUNTIFS($T$1:$T134,"="&amp;$T134,$S$1:$S134,"&lt;"&amp;$S134)))</f>
        <v>69</v>
      </c>
      <c r="Y134" cm="1">
        <f t="array" ref="Y134">IFERROR(IF(_xlfn._xlws.FILTER(game_rosters!$J:$J,(game_rosters!$G:$G=events!$AM134)*(game_rosters!$J:$J=events!$X134))&gt;0,1,""),"")</f>
        <v>1</v>
      </c>
      <c r="Z134" s="6">
        <f t="shared" si="248"/>
        <v>1</v>
      </c>
      <c r="AA134">
        <f t="shared" si="249"/>
        <v>1072</v>
      </c>
      <c r="AB134" t="str">
        <f t="shared" si="250"/>
        <v/>
      </c>
      <c r="AC134">
        <f t="shared" si="251"/>
        <v>1072</v>
      </c>
      <c r="AD134" t="str">
        <f t="shared" si="252"/>
        <v>16</v>
      </c>
      <c r="AE134" t="str">
        <f t="shared" si="253"/>
        <v>08</v>
      </c>
      <c r="AF134" t="str">
        <f t="shared" si="254"/>
        <v/>
      </c>
      <c r="AG134" t="str">
        <f t="shared" si="255"/>
        <v/>
      </c>
      <c r="AH134" t="str">
        <f t="shared" si="194"/>
        <v>e</v>
      </c>
      <c r="AI134" t="str">
        <f t="shared" si="236"/>
        <v>o</v>
      </c>
      <c r="AJ134" t="str">
        <f t="shared" si="236"/>
        <v>o</v>
      </c>
      <c r="AK134" t="str">
        <f t="shared" si="196"/>
        <v>o</v>
      </c>
      <c r="AL134" t="str">
        <f t="shared" si="197"/>
        <v>d</v>
      </c>
      <c r="AM134" t="str">
        <f t="shared" si="256"/>
        <v>Home</v>
      </c>
      <c r="AN134" t="str">
        <f t="shared" si="198"/>
        <v>h</v>
      </c>
      <c r="AO134" t="str">
        <f t="shared" si="199"/>
        <v>o</v>
      </c>
      <c r="AP134" t="str">
        <f t="shared" si="200"/>
        <v>d</v>
      </c>
      <c r="AQ134" t="str">
        <f>IF(AM134&lt;&gt;"",AM134,IF($AC134=#REF!,#REF!,""))</f>
        <v>Home</v>
      </c>
      <c r="AR134" t="str">
        <f t="shared" si="201"/>
        <v>h</v>
      </c>
      <c r="AS134" t="str">
        <f t="shared" si="202"/>
        <v>Offensive</v>
      </c>
      <c r="AT134" t="str">
        <f t="shared" si="257"/>
        <v/>
      </c>
      <c r="AU134" t="str">
        <f t="shared" si="258"/>
        <v/>
      </c>
      <c r="AV134" t="str" cm="1">
        <f t="array" ref="AV134">IFERROR(IF(O134&lt;&gt;"",O134,IF(OR($S134="",$T134=""),"",IF(O134&lt;&gt;"",O134,IF($T134&lt;&gt;"",_xlfn._xlws.FILTER(O:O,($BT:$BT=$BT134)*($I:$I=$I134)*($T:$T=$T134)*($S:$S=_xlfn.MINIFS($S:$S,$T:$T,"="&amp;$T134)),"")))))&amp;"",IF(O134="","",""))&amp;""</f>
        <v/>
      </c>
      <c r="AW134" t="str" cm="1">
        <f t="array" ref="AW134">IFERROR(IF(P134&lt;&gt;"",P134,IF(OR($S134="",$T134=""),"",IF($T134&lt;&gt;"",_xlfn._xlws.FILTER(P:P,($BT:$BT=$BT134)*($I:$I=$I134)*($T:$T=$T134)*($S:$S=_xlfn.MINIFS($S:$S,$T:$T,"="&amp;$T134)),""))))&amp;"",IF(P134="","",""))&amp;""</f>
        <v/>
      </c>
      <c r="AX134" t="str" cm="1">
        <f t="array" ref="AX134">IFERROR(IF(Q134&lt;&gt;"",Q134,IF(OR($S134="",$T134=""),"",IF($T134&lt;&gt;"",_xlfn._xlws.FILTER(Q:Q,($BT:$BT=$BT134)*($I:$I=$I134)*($T:$T=$T134)*($S:$S=_xlfn.MINIFS($S:$S,$T:$T,"="&amp;$T134)),""))))&amp;"",IF(Q134="","",""))&amp;""</f>
        <v/>
      </c>
      <c r="AY134" t="str" cm="1">
        <f t="array" ref="AY134">IFERROR(IF(R134&lt;&gt;"",R134,IF(OR($S134="",$T134=""),"",IF($T134&lt;&gt;"",_xlfn._xlws.FILTER(R:R,($BT:$BT=$BT134)*($I:$I=$I134)*($T:$T=$T134)*($S:$S=_xlfn.MINIFS($S:$S,$T:$T,"="&amp;$T134)),""))))&amp;"",IF(R134="","",""))&amp;""</f>
        <v>1</v>
      </c>
      <c r="AZ134" s="6">
        <f t="shared" si="259"/>
        <v>14</v>
      </c>
      <c r="BA134">
        <f t="shared" ref="BA134:BC134" si="273">BA133</f>
        <v>18991</v>
      </c>
      <c r="BB134" t="str">
        <f t="shared" si="273"/>
        <v>Triple J</v>
      </c>
      <c r="BC134" t="str">
        <f t="shared" si="273"/>
        <v>Velodrome</v>
      </c>
      <c r="BD134" t="str">
        <f t="shared" si="261"/>
        <v>Pass</v>
      </c>
      <c r="BE134" t="str">
        <f t="shared" si="262"/>
        <v>Pass_Deflected</v>
      </c>
      <c r="BF134" t="str">
        <f t="shared" si="263"/>
        <v>Pass-Backhand</v>
      </c>
      <c r="BG134" t="str">
        <f t="shared" si="22"/>
        <v>u</v>
      </c>
      <c r="BH134" cm="1">
        <f t="array" ref="BH134">IFERROR(_xlfn._xlws.FILTER(shifts!A:A,(shifts!B:B=events!Z134)*(shifts!AG:AG&gt;=events!BJ134)*(shifts!AH:AH&lt;=events!BK134)),BH133)</f>
        <v>4</v>
      </c>
      <c r="BI134" s="15">
        <f t="shared" si="264"/>
        <v>0</v>
      </c>
      <c r="BJ134">
        <f t="shared" si="265"/>
        <v>968</v>
      </c>
      <c r="BK134">
        <f t="shared" si="266"/>
        <v>968</v>
      </c>
      <c r="BL134" s="15">
        <f>SUMIFS(BI$2:BI134,K$2:K134,"=Intermission")+SUMIFS(BI$2:BI134,K$2:K134,"=Timeout")</f>
        <v>0</v>
      </c>
      <c r="BM134">
        <f t="shared" si="267"/>
        <v>0</v>
      </c>
      <c r="BN134" s="19">
        <f t="shared" si="268"/>
        <v>112</v>
      </c>
      <c r="BO134">
        <f t="shared" si="269"/>
        <v>107</v>
      </c>
      <c r="BP134" s="17">
        <f t="shared" si="270"/>
        <v>112</v>
      </c>
      <c r="BQ134" t="str">
        <f t="shared" si="271"/>
        <v>event_team_player_1</v>
      </c>
      <c r="BR134">
        <f>COUNTIFS(S$3:S134,"="&amp;S134,AH$3:AH134,"="&amp;AH134)</f>
        <v>1</v>
      </c>
      <c r="BS134" t="str">
        <f>IFERROR(VLOOKUP(BA134&amp;BT134&amp;X134,game_rosters!U:W,3,FALSE),"")</f>
        <v>P100014</v>
      </c>
      <c r="BT134" t="str">
        <f t="shared" si="272"/>
        <v>Triple J</v>
      </c>
    </row>
    <row r="135" spans="1:72" x14ac:dyDescent="0.2">
      <c r="A135" t="str">
        <f t="shared" si="247"/>
        <v/>
      </c>
      <c r="E135" s="4"/>
      <c r="F135" s="45"/>
      <c r="G135" s="4"/>
      <c r="H135" s="47"/>
      <c r="I135" s="26">
        <v>90</v>
      </c>
      <c r="J135" s="26" t="str">
        <f t="shared" ref="J135:J197" si="274">IF(OR(K135="Goal",K135="Shot",L135="Zone_Entry",M135="Stoppage-Goal",M134="Stoppage-Goal"),"o",IF(OR(K135="Save",K135="Rebound",L135="Zone_Exit",M135="Stoppage-GoalieStoppage",M134="Stoppage-GoalieStoppage"),"d",IF(OR(L135="Faceoff_AfterGoal",L135="Faceoff_PeriodStart",698="Faceoff_GameStart",M134="Stoppage-Goal"),"n","")))</f>
        <v/>
      </c>
      <c r="N135" t="str">
        <f t="shared" si="187"/>
        <v/>
      </c>
      <c r="Q135" t="str">
        <f t="shared" si="181"/>
        <v/>
      </c>
      <c r="R135" s="26">
        <v>2</v>
      </c>
      <c r="S135">
        <f>IF(A135=1,MAX($S$2:$S134)+1,IF(OR($I135&lt;&gt;"",A135="x"),$S134,""))</f>
        <v>72</v>
      </c>
      <c r="T135" t="str">
        <f>IF(D135=1,MAX($T$2:$T134)+1,IF(S135=S134,$T134,IF(D135="x",T134,IF(D134="x","",""))))</f>
        <v/>
      </c>
      <c r="U135" t="str">
        <f>IF(B135=1,MAX($U$2:$U134)+1,IF(AND($T135&lt;&gt;"",$T135=$T134),$U134,IF(B135="x",U134,"")))</f>
        <v/>
      </c>
      <c r="V135" t="str">
        <f>IF(C135=1,MAX($V$2:$V134)+1,IF(AND($T135&lt;&gt;"",$T135=$T134),$U134,IF(C135="x",V134,"")))</f>
        <v/>
      </c>
      <c r="W135" t="str" cm="1">
        <f t="array" ref="W135">IFERROR(_xlfn._xlws.FILTER(game_rosters!AC:AC,(game_rosters!J:J=events!X135)*(K135&lt;&gt;"")),"")</f>
        <v/>
      </c>
      <c r="X135" cm="1">
        <f t="array" ref="X135">IF($I135&lt;&gt;"",$I135,INDEX($I$1:$I135,ROW()-COUNTIFS($T$1:$T135,"="&amp;$T135,$S$1:$S135,"&lt;"&amp;$S135)))</f>
        <v>90</v>
      </c>
      <c r="Y135" cm="1">
        <f t="array" ref="Y135">IFERROR(IF(_xlfn._xlws.FILTER(game_rosters!$J:$J,(game_rosters!$G:$G=events!$AM135)*(game_rosters!$J:$J=events!$X135))&gt;0,1,""),"")</f>
        <v>1</v>
      </c>
      <c r="Z135" s="6">
        <f t="shared" si="248"/>
        <v>1</v>
      </c>
      <c r="AA135">
        <f t="shared" si="249"/>
        <v>1072</v>
      </c>
      <c r="AB135" t="str">
        <f t="shared" si="250"/>
        <v/>
      </c>
      <c r="AC135">
        <f t="shared" si="251"/>
        <v>1072</v>
      </c>
      <c r="AD135" t="str">
        <f t="shared" si="252"/>
        <v>16</v>
      </c>
      <c r="AE135" t="str">
        <f t="shared" si="253"/>
        <v>08</v>
      </c>
      <c r="AF135" t="str">
        <f t="shared" si="254"/>
        <v/>
      </c>
      <c r="AG135" t="str">
        <f t="shared" si="255"/>
        <v/>
      </c>
      <c r="AH135" t="str">
        <f t="shared" si="194"/>
        <v>e</v>
      </c>
      <c r="AI135" t="str">
        <f t="shared" si="236"/>
        <v>o</v>
      </c>
      <c r="AJ135" t="str">
        <f t="shared" si="236"/>
        <v>o</v>
      </c>
      <c r="AK135" t="str">
        <f t="shared" si="196"/>
        <v/>
      </c>
      <c r="AL135" t="str">
        <f t="shared" si="197"/>
        <v/>
      </c>
      <c r="AM135" t="str">
        <f t="shared" si="256"/>
        <v>Home</v>
      </c>
      <c r="AN135" t="str">
        <f t="shared" si="198"/>
        <v>h</v>
      </c>
      <c r="AO135" t="str">
        <f t="shared" si="199"/>
        <v>o</v>
      </c>
      <c r="AP135" t="str">
        <f t="shared" si="200"/>
        <v>d</v>
      </c>
      <c r="AQ135" t="str">
        <f>IF(AM135&lt;&gt;"",AM135,IF($AC135=#REF!,#REF!,""))</f>
        <v>Home</v>
      </c>
      <c r="AR135" t="str">
        <f t="shared" si="201"/>
        <v>h</v>
      </c>
      <c r="AS135" t="str">
        <f t="shared" si="202"/>
        <v>Offensive</v>
      </c>
      <c r="AT135" t="str">
        <f t="shared" si="257"/>
        <v/>
      </c>
      <c r="AU135" t="str">
        <f t="shared" si="258"/>
        <v/>
      </c>
      <c r="AV135" t="str" cm="1">
        <f t="array" ref="AV135">IFERROR(IF(O135&lt;&gt;"",O135,IF(OR($S135="",$T135=""),"",IF(O135&lt;&gt;"",O135,IF($T135&lt;&gt;"",_xlfn._xlws.FILTER(O:O,($BT:$BT=$BT135)*($I:$I=$I135)*($T:$T=$T135)*($S:$S=_xlfn.MINIFS($S:$S,$T:$T,"="&amp;$T135)),"")))))&amp;"",IF(O135="","",""))&amp;""</f>
        <v/>
      </c>
      <c r="AW135" t="str" cm="1">
        <f t="array" ref="AW135">IFERROR(IF(P135&lt;&gt;"",P135,IF(OR($S135="",$T135=""),"",IF($T135&lt;&gt;"",_xlfn._xlws.FILTER(P:P,($BT:$BT=$BT135)*($I:$I=$I135)*($T:$T=$T135)*($S:$S=_xlfn.MINIFS($S:$S,$T:$T,"="&amp;$T135)),""))))&amp;"",IF(P135="","",""))&amp;""</f>
        <v/>
      </c>
      <c r="AX135" t="str" cm="1">
        <f t="array" ref="AX135">IFERROR(IF(Q135&lt;&gt;"",Q135,IF(OR($S135="",$T135=""),"",IF($T135&lt;&gt;"",_xlfn._xlws.FILTER(Q:Q,($BT:$BT=$BT135)*($I:$I=$I135)*($T:$T=$T135)*($S:$S=_xlfn.MINIFS($S:$S,$T:$T,"="&amp;$T135)),""))))&amp;"",IF(Q135="","",""))&amp;""</f>
        <v/>
      </c>
      <c r="AY135" t="str" cm="1">
        <f t="array" ref="AY135">IFERROR(IF(R135&lt;&gt;"",R135,IF(OR($S135="",$T135=""),"",IF($T135&lt;&gt;"",_xlfn._xlws.FILTER(R:R,($BT:$BT=$BT135)*($I:$I=$I135)*($T:$T=$T135)*($S:$S=_xlfn.MINIFS($S:$S,$T:$T,"="&amp;$T135)),""))))&amp;"",IF(R135="","",""))&amp;""</f>
        <v>2</v>
      </c>
      <c r="AZ135" s="6">
        <f t="shared" si="259"/>
        <v>14</v>
      </c>
      <c r="BA135">
        <f t="shared" ref="BA135:BC135" si="275">BA134</f>
        <v>18991</v>
      </c>
      <c r="BB135" t="str">
        <f t="shared" si="275"/>
        <v>Triple J</v>
      </c>
      <c r="BC135" t="str">
        <f t="shared" si="275"/>
        <v>Velodrome</v>
      </c>
      <c r="BD135" t="str">
        <f t="shared" si="261"/>
        <v>Pass</v>
      </c>
      <c r="BE135" t="str">
        <f t="shared" si="262"/>
        <v>Pass_Deflected</v>
      </c>
      <c r="BF135" t="str">
        <f t="shared" si="263"/>
        <v>Pass-Backhand</v>
      </c>
      <c r="BG135" t="str">
        <f t="shared" si="22"/>
        <v>u</v>
      </c>
      <c r="BH135" cm="1">
        <f t="array" ref="BH135">IFERROR(_xlfn._xlws.FILTER(shifts!A:A,(shifts!B:B=events!Z135)*(shifts!AG:AG&gt;=events!BJ135)*(shifts!AH:AH&lt;=events!BK135)),BH134)</f>
        <v>4</v>
      </c>
      <c r="BI135" s="15">
        <f t="shared" si="264"/>
        <v>0</v>
      </c>
      <c r="BJ135">
        <f t="shared" si="265"/>
        <v>968</v>
      </c>
      <c r="BK135">
        <f t="shared" si="266"/>
        <v>968</v>
      </c>
      <c r="BL135" s="15">
        <f>SUMIFS(BI$2:BI135,K$2:K135,"=Intermission")+SUMIFS(BI$2:BI135,K$2:K135,"=Timeout")</f>
        <v>0</v>
      </c>
      <c r="BM135">
        <f t="shared" si="267"/>
        <v>0</v>
      </c>
      <c r="BN135" s="19">
        <f t="shared" si="268"/>
        <v>112</v>
      </c>
      <c r="BO135">
        <f t="shared" si="269"/>
        <v>107</v>
      </c>
      <c r="BP135" s="17">
        <f t="shared" si="270"/>
        <v>112</v>
      </c>
      <c r="BQ135" t="str">
        <f t="shared" si="271"/>
        <v>event_team_player_2</v>
      </c>
      <c r="BR135">
        <f>COUNTIFS(S$3:S135,"="&amp;S135,AH$3:AH135,"="&amp;AH135)</f>
        <v>2</v>
      </c>
      <c r="BS135" t="str">
        <f>IFERROR(VLOOKUP(BA135&amp;BT135&amp;X135,game_rosters!U:W,3,FALSE),"")</f>
        <v>P100233</v>
      </c>
      <c r="BT135" t="str">
        <f t="shared" si="272"/>
        <v>Triple J</v>
      </c>
    </row>
    <row r="136" spans="1:72" x14ac:dyDescent="0.2">
      <c r="A136" t="str">
        <f t="shared" si="247"/>
        <v/>
      </c>
      <c r="E136" s="4"/>
      <c r="F136" s="45"/>
      <c r="G136" s="4"/>
      <c r="H136" s="47"/>
      <c r="I136" s="26">
        <v>93</v>
      </c>
      <c r="J136" s="26" t="str">
        <f t="shared" si="274"/>
        <v/>
      </c>
      <c r="N136" t="str">
        <f t="shared" si="187"/>
        <v/>
      </c>
      <c r="Q136" t="str">
        <f t="shared" si="181"/>
        <v/>
      </c>
      <c r="R136" s="26">
        <v>1</v>
      </c>
      <c r="S136">
        <f>IF(A136=1,MAX($S$2:$S135)+1,IF(OR($I136&lt;&gt;"",A136="x"),$S135,""))</f>
        <v>72</v>
      </c>
      <c r="T136" t="str">
        <f>IF(D136=1,MAX($T$2:$T135)+1,IF(S136=S135,$T135,IF(D136="x",T135,IF(D135="x","",""))))</f>
        <v/>
      </c>
      <c r="U136" t="str">
        <f>IF(B136=1,MAX($U$2:$U135)+1,IF(AND($T136&lt;&gt;"",$T136=$T135),$U135,IF(B136="x",U135,"")))</f>
        <v/>
      </c>
      <c r="V136" t="str">
        <f>IF(C136=1,MAX($V$2:$V135)+1,IF(AND($T136&lt;&gt;"",$T136=$T135),$U135,IF(C136="x",V135,"")))</f>
        <v/>
      </c>
      <c r="W136" t="str" cm="1">
        <f t="array" ref="W136">IFERROR(_xlfn._xlws.FILTER(game_rosters!AC:AC,(game_rosters!J:J=events!X136)*(K136&lt;&gt;"")),"")</f>
        <v/>
      </c>
      <c r="X136" cm="1">
        <f t="array" ref="X136">IF($I136&lt;&gt;"",$I136,INDEX($I$1:$I136,ROW()-COUNTIFS($T$1:$T136,"="&amp;$T136,$S$1:$S136,"&lt;"&amp;$S136)))</f>
        <v>93</v>
      </c>
      <c r="Y136" t="str" cm="1">
        <f t="array" ref="Y136">IFERROR(IF(_xlfn._xlws.FILTER(game_rosters!$J:$J,(game_rosters!$G:$G=events!$AM136)*(game_rosters!$J:$J=events!$X136))&gt;0,1,""),"")</f>
        <v/>
      </c>
      <c r="Z136" s="6">
        <f t="shared" si="248"/>
        <v>1</v>
      </c>
      <c r="AA136">
        <f t="shared" si="249"/>
        <v>1072</v>
      </c>
      <c r="AB136" t="str">
        <f t="shared" si="250"/>
        <v/>
      </c>
      <c r="AC136">
        <f t="shared" si="251"/>
        <v>1072</v>
      </c>
      <c r="AD136" t="str">
        <f t="shared" si="252"/>
        <v>16</v>
      </c>
      <c r="AE136" t="str">
        <f t="shared" si="253"/>
        <v>08</v>
      </c>
      <c r="AF136" t="str">
        <f t="shared" si="254"/>
        <v/>
      </c>
      <c r="AG136" t="str">
        <f t="shared" si="255"/>
        <v/>
      </c>
      <c r="AH136" t="str">
        <f t="shared" si="194"/>
        <v>o</v>
      </c>
      <c r="AI136" t="str">
        <f t="shared" si="236"/>
        <v>o</v>
      </c>
      <c r="AJ136" t="str">
        <f t="shared" si="236"/>
        <v>o</v>
      </c>
      <c r="AK136" t="str">
        <f t="shared" si="196"/>
        <v/>
      </c>
      <c r="AL136" t="str">
        <f t="shared" si="197"/>
        <v/>
      </c>
      <c r="AM136" t="str">
        <f t="shared" si="256"/>
        <v>Home</v>
      </c>
      <c r="AN136" t="str">
        <f t="shared" si="198"/>
        <v>h</v>
      </c>
      <c r="AO136" t="str">
        <f t="shared" si="199"/>
        <v>o</v>
      </c>
      <c r="AP136" t="str">
        <f t="shared" si="200"/>
        <v>d</v>
      </c>
      <c r="AQ136" t="str">
        <f>IF(AM136&lt;&gt;"",AM136,IF($AC136=#REF!,#REF!,""))</f>
        <v>Home</v>
      </c>
      <c r="AR136" t="str">
        <f t="shared" si="201"/>
        <v>h</v>
      </c>
      <c r="AS136" t="str">
        <f t="shared" si="202"/>
        <v>Defensive</v>
      </c>
      <c r="AT136" t="str">
        <f t="shared" si="257"/>
        <v/>
      </c>
      <c r="AU136" t="str">
        <f t="shared" si="258"/>
        <v/>
      </c>
      <c r="AV136" t="str" cm="1">
        <f t="array" ref="AV136">IFERROR(IF(O136&lt;&gt;"",O136,IF(OR($S136="",$T136=""),"",IF(O136&lt;&gt;"",O136,IF($T136&lt;&gt;"",_xlfn._xlws.FILTER(O:O,($BT:$BT=$BT136)*($I:$I=$I136)*($T:$T=$T136)*($S:$S=_xlfn.MINIFS($S:$S,$T:$T,"="&amp;$T136)),"")))))&amp;"",IF(O136="","",""))&amp;""</f>
        <v/>
      </c>
      <c r="AW136" t="str" cm="1">
        <f t="array" ref="AW136">IFERROR(IF(P136&lt;&gt;"",P136,IF(OR($S136="",$T136=""),"",IF($T136&lt;&gt;"",_xlfn._xlws.FILTER(P:P,($BT:$BT=$BT136)*($I:$I=$I136)*($T:$T=$T136)*($S:$S=_xlfn.MINIFS($S:$S,$T:$T,"="&amp;$T136)),""))))&amp;"",IF(P136="","",""))&amp;""</f>
        <v/>
      </c>
      <c r="AX136" t="str" cm="1">
        <f t="array" ref="AX136">IFERROR(IF(Q136&lt;&gt;"",Q136,IF(OR($S136="",$T136=""),"",IF($T136&lt;&gt;"",_xlfn._xlws.FILTER(Q:Q,($BT:$BT=$BT136)*($I:$I=$I136)*($T:$T=$T136)*($S:$S=_xlfn.MINIFS($S:$S,$T:$T,"="&amp;$T136)),""))))&amp;"",IF(Q136="","",""))&amp;""</f>
        <v/>
      </c>
      <c r="AY136" t="str" cm="1">
        <f t="array" ref="AY136">IFERROR(IF(R136&lt;&gt;"",R136,IF(OR($S136="",$T136=""),"",IF($T136&lt;&gt;"",_xlfn._xlws.FILTER(R:R,($BT:$BT=$BT136)*($I:$I=$I136)*($T:$T=$T136)*($S:$S=_xlfn.MINIFS($S:$S,$T:$T,"="&amp;$T136)),""))))&amp;"",IF(R136="","",""))&amp;""</f>
        <v>1</v>
      </c>
      <c r="AZ136" s="6">
        <f t="shared" si="259"/>
        <v>14</v>
      </c>
      <c r="BA136">
        <f t="shared" ref="BA136:BC136" si="276">BA135</f>
        <v>18991</v>
      </c>
      <c r="BB136" t="str">
        <f t="shared" si="276"/>
        <v>Triple J</v>
      </c>
      <c r="BC136" t="str">
        <f t="shared" si="276"/>
        <v>Velodrome</v>
      </c>
      <c r="BD136" t="str">
        <f t="shared" si="261"/>
        <v>Pass</v>
      </c>
      <c r="BE136" t="str">
        <f t="shared" si="262"/>
        <v>Pass_Deflected</v>
      </c>
      <c r="BF136" t="str">
        <f t="shared" si="263"/>
        <v>Pass-Backhand</v>
      </c>
      <c r="BG136" t="str">
        <f t="shared" si="22"/>
        <v>u</v>
      </c>
      <c r="BH136" cm="1">
        <f t="array" ref="BH136">IFERROR(_xlfn._xlws.FILTER(shifts!A:A,(shifts!B:B=events!Z136)*(shifts!AG:AG&gt;=events!BJ136)*(shifts!AH:AH&lt;=events!BK136)),BH135)</f>
        <v>4</v>
      </c>
      <c r="BI136" s="15">
        <f t="shared" si="264"/>
        <v>0</v>
      </c>
      <c r="BJ136">
        <f t="shared" si="265"/>
        <v>968</v>
      </c>
      <c r="BK136">
        <f t="shared" si="266"/>
        <v>968</v>
      </c>
      <c r="BL136" s="15">
        <f>SUMIFS(BI$2:BI136,K$2:K136,"=Intermission")+SUMIFS(BI$2:BI136,K$2:K136,"=Timeout")</f>
        <v>0</v>
      </c>
      <c r="BM136">
        <f t="shared" si="267"/>
        <v>0</v>
      </c>
      <c r="BN136" s="19">
        <f t="shared" si="268"/>
        <v>112</v>
      </c>
      <c r="BO136">
        <f t="shared" si="269"/>
        <v>107</v>
      </c>
      <c r="BP136" s="17">
        <f t="shared" si="270"/>
        <v>112</v>
      </c>
      <c r="BQ136" t="str">
        <f t="shared" si="271"/>
        <v>opp_team_player_1</v>
      </c>
      <c r="BR136">
        <f>COUNTIFS(S$3:S136,"="&amp;S136,AH$3:AH136,"="&amp;AH136)</f>
        <v>1</v>
      </c>
      <c r="BS136" t="str">
        <f>IFERROR(VLOOKUP(BA136&amp;BT136&amp;X136,game_rosters!U:W,3,FALSE),"")</f>
        <v>P100093</v>
      </c>
      <c r="BT136" t="str">
        <f t="shared" si="272"/>
        <v>Velodrome</v>
      </c>
    </row>
    <row r="137" spans="1:72" x14ac:dyDescent="0.2">
      <c r="A137" t="str">
        <f t="shared" si="247"/>
        <v/>
      </c>
      <c r="E137" s="4"/>
      <c r="F137" s="45"/>
      <c r="G137" s="4"/>
      <c r="H137" s="47"/>
      <c r="I137" s="26">
        <v>9</v>
      </c>
      <c r="J137" s="26" t="str">
        <f t="shared" si="274"/>
        <v/>
      </c>
      <c r="N137" t="str">
        <f t="shared" si="187"/>
        <v/>
      </c>
      <c r="O137" t="s">
        <v>782</v>
      </c>
      <c r="Q137" t="str">
        <f t="shared" si="181"/>
        <v/>
      </c>
      <c r="R137" s="26">
        <v>2</v>
      </c>
      <c r="S137">
        <f>IF(A137=1,MAX($S$2:$S136)+1,IF(OR($I137&lt;&gt;"",A137="x"),$S136,""))</f>
        <v>72</v>
      </c>
      <c r="T137" t="str">
        <f>IF(D137=1,MAX($T$2:$T136)+1,IF(S137=S136,$T136,IF(D137="x",T136,IF(D136="x","",""))))</f>
        <v/>
      </c>
      <c r="U137" t="str">
        <f>IF(B137=1,MAX($U$2:$U136)+1,IF(AND($T137&lt;&gt;"",$T137=$T136),$U136,IF(B137="x",U136,"")))</f>
        <v/>
      </c>
      <c r="V137" t="str">
        <f>IF(C137=1,MAX($V$2:$V136)+1,IF(AND($T137&lt;&gt;"",$T137=$T136),$U136,IF(C137="x",V136,"")))</f>
        <v/>
      </c>
      <c r="W137" t="str" cm="1">
        <f t="array" ref="W137">IFERROR(_xlfn._xlws.FILTER(game_rosters!AC:AC,(game_rosters!J:J=events!X137)*(K137&lt;&gt;"")),"")</f>
        <v/>
      </c>
      <c r="X137" cm="1">
        <f t="array" ref="X137">IF($I137&lt;&gt;"",$I137,INDEX($I$1:$I137,ROW()-COUNTIFS($T$1:$T137,"="&amp;$T137,$S$1:$S137,"&lt;"&amp;$S137)))</f>
        <v>9</v>
      </c>
      <c r="Y137" t="str" cm="1">
        <f t="array" ref="Y137">IFERROR(IF(_xlfn._xlws.FILTER(game_rosters!$J:$J,(game_rosters!$G:$G=events!$AM137)*(game_rosters!$J:$J=events!$X137))&gt;0,1,""),"")</f>
        <v/>
      </c>
      <c r="Z137" s="6">
        <f t="shared" si="248"/>
        <v>1</v>
      </c>
      <c r="AA137">
        <f t="shared" si="249"/>
        <v>1072</v>
      </c>
      <c r="AB137" t="str">
        <f t="shared" si="250"/>
        <v/>
      </c>
      <c r="AC137">
        <f t="shared" si="251"/>
        <v>1072</v>
      </c>
      <c r="AD137" t="str">
        <f t="shared" si="252"/>
        <v>16</v>
      </c>
      <c r="AE137" t="str">
        <f t="shared" si="253"/>
        <v>08</v>
      </c>
      <c r="AF137" t="str">
        <f t="shared" si="254"/>
        <v/>
      </c>
      <c r="AG137" t="str">
        <f t="shared" si="255"/>
        <v/>
      </c>
      <c r="AH137" t="str">
        <f t="shared" si="194"/>
        <v>o</v>
      </c>
      <c r="AI137" t="str">
        <f t="shared" si="236"/>
        <v>o</v>
      </c>
      <c r="AJ137" t="str">
        <f t="shared" si="236"/>
        <v>o</v>
      </c>
      <c r="AK137" t="str">
        <f t="shared" si="196"/>
        <v/>
      </c>
      <c r="AL137" t="str">
        <f t="shared" si="197"/>
        <v/>
      </c>
      <c r="AM137" t="str">
        <f t="shared" si="256"/>
        <v>Home</v>
      </c>
      <c r="AN137" t="str">
        <f t="shared" si="198"/>
        <v>h</v>
      </c>
      <c r="AO137" t="str">
        <f t="shared" si="199"/>
        <v>o</v>
      </c>
      <c r="AP137" t="str">
        <f t="shared" si="200"/>
        <v>d</v>
      </c>
      <c r="AQ137" t="str">
        <f>IF(AM137&lt;&gt;"",AM137,IF($AC137=#REF!,#REF!,""))</f>
        <v>Home</v>
      </c>
      <c r="AR137" t="str">
        <f t="shared" si="201"/>
        <v>h</v>
      </c>
      <c r="AS137" t="str">
        <f t="shared" si="202"/>
        <v>Defensive</v>
      </c>
      <c r="AT137" t="str">
        <f t="shared" si="257"/>
        <v/>
      </c>
      <c r="AU137" t="str">
        <f t="shared" si="258"/>
        <v/>
      </c>
      <c r="AV137" t="str" cm="1">
        <f t="array" ref="AV137">IFERROR(IF(O137&lt;&gt;"",O137,IF(OR($S137="",$T137=""),"",IF(O137&lt;&gt;"",O137,IF($T137&lt;&gt;"",_xlfn._xlws.FILTER(O:O,($BT:$BT=$BT137)*($I:$I=$I137)*($T:$T=$T137)*($S:$S=_xlfn.MINIFS($S:$S,$T:$T,"="&amp;$T137)),"")))))&amp;"",IF(O137="","",""))&amp;""</f>
        <v>PassDeflected</v>
      </c>
      <c r="AW137" t="str" cm="1">
        <f t="array" ref="AW137">IFERROR(IF(P137&lt;&gt;"",P137,IF(OR($S137="",$T137=""),"",IF($T137&lt;&gt;"",_xlfn._xlws.FILTER(P:P,($BT:$BT=$BT137)*($I:$I=$I137)*($T:$T=$T137)*($S:$S=_xlfn.MINIFS($S:$S,$T:$T,"="&amp;$T137)),""))))&amp;"",IF(P137="","",""))&amp;""</f>
        <v/>
      </c>
      <c r="AX137" t="str" cm="1">
        <f t="array" ref="AX137">IFERROR(IF(Q137&lt;&gt;"",Q137,IF(OR($S137="",$T137=""),"",IF($T137&lt;&gt;"",_xlfn._xlws.FILTER(Q:Q,($BT:$BT=$BT137)*($I:$I=$I137)*($T:$T=$T137)*($S:$S=_xlfn.MINIFS($S:$S,$T:$T,"="&amp;$T137)),""))))&amp;"",IF(Q137="","",""))&amp;""</f>
        <v/>
      </c>
      <c r="AY137" t="str" cm="1">
        <f t="array" ref="AY137">IFERROR(IF(R137&lt;&gt;"",R137,IF(OR($S137="",$T137=""),"",IF($T137&lt;&gt;"",_xlfn._xlws.FILTER(R:R,($BT:$BT=$BT137)*($I:$I=$I137)*($T:$T=$T137)*($S:$S=_xlfn.MINIFS($S:$S,$T:$T,"="&amp;$T137)),""))))&amp;"",IF(R137="","",""))&amp;""</f>
        <v>2</v>
      </c>
      <c r="AZ137" s="6">
        <f t="shared" si="259"/>
        <v>14</v>
      </c>
      <c r="BA137">
        <f t="shared" ref="BA137:BC137" si="277">BA136</f>
        <v>18991</v>
      </c>
      <c r="BB137" t="str">
        <f t="shared" si="277"/>
        <v>Triple J</v>
      </c>
      <c r="BC137" t="str">
        <f t="shared" si="277"/>
        <v>Velodrome</v>
      </c>
      <c r="BD137" t="str">
        <f t="shared" si="261"/>
        <v>Pass</v>
      </c>
      <c r="BE137" t="str">
        <f t="shared" si="262"/>
        <v>Pass_Deflected</v>
      </c>
      <c r="BF137" t="str">
        <f t="shared" si="263"/>
        <v>Pass-Backhand</v>
      </c>
      <c r="BG137" t="str">
        <f t="shared" si="22"/>
        <v>u</v>
      </c>
      <c r="BH137" cm="1">
        <f t="array" ref="BH137">IFERROR(_xlfn._xlws.FILTER(shifts!A:A,(shifts!B:B=events!Z137)*(shifts!AG:AG&gt;=events!BJ137)*(shifts!AH:AH&lt;=events!BK137)),BH136)</f>
        <v>4</v>
      </c>
      <c r="BI137" s="15">
        <f t="shared" si="264"/>
        <v>0</v>
      </c>
      <c r="BJ137">
        <f t="shared" si="265"/>
        <v>968</v>
      </c>
      <c r="BK137">
        <f t="shared" si="266"/>
        <v>968</v>
      </c>
      <c r="BL137" s="15">
        <f>SUMIFS(BI$2:BI137,K$2:K137,"=Intermission")+SUMIFS(BI$2:BI137,K$2:K137,"=Timeout")</f>
        <v>0</v>
      </c>
      <c r="BM137">
        <f t="shared" si="267"/>
        <v>0</v>
      </c>
      <c r="BN137" s="19">
        <f t="shared" si="268"/>
        <v>112</v>
      </c>
      <c r="BO137">
        <f t="shared" si="269"/>
        <v>107</v>
      </c>
      <c r="BP137" s="17">
        <f t="shared" si="270"/>
        <v>112</v>
      </c>
      <c r="BQ137" t="str">
        <f t="shared" si="271"/>
        <v>opp_team_player_2</v>
      </c>
      <c r="BR137">
        <f>COUNTIFS(S$3:S137,"="&amp;S137,AH$3:AH137,"="&amp;AH137)</f>
        <v>2</v>
      </c>
      <c r="BS137" t="str">
        <f>IFERROR(VLOOKUP(BA137&amp;BT137&amp;X137,game_rosters!U:W,3,FALSE),"")</f>
        <v>P100105</v>
      </c>
      <c r="BT137" t="str">
        <f t="shared" si="272"/>
        <v>Velodrome</v>
      </c>
    </row>
    <row r="138" spans="1:72" x14ac:dyDescent="0.2">
      <c r="A138">
        <f t="shared" si="247"/>
        <v>1</v>
      </c>
      <c r="E138" s="4"/>
      <c r="F138" s="45" t="s">
        <v>1057</v>
      </c>
      <c r="G138" s="4"/>
      <c r="H138" s="47" t="s">
        <v>1040</v>
      </c>
      <c r="I138" s="26">
        <v>21</v>
      </c>
      <c r="J138" s="26" t="s">
        <v>368</v>
      </c>
      <c r="K138" t="s">
        <v>13</v>
      </c>
      <c r="L138" t="s">
        <v>587</v>
      </c>
      <c r="N138" t="s">
        <v>595</v>
      </c>
      <c r="O138" t="s">
        <v>907</v>
      </c>
      <c r="Q138" t="str">
        <f t="shared" si="181"/>
        <v>s</v>
      </c>
      <c r="R138" s="26">
        <v>1</v>
      </c>
      <c r="S138">
        <f>IF(A138=1,MAX($S$2:$S137)+1,IF(OR($I138&lt;&gt;"",A138="x"),$S137,""))</f>
        <v>73</v>
      </c>
      <c r="T138" t="str">
        <f>IF(D138=1,MAX($T$2:$T137)+1,IF(S138=S137,$T137,IF(D138="x",T137,IF(D137="x","",""))))</f>
        <v/>
      </c>
      <c r="U138" t="str">
        <f>IF(B138=1,MAX($U$2:$U137)+1,IF(AND($T138&lt;&gt;"",$T138=$T137),$U137,IF(B138="x",U137,"")))</f>
        <v/>
      </c>
      <c r="V138" t="str">
        <f>IF(C138=1,MAX($V$2:$V137)+1,IF(AND($T138&lt;&gt;"",$T138=$T137),$U137,IF(C138="x",V137,"")))</f>
        <v/>
      </c>
      <c r="W138" t="str" cm="1">
        <f t="array" ref="W138">IFERROR(_xlfn._xlws.FILTER(game_rosters!AC:AC,(game_rosters!J:J=events!X138)*(K138&lt;&gt;"")),"")</f>
        <v>h</v>
      </c>
      <c r="X138" cm="1">
        <f t="array" ref="X138">IF($I138&lt;&gt;"",$I138,INDEX($I$1:$I138,ROW()-COUNTIFS($T$1:$T138,"="&amp;$T138,$S$1:$S138,"&lt;"&amp;$S138)))</f>
        <v>21</v>
      </c>
      <c r="Y138" cm="1">
        <f t="array" ref="Y138">IFERROR(IF(_xlfn._xlws.FILTER(game_rosters!$J:$J,(game_rosters!$G:$G=events!$AM138)*(game_rosters!$J:$J=events!$X138))&gt;0,1,""),"")</f>
        <v>1</v>
      </c>
      <c r="Z138" s="6">
        <f t="shared" si="248"/>
        <v>1</v>
      </c>
      <c r="AA138">
        <f t="shared" si="249"/>
        <v>1073</v>
      </c>
      <c r="AB138" t="str">
        <f t="shared" si="250"/>
        <v/>
      </c>
      <c r="AC138">
        <f t="shared" si="251"/>
        <v>1073</v>
      </c>
      <c r="AD138" t="str">
        <f t="shared" si="252"/>
        <v>16</v>
      </c>
      <c r="AE138" t="str">
        <f t="shared" si="253"/>
        <v>03</v>
      </c>
      <c r="AF138" t="str">
        <f t="shared" si="254"/>
        <v>16</v>
      </c>
      <c r="AG138" t="str">
        <f t="shared" si="255"/>
        <v>02</v>
      </c>
      <c r="AH138" t="str">
        <f t="shared" si="194"/>
        <v>e</v>
      </c>
      <c r="AI138" t="str">
        <f t="shared" si="236"/>
        <v>o</v>
      </c>
      <c r="AJ138" t="str">
        <f t="shared" si="236"/>
        <v>o</v>
      </c>
      <c r="AK138" t="str">
        <f t="shared" si="196"/>
        <v>o</v>
      </c>
      <c r="AL138" t="str">
        <f t="shared" si="197"/>
        <v>d</v>
      </c>
      <c r="AM138" t="str">
        <f t="shared" si="256"/>
        <v>Home</v>
      </c>
      <c r="AN138" t="str">
        <f t="shared" si="198"/>
        <v>h</v>
      </c>
      <c r="AO138" t="str">
        <f t="shared" si="199"/>
        <v>o</v>
      </c>
      <c r="AP138" t="str">
        <f t="shared" si="200"/>
        <v>d</v>
      </c>
      <c r="AQ138" t="str">
        <f>IF(AM138&lt;&gt;"",AM138,IF($AC138=#REF!,#REF!,""))</f>
        <v>Home</v>
      </c>
      <c r="AR138" t="str">
        <f t="shared" si="201"/>
        <v>h</v>
      </c>
      <c r="AS138" t="str">
        <f t="shared" si="202"/>
        <v>Offensive</v>
      </c>
      <c r="AT138" t="str">
        <f t="shared" si="257"/>
        <v/>
      </c>
      <c r="AU138" t="str">
        <f t="shared" si="258"/>
        <v/>
      </c>
      <c r="AV138" t="str" cm="1">
        <f t="array" ref="AV138">IFERROR(IF(O138&lt;&gt;"",O138,IF(OR($S138="",$T138=""),"",IF(O138&lt;&gt;"",O138,IF($T138&lt;&gt;"",_xlfn._xlws.FILTER(O:O,($BT:$BT=$BT138)*($I:$I=$I138)*($T:$T=$T138)*($S:$S=_xlfn.MINIFS($S:$S,$T:$T,"="&amp;$T138)),"")))))&amp;"",IF(O138="","",""))&amp;""</f>
        <v>PuckRecoveryRetreivalPass</v>
      </c>
      <c r="AW138" t="str" cm="1">
        <f t="array" ref="AW138">IFERROR(IF(P138&lt;&gt;"",P138,IF(OR($S138="",$T138=""),"",IF($T138&lt;&gt;"",_xlfn._xlws.FILTER(P:P,($BT:$BT=$BT138)*($I:$I=$I138)*($T:$T=$T138)*($S:$S=_xlfn.MINIFS($S:$S,$T:$T,"="&amp;$T138)),""))))&amp;"",IF(P138="","",""))&amp;""</f>
        <v/>
      </c>
      <c r="AX138" t="str" cm="1">
        <f t="array" ref="AX138">IFERROR(IF(Q138&lt;&gt;"",Q138,IF(OR($S138="",$T138=""),"",IF($T138&lt;&gt;"",_xlfn._xlws.FILTER(Q:Q,($BT:$BT=$BT138)*($I:$I=$I138)*($T:$T=$T138)*($S:$S=_xlfn.MINIFS($S:$S,$T:$T,"="&amp;$T138)),""))))&amp;"",IF(Q138="","",""))&amp;""</f>
        <v>s</v>
      </c>
      <c r="AY138" t="str" cm="1">
        <f t="array" ref="AY138">IFERROR(IF(R138&lt;&gt;"",R138,IF(OR($S138="",$T138=""),"",IF($T138&lt;&gt;"",_xlfn._xlws.FILTER(R:R,($BT:$BT=$BT138)*($I:$I=$I138)*($T:$T=$T138)*($S:$S=_xlfn.MINIFS($S:$S,$T:$T,"="&amp;$T138)),""))))&amp;"",IF(R138="","",""))&amp;""</f>
        <v>1</v>
      </c>
      <c r="AZ138" s="6">
        <f t="shared" si="259"/>
        <v>14</v>
      </c>
      <c r="BA138">
        <f t="shared" ref="BA138:BC138" si="278">BA137</f>
        <v>18991</v>
      </c>
      <c r="BB138" t="str">
        <f t="shared" si="278"/>
        <v>Triple J</v>
      </c>
      <c r="BC138" t="str">
        <f t="shared" si="278"/>
        <v>Velodrome</v>
      </c>
      <c r="BD138" t="str">
        <f t="shared" si="261"/>
        <v>Possession</v>
      </c>
      <c r="BE138" t="str">
        <f t="shared" si="262"/>
        <v>PuckRecovery</v>
      </c>
      <c r="BF138" t="str">
        <f t="shared" si="263"/>
        <v/>
      </c>
      <c r="BG138" t="str">
        <f t="shared" si="22"/>
        <v>s</v>
      </c>
      <c r="BH138" cm="1">
        <f t="array" ref="BH138">IFERROR(_xlfn._xlws.FILTER(shifts!A:A,(shifts!B:B=events!Z138)*(shifts!AG:AG&gt;=events!BJ138)*(shifts!AH:AH&lt;=events!BK138)),BH137)</f>
        <v>4</v>
      </c>
      <c r="BI138" s="15">
        <f t="shared" si="264"/>
        <v>1</v>
      </c>
      <c r="BJ138">
        <f t="shared" si="265"/>
        <v>963</v>
      </c>
      <c r="BK138">
        <f t="shared" si="266"/>
        <v>962</v>
      </c>
      <c r="BL138" s="15">
        <f>SUMIFS(BI$2:BI138,K$2:K138,"=Intermission")+SUMIFS(BI$2:BI138,K$2:K138,"=Timeout")</f>
        <v>0</v>
      </c>
      <c r="BM138">
        <f t="shared" si="267"/>
        <v>0</v>
      </c>
      <c r="BN138" s="19">
        <f t="shared" si="268"/>
        <v>117</v>
      </c>
      <c r="BO138">
        <f t="shared" si="269"/>
        <v>112</v>
      </c>
      <c r="BP138" s="17">
        <f t="shared" si="270"/>
        <v>118</v>
      </c>
      <c r="BQ138" t="str">
        <f t="shared" si="271"/>
        <v>event_team_player_1</v>
      </c>
      <c r="BR138">
        <f>COUNTIFS(S$3:S138,"="&amp;S138,AH$3:AH138,"="&amp;AH138)</f>
        <v>1</v>
      </c>
      <c r="BS138" t="str">
        <f>IFERROR(VLOOKUP(BA138&amp;BT138&amp;X138,game_rosters!U:W,3,FALSE),"")</f>
        <v>P100019</v>
      </c>
      <c r="BT138" t="str">
        <f t="shared" si="272"/>
        <v>Triple J</v>
      </c>
    </row>
    <row r="139" spans="1:72" x14ac:dyDescent="0.2">
      <c r="A139" t="str">
        <f t="shared" si="247"/>
        <v/>
      </c>
      <c r="E139" s="4"/>
      <c r="F139" s="45"/>
      <c r="G139" s="4"/>
      <c r="H139" s="47"/>
      <c r="I139" s="26">
        <v>9</v>
      </c>
      <c r="J139" s="26" t="str">
        <f t="shared" si="274"/>
        <v/>
      </c>
      <c r="N139" t="str">
        <f t="shared" si="187"/>
        <v/>
      </c>
      <c r="O139" t="s">
        <v>907</v>
      </c>
      <c r="Q139" t="s">
        <v>594</v>
      </c>
      <c r="R139" s="26">
        <v>1</v>
      </c>
      <c r="S139">
        <f>IF(A139=1,MAX($S$2:$S138)+1,IF(OR($I139&lt;&gt;"",A139="x"),$S138,""))</f>
        <v>73</v>
      </c>
      <c r="T139" t="str">
        <f>IF(D139=1,MAX($T$2:$T138)+1,IF(S139=S138,$T138,IF(D139="x",T138,IF(D138="x","",""))))</f>
        <v/>
      </c>
      <c r="U139" t="str">
        <f>IF(B139=1,MAX($U$2:$U138)+1,IF(AND($T139&lt;&gt;"",$T139=$T138),$U138,IF(B139="x",U138,"")))</f>
        <v/>
      </c>
      <c r="V139" t="str">
        <f>IF(C139=1,MAX($V$2:$V138)+1,IF(AND($T139&lt;&gt;"",$T139=$T138),$U138,IF(C139="x",V138,"")))</f>
        <v/>
      </c>
      <c r="W139" t="str" cm="1">
        <f t="array" ref="W139">IFERROR(_xlfn._xlws.FILTER(game_rosters!AC:AC,(game_rosters!J:J=events!X139)*(K139&lt;&gt;"")),"")</f>
        <v/>
      </c>
      <c r="X139" cm="1">
        <f t="array" ref="X139">IF($I139&lt;&gt;"",$I139,INDEX($I$1:$I139,ROW()-COUNTIFS($T$1:$T139,"="&amp;$T139,$S$1:$S139,"&lt;"&amp;$S139)))</f>
        <v>9</v>
      </c>
      <c r="Y139" t="str" cm="1">
        <f t="array" ref="Y139">IFERROR(IF(_xlfn._xlws.FILTER(game_rosters!$J:$J,(game_rosters!$G:$G=events!$AM139)*(game_rosters!$J:$J=events!$X139))&gt;0,1,""),"")</f>
        <v/>
      </c>
      <c r="Z139" s="6">
        <f t="shared" si="248"/>
        <v>1</v>
      </c>
      <c r="AA139">
        <f t="shared" si="249"/>
        <v>1073</v>
      </c>
      <c r="AB139" t="str">
        <f t="shared" si="250"/>
        <v/>
      </c>
      <c r="AC139">
        <f t="shared" si="251"/>
        <v>1073</v>
      </c>
      <c r="AD139" t="str">
        <f t="shared" si="252"/>
        <v>16</v>
      </c>
      <c r="AE139" t="str">
        <f t="shared" si="253"/>
        <v>03</v>
      </c>
      <c r="AF139" t="str">
        <f t="shared" si="254"/>
        <v>16</v>
      </c>
      <c r="AG139" t="str">
        <f t="shared" si="255"/>
        <v>02</v>
      </c>
      <c r="AH139" t="str">
        <f t="shared" si="194"/>
        <v>o</v>
      </c>
      <c r="AI139" t="str">
        <f t="shared" ref="AI139:AJ154" si="279">IF($J139&lt;&gt;"",$J139,IF($AC139=$AC138,AI138,""))</f>
        <v>o</v>
      </c>
      <c r="AJ139" t="str">
        <f t="shared" si="279"/>
        <v>o</v>
      </c>
      <c r="AK139" t="str">
        <f t="shared" si="196"/>
        <v/>
      </c>
      <c r="AL139" t="str">
        <f t="shared" si="197"/>
        <v/>
      </c>
      <c r="AM139" t="str">
        <f t="shared" si="256"/>
        <v>Home</v>
      </c>
      <c r="AN139" t="str">
        <f t="shared" si="198"/>
        <v>h</v>
      </c>
      <c r="AO139" t="str">
        <f t="shared" si="199"/>
        <v>o</v>
      </c>
      <c r="AP139" t="str">
        <f t="shared" si="200"/>
        <v>d</v>
      </c>
      <c r="AQ139" t="str">
        <f>IF(AM139&lt;&gt;"",AM139,IF($AC139=#REF!,#REF!,""))</f>
        <v>Home</v>
      </c>
      <c r="AR139" t="str">
        <f t="shared" si="201"/>
        <v>h</v>
      </c>
      <c r="AS139" t="str">
        <f t="shared" si="202"/>
        <v>Defensive</v>
      </c>
      <c r="AT139" t="str">
        <f t="shared" si="257"/>
        <v/>
      </c>
      <c r="AU139" t="str">
        <f t="shared" si="258"/>
        <v/>
      </c>
      <c r="AV139" t="str" cm="1">
        <f t="array" ref="AV139">IFERROR(IF(O139&lt;&gt;"",O139,IF(OR($S139="",$T139=""),"",IF(O139&lt;&gt;"",O139,IF($T139&lt;&gt;"",_xlfn._xlws.FILTER(O:O,($BT:$BT=$BT139)*($I:$I=$I139)*($T:$T=$T139)*($S:$S=_xlfn.MINIFS($S:$S,$T:$T,"="&amp;$T139)),"")))))&amp;"",IF(O139="","",""))&amp;""</f>
        <v>PuckRecoveryRetreivalPass</v>
      </c>
      <c r="AW139" t="str" cm="1">
        <f t="array" ref="AW139">IFERROR(IF(P139&lt;&gt;"",P139,IF(OR($S139="",$T139=""),"",IF($T139&lt;&gt;"",_xlfn._xlws.FILTER(P:P,($BT:$BT=$BT139)*($I:$I=$I139)*($T:$T=$T139)*($S:$S=_xlfn.MINIFS($S:$S,$T:$T,"="&amp;$T139)),""))))&amp;"",IF(P139="","",""))&amp;""</f>
        <v/>
      </c>
      <c r="AX139" t="str" cm="1">
        <f t="array" ref="AX139">IFERROR(IF(Q139&lt;&gt;"",Q139,IF(OR($S139="",$T139=""),"",IF($T139&lt;&gt;"",_xlfn._xlws.FILTER(Q:Q,($BT:$BT=$BT139)*($I:$I=$I139)*($T:$T=$T139)*($S:$S=_xlfn.MINIFS($S:$S,$T:$T,"="&amp;$T139)),""))))&amp;"",IF(Q139="","",""))&amp;""</f>
        <v>u</v>
      </c>
      <c r="AY139" t="str" cm="1">
        <f t="array" ref="AY139">IFERROR(IF(R139&lt;&gt;"",R139,IF(OR($S139="",$T139=""),"",IF($T139&lt;&gt;"",_xlfn._xlws.FILTER(R:R,($BT:$BT=$BT139)*($I:$I=$I139)*($T:$T=$T139)*($S:$S=_xlfn.MINIFS($S:$S,$T:$T,"="&amp;$T139)),""))))&amp;"",IF(R139="","",""))&amp;""</f>
        <v>1</v>
      </c>
      <c r="AZ139" s="6">
        <f t="shared" si="259"/>
        <v>14</v>
      </c>
      <c r="BA139">
        <f t="shared" ref="BA139:BC139" si="280">BA138</f>
        <v>18991</v>
      </c>
      <c r="BB139" t="str">
        <f t="shared" si="280"/>
        <v>Triple J</v>
      </c>
      <c r="BC139" t="str">
        <f t="shared" si="280"/>
        <v>Velodrome</v>
      </c>
      <c r="BD139" t="str">
        <f t="shared" si="261"/>
        <v>Possession</v>
      </c>
      <c r="BE139" t="str">
        <f t="shared" si="262"/>
        <v>PuckRecovery</v>
      </c>
      <c r="BF139" t="str">
        <f t="shared" si="263"/>
        <v/>
      </c>
      <c r="BG139" t="str">
        <f t="shared" si="22"/>
        <v>s</v>
      </c>
      <c r="BH139" cm="1">
        <f t="array" ref="BH139">IFERROR(_xlfn._xlws.FILTER(shifts!A:A,(shifts!B:B=events!Z139)*(shifts!AG:AG&gt;=events!BJ139)*(shifts!AH:AH&lt;=events!BK139)),BH138)</f>
        <v>4</v>
      </c>
      <c r="BI139" s="15">
        <f t="shared" si="264"/>
        <v>1</v>
      </c>
      <c r="BJ139">
        <f t="shared" si="265"/>
        <v>963</v>
      </c>
      <c r="BK139">
        <f t="shared" si="266"/>
        <v>962</v>
      </c>
      <c r="BL139" s="15">
        <f>SUMIFS(BI$2:BI139,K$2:K139,"=Intermission")+SUMIFS(BI$2:BI139,K$2:K139,"=Timeout")</f>
        <v>0</v>
      </c>
      <c r="BM139">
        <f t="shared" si="267"/>
        <v>0</v>
      </c>
      <c r="BN139" s="19">
        <f t="shared" si="268"/>
        <v>117</v>
      </c>
      <c r="BO139">
        <f t="shared" si="269"/>
        <v>112</v>
      </c>
      <c r="BP139" s="17">
        <f t="shared" si="270"/>
        <v>118</v>
      </c>
      <c r="BQ139" t="str">
        <f t="shared" si="271"/>
        <v>opp_team_player_1</v>
      </c>
      <c r="BR139">
        <f>COUNTIFS(S$3:S139,"="&amp;S139,AH$3:AH139,"="&amp;AH139)</f>
        <v>1</v>
      </c>
      <c r="BS139" t="str">
        <f>IFERROR(VLOOKUP(BA139&amp;BT139&amp;X139,game_rosters!U:W,3,FALSE),"")</f>
        <v>P100105</v>
      </c>
      <c r="BT139" t="str">
        <f t="shared" si="272"/>
        <v>Velodrome</v>
      </c>
    </row>
    <row r="140" spans="1:72" x14ac:dyDescent="0.2">
      <c r="A140">
        <f t="shared" si="247"/>
        <v>1</v>
      </c>
      <c r="E140" s="4"/>
      <c r="F140" s="45"/>
      <c r="G140" s="4"/>
      <c r="H140" s="47"/>
      <c r="I140" s="26">
        <v>21</v>
      </c>
      <c r="J140" s="26" t="s">
        <v>368</v>
      </c>
      <c r="K140" t="s">
        <v>7</v>
      </c>
      <c r="L140" t="s">
        <v>172</v>
      </c>
      <c r="M140" t="s">
        <v>68</v>
      </c>
      <c r="N140" t="str">
        <f t="shared" si="187"/>
        <v>s</v>
      </c>
      <c r="Q140" t="str">
        <f t="shared" si="181"/>
        <v/>
      </c>
      <c r="S140">
        <f>IF(A140=1,MAX($S$2:$S139)+1,IF(OR($I140&lt;&gt;"",A140="x"),$S139,""))</f>
        <v>74</v>
      </c>
      <c r="T140" t="str">
        <f>IF(D140=1,MAX($T$2:$T139)+1,IF(S140=S139,$T139,IF(D140="x",T139,IF(D139="x","",""))))</f>
        <v/>
      </c>
      <c r="U140" t="str">
        <f>IF(B140=1,MAX($U$2:$U139)+1,IF(AND($T140&lt;&gt;"",$T140=$T139),$U139,IF(B140="x",U139,"")))</f>
        <v/>
      </c>
      <c r="V140" t="str">
        <f>IF(C140=1,MAX($V$2:$V139)+1,IF(AND($T140&lt;&gt;"",$T140=$T139),$U139,IF(C140="x",V139,"")))</f>
        <v/>
      </c>
      <c r="W140" t="str" cm="1">
        <f t="array" ref="W140">IFERROR(_xlfn._xlws.FILTER(game_rosters!AC:AC,(game_rosters!J:J=events!X140)*(K140&lt;&gt;"")),"")</f>
        <v>h</v>
      </c>
      <c r="X140" cm="1">
        <f t="array" ref="X140">IF($I140&lt;&gt;"",$I140,INDEX($I$1:$I140,ROW()-COUNTIFS($T$1:$T140,"="&amp;$T140,$S$1:$S140,"&lt;"&amp;$S140)))</f>
        <v>21</v>
      </c>
      <c r="Y140" cm="1">
        <f t="array" ref="Y140">IFERROR(IF(_xlfn._xlws.FILTER(game_rosters!$J:$J,(game_rosters!$G:$G=events!$AM140)*(game_rosters!$J:$J=events!$X140))&gt;0,1,""),"")</f>
        <v>1</v>
      </c>
      <c r="Z140" s="6">
        <f t="shared" si="248"/>
        <v>1</v>
      </c>
      <c r="AA140">
        <f t="shared" si="249"/>
        <v>1074</v>
      </c>
      <c r="AB140" t="str">
        <f t="shared" si="250"/>
        <v/>
      </c>
      <c r="AC140">
        <f t="shared" si="251"/>
        <v>1074</v>
      </c>
      <c r="AD140" t="str">
        <f t="shared" si="252"/>
        <v>16</v>
      </c>
      <c r="AE140" t="str">
        <f t="shared" si="253"/>
        <v>02</v>
      </c>
      <c r="AF140" t="str">
        <f t="shared" si="254"/>
        <v/>
      </c>
      <c r="AG140" t="str">
        <f t="shared" si="255"/>
        <v/>
      </c>
      <c r="AH140" t="str">
        <f t="shared" si="194"/>
        <v>e</v>
      </c>
      <c r="AI140" t="str">
        <f t="shared" si="279"/>
        <v>o</v>
      </c>
      <c r="AJ140" t="str">
        <f t="shared" si="279"/>
        <v>o</v>
      </c>
      <c r="AK140" t="str">
        <f t="shared" si="196"/>
        <v>o</v>
      </c>
      <c r="AL140" t="str">
        <f t="shared" si="197"/>
        <v>d</v>
      </c>
      <c r="AM140" t="str">
        <f t="shared" si="256"/>
        <v>Home</v>
      </c>
      <c r="AN140" t="str">
        <f t="shared" si="198"/>
        <v>h</v>
      </c>
      <c r="AO140" t="str">
        <f t="shared" si="199"/>
        <v>o</v>
      </c>
      <c r="AP140" t="str">
        <f t="shared" si="200"/>
        <v>d</v>
      </c>
      <c r="AQ140" t="str">
        <f>IF(AM140&lt;&gt;"",AM140,IF($AC140=#REF!,#REF!,""))</f>
        <v>Home</v>
      </c>
      <c r="AR140" t="str">
        <f t="shared" si="201"/>
        <v>h</v>
      </c>
      <c r="AS140" t="str">
        <f t="shared" si="202"/>
        <v>Offensive</v>
      </c>
      <c r="AT140" t="str">
        <f t="shared" si="257"/>
        <v/>
      </c>
      <c r="AU140" t="str">
        <f t="shared" si="258"/>
        <v/>
      </c>
      <c r="AV140" t="str" cm="1">
        <f t="array" ref="AV140">IFERROR(IF(O140&lt;&gt;"",O140,IF(OR($S140="",$T140=""),"",IF(O140&lt;&gt;"",O140,IF($T140&lt;&gt;"",_xlfn._xlws.FILTER(O:O,($BT:$BT=$BT140)*($I:$I=$I140)*($T:$T=$T140)*($S:$S=_xlfn.MINIFS($S:$S,$T:$T,"="&amp;$T140)),"")))))&amp;"",IF(O140="","",""))&amp;""</f>
        <v/>
      </c>
      <c r="AW140" t="str" cm="1">
        <f t="array" ref="AW140">IFERROR(IF(P140&lt;&gt;"",P140,IF(OR($S140="",$T140=""),"",IF($T140&lt;&gt;"",_xlfn._xlws.FILTER(P:P,($BT:$BT=$BT140)*($I:$I=$I140)*($T:$T=$T140)*($S:$S=_xlfn.MINIFS($S:$S,$T:$T,"="&amp;$T140)),""))))&amp;"",IF(P140="","",""))&amp;""</f>
        <v/>
      </c>
      <c r="AX140" t="str" cm="1">
        <f t="array" ref="AX140">IFERROR(IF(Q140&lt;&gt;"",Q140,IF(OR($S140="",$T140=""),"",IF($T140&lt;&gt;"",_xlfn._xlws.FILTER(Q:Q,($BT:$BT=$BT140)*($I:$I=$I140)*($T:$T=$T140)*($S:$S=_xlfn.MINIFS($S:$S,$T:$T,"="&amp;$T140)),""))))&amp;"",IF(Q140="","",""))&amp;""</f>
        <v/>
      </c>
      <c r="AY140" t="str" cm="1">
        <f t="array" ref="AY140">IFERROR(IF(R140&lt;&gt;"",R140,IF(OR($S140="",$T140=""),"",IF($T140&lt;&gt;"",_xlfn._xlws.FILTER(R:R,($BT:$BT=$BT140)*($I:$I=$I140)*($T:$T=$T140)*($S:$S=_xlfn.MINIFS($S:$S,$T:$T,"="&amp;$T140)),""))))&amp;"",IF(R140="","",""))&amp;""</f>
        <v/>
      </c>
      <c r="AZ140" s="6">
        <f t="shared" si="259"/>
        <v>14</v>
      </c>
      <c r="BA140">
        <f t="shared" ref="BA140:BC140" si="281">BA139</f>
        <v>18991</v>
      </c>
      <c r="BB140" t="str">
        <f t="shared" si="281"/>
        <v>Triple J</v>
      </c>
      <c r="BC140" t="str">
        <f t="shared" si="281"/>
        <v>Velodrome</v>
      </c>
      <c r="BD140" t="str">
        <f t="shared" si="261"/>
        <v>Pass</v>
      </c>
      <c r="BE140" t="str">
        <f t="shared" si="262"/>
        <v>Pass_Completed</v>
      </c>
      <c r="BF140" t="str">
        <f t="shared" si="263"/>
        <v>Pass-Forehand</v>
      </c>
      <c r="BG140" t="str">
        <f t="shared" si="22"/>
        <v>s</v>
      </c>
      <c r="BH140" cm="1">
        <f t="array" ref="BH140">IFERROR(_xlfn._xlws.FILTER(shifts!A:A,(shifts!B:B=events!Z140)*(shifts!AG:AG&gt;=events!BJ140)*(shifts!AH:AH&lt;=events!BK140)),BH139)</f>
        <v>4</v>
      </c>
      <c r="BI140" s="15">
        <f t="shared" si="264"/>
        <v>0</v>
      </c>
      <c r="BJ140">
        <f t="shared" si="265"/>
        <v>962</v>
      </c>
      <c r="BK140">
        <f t="shared" si="266"/>
        <v>962</v>
      </c>
      <c r="BL140" s="15">
        <f>SUMIFS(BI$2:BI140,K$2:K140,"=Intermission")+SUMIFS(BI$2:BI140,K$2:K140,"=Timeout")</f>
        <v>0</v>
      </c>
      <c r="BM140">
        <f t="shared" si="267"/>
        <v>0</v>
      </c>
      <c r="BN140" s="19">
        <f t="shared" si="268"/>
        <v>118</v>
      </c>
      <c r="BO140">
        <f t="shared" si="269"/>
        <v>113</v>
      </c>
      <c r="BP140" s="17">
        <f t="shared" si="270"/>
        <v>118</v>
      </c>
      <c r="BQ140" t="str">
        <f t="shared" si="271"/>
        <v>event_team_player_1</v>
      </c>
      <c r="BR140">
        <f>COUNTIFS(S$3:S140,"="&amp;S140,AH$3:AH140,"="&amp;AH140)</f>
        <v>1</v>
      </c>
      <c r="BS140" t="str">
        <f>IFERROR(VLOOKUP(BA140&amp;BT140&amp;X140,game_rosters!U:W,3,FALSE),"")</f>
        <v>P100019</v>
      </c>
      <c r="BT140" t="str">
        <f t="shared" si="272"/>
        <v>Triple J</v>
      </c>
    </row>
    <row r="141" spans="1:72" x14ac:dyDescent="0.2">
      <c r="A141" t="str">
        <f t="shared" si="247"/>
        <v/>
      </c>
      <c r="E141" s="4"/>
      <c r="F141" s="45"/>
      <c r="G141" s="4"/>
      <c r="H141" s="47"/>
      <c r="I141" s="26">
        <v>69</v>
      </c>
      <c r="J141" s="26" t="str">
        <f t="shared" si="274"/>
        <v/>
      </c>
      <c r="N141" t="str">
        <f t="shared" si="187"/>
        <v/>
      </c>
      <c r="Q141" t="str">
        <f t="shared" si="181"/>
        <v/>
      </c>
      <c r="S141">
        <f>IF(A141=1,MAX($S$2:$S140)+1,IF(OR($I141&lt;&gt;"",A141="x"),$S140,""))</f>
        <v>74</v>
      </c>
      <c r="T141" t="str">
        <f>IF(D141=1,MAX($T$2:$T140)+1,IF(S141=S140,$T140,IF(D141="x",T140,IF(D140="x","",""))))</f>
        <v/>
      </c>
      <c r="U141" t="str">
        <f>IF(B141=1,MAX($U$2:$U140)+1,IF(AND($T141&lt;&gt;"",$T141=$T140),$U140,IF(B141="x",U140,"")))</f>
        <v/>
      </c>
      <c r="V141" t="str">
        <f>IF(C141=1,MAX($V$2:$V140)+1,IF(AND($T141&lt;&gt;"",$T141=$T140),$U140,IF(C141="x",V140,"")))</f>
        <v/>
      </c>
      <c r="W141" t="str" cm="1">
        <f t="array" ref="W141">IFERROR(_xlfn._xlws.FILTER(game_rosters!AC:AC,(game_rosters!J:J=events!X141)*(K141&lt;&gt;"")),"")</f>
        <v/>
      </c>
      <c r="X141" cm="1">
        <f t="array" ref="X141">IF($I141&lt;&gt;"",$I141,INDEX($I$1:$I141,ROW()-COUNTIFS($T$1:$T141,"="&amp;$T141,$S$1:$S141,"&lt;"&amp;$S141)))</f>
        <v>69</v>
      </c>
      <c r="Y141" cm="1">
        <f t="array" ref="Y141">IFERROR(IF(_xlfn._xlws.FILTER(game_rosters!$J:$J,(game_rosters!$G:$G=events!$AM141)*(game_rosters!$J:$J=events!$X141))&gt;0,1,""),"")</f>
        <v>1</v>
      </c>
      <c r="Z141" s="6">
        <f t="shared" si="248"/>
        <v>1</v>
      </c>
      <c r="AA141">
        <f t="shared" si="249"/>
        <v>1074</v>
      </c>
      <c r="AB141" t="str">
        <f t="shared" si="250"/>
        <v/>
      </c>
      <c r="AC141">
        <f t="shared" si="251"/>
        <v>1074</v>
      </c>
      <c r="AD141" t="str">
        <f t="shared" si="252"/>
        <v>16</v>
      </c>
      <c r="AE141" t="str">
        <f t="shared" si="253"/>
        <v>02</v>
      </c>
      <c r="AF141" t="str">
        <f t="shared" si="254"/>
        <v/>
      </c>
      <c r="AG141" t="str">
        <f t="shared" si="255"/>
        <v/>
      </c>
      <c r="AH141" t="str">
        <f t="shared" si="194"/>
        <v>e</v>
      </c>
      <c r="AI141" t="str">
        <f t="shared" si="279"/>
        <v>o</v>
      </c>
      <c r="AJ141" t="str">
        <f t="shared" si="279"/>
        <v>o</v>
      </c>
      <c r="AK141" t="str">
        <f t="shared" si="196"/>
        <v/>
      </c>
      <c r="AL141" t="str">
        <f t="shared" si="197"/>
        <v/>
      </c>
      <c r="AM141" t="str">
        <f t="shared" si="256"/>
        <v>Home</v>
      </c>
      <c r="AN141" t="str">
        <f t="shared" si="198"/>
        <v>h</v>
      </c>
      <c r="AO141" t="str">
        <f t="shared" si="199"/>
        <v>o</v>
      </c>
      <c r="AP141" t="str">
        <f t="shared" si="200"/>
        <v>d</v>
      </c>
      <c r="AQ141" t="str">
        <f>IF(AM141&lt;&gt;"",AM141,IF($AC141=#REF!,#REF!,""))</f>
        <v>Home</v>
      </c>
      <c r="AR141" t="str">
        <f t="shared" si="201"/>
        <v>h</v>
      </c>
      <c r="AS141" t="str">
        <f t="shared" si="202"/>
        <v>Offensive</v>
      </c>
      <c r="AT141" t="str">
        <f t="shared" si="257"/>
        <v/>
      </c>
      <c r="AU141" t="str">
        <f t="shared" si="258"/>
        <v/>
      </c>
      <c r="AV141" t="str" cm="1">
        <f t="array" ref="AV141">IFERROR(IF(O141&lt;&gt;"",O141,IF(OR($S141="",$T141=""),"",IF(O141&lt;&gt;"",O141,IF($T141&lt;&gt;"",_xlfn._xlws.FILTER(O:O,($BT:$BT=$BT141)*($I:$I=$I141)*($T:$T=$T141)*($S:$S=_xlfn.MINIFS($S:$S,$T:$T,"="&amp;$T141)),"")))))&amp;"",IF(O141="","",""))&amp;""</f>
        <v/>
      </c>
      <c r="AW141" t="str" cm="1">
        <f t="array" ref="AW141">IFERROR(IF(P141&lt;&gt;"",P141,IF(OR($S141="",$T141=""),"",IF($T141&lt;&gt;"",_xlfn._xlws.FILTER(P:P,($BT:$BT=$BT141)*($I:$I=$I141)*($T:$T=$T141)*($S:$S=_xlfn.MINIFS($S:$S,$T:$T,"="&amp;$T141)),""))))&amp;"",IF(P141="","",""))&amp;""</f>
        <v/>
      </c>
      <c r="AX141" t="str" cm="1">
        <f t="array" ref="AX141">IFERROR(IF(Q141&lt;&gt;"",Q141,IF(OR($S141="",$T141=""),"",IF($T141&lt;&gt;"",_xlfn._xlws.FILTER(Q:Q,($BT:$BT=$BT141)*($I:$I=$I141)*($T:$T=$T141)*($S:$S=_xlfn.MINIFS($S:$S,$T:$T,"="&amp;$T141)),""))))&amp;"",IF(Q141="","",""))&amp;""</f>
        <v/>
      </c>
      <c r="AY141" t="str" cm="1">
        <f t="array" ref="AY141">IFERROR(IF(R141&lt;&gt;"",R141,IF(OR($S141="",$T141=""),"",IF($T141&lt;&gt;"",_xlfn._xlws.FILTER(R:R,($BT:$BT=$BT141)*($I:$I=$I141)*($T:$T=$T141)*($S:$S=_xlfn.MINIFS($S:$S,$T:$T,"="&amp;$T141)),""))))&amp;"",IF(R141="","",""))&amp;""</f>
        <v/>
      </c>
      <c r="AZ141" s="6">
        <f t="shared" si="259"/>
        <v>14</v>
      </c>
      <c r="BA141">
        <f t="shared" ref="BA141:BC141" si="282">BA140</f>
        <v>18991</v>
      </c>
      <c r="BB141" t="str">
        <f t="shared" si="282"/>
        <v>Triple J</v>
      </c>
      <c r="BC141" t="str">
        <f t="shared" si="282"/>
        <v>Velodrome</v>
      </c>
      <c r="BD141" t="str">
        <f t="shared" si="261"/>
        <v>Pass</v>
      </c>
      <c r="BE141" t="str">
        <f t="shared" si="262"/>
        <v>Pass_Completed</v>
      </c>
      <c r="BF141" t="str">
        <f t="shared" si="263"/>
        <v>Pass-Forehand</v>
      </c>
      <c r="BG141" t="str">
        <f t="shared" si="22"/>
        <v>s</v>
      </c>
      <c r="BH141" cm="1">
        <f t="array" ref="BH141">IFERROR(_xlfn._xlws.FILTER(shifts!A:A,(shifts!B:B=events!Z141)*(shifts!AG:AG&gt;=events!BJ141)*(shifts!AH:AH&lt;=events!BK141)),BH140)</f>
        <v>4</v>
      </c>
      <c r="BI141" s="15">
        <f t="shared" si="264"/>
        <v>0</v>
      </c>
      <c r="BJ141">
        <f t="shared" si="265"/>
        <v>962</v>
      </c>
      <c r="BK141">
        <f t="shared" si="266"/>
        <v>962</v>
      </c>
      <c r="BL141" s="15">
        <f>SUMIFS(BI$2:BI141,K$2:K141,"=Intermission")+SUMIFS(BI$2:BI141,K$2:K141,"=Timeout")</f>
        <v>0</v>
      </c>
      <c r="BM141">
        <f t="shared" si="267"/>
        <v>0</v>
      </c>
      <c r="BN141" s="19">
        <f t="shared" si="268"/>
        <v>118</v>
      </c>
      <c r="BO141">
        <f t="shared" si="269"/>
        <v>113</v>
      </c>
      <c r="BP141" s="17">
        <f t="shared" si="270"/>
        <v>118</v>
      </c>
      <c r="BQ141" t="str">
        <f t="shared" si="271"/>
        <v>event_team_player_2</v>
      </c>
      <c r="BR141">
        <f>COUNTIFS(S$3:S141,"="&amp;S141,AH$3:AH141,"="&amp;AH141)</f>
        <v>2</v>
      </c>
      <c r="BS141" t="str">
        <f>IFERROR(VLOOKUP(BA141&amp;BT141&amp;X141,game_rosters!U:W,3,FALSE),"")</f>
        <v>P100014</v>
      </c>
      <c r="BT141" t="str">
        <f t="shared" si="272"/>
        <v>Triple J</v>
      </c>
    </row>
    <row r="142" spans="1:72" x14ac:dyDescent="0.2">
      <c r="A142">
        <f t="shared" si="247"/>
        <v>1</v>
      </c>
      <c r="E142" s="4"/>
      <c r="F142" s="45"/>
      <c r="G142" s="4"/>
      <c r="H142" s="47"/>
      <c r="I142" s="26">
        <v>39</v>
      </c>
      <c r="J142" s="26" t="s">
        <v>736</v>
      </c>
      <c r="K142" t="s">
        <v>9</v>
      </c>
      <c r="L142" t="s">
        <v>183</v>
      </c>
      <c r="M142" t="s">
        <v>80</v>
      </c>
      <c r="N142" t="s">
        <v>595</v>
      </c>
      <c r="O142" t="s">
        <v>156</v>
      </c>
      <c r="Q142" t="str">
        <f t="shared" si="181"/>
        <v>s</v>
      </c>
      <c r="R142" s="26">
        <v>1</v>
      </c>
      <c r="S142">
        <f>IF(A142=1,MAX($S$2:$S141)+1,IF(OR($I142&lt;&gt;"",A142="x"),$S141,""))</f>
        <v>75</v>
      </c>
      <c r="T142" t="str">
        <f>IF(D142=1,MAX($T$2:$T141)+1,IF(S142=S141,$T141,IF(D142="x",T141,IF(D141="x","",""))))</f>
        <v/>
      </c>
      <c r="U142" t="str">
        <f>IF(B142=1,MAX($U$2:$U141)+1,IF(AND($T142&lt;&gt;"",$T142=$T141),$U141,IF(B142="x",U141,"")))</f>
        <v/>
      </c>
      <c r="V142" t="str">
        <f>IF(C142=1,MAX($V$2:$V141)+1,IF(AND($T142&lt;&gt;"",$T142=$T141),$U141,IF(C142="x",V141,"")))</f>
        <v/>
      </c>
      <c r="W142" t="str" cm="1">
        <f t="array" ref="W142">IFERROR(_xlfn._xlws.FILTER(game_rosters!AC:AC,(game_rosters!J:J=events!X142)*(K142&lt;&gt;"")),"")</f>
        <v>a</v>
      </c>
      <c r="X142" cm="1">
        <f t="array" ref="X142">IF($I142&lt;&gt;"",$I142,INDEX($I$1:$I142,ROW()-COUNTIFS($T$1:$T142,"="&amp;$T142,$S$1:$S142,"&lt;"&amp;$S142)))</f>
        <v>39</v>
      </c>
      <c r="Y142" cm="1">
        <f t="array" ref="Y142">IFERROR(IF(_xlfn._xlws.FILTER(game_rosters!$J:$J,(game_rosters!$G:$G=events!$AM142)*(game_rosters!$J:$J=events!$X142))&gt;0,1,""),"")</f>
        <v>1</v>
      </c>
      <c r="Z142" s="6">
        <f t="shared" si="248"/>
        <v>1</v>
      </c>
      <c r="AA142">
        <f t="shared" si="249"/>
        <v>1075</v>
      </c>
      <c r="AB142" t="str">
        <f t="shared" si="250"/>
        <v/>
      </c>
      <c r="AC142">
        <f t="shared" si="251"/>
        <v>1075</v>
      </c>
      <c r="AD142" t="str">
        <f t="shared" si="252"/>
        <v>16</v>
      </c>
      <c r="AE142" t="str">
        <f t="shared" si="253"/>
        <v>02</v>
      </c>
      <c r="AF142" t="str">
        <f t="shared" si="254"/>
        <v/>
      </c>
      <c r="AG142" t="str">
        <f t="shared" si="255"/>
        <v/>
      </c>
      <c r="AH142" t="str">
        <f t="shared" si="194"/>
        <v>e</v>
      </c>
      <c r="AI142" t="str">
        <f t="shared" si="279"/>
        <v>d</v>
      </c>
      <c r="AJ142" t="str">
        <f t="shared" si="279"/>
        <v>d</v>
      </c>
      <c r="AK142" t="str">
        <f t="shared" si="196"/>
        <v>o</v>
      </c>
      <c r="AL142" t="str">
        <f t="shared" si="197"/>
        <v>d</v>
      </c>
      <c r="AM142" t="str">
        <f t="shared" si="256"/>
        <v>Away</v>
      </c>
      <c r="AN142" t="str">
        <f t="shared" si="198"/>
        <v>a</v>
      </c>
      <c r="AO142" t="str">
        <f t="shared" si="199"/>
        <v>o</v>
      </c>
      <c r="AP142" t="str">
        <f t="shared" si="200"/>
        <v>d</v>
      </c>
      <c r="AQ142" t="str">
        <f>IF(AM142&lt;&gt;"",AM142,IF($AC142=#REF!,#REF!,""))</f>
        <v>Away</v>
      </c>
      <c r="AR142" t="str">
        <f t="shared" si="201"/>
        <v>a</v>
      </c>
      <c r="AS142" t="str">
        <f t="shared" si="202"/>
        <v>Defensive</v>
      </c>
      <c r="AT142" t="str">
        <f t="shared" si="257"/>
        <v/>
      </c>
      <c r="AU142" t="str">
        <f t="shared" si="258"/>
        <v/>
      </c>
      <c r="AV142" t="str" cm="1">
        <f t="array" ref="AV142">IFERROR(IF(O142&lt;&gt;"",O142,IF(OR($S142="",$T142=""),"",IF(O142&lt;&gt;"",O142,IF($T142&lt;&gt;"",_xlfn._xlws.FILTER(O:O,($BT:$BT=$BT142)*($I:$I=$I142)*($T:$T=$T142)*($S:$S=_xlfn.MINIFS($S:$S,$T:$T,"="&amp;$T142)),"")))))&amp;"",IF(O142="","",""))&amp;""</f>
        <v>PokeCheck</v>
      </c>
      <c r="AW142" t="str" cm="1">
        <f t="array" ref="AW142">IFERROR(IF(P142&lt;&gt;"",P142,IF(OR($S142="",$T142=""),"",IF($T142&lt;&gt;"",_xlfn._xlws.FILTER(P:P,($BT:$BT=$BT142)*($I:$I=$I142)*($T:$T=$T142)*($S:$S=_xlfn.MINIFS($S:$S,$T:$T,"="&amp;$T142)),""))))&amp;"",IF(P142="","",""))&amp;""</f>
        <v/>
      </c>
      <c r="AX142" t="str" cm="1">
        <f t="array" ref="AX142">IFERROR(IF(Q142&lt;&gt;"",Q142,IF(OR($S142="",$T142=""),"",IF($T142&lt;&gt;"",_xlfn._xlws.FILTER(Q:Q,($BT:$BT=$BT142)*($I:$I=$I142)*($T:$T=$T142)*($S:$S=_xlfn.MINIFS($S:$S,$T:$T,"="&amp;$T142)),""))))&amp;"",IF(Q142="","",""))&amp;""</f>
        <v>s</v>
      </c>
      <c r="AY142" t="str" cm="1">
        <f t="array" ref="AY142">IFERROR(IF(R142&lt;&gt;"",R142,IF(OR($S142="",$T142=""),"",IF($T142&lt;&gt;"",_xlfn._xlws.FILTER(R:R,($BT:$BT=$BT142)*($I:$I=$I142)*($T:$T=$T142)*($S:$S=_xlfn.MINIFS($S:$S,$T:$T,"="&amp;$T142)),""))))&amp;"",IF(R142="","",""))&amp;""</f>
        <v>1</v>
      </c>
      <c r="AZ142" s="6">
        <f t="shared" si="259"/>
        <v>14</v>
      </c>
      <c r="BA142">
        <f t="shared" ref="BA142:BC142" si="283">BA141</f>
        <v>18991</v>
      </c>
      <c r="BB142" t="str">
        <f t="shared" si="283"/>
        <v>Triple J</v>
      </c>
      <c r="BC142" t="str">
        <f t="shared" si="283"/>
        <v>Velodrome</v>
      </c>
      <c r="BD142" t="str">
        <f t="shared" si="261"/>
        <v>Turnover</v>
      </c>
      <c r="BE142" t="str">
        <f t="shared" si="262"/>
        <v>Turnover_Takeaway</v>
      </c>
      <c r="BF142" t="str">
        <f t="shared" si="263"/>
        <v>Takeaway-PokeCheck</v>
      </c>
      <c r="BG142" t="str">
        <f t="shared" si="22"/>
        <v>s</v>
      </c>
      <c r="BH142" cm="1">
        <f t="array" ref="BH142">IFERROR(_xlfn._xlws.FILTER(shifts!A:A,(shifts!B:B=events!Z142)*(shifts!AG:AG&gt;=events!BJ142)*(shifts!AH:AH&lt;=events!BK142)),BH141)</f>
        <v>4</v>
      </c>
      <c r="BI142" s="15">
        <f t="shared" si="264"/>
        <v>0</v>
      </c>
      <c r="BJ142">
        <f t="shared" si="265"/>
        <v>962</v>
      </c>
      <c r="BK142">
        <f t="shared" si="266"/>
        <v>962</v>
      </c>
      <c r="BL142" s="15">
        <f>SUMIFS(BI$2:BI142,K$2:K142,"=Intermission")+SUMIFS(BI$2:BI142,K$2:K142,"=Timeout")</f>
        <v>0</v>
      </c>
      <c r="BM142">
        <f t="shared" si="267"/>
        <v>0</v>
      </c>
      <c r="BN142" s="19">
        <f t="shared" si="268"/>
        <v>118</v>
      </c>
      <c r="BO142">
        <f t="shared" si="269"/>
        <v>113</v>
      </c>
      <c r="BP142" s="17">
        <f t="shared" si="270"/>
        <v>118</v>
      </c>
      <c r="BQ142" t="str">
        <f t="shared" si="271"/>
        <v>event_team_player_1</v>
      </c>
      <c r="BR142">
        <f>COUNTIFS(S$3:S142,"="&amp;S142,AH$3:AH142,"="&amp;AH142)</f>
        <v>1</v>
      </c>
      <c r="BS142" t="str">
        <f>IFERROR(VLOOKUP(BA142&amp;BT142&amp;X142,game_rosters!U:W,3,FALSE),"")</f>
        <v>P100016</v>
      </c>
      <c r="BT142" t="str">
        <f t="shared" si="272"/>
        <v>Velodrome</v>
      </c>
    </row>
    <row r="143" spans="1:72" x14ac:dyDescent="0.2">
      <c r="A143" t="str">
        <f t="shared" si="247"/>
        <v/>
      </c>
      <c r="E143" s="4"/>
      <c r="F143" s="45"/>
      <c r="G143" s="4"/>
      <c r="H143" s="47"/>
      <c r="I143" s="26">
        <v>69</v>
      </c>
      <c r="J143" s="26" t="str">
        <f t="shared" si="274"/>
        <v/>
      </c>
      <c r="N143" t="str">
        <f t="shared" si="187"/>
        <v/>
      </c>
      <c r="O143" t="s">
        <v>785</v>
      </c>
      <c r="Q143" t="str">
        <f t="shared" si="181"/>
        <v>u</v>
      </c>
      <c r="R143" s="26">
        <v>1</v>
      </c>
      <c r="S143">
        <f>IF(A143=1,MAX($S$2:$S142)+1,IF(OR($I143&lt;&gt;"",A143="x"),$S142,""))</f>
        <v>75</v>
      </c>
      <c r="T143" t="str">
        <f>IF(D143=1,MAX($T$2:$T142)+1,IF(S143=S142,$T142,IF(D143="x",T142,IF(D142="x","",""))))</f>
        <v/>
      </c>
      <c r="U143" t="str">
        <f>IF(B143=1,MAX($U$2:$U142)+1,IF(AND($T143&lt;&gt;"",$T143=$T142),$U142,IF(B143="x",U142,"")))</f>
        <v/>
      </c>
      <c r="V143" t="str">
        <f>IF(C143=1,MAX($V$2:$V142)+1,IF(AND($T143&lt;&gt;"",$T143=$T142),$U142,IF(C143="x",V142,"")))</f>
        <v/>
      </c>
      <c r="W143" t="str" cm="1">
        <f t="array" ref="W143">IFERROR(_xlfn._xlws.FILTER(game_rosters!AC:AC,(game_rosters!J:J=events!X143)*(K143&lt;&gt;"")),"")</f>
        <v/>
      </c>
      <c r="X143" cm="1">
        <f t="array" ref="X143">IF($I143&lt;&gt;"",$I143,INDEX($I$1:$I143,ROW()-COUNTIFS($T$1:$T143,"="&amp;$T143,$S$1:$S143,"&lt;"&amp;$S143)))</f>
        <v>69</v>
      </c>
      <c r="Y143" t="str" cm="1">
        <f t="array" ref="Y143">IFERROR(IF(_xlfn._xlws.FILTER(game_rosters!$J:$J,(game_rosters!$G:$G=events!$AM143)*(game_rosters!$J:$J=events!$X143))&gt;0,1,""),"")</f>
        <v/>
      </c>
      <c r="Z143" s="6">
        <f t="shared" si="248"/>
        <v>1</v>
      </c>
      <c r="AA143">
        <f t="shared" si="249"/>
        <v>1075</v>
      </c>
      <c r="AB143" t="str">
        <f t="shared" si="250"/>
        <v/>
      </c>
      <c r="AC143">
        <f t="shared" si="251"/>
        <v>1075</v>
      </c>
      <c r="AD143" t="str">
        <f t="shared" si="252"/>
        <v>16</v>
      </c>
      <c r="AE143" t="str">
        <f t="shared" si="253"/>
        <v>02</v>
      </c>
      <c r="AF143" t="str">
        <f t="shared" si="254"/>
        <v/>
      </c>
      <c r="AG143" t="str">
        <f t="shared" si="255"/>
        <v/>
      </c>
      <c r="AH143" t="str">
        <f t="shared" si="194"/>
        <v>o</v>
      </c>
      <c r="AI143" t="str">
        <f t="shared" si="279"/>
        <v>d</v>
      </c>
      <c r="AJ143" t="str">
        <f t="shared" si="279"/>
        <v>d</v>
      </c>
      <c r="AK143" t="str">
        <f t="shared" si="196"/>
        <v/>
      </c>
      <c r="AL143" t="str">
        <f t="shared" si="197"/>
        <v/>
      </c>
      <c r="AM143" t="str">
        <f t="shared" si="256"/>
        <v>Away</v>
      </c>
      <c r="AN143" t="str">
        <f t="shared" si="198"/>
        <v>a</v>
      </c>
      <c r="AO143" t="str">
        <f t="shared" si="199"/>
        <v>o</v>
      </c>
      <c r="AP143" t="str">
        <f t="shared" si="200"/>
        <v>d</v>
      </c>
      <c r="AQ143" t="str">
        <f>IF(AM143&lt;&gt;"",AM143,IF($AC143=#REF!,#REF!,""))</f>
        <v>Away</v>
      </c>
      <c r="AR143" t="str">
        <f t="shared" si="201"/>
        <v>a</v>
      </c>
      <c r="AS143" t="str">
        <f t="shared" si="202"/>
        <v>Offensive</v>
      </c>
      <c r="AT143" t="str">
        <f t="shared" si="257"/>
        <v/>
      </c>
      <c r="AU143" t="str">
        <f t="shared" si="258"/>
        <v/>
      </c>
      <c r="AV143" t="str" cm="1">
        <f t="array" ref="AV143">IFERROR(IF(O143&lt;&gt;"",O143,IF(OR($S143="",$T143=""),"",IF(O143&lt;&gt;"",O143,IF($T143&lt;&gt;"",_xlfn._xlws.FILTER(O:O,($BT:$BT=$BT143)*($I:$I=$I143)*($T:$T=$T143)*($S:$S=_xlfn.MINIFS($S:$S,$T:$T,"="&amp;$T143)),"")))))&amp;"",IF(O143="","",""))&amp;""</f>
        <v>LostPuck</v>
      </c>
      <c r="AW143" t="str" cm="1">
        <f t="array" ref="AW143">IFERROR(IF(P143&lt;&gt;"",P143,IF(OR($S143="",$T143=""),"",IF($T143&lt;&gt;"",_xlfn._xlws.FILTER(P:P,($BT:$BT=$BT143)*($I:$I=$I143)*($T:$T=$T143)*($S:$S=_xlfn.MINIFS($S:$S,$T:$T,"="&amp;$T143)),""))))&amp;"",IF(P143="","",""))&amp;""</f>
        <v/>
      </c>
      <c r="AX143" t="str" cm="1">
        <f t="array" ref="AX143">IFERROR(IF(Q143&lt;&gt;"",Q143,IF(OR($S143="",$T143=""),"",IF($T143&lt;&gt;"",_xlfn._xlws.FILTER(Q:Q,($BT:$BT=$BT143)*($I:$I=$I143)*($T:$T=$T143)*($S:$S=_xlfn.MINIFS($S:$S,$T:$T,"="&amp;$T143)),""))))&amp;"",IF(Q143="","",""))&amp;""</f>
        <v>u</v>
      </c>
      <c r="AY143" t="str" cm="1">
        <f t="array" ref="AY143">IFERROR(IF(R143&lt;&gt;"",R143,IF(OR($S143="",$T143=""),"",IF($T143&lt;&gt;"",_xlfn._xlws.FILTER(R:R,($BT:$BT=$BT143)*($I:$I=$I143)*($T:$T=$T143)*($S:$S=_xlfn.MINIFS($S:$S,$T:$T,"="&amp;$T143)),""))))&amp;"",IF(R143="","",""))&amp;""</f>
        <v>1</v>
      </c>
      <c r="AZ143" s="6">
        <f t="shared" si="259"/>
        <v>14</v>
      </c>
      <c r="BA143">
        <f t="shared" ref="BA143:BC143" si="284">BA142</f>
        <v>18991</v>
      </c>
      <c r="BB143" t="str">
        <f t="shared" si="284"/>
        <v>Triple J</v>
      </c>
      <c r="BC143" t="str">
        <f t="shared" si="284"/>
        <v>Velodrome</v>
      </c>
      <c r="BD143" t="str">
        <f t="shared" si="261"/>
        <v>Turnover</v>
      </c>
      <c r="BE143" t="str">
        <f t="shared" si="262"/>
        <v>Turnover_Takeaway</v>
      </c>
      <c r="BF143" t="str">
        <f t="shared" si="263"/>
        <v>Takeaway-PokeCheck</v>
      </c>
      <c r="BG143" t="str">
        <f t="shared" si="22"/>
        <v>s</v>
      </c>
      <c r="BH143" cm="1">
        <f t="array" ref="BH143">IFERROR(_xlfn._xlws.FILTER(shifts!A:A,(shifts!B:B=events!Z143)*(shifts!AG:AG&gt;=events!BJ143)*(shifts!AH:AH&lt;=events!BK143)),BH142)</f>
        <v>4</v>
      </c>
      <c r="BI143" s="15">
        <f t="shared" si="264"/>
        <v>0</v>
      </c>
      <c r="BJ143">
        <f t="shared" si="265"/>
        <v>962</v>
      </c>
      <c r="BK143">
        <f t="shared" si="266"/>
        <v>962</v>
      </c>
      <c r="BL143" s="15">
        <f>SUMIFS(BI$2:BI143,K$2:K143,"=Intermission")+SUMIFS(BI$2:BI143,K$2:K143,"=Timeout")</f>
        <v>0</v>
      </c>
      <c r="BM143">
        <f t="shared" si="267"/>
        <v>0</v>
      </c>
      <c r="BN143" s="19">
        <f t="shared" si="268"/>
        <v>118</v>
      </c>
      <c r="BO143">
        <f t="shared" si="269"/>
        <v>113</v>
      </c>
      <c r="BP143" s="17">
        <f t="shared" si="270"/>
        <v>118</v>
      </c>
      <c r="BQ143" t="str">
        <f t="shared" si="271"/>
        <v>opp_team_player_1</v>
      </c>
      <c r="BR143">
        <f>COUNTIFS(S$3:S143,"="&amp;S143,AH$3:AH143,"="&amp;AH143)</f>
        <v>1</v>
      </c>
      <c r="BS143" t="str">
        <f>IFERROR(VLOOKUP(BA143&amp;BT143&amp;X143,game_rosters!U:W,3,FALSE),"")</f>
        <v>P100014</v>
      </c>
      <c r="BT143" t="str">
        <f t="shared" si="272"/>
        <v>Triple J</v>
      </c>
    </row>
    <row r="144" spans="1:72" x14ac:dyDescent="0.2">
      <c r="A144">
        <f t="shared" si="247"/>
        <v>1</v>
      </c>
      <c r="E144" s="4" t="s">
        <v>744</v>
      </c>
      <c r="F144" s="45" t="s">
        <v>1028</v>
      </c>
      <c r="G144" s="4" t="s">
        <v>744</v>
      </c>
      <c r="H144" s="47" t="s">
        <v>1033</v>
      </c>
      <c r="I144" s="26">
        <v>91</v>
      </c>
      <c r="J144" s="26" t="s">
        <v>736</v>
      </c>
      <c r="K144" t="s">
        <v>13</v>
      </c>
      <c r="L144" t="s">
        <v>586</v>
      </c>
      <c r="N144" t="str">
        <f t="shared" si="187"/>
        <v/>
      </c>
      <c r="O144" t="s">
        <v>910</v>
      </c>
      <c r="Q144" t="str">
        <f t="shared" ref="Q144:Q207" si="285">IF(O144="","",IF(AND(N144&lt;&gt;"",OR(O144&lt;&gt;"",P144&lt;&gt;"")),N144,IF(OR(ISNUMBER(SEARCH("attemp",O144)),ISNUMBER(SEARCH("beat",O144)),ISNUMBER(SEARCH("mis",O144)),ISNUMBER(SEARCH("fail",O144)),ISNUMBER(SEARCH("loss",O144)),ISNUMBER(SEARCH("lost",O144)),ISNUMBER(SEARCH("attemp",P144)),ISNUMBER(SEARCH("mis",P144)),ISNUMBER(SEARCH("fail",P144)),ISNUMBER(SEARCH("loss",P144)),ISNUMBER(SEARCH("beat",P144)),ISNUMBER(SEARCH("lost",P144))),"u","")))</f>
        <v/>
      </c>
      <c r="S144">
        <f>IF(A144=1,MAX($S$2:$S143)+1,IF(OR($I144&lt;&gt;"",A144="x"),$S143,""))</f>
        <v>76</v>
      </c>
      <c r="T144" t="str">
        <f>IF(D144=1,MAX($T$2:$T143)+1,IF(S144=S143,$T143,IF(D144="x",T143,IF(D143="x","",""))))</f>
        <v/>
      </c>
      <c r="U144" t="str">
        <f>IF(B144=1,MAX($U$2:$U143)+1,IF(AND($T144&lt;&gt;"",$T144=$T143),$U143,IF(B144="x",U143,"")))</f>
        <v/>
      </c>
      <c r="V144" t="str">
        <f>IF(C144=1,MAX($V$2:$V143)+1,IF(AND($T144&lt;&gt;"",$T144=$T143),$U143,IF(C144="x",V143,"")))</f>
        <v/>
      </c>
      <c r="W144" t="str" cm="1">
        <f t="array" ref="W144">IFERROR(_xlfn._xlws.FILTER(game_rosters!AC:AC,(game_rosters!J:J=events!X144)*(K144&lt;&gt;"")),"")</f>
        <v>a</v>
      </c>
      <c r="X144" cm="1">
        <f t="array" ref="X144">IF($I144&lt;&gt;"",$I144,INDEX($I$1:$I144,ROW()-COUNTIFS($T$1:$T144,"="&amp;$T144,$S$1:$S144,"&lt;"&amp;$S144)))</f>
        <v>91</v>
      </c>
      <c r="Y144" cm="1">
        <f t="array" ref="Y144">IFERROR(IF(_xlfn._xlws.FILTER(game_rosters!$J:$J,(game_rosters!$G:$G=events!$AM144)*(game_rosters!$J:$J=events!$X144))&gt;0,1,""),"")</f>
        <v>1</v>
      </c>
      <c r="Z144" s="6">
        <f t="shared" si="248"/>
        <v>1</v>
      </c>
      <c r="AA144">
        <f t="shared" si="249"/>
        <v>1076</v>
      </c>
      <c r="AB144" t="str">
        <f t="shared" si="250"/>
        <v/>
      </c>
      <c r="AC144">
        <f t="shared" si="251"/>
        <v>1076</v>
      </c>
      <c r="AD144" t="str">
        <f t="shared" si="252"/>
        <v>15</v>
      </c>
      <c r="AE144" t="str">
        <f t="shared" si="253"/>
        <v>58</v>
      </c>
      <c r="AF144" t="str">
        <f t="shared" si="254"/>
        <v>15</v>
      </c>
      <c r="AG144" t="str">
        <f t="shared" si="255"/>
        <v>57</v>
      </c>
      <c r="AH144" t="str">
        <f t="shared" si="194"/>
        <v>e</v>
      </c>
      <c r="AI144" t="str">
        <f t="shared" si="279"/>
        <v>d</v>
      </c>
      <c r="AJ144" t="str">
        <f t="shared" si="279"/>
        <v>d</v>
      </c>
      <c r="AK144" t="str">
        <f t="shared" si="196"/>
        <v>o</v>
      </c>
      <c r="AL144" t="str">
        <f t="shared" si="197"/>
        <v>d</v>
      </c>
      <c r="AM144" t="str">
        <f t="shared" si="256"/>
        <v>Away</v>
      </c>
      <c r="AN144" t="str">
        <f t="shared" si="198"/>
        <v>a</v>
      </c>
      <c r="AO144" t="str">
        <f t="shared" si="199"/>
        <v>o</v>
      </c>
      <c r="AP144" t="str">
        <f t="shared" si="200"/>
        <v>d</v>
      </c>
      <c r="AQ144" t="str">
        <f>IF(AM144&lt;&gt;"",AM144,IF($AC144=#REF!,#REF!,""))</f>
        <v>Away</v>
      </c>
      <c r="AR144" t="str">
        <f t="shared" si="201"/>
        <v>a</v>
      </c>
      <c r="AS144" t="str">
        <f t="shared" si="202"/>
        <v>Offensive</v>
      </c>
      <c r="AT144" t="str">
        <f t="shared" si="257"/>
        <v/>
      </c>
      <c r="AU144" t="str">
        <f t="shared" si="258"/>
        <v/>
      </c>
      <c r="AV144" t="str" cm="1">
        <f t="array" ref="AV144">IFERROR(IF(O144&lt;&gt;"",O144,IF(OR($S144="",$T144=""),"",IF(O144&lt;&gt;"",O144,IF($T144&lt;&gt;"",_xlfn._xlws.FILTER(O:O,($BT:$BT=$BT144)*($I:$I=$I144)*($T:$T=$T144)*($S:$S=_xlfn.MINIFS($S:$S,$T:$T,"="&amp;$T144)),"")))))&amp;"",IF(O144="","",""))&amp;""</f>
        <v>PuckRecoveryRetreivalTurnover</v>
      </c>
      <c r="AW144" t="str" cm="1">
        <f t="array" ref="AW144">IFERROR(IF(P144&lt;&gt;"",P144,IF(OR($S144="",$T144=""),"",IF($T144&lt;&gt;"",_xlfn._xlws.FILTER(P:P,($BT:$BT=$BT144)*($I:$I=$I144)*($T:$T=$T144)*($S:$S=_xlfn.MINIFS($S:$S,$T:$T,"="&amp;$T144)),""))))&amp;"",IF(P144="","",""))&amp;""</f>
        <v/>
      </c>
      <c r="AX144" t="str" cm="1">
        <f t="array" ref="AX144">IFERROR(IF(Q144&lt;&gt;"",Q144,IF(OR($S144="",$T144=""),"",IF($T144&lt;&gt;"",_xlfn._xlws.FILTER(Q:Q,($BT:$BT=$BT144)*($I:$I=$I144)*($T:$T=$T144)*($S:$S=_xlfn.MINIFS($S:$S,$T:$T,"="&amp;$T144)),""))))&amp;"",IF(Q144="","",""))&amp;""</f>
        <v/>
      </c>
      <c r="AY144" t="str" cm="1">
        <f t="array" ref="AY144">IFERROR(IF(R144&lt;&gt;"",R144,IF(OR($S144="",$T144=""),"",IF($T144&lt;&gt;"",_xlfn._xlws.FILTER(R:R,($BT:$BT=$BT144)*($I:$I=$I144)*($T:$T=$T144)*($S:$S=_xlfn.MINIFS($S:$S,$T:$T,"="&amp;$T144)),""))))&amp;"",IF(R144="","",""))&amp;""</f>
        <v/>
      </c>
      <c r="AZ144" s="6">
        <f t="shared" si="259"/>
        <v>14</v>
      </c>
      <c r="BA144">
        <f t="shared" ref="BA144:BC144" si="286">BA143</f>
        <v>18991</v>
      </c>
      <c r="BB144" t="str">
        <f t="shared" si="286"/>
        <v>Triple J</v>
      </c>
      <c r="BC144" t="str">
        <f t="shared" si="286"/>
        <v>Velodrome</v>
      </c>
      <c r="BD144" t="str">
        <f t="shared" si="261"/>
        <v>Possession</v>
      </c>
      <c r="BE144" t="str">
        <f t="shared" si="262"/>
        <v>PuckRetrieval</v>
      </c>
      <c r="BF144" t="str">
        <f t="shared" si="263"/>
        <v/>
      </c>
      <c r="BG144" t="str">
        <f t="shared" si="22"/>
        <v/>
      </c>
      <c r="BH144" cm="1">
        <f t="array" ref="BH144">IFERROR(_xlfn._xlws.FILTER(shifts!A:A,(shifts!B:B=events!Z144)*(shifts!AG:AG&gt;=events!BJ144)*(shifts!AH:AH&lt;=events!BK144)),BH143)</f>
        <v>4</v>
      </c>
      <c r="BI144" s="15">
        <f t="shared" si="264"/>
        <v>1</v>
      </c>
      <c r="BJ144">
        <f t="shared" si="265"/>
        <v>958</v>
      </c>
      <c r="BK144">
        <f t="shared" si="266"/>
        <v>957</v>
      </c>
      <c r="BL144" s="15">
        <f>SUMIFS(BI$2:BI144,K$2:K144,"=Intermission")+SUMIFS(BI$2:BI144,K$2:K144,"=Timeout")</f>
        <v>0</v>
      </c>
      <c r="BM144">
        <f t="shared" si="267"/>
        <v>0</v>
      </c>
      <c r="BN144" s="19">
        <f t="shared" si="268"/>
        <v>122</v>
      </c>
      <c r="BO144">
        <f t="shared" si="269"/>
        <v>117</v>
      </c>
      <c r="BP144" s="17">
        <f t="shared" si="270"/>
        <v>123</v>
      </c>
      <c r="BQ144" t="str">
        <f t="shared" si="271"/>
        <v>event_team_player_1</v>
      </c>
      <c r="BR144">
        <f>COUNTIFS(S$3:S144,"="&amp;S144,AH$3:AH144,"="&amp;AH144)</f>
        <v>1</v>
      </c>
      <c r="BS144" t="str">
        <f>IFERROR(VLOOKUP(BA144&amp;BT144&amp;X144,game_rosters!U:W,3,FALSE),"")</f>
        <v>P100002</v>
      </c>
      <c r="BT144" t="str">
        <f t="shared" si="272"/>
        <v>Velodrome</v>
      </c>
    </row>
    <row r="145" spans="1:72" x14ac:dyDescent="0.2">
      <c r="A145">
        <f t="shared" si="247"/>
        <v>1</v>
      </c>
      <c r="D145" s="26">
        <v>1</v>
      </c>
      <c r="E145" s="4"/>
      <c r="F145" s="45"/>
      <c r="G145" s="4"/>
      <c r="H145" s="47"/>
      <c r="I145" s="26">
        <v>91</v>
      </c>
      <c r="J145" s="26" t="s">
        <v>736</v>
      </c>
      <c r="K145" t="s">
        <v>7</v>
      </c>
      <c r="L145" t="s">
        <v>172</v>
      </c>
      <c r="M145" t="s">
        <v>65</v>
      </c>
      <c r="N145" t="str">
        <f t="shared" si="187"/>
        <v>s</v>
      </c>
      <c r="O145" t="s">
        <v>450</v>
      </c>
      <c r="Q145" t="str">
        <f t="shared" si="285"/>
        <v>s</v>
      </c>
      <c r="R145" s="26">
        <v>1</v>
      </c>
      <c r="S145">
        <f>IF(A145=1,MAX($S$2:$S144)+1,IF(OR($I145&lt;&gt;"",A145="x"),$S144,""))</f>
        <v>77</v>
      </c>
      <c r="T145">
        <f>IF(D145=1,MAX($T$2:$T144)+1,IF(S145=S144,$T144,IF(D145="x",T144,IF(D144="x","",""))))</f>
        <v>10</v>
      </c>
      <c r="U145" t="str">
        <f>IF(B145=1,MAX($U$2:$U144)+1,IF(AND($T145&lt;&gt;"",$T145=$T144),$U144,IF(B145="x",U144,"")))</f>
        <v/>
      </c>
      <c r="V145" t="str">
        <f>IF(C145=1,MAX($V$2:$V144)+1,IF(AND($T145&lt;&gt;"",$T145=$T144),$U144,IF(C145="x",V144,"")))</f>
        <v/>
      </c>
      <c r="W145" t="str" cm="1">
        <f t="array" ref="W145">IFERROR(_xlfn._xlws.FILTER(game_rosters!AC:AC,(game_rosters!J:J=events!X145)*(K145&lt;&gt;"")),"")</f>
        <v>a</v>
      </c>
      <c r="X145" cm="1">
        <f t="array" ref="X145">IF($I145&lt;&gt;"",$I145,INDEX($I$1:$I145,ROW()-COUNTIFS($T$1:$T145,"="&amp;$T145,$S$1:$S145,"&lt;"&amp;$S145)))</f>
        <v>91</v>
      </c>
      <c r="Y145" cm="1">
        <f t="array" ref="Y145">IFERROR(IF(_xlfn._xlws.FILTER(game_rosters!$J:$J,(game_rosters!$G:$G=events!$AM145)*(game_rosters!$J:$J=events!$X145))&gt;0,1,""),"")</f>
        <v>1</v>
      </c>
      <c r="Z145" s="6">
        <f t="shared" si="248"/>
        <v>1</v>
      </c>
      <c r="AA145">
        <f t="shared" si="249"/>
        <v>1077</v>
      </c>
      <c r="AB145">
        <f t="shared" si="250"/>
        <v>9010</v>
      </c>
      <c r="AC145">
        <f t="shared" si="251"/>
        <v>9010</v>
      </c>
      <c r="AD145" t="str">
        <f t="shared" si="252"/>
        <v>15</v>
      </c>
      <c r="AE145" t="str">
        <f t="shared" si="253"/>
        <v>57</v>
      </c>
      <c r="AF145" t="str">
        <f t="shared" si="254"/>
        <v/>
      </c>
      <c r="AG145" t="str">
        <f t="shared" si="255"/>
        <v/>
      </c>
      <c r="AH145" t="str">
        <f t="shared" si="194"/>
        <v>e</v>
      </c>
      <c r="AI145" t="str">
        <f t="shared" si="279"/>
        <v>d</v>
      </c>
      <c r="AJ145" t="str">
        <f t="shared" si="279"/>
        <v>d</v>
      </c>
      <c r="AK145" t="str">
        <f t="shared" si="196"/>
        <v>o</v>
      </c>
      <c r="AL145" t="str">
        <f t="shared" si="197"/>
        <v>d</v>
      </c>
      <c r="AM145" t="str">
        <f t="shared" si="256"/>
        <v>Away</v>
      </c>
      <c r="AN145" t="str">
        <f t="shared" si="198"/>
        <v>a</v>
      </c>
      <c r="AO145" t="str">
        <f t="shared" si="199"/>
        <v>o</v>
      </c>
      <c r="AP145" t="str">
        <f t="shared" si="200"/>
        <v>d</v>
      </c>
      <c r="AQ145" t="str">
        <f>IF(AM145&lt;&gt;"",AM145,IF($AC145=#REF!,#REF!,""))</f>
        <v>Away</v>
      </c>
      <c r="AR145" t="str">
        <f t="shared" si="201"/>
        <v>a</v>
      </c>
      <c r="AS145" t="str">
        <f t="shared" si="202"/>
        <v>Offensive</v>
      </c>
      <c r="AT145" t="str">
        <f t="shared" si="257"/>
        <v/>
      </c>
      <c r="AU145" t="str">
        <f t="shared" si="258"/>
        <v/>
      </c>
      <c r="AV145" t="str" cm="1">
        <f t="array" ref="AV145">IFERROR(IF(O145&lt;&gt;"",O145,IF(OR($S145="",$T145=""),"",IF(O145&lt;&gt;"",O145,IF($T145&lt;&gt;"",_xlfn._xlws.FILTER(O:O,($BT:$BT=$BT145)*($I:$I=$I145)*($T:$T=$T145)*($S:$S=_xlfn.MINIFS($S:$S,$T:$T,"="&amp;$T145)),"")))))&amp;"",IF(O145="","",""))&amp;""</f>
        <v>Breakout</v>
      </c>
      <c r="AW145" t="str" cm="1">
        <f t="array" ref="AW145">IFERROR(IF(P145&lt;&gt;"",P145,IF(OR($S145="",$T145=""),"",IF($T145&lt;&gt;"",_xlfn._xlws.FILTER(P:P,($BT:$BT=$BT145)*($I:$I=$I145)*($T:$T=$T145)*($S:$S=_xlfn.MINIFS($S:$S,$T:$T,"="&amp;$T145)),""))))&amp;"",IF(P145="","",""))&amp;""</f>
        <v/>
      </c>
      <c r="AX145" t="str" cm="1">
        <f t="array" ref="AX145">IFERROR(IF(Q145&lt;&gt;"",Q145,IF(OR($S145="",$T145=""),"",IF($T145&lt;&gt;"",_xlfn._xlws.FILTER(Q:Q,($BT:$BT=$BT145)*($I:$I=$I145)*($T:$T=$T145)*($S:$S=_xlfn.MINIFS($S:$S,$T:$T,"="&amp;$T145)),""))))&amp;"",IF(Q145="","",""))&amp;""</f>
        <v>s</v>
      </c>
      <c r="AY145" t="str" cm="1">
        <f t="array" ref="AY145">IFERROR(IF(R145&lt;&gt;"",R145,IF(OR($S145="",$T145=""),"",IF($T145&lt;&gt;"",_xlfn._xlws.FILTER(R:R,($BT:$BT=$BT145)*($I:$I=$I145)*($T:$T=$T145)*($S:$S=_xlfn.MINIFS($S:$S,$T:$T,"="&amp;$T145)),""))))&amp;"",IF(R145="","",""))&amp;""</f>
        <v>1</v>
      </c>
      <c r="AZ145" s="6">
        <f t="shared" si="259"/>
        <v>14</v>
      </c>
      <c r="BA145">
        <f t="shared" ref="BA145:BC145" si="287">BA144</f>
        <v>18991</v>
      </c>
      <c r="BB145" t="str">
        <f t="shared" si="287"/>
        <v>Triple J</v>
      </c>
      <c r="BC145" t="str">
        <f t="shared" si="287"/>
        <v>Velodrome</v>
      </c>
      <c r="BD145" t="str">
        <f t="shared" si="261"/>
        <v>Pass</v>
      </c>
      <c r="BE145" t="str">
        <f t="shared" si="262"/>
        <v>Pass_Completed</v>
      </c>
      <c r="BF145" t="str">
        <f t="shared" si="263"/>
        <v>Pass-Stretch</v>
      </c>
      <c r="BG145" t="str">
        <f t="shared" si="22"/>
        <v>s</v>
      </c>
      <c r="BH145" cm="1">
        <f t="array" ref="BH145">IFERROR(_xlfn._xlws.FILTER(shifts!A:A,(shifts!B:B=events!Z145)*(shifts!AG:AG&gt;=events!BJ145)*(shifts!AH:AH&lt;=events!BK145)),BH144)</f>
        <v>4</v>
      </c>
      <c r="BI145" s="15">
        <f t="shared" si="264"/>
        <v>0</v>
      </c>
      <c r="BJ145">
        <f t="shared" si="265"/>
        <v>957</v>
      </c>
      <c r="BK145">
        <f t="shared" si="266"/>
        <v>957</v>
      </c>
      <c r="BL145" s="15">
        <f>SUMIFS(BI$2:BI145,K$2:K145,"=Intermission")+SUMIFS(BI$2:BI145,K$2:K145,"=Timeout")</f>
        <v>0</v>
      </c>
      <c r="BM145">
        <f t="shared" si="267"/>
        <v>0</v>
      </c>
      <c r="BN145" s="19">
        <f t="shared" si="268"/>
        <v>123</v>
      </c>
      <c r="BO145">
        <f t="shared" si="269"/>
        <v>118</v>
      </c>
      <c r="BP145" s="17">
        <f t="shared" si="270"/>
        <v>123</v>
      </c>
      <c r="BQ145" t="str">
        <f t="shared" si="271"/>
        <v>event_team_player_1</v>
      </c>
      <c r="BR145">
        <f>COUNTIFS(S$3:S145,"="&amp;S145,AH$3:AH145,"="&amp;AH145)</f>
        <v>1</v>
      </c>
      <c r="BS145" t="str">
        <f>IFERROR(VLOOKUP(BA145&amp;BT145&amp;X145,game_rosters!U:W,3,FALSE),"")</f>
        <v>P100002</v>
      </c>
      <c r="BT145" t="str">
        <f t="shared" si="272"/>
        <v>Velodrome</v>
      </c>
    </row>
    <row r="146" spans="1:72" x14ac:dyDescent="0.2">
      <c r="A146" t="str">
        <f t="shared" si="247"/>
        <v>x</v>
      </c>
      <c r="D146" s="26" t="s">
        <v>729</v>
      </c>
      <c r="E146" s="4"/>
      <c r="F146" s="45"/>
      <c r="G146" s="4"/>
      <c r="H146" s="47"/>
      <c r="I146" s="26">
        <v>24</v>
      </c>
      <c r="J146" s="26" t="str">
        <f t="shared" si="274"/>
        <v/>
      </c>
      <c r="N146" t="str">
        <f t="shared" si="187"/>
        <v/>
      </c>
      <c r="Q146" t="str">
        <f t="shared" si="285"/>
        <v/>
      </c>
      <c r="S146">
        <f>IF(A146=1,MAX($S$2:$S145)+1,IF(OR($I146&lt;&gt;"",A146="x"),$S145,""))</f>
        <v>77</v>
      </c>
      <c r="T146">
        <f>IF(D146=1,MAX($T$2:$T145)+1,IF(S146=S145,$T145,IF(D146="x",T145,IF(D145="x","",""))))</f>
        <v>10</v>
      </c>
      <c r="U146" t="str">
        <f>IF(B146=1,MAX($U$2:$U145)+1,IF(AND($T146&lt;&gt;"",$T146=$T145),$U145,IF(B146="x",U145,"")))</f>
        <v/>
      </c>
      <c r="V146" t="str">
        <f>IF(C146=1,MAX($V$2:$V145)+1,IF(AND($T146&lt;&gt;"",$T146=$T145),$U145,IF(C146="x",V145,"")))</f>
        <v/>
      </c>
      <c r="W146" t="str" cm="1">
        <f t="array" ref="W146">IFERROR(_xlfn._xlws.FILTER(game_rosters!AC:AC,(game_rosters!J:J=events!X146)*(K146&lt;&gt;"")),"")</f>
        <v/>
      </c>
      <c r="X146" cm="1">
        <f t="array" ref="X146">IF($I146&lt;&gt;"",$I146,INDEX($I$1:$I146,ROW()-COUNTIFS($T$1:$T146,"="&amp;$T146,$S$1:$S146,"&lt;"&amp;$S146)))</f>
        <v>24</v>
      </c>
      <c r="Y146" cm="1">
        <f t="array" ref="Y146">IFERROR(IF(_xlfn._xlws.FILTER(game_rosters!$J:$J,(game_rosters!$G:$G=events!$AM146)*(game_rosters!$J:$J=events!$X146))&gt;0,1,""),"")</f>
        <v>1</v>
      </c>
      <c r="Z146" s="6">
        <f t="shared" si="248"/>
        <v>1</v>
      </c>
      <c r="AA146">
        <f t="shared" si="249"/>
        <v>1077</v>
      </c>
      <c r="AB146">
        <f t="shared" si="250"/>
        <v>9010</v>
      </c>
      <c r="AC146">
        <f t="shared" si="251"/>
        <v>9010</v>
      </c>
      <c r="AD146" t="str">
        <f t="shared" si="252"/>
        <v>15</v>
      </c>
      <c r="AE146" t="str">
        <f t="shared" si="253"/>
        <v>57</v>
      </c>
      <c r="AF146" t="str">
        <f t="shared" si="254"/>
        <v/>
      </c>
      <c r="AG146" t="str">
        <f t="shared" si="255"/>
        <v/>
      </c>
      <c r="AH146" t="str">
        <f t="shared" si="194"/>
        <v>e</v>
      </c>
      <c r="AI146" t="str">
        <f t="shared" si="279"/>
        <v>d</v>
      </c>
      <c r="AJ146" t="str">
        <f t="shared" si="279"/>
        <v>d</v>
      </c>
      <c r="AK146" t="str">
        <f t="shared" si="196"/>
        <v/>
      </c>
      <c r="AL146" t="str">
        <f t="shared" si="197"/>
        <v/>
      </c>
      <c r="AM146" t="str">
        <f t="shared" si="256"/>
        <v>Away</v>
      </c>
      <c r="AN146" t="str">
        <f t="shared" si="198"/>
        <v>a</v>
      </c>
      <c r="AO146" t="str">
        <f t="shared" si="199"/>
        <v>o</v>
      </c>
      <c r="AP146" t="str">
        <f t="shared" si="200"/>
        <v>d</v>
      </c>
      <c r="AQ146" t="str">
        <f>IF(AM146&lt;&gt;"",AM146,IF($AC146=#REF!,#REF!,""))</f>
        <v>Away</v>
      </c>
      <c r="AR146" t="str">
        <f t="shared" si="201"/>
        <v>a</v>
      </c>
      <c r="AS146" t="str">
        <f t="shared" si="202"/>
        <v>Offensive</v>
      </c>
      <c r="AT146" t="str">
        <f t="shared" si="257"/>
        <v/>
      </c>
      <c r="AU146" t="str">
        <f t="shared" si="258"/>
        <v/>
      </c>
      <c r="AV146" t="str" cm="1">
        <f t="array" ref="AV146">IFERROR(IF(O146&lt;&gt;"",O146,IF(OR($S146="",$T146=""),"",IF(O146&lt;&gt;"",O146,IF($T146&lt;&gt;"",_xlfn._xlws.FILTER(O:O,($BT:$BT=$BT146)*($I:$I=$I146)*($T:$T=$T146)*($S:$S=_xlfn.MINIFS($S:$S,$T:$T,"="&amp;$T146)),"")))))&amp;"",IF(O146="","",""))&amp;""</f>
        <v/>
      </c>
      <c r="AW146" t="str" cm="1">
        <f t="array" ref="AW146">IFERROR(IF(P146&lt;&gt;"",P146,IF(OR($S146="",$T146=""),"",IF($T146&lt;&gt;"",_xlfn._xlws.FILTER(P:P,($BT:$BT=$BT146)*($I:$I=$I146)*($T:$T=$T146)*($S:$S=_xlfn.MINIFS($S:$S,$T:$T,"="&amp;$T146)),""))))&amp;"",IF(P146="","",""))&amp;""</f>
        <v/>
      </c>
      <c r="AX146" t="str" cm="1">
        <f t="array" ref="AX146">IFERROR(IF(Q146&lt;&gt;"",Q146,IF(OR($S146="",$T146=""),"",IF($T146&lt;&gt;"",_xlfn._xlws.FILTER(Q:Q,($BT:$BT=$BT146)*($I:$I=$I146)*($T:$T=$T146)*($S:$S=_xlfn.MINIFS($S:$S,$T:$T,"="&amp;$T146)),""))))&amp;"",IF(Q146="","",""))&amp;""</f>
        <v/>
      </c>
      <c r="AY146" t="str" cm="1">
        <f t="array" ref="AY146">IFERROR(IF(R146&lt;&gt;"",R146,IF(OR($S146="",$T146=""),"",IF($T146&lt;&gt;"",_xlfn._xlws.FILTER(R:R,($BT:$BT=$BT146)*($I:$I=$I146)*($T:$T=$T146)*($S:$S=_xlfn.MINIFS($S:$S,$T:$T,"="&amp;$T146)),""))))&amp;"",IF(R146="","",""))&amp;""</f>
        <v/>
      </c>
      <c r="AZ146" s="6">
        <f t="shared" si="259"/>
        <v>14</v>
      </c>
      <c r="BA146">
        <f t="shared" ref="BA146:BC146" si="288">BA145</f>
        <v>18991</v>
      </c>
      <c r="BB146" t="str">
        <f t="shared" si="288"/>
        <v>Triple J</v>
      </c>
      <c r="BC146" t="str">
        <f t="shared" si="288"/>
        <v>Velodrome</v>
      </c>
      <c r="BD146" t="str">
        <f t="shared" si="261"/>
        <v>Pass</v>
      </c>
      <c r="BE146" t="str">
        <f t="shared" si="262"/>
        <v>Pass_Completed</v>
      </c>
      <c r="BF146" t="str">
        <f t="shared" si="263"/>
        <v>Pass-Stretch</v>
      </c>
      <c r="BG146" t="str">
        <f t="shared" si="22"/>
        <v>s</v>
      </c>
      <c r="BH146" cm="1">
        <f t="array" ref="BH146">IFERROR(_xlfn._xlws.FILTER(shifts!A:A,(shifts!B:B=events!Z146)*(shifts!AG:AG&gt;=events!BJ146)*(shifts!AH:AH&lt;=events!BK146)),BH145)</f>
        <v>4</v>
      </c>
      <c r="BI146" s="15">
        <f t="shared" si="264"/>
        <v>0</v>
      </c>
      <c r="BJ146">
        <f t="shared" si="265"/>
        <v>957</v>
      </c>
      <c r="BK146">
        <f t="shared" si="266"/>
        <v>957</v>
      </c>
      <c r="BL146" s="15">
        <f>SUMIFS(BI$2:BI146,K$2:K146,"=Intermission")+SUMIFS(BI$2:BI146,K$2:K146,"=Timeout")</f>
        <v>0</v>
      </c>
      <c r="BM146">
        <f t="shared" si="267"/>
        <v>0</v>
      </c>
      <c r="BN146" s="19">
        <f t="shared" si="268"/>
        <v>123</v>
      </c>
      <c r="BO146">
        <f t="shared" si="269"/>
        <v>118</v>
      </c>
      <c r="BP146" s="17">
        <f t="shared" si="270"/>
        <v>123</v>
      </c>
      <c r="BQ146" t="str">
        <f t="shared" si="271"/>
        <v>event_team_player_2</v>
      </c>
      <c r="BR146">
        <f>COUNTIFS(S$3:S146,"="&amp;S146,AH$3:AH146,"="&amp;AH146)</f>
        <v>2</v>
      </c>
      <c r="BS146" t="str">
        <f>IFERROR(VLOOKUP(BA146&amp;BT146&amp;X146,game_rosters!U:W,3,FALSE),"")</f>
        <v>P100230</v>
      </c>
      <c r="BT146" t="str">
        <f t="shared" si="272"/>
        <v>Velodrome</v>
      </c>
    </row>
    <row r="147" spans="1:72" x14ac:dyDescent="0.2">
      <c r="A147" t="str">
        <f t="shared" si="247"/>
        <v>x</v>
      </c>
      <c r="D147" s="26" t="s">
        <v>729</v>
      </c>
      <c r="E147" s="4"/>
      <c r="F147" s="45"/>
      <c r="G147" s="4"/>
      <c r="H147" s="47"/>
      <c r="I147" s="26">
        <v>21</v>
      </c>
      <c r="J147" s="26" t="str">
        <f t="shared" si="274"/>
        <v/>
      </c>
      <c r="N147" t="str">
        <f t="shared" si="187"/>
        <v/>
      </c>
      <c r="O147" t="s">
        <v>566</v>
      </c>
      <c r="Q147" t="str">
        <f t="shared" si="285"/>
        <v/>
      </c>
      <c r="R147" s="26">
        <v>1</v>
      </c>
      <c r="S147">
        <f>IF(A147=1,MAX($S$2:$S146)+1,IF(OR($I147&lt;&gt;"",A147="x"),$S146,""))</f>
        <v>77</v>
      </c>
      <c r="T147">
        <f>IF(D147=1,MAX($T$2:$T146)+1,IF(S147=S146,$T146,IF(D147="x",T146,IF(D146="x","",""))))</f>
        <v>10</v>
      </c>
      <c r="U147" t="str">
        <f>IF(B147=1,MAX($U$2:$U146)+1,IF(AND($T147&lt;&gt;"",$T147=$T146),$U146,IF(B147="x",U146,"")))</f>
        <v/>
      </c>
      <c r="V147" t="str">
        <f>IF(C147=1,MAX($V$2:$V146)+1,IF(AND($T147&lt;&gt;"",$T147=$T146),$U146,IF(C147="x",V146,"")))</f>
        <v/>
      </c>
      <c r="W147" t="str" cm="1">
        <f t="array" ref="W147">IFERROR(_xlfn._xlws.FILTER(game_rosters!AC:AC,(game_rosters!J:J=events!X147)*(K147&lt;&gt;"")),"")</f>
        <v/>
      </c>
      <c r="X147" cm="1">
        <f t="array" ref="X147">IF($I147&lt;&gt;"",$I147,INDEX($I$1:$I147,ROW()-COUNTIFS($T$1:$T147,"="&amp;$T147,$S$1:$S147,"&lt;"&amp;$S147)))</f>
        <v>21</v>
      </c>
      <c r="Y147" t="str" cm="1">
        <f t="array" ref="Y147">IFERROR(IF(_xlfn._xlws.FILTER(game_rosters!$J:$J,(game_rosters!$G:$G=events!$AM147)*(game_rosters!$J:$J=events!$X147))&gt;0,1,""),"")</f>
        <v/>
      </c>
      <c r="Z147" s="6">
        <f t="shared" si="248"/>
        <v>1</v>
      </c>
      <c r="AA147">
        <f t="shared" si="249"/>
        <v>1077</v>
      </c>
      <c r="AB147">
        <f t="shared" si="250"/>
        <v>9010</v>
      </c>
      <c r="AC147">
        <f t="shared" si="251"/>
        <v>9010</v>
      </c>
      <c r="AD147" t="str">
        <f t="shared" si="252"/>
        <v>15</v>
      </c>
      <c r="AE147" t="str">
        <f t="shared" si="253"/>
        <v>57</v>
      </c>
      <c r="AF147" t="str">
        <f t="shared" si="254"/>
        <v/>
      </c>
      <c r="AG147" t="str">
        <f t="shared" si="255"/>
        <v/>
      </c>
      <c r="AH147" t="str">
        <f t="shared" si="194"/>
        <v>o</v>
      </c>
      <c r="AI147" t="str">
        <f t="shared" si="279"/>
        <v>d</v>
      </c>
      <c r="AJ147" t="str">
        <f t="shared" si="279"/>
        <v>d</v>
      </c>
      <c r="AK147" t="str">
        <f t="shared" si="196"/>
        <v/>
      </c>
      <c r="AL147" t="str">
        <f t="shared" si="197"/>
        <v/>
      </c>
      <c r="AM147" t="str">
        <f t="shared" si="256"/>
        <v>Away</v>
      </c>
      <c r="AN147" t="str">
        <f t="shared" si="198"/>
        <v>a</v>
      </c>
      <c r="AO147" t="str">
        <f t="shared" si="199"/>
        <v>o</v>
      </c>
      <c r="AP147" t="str">
        <f t="shared" si="200"/>
        <v>d</v>
      </c>
      <c r="AQ147" t="str">
        <f>IF(AM147&lt;&gt;"",AM147,IF($AC147=#REF!,#REF!,""))</f>
        <v>Away</v>
      </c>
      <c r="AR147" t="str">
        <f t="shared" si="201"/>
        <v>a</v>
      </c>
      <c r="AS147" t="str">
        <f t="shared" si="202"/>
        <v>Defensive</v>
      </c>
      <c r="AT147" t="str">
        <f t="shared" si="257"/>
        <v/>
      </c>
      <c r="AU147" t="str">
        <f t="shared" si="258"/>
        <v/>
      </c>
      <c r="AV147" t="str" cm="1">
        <f t="array" ref="AV147">IFERROR(IF(O147&lt;&gt;"",O147,IF(OR($S147="",$T147=""),"",IF(O147&lt;&gt;"",O147,IF($T147&lt;&gt;"",_xlfn._xlws.FILTER(O:O,($BT:$BT=$BT147)*($I:$I=$I147)*($T:$T=$T147)*($S:$S=_xlfn.MINIFS($S:$S,$T:$T,"="&amp;$T147)),"")))))&amp;"",IF(O147="","",""))&amp;""</f>
        <v>InShotPassLane</v>
      </c>
      <c r="AW147" t="str" cm="1">
        <f t="array" ref="AW147">IFERROR(IF(P147&lt;&gt;"",P147,IF(OR($S147="",$T147=""),"",IF($T147&lt;&gt;"",_xlfn._xlws.FILTER(P:P,($BT:$BT=$BT147)*($I:$I=$I147)*($T:$T=$T147)*($S:$S=_xlfn.MINIFS($S:$S,$T:$T,"="&amp;$T147)),""))))&amp;"",IF(P147="","",""))&amp;""</f>
        <v/>
      </c>
      <c r="AX147" t="str" cm="1">
        <f t="array" ref="AX147">IFERROR(IF(Q147&lt;&gt;"",Q147,IF(OR($S147="",$T147=""),"",IF($T147&lt;&gt;"",_xlfn._xlws.FILTER(Q:Q,($BT:$BT=$BT147)*($I:$I=$I147)*($T:$T=$T147)*($S:$S=_xlfn.MINIFS($S:$S,$T:$T,"="&amp;$T147)),""))))&amp;"",IF(Q147="","",""))&amp;""</f>
        <v/>
      </c>
      <c r="AY147" t="str" cm="1">
        <f t="array" ref="AY147">IFERROR(IF(R147&lt;&gt;"",R147,IF(OR($S147="",$T147=""),"",IF($T147&lt;&gt;"",_xlfn._xlws.FILTER(R:R,($BT:$BT=$BT147)*($I:$I=$I147)*($T:$T=$T147)*($S:$S=_xlfn.MINIFS($S:$S,$T:$T,"="&amp;$T147)),""))))&amp;"",IF(R147="","",""))&amp;""</f>
        <v>1</v>
      </c>
      <c r="AZ147" s="6">
        <f t="shared" si="259"/>
        <v>14</v>
      </c>
      <c r="BA147">
        <f t="shared" ref="BA147:BC147" si="289">BA146</f>
        <v>18991</v>
      </c>
      <c r="BB147" t="str">
        <f t="shared" si="289"/>
        <v>Triple J</v>
      </c>
      <c r="BC147" t="str">
        <f t="shared" si="289"/>
        <v>Velodrome</v>
      </c>
      <c r="BD147" t="str">
        <f t="shared" si="261"/>
        <v>Pass</v>
      </c>
      <c r="BE147" t="str">
        <f t="shared" si="262"/>
        <v>Pass_Completed</v>
      </c>
      <c r="BF147" t="str">
        <f t="shared" si="263"/>
        <v>Pass-Stretch</v>
      </c>
      <c r="BG147" t="str">
        <f t="shared" si="22"/>
        <v>s</v>
      </c>
      <c r="BH147" cm="1">
        <f t="array" ref="BH147">IFERROR(_xlfn._xlws.FILTER(shifts!A:A,(shifts!B:B=events!Z147)*(shifts!AG:AG&gt;=events!BJ147)*(shifts!AH:AH&lt;=events!BK147)),BH146)</f>
        <v>4</v>
      </c>
      <c r="BI147" s="15">
        <f t="shared" si="264"/>
        <v>0</v>
      </c>
      <c r="BJ147">
        <f t="shared" si="265"/>
        <v>957</v>
      </c>
      <c r="BK147">
        <f t="shared" si="266"/>
        <v>957</v>
      </c>
      <c r="BL147" s="15">
        <f>SUMIFS(BI$2:BI147,K$2:K147,"=Intermission")+SUMIFS(BI$2:BI147,K$2:K147,"=Timeout")</f>
        <v>0</v>
      </c>
      <c r="BM147">
        <f t="shared" si="267"/>
        <v>0</v>
      </c>
      <c r="BN147" s="19">
        <f t="shared" si="268"/>
        <v>123</v>
      </c>
      <c r="BO147">
        <f t="shared" si="269"/>
        <v>118</v>
      </c>
      <c r="BP147" s="17">
        <f t="shared" si="270"/>
        <v>123</v>
      </c>
      <c r="BQ147" t="str">
        <f t="shared" si="271"/>
        <v>opp_team_player_1</v>
      </c>
      <c r="BR147">
        <f>COUNTIFS(S$3:S147,"="&amp;S147,AH$3:AH147,"="&amp;AH147)</f>
        <v>1</v>
      </c>
      <c r="BS147" t="str">
        <f>IFERROR(VLOOKUP(BA147&amp;BT147&amp;X147,game_rosters!U:W,3,FALSE),"")</f>
        <v>P100019</v>
      </c>
      <c r="BT147" t="str">
        <f t="shared" si="272"/>
        <v>Triple J</v>
      </c>
    </row>
    <row r="148" spans="1:72" x14ac:dyDescent="0.2">
      <c r="A148">
        <f t="shared" si="247"/>
        <v>1</v>
      </c>
      <c r="D148" s="26" t="s">
        <v>729</v>
      </c>
      <c r="E148" s="4"/>
      <c r="F148" s="45"/>
      <c r="G148" s="4"/>
      <c r="H148" s="47"/>
      <c r="J148" s="26" t="str">
        <f t="shared" si="274"/>
        <v>d</v>
      </c>
      <c r="K148" t="s">
        <v>238</v>
      </c>
      <c r="L148" t="s">
        <v>184</v>
      </c>
      <c r="M148" t="s">
        <v>89</v>
      </c>
      <c r="N148" t="str">
        <f t="shared" si="187"/>
        <v>s</v>
      </c>
      <c r="Q148" t="str">
        <f t="shared" si="285"/>
        <v/>
      </c>
      <c r="S148">
        <f>IF(A148=1,MAX($S$2:$S147)+1,IF(OR($I148&lt;&gt;"",A148="x"),$S147,""))</f>
        <v>78</v>
      </c>
      <c r="T148">
        <f>IF(D148=1,MAX($T$2:$T147)+1,IF(S148=S147,$T147,IF(D148="x",T147,IF(D147="x","",""))))</f>
        <v>10</v>
      </c>
      <c r="U148" t="str">
        <f>IF(B148=1,MAX($U$2:$U147)+1,IF(AND($T148&lt;&gt;"",$T148=$T147),$U147,IF(B148="x",U147,"")))</f>
        <v/>
      </c>
      <c r="V148" t="str">
        <f>IF(C148=1,MAX($V$2:$V147)+1,IF(AND($T148&lt;&gt;"",$T148=$T147),$U147,IF(C148="x",V147,"")))</f>
        <v/>
      </c>
      <c r="W148" t="str" cm="1">
        <f t="array" ref="W148">IFERROR(_xlfn._xlws.FILTER(game_rosters!AC:AC,(game_rosters!J:J=events!X148)*(K148&lt;&gt;"")),"")</f>
        <v>a</v>
      </c>
      <c r="X148" cm="1">
        <f t="array" ref="X148">IF($I148&lt;&gt;"",$I148,INDEX($I$1:$I148,ROW()-COUNTIFS($T$1:$T148,"="&amp;$T148,$S$1:$S148,"&lt;"&amp;$S148)))</f>
        <v>91</v>
      </c>
      <c r="Y148" cm="1">
        <f t="array" ref="Y148">IFERROR(IF(_xlfn._xlws.FILTER(game_rosters!$J:$J,(game_rosters!$G:$G=events!$AM148)*(game_rosters!$J:$J=events!$X148))&gt;0,1,""),"")</f>
        <v>1</v>
      </c>
      <c r="Z148" s="6">
        <f t="shared" si="248"/>
        <v>1</v>
      </c>
      <c r="AA148">
        <f t="shared" si="249"/>
        <v>1078</v>
      </c>
      <c r="AB148">
        <f t="shared" si="250"/>
        <v>9010</v>
      </c>
      <c r="AC148">
        <f t="shared" si="251"/>
        <v>9010</v>
      </c>
      <c r="AD148" t="str">
        <f t="shared" si="252"/>
        <v>15</v>
      </c>
      <c r="AE148" t="str">
        <f t="shared" si="253"/>
        <v>57</v>
      </c>
      <c r="AF148" t="str">
        <f t="shared" si="254"/>
        <v/>
      </c>
      <c r="AG148" t="str">
        <f t="shared" si="255"/>
        <v/>
      </c>
      <c r="AH148" t="str">
        <f t="shared" si="194"/>
        <v>e</v>
      </c>
      <c r="AI148" t="str">
        <f t="shared" si="279"/>
        <v>d</v>
      </c>
      <c r="AJ148" t="str">
        <f t="shared" si="279"/>
        <v>d</v>
      </c>
      <c r="AK148" t="str">
        <f t="shared" si="196"/>
        <v>o</v>
      </c>
      <c r="AL148" t="str">
        <f t="shared" si="197"/>
        <v>d</v>
      </c>
      <c r="AM148" t="str">
        <f t="shared" si="256"/>
        <v>Away</v>
      </c>
      <c r="AN148" t="str">
        <f t="shared" si="198"/>
        <v>a</v>
      </c>
      <c r="AO148" t="str">
        <f t="shared" si="199"/>
        <v>o</v>
      </c>
      <c r="AP148" t="str">
        <f t="shared" si="200"/>
        <v>d</v>
      </c>
      <c r="AQ148" t="str">
        <f>IF(AM148&lt;&gt;"",AM148,IF($AC148=#REF!,#REF!,""))</f>
        <v>Away</v>
      </c>
      <c r="AR148" t="str">
        <f t="shared" si="201"/>
        <v>a</v>
      </c>
      <c r="AS148" t="str">
        <f t="shared" si="202"/>
        <v>Offensive</v>
      </c>
      <c r="AT148" t="str">
        <f t="shared" si="257"/>
        <v/>
      </c>
      <c r="AU148" t="str">
        <f t="shared" si="258"/>
        <v/>
      </c>
      <c r="AV148" t="str" cm="1">
        <f t="array" ref="AV148">IFERROR(IF(O148&lt;&gt;"",O148,IF(OR($S148="",$T148=""),"",IF(O148&lt;&gt;"",O148,IF($T148&lt;&gt;"",_xlfn._xlws.FILTER(O:O,($BT:$BT=$BT148)*($I:$I=$I148)*($T:$T=$T148)*($S:$S=_xlfn.MINIFS($S:$S,$T:$T,"="&amp;$T148)),"")))))&amp;"",IF(O148="","",""))&amp;""</f>
        <v/>
      </c>
      <c r="AW148" t="str" cm="1">
        <f t="array" ref="AW148">IFERROR(IF(P148&lt;&gt;"",P148,IF(OR($S148="",$T148=""),"",IF($T148&lt;&gt;"",_xlfn._xlws.FILTER(P:P,($BT:$BT=$BT148)*($I:$I=$I148)*($T:$T=$T148)*($S:$S=_xlfn.MINIFS($S:$S,$T:$T,"="&amp;$T148)),""))))&amp;"",IF(P148="","",""))&amp;""</f>
        <v/>
      </c>
      <c r="AX148" t="str" cm="1">
        <f t="array" ref="AX148">IFERROR(IF(Q148&lt;&gt;"",Q148,IF(OR($S148="",$T148=""),"",IF($T148&lt;&gt;"",_xlfn._xlws.FILTER(Q:Q,($BT:$BT=$BT148)*($I:$I=$I148)*($T:$T=$T148)*($S:$S=_xlfn.MINIFS($S:$S,$T:$T,"="&amp;$T148)),""))))&amp;"",IF(Q148="","",""))&amp;""</f>
        <v/>
      </c>
      <c r="AY148" t="str" cm="1">
        <f t="array" ref="AY148">IFERROR(IF(R148&lt;&gt;"",R148,IF(OR($S148="",$T148=""),"",IF($T148&lt;&gt;"",_xlfn._xlws.FILTER(R:R,($BT:$BT=$BT148)*($I:$I=$I148)*($T:$T=$T148)*($S:$S=_xlfn.MINIFS($S:$S,$T:$T,"="&amp;$T148)),""))))&amp;"",IF(R148="","",""))&amp;""</f>
        <v/>
      </c>
      <c r="AZ148" s="6">
        <f t="shared" si="259"/>
        <v>15</v>
      </c>
      <c r="BA148">
        <f t="shared" ref="BA148:BC148" si="290">BA147</f>
        <v>18991</v>
      </c>
      <c r="BB148" t="str">
        <f t="shared" si="290"/>
        <v>Triple J</v>
      </c>
      <c r="BC148" t="str">
        <f t="shared" si="290"/>
        <v>Velodrome</v>
      </c>
      <c r="BD148" t="str">
        <f t="shared" si="261"/>
        <v>Zone_Entry_Exit</v>
      </c>
      <c r="BE148" t="str">
        <f t="shared" si="262"/>
        <v>Zone_Exit</v>
      </c>
      <c r="BF148" t="str">
        <f t="shared" si="263"/>
        <v>ZoneExit-Pass</v>
      </c>
      <c r="BG148" t="str">
        <f t="shared" si="22"/>
        <v>s</v>
      </c>
      <c r="BH148" cm="1">
        <f t="array" ref="BH148">IFERROR(_xlfn._xlws.FILTER(shifts!A:A,(shifts!B:B=events!Z148)*(shifts!AG:AG&gt;=events!BJ148)*(shifts!AH:AH&lt;=events!BK148)),BH147)</f>
        <v>4</v>
      </c>
      <c r="BI148" s="15">
        <f t="shared" si="264"/>
        <v>0</v>
      </c>
      <c r="BJ148">
        <f t="shared" si="265"/>
        <v>957</v>
      </c>
      <c r="BK148">
        <f t="shared" si="266"/>
        <v>957</v>
      </c>
      <c r="BL148" s="15">
        <f>SUMIFS(BI$2:BI148,K$2:K148,"=Intermission")+SUMIFS(BI$2:BI148,K$2:K148,"=Timeout")</f>
        <v>0</v>
      </c>
      <c r="BM148">
        <f t="shared" si="267"/>
        <v>0</v>
      </c>
      <c r="BN148" s="19">
        <f t="shared" si="268"/>
        <v>123</v>
      </c>
      <c r="BO148">
        <f t="shared" si="269"/>
        <v>118</v>
      </c>
      <c r="BP148" s="17">
        <f t="shared" si="270"/>
        <v>123</v>
      </c>
      <c r="BQ148" t="str">
        <f t="shared" si="271"/>
        <v>event_team_player_1</v>
      </c>
      <c r="BR148">
        <f>COUNTIFS(S$3:S148,"="&amp;S148,AH$3:AH148,"="&amp;AH148)</f>
        <v>1</v>
      </c>
      <c r="BS148" t="str">
        <f>IFERROR(VLOOKUP(BA148&amp;BT148&amp;X148,game_rosters!U:W,3,FALSE),"")</f>
        <v>P100002</v>
      </c>
      <c r="BT148" t="str">
        <f t="shared" si="272"/>
        <v>Velodrome</v>
      </c>
    </row>
    <row r="149" spans="1:72" x14ac:dyDescent="0.2">
      <c r="A149" t="str">
        <f t="shared" si="247"/>
        <v>x</v>
      </c>
      <c r="D149" s="26" t="s">
        <v>729</v>
      </c>
      <c r="E149" s="4"/>
      <c r="F149" s="45"/>
      <c r="G149" s="4"/>
      <c r="H149" s="47"/>
      <c r="J149" s="26" t="str">
        <f t="shared" si="274"/>
        <v/>
      </c>
      <c r="N149" t="str">
        <f t="shared" ref="N149:N212" si="291">IF(K149="","",IF(K149="Goal","s",IF(AND(K149="Zone_Entry_Exit",OR(ISNUMBER(SEARCH("fail",L149)),ISNUMBER(SEARCH("FromExitClear",M149)),ISNUMBER(SEARCH("miss",M149)))),"u",IF(AND(K149="Zone_Entry_Exit",OR(NOT(ISNUMBER(SEARCH("fail",L149))),NOT(ISNUMBER(SEARCH("FromExitClear",M149))),NOT(ISNUMBER(SEARCH("miss",M149))))),"s",IF(AND(OR(K149="Shot",K149="Pass"),OR(ISNUMBER(SEARCH("complete",L149)),ISNUMBER(SEARCH("goal",L149)),ISNUMBER(SEARCH("OnNet",L149)))),"s",IF(L149="Turnover_Giveaway","u",IF(AND(OR(K149="Shot",K149="Pass"),OR(ISNUMBER(SEARCH("fail",L149)),NOT(ISNUMBER(SEARCH("complete",L149))),NOT(ISNUMBER(SEARCH("OnNet",L149))))),"u","")))))))</f>
        <v/>
      </c>
      <c r="Q149" t="str">
        <f t="shared" si="285"/>
        <v/>
      </c>
      <c r="S149">
        <f>IF(A149=1,MAX($S$2:$S148)+1,IF(OR($I149&lt;&gt;"",A149="x"),$S148,""))</f>
        <v>78</v>
      </c>
      <c r="T149">
        <f>IF(D149=1,MAX($T$2:$T148)+1,IF(S149=S148,$T148,IF(D149="x",T148,IF(D148="x","",""))))</f>
        <v>10</v>
      </c>
      <c r="U149" t="str">
        <f>IF(B149=1,MAX($U$2:$U148)+1,IF(AND($T149&lt;&gt;"",$T149=$T148),$U148,IF(B149="x",U148,"")))</f>
        <v/>
      </c>
      <c r="V149" t="str">
        <f>IF(C149=1,MAX($V$2:$V148)+1,IF(AND($T149&lt;&gt;"",$T149=$T148),$U148,IF(C149="x",V148,"")))</f>
        <v/>
      </c>
      <c r="W149" t="str" cm="1">
        <f t="array" ref="W149">IFERROR(_xlfn._xlws.FILTER(game_rosters!AC:AC,(game_rosters!J:J=events!X149)*(K149&lt;&gt;"")),"")</f>
        <v/>
      </c>
      <c r="X149" cm="1">
        <f t="array" ref="X149">IF($I149&lt;&gt;"",$I149,INDEX($I$1:$I149,ROW()-COUNTIFS($T$1:$T149,"="&amp;$T149,$S$1:$S149,"&lt;"&amp;$S149)))</f>
        <v>24</v>
      </c>
      <c r="Y149" cm="1">
        <f t="array" ref="Y149">IFERROR(IF(_xlfn._xlws.FILTER(game_rosters!$J:$J,(game_rosters!$G:$G=events!$AM149)*(game_rosters!$J:$J=events!$X149))&gt;0,1,""),"")</f>
        <v>1</v>
      </c>
      <c r="Z149" s="6">
        <f t="shared" si="248"/>
        <v>1</v>
      </c>
      <c r="AA149">
        <f t="shared" si="249"/>
        <v>1078</v>
      </c>
      <c r="AB149">
        <f t="shared" si="250"/>
        <v>9010</v>
      </c>
      <c r="AC149">
        <f t="shared" si="251"/>
        <v>9010</v>
      </c>
      <c r="AD149" t="str">
        <f t="shared" si="252"/>
        <v>15</v>
      </c>
      <c r="AE149" t="str">
        <f t="shared" si="253"/>
        <v>57</v>
      </c>
      <c r="AF149" t="str">
        <f t="shared" si="254"/>
        <v/>
      </c>
      <c r="AG149" t="str">
        <f t="shared" si="255"/>
        <v/>
      </c>
      <c r="AH149" t="str">
        <f t="shared" si="194"/>
        <v>e</v>
      </c>
      <c r="AI149" t="str">
        <f t="shared" si="279"/>
        <v>d</v>
      </c>
      <c r="AJ149" t="str">
        <f t="shared" si="279"/>
        <v>d</v>
      </c>
      <c r="AK149" t="str">
        <f t="shared" si="196"/>
        <v/>
      </c>
      <c r="AL149" t="str">
        <f t="shared" si="197"/>
        <v/>
      </c>
      <c r="AM149" t="str">
        <f t="shared" si="256"/>
        <v>Away</v>
      </c>
      <c r="AN149" t="str">
        <f t="shared" si="198"/>
        <v>a</v>
      </c>
      <c r="AO149" t="str">
        <f t="shared" si="199"/>
        <v>o</v>
      </c>
      <c r="AP149" t="str">
        <f t="shared" si="200"/>
        <v>d</v>
      </c>
      <c r="AQ149" t="str">
        <f>IF(AM149&lt;&gt;"",AM149,IF($AC149=#REF!,#REF!,""))</f>
        <v>Away</v>
      </c>
      <c r="AR149" t="str">
        <f t="shared" si="201"/>
        <v>a</v>
      </c>
      <c r="AS149" t="str">
        <f t="shared" si="202"/>
        <v>Offensive</v>
      </c>
      <c r="AT149" t="str">
        <f t="shared" si="257"/>
        <v/>
      </c>
      <c r="AU149" t="str">
        <f t="shared" si="258"/>
        <v/>
      </c>
      <c r="AV149" t="str" cm="1">
        <f t="array" ref="AV149">IFERROR(IF(O149&lt;&gt;"",O149,IF(OR($S149="",$T149=""),"",IF(O149&lt;&gt;"",O149,IF($T149&lt;&gt;"",_xlfn._xlws.FILTER(O:O,($BT:$BT=$BT149)*($I:$I=$I149)*($T:$T=$T149)*($S:$S=_xlfn.MINIFS($S:$S,$T:$T,"="&amp;$T149)),"")))))&amp;"",IF(O149="","",""))&amp;""</f>
        <v/>
      </c>
      <c r="AW149" t="str" cm="1">
        <f t="array" ref="AW149">IFERROR(IF(P149&lt;&gt;"",P149,IF(OR($S149="",$T149=""),"",IF($T149&lt;&gt;"",_xlfn._xlws.FILTER(P:P,($BT:$BT=$BT149)*($I:$I=$I149)*($T:$T=$T149)*($S:$S=_xlfn.MINIFS($S:$S,$T:$T,"="&amp;$T149)),""))))&amp;"",IF(P149="","",""))&amp;""</f>
        <v/>
      </c>
      <c r="AX149" t="str" cm="1">
        <f t="array" ref="AX149">IFERROR(IF(Q149&lt;&gt;"",Q149,IF(OR($S149="",$T149=""),"",IF($T149&lt;&gt;"",_xlfn._xlws.FILTER(Q:Q,($BT:$BT=$BT149)*($I:$I=$I149)*($T:$T=$T149)*($S:$S=_xlfn.MINIFS($S:$S,$T:$T,"="&amp;$T149)),""))))&amp;"",IF(Q149="","",""))&amp;""</f>
        <v/>
      </c>
      <c r="AY149" t="str" cm="1">
        <f t="array" ref="AY149">IFERROR(IF(R149&lt;&gt;"",R149,IF(OR($S149="",$T149=""),"",IF($T149&lt;&gt;"",_xlfn._xlws.FILTER(R:R,($BT:$BT=$BT149)*($I:$I=$I149)*($T:$T=$T149)*($S:$S=_xlfn.MINIFS($S:$S,$T:$T,"="&amp;$T149)),""))))&amp;"",IF(R149="","",""))&amp;""</f>
        <v/>
      </c>
      <c r="AZ149" s="6">
        <f t="shared" si="259"/>
        <v>15</v>
      </c>
      <c r="BA149">
        <f t="shared" ref="BA149:BC149" si="292">BA148</f>
        <v>18991</v>
      </c>
      <c r="BB149" t="str">
        <f t="shared" si="292"/>
        <v>Triple J</v>
      </c>
      <c r="BC149" t="str">
        <f t="shared" si="292"/>
        <v>Velodrome</v>
      </c>
      <c r="BD149" t="str">
        <f t="shared" si="261"/>
        <v>Zone_Entry_Exit</v>
      </c>
      <c r="BE149" t="str">
        <f t="shared" si="262"/>
        <v>Zone_Exit</v>
      </c>
      <c r="BF149" t="str">
        <f t="shared" si="263"/>
        <v>ZoneExit-Pass</v>
      </c>
      <c r="BG149" t="str">
        <f t="shared" si="22"/>
        <v>s</v>
      </c>
      <c r="BH149" cm="1">
        <f t="array" ref="BH149">IFERROR(_xlfn._xlws.FILTER(shifts!A:A,(shifts!B:B=events!Z149)*(shifts!AG:AG&gt;=events!BJ149)*(shifts!AH:AH&lt;=events!BK149)),BH148)</f>
        <v>4</v>
      </c>
      <c r="BI149" s="15">
        <f t="shared" si="264"/>
        <v>0</v>
      </c>
      <c r="BJ149">
        <f t="shared" si="265"/>
        <v>957</v>
      </c>
      <c r="BK149">
        <f t="shared" si="266"/>
        <v>957</v>
      </c>
      <c r="BL149" s="15">
        <f>SUMIFS(BI$2:BI149,K$2:K149,"=Intermission")+SUMIFS(BI$2:BI149,K$2:K149,"=Timeout")</f>
        <v>0</v>
      </c>
      <c r="BM149">
        <f t="shared" si="267"/>
        <v>0</v>
      </c>
      <c r="BN149" s="19">
        <f t="shared" si="268"/>
        <v>123</v>
      </c>
      <c r="BO149">
        <f t="shared" si="269"/>
        <v>118</v>
      </c>
      <c r="BP149" s="17">
        <f t="shared" si="270"/>
        <v>123</v>
      </c>
      <c r="BQ149" t="str">
        <f t="shared" si="271"/>
        <v>event_team_player_2</v>
      </c>
      <c r="BR149">
        <f>COUNTIFS(S$3:S149,"="&amp;S149,AH$3:AH149,"="&amp;AH149)</f>
        <v>2</v>
      </c>
      <c r="BS149" t="str">
        <f>IFERROR(VLOOKUP(BA149&amp;BT149&amp;X149,game_rosters!U:W,3,FALSE),"")</f>
        <v>P100230</v>
      </c>
      <c r="BT149" t="str">
        <f t="shared" si="272"/>
        <v>Velodrome</v>
      </c>
    </row>
    <row r="150" spans="1:72" x14ac:dyDescent="0.2">
      <c r="A150" t="str">
        <f t="shared" si="247"/>
        <v>x</v>
      </c>
      <c r="D150" s="26" t="s">
        <v>729</v>
      </c>
      <c r="E150" s="4"/>
      <c r="F150" s="45"/>
      <c r="G150" s="4"/>
      <c r="H150" s="47"/>
      <c r="J150" s="26" t="str">
        <f t="shared" si="274"/>
        <v/>
      </c>
      <c r="N150" t="str">
        <f t="shared" si="291"/>
        <v/>
      </c>
      <c r="Q150" t="str">
        <f t="shared" si="285"/>
        <v/>
      </c>
      <c r="S150">
        <f>IF(A150=1,MAX($S$2:$S149)+1,IF(OR($I150&lt;&gt;"",A150="x"),$S149,""))</f>
        <v>78</v>
      </c>
      <c r="T150">
        <f>IF(D150=1,MAX($T$2:$T149)+1,IF(S150=S149,$T149,IF(D150="x",T149,IF(D149="x","",""))))</f>
        <v>10</v>
      </c>
      <c r="U150" t="str">
        <f>IF(B150=1,MAX($U$2:$U149)+1,IF(AND($T150&lt;&gt;"",$T150=$T149),$U149,IF(B150="x",U149,"")))</f>
        <v/>
      </c>
      <c r="V150" t="str">
        <f>IF(C150=1,MAX($V$2:$V149)+1,IF(AND($T150&lt;&gt;"",$T150=$T149),$U149,IF(C150="x",V149,"")))</f>
        <v/>
      </c>
      <c r="W150" t="str" cm="1">
        <f t="array" ref="W150">IFERROR(_xlfn._xlws.FILTER(game_rosters!AC:AC,(game_rosters!J:J=events!X150)*(K150&lt;&gt;"")),"")</f>
        <v/>
      </c>
      <c r="X150" cm="1">
        <f t="array" ref="X150">IF($I150&lt;&gt;"",$I150,INDEX($I$1:$I150,ROW()-COUNTIFS($T$1:$T150,"="&amp;$T150,$S$1:$S150,"&lt;"&amp;$S150)))</f>
        <v>21</v>
      </c>
      <c r="Y150" t="str" cm="1">
        <f t="array" ref="Y150">IFERROR(IF(_xlfn._xlws.FILTER(game_rosters!$J:$J,(game_rosters!$G:$G=events!$AM150)*(game_rosters!$J:$J=events!$X150))&gt;0,1,""),"")</f>
        <v/>
      </c>
      <c r="Z150" s="6">
        <f t="shared" si="248"/>
        <v>1</v>
      </c>
      <c r="AA150">
        <f t="shared" si="249"/>
        <v>1078</v>
      </c>
      <c r="AB150">
        <f t="shared" si="250"/>
        <v>9010</v>
      </c>
      <c r="AC150">
        <f t="shared" si="251"/>
        <v>9010</v>
      </c>
      <c r="AD150" t="str">
        <f t="shared" si="252"/>
        <v>15</v>
      </c>
      <c r="AE150" t="str">
        <f t="shared" si="253"/>
        <v>57</v>
      </c>
      <c r="AF150" t="str">
        <f t="shared" si="254"/>
        <v/>
      </c>
      <c r="AG150" t="str">
        <f t="shared" si="255"/>
        <v/>
      </c>
      <c r="AH150" t="str">
        <f t="shared" si="194"/>
        <v>o</v>
      </c>
      <c r="AI150" t="str">
        <f t="shared" si="279"/>
        <v>d</v>
      </c>
      <c r="AJ150" t="str">
        <f t="shared" si="279"/>
        <v>d</v>
      </c>
      <c r="AK150" t="str">
        <f t="shared" si="196"/>
        <v/>
      </c>
      <c r="AL150" t="str">
        <f t="shared" si="197"/>
        <v/>
      </c>
      <c r="AM150" t="str">
        <f t="shared" si="256"/>
        <v>Away</v>
      </c>
      <c r="AN150" t="str">
        <f t="shared" si="198"/>
        <v>a</v>
      </c>
      <c r="AO150" t="str">
        <f t="shared" si="199"/>
        <v>o</v>
      </c>
      <c r="AP150" t="str">
        <f t="shared" si="200"/>
        <v>d</v>
      </c>
      <c r="AQ150" t="str">
        <f>IF(AM150&lt;&gt;"",AM150,IF($AC150=#REF!,#REF!,""))</f>
        <v>Away</v>
      </c>
      <c r="AR150" t="str">
        <f t="shared" si="201"/>
        <v>a</v>
      </c>
      <c r="AS150" t="str">
        <f t="shared" si="202"/>
        <v>Defensive</v>
      </c>
      <c r="AT150" t="str">
        <f t="shared" si="257"/>
        <v/>
      </c>
      <c r="AU150" t="str">
        <f t="shared" si="258"/>
        <v/>
      </c>
      <c r="AV150" t="str" cm="1">
        <f t="array" ref="AV150">IFERROR(IF(O150&lt;&gt;"",O150,IF(OR($S150="",$T150=""),"",IF(O150&lt;&gt;"",O150,IF($T150&lt;&gt;"",_xlfn._xlws.FILTER(O:O,($BT:$BT=$BT150)*($I:$I=$I150)*($T:$T=$T150)*($S:$S=_xlfn.MINIFS($S:$S,$T:$T,"="&amp;$T150)),"")))))&amp;"",IF(O150="","",""))&amp;""</f>
        <v/>
      </c>
      <c r="AW150" t="str" cm="1">
        <f t="array" ref="AW150">IFERROR(IF(P150&lt;&gt;"",P150,IF(OR($S150="",$T150=""),"",IF($T150&lt;&gt;"",_xlfn._xlws.FILTER(P:P,($BT:$BT=$BT150)*($I:$I=$I150)*($T:$T=$T150)*($S:$S=_xlfn.MINIFS($S:$S,$T:$T,"="&amp;$T150)),""))))&amp;"",IF(P150="","",""))&amp;""</f>
        <v/>
      </c>
      <c r="AX150" t="str" cm="1">
        <f t="array" ref="AX150">IFERROR(IF(Q150&lt;&gt;"",Q150,IF(OR($S150="",$T150=""),"",IF($T150&lt;&gt;"",_xlfn._xlws.FILTER(Q:Q,($BT:$BT=$BT150)*($I:$I=$I150)*($T:$T=$T150)*($S:$S=_xlfn.MINIFS($S:$S,$T:$T,"="&amp;$T150)),""))))&amp;"",IF(Q150="","",""))&amp;""</f>
        <v/>
      </c>
      <c r="AY150" t="str" cm="1">
        <f t="array" ref="AY150">IFERROR(IF(R150&lt;&gt;"",R150,IF(OR($S150="",$T150=""),"",IF($T150&lt;&gt;"",_xlfn._xlws.FILTER(R:R,($BT:$BT=$BT150)*($I:$I=$I150)*($T:$T=$T150)*($S:$S=_xlfn.MINIFS($S:$S,$T:$T,"="&amp;$T150)),""))))&amp;"",IF(R150="","",""))&amp;""</f>
        <v/>
      </c>
      <c r="AZ150" s="6">
        <f t="shared" si="259"/>
        <v>15</v>
      </c>
      <c r="BA150">
        <f t="shared" ref="BA150:BC150" si="293">BA149</f>
        <v>18991</v>
      </c>
      <c r="BB150" t="str">
        <f t="shared" si="293"/>
        <v>Triple J</v>
      </c>
      <c r="BC150" t="str">
        <f t="shared" si="293"/>
        <v>Velodrome</v>
      </c>
      <c r="BD150" t="str">
        <f t="shared" si="261"/>
        <v>Zone_Entry_Exit</v>
      </c>
      <c r="BE150" t="str">
        <f t="shared" si="262"/>
        <v>Zone_Exit</v>
      </c>
      <c r="BF150" t="str">
        <f t="shared" si="263"/>
        <v>ZoneExit-Pass</v>
      </c>
      <c r="BG150" t="str">
        <f t="shared" si="22"/>
        <v>s</v>
      </c>
      <c r="BH150" cm="1">
        <f t="array" ref="BH150">IFERROR(_xlfn._xlws.FILTER(shifts!A:A,(shifts!B:B=events!Z150)*(shifts!AG:AG&gt;=events!BJ150)*(shifts!AH:AH&lt;=events!BK150)),BH149)</f>
        <v>4</v>
      </c>
      <c r="BI150" s="15">
        <f t="shared" si="264"/>
        <v>0</v>
      </c>
      <c r="BJ150">
        <f t="shared" si="265"/>
        <v>957</v>
      </c>
      <c r="BK150">
        <f t="shared" si="266"/>
        <v>957</v>
      </c>
      <c r="BL150" s="15">
        <f>SUMIFS(BI$2:BI150,K$2:K150,"=Intermission")+SUMIFS(BI$2:BI150,K$2:K150,"=Timeout")</f>
        <v>0</v>
      </c>
      <c r="BM150">
        <f t="shared" si="267"/>
        <v>0</v>
      </c>
      <c r="BN150" s="19">
        <f t="shared" si="268"/>
        <v>123</v>
      </c>
      <c r="BO150">
        <f t="shared" si="269"/>
        <v>118</v>
      </c>
      <c r="BP150" s="17">
        <f t="shared" si="270"/>
        <v>123</v>
      </c>
      <c r="BQ150" t="str">
        <f t="shared" si="271"/>
        <v>opp_team_player_1</v>
      </c>
      <c r="BR150">
        <f>COUNTIFS(S$3:S150,"="&amp;S150,AH$3:AH150,"="&amp;AH150)</f>
        <v>1</v>
      </c>
      <c r="BS150" t="str">
        <f>IFERROR(VLOOKUP(BA150&amp;BT150&amp;X150,game_rosters!U:W,3,FALSE),"")</f>
        <v>P100019</v>
      </c>
      <c r="BT150" t="str">
        <f t="shared" si="272"/>
        <v>Triple J</v>
      </c>
    </row>
    <row r="151" spans="1:72" x14ac:dyDescent="0.2">
      <c r="A151">
        <f t="shared" si="247"/>
        <v>1</v>
      </c>
      <c r="D151" s="26">
        <v>1</v>
      </c>
      <c r="E151" s="4"/>
      <c r="F151" s="45" t="s">
        <v>733</v>
      </c>
      <c r="G151" s="4"/>
      <c r="H151" s="47"/>
      <c r="I151" s="26">
        <v>57</v>
      </c>
      <c r="J151" s="26" t="s">
        <v>734</v>
      </c>
      <c r="K151" t="s">
        <v>9</v>
      </c>
      <c r="L151" t="s">
        <v>183</v>
      </c>
      <c r="M151" t="s">
        <v>80</v>
      </c>
      <c r="N151" t="s">
        <v>595</v>
      </c>
      <c r="O151" t="s">
        <v>156</v>
      </c>
      <c r="Q151" t="str">
        <f t="shared" si="285"/>
        <v>s</v>
      </c>
      <c r="S151">
        <f>IF(A151=1,MAX($S$2:$S150)+1,IF(OR($I151&lt;&gt;"",A151="x"),$S150,""))</f>
        <v>79</v>
      </c>
      <c r="T151">
        <f>IF(D151=1,MAX($T$2:$T150)+1,IF(S151=S150,$T150,IF(D151="x",T150,IF(D150="x","",""))))</f>
        <v>11</v>
      </c>
      <c r="U151" t="str">
        <f>IF(B151=1,MAX($U$2:$U150)+1,IF(AND($T151&lt;&gt;"",$T151=$T150),$U150,IF(B151="x",U150,"")))</f>
        <v/>
      </c>
      <c r="V151" t="str">
        <f>IF(C151=1,MAX($V$2:$V150)+1,IF(AND($T151&lt;&gt;"",$T151=$T150),$U150,IF(C151="x",V150,"")))</f>
        <v/>
      </c>
      <c r="W151" t="str" cm="1">
        <f t="array" ref="W151">IFERROR(_xlfn._xlws.FILTER(game_rosters!AC:AC,(game_rosters!J:J=events!X151)*(K151&lt;&gt;"")),"")</f>
        <v>h</v>
      </c>
      <c r="X151" cm="1">
        <f t="array" ref="X151">IF($I151&lt;&gt;"",$I151,INDEX($I$1:$I151,ROW()-COUNTIFS($T$1:$T151,"="&amp;$T151,$S$1:$S151,"&lt;"&amp;$S151)))</f>
        <v>57</v>
      </c>
      <c r="Y151" cm="1">
        <f t="array" ref="Y151">IFERROR(IF(_xlfn._xlws.FILTER(game_rosters!$J:$J,(game_rosters!$G:$G=events!$AM151)*(game_rosters!$J:$J=events!$X151))&gt;0,1,""),"")</f>
        <v>1</v>
      </c>
      <c r="Z151" s="6">
        <f t="shared" si="248"/>
        <v>1</v>
      </c>
      <c r="AA151">
        <f t="shared" si="249"/>
        <v>1079</v>
      </c>
      <c r="AB151">
        <f t="shared" si="250"/>
        <v>9011</v>
      </c>
      <c r="AC151">
        <f t="shared" si="251"/>
        <v>9011</v>
      </c>
      <c r="AD151" t="str">
        <f t="shared" si="252"/>
        <v>15</v>
      </c>
      <c r="AE151" t="str">
        <f t="shared" si="253"/>
        <v>56</v>
      </c>
      <c r="AF151" t="str">
        <f t="shared" si="254"/>
        <v/>
      </c>
      <c r="AG151" t="str">
        <f t="shared" si="255"/>
        <v/>
      </c>
      <c r="AH151" t="str">
        <f t="shared" si="194"/>
        <v>e</v>
      </c>
      <c r="AI151" t="str">
        <f t="shared" si="279"/>
        <v>n</v>
      </c>
      <c r="AJ151" t="str">
        <f t="shared" si="279"/>
        <v>n</v>
      </c>
      <c r="AK151" t="str">
        <f t="shared" si="196"/>
        <v>n</v>
      </c>
      <c r="AL151" t="str">
        <f t="shared" si="197"/>
        <v>n</v>
      </c>
      <c r="AM151" t="str">
        <f t="shared" si="256"/>
        <v>Home</v>
      </c>
      <c r="AN151" t="str">
        <f t="shared" si="198"/>
        <v>h</v>
      </c>
      <c r="AO151" t="str">
        <f t="shared" si="199"/>
        <v>n</v>
      </c>
      <c r="AP151" t="str">
        <f t="shared" si="200"/>
        <v>n</v>
      </c>
      <c r="AQ151" t="str">
        <f>IF(AM151&lt;&gt;"",AM151,IF($AC151=#REF!,#REF!,""))</f>
        <v>Home</v>
      </c>
      <c r="AR151" t="str">
        <f t="shared" si="201"/>
        <v>h</v>
      </c>
      <c r="AS151" t="str">
        <f t="shared" si="202"/>
        <v>Defensive</v>
      </c>
      <c r="AT151" t="str">
        <f t="shared" si="257"/>
        <v/>
      </c>
      <c r="AU151" t="str">
        <f t="shared" si="258"/>
        <v/>
      </c>
      <c r="AV151" t="str" cm="1">
        <f t="array" ref="AV151">IFERROR(IF(O151&lt;&gt;"",O151,IF(OR($S151="",$T151=""),"",IF(O151&lt;&gt;"",O151,IF($T151&lt;&gt;"",_xlfn._xlws.FILTER(O:O,($BT:$BT=$BT151)*($I:$I=$I151)*($T:$T=$T151)*($S:$S=_xlfn.MINIFS($S:$S,$T:$T,"="&amp;$T151)),"")))))&amp;"",IF(O151="","",""))&amp;""</f>
        <v>PokeCheck</v>
      </c>
      <c r="AW151" t="str" cm="1">
        <f t="array" ref="AW151">IFERROR(IF(P151&lt;&gt;"",P151,IF(OR($S151="",$T151=""),"",IF($T151&lt;&gt;"",_xlfn._xlws.FILTER(P:P,($BT:$BT=$BT151)*($I:$I=$I151)*($T:$T=$T151)*($S:$S=_xlfn.MINIFS($S:$S,$T:$T,"="&amp;$T151)),""))))&amp;"",IF(P151="","",""))&amp;""</f>
        <v/>
      </c>
      <c r="AX151" t="str" cm="1">
        <f t="array" ref="AX151">IFERROR(IF(Q151&lt;&gt;"",Q151,IF(OR($S151="",$T151=""),"",IF($T151&lt;&gt;"",_xlfn._xlws.FILTER(Q:Q,($BT:$BT=$BT151)*($I:$I=$I151)*($T:$T=$T151)*($S:$S=_xlfn.MINIFS($S:$S,$T:$T,"="&amp;$T151)),""))))&amp;"",IF(Q151="","",""))&amp;""</f>
        <v>s</v>
      </c>
      <c r="AY151" t="str" cm="1">
        <f t="array" ref="AY151">IFERROR(IF(R151&lt;&gt;"",R151,IF(OR($S151="",$T151=""),"",IF($T151&lt;&gt;"",_xlfn._xlws.FILTER(R:R,($BT:$BT=$BT151)*($I:$I=$I151)*($T:$T=$T151)*($S:$S=_xlfn.MINIFS($S:$S,$T:$T,"="&amp;$T151)),""))))&amp;"",IF(R151="","",""))&amp;""</f>
        <v/>
      </c>
      <c r="AZ151" s="6">
        <f t="shared" si="259"/>
        <v>15</v>
      </c>
      <c r="BA151">
        <f t="shared" ref="BA151:BC151" si="294">BA150</f>
        <v>18991</v>
      </c>
      <c r="BB151" t="str">
        <f t="shared" si="294"/>
        <v>Triple J</v>
      </c>
      <c r="BC151" t="str">
        <f t="shared" si="294"/>
        <v>Velodrome</v>
      </c>
      <c r="BD151" t="str">
        <f t="shared" si="261"/>
        <v>Turnover</v>
      </c>
      <c r="BE151" t="str">
        <f t="shared" si="262"/>
        <v>Turnover_Takeaway</v>
      </c>
      <c r="BF151" t="str">
        <f t="shared" si="263"/>
        <v>Takeaway-PokeCheck</v>
      </c>
      <c r="BG151" t="str">
        <f t="shared" si="22"/>
        <v>s</v>
      </c>
      <c r="BH151" cm="1">
        <f t="array" ref="BH151">IFERROR(_xlfn._xlws.FILTER(shifts!A:A,(shifts!B:B=events!Z151)*(shifts!AG:AG&gt;=events!BJ151)*(shifts!AH:AH&lt;=events!BK151)),BH150)</f>
        <v>4</v>
      </c>
      <c r="BI151" s="15">
        <f t="shared" si="264"/>
        <v>0</v>
      </c>
      <c r="BJ151">
        <f t="shared" si="265"/>
        <v>956</v>
      </c>
      <c r="BK151">
        <f t="shared" si="266"/>
        <v>956</v>
      </c>
      <c r="BL151" s="15">
        <f>SUMIFS(BI$2:BI151,K$2:K151,"=Intermission")+SUMIFS(BI$2:BI151,K$2:K151,"=Timeout")</f>
        <v>0</v>
      </c>
      <c r="BM151">
        <f t="shared" si="267"/>
        <v>0</v>
      </c>
      <c r="BN151" s="19">
        <f t="shared" si="268"/>
        <v>124</v>
      </c>
      <c r="BO151">
        <f t="shared" si="269"/>
        <v>119</v>
      </c>
      <c r="BP151" s="17">
        <f t="shared" si="270"/>
        <v>124</v>
      </c>
      <c r="BQ151" t="str">
        <f t="shared" si="271"/>
        <v>event_team_player_1</v>
      </c>
      <c r="BR151">
        <f>COUNTIFS(S$3:S151,"="&amp;S151,AH$3:AH151,"="&amp;AH151)</f>
        <v>1</v>
      </c>
      <c r="BS151" t="str">
        <f>IFERROR(VLOOKUP(BA151&amp;BT151&amp;X151,game_rosters!U:W,3,FALSE),"")</f>
        <v>P100007</v>
      </c>
      <c r="BT151" t="str">
        <f t="shared" si="272"/>
        <v>Triple J</v>
      </c>
    </row>
    <row r="152" spans="1:72" x14ac:dyDescent="0.2">
      <c r="A152" t="str">
        <f t="shared" si="247"/>
        <v>x</v>
      </c>
      <c r="D152" s="26" t="s">
        <v>729</v>
      </c>
      <c r="E152" s="4"/>
      <c r="F152" s="45"/>
      <c r="G152" s="4"/>
      <c r="H152" s="47"/>
      <c r="I152" s="26">
        <v>24</v>
      </c>
      <c r="J152" s="26" t="str">
        <f t="shared" si="274"/>
        <v/>
      </c>
      <c r="N152" t="str">
        <f t="shared" si="291"/>
        <v/>
      </c>
      <c r="O152" t="s">
        <v>785</v>
      </c>
      <c r="Q152" t="str">
        <f t="shared" si="285"/>
        <v>u</v>
      </c>
      <c r="S152">
        <f>IF(A152=1,MAX($S$2:$S151)+1,IF(OR($I152&lt;&gt;"",A152="x"),$S151,""))</f>
        <v>79</v>
      </c>
      <c r="T152">
        <f>IF(D152=1,MAX($T$2:$T151)+1,IF(S152=S151,$T151,IF(D152="x",T151,IF(D151="x","",""))))</f>
        <v>11</v>
      </c>
      <c r="U152" t="str">
        <f>IF(B152=1,MAX($U$2:$U151)+1,IF(AND($T152&lt;&gt;"",$T152=$T151),$U151,IF(B152="x",U151,"")))</f>
        <v/>
      </c>
      <c r="V152" t="str">
        <f>IF(C152=1,MAX($V$2:$V151)+1,IF(AND($T152&lt;&gt;"",$T152=$T151),$U151,IF(C152="x",V151,"")))</f>
        <v/>
      </c>
      <c r="W152" t="str" cm="1">
        <f t="array" ref="W152">IFERROR(_xlfn._xlws.FILTER(game_rosters!AC:AC,(game_rosters!J:J=events!X152)*(K152&lt;&gt;"")),"")</f>
        <v/>
      </c>
      <c r="X152" cm="1">
        <f t="array" ref="X152">IF($I152&lt;&gt;"",$I152,INDEX($I$1:$I152,ROW()-COUNTIFS($T$1:$T152,"="&amp;$T152,$S$1:$S152,"&lt;"&amp;$S152)))</f>
        <v>24</v>
      </c>
      <c r="Y152" t="str" cm="1">
        <f t="array" ref="Y152">IFERROR(IF(_xlfn._xlws.FILTER(game_rosters!$J:$J,(game_rosters!$G:$G=events!$AM152)*(game_rosters!$J:$J=events!$X152))&gt;0,1,""),"")</f>
        <v/>
      </c>
      <c r="Z152" s="6">
        <f t="shared" si="248"/>
        <v>1</v>
      </c>
      <c r="AA152">
        <f t="shared" si="249"/>
        <v>1079</v>
      </c>
      <c r="AB152">
        <f t="shared" si="250"/>
        <v>9011</v>
      </c>
      <c r="AC152">
        <f t="shared" si="251"/>
        <v>9011</v>
      </c>
      <c r="AD152" t="str">
        <f t="shared" si="252"/>
        <v>15</v>
      </c>
      <c r="AE152" t="str">
        <f t="shared" si="253"/>
        <v>56</v>
      </c>
      <c r="AF152" t="str">
        <f t="shared" si="254"/>
        <v/>
      </c>
      <c r="AG152" t="str">
        <f t="shared" si="255"/>
        <v/>
      </c>
      <c r="AH152" t="str">
        <f t="shared" si="194"/>
        <v>o</v>
      </c>
      <c r="AI152" t="str">
        <f t="shared" si="279"/>
        <v>n</v>
      </c>
      <c r="AJ152" t="str">
        <f t="shared" si="279"/>
        <v>n</v>
      </c>
      <c r="AK152" t="str">
        <f t="shared" si="196"/>
        <v/>
      </c>
      <c r="AL152" t="str">
        <f t="shared" si="197"/>
        <v/>
      </c>
      <c r="AM152" t="str">
        <f t="shared" si="256"/>
        <v>Home</v>
      </c>
      <c r="AN152" t="str">
        <f t="shared" si="198"/>
        <v>h</v>
      </c>
      <c r="AO152" t="str">
        <f t="shared" si="199"/>
        <v>n</v>
      </c>
      <c r="AP152" t="str">
        <f t="shared" si="200"/>
        <v>n</v>
      </c>
      <c r="AQ152" t="str">
        <f>IF(AM152&lt;&gt;"",AM152,IF($AC152=#REF!,#REF!,""))</f>
        <v>Home</v>
      </c>
      <c r="AR152" t="str">
        <f t="shared" si="201"/>
        <v>h</v>
      </c>
      <c r="AS152" t="str">
        <f t="shared" si="202"/>
        <v>Offensive</v>
      </c>
      <c r="AT152" t="str">
        <f t="shared" si="257"/>
        <v/>
      </c>
      <c r="AU152" t="str">
        <f t="shared" si="258"/>
        <v/>
      </c>
      <c r="AV152" t="str" cm="1">
        <f t="array" ref="AV152">IFERROR(IF(O152&lt;&gt;"",O152,IF(OR($S152="",$T152=""),"",IF(O152&lt;&gt;"",O152,IF($T152&lt;&gt;"",_xlfn._xlws.FILTER(O:O,($BT:$BT=$BT152)*($I:$I=$I152)*($T:$T=$T152)*($S:$S=_xlfn.MINIFS($S:$S,$T:$T,"="&amp;$T152)),"")))))&amp;"",IF(O152="","",""))&amp;""</f>
        <v>LostPuck</v>
      </c>
      <c r="AW152" t="str" cm="1">
        <f t="array" ref="AW152">IFERROR(IF(P152&lt;&gt;"",P152,IF(OR($S152="",$T152=""),"",IF($T152&lt;&gt;"",_xlfn._xlws.FILTER(P:P,($BT:$BT=$BT152)*($I:$I=$I152)*($T:$T=$T152)*($S:$S=_xlfn.MINIFS($S:$S,$T:$T,"="&amp;$T152)),""))))&amp;"",IF(P152="","",""))&amp;""</f>
        <v/>
      </c>
      <c r="AX152" t="str" cm="1">
        <f t="array" ref="AX152">IFERROR(IF(Q152&lt;&gt;"",Q152,IF(OR($S152="",$T152=""),"",IF($T152&lt;&gt;"",_xlfn._xlws.FILTER(Q:Q,($BT:$BT=$BT152)*($I:$I=$I152)*($T:$T=$T152)*($S:$S=_xlfn.MINIFS($S:$S,$T:$T,"="&amp;$T152)),""))))&amp;"",IF(Q152="","",""))&amp;""</f>
        <v>u</v>
      </c>
      <c r="AY152" t="str" cm="1">
        <f t="array" ref="AY152">IFERROR(IF(R152&lt;&gt;"",R152,IF(OR($S152="",$T152=""),"",IF($T152&lt;&gt;"",_xlfn._xlws.FILTER(R:R,($BT:$BT=$BT152)*($I:$I=$I152)*($T:$T=$T152)*($S:$S=_xlfn.MINIFS($S:$S,$T:$T,"="&amp;$T152)),""))))&amp;"",IF(R152="","",""))&amp;""</f>
        <v/>
      </c>
      <c r="AZ152" s="6">
        <f t="shared" si="259"/>
        <v>15</v>
      </c>
      <c r="BA152">
        <f t="shared" ref="BA152:BC152" si="295">BA151</f>
        <v>18991</v>
      </c>
      <c r="BB152" t="str">
        <f t="shared" si="295"/>
        <v>Triple J</v>
      </c>
      <c r="BC152" t="str">
        <f t="shared" si="295"/>
        <v>Velodrome</v>
      </c>
      <c r="BD152" t="str">
        <f t="shared" si="261"/>
        <v>Turnover</v>
      </c>
      <c r="BE152" t="str">
        <f t="shared" si="262"/>
        <v>Turnover_Takeaway</v>
      </c>
      <c r="BF152" t="str">
        <f t="shared" si="263"/>
        <v>Takeaway-PokeCheck</v>
      </c>
      <c r="BG152" t="str">
        <f t="shared" si="22"/>
        <v>s</v>
      </c>
      <c r="BH152" cm="1">
        <f t="array" ref="BH152">IFERROR(_xlfn._xlws.FILTER(shifts!A:A,(shifts!B:B=events!Z152)*(shifts!AG:AG&gt;=events!BJ152)*(shifts!AH:AH&lt;=events!BK152)),BH151)</f>
        <v>4</v>
      </c>
      <c r="BI152" s="15">
        <f t="shared" si="264"/>
        <v>0</v>
      </c>
      <c r="BJ152">
        <f t="shared" si="265"/>
        <v>956</v>
      </c>
      <c r="BK152">
        <f t="shared" si="266"/>
        <v>956</v>
      </c>
      <c r="BL152" s="15">
        <f>SUMIFS(BI$2:BI152,K$2:K152,"=Intermission")+SUMIFS(BI$2:BI152,K$2:K152,"=Timeout")</f>
        <v>0</v>
      </c>
      <c r="BM152">
        <f t="shared" si="267"/>
        <v>0</v>
      </c>
      <c r="BN152" s="19">
        <f t="shared" si="268"/>
        <v>124</v>
      </c>
      <c r="BO152">
        <f t="shared" si="269"/>
        <v>119</v>
      </c>
      <c r="BP152" s="17">
        <f t="shared" si="270"/>
        <v>124</v>
      </c>
      <c r="BQ152" t="str">
        <f t="shared" si="271"/>
        <v>opp_team_player_1</v>
      </c>
      <c r="BR152">
        <f>COUNTIFS(S$3:S152,"="&amp;S152,AH$3:AH152,"="&amp;AH152)</f>
        <v>1</v>
      </c>
      <c r="BS152" t="str">
        <f>IFERROR(VLOOKUP(BA152&amp;BT152&amp;X152,game_rosters!U:W,3,FALSE),"")</f>
        <v>P100230</v>
      </c>
      <c r="BT152" t="str">
        <f t="shared" si="272"/>
        <v>Velodrome</v>
      </c>
    </row>
    <row r="153" spans="1:72" x14ac:dyDescent="0.2">
      <c r="A153">
        <f t="shared" si="247"/>
        <v>1</v>
      </c>
      <c r="D153" s="26" t="s">
        <v>729</v>
      </c>
      <c r="E153" s="4"/>
      <c r="F153" s="45"/>
      <c r="G153" s="4"/>
      <c r="H153" s="47"/>
      <c r="I153" s="26">
        <v>24</v>
      </c>
      <c r="J153" s="26" t="s">
        <v>734</v>
      </c>
      <c r="K153" t="s">
        <v>238</v>
      </c>
      <c r="L153" t="s">
        <v>174</v>
      </c>
      <c r="M153" t="s">
        <v>390</v>
      </c>
      <c r="N153" t="str">
        <f t="shared" si="291"/>
        <v>u</v>
      </c>
      <c r="Q153" t="str">
        <f t="shared" si="285"/>
        <v/>
      </c>
      <c r="S153">
        <f>IF(A153=1,MAX($S$2:$S152)+1,IF(OR($I153&lt;&gt;"",A153="x"),$S152,""))</f>
        <v>80</v>
      </c>
      <c r="T153">
        <f>IF(D153=1,MAX($T$2:$T152)+1,IF(S153=S152,$T152,IF(D153="x",T152,IF(D152="x","",""))))</f>
        <v>11</v>
      </c>
      <c r="U153" t="str">
        <f>IF(B153=1,MAX($U$2:$U152)+1,IF(AND($T153&lt;&gt;"",$T153=$T152),$U152,IF(B153="x",U152,"")))</f>
        <v/>
      </c>
      <c r="V153" t="str">
        <f>IF(C153=1,MAX($V$2:$V152)+1,IF(AND($T153&lt;&gt;"",$T153=$T152),$U152,IF(C153="x",V152,"")))</f>
        <v/>
      </c>
      <c r="W153" t="str" cm="1">
        <f t="array" ref="W153">IFERROR(_xlfn._xlws.FILTER(game_rosters!AC:AC,(game_rosters!J:J=events!X153)*(K153&lt;&gt;"")),"")</f>
        <v>a</v>
      </c>
      <c r="X153" cm="1">
        <f t="array" ref="X153">IF($I153&lt;&gt;"",$I153,INDEX($I$1:$I153,ROW()-COUNTIFS($T$1:$T153,"="&amp;$T153,$S$1:$S153,"&lt;"&amp;$S153)))</f>
        <v>24</v>
      </c>
      <c r="Y153" cm="1">
        <f t="array" ref="Y153">IFERROR(IF(_xlfn._xlws.FILTER(game_rosters!$J:$J,(game_rosters!$G:$G=events!$AM153)*(game_rosters!$J:$J=events!$X153))&gt;0,1,""),"")</f>
        <v>1</v>
      </c>
      <c r="Z153" s="6">
        <f t="shared" si="248"/>
        <v>1</v>
      </c>
      <c r="AA153">
        <f t="shared" si="249"/>
        <v>1080</v>
      </c>
      <c r="AB153">
        <f t="shared" si="250"/>
        <v>9011</v>
      </c>
      <c r="AC153">
        <f t="shared" si="251"/>
        <v>9011</v>
      </c>
      <c r="AD153" t="str">
        <f t="shared" si="252"/>
        <v>15</v>
      </c>
      <c r="AE153" t="str">
        <f t="shared" si="253"/>
        <v>56</v>
      </c>
      <c r="AF153" t="str">
        <f t="shared" si="254"/>
        <v/>
      </c>
      <c r="AG153" t="str">
        <f t="shared" si="255"/>
        <v/>
      </c>
      <c r="AH153" t="str">
        <f t="shared" si="194"/>
        <v>e</v>
      </c>
      <c r="AI153" t="str">
        <f t="shared" si="279"/>
        <v>n</v>
      </c>
      <c r="AJ153" t="str">
        <f t="shared" si="279"/>
        <v>n</v>
      </c>
      <c r="AK153" t="str">
        <f t="shared" si="196"/>
        <v>n</v>
      </c>
      <c r="AL153" t="str">
        <f t="shared" si="197"/>
        <v>n</v>
      </c>
      <c r="AM153" t="str">
        <f t="shared" si="256"/>
        <v>Away</v>
      </c>
      <c r="AN153" t="str">
        <f t="shared" si="198"/>
        <v>a</v>
      </c>
      <c r="AO153" t="str">
        <f t="shared" si="199"/>
        <v>n</v>
      </c>
      <c r="AP153" t="str">
        <f t="shared" si="200"/>
        <v>n</v>
      </c>
      <c r="AQ153" t="str">
        <f>IF(AM153&lt;&gt;"",AM153,IF($AC153=#REF!,#REF!,""))</f>
        <v>Away</v>
      </c>
      <c r="AR153" t="str">
        <f t="shared" si="201"/>
        <v>a</v>
      </c>
      <c r="AS153" t="str">
        <f t="shared" si="202"/>
        <v>Offensive</v>
      </c>
      <c r="AT153" t="str">
        <f t="shared" si="257"/>
        <v/>
      </c>
      <c r="AU153" t="str">
        <f t="shared" si="258"/>
        <v/>
      </c>
      <c r="AV153" t="str" cm="1">
        <f t="array" ref="AV153">IFERROR(IF(O153&lt;&gt;"",O153,IF(OR($S153="",$T153=""),"",IF(O153&lt;&gt;"",O153,IF($T153&lt;&gt;"",_xlfn._xlws.FILTER(O:O,($BT:$BT=$BT153)*($I:$I=$I153)*($T:$T=$T153)*($S:$S=_xlfn.MINIFS($S:$S,$T:$T,"="&amp;$T153)),"")))))&amp;"",IF(O153="","",""))&amp;""</f>
        <v>LostPuck</v>
      </c>
      <c r="AW153" t="str" cm="1">
        <f t="array" ref="AW153">IFERROR(IF(P153&lt;&gt;"",P153,IF(OR($S153="",$T153=""),"",IF($T153&lt;&gt;"",_xlfn._xlws.FILTER(P:P,($BT:$BT=$BT153)*($I:$I=$I153)*($T:$T=$T153)*($S:$S=_xlfn.MINIFS($S:$S,$T:$T,"="&amp;$T153)),""))))&amp;"",IF(P153="","",""))&amp;""</f>
        <v/>
      </c>
      <c r="AX153" t="str" cm="1">
        <f t="array" ref="AX153">IFERROR(IF(Q153&lt;&gt;"",Q153,IF(OR($S153="",$T153=""),"",IF($T153&lt;&gt;"",_xlfn._xlws.FILTER(Q:Q,($BT:$BT=$BT153)*($I:$I=$I153)*($T:$T=$T153)*($S:$S=_xlfn.MINIFS($S:$S,$T:$T,"="&amp;$T153)),""))))&amp;"",IF(Q153="","",""))&amp;""</f>
        <v>u</v>
      </c>
      <c r="AY153" t="str" cm="1">
        <f t="array" ref="AY153">IFERROR(IF(R153&lt;&gt;"",R153,IF(OR($S153="",$T153=""),"",IF($T153&lt;&gt;"",_xlfn._xlws.FILTER(R:R,($BT:$BT=$BT153)*($I:$I=$I153)*($T:$T=$T153)*($S:$S=_xlfn.MINIFS($S:$S,$T:$T,"="&amp;$T153)),""))))&amp;"",IF(R153="","",""))&amp;""</f>
        <v/>
      </c>
      <c r="AZ153" s="6">
        <f t="shared" si="259"/>
        <v>16</v>
      </c>
      <c r="BA153">
        <f t="shared" ref="BA153:BC153" si="296">BA152</f>
        <v>18991</v>
      </c>
      <c r="BB153" t="str">
        <f t="shared" si="296"/>
        <v>Triple J</v>
      </c>
      <c r="BC153" t="str">
        <f t="shared" si="296"/>
        <v>Velodrome</v>
      </c>
      <c r="BD153" t="str">
        <f t="shared" si="261"/>
        <v>Zone_Entry_Exit</v>
      </c>
      <c r="BE153" t="str">
        <f t="shared" si="262"/>
        <v>Zone_Entry</v>
      </c>
      <c r="BF153" t="str">
        <f t="shared" si="263"/>
        <v>ZoneEntry-PassMiss/Misplay</v>
      </c>
      <c r="BG153" t="str">
        <f t="shared" si="22"/>
        <v>u</v>
      </c>
      <c r="BH153" cm="1">
        <f t="array" ref="BH153">IFERROR(_xlfn._xlws.FILTER(shifts!A:A,(shifts!B:B=events!Z153)*(shifts!AG:AG&gt;=events!BJ153)*(shifts!AH:AH&lt;=events!BK153)),BH152)</f>
        <v>4</v>
      </c>
      <c r="BI153" s="15">
        <f t="shared" si="264"/>
        <v>0</v>
      </c>
      <c r="BJ153">
        <f t="shared" si="265"/>
        <v>956</v>
      </c>
      <c r="BK153">
        <f t="shared" si="266"/>
        <v>956</v>
      </c>
      <c r="BL153" s="15">
        <f>SUMIFS(BI$2:BI153,K$2:K153,"=Intermission")+SUMIFS(BI$2:BI153,K$2:K153,"=Timeout")</f>
        <v>0</v>
      </c>
      <c r="BM153">
        <f t="shared" si="267"/>
        <v>0</v>
      </c>
      <c r="BN153" s="19">
        <f t="shared" si="268"/>
        <v>124</v>
      </c>
      <c r="BO153">
        <f t="shared" si="269"/>
        <v>119</v>
      </c>
      <c r="BP153" s="17">
        <f t="shared" si="270"/>
        <v>124</v>
      </c>
      <c r="BQ153" t="str">
        <f t="shared" si="271"/>
        <v>event_team_player_1</v>
      </c>
      <c r="BR153">
        <f>COUNTIFS(S$3:S153,"="&amp;S153,AH$3:AH153,"="&amp;AH153)</f>
        <v>1</v>
      </c>
      <c r="BS153" t="str">
        <f>IFERROR(VLOOKUP(BA153&amp;BT153&amp;X153,game_rosters!U:W,3,FALSE),"")</f>
        <v>P100230</v>
      </c>
      <c r="BT153" t="str">
        <f t="shared" si="272"/>
        <v>Velodrome</v>
      </c>
    </row>
    <row r="154" spans="1:72" x14ac:dyDescent="0.2">
      <c r="A154" t="str">
        <f t="shared" si="247"/>
        <v>x</v>
      </c>
      <c r="D154" s="26" t="s">
        <v>729</v>
      </c>
      <c r="E154" s="4"/>
      <c r="F154" s="45"/>
      <c r="G154" s="4"/>
      <c r="H154" s="47"/>
      <c r="I154" s="26">
        <v>57</v>
      </c>
      <c r="J154" s="26" t="str">
        <f t="shared" si="274"/>
        <v/>
      </c>
      <c r="N154" t="str">
        <f t="shared" si="291"/>
        <v/>
      </c>
      <c r="Q154" t="str">
        <f t="shared" si="285"/>
        <v/>
      </c>
      <c r="S154">
        <f>IF(A154=1,MAX($S$2:$S153)+1,IF(OR($I154&lt;&gt;"",A154="x"),$S153,""))</f>
        <v>80</v>
      </c>
      <c r="T154">
        <f>IF(D154=1,MAX($T$2:$T153)+1,IF(S154=S153,$T153,IF(D154="x",T153,IF(D153="x","",""))))</f>
        <v>11</v>
      </c>
      <c r="U154" t="str">
        <f>IF(B154=1,MAX($U$2:$U153)+1,IF(AND($T154&lt;&gt;"",$T154=$T153),$U153,IF(B154="x",U153,"")))</f>
        <v/>
      </c>
      <c r="V154" t="str">
        <f>IF(C154=1,MAX($V$2:$V153)+1,IF(AND($T154&lt;&gt;"",$T154=$T153),$U153,IF(C154="x",V153,"")))</f>
        <v/>
      </c>
      <c r="W154" t="str" cm="1">
        <f t="array" ref="W154">IFERROR(_xlfn._xlws.FILTER(game_rosters!AC:AC,(game_rosters!J:J=events!X154)*(K154&lt;&gt;"")),"")</f>
        <v/>
      </c>
      <c r="X154" cm="1">
        <f t="array" ref="X154">IF($I154&lt;&gt;"",$I154,INDEX($I$1:$I154,ROW()-COUNTIFS($T$1:$T154,"="&amp;$T154,$S$1:$S154,"&lt;"&amp;$S154)))</f>
        <v>57</v>
      </c>
      <c r="Y154" t="str" cm="1">
        <f t="array" ref="Y154">IFERROR(IF(_xlfn._xlws.FILTER(game_rosters!$J:$J,(game_rosters!$G:$G=events!$AM154)*(game_rosters!$J:$J=events!$X154))&gt;0,1,""),"")</f>
        <v/>
      </c>
      <c r="Z154" s="6">
        <f t="shared" si="248"/>
        <v>1</v>
      </c>
      <c r="AA154">
        <f t="shared" si="249"/>
        <v>1080</v>
      </c>
      <c r="AB154">
        <f t="shared" si="250"/>
        <v>9011</v>
      </c>
      <c r="AC154">
        <f t="shared" si="251"/>
        <v>9011</v>
      </c>
      <c r="AD154" t="str">
        <f t="shared" si="252"/>
        <v>15</v>
      </c>
      <c r="AE154" t="str">
        <f t="shared" si="253"/>
        <v>56</v>
      </c>
      <c r="AF154" t="str">
        <f t="shared" si="254"/>
        <v/>
      </c>
      <c r="AG154" t="str">
        <f t="shared" si="255"/>
        <v/>
      </c>
      <c r="AH154" t="str">
        <f t="shared" si="194"/>
        <v>o</v>
      </c>
      <c r="AI154" t="str">
        <f t="shared" si="279"/>
        <v>n</v>
      </c>
      <c r="AJ154" t="str">
        <f t="shared" si="279"/>
        <v>n</v>
      </c>
      <c r="AK154" t="str">
        <f t="shared" si="196"/>
        <v/>
      </c>
      <c r="AL154" t="str">
        <f t="shared" si="197"/>
        <v/>
      </c>
      <c r="AM154" t="str">
        <f t="shared" si="256"/>
        <v>Away</v>
      </c>
      <c r="AN154" t="str">
        <f t="shared" si="198"/>
        <v>a</v>
      </c>
      <c r="AO154" t="str">
        <f t="shared" si="199"/>
        <v>n</v>
      </c>
      <c r="AP154" t="str">
        <f t="shared" si="200"/>
        <v>n</v>
      </c>
      <c r="AQ154" t="str">
        <f>IF(AM154&lt;&gt;"",AM154,IF($AC154=#REF!,#REF!,""))</f>
        <v>Away</v>
      </c>
      <c r="AR154" t="str">
        <f t="shared" si="201"/>
        <v>a</v>
      </c>
      <c r="AS154" t="str">
        <f t="shared" si="202"/>
        <v>Defensive</v>
      </c>
      <c r="AT154" t="str">
        <f t="shared" si="257"/>
        <v/>
      </c>
      <c r="AU154" t="str">
        <f t="shared" si="258"/>
        <v/>
      </c>
      <c r="AV154" t="str" cm="1">
        <f t="array" ref="AV154">IFERROR(IF(O154&lt;&gt;"",O154,IF(OR($S154="",$T154=""),"",IF(O154&lt;&gt;"",O154,IF($T154&lt;&gt;"",_xlfn._xlws.FILTER(O:O,($BT:$BT=$BT154)*($I:$I=$I154)*($T:$T=$T154)*($S:$S=_xlfn.MINIFS($S:$S,$T:$T,"="&amp;$T154)),"")))))&amp;"",IF(O154="","",""))&amp;""</f>
        <v>PokeCheck</v>
      </c>
      <c r="AW154" t="str" cm="1">
        <f t="array" ref="AW154">IFERROR(IF(P154&lt;&gt;"",P154,IF(OR($S154="",$T154=""),"",IF($T154&lt;&gt;"",_xlfn._xlws.FILTER(P:P,($BT:$BT=$BT154)*($I:$I=$I154)*($T:$T=$T154)*($S:$S=_xlfn.MINIFS($S:$S,$T:$T,"="&amp;$T154)),""))))&amp;"",IF(P154="","",""))&amp;""</f>
        <v/>
      </c>
      <c r="AX154" t="str" cm="1">
        <f t="array" ref="AX154">IFERROR(IF(Q154&lt;&gt;"",Q154,IF(OR($S154="",$T154=""),"",IF($T154&lt;&gt;"",_xlfn._xlws.FILTER(Q:Q,($BT:$BT=$BT154)*($I:$I=$I154)*($T:$T=$T154)*($S:$S=_xlfn.MINIFS($S:$S,$T:$T,"="&amp;$T154)),""))))&amp;"",IF(Q154="","",""))&amp;""</f>
        <v>s</v>
      </c>
      <c r="AY154" t="str" cm="1">
        <f t="array" ref="AY154">IFERROR(IF(R154&lt;&gt;"",R154,IF(OR($S154="",$T154=""),"",IF($T154&lt;&gt;"",_xlfn._xlws.FILTER(R:R,($BT:$BT=$BT154)*($I:$I=$I154)*($T:$T=$T154)*($S:$S=_xlfn.MINIFS($S:$S,$T:$T,"="&amp;$T154)),""))))&amp;"",IF(R154="","",""))&amp;""</f>
        <v/>
      </c>
      <c r="AZ154" s="6">
        <f t="shared" si="259"/>
        <v>16</v>
      </c>
      <c r="BA154">
        <f t="shared" ref="BA154:BC154" si="297">BA153</f>
        <v>18991</v>
      </c>
      <c r="BB154" t="str">
        <f t="shared" si="297"/>
        <v>Triple J</v>
      </c>
      <c r="BC154" t="str">
        <f t="shared" si="297"/>
        <v>Velodrome</v>
      </c>
      <c r="BD154" t="str">
        <f t="shared" si="261"/>
        <v>Zone_Entry_Exit</v>
      </c>
      <c r="BE154" t="str">
        <f t="shared" si="262"/>
        <v>Zone_Entry</v>
      </c>
      <c r="BF154" t="str">
        <f t="shared" si="263"/>
        <v>ZoneEntry-PassMiss/Misplay</v>
      </c>
      <c r="BG154" t="str">
        <f t="shared" si="22"/>
        <v>u</v>
      </c>
      <c r="BH154" cm="1">
        <f t="array" ref="BH154">IFERROR(_xlfn._xlws.FILTER(shifts!A:A,(shifts!B:B=events!Z154)*(shifts!AG:AG&gt;=events!BJ154)*(shifts!AH:AH&lt;=events!BK154)),BH153)</f>
        <v>4</v>
      </c>
      <c r="BI154" s="15">
        <f t="shared" si="264"/>
        <v>0</v>
      </c>
      <c r="BJ154">
        <f t="shared" si="265"/>
        <v>956</v>
      </c>
      <c r="BK154">
        <f t="shared" si="266"/>
        <v>956</v>
      </c>
      <c r="BL154" s="15">
        <f>SUMIFS(BI$2:BI154,K$2:K154,"=Intermission")+SUMIFS(BI$2:BI154,K$2:K154,"=Timeout")</f>
        <v>0</v>
      </c>
      <c r="BM154">
        <f t="shared" si="267"/>
        <v>0</v>
      </c>
      <c r="BN154" s="19">
        <f t="shared" si="268"/>
        <v>124</v>
      </c>
      <c r="BO154">
        <f t="shared" si="269"/>
        <v>119</v>
      </c>
      <c r="BP154" s="17">
        <f t="shared" si="270"/>
        <v>124</v>
      </c>
      <c r="BQ154" t="str">
        <f t="shared" si="271"/>
        <v>opp_team_player_1</v>
      </c>
      <c r="BR154">
        <f>COUNTIFS(S$3:S154,"="&amp;S154,AH$3:AH154,"="&amp;AH154)</f>
        <v>1</v>
      </c>
      <c r="BS154" t="str">
        <f>IFERROR(VLOOKUP(BA154&amp;BT154&amp;X154,game_rosters!U:W,3,FALSE),"")</f>
        <v>P100007</v>
      </c>
      <c r="BT154" t="str">
        <f t="shared" si="272"/>
        <v>Triple J</v>
      </c>
    </row>
    <row r="155" spans="1:72" x14ac:dyDescent="0.2">
      <c r="A155">
        <f t="shared" si="247"/>
        <v>1</v>
      </c>
      <c r="E155" s="4"/>
      <c r="F155" s="45" t="s">
        <v>1060</v>
      </c>
      <c r="G155" s="4"/>
      <c r="H155" s="47" t="s">
        <v>1066</v>
      </c>
      <c r="I155" s="26">
        <v>10</v>
      </c>
      <c r="J155" s="26" t="s">
        <v>736</v>
      </c>
      <c r="K155" t="s">
        <v>13</v>
      </c>
      <c r="L155" t="s">
        <v>586</v>
      </c>
      <c r="N155" t="s">
        <v>595</v>
      </c>
      <c r="O155" t="s">
        <v>910</v>
      </c>
      <c r="P155" t="s">
        <v>574</v>
      </c>
      <c r="Q155" t="str">
        <f t="shared" si="285"/>
        <v>s</v>
      </c>
      <c r="R155" s="26">
        <v>1</v>
      </c>
      <c r="S155">
        <f>IF(A155=1,MAX($S$2:$S154)+1,IF(OR($I155&lt;&gt;"",A155="x"),$S154,""))</f>
        <v>81</v>
      </c>
      <c r="T155" t="str">
        <f>IF(D155=1,MAX($T$2:$T154)+1,IF(S155=S154,$T154,IF(D155="x",T154,IF(D154="x","",""))))</f>
        <v/>
      </c>
      <c r="U155" t="str">
        <f>IF(B155=1,MAX($U$2:$U154)+1,IF(AND($T155&lt;&gt;"",$T155=$T154),$U154,IF(B155="x",U154,"")))</f>
        <v/>
      </c>
      <c r="V155" t="str">
        <f>IF(C155=1,MAX($V$2:$V154)+1,IF(AND($T155&lt;&gt;"",$T155=$T154),$U154,IF(C155="x",V154,"")))</f>
        <v/>
      </c>
      <c r="W155" t="str" cm="1">
        <f t="array" ref="W155">IFERROR(_xlfn._xlws.FILTER(game_rosters!AC:AC,(game_rosters!J:J=events!X155)*(K155&lt;&gt;"")),"")</f>
        <v>h</v>
      </c>
      <c r="X155" cm="1">
        <f t="array" ref="X155">IF($I155&lt;&gt;"",$I155,INDEX($I$1:$I155,ROW()-COUNTIFS($T$1:$T155,"="&amp;$T155,$S$1:$S155,"&lt;"&amp;$S155)))</f>
        <v>10</v>
      </c>
      <c r="Y155" cm="1">
        <f t="array" ref="Y155">IFERROR(IF(_xlfn._xlws.FILTER(game_rosters!$J:$J,(game_rosters!$G:$G=events!$AM155)*(game_rosters!$J:$J=events!$X155))&gt;0,1,""),"")</f>
        <v>1</v>
      </c>
      <c r="Z155" s="6">
        <f t="shared" si="248"/>
        <v>1</v>
      </c>
      <c r="AA155">
        <f t="shared" si="249"/>
        <v>1081</v>
      </c>
      <c r="AB155" t="str">
        <f t="shared" si="250"/>
        <v/>
      </c>
      <c r="AC155">
        <f t="shared" si="251"/>
        <v>1081</v>
      </c>
      <c r="AD155" t="str">
        <f t="shared" si="252"/>
        <v>15</v>
      </c>
      <c r="AE155" t="str">
        <f t="shared" si="253"/>
        <v>51</v>
      </c>
      <c r="AF155" t="str">
        <f t="shared" si="254"/>
        <v>15</v>
      </c>
      <c r="AG155" t="str">
        <f t="shared" si="255"/>
        <v>48</v>
      </c>
      <c r="AH155" t="str">
        <f t="shared" ref="AH155:AH218" si="298">IF(Y155="x","",IF(Y155=1,"e","o"))</f>
        <v>e</v>
      </c>
      <c r="AI155" t="str">
        <f t="shared" ref="AI155:AJ170" si="299">IF($J155&lt;&gt;"",$J155,IF($AC155=$AC154,AI154,""))</f>
        <v>d</v>
      </c>
      <c r="AJ155" t="str">
        <f t="shared" si="299"/>
        <v>d</v>
      </c>
      <c r="AK155" t="str">
        <f t="shared" ref="AK155:AK218" si="300">IF($W155="","",IF($AI155="","",IF($W155="h",$AI155,IF($AI155="n","n",IF(AND($W155="a",$AI155="d"),"o",IF(AND($W155="a",$AI155="o"),"d"))))))</f>
        <v>d</v>
      </c>
      <c r="AL155" t="str">
        <f t="shared" ref="AL155:AL218" si="301">IF($W155="","",IF(J155="","",IF(AK155="n","n",IF(AK155="d","o",IF(AK155="o","d","")))))</f>
        <v>o</v>
      </c>
      <c r="AM155" t="str">
        <f t="shared" si="256"/>
        <v>Home</v>
      </c>
      <c r="AN155" t="str">
        <f t="shared" ref="AN155:AN218" si="302">IF($W155&lt;&gt;"",$W155,IF($AC155=AC154,AN154,""))</f>
        <v>h</v>
      </c>
      <c r="AO155" t="str">
        <f t="shared" ref="AO155:AO218" si="303">IF(AK155&lt;&gt;"",AK155,IF($AC155=AC154,AO154,""))</f>
        <v>d</v>
      </c>
      <c r="AP155" t="str">
        <f t="shared" ref="AP155:AP218" si="304">IF(AL155&lt;&gt;"",AL155,IF($AC155=AC154,AP154,""))</f>
        <v>o</v>
      </c>
      <c r="AQ155" t="str">
        <f>IF(AM155&lt;&gt;"",AM155,IF($AC155=#REF!,#REF!,""))</f>
        <v>Home</v>
      </c>
      <c r="AR155" t="str">
        <f t="shared" ref="AR155:AR218" si="305">IF(AN155&lt;&gt;"",AN155,IF($AC155=AC154,AQ154,""))</f>
        <v>h</v>
      </c>
      <c r="AS155" t="str">
        <f t="shared" ref="AS155:AS218" si="306">IF(AND(AH155="e",OR(BD155="Save",BE155="Turnover_Takeaway",BE155="Play_Defensive")),"Defensive",IF(AND(AH155="o",OR(BD155="Save",BE155="Turnover_Takeaway",BE155="Play_Defensive")),"Offensive",IF(OR(BD155="Deadice",BD155="Stoppage",BD155="Intermission"),"",IF(AH155="e","Offensive",IF(AH155="o","Defensive","")))))</f>
        <v>Offensive</v>
      </c>
      <c r="AT155" t="str">
        <f t="shared" si="257"/>
        <v/>
      </c>
      <c r="AU155" t="str">
        <f t="shared" si="258"/>
        <v/>
      </c>
      <c r="AV155" t="str" cm="1">
        <f t="array" ref="AV155">IFERROR(IF(O155&lt;&gt;"",O155,IF(OR($S155="",$T155=""),"",IF(O155&lt;&gt;"",O155,IF($T155&lt;&gt;"",_xlfn._xlws.FILTER(O:O,($BT:$BT=$BT155)*($I:$I=$I155)*($T:$T=$T155)*($S:$S=_xlfn.MINIFS($S:$S,$T:$T,"="&amp;$T155)),"")))))&amp;"",IF(O155="","",""))&amp;""</f>
        <v>PuckRecoveryRetreivalTurnover</v>
      </c>
      <c r="AW155" t="str" cm="1">
        <f t="array" ref="AW155">IFERROR(IF(P155&lt;&gt;"",P155,IF(OR($S155="",$T155=""),"",IF($T155&lt;&gt;"",_xlfn._xlws.FILTER(P:P,($BT:$BT=$BT155)*($I:$I=$I155)*($T:$T=$T155)*($S:$S=_xlfn.MINIFS($S:$S,$T:$T,"="&amp;$T155)),""))))&amp;"",IF(P155="","",""))&amp;""</f>
        <v>Regroup</v>
      </c>
      <c r="AX155" t="str" cm="1">
        <f t="array" ref="AX155">IFERROR(IF(Q155&lt;&gt;"",Q155,IF(OR($S155="",$T155=""),"",IF($T155&lt;&gt;"",_xlfn._xlws.FILTER(Q:Q,($BT:$BT=$BT155)*($I:$I=$I155)*($T:$T=$T155)*($S:$S=_xlfn.MINIFS($S:$S,$T:$T,"="&amp;$T155)),""))))&amp;"",IF(Q155="","",""))&amp;""</f>
        <v>s</v>
      </c>
      <c r="AY155" t="str" cm="1">
        <f t="array" ref="AY155">IFERROR(IF(R155&lt;&gt;"",R155,IF(OR($S155="",$T155=""),"",IF($T155&lt;&gt;"",_xlfn._xlws.FILTER(R:R,($BT:$BT=$BT155)*($I:$I=$I155)*($T:$T=$T155)*($S:$S=_xlfn.MINIFS($S:$S,$T:$T,"="&amp;$T155)),""))))&amp;"",IF(R155="","",""))&amp;""</f>
        <v>1</v>
      </c>
      <c r="AZ155" s="6">
        <f t="shared" si="259"/>
        <v>16</v>
      </c>
      <c r="BA155">
        <f t="shared" ref="BA155:BC155" si="307">BA154</f>
        <v>18991</v>
      </c>
      <c r="BB155" t="str">
        <f t="shared" si="307"/>
        <v>Triple J</v>
      </c>
      <c r="BC155" t="str">
        <f t="shared" si="307"/>
        <v>Velodrome</v>
      </c>
      <c r="BD155" t="str">
        <f t="shared" si="261"/>
        <v>Possession</v>
      </c>
      <c r="BE155" t="str">
        <f t="shared" si="262"/>
        <v>PuckRetrieval</v>
      </c>
      <c r="BF155" t="str">
        <f t="shared" si="263"/>
        <v/>
      </c>
      <c r="BG155" t="str">
        <f t="shared" si="22"/>
        <v>s</v>
      </c>
      <c r="BH155" cm="1">
        <f t="array" ref="BH155">IFERROR(_xlfn._xlws.FILTER(shifts!A:A,(shifts!B:B=events!Z155)*(shifts!AG:AG&gt;=events!BJ155)*(shifts!AH:AH&lt;=events!BK155)),BH154)</f>
        <v>4</v>
      </c>
      <c r="BI155" s="15">
        <f t="shared" si="264"/>
        <v>3</v>
      </c>
      <c r="BJ155">
        <f t="shared" si="265"/>
        <v>951</v>
      </c>
      <c r="BK155">
        <f t="shared" si="266"/>
        <v>948</v>
      </c>
      <c r="BL155" s="15">
        <f>SUMIFS(BI$2:BI155,K$2:K155,"=Intermission")+SUMIFS(BI$2:BI155,K$2:K155,"=Timeout")</f>
        <v>0</v>
      </c>
      <c r="BM155">
        <f t="shared" si="267"/>
        <v>0</v>
      </c>
      <c r="BN155" s="19">
        <f t="shared" si="268"/>
        <v>129</v>
      </c>
      <c r="BO155">
        <f t="shared" si="269"/>
        <v>124</v>
      </c>
      <c r="BP155" s="17">
        <f t="shared" si="270"/>
        <v>132</v>
      </c>
      <c r="BQ155" t="str">
        <f t="shared" si="271"/>
        <v>event_team_player_1</v>
      </c>
      <c r="BR155">
        <f>COUNTIFS(S$3:S155,"="&amp;S155,AH$3:AH155,"="&amp;AH155)</f>
        <v>1</v>
      </c>
      <c r="BS155" t="str">
        <f>IFERROR(VLOOKUP(BA155&amp;BT155&amp;X155,game_rosters!U:W,3,FALSE),"")</f>
        <v>P100183</v>
      </c>
      <c r="BT155" t="str">
        <f t="shared" si="272"/>
        <v>Triple J</v>
      </c>
    </row>
    <row r="156" spans="1:72" x14ac:dyDescent="0.2">
      <c r="A156" t="str">
        <f t="shared" si="247"/>
        <v/>
      </c>
      <c r="E156" s="4"/>
      <c r="F156" s="45"/>
      <c r="G156" s="4"/>
      <c r="H156" s="47"/>
      <c r="I156" s="26">
        <v>87</v>
      </c>
      <c r="J156" s="26" t="str">
        <f t="shared" si="274"/>
        <v/>
      </c>
      <c r="N156" t="str">
        <f t="shared" si="291"/>
        <v/>
      </c>
      <c r="Q156" t="str">
        <f t="shared" si="285"/>
        <v/>
      </c>
      <c r="R156" s="26">
        <v>1</v>
      </c>
      <c r="S156">
        <f>IF(A156=1,MAX($S$2:$S155)+1,IF(OR($I156&lt;&gt;"",A156="x"),$S155,""))</f>
        <v>81</v>
      </c>
      <c r="T156" t="str">
        <f>IF(D156=1,MAX($T$2:$T155)+1,IF(S156=S155,$T155,IF(D156="x",T155,IF(D155="x","",""))))</f>
        <v/>
      </c>
      <c r="U156" t="str">
        <f>IF(B156=1,MAX($U$2:$U155)+1,IF(AND($T156&lt;&gt;"",$T156=$T155),$U155,IF(B156="x",U155,"")))</f>
        <v/>
      </c>
      <c r="V156" t="str">
        <f>IF(C156=1,MAX($V$2:$V155)+1,IF(AND($T156&lt;&gt;"",$T156=$T155),$U155,IF(C156="x",V155,"")))</f>
        <v/>
      </c>
      <c r="W156" t="str" cm="1">
        <f t="array" ref="W156">IFERROR(_xlfn._xlws.FILTER(game_rosters!AC:AC,(game_rosters!J:J=events!X156)*(K156&lt;&gt;"")),"")</f>
        <v/>
      </c>
      <c r="X156" cm="1">
        <f t="array" ref="X156">IF($I156&lt;&gt;"",$I156,INDEX($I$1:$I156,ROW()-COUNTIFS($T$1:$T156,"="&amp;$T156,$S$1:$S156,"&lt;"&amp;$S156)))</f>
        <v>87</v>
      </c>
      <c r="Y156" t="str" cm="1">
        <f t="array" ref="Y156">IFERROR(IF(_xlfn._xlws.FILTER(game_rosters!$J:$J,(game_rosters!$G:$G=events!$AM156)*(game_rosters!$J:$J=events!$X156))&gt;0,1,""),"")</f>
        <v/>
      </c>
      <c r="Z156" s="6">
        <f t="shared" si="248"/>
        <v>1</v>
      </c>
      <c r="AA156">
        <f t="shared" si="249"/>
        <v>1081</v>
      </c>
      <c r="AB156" t="str">
        <f t="shared" si="250"/>
        <v/>
      </c>
      <c r="AC156">
        <f t="shared" si="251"/>
        <v>1081</v>
      </c>
      <c r="AD156" t="str">
        <f t="shared" si="252"/>
        <v>15</v>
      </c>
      <c r="AE156" t="str">
        <f t="shared" si="253"/>
        <v>51</v>
      </c>
      <c r="AF156" t="str">
        <f t="shared" si="254"/>
        <v>15</v>
      </c>
      <c r="AG156" t="str">
        <f t="shared" si="255"/>
        <v>48</v>
      </c>
      <c r="AH156" t="str">
        <f t="shared" si="298"/>
        <v>o</v>
      </c>
      <c r="AI156" t="str">
        <f t="shared" si="299"/>
        <v>d</v>
      </c>
      <c r="AJ156" t="str">
        <f t="shared" si="299"/>
        <v>d</v>
      </c>
      <c r="AK156" t="str">
        <f t="shared" si="300"/>
        <v/>
      </c>
      <c r="AL156" t="str">
        <f t="shared" si="301"/>
        <v/>
      </c>
      <c r="AM156" t="str">
        <f t="shared" si="256"/>
        <v>Home</v>
      </c>
      <c r="AN156" t="str">
        <f t="shared" si="302"/>
        <v>h</v>
      </c>
      <c r="AO156" t="str">
        <f t="shared" si="303"/>
        <v>d</v>
      </c>
      <c r="AP156" t="str">
        <f t="shared" si="304"/>
        <v>o</v>
      </c>
      <c r="AQ156" t="str">
        <f>IF(AM156&lt;&gt;"",AM156,IF($AC156=#REF!,#REF!,""))</f>
        <v>Home</v>
      </c>
      <c r="AR156" t="str">
        <f t="shared" si="305"/>
        <v>h</v>
      </c>
      <c r="AS156" t="str">
        <f t="shared" si="306"/>
        <v>Defensive</v>
      </c>
      <c r="AT156" t="str">
        <f t="shared" si="257"/>
        <v/>
      </c>
      <c r="AU156" t="str">
        <f t="shared" si="258"/>
        <v/>
      </c>
      <c r="AV156" t="str" cm="1">
        <f t="array" ref="AV156">IFERROR(IF(O156&lt;&gt;"",O156,IF(OR($S156="",$T156=""),"",IF(O156&lt;&gt;"",O156,IF($T156&lt;&gt;"",_xlfn._xlws.FILTER(O:O,($BT:$BT=$BT156)*($I:$I=$I156)*($T:$T=$T156)*($S:$S=_xlfn.MINIFS($S:$S,$T:$T,"="&amp;$T156)),"")))))&amp;"",IF(O156="","",""))&amp;""</f>
        <v/>
      </c>
      <c r="AW156" t="str" cm="1">
        <f t="array" ref="AW156">IFERROR(IF(P156&lt;&gt;"",P156,IF(OR($S156="",$T156=""),"",IF($T156&lt;&gt;"",_xlfn._xlws.FILTER(P:P,($BT:$BT=$BT156)*($I:$I=$I156)*($T:$T=$T156)*($S:$S=_xlfn.MINIFS($S:$S,$T:$T,"="&amp;$T156)),""))))&amp;"",IF(P156="","",""))&amp;""</f>
        <v/>
      </c>
      <c r="AX156" t="str" cm="1">
        <f t="array" ref="AX156">IFERROR(IF(Q156&lt;&gt;"",Q156,IF(OR($S156="",$T156=""),"",IF($T156&lt;&gt;"",_xlfn._xlws.FILTER(Q:Q,($BT:$BT=$BT156)*($I:$I=$I156)*($T:$T=$T156)*($S:$S=_xlfn.MINIFS($S:$S,$T:$T,"="&amp;$T156)),""))))&amp;"",IF(Q156="","",""))&amp;""</f>
        <v/>
      </c>
      <c r="AY156" t="str" cm="1">
        <f t="array" ref="AY156">IFERROR(IF(R156&lt;&gt;"",R156,IF(OR($S156="",$T156=""),"",IF($T156&lt;&gt;"",_xlfn._xlws.FILTER(R:R,($BT:$BT=$BT156)*($I:$I=$I156)*($T:$T=$T156)*($S:$S=_xlfn.MINIFS($S:$S,$T:$T,"="&amp;$T156)),""))))&amp;"",IF(R156="","",""))&amp;""</f>
        <v>1</v>
      </c>
      <c r="AZ156" s="6">
        <f t="shared" si="259"/>
        <v>16</v>
      </c>
      <c r="BA156">
        <f t="shared" ref="BA156:BC156" si="308">BA155</f>
        <v>18991</v>
      </c>
      <c r="BB156" t="str">
        <f t="shared" si="308"/>
        <v>Triple J</v>
      </c>
      <c r="BC156" t="str">
        <f t="shared" si="308"/>
        <v>Velodrome</v>
      </c>
      <c r="BD156" t="str">
        <f t="shared" si="261"/>
        <v>Possession</v>
      </c>
      <c r="BE156" t="str">
        <f t="shared" si="262"/>
        <v>PuckRetrieval</v>
      </c>
      <c r="BF156" t="str">
        <f t="shared" si="263"/>
        <v/>
      </c>
      <c r="BG156" t="str">
        <f t="shared" si="22"/>
        <v>s</v>
      </c>
      <c r="BH156" cm="1">
        <f t="array" ref="BH156">IFERROR(_xlfn._xlws.FILTER(shifts!A:A,(shifts!B:B=events!Z156)*(shifts!AG:AG&gt;=events!BJ156)*(shifts!AH:AH&lt;=events!BK156)),BH155)</f>
        <v>4</v>
      </c>
      <c r="BI156" s="15">
        <f t="shared" si="264"/>
        <v>3</v>
      </c>
      <c r="BJ156">
        <f t="shared" si="265"/>
        <v>951</v>
      </c>
      <c r="BK156">
        <f t="shared" si="266"/>
        <v>948</v>
      </c>
      <c r="BL156" s="15">
        <f>SUMIFS(BI$2:BI156,K$2:K156,"=Intermission")+SUMIFS(BI$2:BI156,K$2:K156,"=Timeout")</f>
        <v>0</v>
      </c>
      <c r="BM156">
        <f t="shared" si="267"/>
        <v>0</v>
      </c>
      <c r="BN156" s="19">
        <f t="shared" si="268"/>
        <v>129</v>
      </c>
      <c r="BO156">
        <f t="shared" si="269"/>
        <v>124</v>
      </c>
      <c r="BP156" s="17">
        <f t="shared" si="270"/>
        <v>132</v>
      </c>
      <c r="BQ156" t="str">
        <f t="shared" si="271"/>
        <v>opp_team_player_1</v>
      </c>
      <c r="BR156">
        <f>COUNTIFS(S$3:S156,"="&amp;S156,AH$3:AH156,"="&amp;AH156)</f>
        <v>1</v>
      </c>
      <c r="BS156" t="str">
        <f>IFERROR(VLOOKUP(BA156&amp;BT156&amp;X156,game_rosters!U:W,3,FALSE),"")</f>
        <v>P100159</v>
      </c>
      <c r="BT156" t="str">
        <f t="shared" si="272"/>
        <v>Velodrome</v>
      </c>
    </row>
    <row r="157" spans="1:72" x14ac:dyDescent="0.2">
      <c r="A157">
        <f t="shared" si="247"/>
        <v>1</v>
      </c>
      <c r="E157" s="4"/>
      <c r="F157" s="45"/>
      <c r="G157" s="4"/>
      <c r="H157" s="47"/>
      <c r="I157" s="26">
        <v>10</v>
      </c>
      <c r="J157" s="26" t="s">
        <v>736</v>
      </c>
      <c r="K157" t="s">
        <v>7</v>
      </c>
      <c r="L157" t="s">
        <v>172</v>
      </c>
      <c r="M157" t="s">
        <v>68</v>
      </c>
      <c r="N157" t="str">
        <f t="shared" si="291"/>
        <v>s</v>
      </c>
      <c r="Q157" t="str">
        <f t="shared" si="285"/>
        <v/>
      </c>
      <c r="S157">
        <f>IF(A157=1,MAX($S$2:$S156)+1,IF(OR($I157&lt;&gt;"",A157="x"),$S156,""))</f>
        <v>82</v>
      </c>
      <c r="T157" t="str">
        <f>IF(D157=1,MAX($T$2:$T156)+1,IF(S157=S156,$T156,IF(D157="x",T156,IF(D156="x","",""))))</f>
        <v/>
      </c>
      <c r="U157" t="str">
        <f>IF(B157=1,MAX($U$2:$U156)+1,IF(AND($T157&lt;&gt;"",$T157=$T156),$U156,IF(B157="x",U156,"")))</f>
        <v/>
      </c>
      <c r="V157" t="str">
        <f>IF(C157=1,MAX($V$2:$V156)+1,IF(AND($T157&lt;&gt;"",$T157=$T156),$U156,IF(C157="x",V156,"")))</f>
        <v/>
      </c>
      <c r="W157" t="str" cm="1">
        <f t="array" ref="W157">IFERROR(_xlfn._xlws.FILTER(game_rosters!AC:AC,(game_rosters!J:J=events!X157)*(K157&lt;&gt;"")),"")</f>
        <v>h</v>
      </c>
      <c r="X157" cm="1">
        <f t="array" ref="X157">IF($I157&lt;&gt;"",$I157,INDEX($I$1:$I157,ROW()-COUNTIFS($T$1:$T157,"="&amp;$T157,$S$1:$S157,"&lt;"&amp;$S157)))</f>
        <v>10</v>
      </c>
      <c r="Y157" cm="1">
        <f t="array" ref="Y157">IFERROR(IF(_xlfn._xlws.FILTER(game_rosters!$J:$J,(game_rosters!$G:$G=events!$AM157)*(game_rosters!$J:$J=events!$X157))&gt;0,1,""),"")</f>
        <v>1</v>
      </c>
      <c r="Z157" s="6">
        <f t="shared" si="248"/>
        <v>1</v>
      </c>
      <c r="AA157">
        <f t="shared" si="249"/>
        <v>1082</v>
      </c>
      <c r="AB157" t="str">
        <f t="shared" si="250"/>
        <v/>
      </c>
      <c r="AC157">
        <f t="shared" si="251"/>
        <v>1082</v>
      </c>
      <c r="AD157" t="str">
        <f t="shared" si="252"/>
        <v>15</v>
      </c>
      <c r="AE157" t="str">
        <f t="shared" si="253"/>
        <v>48</v>
      </c>
      <c r="AF157" t="str">
        <f t="shared" si="254"/>
        <v/>
      </c>
      <c r="AG157" t="str">
        <f t="shared" si="255"/>
        <v/>
      </c>
      <c r="AH157" t="str">
        <f t="shared" si="298"/>
        <v>e</v>
      </c>
      <c r="AI157" t="str">
        <f t="shared" si="299"/>
        <v>d</v>
      </c>
      <c r="AJ157" t="str">
        <f t="shared" si="299"/>
        <v>d</v>
      </c>
      <c r="AK157" t="str">
        <f t="shared" si="300"/>
        <v>d</v>
      </c>
      <c r="AL157" t="str">
        <f t="shared" si="301"/>
        <v>o</v>
      </c>
      <c r="AM157" t="str">
        <f t="shared" si="256"/>
        <v>Home</v>
      </c>
      <c r="AN157" t="str">
        <f t="shared" si="302"/>
        <v>h</v>
      </c>
      <c r="AO157" t="str">
        <f t="shared" si="303"/>
        <v>d</v>
      </c>
      <c r="AP157" t="str">
        <f t="shared" si="304"/>
        <v>o</v>
      </c>
      <c r="AQ157" t="str">
        <f>IF(AM157&lt;&gt;"",AM157,IF($AC157=#REF!,#REF!,""))</f>
        <v>Home</v>
      </c>
      <c r="AR157" t="str">
        <f t="shared" si="305"/>
        <v>h</v>
      </c>
      <c r="AS157" t="str">
        <f t="shared" si="306"/>
        <v>Offensive</v>
      </c>
      <c r="AT157" t="str">
        <f t="shared" si="257"/>
        <v/>
      </c>
      <c r="AU157" t="str">
        <f t="shared" si="258"/>
        <v/>
      </c>
      <c r="AV157" t="str" cm="1">
        <f t="array" ref="AV157">IFERROR(IF(O157&lt;&gt;"",O157,IF(OR($S157="",$T157=""),"",IF(O157&lt;&gt;"",O157,IF($T157&lt;&gt;"",_xlfn._xlws.FILTER(O:O,($BT:$BT=$BT157)*($I:$I=$I157)*($T:$T=$T157)*($S:$S=_xlfn.MINIFS($S:$S,$T:$T,"="&amp;$T157)),"")))))&amp;"",IF(O157="","",""))&amp;""</f>
        <v/>
      </c>
      <c r="AW157" t="str" cm="1">
        <f t="array" ref="AW157">IFERROR(IF(P157&lt;&gt;"",P157,IF(OR($S157="",$T157=""),"",IF($T157&lt;&gt;"",_xlfn._xlws.FILTER(P:P,($BT:$BT=$BT157)*($I:$I=$I157)*($T:$T=$T157)*($S:$S=_xlfn.MINIFS($S:$S,$T:$T,"="&amp;$T157)),""))))&amp;"",IF(P157="","",""))&amp;""</f>
        <v/>
      </c>
      <c r="AX157" t="str" cm="1">
        <f t="array" ref="AX157">IFERROR(IF(Q157&lt;&gt;"",Q157,IF(OR($S157="",$T157=""),"",IF($T157&lt;&gt;"",_xlfn._xlws.FILTER(Q:Q,($BT:$BT=$BT157)*($I:$I=$I157)*($T:$T=$T157)*($S:$S=_xlfn.MINIFS($S:$S,$T:$T,"="&amp;$T157)),""))))&amp;"",IF(Q157="","",""))&amp;""</f>
        <v/>
      </c>
      <c r="AY157" t="str" cm="1">
        <f t="array" ref="AY157">IFERROR(IF(R157&lt;&gt;"",R157,IF(OR($S157="",$T157=""),"",IF($T157&lt;&gt;"",_xlfn._xlws.FILTER(R:R,($BT:$BT=$BT157)*($I:$I=$I157)*($T:$T=$T157)*($S:$S=_xlfn.MINIFS($S:$S,$T:$T,"="&amp;$T157)),""))))&amp;"",IF(R157="","",""))&amp;""</f>
        <v/>
      </c>
      <c r="AZ157" s="6">
        <f t="shared" si="259"/>
        <v>16</v>
      </c>
      <c r="BA157">
        <f t="shared" ref="BA157:BC157" si="309">BA156</f>
        <v>18991</v>
      </c>
      <c r="BB157" t="str">
        <f t="shared" si="309"/>
        <v>Triple J</v>
      </c>
      <c r="BC157" t="str">
        <f t="shared" si="309"/>
        <v>Velodrome</v>
      </c>
      <c r="BD157" t="str">
        <f t="shared" si="261"/>
        <v>Pass</v>
      </c>
      <c r="BE157" t="str">
        <f t="shared" si="262"/>
        <v>Pass_Completed</v>
      </c>
      <c r="BF157" t="str">
        <f t="shared" si="263"/>
        <v>Pass-Forehand</v>
      </c>
      <c r="BG157" t="str">
        <f t="shared" si="22"/>
        <v>s</v>
      </c>
      <c r="BH157" cm="1">
        <f t="array" ref="BH157">IFERROR(_xlfn._xlws.FILTER(shifts!A:A,(shifts!B:B=events!Z157)*(shifts!AG:AG&gt;=events!BJ157)*(shifts!AH:AH&lt;=events!BK157)),BH156)</f>
        <v>4</v>
      </c>
      <c r="BI157" s="15">
        <f t="shared" si="264"/>
        <v>0</v>
      </c>
      <c r="BJ157">
        <f t="shared" si="265"/>
        <v>948</v>
      </c>
      <c r="BK157">
        <f t="shared" si="266"/>
        <v>948</v>
      </c>
      <c r="BL157" s="15">
        <f>SUMIFS(BI$2:BI157,K$2:K157,"=Intermission")+SUMIFS(BI$2:BI157,K$2:K157,"=Timeout")</f>
        <v>0</v>
      </c>
      <c r="BM157">
        <f t="shared" si="267"/>
        <v>0</v>
      </c>
      <c r="BN157" s="19">
        <f t="shared" si="268"/>
        <v>132</v>
      </c>
      <c r="BO157">
        <f t="shared" si="269"/>
        <v>127</v>
      </c>
      <c r="BP157" s="17">
        <f t="shared" si="270"/>
        <v>132</v>
      </c>
      <c r="BQ157" t="str">
        <f t="shared" si="271"/>
        <v>event_team_player_1</v>
      </c>
      <c r="BR157">
        <f>COUNTIFS(S$3:S157,"="&amp;S157,AH$3:AH157,"="&amp;AH157)</f>
        <v>1</v>
      </c>
      <c r="BS157" t="str">
        <f>IFERROR(VLOOKUP(BA157&amp;BT157&amp;X157,game_rosters!U:W,3,FALSE),"")</f>
        <v>P100183</v>
      </c>
      <c r="BT157" t="str">
        <f t="shared" si="272"/>
        <v>Triple J</v>
      </c>
    </row>
    <row r="158" spans="1:72" x14ac:dyDescent="0.2">
      <c r="A158" t="str">
        <f t="shared" si="247"/>
        <v/>
      </c>
      <c r="E158" s="4"/>
      <c r="F158" s="45"/>
      <c r="G158" s="4"/>
      <c r="H158" s="47"/>
      <c r="I158" s="26">
        <v>57</v>
      </c>
      <c r="J158" s="26" t="str">
        <f t="shared" si="274"/>
        <v/>
      </c>
      <c r="N158" t="str">
        <f t="shared" si="291"/>
        <v/>
      </c>
      <c r="Q158" t="str">
        <f t="shared" si="285"/>
        <v/>
      </c>
      <c r="S158">
        <f>IF(A158=1,MAX($S$2:$S157)+1,IF(OR($I158&lt;&gt;"",A158="x"),$S157,""))</f>
        <v>82</v>
      </c>
      <c r="T158" t="str">
        <f>IF(D158=1,MAX($T$2:$T157)+1,IF(S158=S157,$T157,IF(D158="x",T157,IF(D157="x","",""))))</f>
        <v/>
      </c>
      <c r="U158" t="str">
        <f>IF(B158=1,MAX($U$2:$U157)+1,IF(AND($T158&lt;&gt;"",$T158=$T157),$U157,IF(B158="x",U157,"")))</f>
        <v/>
      </c>
      <c r="V158" t="str">
        <f>IF(C158=1,MAX($V$2:$V157)+1,IF(AND($T158&lt;&gt;"",$T158=$T157),$U157,IF(C158="x",V157,"")))</f>
        <v/>
      </c>
      <c r="W158" t="str" cm="1">
        <f t="array" ref="W158">IFERROR(_xlfn._xlws.FILTER(game_rosters!AC:AC,(game_rosters!J:J=events!X158)*(K158&lt;&gt;"")),"")</f>
        <v/>
      </c>
      <c r="X158" cm="1">
        <f t="array" ref="X158">IF($I158&lt;&gt;"",$I158,INDEX($I$1:$I158,ROW()-COUNTIFS($T$1:$T158,"="&amp;$T158,$S$1:$S158,"&lt;"&amp;$S158)))</f>
        <v>57</v>
      </c>
      <c r="Y158" cm="1">
        <f t="array" ref="Y158">IFERROR(IF(_xlfn._xlws.FILTER(game_rosters!$J:$J,(game_rosters!$G:$G=events!$AM158)*(game_rosters!$J:$J=events!$X158))&gt;0,1,""),"")</f>
        <v>1</v>
      </c>
      <c r="Z158" s="6">
        <f t="shared" si="248"/>
        <v>1</v>
      </c>
      <c r="AA158">
        <f t="shared" si="249"/>
        <v>1082</v>
      </c>
      <c r="AB158" t="str">
        <f t="shared" si="250"/>
        <v/>
      </c>
      <c r="AC158">
        <f t="shared" si="251"/>
        <v>1082</v>
      </c>
      <c r="AD158" t="str">
        <f t="shared" si="252"/>
        <v>15</v>
      </c>
      <c r="AE158" t="str">
        <f t="shared" si="253"/>
        <v>48</v>
      </c>
      <c r="AF158" t="str">
        <f t="shared" si="254"/>
        <v/>
      </c>
      <c r="AG158" t="str">
        <f t="shared" si="255"/>
        <v/>
      </c>
      <c r="AH158" t="str">
        <f t="shared" si="298"/>
        <v>e</v>
      </c>
      <c r="AI158" t="str">
        <f t="shared" si="299"/>
        <v>d</v>
      </c>
      <c r="AJ158" t="str">
        <f t="shared" si="299"/>
        <v>d</v>
      </c>
      <c r="AK158" t="str">
        <f t="shared" si="300"/>
        <v/>
      </c>
      <c r="AL158" t="str">
        <f t="shared" si="301"/>
        <v/>
      </c>
      <c r="AM158" t="str">
        <f t="shared" si="256"/>
        <v>Home</v>
      </c>
      <c r="AN158" t="str">
        <f t="shared" si="302"/>
        <v>h</v>
      </c>
      <c r="AO158" t="str">
        <f t="shared" si="303"/>
        <v>d</v>
      </c>
      <c r="AP158" t="str">
        <f t="shared" si="304"/>
        <v>o</v>
      </c>
      <c r="AQ158" t="str">
        <f>IF(AM158&lt;&gt;"",AM158,IF($AC158=#REF!,#REF!,""))</f>
        <v>Home</v>
      </c>
      <c r="AR158" t="str">
        <f t="shared" si="305"/>
        <v>h</v>
      </c>
      <c r="AS158" t="str">
        <f t="shared" si="306"/>
        <v>Offensive</v>
      </c>
      <c r="AT158" t="str">
        <f t="shared" si="257"/>
        <v/>
      </c>
      <c r="AU158" t="str">
        <f t="shared" si="258"/>
        <v/>
      </c>
      <c r="AV158" t="str" cm="1">
        <f t="array" ref="AV158">IFERROR(IF(O158&lt;&gt;"",O158,IF(OR($S158="",$T158=""),"",IF(O158&lt;&gt;"",O158,IF($T158&lt;&gt;"",_xlfn._xlws.FILTER(O:O,($BT:$BT=$BT158)*($I:$I=$I158)*($T:$T=$T158)*($S:$S=_xlfn.MINIFS($S:$S,$T:$T,"="&amp;$T158)),"")))))&amp;"",IF(O158="","",""))&amp;""</f>
        <v/>
      </c>
      <c r="AW158" t="str" cm="1">
        <f t="array" ref="AW158">IFERROR(IF(P158&lt;&gt;"",P158,IF(OR($S158="",$T158=""),"",IF($T158&lt;&gt;"",_xlfn._xlws.FILTER(P:P,($BT:$BT=$BT158)*($I:$I=$I158)*($T:$T=$T158)*($S:$S=_xlfn.MINIFS($S:$S,$T:$T,"="&amp;$T158)),""))))&amp;"",IF(P158="","",""))&amp;""</f>
        <v/>
      </c>
      <c r="AX158" t="str" cm="1">
        <f t="array" ref="AX158">IFERROR(IF(Q158&lt;&gt;"",Q158,IF(OR($S158="",$T158=""),"",IF($T158&lt;&gt;"",_xlfn._xlws.FILTER(Q:Q,($BT:$BT=$BT158)*($I:$I=$I158)*($T:$T=$T158)*($S:$S=_xlfn.MINIFS($S:$S,$T:$T,"="&amp;$T158)),""))))&amp;"",IF(Q158="","",""))&amp;""</f>
        <v/>
      </c>
      <c r="AY158" t="str" cm="1">
        <f t="array" ref="AY158">IFERROR(IF(R158&lt;&gt;"",R158,IF(OR($S158="",$T158=""),"",IF($T158&lt;&gt;"",_xlfn._xlws.FILTER(R:R,($BT:$BT=$BT158)*($I:$I=$I158)*($T:$T=$T158)*($S:$S=_xlfn.MINIFS($S:$S,$T:$T,"="&amp;$T158)),""))))&amp;"",IF(R158="","",""))&amp;""</f>
        <v/>
      </c>
      <c r="AZ158" s="6">
        <f t="shared" si="259"/>
        <v>16</v>
      </c>
      <c r="BA158">
        <f t="shared" ref="BA158:BC158" si="310">BA157</f>
        <v>18991</v>
      </c>
      <c r="BB158" t="str">
        <f t="shared" si="310"/>
        <v>Triple J</v>
      </c>
      <c r="BC158" t="str">
        <f t="shared" si="310"/>
        <v>Velodrome</v>
      </c>
      <c r="BD158" t="str">
        <f t="shared" si="261"/>
        <v>Pass</v>
      </c>
      <c r="BE158" t="str">
        <f t="shared" si="262"/>
        <v>Pass_Completed</v>
      </c>
      <c r="BF158" t="str">
        <f t="shared" si="263"/>
        <v>Pass-Forehand</v>
      </c>
      <c r="BG158" t="str">
        <f t="shared" si="22"/>
        <v>s</v>
      </c>
      <c r="BH158" cm="1">
        <f t="array" ref="BH158">IFERROR(_xlfn._xlws.FILTER(shifts!A:A,(shifts!B:B=events!Z158)*(shifts!AG:AG&gt;=events!BJ158)*(shifts!AH:AH&lt;=events!BK158)),BH157)</f>
        <v>4</v>
      </c>
      <c r="BI158" s="15">
        <f t="shared" si="264"/>
        <v>0</v>
      </c>
      <c r="BJ158">
        <f t="shared" si="265"/>
        <v>948</v>
      </c>
      <c r="BK158">
        <f t="shared" si="266"/>
        <v>948</v>
      </c>
      <c r="BL158" s="15">
        <f>SUMIFS(BI$2:BI158,K$2:K158,"=Intermission")+SUMIFS(BI$2:BI158,K$2:K158,"=Timeout")</f>
        <v>0</v>
      </c>
      <c r="BM158">
        <f t="shared" si="267"/>
        <v>0</v>
      </c>
      <c r="BN158" s="19">
        <f t="shared" si="268"/>
        <v>132</v>
      </c>
      <c r="BO158">
        <f t="shared" si="269"/>
        <v>127</v>
      </c>
      <c r="BP158" s="17">
        <f t="shared" si="270"/>
        <v>132</v>
      </c>
      <c r="BQ158" t="str">
        <f t="shared" si="271"/>
        <v>event_team_player_2</v>
      </c>
      <c r="BR158">
        <f>COUNTIFS(S$3:S158,"="&amp;S158,AH$3:AH158,"="&amp;AH158)</f>
        <v>2</v>
      </c>
      <c r="BS158" t="str">
        <f>IFERROR(VLOOKUP(BA158&amp;BT158&amp;X158,game_rosters!U:W,3,FALSE),"")</f>
        <v>P100007</v>
      </c>
      <c r="BT158" t="str">
        <f t="shared" si="272"/>
        <v>Triple J</v>
      </c>
    </row>
    <row r="159" spans="1:72" x14ac:dyDescent="0.2">
      <c r="A159">
        <f t="shared" si="247"/>
        <v>1</v>
      </c>
      <c r="D159" s="26">
        <v>1</v>
      </c>
      <c r="E159" s="4"/>
      <c r="F159" s="45" t="s">
        <v>737</v>
      </c>
      <c r="G159" s="4"/>
      <c r="H159" s="47"/>
      <c r="I159" s="26">
        <v>57</v>
      </c>
      <c r="J159" s="26" t="s">
        <v>736</v>
      </c>
      <c r="K159" t="s">
        <v>7</v>
      </c>
      <c r="L159" t="s">
        <v>172</v>
      </c>
      <c r="M159" t="s">
        <v>65</v>
      </c>
      <c r="N159" t="str">
        <f t="shared" si="291"/>
        <v>s</v>
      </c>
      <c r="O159" t="s">
        <v>450</v>
      </c>
      <c r="Q159" t="str">
        <f t="shared" si="285"/>
        <v>s</v>
      </c>
      <c r="S159">
        <f>IF(A159=1,MAX($S$2:$S158)+1,IF(OR($I159&lt;&gt;"",A159="x"),$S158,""))</f>
        <v>83</v>
      </c>
      <c r="T159">
        <f>IF(D159=1,MAX($T$2:$T158)+1,IF(S159=S158,$T158,IF(D159="x",T158,IF(D158="x","",""))))</f>
        <v>12</v>
      </c>
      <c r="U159" t="str">
        <f>IF(B159=1,MAX($U$2:$U158)+1,IF(AND($T159&lt;&gt;"",$T159=$T158),$U158,IF(B159="x",U158,"")))</f>
        <v/>
      </c>
      <c r="V159" t="str">
        <f>IF(C159=1,MAX($V$2:$V158)+1,IF(AND($T159&lt;&gt;"",$T159=$T158),$U158,IF(C159="x",V158,"")))</f>
        <v/>
      </c>
      <c r="W159" t="str" cm="1">
        <f t="array" ref="W159">IFERROR(_xlfn._xlws.FILTER(game_rosters!AC:AC,(game_rosters!J:J=events!X159)*(K159&lt;&gt;"")),"")</f>
        <v>h</v>
      </c>
      <c r="X159" cm="1">
        <f t="array" ref="X159">IF($I159&lt;&gt;"",$I159,INDEX($I$1:$I159,ROW()-COUNTIFS($T$1:$T159,"="&amp;$T159,$S$1:$S159,"&lt;"&amp;$S159)))</f>
        <v>57</v>
      </c>
      <c r="Y159" cm="1">
        <f t="array" ref="Y159">IFERROR(IF(_xlfn._xlws.FILTER(game_rosters!$J:$J,(game_rosters!$G:$G=events!$AM159)*(game_rosters!$J:$J=events!$X159))&gt;0,1,""),"")</f>
        <v>1</v>
      </c>
      <c r="Z159" s="6">
        <f t="shared" si="248"/>
        <v>1</v>
      </c>
      <c r="AA159">
        <f t="shared" si="249"/>
        <v>1083</v>
      </c>
      <c r="AB159">
        <f t="shared" si="250"/>
        <v>9012</v>
      </c>
      <c r="AC159">
        <f t="shared" si="251"/>
        <v>9012</v>
      </c>
      <c r="AD159" t="str">
        <f t="shared" si="252"/>
        <v>15</v>
      </c>
      <c r="AE159" t="str">
        <f t="shared" si="253"/>
        <v>46</v>
      </c>
      <c r="AF159" t="str">
        <f t="shared" si="254"/>
        <v/>
      </c>
      <c r="AG159" t="str">
        <f t="shared" si="255"/>
        <v/>
      </c>
      <c r="AH159" t="str">
        <f t="shared" si="298"/>
        <v>e</v>
      </c>
      <c r="AI159" t="str">
        <f t="shared" si="299"/>
        <v>d</v>
      </c>
      <c r="AJ159" t="str">
        <f t="shared" si="299"/>
        <v>d</v>
      </c>
      <c r="AK159" t="str">
        <f t="shared" si="300"/>
        <v>d</v>
      </c>
      <c r="AL159" t="str">
        <f t="shared" si="301"/>
        <v>o</v>
      </c>
      <c r="AM159" t="str">
        <f t="shared" si="256"/>
        <v>Home</v>
      </c>
      <c r="AN159" t="str">
        <f t="shared" si="302"/>
        <v>h</v>
      </c>
      <c r="AO159" t="str">
        <f t="shared" si="303"/>
        <v>d</v>
      </c>
      <c r="AP159" t="str">
        <f t="shared" si="304"/>
        <v>o</v>
      </c>
      <c r="AQ159" t="str">
        <f>IF(AM159&lt;&gt;"",AM159,IF($AC159=#REF!,#REF!,""))</f>
        <v>Home</v>
      </c>
      <c r="AR159" t="str">
        <f t="shared" si="305"/>
        <v>h</v>
      </c>
      <c r="AS159" t="str">
        <f t="shared" si="306"/>
        <v>Offensive</v>
      </c>
      <c r="AT159" t="str">
        <f t="shared" si="257"/>
        <v/>
      </c>
      <c r="AU159" t="str">
        <f t="shared" si="258"/>
        <v/>
      </c>
      <c r="AV159" t="str" cm="1">
        <f t="array" ref="AV159">IFERROR(IF(O159&lt;&gt;"",O159,IF(OR($S159="",$T159=""),"",IF(O159&lt;&gt;"",O159,IF($T159&lt;&gt;"",_xlfn._xlws.FILTER(O:O,($BT:$BT=$BT159)*($I:$I=$I159)*($T:$T=$T159)*($S:$S=_xlfn.MINIFS($S:$S,$T:$T,"="&amp;$T159)),"")))))&amp;"",IF(O159="","",""))&amp;""</f>
        <v>Breakout</v>
      </c>
      <c r="AW159" t="str" cm="1">
        <f t="array" ref="AW159">IFERROR(IF(P159&lt;&gt;"",P159,IF(OR($S159="",$T159=""),"",IF($T159&lt;&gt;"",_xlfn._xlws.FILTER(P:P,($BT:$BT=$BT159)*($I:$I=$I159)*($T:$T=$T159)*($S:$S=_xlfn.MINIFS($S:$S,$T:$T,"="&amp;$T159)),""))))&amp;"",IF(P159="","",""))&amp;""</f>
        <v/>
      </c>
      <c r="AX159" t="str" cm="1">
        <f t="array" ref="AX159">IFERROR(IF(Q159&lt;&gt;"",Q159,IF(OR($S159="",$T159=""),"",IF($T159&lt;&gt;"",_xlfn._xlws.FILTER(Q:Q,($BT:$BT=$BT159)*($I:$I=$I159)*($T:$T=$T159)*($S:$S=_xlfn.MINIFS($S:$S,$T:$T,"="&amp;$T159)),""))))&amp;"",IF(Q159="","",""))&amp;""</f>
        <v>s</v>
      </c>
      <c r="AY159" t="str" cm="1">
        <f t="array" ref="AY159">IFERROR(IF(R159&lt;&gt;"",R159,IF(OR($S159="",$T159=""),"",IF($T159&lt;&gt;"",_xlfn._xlws.FILTER(R:R,($BT:$BT=$BT159)*($I:$I=$I159)*($T:$T=$T159)*($S:$S=_xlfn.MINIFS($S:$S,$T:$T,"="&amp;$T159)),""))))&amp;"",IF(R159="","",""))&amp;""</f>
        <v/>
      </c>
      <c r="AZ159" s="6">
        <f t="shared" si="259"/>
        <v>16</v>
      </c>
      <c r="BA159">
        <f t="shared" ref="BA159:BC159" si="311">BA158</f>
        <v>18991</v>
      </c>
      <c r="BB159" t="str">
        <f t="shared" si="311"/>
        <v>Triple J</v>
      </c>
      <c r="BC159" t="str">
        <f t="shared" si="311"/>
        <v>Velodrome</v>
      </c>
      <c r="BD159" t="str">
        <f t="shared" si="261"/>
        <v>Pass</v>
      </c>
      <c r="BE159" t="str">
        <f t="shared" si="262"/>
        <v>Pass_Completed</v>
      </c>
      <c r="BF159" t="str">
        <f t="shared" si="263"/>
        <v>Pass-Stretch</v>
      </c>
      <c r="BG159" t="str">
        <f t="shared" si="22"/>
        <v>s</v>
      </c>
      <c r="BH159" cm="1">
        <f t="array" ref="BH159">IFERROR(_xlfn._xlws.FILTER(shifts!A:A,(shifts!B:B=events!Z159)*(shifts!AG:AG&gt;=events!BJ159)*(shifts!AH:AH&lt;=events!BK159)),BH158)</f>
        <v>5</v>
      </c>
      <c r="BI159" s="15">
        <f t="shared" si="264"/>
        <v>0</v>
      </c>
      <c r="BJ159">
        <f t="shared" si="265"/>
        <v>946</v>
      </c>
      <c r="BK159">
        <f t="shared" si="266"/>
        <v>946</v>
      </c>
      <c r="BL159" s="15">
        <f>SUMIFS(BI$2:BI159,K$2:K159,"=Intermission")+SUMIFS(BI$2:BI159,K$2:K159,"=Timeout")</f>
        <v>0</v>
      </c>
      <c r="BM159">
        <f t="shared" si="267"/>
        <v>0</v>
      </c>
      <c r="BN159" s="19">
        <f t="shared" si="268"/>
        <v>134</v>
      </c>
      <c r="BO159">
        <f t="shared" si="269"/>
        <v>129</v>
      </c>
      <c r="BP159" s="17">
        <f t="shared" si="270"/>
        <v>134</v>
      </c>
      <c r="BQ159" t="str">
        <f t="shared" si="271"/>
        <v>event_team_player_1</v>
      </c>
      <c r="BR159">
        <f>COUNTIFS(S$3:S159,"="&amp;S159,AH$3:AH159,"="&amp;AH159)</f>
        <v>1</v>
      </c>
      <c r="BS159" t="str">
        <f>IFERROR(VLOOKUP(BA159&amp;BT159&amp;X159,game_rosters!U:W,3,FALSE),"")</f>
        <v>P100007</v>
      </c>
      <c r="BT159" t="str">
        <f t="shared" si="272"/>
        <v>Triple J</v>
      </c>
    </row>
    <row r="160" spans="1:72" x14ac:dyDescent="0.2">
      <c r="A160" t="str">
        <f t="shared" si="247"/>
        <v>x</v>
      </c>
      <c r="D160" s="26" t="s">
        <v>729</v>
      </c>
      <c r="E160" s="4"/>
      <c r="F160" s="45"/>
      <c r="G160" s="4"/>
      <c r="H160" s="47"/>
      <c r="I160" s="26">
        <v>21</v>
      </c>
      <c r="J160" s="26" t="str">
        <f t="shared" si="274"/>
        <v/>
      </c>
      <c r="N160" t="str">
        <f t="shared" si="291"/>
        <v/>
      </c>
      <c r="Q160" t="str">
        <f t="shared" si="285"/>
        <v/>
      </c>
      <c r="S160">
        <f>IF(A160=1,MAX($S$2:$S159)+1,IF(OR($I160&lt;&gt;"",A160="x"),$S159,""))</f>
        <v>83</v>
      </c>
      <c r="T160">
        <f>IF(D160=1,MAX($T$2:$T159)+1,IF(S160=S159,$T159,IF(D160="x",T159,IF(D159="x","",""))))</f>
        <v>12</v>
      </c>
      <c r="U160" t="str">
        <f>IF(B160=1,MAX($U$2:$U159)+1,IF(AND($T160&lt;&gt;"",$T160=$T159),$U159,IF(B160="x",U159,"")))</f>
        <v/>
      </c>
      <c r="V160" t="str">
        <f>IF(C160=1,MAX($V$2:$V159)+1,IF(AND($T160&lt;&gt;"",$T160=$T159),$U159,IF(C160="x",V159,"")))</f>
        <v/>
      </c>
      <c r="W160" t="str" cm="1">
        <f t="array" ref="W160">IFERROR(_xlfn._xlws.FILTER(game_rosters!AC:AC,(game_rosters!J:J=events!X160)*(K160&lt;&gt;"")),"")</f>
        <v/>
      </c>
      <c r="X160" cm="1">
        <f t="array" ref="X160">IF($I160&lt;&gt;"",$I160,INDEX($I$1:$I160,ROW()-COUNTIFS($T$1:$T160,"="&amp;$T160,$S$1:$S160,"&lt;"&amp;$S160)))</f>
        <v>21</v>
      </c>
      <c r="Y160" cm="1">
        <f t="array" ref="Y160">IFERROR(IF(_xlfn._xlws.FILTER(game_rosters!$J:$J,(game_rosters!$G:$G=events!$AM160)*(game_rosters!$J:$J=events!$X160))&gt;0,1,""),"")</f>
        <v>1</v>
      </c>
      <c r="Z160" s="6">
        <f t="shared" si="248"/>
        <v>1</v>
      </c>
      <c r="AA160">
        <f t="shared" si="249"/>
        <v>1083</v>
      </c>
      <c r="AB160">
        <f t="shared" si="250"/>
        <v>9012</v>
      </c>
      <c r="AC160">
        <f t="shared" si="251"/>
        <v>9012</v>
      </c>
      <c r="AD160" t="str">
        <f t="shared" si="252"/>
        <v>15</v>
      </c>
      <c r="AE160" t="str">
        <f t="shared" si="253"/>
        <v>46</v>
      </c>
      <c r="AF160" t="str">
        <f t="shared" si="254"/>
        <v/>
      </c>
      <c r="AG160" t="str">
        <f t="shared" si="255"/>
        <v/>
      </c>
      <c r="AH160" t="str">
        <f t="shared" si="298"/>
        <v>e</v>
      </c>
      <c r="AI160" t="str">
        <f t="shared" si="299"/>
        <v>d</v>
      </c>
      <c r="AJ160" t="str">
        <f t="shared" si="299"/>
        <v>d</v>
      </c>
      <c r="AK160" t="str">
        <f t="shared" si="300"/>
        <v/>
      </c>
      <c r="AL160" t="str">
        <f t="shared" si="301"/>
        <v/>
      </c>
      <c r="AM160" t="str">
        <f t="shared" si="256"/>
        <v>Home</v>
      </c>
      <c r="AN160" t="str">
        <f t="shared" si="302"/>
        <v>h</v>
      </c>
      <c r="AO160" t="str">
        <f t="shared" si="303"/>
        <v>d</v>
      </c>
      <c r="AP160" t="str">
        <f t="shared" si="304"/>
        <v>o</v>
      </c>
      <c r="AQ160" t="str">
        <f>IF(AM160&lt;&gt;"",AM160,IF($AC160=#REF!,#REF!,""))</f>
        <v>Home</v>
      </c>
      <c r="AR160" t="str">
        <f t="shared" si="305"/>
        <v>h</v>
      </c>
      <c r="AS160" t="str">
        <f t="shared" si="306"/>
        <v>Offensive</v>
      </c>
      <c r="AT160" t="str">
        <f t="shared" si="257"/>
        <v/>
      </c>
      <c r="AU160" t="str">
        <f t="shared" si="258"/>
        <v/>
      </c>
      <c r="AV160" t="str" cm="1">
        <f t="array" ref="AV160">IFERROR(IF(O160&lt;&gt;"",O160,IF(OR($S160="",$T160=""),"",IF(O160&lt;&gt;"",O160,IF($T160&lt;&gt;"",_xlfn._xlws.FILTER(O:O,($BT:$BT=$BT160)*($I:$I=$I160)*($T:$T=$T160)*($S:$S=_xlfn.MINIFS($S:$S,$T:$T,"="&amp;$T160)),"")))))&amp;"",IF(O160="","",""))&amp;""</f>
        <v/>
      </c>
      <c r="AW160" t="str" cm="1">
        <f t="array" ref="AW160">IFERROR(IF(P160&lt;&gt;"",P160,IF(OR($S160="",$T160=""),"",IF($T160&lt;&gt;"",_xlfn._xlws.FILTER(P:P,($BT:$BT=$BT160)*($I:$I=$I160)*($T:$T=$T160)*($S:$S=_xlfn.MINIFS($S:$S,$T:$T,"="&amp;$T160)),""))))&amp;"",IF(P160="","",""))&amp;""</f>
        <v/>
      </c>
      <c r="AX160" t="str" cm="1">
        <f t="array" ref="AX160">IFERROR(IF(Q160&lt;&gt;"",Q160,IF(OR($S160="",$T160=""),"",IF($T160&lt;&gt;"",_xlfn._xlws.FILTER(Q:Q,($BT:$BT=$BT160)*($I:$I=$I160)*($T:$T=$T160)*($S:$S=_xlfn.MINIFS($S:$S,$T:$T,"="&amp;$T160)),""))))&amp;"",IF(Q160="","",""))&amp;""</f>
        <v/>
      </c>
      <c r="AY160" t="str" cm="1">
        <f t="array" ref="AY160">IFERROR(IF(R160&lt;&gt;"",R160,IF(OR($S160="",$T160=""),"",IF($T160&lt;&gt;"",_xlfn._xlws.FILTER(R:R,($BT:$BT=$BT160)*($I:$I=$I160)*($T:$T=$T160)*($S:$S=_xlfn.MINIFS($S:$S,$T:$T,"="&amp;$T160)),""))))&amp;"",IF(R160="","",""))&amp;""</f>
        <v/>
      </c>
      <c r="AZ160" s="6">
        <f t="shared" si="259"/>
        <v>16</v>
      </c>
      <c r="BA160">
        <f t="shared" ref="BA160:BC160" si="312">BA159</f>
        <v>18991</v>
      </c>
      <c r="BB160" t="str">
        <f t="shared" si="312"/>
        <v>Triple J</v>
      </c>
      <c r="BC160" t="str">
        <f t="shared" si="312"/>
        <v>Velodrome</v>
      </c>
      <c r="BD160" t="str">
        <f t="shared" si="261"/>
        <v>Pass</v>
      </c>
      <c r="BE160" t="str">
        <f t="shared" si="262"/>
        <v>Pass_Completed</v>
      </c>
      <c r="BF160" t="str">
        <f t="shared" si="263"/>
        <v>Pass-Stretch</v>
      </c>
      <c r="BG160" t="str">
        <f t="shared" si="22"/>
        <v>s</v>
      </c>
      <c r="BH160" cm="1">
        <f t="array" ref="BH160">IFERROR(_xlfn._xlws.FILTER(shifts!A:A,(shifts!B:B=events!Z160)*(shifts!AG:AG&gt;=events!BJ160)*(shifts!AH:AH&lt;=events!BK160)),BH159)</f>
        <v>5</v>
      </c>
      <c r="BI160" s="15">
        <f t="shared" si="264"/>
        <v>0</v>
      </c>
      <c r="BJ160">
        <f t="shared" si="265"/>
        <v>946</v>
      </c>
      <c r="BK160">
        <f t="shared" si="266"/>
        <v>946</v>
      </c>
      <c r="BL160" s="15">
        <f>SUMIFS(BI$2:BI160,K$2:K160,"=Intermission")+SUMIFS(BI$2:BI160,K$2:K160,"=Timeout")</f>
        <v>0</v>
      </c>
      <c r="BM160">
        <f t="shared" si="267"/>
        <v>0</v>
      </c>
      <c r="BN160" s="19">
        <f t="shared" si="268"/>
        <v>134</v>
      </c>
      <c r="BO160">
        <f t="shared" si="269"/>
        <v>129</v>
      </c>
      <c r="BP160" s="17">
        <f t="shared" si="270"/>
        <v>134</v>
      </c>
      <c r="BQ160" t="str">
        <f t="shared" si="271"/>
        <v>event_team_player_2</v>
      </c>
      <c r="BR160">
        <f>COUNTIFS(S$3:S160,"="&amp;S160,AH$3:AH160,"="&amp;AH160)</f>
        <v>2</v>
      </c>
      <c r="BS160" t="str">
        <f>IFERROR(VLOOKUP(BA160&amp;BT160&amp;X160,game_rosters!U:W,3,FALSE),"")</f>
        <v>P100019</v>
      </c>
      <c r="BT160" t="str">
        <f t="shared" si="272"/>
        <v>Triple J</v>
      </c>
    </row>
    <row r="161" spans="1:72" x14ac:dyDescent="0.2">
      <c r="A161">
        <f t="shared" si="247"/>
        <v>1</v>
      </c>
      <c r="D161" s="26" t="s">
        <v>729</v>
      </c>
      <c r="E161" s="4"/>
      <c r="F161" s="45"/>
      <c r="G161" s="4"/>
      <c r="H161" s="47"/>
      <c r="J161" s="26" t="str">
        <f t="shared" si="274"/>
        <v>d</v>
      </c>
      <c r="K161" t="s">
        <v>238</v>
      </c>
      <c r="L161" t="s">
        <v>184</v>
      </c>
      <c r="M161" t="s">
        <v>89</v>
      </c>
      <c r="N161" t="str">
        <f t="shared" si="291"/>
        <v>s</v>
      </c>
      <c r="Q161" t="str">
        <f t="shared" si="285"/>
        <v/>
      </c>
      <c r="S161">
        <f>IF(A161=1,MAX($S$2:$S160)+1,IF(OR($I161&lt;&gt;"",A161="x"),$S160,""))</f>
        <v>84</v>
      </c>
      <c r="T161">
        <f>IF(D161=1,MAX($T$2:$T160)+1,IF(S161=S160,$T160,IF(D161="x",T160,IF(D160="x","",""))))</f>
        <v>12</v>
      </c>
      <c r="U161" t="str">
        <f>IF(B161=1,MAX($U$2:$U160)+1,IF(AND($T161&lt;&gt;"",$T161=$T160),$U160,IF(B161="x",U160,"")))</f>
        <v/>
      </c>
      <c r="V161" t="str">
        <f>IF(C161=1,MAX($V$2:$V160)+1,IF(AND($T161&lt;&gt;"",$T161=$T160),$U160,IF(C161="x",V160,"")))</f>
        <v/>
      </c>
      <c r="W161" t="str" cm="1">
        <f t="array" ref="W161">IFERROR(_xlfn._xlws.FILTER(game_rosters!AC:AC,(game_rosters!J:J=events!X161)*(K161&lt;&gt;"")),"")</f>
        <v>h</v>
      </c>
      <c r="X161" cm="1">
        <f t="array" ref="X161">IF($I161&lt;&gt;"",$I161,INDEX($I$1:$I161,ROW()-COUNTIFS($T$1:$T161,"="&amp;$T161,$S$1:$S161,"&lt;"&amp;$S161)))</f>
        <v>57</v>
      </c>
      <c r="Y161" cm="1">
        <f t="array" ref="Y161">IFERROR(IF(_xlfn._xlws.FILTER(game_rosters!$J:$J,(game_rosters!$G:$G=events!$AM161)*(game_rosters!$J:$J=events!$X161))&gt;0,1,""),"")</f>
        <v>1</v>
      </c>
      <c r="Z161" s="6">
        <f t="shared" si="248"/>
        <v>1</v>
      </c>
      <c r="AA161">
        <f t="shared" si="249"/>
        <v>1084</v>
      </c>
      <c r="AB161">
        <f t="shared" si="250"/>
        <v>9012</v>
      </c>
      <c r="AC161">
        <f t="shared" si="251"/>
        <v>9012</v>
      </c>
      <c r="AD161" t="str">
        <f t="shared" si="252"/>
        <v>15</v>
      </c>
      <c r="AE161" t="str">
        <f t="shared" si="253"/>
        <v>46</v>
      </c>
      <c r="AF161" t="str">
        <f t="shared" si="254"/>
        <v/>
      </c>
      <c r="AG161" t="str">
        <f t="shared" si="255"/>
        <v/>
      </c>
      <c r="AH161" t="str">
        <f t="shared" si="298"/>
        <v>e</v>
      </c>
      <c r="AI161" t="str">
        <f t="shared" si="299"/>
        <v>d</v>
      </c>
      <c r="AJ161" t="str">
        <f t="shared" si="299"/>
        <v>d</v>
      </c>
      <c r="AK161" t="str">
        <f t="shared" si="300"/>
        <v>d</v>
      </c>
      <c r="AL161" t="str">
        <f t="shared" si="301"/>
        <v>o</v>
      </c>
      <c r="AM161" t="str">
        <f t="shared" si="256"/>
        <v>Home</v>
      </c>
      <c r="AN161" t="str">
        <f t="shared" si="302"/>
        <v>h</v>
      </c>
      <c r="AO161" t="str">
        <f t="shared" si="303"/>
        <v>d</v>
      </c>
      <c r="AP161" t="str">
        <f t="shared" si="304"/>
        <v>o</v>
      </c>
      <c r="AQ161" t="str">
        <f>IF(AM161&lt;&gt;"",AM161,IF($AC161=#REF!,#REF!,""))</f>
        <v>Home</v>
      </c>
      <c r="AR161" t="str">
        <f t="shared" si="305"/>
        <v>h</v>
      </c>
      <c r="AS161" t="str">
        <f t="shared" si="306"/>
        <v>Offensive</v>
      </c>
      <c r="AT161" t="str">
        <f t="shared" si="257"/>
        <v/>
      </c>
      <c r="AU161" t="str">
        <f t="shared" si="258"/>
        <v/>
      </c>
      <c r="AV161" t="str" cm="1">
        <f t="array" ref="AV161">IFERROR(IF(O161&lt;&gt;"",O161,IF(OR($S161="",$T161=""),"",IF(O161&lt;&gt;"",O161,IF($T161&lt;&gt;"",_xlfn._xlws.FILTER(O:O,($BT:$BT=$BT161)*($I:$I=$I161)*($T:$T=$T161)*($S:$S=_xlfn.MINIFS($S:$S,$T:$T,"="&amp;$T161)),"")))))&amp;"",IF(O161="","",""))&amp;""</f>
        <v/>
      </c>
      <c r="AW161" t="str" cm="1">
        <f t="array" ref="AW161">IFERROR(IF(P161&lt;&gt;"",P161,IF(OR($S161="",$T161=""),"",IF($T161&lt;&gt;"",_xlfn._xlws.FILTER(P:P,($BT:$BT=$BT161)*($I:$I=$I161)*($T:$T=$T161)*($S:$S=_xlfn.MINIFS($S:$S,$T:$T,"="&amp;$T161)),""))))&amp;"",IF(P161="","",""))&amp;""</f>
        <v/>
      </c>
      <c r="AX161" t="str" cm="1">
        <f t="array" ref="AX161">IFERROR(IF(Q161&lt;&gt;"",Q161,IF(OR($S161="",$T161=""),"",IF($T161&lt;&gt;"",_xlfn._xlws.FILTER(Q:Q,($BT:$BT=$BT161)*($I:$I=$I161)*($T:$T=$T161)*($S:$S=_xlfn.MINIFS($S:$S,$T:$T,"="&amp;$T161)),""))))&amp;"",IF(Q161="","",""))&amp;""</f>
        <v/>
      </c>
      <c r="AY161" t="str" cm="1">
        <f t="array" ref="AY161">IFERROR(IF(R161&lt;&gt;"",R161,IF(OR($S161="",$T161=""),"",IF($T161&lt;&gt;"",_xlfn._xlws.FILTER(R:R,($BT:$BT=$BT161)*($I:$I=$I161)*($T:$T=$T161)*($S:$S=_xlfn.MINIFS($S:$S,$T:$T,"="&amp;$T161)),""))))&amp;"",IF(R161="","",""))&amp;""</f>
        <v/>
      </c>
      <c r="AZ161" s="6">
        <f t="shared" si="259"/>
        <v>17</v>
      </c>
      <c r="BA161">
        <f t="shared" ref="BA161:BC161" si="313">BA160</f>
        <v>18991</v>
      </c>
      <c r="BB161" t="str">
        <f t="shared" si="313"/>
        <v>Triple J</v>
      </c>
      <c r="BC161" t="str">
        <f t="shared" si="313"/>
        <v>Velodrome</v>
      </c>
      <c r="BD161" t="str">
        <f t="shared" si="261"/>
        <v>Zone_Entry_Exit</v>
      </c>
      <c r="BE161" t="str">
        <f t="shared" si="262"/>
        <v>Zone_Exit</v>
      </c>
      <c r="BF161" t="str">
        <f t="shared" si="263"/>
        <v>ZoneExit-Pass</v>
      </c>
      <c r="BG161" t="str">
        <f t="shared" si="22"/>
        <v>s</v>
      </c>
      <c r="BH161" cm="1">
        <f t="array" ref="BH161">IFERROR(_xlfn._xlws.FILTER(shifts!A:A,(shifts!B:B=events!Z161)*(shifts!AG:AG&gt;=events!BJ161)*(shifts!AH:AH&lt;=events!BK161)),BH160)</f>
        <v>5</v>
      </c>
      <c r="BI161" s="15">
        <f t="shared" si="264"/>
        <v>0</v>
      </c>
      <c r="BJ161">
        <f t="shared" si="265"/>
        <v>946</v>
      </c>
      <c r="BK161">
        <f t="shared" si="266"/>
        <v>946</v>
      </c>
      <c r="BL161" s="15">
        <f>SUMIFS(BI$2:BI161,K$2:K161,"=Intermission")+SUMIFS(BI$2:BI161,K$2:K161,"=Timeout")</f>
        <v>0</v>
      </c>
      <c r="BM161">
        <f t="shared" si="267"/>
        <v>0</v>
      </c>
      <c r="BN161" s="19">
        <f t="shared" si="268"/>
        <v>134</v>
      </c>
      <c r="BO161">
        <f t="shared" si="269"/>
        <v>129</v>
      </c>
      <c r="BP161" s="17">
        <f t="shared" si="270"/>
        <v>134</v>
      </c>
      <c r="BQ161" t="str">
        <f t="shared" si="271"/>
        <v>event_team_player_1</v>
      </c>
      <c r="BR161">
        <f>COUNTIFS(S$3:S161,"="&amp;S161,AH$3:AH161,"="&amp;AH161)</f>
        <v>1</v>
      </c>
      <c r="BS161" t="str">
        <f>IFERROR(VLOOKUP(BA161&amp;BT161&amp;X161,game_rosters!U:W,3,FALSE),"")</f>
        <v>P100007</v>
      </c>
      <c r="BT161" t="str">
        <f t="shared" si="272"/>
        <v>Triple J</v>
      </c>
    </row>
    <row r="162" spans="1:72" x14ac:dyDescent="0.2">
      <c r="A162" t="str">
        <f t="shared" si="247"/>
        <v>x</v>
      </c>
      <c r="D162" s="26" t="s">
        <v>729</v>
      </c>
      <c r="E162" s="4"/>
      <c r="F162" s="45"/>
      <c r="G162" s="4"/>
      <c r="H162" s="47"/>
      <c r="J162" s="26" t="str">
        <f t="shared" si="274"/>
        <v/>
      </c>
      <c r="N162" t="str">
        <f t="shared" si="291"/>
        <v/>
      </c>
      <c r="Q162" t="str">
        <f t="shared" si="285"/>
        <v/>
      </c>
      <c r="S162">
        <f>IF(A162=1,MAX($S$2:$S161)+1,IF(OR($I162&lt;&gt;"",A162="x"),$S161,""))</f>
        <v>84</v>
      </c>
      <c r="T162">
        <f>IF(D162=1,MAX($T$2:$T161)+1,IF(S162=S161,$T161,IF(D162="x",T161,IF(D161="x","",""))))</f>
        <v>12</v>
      </c>
      <c r="U162" t="str">
        <f>IF(B162=1,MAX($U$2:$U161)+1,IF(AND($T162&lt;&gt;"",$T162=$T161),$U161,IF(B162="x",U161,"")))</f>
        <v/>
      </c>
      <c r="V162" t="str">
        <f>IF(C162=1,MAX($V$2:$V161)+1,IF(AND($T162&lt;&gt;"",$T162=$T161),$U161,IF(C162="x",V161,"")))</f>
        <v/>
      </c>
      <c r="W162" t="str" cm="1">
        <f t="array" ref="W162">IFERROR(_xlfn._xlws.FILTER(game_rosters!AC:AC,(game_rosters!J:J=events!X162)*(K162&lt;&gt;"")),"")</f>
        <v/>
      </c>
      <c r="X162" cm="1">
        <f t="array" ref="X162">IF($I162&lt;&gt;"",$I162,INDEX($I$1:$I162,ROW()-COUNTIFS($T$1:$T162,"="&amp;$T162,$S$1:$S162,"&lt;"&amp;$S162)))</f>
        <v>21</v>
      </c>
      <c r="Y162" cm="1">
        <f t="array" ref="Y162">IFERROR(IF(_xlfn._xlws.FILTER(game_rosters!$J:$J,(game_rosters!$G:$G=events!$AM162)*(game_rosters!$J:$J=events!$X162))&gt;0,1,""),"")</f>
        <v>1</v>
      </c>
      <c r="Z162" s="6">
        <f t="shared" si="248"/>
        <v>1</v>
      </c>
      <c r="AA162">
        <f t="shared" si="249"/>
        <v>1084</v>
      </c>
      <c r="AB162">
        <f t="shared" si="250"/>
        <v>9012</v>
      </c>
      <c r="AC162">
        <f t="shared" si="251"/>
        <v>9012</v>
      </c>
      <c r="AD162" t="str">
        <f t="shared" si="252"/>
        <v>15</v>
      </c>
      <c r="AE162" t="str">
        <f t="shared" si="253"/>
        <v>46</v>
      </c>
      <c r="AF162" t="str">
        <f t="shared" si="254"/>
        <v/>
      </c>
      <c r="AG162" t="str">
        <f t="shared" si="255"/>
        <v/>
      </c>
      <c r="AH162" t="str">
        <f t="shared" si="298"/>
        <v>e</v>
      </c>
      <c r="AI162" t="str">
        <f t="shared" si="299"/>
        <v>d</v>
      </c>
      <c r="AJ162" t="str">
        <f t="shared" si="299"/>
        <v>d</v>
      </c>
      <c r="AK162" t="str">
        <f t="shared" si="300"/>
        <v/>
      </c>
      <c r="AL162" t="str">
        <f t="shared" si="301"/>
        <v/>
      </c>
      <c r="AM162" t="str">
        <f t="shared" si="256"/>
        <v>Home</v>
      </c>
      <c r="AN162" t="str">
        <f t="shared" si="302"/>
        <v>h</v>
      </c>
      <c r="AO162" t="str">
        <f t="shared" si="303"/>
        <v>d</v>
      </c>
      <c r="AP162" t="str">
        <f t="shared" si="304"/>
        <v>o</v>
      </c>
      <c r="AQ162" t="str">
        <f>IF(AM162&lt;&gt;"",AM162,IF($AC162=#REF!,#REF!,""))</f>
        <v>Home</v>
      </c>
      <c r="AR162" t="str">
        <f t="shared" si="305"/>
        <v>h</v>
      </c>
      <c r="AS162" t="str">
        <f t="shared" si="306"/>
        <v>Offensive</v>
      </c>
      <c r="AT162" t="str">
        <f t="shared" si="257"/>
        <v/>
      </c>
      <c r="AU162" t="str">
        <f t="shared" si="258"/>
        <v/>
      </c>
      <c r="AV162" t="str" cm="1">
        <f t="array" ref="AV162">IFERROR(IF(O162&lt;&gt;"",O162,IF(OR($S162="",$T162=""),"",IF(O162&lt;&gt;"",O162,IF($T162&lt;&gt;"",_xlfn._xlws.FILTER(O:O,($BT:$BT=$BT162)*($I:$I=$I162)*($T:$T=$T162)*($S:$S=_xlfn.MINIFS($S:$S,$T:$T,"="&amp;$T162)),"")))))&amp;"",IF(O162="","",""))&amp;""</f>
        <v/>
      </c>
      <c r="AW162" t="str" cm="1">
        <f t="array" ref="AW162">IFERROR(IF(P162&lt;&gt;"",P162,IF(OR($S162="",$T162=""),"",IF($T162&lt;&gt;"",_xlfn._xlws.FILTER(P:P,($BT:$BT=$BT162)*($I:$I=$I162)*($T:$T=$T162)*($S:$S=_xlfn.MINIFS($S:$S,$T:$T,"="&amp;$T162)),""))))&amp;"",IF(P162="","",""))&amp;""</f>
        <v/>
      </c>
      <c r="AX162" t="str" cm="1">
        <f t="array" ref="AX162">IFERROR(IF(Q162&lt;&gt;"",Q162,IF(OR($S162="",$T162=""),"",IF($T162&lt;&gt;"",_xlfn._xlws.FILTER(Q:Q,($BT:$BT=$BT162)*($I:$I=$I162)*($T:$T=$T162)*($S:$S=_xlfn.MINIFS($S:$S,$T:$T,"="&amp;$T162)),""))))&amp;"",IF(Q162="","",""))&amp;""</f>
        <v/>
      </c>
      <c r="AY162" t="str" cm="1">
        <f t="array" ref="AY162">IFERROR(IF(R162&lt;&gt;"",R162,IF(OR($S162="",$T162=""),"",IF($T162&lt;&gt;"",_xlfn._xlws.FILTER(R:R,($BT:$BT=$BT162)*($I:$I=$I162)*($T:$T=$T162)*($S:$S=_xlfn.MINIFS($S:$S,$T:$T,"="&amp;$T162)),""))))&amp;"",IF(R162="","",""))&amp;""</f>
        <v/>
      </c>
      <c r="AZ162" s="6">
        <f t="shared" si="259"/>
        <v>17</v>
      </c>
      <c r="BA162">
        <f t="shared" ref="BA162:BC162" si="314">BA161</f>
        <v>18991</v>
      </c>
      <c r="BB162" t="str">
        <f t="shared" si="314"/>
        <v>Triple J</v>
      </c>
      <c r="BC162" t="str">
        <f t="shared" si="314"/>
        <v>Velodrome</v>
      </c>
      <c r="BD162" t="str">
        <f t="shared" si="261"/>
        <v>Zone_Entry_Exit</v>
      </c>
      <c r="BE162" t="str">
        <f t="shared" si="262"/>
        <v>Zone_Exit</v>
      </c>
      <c r="BF162" t="str">
        <f t="shared" si="263"/>
        <v>ZoneExit-Pass</v>
      </c>
      <c r="BG162" t="str">
        <f t="shared" si="22"/>
        <v>s</v>
      </c>
      <c r="BH162" cm="1">
        <f t="array" ref="BH162">IFERROR(_xlfn._xlws.FILTER(shifts!A:A,(shifts!B:B=events!Z162)*(shifts!AG:AG&gt;=events!BJ162)*(shifts!AH:AH&lt;=events!BK162)),BH161)</f>
        <v>5</v>
      </c>
      <c r="BI162" s="15">
        <f t="shared" si="264"/>
        <v>0</v>
      </c>
      <c r="BJ162">
        <f t="shared" si="265"/>
        <v>946</v>
      </c>
      <c r="BK162">
        <f t="shared" si="266"/>
        <v>946</v>
      </c>
      <c r="BL162" s="15">
        <f>SUMIFS(BI$2:BI162,K$2:K162,"=Intermission")+SUMIFS(BI$2:BI162,K$2:K162,"=Timeout")</f>
        <v>0</v>
      </c>
      <c r="BM162">
        <f t="shared" si="267"/>
        <v>0</v>
      </c>
      <c r="BN162" s="19">
        <f t="shared" si="268"/>
        <v>134</v>
      </c>
      <c r="BO162">
        <f t="shared" si="269"/>
        <v>129</v>
      </c>
      <c r="BP162" s="17">
        <f t="shared" si="270"/>
        <v>134</v>
      </c>
      <c r="BQ162" t="str">
        <f t="shared" si="271"/>
        <v>event_team_player_2</v>
      </c>
      <c r="BR162">
        <f>COUNTIFS(S$3:S162,"="&amp;S162,AH$3:AH162,"="&amp;AH162)</f>
        <v>2</v>
      </c>
      <c r="BS162" t="str">
        <f>IFERROR(VLOOKUP(BA162&amp;BT162&amp;X162,game_rosters!U:W,3,FALSE),"")</f>
        <v>P100019</v>
      </c>
      <c r="BT162" t="str">
        <f t="shared" si="272"/>
        <v>Triple J</v>
      </c>
    </row>
    <row r="163" spans="1:72" x14ac:dyDescent="0.2">
      <c r="A163">
        <f t="shared" si="247"/>
        <v>1</v>
      </c>
      <c r="E163" s="4"/>
      <c r="F163" s="45" t="s">
        <v>1029</v>
      </c>
      <c r="G163" s="4"/>
      <c r="H163" s="47" t="s">
        <v>1041</v>
      </c>
      <c r="I163" s="26">
        <v>21</v>
      </c>
      <c r="J163" s="26" t="s">
        <v>734</v>
      </c>
      <c r="K163" t="s">
        <v>13</v>
      </c>
      <c r="N163" t="str">
        <f t="shared" si="291"/>
        <v/>
      </c>
      <c r="Q163" t="str">
        <f t="shared" si="285"/>
        <v/>
      </c>
      <c r="S163">
        <f>IF(A163=1,MAX($S$2:$S162)+1,IF(OR($I163&lt;&gt;"",A163="x"),$S162,""))</f>
        <v>85</v>
      </c>
      <c r="T163" t="str">
        <f>IF(D163=1,MAX($T$2:$T162)+1,IF(S163=S162,$T162,IF(D163="x",T162,IF(D162="x","",""))))</f>
        <v/>
      </c>
      <c r="U163" t="str">
        <f>IF(B163=1,MAX($U$2:$U162)+1,IF(AND($T163&lt;&gt;"",$T163=$T162),$U162,IF(B163="x",U162,"")))</f>
        <v/>
      </c>
      <c r="V163" t="str">
        <f>IF(C163=1,MAX($V$2:$V162)+1,IF(AND($T163&lt;&gt;"",$T163=$T162),$U162,IF(C163="x",V162,"")))</f>
        <v/>
      </c>
      <c r="W163" t="str" cm="1">
        <f t="array" ref="W163">IFERROR(_xlfn._xlws.FILTER(game_rosters!AC:AC,(game_rosters!J:J=events!X163)*(K163&lt;&gt;"")),"")</f>
        <v>h</v>
      </c>
      <c r="X163" cm="1">
        <f t="array" ref="X163">IF($I163&lt;&gt;"",$I163,INDEX($I$1:$I163,ROW()-COUNTIFS($T$1:$T163,"="&amp;$T163,$S$1:$S163,"&lt;"&amp;$S163)))</f>
        <v>21</v>
      </c>
      <c r="Y163" cm="1">
        <f t="array" ref="Y163">IFERROR(IF(_xlfn._xlws.FILTER(game_rosters!$J:$J,(game_rosters!$G:$G=events!$AM163)*(game_rosters!$J:$J=events!$X163))&gt;0,1,""),"")</f>
        <v>1</v>
      </c>
      <c r="Z163" s="6">
        <f t="shared" si="248"/>
        <v>1</v>
      </c>
      <c r="AA163">
        <f t="shared" si="249"/>
        <v>1085</v>
      </c>
      <c r="AB163" t="str">
        <f t="shared" si="250"/>
        <v/>
      </c>
      <c r="AC163">
        <f t="shared" si="251"/>
        <v>1085</v>
      </c>
      <c r="AD163" t="str">
        <f t="shared" si="252"/>
        <v>15</v>
      </c>
      <c r="AE163" t="str">
        <f t="shared" si="253"/>
        <v>44</v>
      </c>
      <c r="AF163" t="str">
        <f t="shared" si="254"/>
        <v>15</v>
      </c>
      <c r="AG163" t="str">
        <f t="shared" si="255"/>
        <v>43</v>
      </c>
      <c r="AH163" t="str">
        <f t="shared" si="298"/>
        <v>e</v>
      </c>
      <c r="AI163" t="str">
        <f t="shared" si="299"/>
        <v>n</v>
      </c>
      <c r="AJ163" t="str">
        <f t="shared" si="299"/>
        <v>n</v>
      </c>
      <c r="AK163" t="str">
        <f t="shared" si="300"/>
        <v>n</v>
      </c>
      <c r="AL163" t="str">
        <f t="shared" si="301"/>
        <v>n</v>
      </c>
      <c r="AM163" t="str">
        <f t="shared" si="256"/>
        <v>Home</v>
      </c>
      <c r="AN163" t="str">
        <f t="shared" si="302"/>
        <v>h</v>
      </c>
      <c r="AO163" t="str">
        <f t="shared" si="303"/>
        <v>n</v>
      </c>
      <c r="AP163" t="str">
        <f t="shared" si="304"/>
        <v>n</v>
      </c>
      <c r="AQ163" t="str">
        <f>IF(AM163&lt;&gt;"",AM163,IF($AC163=#REF!,#REF!,""))</f>
        <v>Home</v>
      </c>
      <c r="AR163" t="str">
        <f t="shared" si="305"/>
        <v>h</v>
      </c>
      <c r="AS163" t="str">
        <f t="shared" si="306"/>
        <v>Offensive</v>
      </c>
      <c r="AT163" t="str">
        <f t="shared" si="257"/>
        <v/>
      </c>
      <c r="AU163" t="str">
        <f t="shared" si="258"/>
        <v/>
      </c>
      <c r="AV163" t="str" cm="1">
        <f t="array" ref="AV163">IFERROR(IF(O163&lt;&gt;"",O163,IF(OR($S163="",$T163=""),"",IF(O163&lt;&gt;"",O163,IF($T163&lt;&gt;"",_xlfn._xlws.FILTER(O:O,($BT:$BT=$BT163)*($I:$I=$I163)*($T:$T=$T163)*($S:$S=_xlfn.MINIFS($S:$S,$T:$T,"="&amp;$T163)),"")))))&amp;"",IF(O163="","",""))&amp;""</f>
        <v/>
      </c>
      <c r="AW163" t="str" cm="1">
        <f t="array" ref="AW163">IFERROR(IF(P163&lt;&gt;"",P163,IF(OR($S163="",$T163=""),"",IF($T163&lt;&gt;"",_xlfn._xlws.FILTER(P:P,($BT:$BT=$BT163)*($I:$I=$I163)*($T:$T=$T163)*($S:$S=_xlfn.MINIFS($S:$S,$T:$T,"="&amp;$T163)),""))))&amp;"",IF(P163="","",""))&amp;""</f>
        <v/>
      </c>
      <c r="AX163" t="str" cm="1">
        <f t="array" ref="AX163">IFERROR(IF(Q163&lt;&gt;"",Q163,IF(OR($S163="",$T163=""),"",IF($T163&lt;&gt;"",_xlfn._xlws.FILTER(Q:Q,($BT:$BT=$BT163)*($I:$I=$I163)*($T:$T=$T163)*($S:$S=_xlfn.MINIFS($S:$S,$T:$T,"="&amp;$T163)),""))))&amp;"",IF(Q163="","",""))&amp;""</f>
        <v/>
      </c>
      <c r="AY163" t="str" cm="1">
        <f t="array" ref="AY163">IFERROR(IF(R163&lt;&gt;"",R163,IF(OR($S163="",$T163=""),"",IF($T163&lt;&gt;"",_xlfn._xlws.FILTER(R:R,($BT:$BT=$BT163)*($I:$I=$I163)*($T:$T=$T163)*($S:$S=_xlfn.MINIFS($S:$S,$T:$T,"="&amp;$T163)),""))))&amp;"",IF(R163="","",""))&amp;""</f>
        <v/>
      </c>
      <c r="AZ163" s="6">
        <f t="shared" si="259"/>
        <v>17</v>
      </c>
      <c r="BA163">
        <f t="shared" ref="BA163:BC163" si="315">BA162</f>
        <v>18991</v>
      </c>
      <c r="BB163" t="str">
        <f t="shared" si="315"/>
        <v>Triple J</v>
      </c>
      <c r="BC163" t="str">
        <f t="shared" si="315"/>
        <v>Velodrome</v>
      </c>
      <c r="BD163" t="str">
        <f t="shared" si="261"/>
        <v>Possession</v>
      </c>
      <c r="BE163" t="str">
        <f t="shared" si="262"/>
        <v/>
      </c>
      <c r="BF163" t="str">
        <f t="shared" si="263"/>
        <v/>
      </c>
      <c r="BG163" t="str">
        <f t="shared" si="22"/>
        <v/>
      </c>
      <c r="BH163" cm="1">
        <f t="array" ref="BH163">IFERROR(_xlfn._xlws.FILTER(shifts!A:A,(shifts!B:B=events!Z163)*(shifts!AG:AG&gt;=events!BJ163)*(shifts!AH:AH&lt;=events!BK163)),BH162)</f>
        <v>5</v>
      </c>
      <c r="BI163" s="15">
        <f t="shared" si="264"/>
        <v>1</v>
      </c>
      <c r="BJ163">
        <f t="shared" si="265"/>
        <v>944</v>
      </c>
      <c r="BK163">
        <f t="shared" si="266"/>
        <v>943</v>
      </c>
      <c r="BL163" s="15">
        <f>SUMIFS(BI$2:BI163,K$2:K163,"=Intermission")+SUMIFS(BI$2:BI163,K$2:K163,"=Timeout")</f>
        <v>0</v>
      </c>
      <c r="BM163">
        <f t="shared" si="267"/>
        <v>0</v>
      </c>
      <c r="BN163" s="19">
        <f t="shared" si="268"/>
        <v>136</v>
      </c>
      <c r="BO163">
        <f t="shared" si="269"/>
        <v>131</v>
      </c>
      <c r="BP163" s="17">
        <f t="shared" si="270"/>
        <v>137</v>
      </c>
      <c r="BQ163" t="str">
        <f t="shared" si="271"/>
        <v>event_team_player_1</v>
      </c>
      <c r="BR163">
        <f>COUNTIFS(S$3:S163,"="&amp;S163,AH$3:AH163,"="&amp;AH163)</f>
        <v>1</v>
      </c>
      <c r="BS163" t="str">
        <f>IFERROR(VLOOKUP(BA163&amp;BT163&amp;X163,game_rosters!U:W,3,FALSE),"")</f>
        <v>P100019</v>
      </c>
      <c r="BT163" t="str">
        <f t="shared" si="272"/>
        <v>Triple J</v>
      </c>
    </row>
    <row r="164" spans="1:72" x14ac:dyDescent="0.2">
      <c r="A164">
        <f t="shared" si="247"/>
        <v>1</v>
      </c>
      <c r="E164" s="4"/>
      <c r="F164" s="45"/>
      <c r="G164" s="4"/>
      <c r="H164" s="47" t="s">
        <v>1068</v>
      </c>
      <c r="I164" s="26">
        <v>21</v>
      </c>
      <c r="J164" s="26" t="str">
        <f t="shared" si="274"/>
        <v>o</v>
      </c>
      <c r="K164" t="s">
        <v>238</v>
      </c>
      <c r="L164" t="s">
        <v>174</v>
      </c>
      <c r="M164" t="s">
        <v>85</v>
      </c>
      <c r="N164" t="str">
        <f t="shared" si="291"/>
        <v>s</v>
      </c>
      <c r="O164" t="s">
        <v>143</v>
      </c>
      <c r="P164" t="s">
        <v>150</v>
      </c>
      <c r="Q164" t="str">
        <f t="shared" si="285"/>
        <v>s</v>
      </c>
      <c r="R164" s="26">
        <v>1</v>
      </c>
      <c r="S164">
        <f>IF(A164=1,MAX($S$2:$S163)+1,IF(OR($I164&lt;&gt;"",A164="x"),$S163,""))</f>
        <v>86</v>
      </c>
      <c r="T164" t="str">
        <f>IF(D164=1,MAX($T$2:$T163)+1,IF(S164=S163,$T163,IF(D164="x",T163,IF(D163="x","",""))))</f>
        <v/>
      </c>
      <c r="U164" t="str">
        <f>IF(B164=1,MAX($U$2:$U163)+1,IF(AND($T164&lt;&gt;"",$T164=$T163),$U163,IF(B164="x",U163,"")))</f>
        <v/>
      </c>
      <c r="V164" t="str">
        <f>IF(C164=1,MAX($V$2:$V163)+1,IF(AND($T164&lt;&gt;"",$T164=$T163),$U163,IF(C164="x",V163,"")))</f>
        <v/>
      </c>
      <c r="W164" t="str" cm="1">
        <f t="array" ref="W164">IFERROR(_xlfn._xlws.FILTER(game_rosters!AC:AC,(game_rosters!J:J=events!X164)*(K164&lt;&gt;"")),"")</f>
        <v>h</v>
      </c>
      <c r="X164" cm="1">
        <f t="array" ref="X164">IF($I164&lt;&gt;"",$I164,INDEX($I$1:$I164,ROW()-COUNTIFS($T$1:$T164,"="&amp;$T164,$S$1:$S164,"&lt;"&amp;$S164)))</f>
        <v>21</v>
      </c>
      <c r="Y164" cm="1">
        <f t="array" ref="Y164">IFERROR(IF(_xlfn._xlws.FILTER(game_rosters!$J:$J,(game_rosters!$G:$G=events!$AM164)*(game_rosters!$J:$J=events!$X164))&gt;0,1,""),"")</f>
        <v>1</v>
      </c>
      <c r="Z164" s="6">
        <f t="shared" si="248"/>
        <v>1</v>
      </c>
      <c r="AA164">
        <f t="shared" si="249"/>
        <v>1086</v>
      </c>
      <c r="AB164" t="str">
        <f t="shared" si="250"/>
        <v/>
      </c>
      <c r="AC164">
        <f t="shared" si="251"/>
        <v>1086</v>
      </c>
      <c r="AD164" t="str">
        <f t="shared" si="252"/>
        <v>15</v>
      </c>
      <c r="AE164" t="str">
        <f t="shared" si="253"/>
        <v>43</v>
      </c>
      <c r="AF164" t="str">
        <f t="shared" si="254"/>
        <v>15</v>
      </c>
      <c r="AG164" t="str">
        <f t="shared" si="255"/>
        <v>40</v>
      </c>
      <c r="AH164" t="str">
        <f t="shared" si="298"/>
        <v>e</v>
      </c>
      <c r="AI164" t="str">
        <f t="shared" si="299"/>
        <v>o</v>
      </c>
      <c r="AJ164" t="str">
        <f t="shared" si="299"/>
        <v>o</v>
      </c>
      <c r="AK164" t="str">
        <f t="shared" si="300"/>
        <v>o</v>
      </c>
      <c r="AL164" t="str">
        <f t="shared" si="301"/>
        <v>d</v>
      </c>
      <c r="AM164" t="str">
        <f t="shared" si="256"/>
        <v>Home</v>
      </c>
      <c r="AN164" t="str">
        <f t="shared" si="302"/>
        <v>h</v>
      </c>
      <c r="AO164" t="str">
        <f t="shared" si="303"/>
        <v>o</v>
      </c>
      <c r="AP164" t="str">
        <f t="shared" si="304"/>
        <v>d</v>
      </c>
      <c r="AQ164" t="str">
        <f>IF(AM164&lt;&gt;"",AM164,IF($AC164=#REF!,#REF!,""))</f>
        <v>Home</v>
      </c>
      <c r="AR164" t="str">
        <f t="shared" si="305"/>
        <v>h</v>
      </c>
      <c r="AS164" t="str">
        <f t="shared" si="306"/>
        <v>Offensive</v>
      </c>
      <c r="AT164" t="str">
        <f t="shared" si="257"/>
        <v/>
      </c>
      <c r="AU164" t="str">
        <f t="shared" si="258"/>
        <v/>
      </c>
      <c r="AV164" t="str" cm="1">
        <f t="array" ref="AV164">IFERROR(IF(O164&lt;&gt;"",O164,IF(OR($S164="",$T164=""),"",IF(O164&lt;&gt;"",O164,IF($T164&lt;&gt;"",_xlfn._xlws.FILTER(O:O,($BT:$BT=$BT164)*($I:$I=$I164)*($T:$T=$T164)*($S:$S=_xlfn.MINIFS($S:$S,$T:$T,"="&amp;$T164)),"")))))&amp;"",IF(O164="","",""))&amp;""</f>
        <v>DriveMiddle</v>
      </c>
      <c r="AW164" t="str" cm="1">
        <f t="array" ref="AW164">IFERROR(IF(P164&lt;&gt;"",P164,IF(OR($S164="",$T164=""),"",IF($T164&lt;&gt;"",_xlfn._xlws.FILTER(P:P,($BT:$BT=$BT164)*($I:$I=$I164)*($T:$T=$T164)*($S:$S=_xlfn.MINIFS($S:$S,$T:$T,"="&amp;$T164)),""))))&amp;"",IF(P164="","",""))&amp;""</f>
        <v>Deke</v>
      </c>
      <c r="AX164" t="str" cm="1">
        <f t="array" ref="AX164">IFERROR(IF(Q164&lt;&gt;"",Q164,IF(OR($S164="",$T164=""),"",IF($T164&lt;&gt;"",_xlfn._xlws.FILTER(Q:Q,($BT:$BT=$BT164)*($I:$I=$I164)*($T:$T=$T164)*($S:$S=_xlfn.MINIFS($S:$S,$T:$T,"="&amp;$T164)),""))))&amp;"",IF(Q164="","",""))&amp;""</f>
        <v>s</v>
      </c>
      <c r="AY164" t="str" cm="1">
        <f t="array" ref="AY164">IFERROR(IF(R164&lt;&gt;"",R164,IF(OR($S164="",$T164=""),"",IF($T164&lt;&gt;"",_xlfn._xlws.FILTER(R:R,($BT:$BT=$BT164)*($I:$I=$I164)*($T:$T=$T164)*($S:$S=_xlfn.MINIFS($S:$S,$T:$T,"="&amp;$T164)),""))))&amp;"",IF(R164="","",""))&amp;""</f>
        <v>1</v>
      </c>
      <c r="AZ164" s="6">
        <f t="shared" si="259"/>
        <v>18</v>
      </c>
      <c r="BA164">
        <f t="shared" ref="BA164:BC164" si="316">BA163</f>
        <v>18991</v>
      </c>
      <c r="BB164" t="str">
        <f t="shared" si="316"/>
        <v>Triple J</v>
      </c>
      <c r="BC164" t="str">
        <f t="shared" si="316"/>
        <v>Velodrome</v>
      </c>
      <c r="BD164" t="str">
        <f t="shared" si="261"/>
        <v>Zone_Entry_Exit</v>
      </c>
      <c r="BE164" t="str">
        <f t="shared" si="262"/>
        <v>Zone_Entry</v>
      </c>
      <c r="BF164" t="str">
        <f t="shared" si="263"/>
        <v>ZoneEntry-Rush</v>
      </c>
      <c r="BG164" t="str">
        <f t="shared" si="22"/>
        <v>s</v>
      </c>
      <c r="BH164" cm="1">
        <f t="array" ref="BH164">IFERROR(_xlfn._xlws.FILTER(shifts!A:A,(shifts!B:B=events!Z164)*(shifts!AG:AG&gt;=events!BJ164)*(shifts!AH:AH&lt;=events!BK164)),BH163)</f>
        <v>5</v>
      </c>
      <c r="BI164" s="15">
        <f t="shared" si="264"/>
        <v>3</v>
      </c>
      <c r="BJ164">
        <f t="shared" si="265"/>
        <v>943</v>
      </c>
      <c r="BK164">
        <f t="shared" si="266"/>
        <v>940</v>
      </c>
      <c r="BL164" s="15">
        <f>SUMIFS(BI$2:BI164,K$2:K164,"=Intermission")+SUMIFS(BI$2:BI164,K$2:K164,"=Timeout")</f>
        <v>0</v>
      </c>
      <c r="BM164">
        <f t="shared" si="267"/>
        <v>0</v>
      </c>
      <c r="BN164" s="19">
        <f t="shared" si="268"/>
        <v>137</v>
      </c>
      <c r="BO164">
        <f t="shared" si="269"/>
        <v>132</v>
      </c>
      <c r="BP164" s="17">
        <f t="shared" si="270"/>
        <v>140</v>
      </c>
      <c r="BQ164" t="str">
        <f t="shared" si="271"/>
        <v>event_team_player_1</v>
      </c>
      <c r="BR164">
        <f>COUNTIFS(S$3:S164,"="&amp;S164,AH$3:AH164,"="&amp;AH164)</f>
        <v>1</v>
      </c>
      <c r="BS164" t="str">
        <f>IFERROR(VLOOKUP(BA164&amp;BT164&amp;X164,game_rosters!U:W,3,FALSE),"")</f>
        <v>P100019</v>
      </c>
      <c r="BT164" t="str">
        <f t="shared" si="272"/>
        <v>Triple J</v>
      </c>
    </row>
    <row r="165" spans="1:72" x14ac:dyDescent="0.2">
      <c r="A165" t="str">
        <f t="shared" si="247"/>
        <v/>
      </c>
      <c r="E165" s="4"/>
      <c r="F165" s="45"/>
      <c r="G165" s="4"/>
      <c r="H165" s="47"/>
      <c r="I165" s="26">
        <v>9</v>
      </c>
      <c r="J165" s="26" t="str">
        <f t="shared" si="274"/>
        <v/>
      </c>
      <c r="N165" t="str">
        <f t="shared" si="291"/>
        <v/>
      </c>
      <c r="O165" t="s">
        <v>164</v>
      </c>
      <c r="P165" t="s">
        <v>567</v>
      </c>
      <c r="Q165" t="str">
        <f t="shared" si="285"/>
        <v>u</v>
      </c>
      <c r="R165" s="26">
        <v>1</v>
      </c>
      <c r="S165">
        <f>IF(A165=1,MAX($S$2:$S164)+1,IF(OR($I165&lt;&gt;"",A165="x"),$S164,""))</f>
        <v>86</v>
      </c>
      <c r="T165" t="str">
        <f>IF(D165=1,MAX($T$2:$T164)+1,IF(S165=S164,$T164,IF(D165="x",T164,IF(D164="x","",""))))</f>
        <v/>
      </c>
      <c r="U165" t="str">
        <f>IF(B165=1,MAX($U$2:$U164)+1,IF(AND($T165&lt;&gt;"",$T165=$T164),$U164,IF(B165="x",U164,"")))</f>
        <v/>
      </c>
      <c r="V165" t="str">
        <f>IF(C165=1,MAX($V$2:$V164)+1,IF(AND($T165&lt;&gt;"",$T165=$T164),$U164,IF(C165="x",V164,"")))</f>
        <v/>
      </c>
      <c r="W165" t="str" cm="1">
        <f t="array" ref="W165">IFERROR(_xlfn._xlws.FILTER(game_rosters!AC:AC,(game_rosters!J:J=events!X165)*(K165&lt;&gt;"")),"")</f>
        <v/>
      </c>
      <c r="X165" cm="1">
        <f t="array" ref="X165">IF($I165&lt;&gt;"",$I165,INDEX($I$1:$I165,ROW()-COUNTIFS($T$1:$T165,"="&amp;$T165,$S$1:$S165,"&lt;"&amp;$S165)))</f>
        <v>9</v>
      </c>
      <c r="Y165" t="str" cm="1">
        <f t="array" ref="Y165">IFERROR(IF(_xlfn._xlws.FILTER(game_rosters!$J:$J,(game_rosters!$G:$G=events!$AM165)*(game_rosters!$J:$J=events!$X165))&gt;0,1,""),"")</f>
        <v/>
      </c>
      <c r="Z165" s="6">
        <f t="shared" si="248"/>
        <v>1</v>
      </c>
      <c r="AA165">
        <f t="shared" si="249"/>
        <v>1086</v>
      </c>
      <c r="AB165" t="str">
        <f t="shared" si="250"/>
        <v/>
      </c>
      <c r="AC165">
        <f t="shared" si="251"/>
        <v>1086</v>
      </c>
      <c r="AD165" t="str">
        <f t="shared" si="252"/>
        <v>15</v>
      </c>
      <c r="AE165" t="str">
        <f t="shared" si="253"/>
        <v>43</v>
      </c>
      <c r="AF165" t="str">
        <f t="shared" si="254"/>
        <v>15</v>
      </c>
      <c r="AG165" t="str">
        <f t="shared" si="255"/>
        <v>40</v>
      </c>
      <c r="AH165" t="str">
        <f t="shared" si="298"/>
        <v>o</v>
      </c>
      <c r="AI165" t="str">
        <f t="shared" si="299"/>
        <v>o</v>
      </c>
      <c r="AJ165" t="str">
        <f t="shared" si="299"/>
        <v>o</v>
      </c>
      <c r="AK165" t="str">
        <f t="shared" si="300"/>
        <v/>
      </c>
      <c r="AL165" t="str">
        <f t="shared" si="301"/>
        <v/>
      </c>
      <c r="AM165" t="str">
        <f t="shared" si="256"/>
        <v>Home</v>
      </c>
      <c r="AN165" t="str">
        <f t="shared" si="302"/>
        <v>h</v>
      </c>
      <c r="AO165" t="str">
        <f t="shared" si="303"/>
        <v>o</v>
      </c>
      <c r="AP165" t="str">
        <f t="shared" si="304"/>
        <v>d</v>
      </c>
      <c r="AQ165" t="str">
        <f>IF(AM165&lt;&gt;"",AM165,IF($AC165=#REF!,#REF!,""))</f>
        <v>Home</v>
      </c>
      <c r="AR165" t="str">
        <f t="shared" si="305"/>
        <v>h</v>
      </c>
      <c r="AS165" t="str">
        <f t="shared" si="306"/>
        <v>Defensive</v>
      </c>
      <c r="AT165" t="str">
        <f t="shared" si="257"/>
        <v/>
      </c>
      <c r="AU165" t="str">
        <f t="shared" si="258"/>
        <v/>
      </c>
      <c r="AV165" t="str" cm="1">
        <f t="array" ref="AV165">IFERROR(IF(O165&lt;&gt;"",O165,IF(OR($S165="",$T165=""),"",IF(O165&lt;&gt;"",O165,IF($T165&lt;&gt;"",_xlfn._xlws.FILTER(O:O,($BT:$BT=$BT165)*($I:$I=$I165)*($T:$T=$T165)*($S:$S=_xlfn.MINIFS($S:$S,$T:$T,"="&amp;$T165)),"")))))&amp;"",IF(O165="","",""))&amp;""</f>
        <v>BeatDeke</v>
      </c>
      <c r="AW165" t="str" cm="1">
        <f t="array" ref="AW165">IFERROR(IF(P165&lt;&gt;"",P165,IF(OR($S165="",$T165=""),"",IF($T165&lt;&gt;"",_xlfn._xlws.FILTER(P:P,($BT:$BT=$BT165)*($I:$I=$I165)*($T:$T=$T165)*($S:$S=_xlfn.MINIFS($S:$S,$T:$T,"="&amp;$T165)),""))))&amp;"",IF(P165="","",""))&amp;""</f>
        <v>StickCheck</v>
      </c>
      <c r="AX165" t="str" cm="1">
        <f t="array" ref="AX165">IFERROR(IF(Q165&lt;&gt;"",Q165,IF(OR($S165="",$T165=""),"",IF($T165&lt;&gt;"",_xlfn._xlws.FILTER(Q:Q,($BT:$BT=$BT165)*($I:$I=$I165)*($T:$T=$T165)*($S:$S=_xlfn.MINIFS($S:$S,$T:$T,"="&amp;$T165)),""))))&amp;"",IF(Q165="","",""))&amp;""</f>
        <v>u</v>
      </c>
      <c r="AY165" t="str" cm="1">
        <f t="array" ref="AY165">IFERROR(IF(R165&lt;&gt;"",R165,IF(OR($S165="",$T165=""),"",IF($T165&lt;&gt;"",_xlfn._xlws.FILTER(R:R,($BT:$BT=$BT165)*($I:$I=$I165)*($T:$T=$T165)*($S:$S=_xlfn.MINIFS($S:$S,$T:$T,"="&amp;$T165)),""))))&amp;"",IF(R165="","",""))&amp;""</f>
        <v>1</v>
      </c>
      <c r="AZ165" s="6">
        <f t="shared" si="259"/>
        <v>18</v>
      </c>
      <c r="BA165">
        <f t="shared" ref="BA165:BC165" si="317">BA164</f>
        <v>18991</v>
      </c>
      <c r="BB165" t="str">
        <f t="shared" si="317"/>
        <v>Triple J</v>
      </c>
      <c r="BC165" t="str">
        <f t="shared" si="317"/>
        <v>Velodrome</v>
      </c>
      <c r="BD165" t="str">
        <f t="shared" si="261"/>
        <v>Zone_Entry_Exit</v>
      </c>
      <c r="BE165" t="str">
        <f t="shared" si="262"/>
        <v>Zone_Entry</v>
      </c>
      <c r="BF165" t="str">
        <f t="shared" si="263"/>
        <v>ZoneEntry-Rush</v>
      </c>
      <c r="BG165" t="str">
        <f t="shared" si="22"/>
        <v>s</v>
      </c>
      <c r="BH165" cm="1">
        <f t="array" ref="BH165">IFERROR(_xlfn._xlws.FILTER(shifts!A:A,(shifts!B:B=events!Z165)*(shifts!AG:AG&gt;=events!BJ165)*(shifts!AH:AH&lt;=events!BK165)),BH164)</f>
        <v>5</v>
      </c>
      <c r="BI165" s="15">
        <f t="shared" si="264"/>
        <v>3</v>
      </c>
      <c r="BJ165">
        <f t="shared" si="265"/>
        <v>943</v>
      </c>
      <c r="BK165">
        <f t="shared" si="266"/>
        <v>940</v>
      </c>
      <c r="BL165" s="15">
        <f>SUMIFS(BI$2:BI165,K$2:K165,"=Intermission")+SUMIFS(BI$2:BI165,K$2:K165,"=Timeout")</f>
        <v>0</v>
      </c>
      <c r="BM165">
        <f t="shared" si="267"/>
        <v>0</v>
      </c>
      <c r="BN165" s="19">
        <f t="shared" si="268"/>
        <v>137</v>
      </c>
      <c r="BO165">
        <f t="shared" si="269"/>
        <v>132</v>
      </c>
      <c r="BP165" s="17">
        <f t="shared" si="270"/>
        <v>140</v>
      </c>
      <c r="BQ165" t="str">
        <f t="shared" si="271"/>
        <v>opp_team_player_1</v>
      </c>
      <c r="BR165">
        <f>COUNTIFS(S$3:S165,"="&amp;S165,AH$3:AH165,"="&amp;AH165)</f>
        <v>1</v>
      </c>
      <c r="BS165" t="str">
        <f>IFERROR(VLOOKUP(BA165&amp;BT165&amp;X165,game_rosters!U:W,3,FALSE),"")</f>
        <v>P100105</v>
      </c>
      <c r="BT165" t="str">
        <f t="shared" si="272"/>
        <v>Velodrome</v>
      </c>
    </row>
    <row r="166" spans="1:72" x14ac:dyDescent="0.2">
      <c r="A166">
        <f t="shared" si="247"/>
        <v>1</v>
      </c>
      <c r="E166" s="4"/>
      <c r="F166" s="45"/>
      <c r="G166" s="4"/>
      <c r="H166" s="47"/>
      <c r="I166" s="26">
        <v>21</v>
      </c>
      <c r="J166" s="26" t="s">
        <v>368</v>
      </c>
      <c r="K166" t="s">
        <v>7</v>
      </c>
      <c r="L166" t="s">
        <v>172</v>
      </c>
      <c r="M166" t="s">
        <v>385</v>
      </c>
      <c r="N166" t="str">
        <f t="shared" si="291"/>
        <v>s</v>
      </c>
      <c r="Q166" t="str">
        <f t="shared" si="285"/>
        <v/>
      </c>
      <c r="S166">
        <f>IF(A166=1,MAX($S$2:$S165)+1,IF(OR($I166&lt;&gt;"",A166="x"),$S165,""))</f>
        <v>87</v>
      </c>
      <c r="T166" t="str">
        <f>IF(D166=1,MAX($T$2:$T165)+1,IF(S166=S165,$T165,IF(D166="x",T165,IF(D165="x","",""))))</f>
        <v/>
      </c>
      <c r="U166" t="str">
        <f>IF(B166=1,MAX($U$2:$U165)+1,IF(AND($T166&lt;&gt;"",$T166=$T165),$U165,IF(B166="x",U165,"")))</f>
        <v/>
      </c>
      <c r="V166" t="str">
        <f>IF(C166=1,MAX($V$2:$V165)+1,IF(AND($T166&lt;&gt;"",$T166=$T165),$U165,IF(C166="x",V165,"")))</f>
        <v/>
      </c>
      <c r="W166" t="str" cm="1">
        <f t="array" ref="W166">IFERROR(_xlfn._xlws.FILTER(game_rosters!AC:AC,(game_rosters!J:J=events!X166)*(K166&lt;&gt;"")),"")</f>
        <v>h</v>
      </c>
      <c r="X166" cm="1">
        <f t="array" ref="X166">IF($I166&lt;&gt;"",$I166,INDEX($I$1:$I166,ROW()-COUNTIFS($T$1:$T166,"="&amp;$T166,$S$1:$S166,"&lt;"&amp;$S166)))</f>
        <v>21</v>
      </c>
      <c r="Y166" cm="1">
        <f t="array" ref="Y166">IFERROR(IF(_xlfn._xlws.FILTER(game_rosters!$J:$J,(game_rosters!$G:$G=events!$AM166)*(game_rosters!$J:$J=events!$X166))&gt;0,1,""),"")</f>
        <v>1</v>
      </c>
      <c r="Z166" s="6">
        <f t="shared" si="248"/>
        <v>1</v>
      </c>
      <c r="AA166">
        <f t="shared" si="249"/>
        <v>1087</v>
      </c>
      <c r="AB166" t="str">
        <f t="shared" si="250"/>
        <v/>
      </c>
      <c r="AC166">
        <f t="shared" si="251"/>
        <v>1087</v>
      </c>
      <c r="AD166" t="str">
        <f t="shared" si="252"/>
        <v>15</v>
      </c>
      <c r="AE166" t="str">
        <f t="shared" si="253"/>
        <v>40</v>
      </c>
      <c r="AF166" t="str">
        <f t="shared" si="254"/>
        <v/>
      </c>
      <c r="AG166" t="str">
        <f t="shared" si="255"/>
        <v/>
      </c>
      <c r="AH166" t="str">
        <f t="shared" si="298"/>
        <v>e</v>
      </c>
      <c r="AI166" t="str">
        <f t="shared" si="299"/>
        <v>o</v>
      </c>
      <c r="AJ166" t="str">
        <f t="shared" si="299"/>
        <v>o</v>
      </c>
      <c r="AK166" t="str">
        <f t="shared" si="300"/>
        <v>o</v>
      </c>
      <c r="AL166" t="str">
        <f t="shared" si="301"/>
        <v>d</v>
      </c>
      <c r="AM166" t="str">
        <f t="shared" si="256"/>
        <v>Home</v>
      </c>
      <c r="AN166" t="str">
        <f t="shared" si="302"/>
        <v>h</v>
      </c>
      <c r="AO166" t="str">
        <f t="shared" si="303"/>
        <v>o</v>
      </c>
      <c r="AP166" t="str">
        <f t="shared" si="304"/>
        <v>d</v>
      </c>
      <c r="AQ166" t="str">
        <f>IF(AM166&lt;&gt;"",AM166,IF($AC166=#REF!,#REF!,""))</f>
        <v>Home</v>
      </c>
      <c r="AR166" t="str">
        <f t="shared" si="305"/>
        <v>h</v>
      </c>
      <c r="AS166" t="str">
        <f t="shared" si="306"/>
        <v>Offensive</v>
      </c>
      <c r="AT166" t="str">
        <f t="shared" si="257"/>
        <v/>
      </c>
      <c r="AU166" t="str">
        <f t="shared" si="258"/>
        <v/>
      </c>
      <c r="AV166" t="str" cm="1">
        <f t="array" ref="AV166">IFERROR(IF(O166&lt;&gt;"",O166,IF(OR($S166="",$T166=""),"",IF(O166&lt;&gt;"",O166,IF($T166&lt;&gt;"",_xlfn._xlws.FILTER(O:O,($BT:$BT=$BT166)*($I:$I=$I166)*($T:$T=$T166)*($S:$S=_xlfn.MINIFS($S:$S,$T:$T,"="&amp;$T166)),"")))))&amp;"",IF(O166="","",""))&amp;""</f>
        <v/>
      </c>
      <c r="AW166" t="str" cm="1">
        <f t="array" ref="AW166">IFERROR(IF(P166&lt;&gt;"",P166,IF(OR($S166="",$T166=""),"",IF($T166&lt;&gt;"",_xlfn._xlws.FILTER(P:P,($BT:$BT=$BT166)*($I:$I=$I166)*($T:$T=$T166)*($S:$S=_xlfn.MINIFS($S:$S,$T:$T,"="&amp;$T166)),""))))&amp;"",IF(P166="","",""))&amp;""</f>
        <v/>
      </c>
      <c r="AX166" t="str" cm="1">
        <f t="array" ref="AX166">IFERROR(IF(Q166&lt;&gt;"",Q166,IF(OR($S166="",$T166=""),"",IF($T166&lt;&gt;"",_xlfn._xlws.FILTER(Q:Q,($BT:$BT=$BT166)*($I:$I=$I166)*($T:$T=$T166)*($S:$S=_xlfn.MINIFS($S:$S,$T:$T,"="&amp;$T166)),""))))&amp;"",IF(Q166="","",""))&amp;""</f>
        <v/>
      </c>
      <c r="AY166" t="str" cm="1">
        <f t="array" ref="AY166">IFERROR(IF(R166&lt;&gt;"",R166,IF(OR($S166="",$T166=""),"",IF($T166&lt;&gt;"",_xlfn._xlws.FILTER(R:R,($BT:$BT=$BT166)*($I:$I=$I166)*($T:$T=$T166)*($S:$S=_xlfn.MINIFS($S:$S,$T:$T,"="&amp;$T166)),""))))&amp;"",IF(R166="","",""))&amp;""</f>
        <v/>
      </c>
      <c r="AZ166" s="6">
        <f t="shared" si="259"/>
        <v>18</v>
      </c>
      <c r="BA166">
        <f t="shared" ref="BA166:BC166" si="318">BA165</f>
        <v>18991</v>
      </c>
      <c r="BB166" t="str">
        <f t="shared" si="318"/>
        <v>Triple J</v>
      </c>
      <c r="BC166" t="str">
        <f t="shared" si="318"/>
        <v>Velodrome</v>
      </c>
      <c r="BD166" t="str">
        <f t="shared" si="261"/>
        <v>Pass</v>
      </c>
      <c r="BE166" t="str">
        <f t="shared" si="262"/>
        <v>Pass_Completed</v>
      </c>
      <c r="BF166" t="str">
        <f t="shared" si="263"/>
        <v>Pass-Drop</v>
      </c>
      <c r="BG166" t="str">
        <f t="shared" si="22"/>
        <v>s</v>
      </c>
      <c r="BH166" cm="1">
        <f t="array" ref="BH166">IFERROR(_xlfn._xlws.FILTER(shifts!A:A,(shifts!B:B=events!Z166)*(shifts!AG:AG&gt;=events!BJ166)*(shifts!AH:AH&lt;=events!BK166)),BH165)</f>
        <v>6</v>
      </c>
      <c r="BI166" s="15">
        <f t="shared" si="264"/>
        <v>0</v>
      </c>
      <c r="BJ166">
        <f t="shared" si="265"/>
        <v>940</v>
      </c>
      <c r="BK166">
        <f t="shared" si="266"/>
        <v>940</v>
      </c>
      <c r="BL166" s="15">
        <f>SUMIFS(BI$2:BI166,K$2:K166,"=Intermission")+SUMIFS(BI$2:BI166,K$2:K166,"=Timeout")</f>
        <v>0</v>
      </c>
      <c r="BM166">
        <f t="shared" si="267"/>
        <v>0</v>
      </c>
      <c r="BN166" s="19">
        <f t="shared" si="268"/>
        <v>140</v>
      </c>
      <c r="BO166">
        <f t="shared" si="269"/>
        <v>135</v>
      </c>
      <c r="BP166" s="17">
        <f t="shared" si="270"/>
        <v>140</v>
      </c>
      <c r="BQ166" t="str">
        <f t="shared" si="271"/>
        <v>event_team_player_1</v>
      </c>
      <c r="BR166">
        <f>COUNTIFS(S$3:S166,"="&amp;S166,AH$3:AH166,"="&amp;AH166)</f>
        <v>1</v>
      </c>
      <c r="BS166" t="str">
        <f>IFERROR(VLOOKUP(BA166&amp;BT166&amp;X166,game_rosters!U:W,3,FALSE),"")</f>
        <v>P100019</v>
      </c>
      <c r="BT166" t="str">
        <f t="shared" si="272"/>
        <v>Triple J</v>
      </c>
    </row>
    <row r="167" spans="1:72" x14ac:dyDescent="0.2">
      <c r="A167" t="str">
        <f t="shared" si="247"/>
        <v/>
      </c>
      <c r="E167" s="4"/>
      <c r="F167" s="45"/>
      <c r="G167" s="4"/>
      <c r="H167" s="47"/>
      <c r="I167" s="26">
        <v>69</v>
      </c>
      <c r="J167" s="26" t="str">
        <f t="shared" si="274"/>
        <v/>
      </c>
      <c r="N167" t="str">
        <f t="shared" si="291"/>
        <v/>
      </c>
      <c r="Q167" t="str">
        <f t="shared" si="285"/>
        <v/>
      </c>
      <c r="S167">
        <f>IF(A167=1,MAX($S$2:$S166)+1,IF(OR($I167&lt;&gt;"",A167="x"),$S166,""))</f>
        <v>87</v>
      </c>
      <c r="T167" t="str">
        <f>IF(D167=1,MAX($T$2:$T166)+1,IF(S167=S166,$T166,IF(D167="x",T166,IF(D166="x","",""))))</f>
        <v/>
      </c>
      <c r="U167" t="str">
        <f>IF(B167=1,MAX($U$2:$U166)+1,IF(AND($T167&lt;&gt;"",$T167=$T166),$U166,IF(B167="x",U166,"")))</f>
        <v/>
      </c>
      <c r="V167" t="str">
        <f>IF(C167=1,MAX($V$2:$V166)+1,IF(AND($T167&lt;&gt;"",$T167=$T166),$U166,IF(C167="x",V166,"")))</f>
        <v/>
      </c>
      <c r="W167" t="str" cm="1">
        <f t="array" ref="W167">IFERROR(_xlfn._xlws.FILTER(game_rosters!AC:AC,(game_rosters!J:J=events!X167)*(K167&lt;&gt;"")),"")</f>
        <v/>
      </c>
      <c r="X167" cm="1">
        <f t="array" ref="X167">IF($I167&lt;&gt;"",$I167,INDEX($I$1:$I167,ROW()-COUNTIFS($T$1:$T167,"="&amp;$T167,$S$1:$S167,"&lt;"&amp;$S167)))</f>
        <v>69</v>
      </c>
      <c r="Y167" cm="1">
        <f t="array" ref="Y167">IFERROR(IF(_xlfn._xlws.FILTER(game_rosters!$J:$J,(game_rosters!$G:$G=events!$AM167)*(game_rosters!$J:$J=events!$X167))&gt;0,1,""),"")</f>
        <v>1</v>
      </c>
      <c r="Z167" s="6">
        <f t="shared" si="248"/>
        <v>1</v>
      </c>
      <c r="AA167">
        <f t="shared" si="249"/>
        <v>1087</v>
      </c>
      <c r="AB167" t="str">
        <f t="shared" si="250"/>
        <v/>
      </c>
      <c r="AC167">
        <f t="shared" si="251"/>
        <v>1087</v>
      </c>
      <c r="AD167" t="str">
        <f t="shared" si="252"/>
        <v>15</v>
      </c>
      <c r="AE167" t="str">
        <f t="shared" si="253"/>
        <v>40</v>
      </c>
      <c r="AF167" t="str">
        <f t="shared" si="254"/>
        <v/>
      </c>
      <c r="AG167" t="str">
        <f t="shared" si="255"/>
        <v/>
      </c>
      <c r="AH167" t="str">
        <f t="shared" si="298"/>
        <v>e</v>
      </c>
      <c r="AI167" t="str">
        <f t="shared" si="299"/>
        <v>o</v>
      </c>
      <c r="AJ167" t="str">
        <f t="shared" si="299"/>
        <v>o</v>
      </c>
      <c r="AK167" t="str">
        <f t="shared" si="300"/>
        <v/>
      </c>
      <c r="AL167" t="str">
        <f t="shared" si="301"/>
        <v/>
      </c>
      <c r="AM167" t="str">
        <f t="shared" si="256"/>
        <v>Home</v>
      </c>
      <c r="AN167" t="str">
        <f t="shared" si="302"/>
        <v>h</v>
      </c>
      <c r="AO167" t="str">
        <f t="shared" si="303"/>
        <v>o</v>
      </c>
      <c r="AP167" t="str">
        <f t="shared" si="304"/>
        <v>d</v>
      </c>
      <c r="AQ167" t="str">
        <f>IF(AM167&lt;&gt;"",AM167,IF($AC167=#REF!,#REF!,""))</f>
        <v>Home</v>
      </c>
      <c r="AR167" t="str">
        <f t="shared" si="305"/>
        <v>h</v>
      </c>
      <c r="AS167" t="str">
        <f t="shared" si="306"/>
        <v>Offensive</v>
      </c>
      <c r="AT167" t="str">
        <f t="shared" si="257"/>
        <v/>
      </c>
      <c r="AU167" t="str">
        <f t="shared" si="258"/>
        <v/>
      </c>
      <c r="AV167" t="str" cm="1">
        <f t="array" ref="AV167">IFERROR(IF(O167&lt;&gt;"",O167,IF(OR($S167="",$T167=""),"",IF(O167&lt;&gt;"",O167,IF($T167&lt;&gt;"",_xlfn._xlws.FILTER(O:O,($BT:$BT=$BT167)*($I:$I=$I167)*($T:$T=$T167)*($S:$S=_xlfn.MINIFS($S:$S,$T:$T,"="&amp;$T167)),"")))))&amp;"",IF(O167="","",""))&amp;""</f>
        <v/>
      </c>
      <c r="AW167" t="str" cm="1">
        <f t="array" ref="AW167">IFERROR(IF(P167&lt;&gt;"",P167,IF(OR($S167="",$T167=""),"",IF($T167&lt;&gt;"",_xlfn._xlws.FILTER(P:P,($BT:$BT=$BT167)*($I:$I=$I167)*($T:$T=$T167)*($S:$S=_xlfn.MINIFS($S:$S,$T:$T,"="&amp;$T167)),""))))&amp;"",IF(P167="","",""))&amp;""</f>
        <v/>
      </c>
      <c r="AX167" t="str" cm="1">
        <f t="array" ref="AX167">IFERROR(IF(Q167&lt;&gt;"",Q167,IF(OR($S167="",$T167=""),"",IF($T167&lt;&gt;"",_xlfn._xlws.FILTER(Q:Q,($BT:$BT=$BT167)*($I:$I=$I167)*($T:$T=$T167)*($S:$S=_xlfn.MINIFS($S:$S,$T:$T,"="&amp;$T167)),""))))&amp;"",IF(Q167="","",""))&amp;""</f>
        <v/>
      </c>
      <c r="AY167" t="str" cm="1">
        <f t="array" ref="AY167">IFERROR(IF(R167&lt;&gt;"",R167,IF(OR($S167="",$T167=""),"",IF($T167&lt;&gt;"",_xlfn._xlws.FILTER(R:R,($BT:$BT=$BT167)*($I:$I=$I167)*($T:$T=$T167)*($S:$S=_xlfn.MINIFS($S:$S,$T:$T,"="&amp;$T167)),""))))&amp;"",IF(R167="","",""))&amp;""</f>
        <v/>
      </c>
      <c r="AZ167" s="6">
        <f t="shared" si="259"/>
        <v>18</v>
      </c>
      <c r="BA167">
        <f t="shared" ref="BA167:BC167" si="319">BA166</f>
        <v>18991</v>
      </c>
      <c r="BB167" t="str">
        <f t="shared" si="319"/>
        <v>Triple J</v>
      </c>
      <c r="BC167" t="str">
        <f t="shared" si="319"/>
        <v>Velodrome</v>
      </c>
      <c r="BD167" t="str">
        <f t="shared" si="261"/>
        <v>Pass</v>
      </c>
      <c r="BE167" t="str">
        <f t="shared" si="262"/>
        <v>Pass_Completed</v>
      </c>
      <c r="BF167" t="str">
        <f t="shared" si="263"/>
        <v>Pass-Drop</v>
      </c>
      <c r="BG167" t="str">
        <f t="shared" si="22"/>
        <v>s</v>
      </c>
      <c r="BH167" cm="1">
        <f t="array" ref="BH167">IFERROR(_xlfn._xlws.FILTER(shifts!A:A,(shifts!B:B=events!Z167)*(shifts!AG:AG&gt;=events!BJ167)*(shifts!AH:AH&lt;=events!BK167)),BH166)</f>
        <v>6</v>
      </c>
      <c r="BI167" s="15">
        <f t="shared" si="264"/>
        <v>0</v>
      </c>
      <c r="BJ167">
        <f t="shared" si="265"/>
        <v>940</v>
      </c>
      <c r="BK167">
        <f t="shared" si="266"/>
        <v>940</v>
      </c>
      <c r="BL167" s="15">
        <f>SUMIFS(BI$2:BI167,K$2:K167,"=Intermission")+SUMIFS(BI$2:BI167,K$2:K167,"=Timeout")</f>
        <v>0</v>
      </c>
      <c r="BM167">
        <f t="shared" si="267"/>
        <v>0</v>
      </c>
      <c r="BN167" s="19">
        <f t="shared" si="268"/>
        <v>140</v>
      </c>
      <c r="BO167">
        <f t="shared" si="269"/>
        <v>135</v>
      </c>
      <c r="BP167" s="17">
        <f t="shared" si="270"/>
        <v>140</v>
      </c>
      <c r="BQ167" t="str">
        <f t="shared" si="271"/>
        <v>event_team_player_2</v>
      </c>
      <c r="BR167">
        <f>COUNTIFS(S$3:S167,"="&amp;S167,AH$3:AH167,"="&amp;AH167)</f>
        <v>2</v>
      </c>
      <c r="BS167" t="str">
        <f>IFERROR(VLOOKUP(BA167&amp;BT167&amp;X167,game_rosters!U:W,3,FALSE),"")</f>
        <v>P100014</v>
      </c>
      <c r="BT167" t="str">
        <f t="shared" si="272"/>
        <v>Triple J</v>
      </c>
    </row>
    <row r="168" spans="1:72" x14ac:dyDescent="0.2">
      <c r="A168">
        <f t="shared" si="247"/>
        <v>1</v>
      </c>
      <c r="E168" s="4"/>
      <c r="F168" s="45" t="s">
        <v>749</v>
      </c>
      <c r="G168" s="4"/>
      <c r="H168" s="47"/>
      <c r="I168" s="26">
        <v>69</v>
      </c>
      <c r="J168" s="26" t="s">
        <v>368</v>
      </c>
      <c r="K168" t="s">
        <v>11</v>
      </c>
      <c r="L168" t="s">
        <v>187</v>
      </c>
      <c r="M168" t="s">
        <v>110</v>
      </c>
      <c r="N168" t="str">
        <f t="shared" si="291"/>
        <v/>
      </c>
      <c r="Q168" t="str">
        <f t="shared" si="285"/>
        <v/>
      </c>
      <c r="S168">
        <f>IF(A168=1,MAX($S$2:$S167)+1,IF(OR($I168&lt;&gt;"",A168="x"),$S167,""))</f>
        <v>88</v>
      </c>
      <c r="T168" t="str">
        <f>IF(D168=1,MAX($T$2:$T167)+1,IF(S168=S167,$T167,IF(D168="x",T167,IF(D167="x","",""))))</f>
        <v/>
      </c>
      <c r="U168" t="str">
        <f>IF(B168=1,MAX($U$2:$U167)+1,IF(AND($T168&lt;&gt;"",$T168=$T167),$U167,IF(B168="x",U167,"")))</f>
        <v/>
      </c>
      <c r="V168" t="str">
        <f>IF(C168=1,MAX($V$2:$V167)+1,IF(AND($T168&lt;&gt;"",$T168=$T167),$U167,IF(C168="x",V167,"")))</f>
        <v/>
      </c>
      <c r="W168" t="str" cm="1">
        <f t="array" ref="W168">IFERROR(_xlfn._xlws.FILTER(game_rosters!AC:AC,(game_rosters!J:J=events!X168)*(K168&lt;&gt;"")),"")</f>
        <v>h</v>
      </c>
      <c r="X168" cm="1">
        <f t="array" ref="X168">IF($I168&lt;&gt;"",$I168,INDEX($I$1:$I168,ROW()-COUNTIFS($T$1:$T168,"="&amp;$T168,$S$1:$S168,"&lt;"&amp;$S168)))</f>
        <v>69</v>
      </c>
      <c r="Y168" cm="1">
        <f t="array" ref="Y168">IFERROR(IF(_xlfn._xlws.FILTER(game_rosters!$J:$J,(game_rosters!$G:$G=events!$AM168)*(game_rosters!$J:$J=events!$X168))&gt;0,1,""),"")</f>
        <v>1</v>
      </c>
      <c r="Z168" s="6">
        <f t="shared" si="248"/>
        <v>1</v>
      </c>
      <c r="AA168">
        <f t="shared" si="249"/>
        <v>1088</v>
      </c>
      <c r="AB168" t="str">
        <f t="shared" si="250"/>
        <v/>
      </c>
      <c r="AC168">
        <f t="shared" si="251"/>
        <v>1088</v>
      </c>
      <c r="AD168" t="str">
        <f t="shared" si="252"/>
        <v>15</v>
      </c>
      <c r="AE168" t="str">
        <f t="shared" si="253"/>
        <v>39</v>
      </c>
      <c r="AF168" t="str">
        <f t="shared" si="254"/>
        <v/>
      </c>
      <c r="AG168" t="str">
        <f t="shared" si="255"/>
        <v/>
      </c>
      <c r="AH168" t="str">
        <f t="shared" si="298"/>
        <v>e</v>
      </c>
      <c r="AI168" t="str">
        <f t="shared" si="299"/>
        <v>o</v>
      </c>
      <c r="AJ168" t="str">
        <f t="shared" si="299"/>
        <v>o</v>
      </c>
      <c r="AK168" t="str">
        <f t="shared" si="300"/>
        <v>o</v>
      </c>
      <c r="AL168" t="str">
        <f t="shared" si="301"/>
        <v>d</v>
      </c>
      <c r="AM168" t="str">
        <f t="shared" si="256"/>
        <v>Home</v>
      </c>
      <c r="AN168" t="str">
        <f t="shared" si="302"/>
        <v>h</v>
      </c>
      <c r="AO168" t="str">
        <f t="shared" si="303"/>
        <v>o</v>
      </c>
      <c r="AP168" t="str">
        <f t="shared" si="304"/>
        <v>d</v>
      </c>
      <c r="AQ168" t="str">
        <f>IF(AM168&lt;&gt;"",AM168,IF($AC168=#REF!,#REF!,""))</f>
        <v>Home</v>
      </c>
      <c r="AR168" t="str">
        <f t="shared" si="305"/>
        <v>h</v>
      </c>
      <c r="AS168" t="str">
        <f t="shared" si="306"/>
        <v/>
      </c>
      <c r="AT168" t="str">
        <f t="shared" si="257"/>
        <v/>
      </c>
      <c r="AU168" t="str">
        <f t="shared" si="258"/>
        <v/>
      </c>
      <c r="AV168" t="str" cm="1">
        <f t="array" ref="AV168">IFERROR(IF(O168&lt;&gt;"",O168,IF(OR($S168="",$T168=""),"",IF(O168&lt;&gt;"",O168,IF($T168&lt;&gt;"",_xlfn._xlws.FILTER(O:O,($BT:$BT=$BT168)*($I:$I=$I168)*($T:$T=$T168)*($S:$S=_xlfn.MINIFS($S:$S,$T:$T,"="&amp;$T168)),"")))))&amp;"",IF(O168="","",""))&amp;""</f>
        <v/>
      </c>
      <c r="AW168" t="str" cm="1">
        <f t="array" ref="AW168">IFERROR(IF(P168&lt;&gt;"",P168,IF(OR($S168="",$T168=""),"",IF($T168&lt;&gt;"",_xlfn._xlws.FILTER(P:P,($BT:$BT=$BT168)*($I:$I=$I168)*($T:$T=$T168)*($S:$S=_xlfn.MINIFS($S:$S,$T:$T,"="&amp;$T168)),""))))&amp;"",IF(P168="","",""))&amp;""</f>
        <v/>
      </c>
      <c r="AX168" t="str" cm="1">
        <f t="array" ref="AX168">IFERROR(IF(Q168&lt;&gt;"",Q168,IF(OR($S168="",$T168=""),"",IF($T168&lt;&gt;"",_xlfn._xlws.FILTER(Q:Q,($BT:$BT=$BT168)*($I:$I=$I168)*($T:$T=$T168)*($S:$S=_xlfn.MINIFS($S:$S,$T:$T,"="&amp;$T168)),""))))&amp;"",IF(Q168="","",""))&amp;""</f>
        <v/>
      </c>
      <c r="AY168" t="str" cm="1">
        <f t="array" ref="AY168">IFERROR(IF(R168&lt;&gt;"",R168,IF(OR($S168="",$T168=""),"",IF($T168&lt;&gt;"",_xlfn._xlws.FILTER(R:R,($BT:$BT=$BT168)*($I:$I=$I168)*($T:$T=$T168)*($S:$S=_xlfn.MINIFS($S:$S,$T:$T,"="&amp;$T168)),""))))&amp;"",IF(R168="","",""))&amp;""</f>
        <v/>
      </c>
      <c r="AZ168" s="6">
        <f t="shared" si="259"/>
        <v>18</v>
      </c>
      <c r="BA168">
        <f t="shared" ref="BA168:BC168" si="320">BA167</f>
        <v>18991</v>
      </c>
      <c r="BB168" t="str">
        <f t="shared" si="320"/>
        <v>Triple J</v>
      </c>
      <c r="BC168" t="str">
        <f t="shared" si="320"/>
        <v>Velodrome</v>
      </c>
      <c r="BD168" t="str">
        <f t="shared" si="261"/>
        <v>Stoppage</v>
      </c>
      <c r="BE168" t="str">
        <f t="shared" si="262"/>
        <v>Stoppage_Play</v>
      </c>
      <c r="BF168" t="str">
        <f t="shared" si="263"/>
        <v>Stoppage-HighStick</v>
      </c>
      <c r="BG168" t="str">
        <f t="shared" si="22"/>
        <v/>
      </c>
      <c r="BH168" t="e" cm="1" vm="1">
        <f t="array" aca="1" ref="BH168" ca="1">IFERROR(_xlfn._xlws.FILTER(shifts!A:A,(shifts!B:B=events!Z168)*(shifts!AG:AG&gt;=events!BJ168)*(shifts!AH:AH&lt;=events!BK168)),BH167)</f>
        <v>#VALUE!</v>
      </c>
      <c r="BI168" s="15">
        <f t="shared" si="264"/>
        <v>0</v>
      </c>
      <c r="BJ168">
        <f t="shared" si="265"/>
        <v>939</v>
      </c>
      <c r="BK168">
        <f t="shared" si="266"/>
        <v>939</v>
      </c>
      <c r="BL168" s="15">
        <f>SUMIFS(BI$2:BI168,K$2:K168,"=Intermission")+SUMIFS(BI$2:BI168,K$2:K168,"=Timeout")</f>
        <v>0</v>
      </c>
      <c r="BM168">
        <f t="shared" si="267"/>
        <v>0</v>
      </c>
      <c r="BN168" s="19">
        <f t="shared" si="268"/>
        <v>141</v>
      </c>
      <c r="BO168">
        <f t="shared" si="269"/>
        <v>136</v>
      </c>
      <c r="BP168" s="17">
        <f t="shared" si="270"/>
        <v>141</v>
      </c>
      <c r="BQ168" t="str">
        <f t="shared" si="271"/>
        <v>event_team_player_1</v>
      </c>
      <c r="BR168">
        <f>COUNTIFS(S$3:S168,"="&amp;S168,AH$3:AH168,"="&amp;AH168)</f>
        <v>1</v>
      </c>
      <c r="BS168" t="str">
        <f>IFERROR(VLOOKUP(BA168&amp;BT168&amp;X168,game_rosters!U:W,3,FALSE),"")</f>
        <v>P100014</v>
      </c>
      <c r="BT168" t="str">
        <f t="shared" si="272"/>
        <v>Triple J</v>
      </c>
    </row>
    <row r="169" spans="1:72" x14ac:dyDescent="0.2">
      <c r="A169">
        <f t="shared" si="247"/>
        <v>1</v>
      </c>
      <c r="E169" s="4"/>
      <c r="F169" s="45"/>
      <c r="G169" s="4"/>
      <c r="H169" s="47" t="s">
        <v>747</v>
      </c>
      <c r="I169" s="26">
        <v>69</v>
      </c>
      <c r="J169" s="26" t="s">
        <v>368</v>
      </c>
      <c r="K169" t="s">
        <v>241</v>
      </c>
      <c r="N169" t="str">
        <f t="shared" si="291"/>
        <v/>
      </c>
      <c r="Q169" t="str">
        <f t="shared" si="285"/>
        <v/>
      </c>
      <c r="S169">
        <f>IF(A169=1,MAX($S$2:$S168)+1,IF(OR($I169&lt;&gt;"",A169="x"),$S168,""))</f>
        <v>89</v>
      </c>
      <c r="T169" t="str">
        <f>IF(D169=1,MAX($T$2:$T168)+1,IF(S169=S168,$T168,IF(D169="x",T168,IF(D168="x","",""))))</f>
        <v/>
      </c>
      <c r="U169" t="str">
        <f>IF(B169=1,MAX($U$2:$U168)+1,IF(AND($T169&lt;&gt;"",$T169=$T168),$U168,IF(B169="x",U168,"")))</f>
        <v/>
      </c>
      <c r="V169" t="str">
        <f>IF(C169=1,MAX($V$2:$V168)+1,IF(AND($T169&lt;&gt;"",$T169=$T168),$U168,IF(C169="x",V168,"")))</f>
        <v/>
      </c>
      <c r="W169" t="str" cm="1">
        <f t="array" ref="W169">IFERROR(_xlfn._xlws.FILTER(game_rosters!AC:AC,(game_rosters!J:J=events!X169)*(K169&lt;&gt;"")),"")</f>
        <v>h</v>
      </c>
      <c r="X169" cm="1">
        <f t="array" ref="X169">IF($I169&lt;&gt;"",$I169,INDEX($I$1:$I169,ROW()-COUNTIFS($T$1:$T169,"="&amp;$T169,$S$1:$S169,"&lt;"&amp;$S169)))</f>
        <v>69</v>
      </c>
      <c r="Y169" cm="1">
        <f t="array" ref="Y169">IFERROR(IF(_xlfn._xlws.FILTER(game_rosters!$J:$J,(game_rosters!$G:$G=events!$AM169)*(game_rosters!$J:$J=events!$X169))&gt;0,1,""),"")</f>
        <v>1</v>
      </c>
      <c r="Z169" s="6">
        <f t="shared" si="248"/>
        <v>1</v>
      </c>
      <c r="AA169">
        <f t="shared" si="249"/>
        <v>1089</v>
      </c>
      <c r="AB169" t="str">
        <f t="shared" si="250"/>
        <v/>
      </c>
      <c r="AC169">
        <f t="shared" si="251"/>
        <v>1089</v>
      </c>
      <c r="AD169" t="str">
        <f t="shared" si="252"/>
        <v>15</v>
      </c>
      <c r="AE169" t="str">
        <f t="shared" si="253"/>
        <v>39</v>
      </c>
      <c r="AF169" t="str">
        <f t="shared" si="254"/>
        <v>15</v>
      </c>
      <c r="AG169" t="str">
        <f t="shared" si="255"/>
        <v>07</v>
      </c>
      <c r="AH169" t="str">
        <f t="shared" si="298"/>
        <v>e</v>
      </c>
      <c r="AI169" t="str">
        <f t="shared" si="299"/>
        <v>o</v>
      </c>
      <c r="AJ169" t="str">
        <f t="shared" si="299"/>
        <v>o</v>
      </c>
      <c r="AK169" t="str">
        <f t="shared" si="300"/>
        <v>o</v>
      </c>
      <c r="AL169" t="str">
        <f t="shared" si="301"/>
        <v>d</v>
      </c>
      <c r="AM169" t="str">
        <f t="shared" si="256"/>
        <v>Home</v>
      </c>
      <c r="AN169" t="str">
        <f t="shared" si="302"/>
        <v>h</v>
      </c>
      <c r="AO169" t="str">
        <f t="shared" si="303"/>
        <v>o</v>
      </c>
      <c r="AP169" t="str">
        <f t="shared" si="304"/>
        <v>d</v>
      </c>
      <c r="AQ169" t="str">
        <f>IF(AM169&lt;&gt;"",AM169,IF($AC169=#REF!,#REF!,""))</f>
        <v>Home</v>
      </c>
      <c r="AR169" t="str">
        <f t="shared" si="305"/>
        <v>h</v>
      </c>
      <c r="AS169" t="str">
        <f t="shared" si="306"/>
        <v/>
      </c>
      <c r="AT169" t="str">
        <f t="shared" si="257"/>
        <v/>
      </c>
      <c r="AU169" t="str">
        <f t="shared" si="258"/>
        <v/>
      </c>
      <c r="AV169" t="str" cm="1">
        <f t="array" ref="AV169">IFERROR(IF(O169&lt;&gt;"",O169,IF(OR($S169="",$T169=""),"",IF(O169&lt;&gt;"",O169,IF($T169&lt;&gt;"",_xlfn._xlws.FILTER(O:O,($BT:$BT=$BT169)*($I:$I=$I169)*($T:$T=$T169)*($S:$S=_xlfn.MINIFS($S:$S,$T:$T,"="&amp;$T169)),"")))))&amp;"",IF(O169="","",""))&amp;""</f>
        <v/>
      </c>
      <c r="AW169" t="str" cm="1">
        <f t="array" ref="AW169">IFERROR(IF(P169&lt;&gt;"",P169,IF(OR($S169="",$T169=""),"",IF($T169&lt;&gt;"",_xlfn._xlws.FILTER(P:P,($BT:$BT=$BT169)*($I:$I=$I169)*($T:$T=$T169)*($S:$S=_xlfn.MINIFS($S:$S,$T:$T,"="&amp;$T169)),""))))&amp;"",IF(P169="","",""))&amp;""</f>
        <v/>
      </c>
      <c r="AX169" t="str" cm="1">
        <f t="array" ref="AX169">IFERROR(IF(Q169&lt;&gt;"",Q169,IF(OR($S169="",$T169=""),"",IF($T169&lt;&gt;"",_xlfn._xlws.FILTER(Q:Q,($BT:$BT=$BT169)*($I:$I=$I169)*($T:$T=$T169)*($S:$S=_xlfn.MINIFS($S:$S,$T:$T,"="&amp;$T169)),""))))&amp;"",IF(Q169="","",""))&amp;""</f>
        <v/>
      </c>
      <c r="AY169" t="str" cm="1">
        <f t="array" ref="AY169">IFERROR(IF(R169&lt;&gt;"",R169,IF(OR($S169="",$T169=""),"",IF($T169&lt;&gt;"",_xlfn._xlws.FILTER(R:R,($BT:$BT=$BT169)*($I:$I=$I169)*($T:$T=$T169)*($S:$S=_xlfn.MINIFS($S:$S,$T:$T,"="&amp;$T169)),""))))&amp;"",IF(R169="","",""))&amp;""</f>
        <v/>
      </c>
      <c r="AZ169" s="6">
        <f t="shared" si="259"/>
        <v>18</v>
      </c>
      <c r="BA169">
        <f t="shared" ref="BA169:BC169" si="321">BA168</f>
        <v>18991</v>
      </c>
      <c r="BB169" t="str">
        <f t="shared" si="321"/>
        <v>Triple J</v>
      </c>
      <c r="BC169" t="str">
        <f t="shared" si="321"/>
        <v>Velodrome</v>
      </c>
      <c r="BD169" t="str">
        <f t="shared" si="261"/>
        <v>DeadIce</v>
      </c>
      <c r="BE169" t="str">
        <f t="shared" si="262"/>
        <v/>
      </c>
      <c r="BF169" t="str">
        <f t="shared" si="263"/>
        <v/>
      </c>
      <c r="BG169" t="str">
        <f t="shared" si="22"/>
        <v/>
      </c>
      <c r="BH169" cm="1">
        <f t="array" aca="1" ref="BH169" ca="1">IFERROR(_xlfn._xlws.FILTER(shifts!A:A,(shifts!B:B=events!Z169)*(shifts!AG:AG&gt;=events!BJ169)*(shifts!AH:AH&lt;=events!BK169)),BH168)</f>
        <v>7</v>
      </c>
      <c r="BI169" s="15">
        <f t="shared" si="264"/>
        <v>32</v>
      </c>
      <c r="BJ169">
        <f t="shared" si="265"/>
        <v>939</v>
      </c>
      <c r="BK169">
        <f t="shared" si="266"/>
        <v>907</v>
      </c>
      <c r="BL169" s="15">
        <f>SUMIFS(BI$2:BI169,K$2:K169,"=Intermission")+SUMIFS(BI$2:BI169,K$2:K169,"=Timeout")</f>
        <v>0</v>
      </c>
      <c r="BM169">
        <f t="shared" si="267"/>
        <v>0</v>
      </c>
      <c r="BN169" s="19">
        <f t="shared" si="268"/>
        <v>141</v>
      </c>
      <c r="BO169">
        <f t="shared" si="269"/>
        <v>136</v>
      </c>
      <c r="BP169" s="17">
        <f t="shared" si="270"/>
        <v>173</v>
      </c>
      <c r="BQ169" t="str">
        <f t="shared" si="271"/>
        <v>event_team_player_1</v>
      </c>
      <c r="BR169">
        <f>COUNTIFS(S$3:S169,"="&amp;S169,AH$3:AH169,"="&amp;AH169)</f>
        <v>1</v>
      </c>
      <c r="BS169" t="str">
        <f>IFERROR(VLOOKUP(BA169&amp;BT169&amp;X169,game_rosters!U:W,3,FALSE),"")</f>
        <v>P100014</v>
      </c>
      <c r="BT169" t="str">
        <f t="shared" si="272"/>
        <v>Triple J</v>
      </c>
    </row>
    <row r="170" spans="1:72" x14ac:dyDescent="0.2">
      <c r="A170">
        <f t="shared" si="247"/>
        <v>1</v>
      </c>
      <c r="E170" s="4"/>
      <c r="F170" s="45"/>
      <c r="G170" s="4"/>
      <c r="H170" s="47"/>
      <c r="I170" s="26">
        <v>21</v>
      </c>
      <c r="J170" s="26" t="s">
        <v>736</v>
      </c>
      <c r="K170" t="s">
        <v>5</v>
      </c>
      <c r="L170" t="s">
        <v>236</v>
      </c>
      <c r="N170" t="str">
        <f t="shared" si="291"/>
        <v/>
      </c>
      <c r="Q170" t="str">
        <f t="shared" si="285"/>
        <v/>
      </c>
      <c r="S170">
        <f>IF(A170=1,MAX($S$2:$S169)+1,IF(OR($I170&lt;&gt;"",A170="x"),$S169,""))</f>
        <v>90</v>
      </c>
      <c r="T170" t="str">
        <f>IF(D170=1,MAX($T$2:$T169)+1,IF(S170=S169,$T169,IF(D170="x",T169,IF(D169="x","",""))))</f>
        <v/>
      </c>
      <c r="U170" t="str">
        <f>IF(B170=1,MAX($U$2:$U169)+1,IF(AND($T170&lt;&gt;"",$T170=$T169),$U169,IF(B170="x",U169,"")))</f>
        <v/>
      </c>
      <c r="V170" t="str">
        <f>IF(C170=1,MAX($V$2:$V169)+1,IF(AND($T170&lt;&gt;"",$T170=$T169),$U169,IF(C170="x",V169,"")))</f>
        <v/>
      </c>
      <c r="W170" t="str" cm="1">
        <f t="array" ref="W170">IFERROR(_xlfn._xlws.FILTER(game_rosters!AC:AC,(game_rosters!J:J=events!X170)*(K170&lt;&gt;"")),"")</f>
        <v>h</v>
      </c>
      <c r="X170" cm="1">
        <f t="array" ref="X170">IF($I170&lt;&gt;"",$I170,INDEX($I$1:$I170,ROW()-COUNTIFS($T$1:$T170,"="&amp;$T170,$S$1:$S170,"&lt;"&amp;$S170)))</f>
        <v>21</v>
      </c>
      <c r="Y170" cm="1">
        <f t="array" ref="Y170">IFERROR(IF(_xlfn._xlws.FILTER(game_rosters!$J:$J,(game_rosters!$G:$G=events!$AM170)*(game_rosters!$J:$J=events!$X170))&gt;0,1,""),"")</f>
        <v>1</v>
      </c>
      <c r="Z170" s="6">
        <f t="shared" si="248"/>
        <v>1</v>
      </c>
      <c r="AA170">
        <f t="shared" si="249"/>
        <v>1090</v>
      </c>
      <c r="AB170" t="str">
        <f t="shared" si="250"/>
        <v/>
      </c>
      <c r="AC170">
        <f t="shared" si="251"/>
        <v>1090</v>
      </c>
      <c r="AD170" t="str">
        <f t="shared" si="252"/>
        <v>15</v>
      </c>
      <c r="AE170" t="str">
        <f t="shared" si="253"/>
        <v>07</v>
      </c>
      <c r="AF170" t="str">
        <f t="shared" si="254"/>
        <v/>
      </c>
      <c r="AG170" t="str">
        <f t="shared" si="255"/>
        <v/>
      </c>
      <c r="AH170" t="str">
        <f t="shared" si="298"/>
        <v>e</v>
      </c>
      <c r="AI170" t="str">
        <f t="shared" si="299"/>
        <v>d</v>
      </c>
      <c r="AJ170" t="str">
        <f t="shared" si="299"/>
        <v>d</v>
      </c>
      <c r="AK170" t="str">
        <f t="shared" si="300"/>
        <v>d</v>
      </c>
      <c r="AL170" t="str">
        <f t="shared" si="301"/>
        <v>o</v>
      </c>
      <c r="AM170" t="str">
        <f t="shared" si="256"/>
        <v>Home</v>
      </c>
      <c r="AN170" t="str">
        <f t="shared" si="302"/>
        <v>h</v>
      </c>
      <c r="AO170" t="str">
        <f t="shared" si="303"/>
        <v>d</v>
      </c>
      <c r="AP170" t="str">
        <f t="shared" si="304"/>
        <v>o</v>
      </c>
      <c r="AQ170" t="str">
        <f>IF(AM170&lt;&gt;"",AM170,IF($AC170=#REF!,#REF!,""))</f>
        <v>Home</v>
      </c>
      <c r="AR170" t="str">
        <f t="shared" si="305"/>
        <v>h</v>
      </c>
      <c r="AS170" t="str">
        <f t="shared" si="306"/>
        <v>Offensive</v>
      </c>
      <c r="AT170" t="str">
        <f t="shared" si="257"/>
        <v/>
      </c>
      <c r="AU170" t="str">
        <f t="shared" si="258"/>
        <v/>
      </c>
      <c r="AV170" t="str" cm="1">
        <f t="array" ref="AV170">IFERROR(IF(O170&lt;&gt;"",O170,IF(OR($S170="",$T170=""),"",IF(O170&lt;&gt;"",O170,IF($T170&lt;&gt;"",_xlfn._xlws.FILTER(O:O,($BT:$BT=$BT170)*($I:$I=$I170)*($T:$T=$T170)*($S:$S=_xlfn.MINIFS($S:$S,$T:$T,"="&amp;$T170)),"")))))&amp;"",IF(O170="","",""))&amp;""</f>
        <v/>
      </c>
      <c r="AW170" t="str" cm="1">
        <f t="array" ref="AW170">IFERROR(IF(P170&lt;&gt;"",P170,IF(OR($S170="",$T170=""),"",IF($T170&lt;&gt;"",_xlfn._xlws.FILTER(P:P,($BT:$BT=$BT170)*($I:$I=$I170)*($T:$T=$T170)*($S:$S=_xlfn.MINIFS($S:$S,$T:$T,"="&amp;$T170)),""))))&amp;"",IF(P170="","",""))&amp;""</f>
        <v/>
      </c>
      <c r="AX170" t="str" cm="1">
        <f t="array" ref="AX170">IFERROR(IF(Q170&lt;&gt;"",Q170,IF(OR($S170="",$T170=""),"",IF($T170&lt;&gt;"",_xlfn._xlws.FILTER(Q:Q,($BT:$BT=$BT170)*($I:$I=$I170)*($T:$T=$T170)*($S:$S=_xlfn.MINIFS($S:$S,$T:$T,"="&amp;$T170)),""))))&amp;"",IF(Q170="","",""))&amp;""</f>
        <v/>
      </c>
      <c r="AY170" t="str" cm="1">
        <f t="array" ref="AY170">IFERROR(IF(R170&lt;&gt;"",R170,IF(OR($S170="",$T170=""),"",IF($T170&lt;&gt;"",_xlfn._xlws.FILTER(R:R,($BT:$BT=$BT170)*($I:$I=$I170)*($T:$T=$T170)*($S:$S=_xlfn.MINIFS($S:$S,$T:$T,"="&amp;$T170)),""))))&amp;"",IF(R170="","",""))&amp;""</f>
        <v/>
      </c>
      <c r="AZ170" s="6">
        <f t="shared" si="259"/>
        <v>18</v>
      </c>
      <c r="BA170">
        <f t="shared" ref="BA170:BC170" si="322">BA169</f>
        <v>18991</v>
      </c>
      <c r="BB170" t="str">
        <f t="shared" si="322"/>
        <v>Triple J</v>
      </c>
      <c r="BC170" t="str">
        <f t="shared" si="322"/>
        <v>Velodrome</v>
      </c>
      <c r="BD170" t="str">
        <f t="shared" si="261"/>
        <v>Faceoff</v>
      </c>
      <c r="BE170" t="str">
        <f t="shared" si="262"/>
        <v>Faceoff_AfterStoppage</v>
      </c>
      <c r="BF170" t="str">
        <f t="shared" si="263"/>
        <v/>
      </c>
      <c r="BG170" t="str">
        <f t="shared" si="22"/>
        <v/>
      </c>
      <c r="BH170" cm="1">
        <f t="array" aca="1" ref="BH170" ca="1">IFERROR(_xlfn._xlws.FILTER(shifts!A:A,(shifts!B:B=events!Z170)*(shifts!AG:AG&gt;=events!BJ170)*(shifts!AH:AH&lt;=events!BK170)),BH169)</f>
        <v>7</v>
      </c>
      <c r="BI170" s="15">
        <f t="shared" si="264"/>
        <v>0</v>
      </c>
      <c r="BJ170">
        <f t="shared" si="265"/>
        <v>907</v>
      </c>
      <c r="BK170">
        <f t="shared" si="266"/>
        <v>907</v>
      </c>
      <c r="BL170" s="15">
        <f>SUMIFS(BI$2:BI170,K$2:K170,"=Intermission")+SUMIFS(BI$2:BI170,K$2:K170,"=Timeout")</f>
        <v>0</v>
      </c>
      <c r="BM170">
        <f t="shared" si="267"/>
        <v>0</v>
      </c>
      <c r="BN170" s="19">
        <f t="shared" si="268"/>
        <v>173</v>
      </c>
      <c r="BO170">
        <f t="shared" si="269"/>
        <v>168</v>
      </c>
      <c r="BP170" s="17">
        <f t="shared" si="270"/>
        <v>173</v>
      </c>
      <c r="BQ170" t="str">
        <f t="shared" si="271"/>
        <v>event_team_player_1</v>
      </c>
      <c r="BR170">
        <f>COUNTIFS(S$3:S170,"="&amp;S170,AH$3:AH170,"="&amp;AH170)</f>
        <v>1</v>
      </c>
      <c r="BS170" t="str">
        <f>IFERROR(VLOOKUP(BA170&amp;BT170&amp;X170,game_rosters!U:W,3,FALSE),"")</f>
        <v>P100019</v>
      </c>
      <c r="BT170" t="str">
        <f t="shared" si="272"/>
        <v>Triple J</v>
      </c>
    </row>
    <row r="171" spans="1:72" x14ac:dyDescent="0.2">
      <c r="A171" t="str">
        <f t="shared" si="247"/>
        <v/>
      </c>
      <c r="E171" s="4"/>
      <c r="F171" s="45"/>
      <c r="G171" s="4"/>
      <c r="H171" s="47"/>
      <c r="I171" s="26">
        <v>19</v>
      </c>
      <c r="J171" s="26" t="str">
        <f t="shared" si="274"/>
        <v/>
      </c>
      <c r="N171" t="str">
        <f t="shared" si="291"/>
        <v/>
      </c>
      <c r="Q171" t="str">
        <f t="shared" si="285"/>
        <v/>
      </c>
      <c r="S171">
        <f>IF(A171=1,MAX($S$2:$S170)+1,IF(OR($I171&lt;&gt;"",A171="x"),$S170,""))</f>
        <v>90</v>
      </c>
      <c r="T171" t="str">
        <f>IF(D171=1,MAX($T$2:$T170)+1,IF(S171=S170,$T170,IF(D171="x",T170,IF(D170="x","",""))))</f>
        <v/>
      </c>
      <c r="U171" t="str">
        <f>IF(B171=1,MAX($U$2:$U170)+1,IF(AND($T171&lt;&gt;"",$T171=$T170),$U170,IF(B171="x",U170,"")))</f>
        <v/>
      </c>
      <c r="V171" t="str">
        <f>IF(C171=1,MAX($V$2:$V170)+1,IF(AND($T171&lt;&gt;"",$T171=$T170),$U170,IF(C171="x",V170,"")))</f>
        <v/>
      </c>
      <c r="W171" t="str" cm="1">
        <f t="array" ref="W171">IFERROR(_xlfn._xlws.FILTER(game_rosters!AC:AC,(game_rosters!J:J=events!X171)*(K171&lt;&gt;"")),"")</f>
        <v/>
      </c>
      <c r="X171" cm="1">
        <f t="array" ref="X171">IF($I171&lt;&gt;"",$I171,INDEX($I$1:$I171,ROW()-COUNTIFS($T$1:$T171,"="&amp;$T171,$S$1:$S171,"&lt;"&amp;$S171)))</f>
        <v>19</v>
      </c>
      <c r="Y171" cm="1">
        <f t="array" ref="Y171">IFERROR(IF(_xlfn._xlws.FILTER(game_rosters!$J:$J,(game_rosters!$G:$G=events!$AM171)*(game_rosters!$J:$J=events!$X171))&gt;0,1,""),"")</f>
        <v>1</v>
      </c>
      <c r="Z171" s="6">
        <f t="shared" si="248"/>
        <v>1</v>
      </c>
      <c r="AA171">
        <f t="shared" si="249"/>
        <v>1090</v>
      </c>
      <c r="AB171" t="str">
        <f t="shared" si="250"/>
        <v/>
      </c>
      <c r="AC171">
        <f t="shared" si="251"/>
        <v>1090</v>
      </c>
      <c r="AD171" t="str">
        <f t="shared" si="252"/>
        <v>15</v>
      </c>
      <c r="AE171" t="str">
        <f t="shared" si="253"/>
        <v>07</v>
      </c>
      <c r="AF171" t="str">
        <f t="shared" si="254"/>
        <v/>
      </c>
      <c r="AG171" t="str">
        <f t="shared" si="255"/>
        <v/>
      </c>
      <c r="AH171" t="str">
        <f t="shared" si="298"/>
        <v>e</v>
      </c>
      <c r="AI171" t="str">
        <f t="shared" ref="AI171:AJ186" si="323">IF($J171&lt;&gt;"",$J171,IF($AC171=$AC170,AI170,""))</f>
        <v>d</v>
      </c>
      <c r="AJ171" t="str">
        <f t="shared" si="323"/>
        <v>d</v>
      </c>
      <c r="AK171" t="str">
        <f t="shared" si="300"/>
        <v/>
      </c>
      <c r="AL171" t="str">
        <f t="shared" si="301"/>
        <v/>
      </c>
      <c r="AM171" t="str">
        <f t="shared" si="256"/>
        <v>Home</v>
      </c>
      <c r="AN171" t="str">
        <f t="shared" si="302"/>
        <v>h</v>
      </c>
      <c r="AO171" t="str">
        <f t="shared" si="303"/>
        <v>d</v>
      </c>
      <c r="AP171" t="str">
        <f t="shared" si="304"/>
        <v>o</v>
      </c>
      <c r="AQ171" t="str">
        <f>IF(AM171&lt;&gt;"",AM171,IF($AC171=#REF!,#REF!,""))</f>
        <v>Home</v>
      </c>
      <c r="AR171" t="str">
        <f t="shared" si="305"/>
        <v>h</v>
      </c>
      <c r="AS171" t="str">
        <f t="shared" si="306"/>
        <v>Offensive</v>
      </c>
      <c r="AT171" t="str">
        <f t="shared" si="257"/>
        <v/>
      </c>
      <c r="AU171" t="str">
        <f t="shared" si="258"/>
        <v/>
      </c>
      <c r="AV171" t="str" cm="1">
        <f t="array" ref="AV171">IFERROR(IF(O171&lt;&gt;"",O171,IF(OR($S171="",$T171=""),"",IF(O171&lt;&gt;"",O171,IF($T171&lt;&gt;"",_xlfn._xlws.FILTER(O:O,($BT:$BT=$BT171)*($I:$I=$I171)*($T:$T=$T171)*($S:$S=_xlfn.MINIFS($S:$S,$T:$T,"="&amp;$T171)),"")))))&amp;"",IF(O171="","",""))&amp;""</f>
        <v/>
      </c>
      <c r="AW171" t="str" cm="1">
        <f t="array" ref="AW171">IFERROR(IF(P171&lt;&gt;"",P171,IF(OR($S171="",$T171=""),"",IF($T171&lt;&gt;"",_xlfn._xlws.FILTER(P:P,($BT:$BT=$BT171)*($I:$I=$I171)*($T:$T=$T171)*($S:$S=_xlfn.MINIFS($S:$S,$T:$T,"="&amp;$T171)),""))))&amp;"",IF(P171="","",""))&amp;""</f>
        <v/>
      </c>
      <c r="AX171" t="str" cm="1">
        <f t="array" ref="AX171">IFERROR(IF(Q171&lt;&gt;"",Q171,IF(OR($S171="",$T171=""),"",IF($T171&lt;&gt;"",_xlfn._xlws.FILTER(Q:Q,($BT:$BT=$BT171)*($I:$I=$I171)*($T:$T=$T171)*($S:$S=_xlfn.MINIFS($S:$S,$T:$T,"="&amp;$T171)),""))))&amp;"",IF(Q171="","",""))&amp;""</f>
        <v/>
      </c>
      <c r="AY171" t="str" cm="1">
        <f t="array" ref="AY171">IFERROR(IF(R171&lt;&gt;"",R171,IF(OR($S171="",$T171=""),"",IF($T171&lt;&gt;"",_xlfn._xlws.FILTER(R:R,($BT:$BT=$BT171)*($I:$I=$I171)*($T:$T=$T171)*($S:$S=_xlfn.MINIFS($S:$S,$T:$T,"="&amp;$T171)),""))))&amp;"",IF(R171="","",""))&amp;""</f>
        <v/>
      </c>
      <c r="AZ171" s="6">
        <f t="shared" si="259"/>
        <v>18</v>
      </c>
      <c r="BA171">
        <f t="shared" ref="BA171:BC171" si="324">BA170</f>
        <v>18991</v>
      </c>
      <c r="BB171" t="str">
        <f t="shared" si="324"/>
        <v>Triple J</v>
      </c>
      <c r="BC171" t="str">
        <f t="shared" si="324"/>
        <v>Velodrome</v>
      </c>
      <c r="BD171" t="str">
        <f t="shared" si="261"/>
        <v>Faceoff</v>
      </c>
      <c r="BE171" t="str">
        <f t="shared" si="262"/>
        <v>Faceoff_AfterStoppage</v>
      </c>
      <c r="BF171" t="str">
        <f t="shared" si="263"/>
        <v/>
      </c>
      <c r="BG171" t="str">
        <f t="shared" si="22"/>
        <v/>
      </c>
      <c r="BH171" cm="1">
        <f t="array" aca="1" ref="BH171" ca="1">IFERROR(_xlfn._xlws.FILTER(shifts!A:A,(shifts!B:B=events!Z171)*(shifts!AG:AG&gt;=events!BJ171)*(shifts!AH:AH&lt;=events!BK171)),BH170)</f>
        <v>7</v>
      </c>
      <c r="BI171" s="15">
        <f t="shared" si="264"/>
        <v>0</v>
      </c>
      <c r="BJ171">
        <f t="shared" si="265"/>
        <v>907</v>
      </c>
      <c r="BK171">
        <f t="shared" si="266"/>
        <v>907</v>
      </c>
      <c r="BL171" s="15">
        <f>SUMIFS(BI$2:BI171,K$2:K171,"=Intermission")+SUMIFS(BI$2:BI171,K$2:K171,"=Timeout")</f>
        <v>0</v>
      </c>
      <c r="BM171">
        <f t="shared" si="267"/>
        <v>0</v>
      </c>
      <c r="BN171" s="19">
        <f t="shared" si="268"/>
        <v>173</v>
      </c>
      <c r="BO171">
        <f t="shared" si="269"/>
        <v>168</v>
      </c>
      <c r="BP171" s="17">
        <f t="shared" si="270"/>
        <v>173</v>
      </c>
      <c r="BQ171" t="str">
        <f t="shared" si="271"/>
        <v>event_team_player_2</v>
      </c>
      <c r="BR171">
        <f>COUNTIFS(S$3:S171,"="&amp;S171,AH$3:AH171,"="&amp;AH171)</f>
        <v>2</v>
      </c>
      <c r="BS171" t="str">
        <f>IFERROR(VLOOKUP(BA171&amp;BT171&amp;X171,game_rosters!U:W,3,FALSE),"")</f>
        <v>P100089</v>
      </c>
      <c r="BT171" t="str">
        <f t="shared" si="272"/>
        <v>Triple J</v>
      </c>
    </row>
    <row r="172" spans="1:72" x14ac:dyDescent="0.2">
      <c r="A172" t="str">
        <f t="shared" si="247"/>
        <v/>
      </c>
      <c r="E172" s="4"/>
      <c r="F172" s="45"/>
      <c r="G172" s="4"/>
      <c r="H172" s="47"/>
      <c r="I172" s="26">
        <v>70</v>
      </c>
      <c r="J172" s="26" t="str">
        <f t="shared" si="274"/>
        <v/>
      </c>
      <c r="N172" t="str">
        <f t="shared" si="291"/>
        <v/>
      </c>
      <c r="Q172" t="str">
        <f t="shared" si="285"/>
        <v/>
      </c>
      <c r="S172">
        <f>IF(A172=1,MAX($S$2:$S171)+1,IF(OR($I172&lt;&gt;"",A172="x"),$S171,""))</f>
        <v>90</v>
      </c>
      <c r="T172" t="str">
        <f>IF(D172=1,MAX($T$2:$T171)+1,IF(S172=S171,$T171,IF(D172="x",T171,IF(D171="x","",""))))</f>
        <v/>
      </c>
      <c r="U172" t="str">
        <f>IF(B172=1,MAX($U$2:$U171)+1,IF(AND($T172&lt;&gt;"",$T172=$T171),$U171,IF(B172="x",U171,"")))</f>
        <v/>
      </c>
      <c r="V172" t="str">
        <f>IF(C172=1,MAX($V$2:$V171)+1,IF(AND($T172&lt;&gt;"",$T172=$T171),$U171,IF(C172="x",V171,"")))</f>
        <v/>
      </c>
      <c r="W172" t="str" cm="1">
        <f t="array" ref="W172">IFERROR(_xlfn._xlws.FILTER(game_rosters!AC:AC,(game_rosters!J:J=events!X172)*(K172&lt;&gt;"")),"")</f>
        <v/>
      </c>
      <c r="X172" cm="1">
        <f t="array" ref="X172">IF($I172&lt;&gt;"",$I172,INDEX($I$1:$I172,ROW()-COUNTIFS($T$1:$T172,"="&amp;$T172,$S$1:$S172,"&lt;"&amp;$S172)))</f>
        <v>70</v>
      </c>
      <c r="Y172" t="str" cm="1">
        <f t="array" ref="Y172">IFERROR(IF(_xlfn._xlws.FILTER(game_rosters!$J:$J,(game_rosters!$G:$G=events!$AM172)*(game_rosters!$J:$J=events!$X172))&gt;0,1,""),"")</f>
        <v/>
      </c>
      <c r="Z172" s="6">
        <f t="shared" si="248"/>
        <v>1</v>
      </c>
      <c r="AA172">
        <f t="shared" si="249"/>
        <v>1090</v>
      </c>
      <c r="AB172" t="str">
        <f t="shared" si="250"/>
        <v/>
      </c>
      <c r="AC172">
        <f t="shared" si="251"/>
        <v>1090</v>
      </c>
      <c r="AD172" t="str">
        <f t="shared" si="252"/>
        <v>15</v>
      </c>
      <c r="AE172" t="str">
        <f t="shared" si="253"/>
        <v>07</v>
      </c>
      <c r="AF172" t="str">
        <f t="shared" si="254"/>
        <v/>
      </c>
      <c r="AG172" t="str">
        <f t="shared" si="255"/>
        <v/>
      </c>
      <c r="AH172" t="str">
        <f t="shared" si="298"/>
        <v>o</v>
      </c>
      <c r="AI172" t="str">
        <f t="shared" si="323"/>
        <v>d</v>
      </c>
      <c r="AJ172" t="str">
        <f t="shared" si="323"/>
        <v>d</v>
      </c>
      <c r="AK172" t="str">
        <f t="shared" si="300"/>
        <v/>
      </c>
      <c r="AL172" t="str">
        <f t="shared" si="301"/>
        <v/>
      </c>
      <c r="AM172" t="str">
        <f t="shared" si="256"/>
        <v>Home</v>
      </c>
      <c r="AN172" t="str">
        <f t="shared" si="302"/>
        <v>h</v>
      </c>
      <c r="AO172" t="str">
        <f t="shared" si="303"/>
        <v>d</v>
      </c>
      <c r="AP172" t="str">
        <f t="shared" si="304"/>
        <v>o</v>
      </c>
      <c r="AQ172" t="str">
        <f>IF(AM172&lt;&gt;"",AM172,IF($AC172=#REF!,#REF!,""))</f>
        <v>Home</v>
      </c>
      <c r="AR172" t="str">
        <f t="shared" si="305"/>
        <v>h</v>
      </c>
      <c r="AS172" t="str">
        <f t="shared" si="306"/>
        <v>Defensive</v>
      </c>
      <c r="AT172" t="str">
        <f t="shared" si="257"/>
        <v/>
      </c>
      <c r="AU172" t="str">
        <f t="shared" si="258"/>
        <v/>
      </c>
      <c r="AV172" t="str" cm="1">
        <f t="array" ref="AV172">IFERROR(IF(O172&lt;&gt;"",O172,IF(OR($S172="",$T172=""),"",IF(O172&lt;&gt;"",O172,IF($T172&lt;&gt;"",_xlfn._xlws.FILTER(O:O,($BT:$BT=$BT172)*($I:$I=$I172)*($T:$T=$T172)*($S:$S=_xlfn.MINIFS($S:$S,$T:$T,"="&amp;$T172)),"")))))&amp;"",IF(O172="","",""))&amp;""</f>
        <v/>
      </c>
      <c r="AW172" t="str" cm="1">
        <f t="array" ref="AW172">IFERROR(IF(P172&lt;&gt;"",P172,IF(OR($S172="",$T172=""),"",IF($T172&lt;&gt;"",_xlfn._xlws.FILTER(P:P,($BT:$BT=$BT172)*($I:$I=$I172)*($T:$T=$T172)*($S:$S=_xlfn.MINIFS($S:$S,$T:$T,"="&amp;$T172)),""))))&amp;"",IF(P172="","",""))&amp;""</f>
        <v/>
      </c>
      <c r="AX172" t="str" cm="1">
        <f t="array" ref="AX172">IFERROR(IF(Q172&lt;&gt;"",Q172,IF(OR($S172="",$T172=""),"",IF($T172&lt;&gt;"",_xlfn._xlws.FILTER(Q:Q,($BT:$BT=$BT172)*($I:$I=$I172)*($T:$T=$T172)*($S:$S=_xlfn.MINIFS($S:$S,$T:$T,"="&amp;$T172)),""))))&amp;"",IF(Q172="","",""))&amp;""</f>
        <v/>
      </c>
      <c r="AY172" t="str" cm="1">
        <f t="array" ref="AY172">IFERROR(IF(R172&lt;&gt;"",R172,IF(OR($S172="",$T172=""),"",IF($T172&lt;&gt;"",_xlfn._xlws.FILTER(R:R,($BT:$BT=$BT172)*($I:$I=$I172)*($T:$T=$T172)*($S:$S=_xlfn.MINIFS($S:$S,$T:$T,"="&amp;$T172)),""))))&amp;"",IF(R172="","",""))&amp;""</f>
        <v/>
      </c>
      <c r="AZ172" s="6">
        <f t="shared" si="259"/>
        <v>18</v>
      </c>
      <c r="BA172">
        <f t="shared" ref="BA172:BC172" si="325">BA171</f>
        <v>18991</v>
      </c>
      <c r="BB172" t="str">
        <f t="shared" si="325"/>
        <v>Triple J</v>
      </c>
      <c r="BC172" t="str">
        <f t="shared" si="325"/>
        <v>Velodrome</v>
      </c>
      <c r="BD172" t="str">
        <f t="shared" si="261"/>
        <v>Faceoff</v>
      </c>
      <c r="BE172" t="str">
        <f t="shared" si="262"/>
        <v>Faceoff_AfterStoppage</v>
      </c>
      <c r="BF172" t="str">
        <f t="shared" si="263"/>
        <v/>
      </c>
      <c r="BG172" t="str">
        <f t="shared" si="22"/>
        <v/>
      </c>
      <c r="BH172" cm="1">
        <f t="array" aca="1" ref="BH172" ca="1">IFERROR(_xlfn._xlws.FILTER(shifts!A:A,(shifts!B:B=events!Z172)*(shifts!AG:AG&gt;=events!BJ172)*(shifts!AH:AH&lt;=events!BK172)),BH171)</f>
        <v>7</v>
      </c>
      <c r="BI172" s="15">
        <f t="shared" si="264"/>
        <v>0</v>
      </c>
      <c r="BJ172">
        <f t="shared" si="265"/>
        <v>907</v>
      </c>
      <c r="BK172">
        <f t="shared" si="266"/>
        <v>907</v>
      </c>
      <c r="BL172" s="15">
        <f>SUMIFS(BI$2:BI172,K$2:K172,"=Intermission")+SUMIFS(BI$2:BI172,K$2:K172,"=Timeout")</f>
        <v>0</v>
      </c>
      <c r="BM172">
        <f t="shared" si="267"/>
        <v>0</v>
      </c>
      <c r="BN172" s="19">
        <f t="shared" si="268"/>
        <v>173</v>
      </c>
      <c r="BO172">
        <f t="shared" si="269"/>
        <v>168</v>
      </c>
      <c r="BP172" s="17">
        <f t="shared" si="270"/>
        <v>173</v>
      </c>
      <c r="BQ172" t="str">
        <f t="shared" si="271"/>
        <v>opp_team_player_1</v>
      </c>
      <c r="BR172">
        <f>COUNTIFS(S$3:S172,"="&amp;S172,AH$3:AH172,"="&amp;AH172)</f>
        <v>1</v>
      </c>
      <c r="BS172" t="str">
        <f>IFERROR(VLOOKUP(BA172&amp;BT172&amp;X172,game_rosters!U:W,3,FALSE),"")</f>
        <v>P100001</v>
      </c>
      <c r="BT172" t="str">
        <f t="shared" si="272"/>
        <v>Velodrome</v>
      </c>
    </row>
    <row r="173" spans="1:72" x14ac:dyDescent="0.2">
      <c r="A173">
        <f t="shared" si="247"/>
        <v>1</v>
      </c>
      <c r="E173" s="4"/>
      <c r="F173" s="45" t="s">
        <v>1042</v>
      </c>
      <c r="G173" s="4"/>
      <c r="H173" s="47"/>
      <c r="I173" s="26">
        <v>19</v>
      </c>
      <c r="J173" s="26" t="s">
        <v>736</v>
      </c>
      <c r="K173" t="s">
        <v>7</v>
      </c>
      <c r="L173" t="s">
        <v>172</v>
      </c>
      <c r="M173" t="s">
        <v>68</v>
      </c>
      <c r="N173" t="str">
        <f t="shared" si="291"/>
        <v>s</v>
      </c>
      <c r="O173" t="s">
        <v>576</v>
      </c>
      <c r="Q173" t="str">
        <f t="shared" si="285"/>
        <v>s</v>
      </c>
      <c r="S173">
        <f>IF(A173=1,MAX($S$2:$S172)+1,IF(OR($I173&lt;&gt;"",A173="x"),$S172,""))</f>
        <v>91</v>
      </c>
      <c r="T173" t="str">
        <f>IF(D173=1,MAX($T$2:$T172)+1,IF(S173=S172,$T172,IF(D173="x",T172,IF(D172="x","",""))))</f>
        <v/>
      </c>
      <c r="U173" t="str">
        <f>IF(B173=1,MAX($U$2:$U172)+1,IF(AND($T173&lt;&gt;"",$T173=$T172),$U172,IF(B173="x",U172,"")))</f>
        <v/>
      </c>
      <c r="V173" t="str">
        <f>IF(C173=1,MAX($V$2:$V172)+1,IF(AND($T173&lt;&gt;"",$T173=$T172),$U172,IF(C173="x",V172,"")))</f>
        <v/>
      </c>
      <c r="W173" t="str" cm="1">
        <f t="array" ref="W173">IFERROR(_xlfn._xlws.FILTER(game_rosters!AC:AC,(game_rosters!J:J=events!X173)*(K173&lt;&gt;"")),"")</f>
        <v>h</v>
      </c>
      <c r="X173" cm="1">
        <f t="array" ref="X173">IF($I173&lt;&gt;"",$I173,INDEX($I$1:$I173,ROW()-COUNTIFS($T$1:$T173,"="&amp;$T173,$S$1:$S173,"&lt;"&amp;$S173)))</f>
        <v>19</v>
      </c>
      <c r="Y173" cm="1">
        <f t="array" ref="Y173">IFERROR(IF(_xlfn._xlws.FILTER(game_rosters!$J:$J,(game_rosters!$G:$G=events!$AM173)*(game_rosters!$J:$J=events!$X173))&gt;0,1,""),"")</f>
        <v>1</v>
      </c>
      <c r="Z173" s="6">
        <f t="shared" si="248"/>
        <v>1</v>
      </c>
      <c r="AA173">
        <f t="shared" si="249"/>
        <v>1091</v>
      </c>
      <c r="AB173" t="str">
        <f t="shared" si="250"/>
        <v/>
      </c>
      <c r="AC173">
        <f t="shared" si="251"/>
        <v>1091</v>
      </c>
      <c r="AD173" t="str">
        <f t="shared" si="252"/>
        <v>15</v>
      </c>
      <c r="AE173" t="str">
        <f t="shared" si="253"/>
        <v>06</v>
      </c>
      <c r="AF173" t="str">
        <f t="shared" si="254"/>
        <v/>
      </c>
      <c r="AG173" t="str">
        <f t="shared" si="255"/>
        <v/>
      </c>
      <c r="AH173" t="str">
        <f t="shared" si="298"/>
        <v>e</v>
      </c>
      <c r="AI173" t="str">
        <f t="shared" si="323"/>
        <v>d</v>
      </c>
      <c r="AJ173" t="str">
        <f t="shared" si="323"/>
        <v>d</v>
      </c>
      <c r="AK173" t="str">
        <f t="shared" si="300"/>
        <v>d</v>
      </c>
      <c r="AL173" t="str">
        <f t="shared" si="301"/>
        <v>o</v>
      </c>
      <c r="AM173" t="str">
        <f t="shared" si="256"/>
        <v>Home</v>
      </c>
      <c r="AN173" t="str">
        <f t="shared" si="302"/>
        <v>h</v>
      </c>
      <c r="AO173" t="str">
        <f t="shared" si="303"/>
        <v>d</v>
      </c>
      <c r="AP173" t="str">
        <f t="shared" si="304"/>
        <v>o</v>
      </c>
      <c r="AQ173" t="str">
        <f>IF(AM173&lt;&gt;"",AM173,IF($AC173=#REF!,#REF!,""))</f>
        <v>Home</v>
      </c>
      <c r="AR173" t="str">
        <f t="shared" si="305"/>
        <v>h</v>
      </c>
      <c r="AS173" t="str">
        <f t="shared" si="306"/>
        <v>Offensive</v>
      </c>
      <c r="AT173" t="str">
        <f t="shared" si="257"/>
        <v/>
      </c>
      <c r="AU173" t="str">
        <f t="shared" si="258"/>
        <v/>
      </c>
      <c r="AV173" t="str" cm="1">
        <f t="array" ref="AV173">IFERROR(IF(O173&lt;&gt;"",O173,IF(OR($S173="",$T173=""),"",IF(O173&lt;&gt;"",O173,IF($T173&lt;&gt;"",_xlfn._xlws.FILTER(O:O,($BT:$BT=$BT173)*($I:$I=$I173)*($T:$T=$T173)*($S:$S=_xlfn.MINIFS($S:$S,$T:$T,"="&amp;$T173)),"")))))&amp;"",IF(O173="","",""))&amp;""</f>
        <v>SecondTouch</v>
      </c>
      <c r="AW173" t="str" cm="1">
        <f t="array" ref="AW173">IFERROR(IF(P173&lt;&gt;"",P173,IF(OR($S173="",$T173=""),"",IF($T173&lt;&gt;"",_xlfn._xlws.FILTER(P:P,($BT:$BT=$BT173)*($I:$I=$I173)*($T:$T=$T173)*($S:$S=_xlfn.MINIFS($S:$S,$T:$T,"="&amp;$T173)),""))))&amp;"",IF(P173="","",""))&amp;""</f>
        <v/>
      </c>
      <c r="AX173" t="str" cm="1">
        <f t="array" ref="AX173">IFERROR(IF(Q173&lt;&gt;"",Q173,IF(OR($S173="",$T173=""),"",IF($T173&lt;&gt;"",_xlfn._xlws.FILTER(Q:Q,($BT:$BT=$BT173)*($I:$I=$I173)*($T:$T=$T173)*($S:$S=_xlfn.MINIFS($S:$S,$T:$T,"="&amp;$T173)),""))))&amp;"",IF(Q173="","",""))&amp;""</f>
        <v>s</v>
      </c>
      <c r="AY173" t="str" cm="1">
        <f t="array" ref="AY173">IFERROR(IF(R173&lt;&gt;"",R173,IF(OR($S173="",$T173=""),"",IF($T173&lt;&gt;"",_xlfn._xlws.FILTER(R:R,($BT:$BT=$BT173)*($I:$I=$I173)*($T:$T=$T173)*($S:$S=_xlfn.MINIFS($S:$S,$T:$T,"="&amp;$T173)),""))))&amp;"",IF(R173="","",""))&amp;""</f>
        <v/>
      </c>
      <c r="AZ173" s="6">
        <f t="shared" si="259"/>
        <v>18</v>
      </c>
      <c r="BA173">
        <f t="shared" ref="BA173:BC173" si="326">BA172</f>
        <v>18991</v>
      </c>
      <c r="BB173" t="str">
        <f t="shared" si="326"/>
        <v>Triple J</v>
      </c>
      <c r="BC173" t="str">
        <f t="shared" si="326"/>
        <v>Velodrome</v>
      </c>
      <c r="BD173" t="str">
        <f t="shared" si="261"/>
        <v>Pass</v>
      </c>
      <c r="BE173" t="str">
        <f t="shared" si="262"/>
        <v>Pass_Completed</v>
      </c>
      <c r="BF173" t="str">
        <f t="shared" si="263"/>
        <v>Pass-Forehand</v>
      </c>
      <c r="BG173" t="str">
        <f t="shared" si="22"/>
        <v>s</v>
      </c>
      <c r="BH173" cm="1">
        <f t="array" aca="1" ref="BH173" ca="1">IFERROR(_xlfn._xlws.FILTER(shifts!A:A,(shifts!B:B=events!Z173)*(shifts!AG:AG&gt;=events!BJ173)*(shifts!AH:AH&lt;=events!BK173)),BH172)</f>
        <v>7</v>
      </c>
      <c r="BI173" s="15">
        <f t="shared" si="264"/>
        <v>0</v>
      </c>
      <c r="BJ173">
        <f t="shared" si="265"/>
        <v>906</v>
      </c>
      <c r="BK173">
        <f t="shared" si="266"/>
        <v>906</v>
      </c>
      <c r="BL173" s="15">
        <f>SUMIFS(BI$2:BI173,K$2:K173,"=Intermission")+SUMIFS(BI$2:BI173,K$2:K173,"=Timeout")</f>
        <v>0</v>
      </c>
      <c r="BM173">
        <f t="shared" si="267"/>
        <v>0</v>
      </c>
      <c r="BN173" s="19">
        <f t="shared" si="268"/>
        <v>174</v>
      </c>
      <c r="BO173">
        <f t="shared" si="269"/>
        <v>169</v>
      </c>
      <c r="BP173" s="17">
        <f t="shared" si="270"/>
        <v>174</v>
      </c>
      <c r="BQ173" t="str">
        <f t="shared" si="271"/>
        <v>event_team_player_1</v>
      </c>
      <c r="BR173">
        <f>COUNTIFS(S$3:S173,"="&amp;S173,AH$3:AH173,"="&amp;AH173)</f>
        <v>1</v>
      </c>
      <c r="BS173" t="str">
        <f>IFERROR(VLOOKUP(BA173&amp;BT173&amp;X173,game_rosters!U:W,3,FALSE),"")</f>
        <v>P100089</v>
      </c>
      <c r="BT173" t="str">
        <f t="shared" si="272"/>
        <v>Triple J</v>
      </c>
    </row>
    <row r="174" spans="1:72" x14ac:dyDescent="0.2">
      <c r="A174" t="str">
        <f t="shared" si="247"/>
        <v/>
      </c>
      <c r="E174" s="4"/>
      <c r="F174" s="45"/>
      <c r="G174" s="4"/>
      <c r="H174" s="47"/>
      <c r="I174" s="26">
        <v>41</v>
      </c>
      <c r="J174" s="26" t="str">
        <f t="shared" si="274"/>
        <v/>
      </c>
      <c r="N174" t="str">
        <f t="shared" si="291"/>
        <v/>
      </c>
      <c r="Q174" t="str">
        <f t="shared" si="285"/>
        <v/>
      </c>
      <c r="S174">
        <f>IF(A174=1,MAX($S$2:$S173)+1,IF(OR($I174&lt;&gt;"",A174="x"),$S173,""))</f>
        <v>91</v>
      </c>
      <c r="T174" t="str">
        <f>IF(D174=1,MAX($T$2:$T173)+1,IF(S174=S173,$T173,IF(D174="x",T173,IF(D173="x","",""))))</f>
        <v/>
      </c>
      <c r="U174" t="str">
        <f>IF(B174=1,MAX($U$2:$U173)+1,IF(AND($T174&lt;&gt;"",$T174=$T173),$U173,IF(B174="x",U173,"")))</f>
        <v/>
      </c>
      <c r="V174" t="str">
        <f>IF(C174=1,MAX($V$2:$V173)+1,IF(AND($T174&lt;&gt;"",$T174=$T173),$U173,IF(C174="x",V173,"")))</f>
        <v/>
      </c>
      <c r="W174" t="str" cm="1">
        <f t="array" ref="W174">IFERROR(_xlfn._xlws.FILTER(game_rosters!AC:AC,(game_rosters!J:J=events!X174)*(K174&lt;&gt;"")),"")</f>
        <v/>
      </c>
      <c r="X174" cm="1">
        <f t="array" ref="X174">IF($I174&lt;&gt;"",$I174,INDEX($I$1:$I174,ROW()-COUNTIFS($T$1:$T174,"="&amp;$T174,$S$1:$S174,"&lt;"&amp;$S174)))</f>
        <v>41</v>
      </c>
      <c r="Y174" cm="1">
        <f t="array" ref="Y174">IFERROR(IF(_xlfn._xlws.FILTER(game_rosters!$J:$J,(game_rosters!$G:$G=events!$AM174)*(game_rosters!$J:$J=events!$X174))&gt;0,1,""),"")</f>
        <v>1</v>
      </c>
      <c r="Z174" s="6">
        <f t="shared" si="248"/>
        <v>1</v>
      </c>
      <c r="AA174">
        <f t="shared" si="249"/>
        <v>1091</v>
      </c>
      <c r="AB174" t="str">
        <f t="shared" si="250"/>
        <v/>
      </c>
      <c r="AC174">
        <f t="shared" si="251"/>
        <v>1091</v>
      </c>
      <c r="AD174" t="str">
        <f t="shared" si="252"/>
        <v>15</v>
      </c>
      <c r="AE174" t="str">
        <f t="shared" si="253"/>
        <v>06</v>
      </c>
      <c r="AF174" t="str">
        <f t="shared" si="254"/>
        <v/>
      </c>
      <c r="AG174" t="str">
        <f t="shared" si="255"/>
        <v/>
      </c>
      <c r="AH174" t="str">
        <f t="shared" si="298"/>
        <v>e</v>
      </c>
      <c r="AI174" t="str">
        <f t="shared" si="323"/>
        <v>d</v>
      </c>
      <c r="AJ174" t="str">
        <f t="shared" si="323"/>
        <v>d</v>
      </c>
      <c r="AK174" t="str">
        <f t="shared" si="300"/>
        <v/>
      </c>
      <c r="AL174" t="str">
        <f t="shared" si="301"/>
        <v/>
      </c>
      <c r="AM174" t="str">
        <f t="shared" si="256"/>
        <v>Home</v>
      </c>
      <c r="AN174" t="str">
        <f t="shared" si="302"/>
        <v>h</v>
      </c>
      <c r="AO174" t="str">
        <f t="shared" si="303"/>
        <v>d</v>
      </c>
      <c r="AP174" t="str">
        <f t="shared" si="304"/>
        <v>o</v>
      </c>
      <c r="AQ174" t="str">
        <f>IF(AM174&lt;&gt;"",AM174,IF($AC174=#REF!,#REF!,""))</f>
        <v>Home</v>
      </c>
      <c r="AR174" t="str">
        <f t="shared" si="305"/>
        <v>h</v>
      </c>
      <c r="AS174" t="str">
        <f t="shared" si="306"/>
        <v>Offensive</v>
      </c>
      <c r="AT174" t="str">
        <f t="shared" si="257"/>
        <v/>
      </c>
      <c r="AU174" t="str">
        <f t="shared" si="258"/>
        <v/>
      </c>
      <c r="AV174" t="str" cm="1">
        <f t="array" ref="AV174">IFERROR(IF(O174&lt;&gt;"",O174,IF(OR($S174="",$T174=""),"",IF(O174&lt;&gt;"",O174,IF($T174&lt;&gt;"",_xlfn._xlws.FILTER(O:O,($BT:$BT=$BT174)*($I:$I=$I174)*($T:$T=$T174)*($S:$S=_xlfn.MINIFS($S:$S,$T:$T,"="&amp;$T174)),"")))))&amp;"",IF(O174="","",""))&amp;""</f>
        <v/>
      </c>
      <c r="AW174" t="str" cm="1">
        <f t="array" ref="AW174">IFERROR(IF(P174&lt;&gt;"",P174,IF(OR($S174="",$T174=""),"",IF($T174&lt;&gt;"",_xlfn._xlws.FILTER(P:P,($BT:$BT=$BT174)*($I:$I=$I174)*($T:$T=$T174)*($S:$S=_xlfn.MINIFS($S:$S,$T:$T,"="&amp;$T174)),""))))&amp;"",IF(P174="","",""))&amp;""</f>
        <v/>
      </c>
      <c r="AX174" t="str" cm="1">
        <f t="array" ref="AX174">IFERROR(IF(Q174&lt;&gt;"",Q174,IF(OR($S174="",$T174=""),"",IF($T174&lt;&gt;"",_xlfn._xlws.FILTER(Q:Q,($BT:$BT=$BT174)*($I:$I=$I174)*($T:$T=$T174)*($S:$S=_xlfn.MINIFS($S:$S,$T:$T,"="&amp;$T174)),""))))&amp;"",IF(Q174="","",""))&amp;""</f>
        <v/>
      </c>
      <c r="AY174" t="str" cm="1">
        <f t="array" ref="AY174">IFERROR(IF(R174&lt;&gt;"",R174,IF(OR($S174="",$T174=""),"",IF($T174&lt;&gt;"",_xlfn._xlws.FILTER(R:R,($BT:$BT=$BT174)*($I:$I=$I174)*($T:$T=$T174)*($S:$S=_xlfn.MINIFS($S:$S,$T:$T,"="&amp;$T174)),""))))&amp;"",IF(R174="","",""))&amp;""</f>
        <v/>
      </c>
      <c r="AZ174" s="6">
        <f t="shared" si="259"/>
        <v>18</v>
      </c>
      <c r="BA174">
        <f t="shared" ref="BA174:BC174" si="327">BA173</f>
        <v>18991</v>
      </c>
      <c r="BB174" t="str">
        <f t="shared" si="327"/>
        <v>Triple J</v>
      </c>
      <c r="BC174" t="str">
        <f t="shared" si="327"/>
        <v>Velodrome</v>
      </c>
      <c r="BD174" t="str">
        <f t="shared" si="261"/>
        <v>Pass</v>
      </c>
      <c r="BE174" t="str">
        <f t="shared" si="262"/>
        <v>Pass_Completed</v>
      </c>
      <c r="BF174" t="str">
        <f t="shared" si="263"/>
        <v>Pass-Forehand</v>
      </c>
      <c r="BG174" t="str">
        <f t="shared" si="22"/>
        <v>s</v>
      </c>
      <c r="BH174" cm="1">
        <f t="array" aca="1" ref="BH174" ca="1">IFERROR(_xlfn._xlws.FILTER(shifts!A:A,(shifts!B:B=events!Z174)*(shifts!AG:AG&gt;=events!BJ174)*(shifts!AH:AH&lt;=events!BK174)),BH173)</f>
        <v>7</v>
      </c>
      <c r="BI174" s="15">
        <f t="shared" si="264"/>
        <v>0</v>
      </c>
      <c r="BJ174">
        <f t="shared" si="265"/>
        <v>906</v>
      </c>
      <c r="BK174">
        <f t="shared" si="266"/>
        <v>906</v>
      </c>
      <c r="BL174" s="15">
        <f>SUMIFS(BI$2:BI174,K$2:K174,"=Intermission")+SUMIFS(BI$2:BI174,K$2:K174,"=Timeout")</f>
        <v>0</v>
      </c>
      <c r="BM174">
        <f t="shared" si="267"/>
        <v>0</v>
      </c>
      <c r="BN174" s="19">
        <f t="shared" si="268"/>
        <v>174</v>
      </c>
      <c r="BO174">
        <f t="shared" si="269"/>
        <v>169</v>
      </c>
      <c r="BP174" s="17">
        <f t="shared" si="270"/>
        <v>174</v>
      </c>
      <c r="BQ174" t="str">
        <f t="shared" si="271"/>
        <v>event_team_player_2</v>
      </c>
      <c r="BR174">
        <f>COUNTIFS(S$3:S174,"="&amp;S174,AH$3:AH174,"="&amp;AH174)</f>
        <v>2</v>
      </c>
      <c r="BS174" t="str">
        <f>IFERROR(VLOOKUP(BA174&amp;BT174&amp;X174,game_rosters!U:W,3,FALSE),"")</f>
        <v>P100206</v>
      </c>
      <c r="BT174" t="str">
        <f t="shared" si="272"/>
        <v>Triple J</v>
      </c>
    </row>
    <row r="175" spans="1:72" x14ac:dyDescent="0.2">
      <c r="A175">
        <f t="shared" si="247"/>
        <v>1</v>
      </c>
      <c r="D175" s="26">
        <v>1</v>
      </c>
      <c r="E175" s="4"/>
      <c r="F175" s="45" t="s">
        <v>1069</v>
      </c>
      <c r="G175" s="4"/>
      <c r="H175" s="47"/>
      <c r="I175" s="26">
        <v>41</v>
      </c>
      <c r="J175" s="26" t="s">
        <v>736</v>
      </c>
      <c r="K175" t="s">
        <v>7</v>
      </c>
      <c r="L175" t="s">
        <v>192</v>
      </c>
      <c r="M175" t="s">
        <v>68</v>
      </c>
      <c r="N175" t="str">
        <f t="shared" si="291"/>
        <v>u</v>
      </c>
      <c r="Q175" t="str">
        <f t="shared" si="285"/>
        <v/>
      </c>
      <c r="R175" s="26">
        <v>1</v>
      </c>
      <c r="S175">
        <f>IF(A175=1,MAX($S$2:$S174)+1,IF(OR($I175&lt;&gt;"",A175="x"),$S174,""))</f>
        <v>92</v>
      </c>
      <c r="T175">
        <f>IF(D175=1,MAX($T$2:$T174)+1,IF(S175=S174,$T174,IF(D175="x",T174,IF(D174="x","",""))))</f>
        <v>13</v>
      </c>
      <c r="U175" t="str">
        <f>IF(B175=1,MAX($U$2:$U174)+1,IF(AND($T175&lt;&gt;"",$T175=$T174),$U174,IF(B175="x",U174,"")))</f>
        <v/>
      </c>
      <c r="V175" t="str">
        <f>IF(C175=1,MAX($V$2:$V174)+1,IF(AND($T175&lt;&gt;"",$T175=$T174),$U174,IF(C175="x",V174,"")))</f>
        <v/>
      </c>
      <c r="W175" t="str" cm="1">
        <f t="array" ref="W175">IFERROR(_xlfn._xlws.FILTER(game_rosters!AC:AC,(game_rosters!J:J=events!X175)*(K175&lt;&gt;"")),"")</f>
        <v>h</v>
      </c>
      <c r="X175" cm="1">
        <f t="array" ref="X175">IF($I175&lt;&gt;"",$I175,INDEX($I$1:$I175,ROW()-COUNTIFS($T$1:$T175,"="&amp;$T175,$S$1:$S175,"&lt;"&amp;$S175)))</f>
        <v>41</v>
      </c>
      <c r="Y175" cm="1">
        <f t="array" ref="Y175">IFERROR(IF(_xlfn._xlws.FILTER(game_rosters!$J:$J,(game_rosters!$G:$G=events!$AM175)*(game_rosters!$J:$J=events!$X175))&gt;0,1,""),"")</f>
        <v>1</v>
      </c>
      <c r="Z175" s="6">
        <f t="shared" si="248"/>
        <v>1</v>
      </c>
      <c r="AA175">
        <f t="shared" si="249"/>
        <v>1092</v>
      </c>
      <c r="AB175">
        <f t="shared" si="250"/>
        <v>9013</v>
      </c>
      <c r="AC175">
        <f t="shared" si="251"/>
        <v>9013</v>
      </c>
      <c r="AD175" t="str">
        <f t="shared" si="252"/>
        <v>15</v>
      </c>
      <c r="AE175" t="str">
        <f t="shared" si="253"/>
        <v>05</v>
      </c>
      <c r="AF175" t="str">
        <f t="shared" si="254"/>
        <v/>
      </c>
      <c r="AG175" t="str">
        <f t="shared" si="255"/>
        <v/>
      </c>
      <c r="AH175" t="str">
        <f t="shared" si="298"/>
        <v>e</v>
      </c>
      <c r="AI175" t="str">
        <f t="shared" si="323"/>
        <v>d</v>
      </c>
      <c r="AJ175" t="str">
        <f t="shared" si="323"/>
        <v>d</v>
      </c>
      <c r="AK175" t="str">
        <f t="shared" si="300"/>
        <v>d</v>
      </c>
      <c r="AL175" t="str">
        <f t="shared" si="301"/>
        <v>o</v>
      </c>
      <c r="AM175" t="str">
        <f t="shared" si="256"/>
        <v>Home</v>
      </c>
      <c r="AN175" t="str">
        <f t="shared" si="302"/>
        <v>h</v>
      </c>
      <c r="AO175" t="str">
        <f t="shared" si="303"/>
        <v>d</v>
      </c>
      <c r="AP175" t="str">
        <f t="shared" si="304"/>
        <v>o</v>
      </c>
      <c r="AQ175" t="str">
        <f>IF(AM175&lt;&gt;"",AM175,IF($AC175=#REF!,#REF!,""))</f>
        <v>Home</v>
      </c>
      <c r="AR175" t="str">
        <f t="shared" si="305"/>
        <v>h</v>
      </c>
      <c r="AS175" t="str">
        <f t="shared" si="306"/>
        <v>Offensive</v>
      </c>
      <c r="AT175" t="str">
        <f t="shared" si="257"/>
        <v/>
      </c>
      <c r="AU175" t="str">
        <f t="shared" si="258"/>
        <v/>
      </c>
      <c r="AV175" t="str" cm="1">
        <f t="array" ref="AV175">IFERROR(IF(O175&lt;&gt;"",O175,IF(OR($S175="",$T175=""),"",IF(O175&lt;&gt;"",O175,IF($T175&lt;&gt;"",_xlfn._xlws.FILTER(O:O,($BT:$BT=$BT175)*($I:$I=$I175)*($T:$T=$T175)*($S:$S=_xlfn.MINIFS($S:$S,$T:$T,"="&amp;$T175)),"")))))&amp;"",IF(O175="","",""))&amp;""</f>
        <v/>
      </c>
      <c r="AW175" t="str" cm="1">
        <f t="array" ref="AW175">IFERROR(IF(P175&lt;&gt;"",P175,IF(OR($S175="",$T175=""),"",IF($T175&lt;&gt;"",_xlfn._xlws.FILTER(P:P,($BT:$BT=$BT175)*($I:$I=$I175)*($T:$T=$T175)*($S:$S=_xlfn.MINIFS($S:$S,$T:$T,"="&amp;$T175)),""))))&amp;"",IF(P175="","",""))&amp;""</f>
        <v/>
      </c>
      <c r="AX175" t="str" cm="1">
        <f t="array" ref="AX175">IFERROR(IF(Q175&lt;&gt;"",Q175,IF(OR($S175="",$T175=""),"",IF($T175&lt;&gt;"",_xlfn._xlws.FILTER(Q:Q,($BT:$BT=$BT175)*($I:$I=$I175)*($T:$T=$T175)*($S:$S=_xlfn.MINIFS($S:$S,$T:$T,"="&amp;$T175)),""))))&amp;"",IF(Q175="","",""))&amp;""</f>
        <v/>
      </c>
      <c r="AY175" t="str" cm="1">
        <f t="array" ref="AY175">IFERROR(IF(R175&lt;&gt;"",R175,IF(OR($S175="",$T175=""),"",IF($T175&lt;&gt;"",_xlfn._xlws.FILTER(R:R,($BT:$BT=$BT175)*($I:$I=$I175)*($T:$T=$T175)*($S:$S=_xlfn.MINIFS($S:$S,$T:$T,"="&amp;$T175)),""))))&amp;"",IF(R175="","",""))&amp;""</f>
        <v>1</v>
      </c>
      <c r="AZ175" s="6">
        <f t="shared" si="259"/>
        <v>18</v>
      </c>
      <c r="BA175">
        <f t="shared" ref="BA175:BC175" si="328">BA174</f>
        <v>18991</v>
      </c>
      <c r="BB175" t="str">
        <f t="shared" si="328"/>
        <v>Triple J</v>
      </c>
      <c r="BC175" t="str">
        <f t="shared" si="328"/>
        <v>Velodrome</v>
      </c>
      <c r="BD175" t="str">
        <f t="shared" si="261"/>
        <v>Pass</v>
      </c>
      <c r="BE175" t="str">
        <f t="shared" si="262"/>
        <v>Pass_Deflected</v>
      </c>
      <c r="BF175" t="str">
        <f t="shared" si="263"/>
        <v>Pass-Forehand</v>
      </c>
      <c r="BG175" t="str">
        <f t="shared" si="22"/>
        <v>u</v>
      </c>
      <c r="BH175" cm="1">
        <f t="array" aca="1" ref="BH175" ca="1">IFERROR(_xlfn._xlws.FILTER(shifts!A:A,(shifts!B:B=events!Z175)*(shifts!AG:AG&gt;=events!BJ175)*(shifts!AH:AH&lt;=events!BK175)),BH174)</f>
        <v>7</v>
      </c>
      <c r="BI175" s="15">
        <f t="shared" si="264"/>
        <v>0</v>
      </c>
      <c r="BJ175">
        <f t="shared" si="265"/>
        <v>905</v>
      </c>
      <c r="BK175">
        <f t="shared" si="266"/>
        <v>905</v>
      </c>
      <c r="BL175" s="15">
        <f>SUMIFS(BI$2:BI175,K$2:K175,"=Intermission")+SUMIFS(BI$2:BI175,K$2:K175,"=Timeout")</f>
        <v>0</v>
      </c>
      <c r="BM175">
        <f t="shared" si="267"/>
        <v>0</v>
      </c>
      <c r="BN175" s="19">
        <f t="shared" si="268"/>
        <v>175</v>
      </c>
      <c r="BO175">
        <f t="shared" si="269"/>
        <v>170</v>
      </c>
      <c r="BP175" s="17">
        <f t="shared" si="270"/>
        <v>175</v>
      </c>
      <c r="BQ175" t="str">
        <f t="shared" si="271"/>
        <v>event_team_player_1</v>
      </c>
      <c r="BR175">
        <f>COUNTIFS(S$3:S175,"="&amp;S175,AH$3:AH175,"="&amp;AH175)</f>
        <v>1</v>
      </c>
      <c r="BS175" t="str">
        <f>IFERROR(VLOOKUP(BA175&amp;BT175&amp;X175,game_rosters!U:W,3,FALSE),"")</f>
        <v>P100206</v>
      </c>
      <c r="BT175" t="str">
        <f t="shared" si="272"/>
        <v>Triple J</v>
      </c>
    </row>
    <row r="176" spans="1:72" x14ac:dyDescent="0.2">
      <c r="A176" t="str">
        <f t="shared" si="247"/>
        <v>x</v>
      </c>
      <c r="D176" s="26" t="s">
        <v>729</v>
      </c>
      <c r="E176" s="4"/>
      <c r="F176" s="45"/>
      <c r="G176" s="4"/>
      <c r="H176" s="47"/>
      <c r="I176" s="26">
        <v>71</v>
      </c>
      <c r="J176" s="26" t="str">
        <f t="shared" si="274"/>
        <v/>
      </c>
      <c r="N176" t="str">
        <f t="shared" si="291"/>
        <v/>
      </c>
      <c r="Q176" t="str">
        <f t="shared" si="285"/>
        <v/>
      </c>
      <c r="S176">
        <f>IF(A176=1,MAX($S$2:$S175)+1,IF(OR($I176&lt;&gt;"",A176="x"),$S175,""))</f>
        <v>92</v>
      </c>
      <c r="T176">
        <f>IF(D176=1,MAX($T$2:$T175)+1,IF(S176=S175,$T175,IF(D176="x",T175,IF(D175="x","",""))))</f>
        <v>13</v>
      </c>
      <c r="U176" t="str">
        <f>IF(B176=1,MAX($U$2:$U175)+1,IF(AND($T176&lt;&gt;"",$T176=$T175),$U175,IF(B176="x",U175,"")))</f>
        <v/>
      </c>
      <c r="V176" t="str">
        <f>IF(C176=1,MAX($V$2:$V175)+1,IF(AND($T176&lt;&gt;"",$T176=$T175),$U175,IF(C176="x",V175,"")))</f>
        <v/>
      </c>
      <c r="W176" t="str" cm="1">
        <f t="array" ref="W176">IFERROR(_xlfn._xlws.FILTER(game_rosters!AC:AC,(game_rosters!J:J=events!X176)*(K176&lt;&gt;"")),"")</f>
        <v/>
      </c>
      <c r="X176" cm="1">
        <f t="array" ref="X176">IF($I176&lt;&gt;"",$I176,INDEX($I$1:$I176,ROW()-COUNTIFS($T$1:$T176,"="&amp;$T176,$S$1:$S176,"&lt;"&amp;$S176)))</f>
        <v>71</v>
      </c>
      <c r="Y176" cm="1">
        <f t="array" ref="Y176">IFERROR(IF(_xlfn._xlws.FILTER(game_rosters!$J:$J,(game_rosters!$G:$G=events!$AM176)*(game_rosters!$J:$J=events!$X176))&gt;0,1,""),"")</f>
        <v>1</v>
      </c>
      <c r="Z176" s="6">
        <f t="shared" si="248"/>
        <v>1</v>
      </c>
      <c r="AA176">
        <f t="shared" si="249"/>
        <v>1092</v>
      </c>
      <c r="AB176">
        <f t="shared" si="250"/>
        <v>9013</v>
      </c>
      <c r="AC176">
        <f t="shared" si="251"/>
        <v>9013</v>
      </c>
      <c r="AD176" t="str">
        <f t="shared" si="252"/>
        <v>15</v>
      </c>
      <c r="AE176" t="str">
        <f t="shared" si="253"/>
        <v>05</v>
      </c>
      <c r="AF176" t="str">
        <f t="shared" si="254"/>
        <v/>
      </c>
      <c r="AG176" t="str">
        <f t="shared" si="255"/>
        <v/>
      </c>
      <c r="AH176" t="str">
        <f t="shared" si="298"/>
        <v>e</v>
      </c>
      <c r="AI176" t="str">
        <f t="shared" si="323"/>
        <v>d</v>
      </c>
      <c r="AJ176" t="str">
        <f t="shared" si="323"/>
        <v>d</v>
      </c>
      <c r="AK176" t="str">
        <f t="shared" si="300"/>
        <v/>
      </c>
      <c r="AL176" t="str">
        <f t="shared" si="301"/>
        <v/>
      </c>
      <c r="AM176" t="str">
        <f t="shared" si="256"/>
        <v>Home</v>
      </c>
      <c r="AN176" t="str">
        <f t="shared" si="302"/>
        <v>h</v>
      </c>
      <c r="AO176" t="str">
        <f t="shared" si="303"/>
        <v>d</v>
      </c>
      <c r="AP176" t="str">
        <f t="shared" si="304"/>
        <v>o</v>
      </c>
      <c r="AQ176" t="str">
        <f>IF(AM176&lt;&gt;"",AM176,IF($AC176=#REF!,#REF!,""))</f>
        <v>Home</v>
      </c>
      <c r="AR176" t="str">
        <f t="shared" si="305"/>
        <v>h</v>
      </c>
      <c r="AS176" t="str">
        <f t="shared" si="306"/>
        <v>Offensive</v>
      </c>
      <c r="AT176" t="str">
        <f t="shared" si="257"/>
        <v/>
      </c>
      <c r="AU176" t="str">
        <f t="shared" si="258"/>
        <v/>
      </c>
      <c r="AV176" t="str" cm="1">
        <f t="array" ref="AV176">IFERROR(IF(O176&lt;&gt;"",O176,IF(OR($S176="",$T176=""),"",IF(O176&lt;&gt;"",O176,IF($T176&lt;&gt;"",_xlfn._xlws.FILTER(O:O,($BT:$BT=$BT176)*($I:$I=$I176)*($T:$T=$T176)*($S:$S=_xlfn.MINIFS($S:$S,$T:$T,"="&amp;$T176)),"")))))&amp;"",IF(O176="","",""))&amp;""</f>
        <v/>
      </c>
      <c r="AW176" t="str" cm="1">
        <f t="array" ref="AW176">IFERROR(IF(P176&lt;&gt;"",P176,IF(OR($S176="",$T176=""),"",IF($T176&lt;&gt;"",_xlfn._xlws.FILTER(P:P,($BT:$BT=$BT176)*($I:$I=$I176)*($T:$T=$T176)*($S:$S=_xlfn.MINIFS($S:$S,$T:$T,"="&amp;$T176)),""))))&amp;"",IF(P176="","",""))&amp;""</f>
        <v/>
      </c>
      <c r="AX176" t="str" cm="1">
        <f t="array" ref="AX176">IFERROR(IF(Q176&lt;&gt;"",Q176,IF(OR($S176="",$T176=""),"",IF($T176&lt;&gt;"",_xlfn._xlws.FILTER(Q:Q,($BT:$BT=$BT176)*($I:$I=$I176)*($T:$T=$T176)*($S:$S=_xlfn.MINIFS($S:$S,$T:$T,"="&amp;$T176)),""))))&amp;"",IF(Q176="","",""))&amp;""</f>
        <v/>
      </c>
      <c r="AY176" t="str" cm="1">
        <f t="array" ref="AY176">IFERROR(IF(R176&lt;&gt;"",R176,IF(OR($S176="",$T176=""),"",IF($T176&lt;&gt;"",_xlfn._xlws.FILTER(R:R,($BT:$BT=$BT176)*($I:$I=$I176)*($T:$T=$T176)*($S:$S=_xlfn.MINIFS($S:$S,$T:$T,"="&amp;$T176)),""))))&amp;"",IF(R176="","",""))&amp;""</f>
        <v/>
      </c>
      <c r="AZ176" s="6">
        <f t="shared" si="259"/>
        <v>18</v>
      </c>
      <c r="BA176">
        <f t="shared" ref="BA176:BC176" si="329">BA175</f>
        <v>18991</v>
      </c>
      <c r="BB176" t="str">
        <f t="shared" si="329"/>
        <v>Triple J</v>
      </c>
      <c r="BC176" t="str">
        <f t="shared" si="329"/>
        <v>Velodrome</v>
      </c>
      <c r="BD176" t="str">
        <f t="shared" si="261"/>
        <v>Pass</v>
      </c>
      <c r="BE176" t="str">
        <f t="shared" si="262"/>
        <v>Pass_Deflected</v>
      </c>
      <c r="BF176" t="str">
        <f t="shared" si="263"/>
        <v>Pass-Forehand</v>
      </c>
      <c r="BG176" t="str">
        <f t="shared" si="22"/>
        <v>u</v>
      </c>
      <c r="BH176" cm="1">
        <f t="array" aca="1" ref="BH176" ca="1">IFERROR(_xlfn._xlws.FILTER(shifts!A:A,(shifts!B:B=events!Z176)*(shifts!AG:AG&gt;=events!BJ176)*(shifts!AH:AH&lt;=events!BK176)),BH175)</f>
        <v>7</v>
      </c>
      <c r="BI176" s="15">
        <f t="shared" si="264"/>
        <v>0</v>
      </c>
      <c r="BJ176">
        <f t="shared" si="265"/>
        <v>905</v>
      </c>
      <c r="BK176">
        <f t="shared" si="266"/>
        <v>905</v>
      </c>
      <c r="BL176" s="15">
        <f>SUMIFS(BI$2:BI176,K$2:K176,"=Intermission")+SUMIFS(BI$2:BI176,K$2:K176,"=Timeout")</f>
        <v>0</v>
      </c>
      <c r="BM176">
        <f t="shared" si="267"/>
        <v>0</v>
      </c>
      <c r="BN176" s="19">
        <f t="shared" si="268"/>
        <v>175</v>
      </c>
      <c r="BO176">
        <f t="shared" si="269"/>
        <v>170</v>
      </c>
      <c r="BP176" s="17">
        <f t="shared" si="270"/>
        <v>175</v>
      </c>
      <c r="BQ176" t="str">
        <f t="shared" si="271"/>
        <v>event_team_player_2</v>
      </c>
      <c r="BR176">
        <f>COUNTIFS(S$3:S176,"="&amp;S176,AH$3:AH176,"="&amp;AH176)</f>
        <v>2</v>
      </c>
      <c r="BS176" t="str">
        <f>IFERROR(VLOOKUP(BA176&amp;BT176&amp;X176,game_rosters!U:W,3,FALSE),"")</f>
        <v>P100008</v>
      </c>
      <c r="BT176" t="str">
        <f t="shared" si="272"/>
        <v>Triple J</v>
      </c>
    </row>
    <row r="177" spans="1:72" x14ac:dyDescent="0.2">
      <c r="A177" t="str">
        <f t="shared" si="247"/>
        <v>x</v>
      </c>
      <c r="D177" s="26" t="s">
        <v>729</v>
      </c>
      <c r="E177" s="4"/>
      <c r="F177" s="45"/>
      <c r="G177" s="4"/>
      <c r="H177" s="47"/>
      <c r="I177" s="26">
        <v>24</v>
      </c>
      <c r="J177" s="26" t="str">
        <f t="shared" si="274"/>
        <v/>
      </c>
      <c r="N177" t="str">
        <f t="shared" si="291"/>
        <v/>
      </c>
      <c r="O177" t="s">
        <v>782</v>
      </c>
      <c r="Q177" t="str">
        <f t="shared" si="285"/>
        <v/>
      </c>
      <c r="S177">
        <f>IF(A177=1,MAX($S$2:$S176)+1,IF(OR($I177&lt;&gt;"",A177="x"),$S176,""))</f>
        <v>92</v>
      </c>
      <c r="T177">
        <f>IF(D177=1,MAX($T$2:$T176)+1,IF(S177=S176,$T176,IF(D177="x",T176,IF(D176="x","",""))))</f>
        <v>13</v>
      </c>
      <c r="U177" t="str">
        <f>IF(B177=1,MAX($U$2:$U176)+1,IF(AND($T177&lt;&gt;"",$T177=$T176),$U176,IF(B177="x",U176,"")))</f>
        <v/>
      </c>
      <c r="V177" t="str">
        <f>IF(C177=1,MAX($V$2:$V176)+1,IF(AND($T177&lt;&gt;"",$T177=$T176),$U176,IF(C177="x",V176,"")))</f>
        <v/>
      </c>
      <c r="W177" t="str" cm="1">
        <f t="array" ref="W177">IFERROR(_xlfn._xlws.FILTER(game_rosters!AC:AC,(game_rosters!J:J=events!X177)*(K177&lt;&gt;"")),"")</f>
        <v/>
      </c>
      <c r="X177" cm="1">
        <f t="array" ref="X177">IF($I177&lt;&gt;"",$I177,INDEX($I$1:$I177,ROW()-COUNTIFS($T$1:$T177,"="&amp;$T177,$S$1:$S177,"&lt;"&amp;$S177)))</f>
        <v>24</v>
      </c>
      <c r="Y177" t="str" cm="1">
        <f t="array" ref="Y177">IFERROR(IF(_xlfn._xlws.FILTER(game_rosters!$J:$J,(game_rosters!$G:$G=events!$AM177)*(game_rosters!$J:$J=events!$X177))&gt;0,1,""),"")</f>
        <v/>
      </c>
      <c r="Z177" s="6">
        <f t="shared" si="248"/>
        <v>1</v>
      </c>
      <c r="AA177">
        <f t="shared" si="249"/>
        <v>1092</v>
      </c>
      <c r="AB177">
        <f t="shared" si="250"/>
        <v>9013</v>
      </c>
      <c r="AC177">
        <f t="shared" si="251"/>
        <v>9013</v>
      </c>
      <c r="AD177" t="str">
        <f t="shared" si="252"/>
        <v>15</v>
      </c>
      <c r="AE177" t="str">
        <f t="shared" si="253"/>
        <v>05</v>
      </c>
      <c r="AF177" t="str">
        <f t="shared" si="254"/>
        <v/>
      </c>
      <c r="AG177" t="str">
        <f t="shared" si="255"/>
        <v/>
      </c>
      <c r="AH177" t="str">
        <f t="shared" si="298"/>
        <v>o</v>
      </c>
      <c r="AI177" t="str">
        <f t="shared" si="323"/>
        <v>d</v>
      </c>
      <c r="AJ177" t="str">
        <f t="shared" si="323"/>
        <v>d</v>
      </c>
      <c r="AK177" t="str">
        <f t="shared" si="300"/>
        <v/>
      </c>
      <c r="AL177" t="str">
        <f t="shared" si="301"/>
        <v/>
      </c>
      <c r="AM177" t="str">
        <f t="shared" si="256"/>
        <v>Home</v>
      </c>
      <c r="AN177" t="str">
        <f t="shared" si="302"/>
        <v>h</v>
      </c>
      <c r="AO177" t="str">
        <f t="shared" si="303"/>
        <v>d</v>
      </c>
      <c r="AP177" t="str">
        <f t="shared" si="304"/>
        <v>o</v>
      </c>
      <c r="AQ177" t="str">
        <f>IF(AM177&lt;&gt;"",AM177,IF($AC177=#REF!,#REF!,""))</f>
        <v>Home</v>
      </c>
      <c r="AR177" t="str">
        <f t="shared" si="305"/>
        <v>h</v>
      </c>
      <c r="AS177" t="str">
        <f t="shared" si="306"/>
        <v>Defensive</v>
      </c>
      <c r="AT177" t="str">
        <f t="shared" si="257"/>
        <v/>
      </c>
      <c r="AU177" t="str">
        <f t="shared" si="258"/>
        <v/>
      </c>
      <c r="AV177" t="str" cm="1">
        <f t="array" ref="AV177">IFERROR(IF(O177&lt;&gt;"",O177,IF(OR($S177="",$T177=""),"",IF(O177&lt;&gt;"",O177,IF($T177&lt;&gt;"",_xlfn._xlws.FILTER(O:O,($BT:$BT=$BT177)*($I:$I=$I177)*($T:$T=$T177)*($S:$S=_xlfn.MINIFS($S:$S,$T:$T,"="&amp;$T177)),"")))))&amp;"",IF(O177="","",""))&amp;""</f>
        <v>PassDeflected</v>
      </c>
      <c r="AW177" t="str" cm="1">
        <f t="array" ref="AW177">IFERROR(IF(P177&lt;&gt;"",P177,IF(OR($S177="",$T177=""),"",IF($T177&lt;&gt;"",_xlfn._xlws.FILTER(P:P,($BT:$BT=$BT177)*($I:$I=$I177)*($T:$T=$T177)*($S:$S=_xlfn.MINIFS($S:$S,$T:$T,"="&amp;$T177)),""))))&amp;"",IF(P177="","",""))&amp;""</f>
        <v/>
      </c>
      <c r="AX177" t="str" cm="1">
        <f t="array" ref="AX177">IFERROR(IF(Q177&lt;&gt;"",Q177,IF(OR($S177="",$T177=""),"",IF($T177&lt;&gt;"",_xlfn._xlws.FILTER(Q:Q,($BT:$BT=$BT177)*($I:$I=$I177)*($T:$T=$T177)*($S:$S=_xlfn.MINIFS($S:$S,$T:$T,"="&amp;$T177)),""))))&amp;"",IF(Q177="","",""))&amp;""</f>
        <v/>
      </c>
      <c r="AY177" t="str" cm="1">
        <f t="array" ref="AY177">IFERROR(IF(R177&lt;&gt;"",R177,IF(OR($S177="",$T177=""),"",IF($T177&lt;&gt;"",_xlfn._xlws.FILTER(R:R,($BT:$BT=$BT177)*($I:$I=$I177)*($T:$T=$T177)*($S:$S=_xlfn.MINIFS($S:$S,$T:$T,"="&amp;$T177)),""))))&amp;"",IF(R177="","",""))&amp;""</f>
        <v/>
      </c>
      <c r="AZ177" s="6">
        <f t="shared" si="259"/>
        <v>18</v>
      </c>
      <c r="BA177">
        <f t="shared" ref="BA177:BC177" si="330">BA176</f>
        <v>18991</v>
      </c>
      <c r="BB177" t="str">
        <f t="shared" si="330"/>
        <v>Triple J</v>
      </c>
      <c r="BC177" t="str">
        <f t="shared" si="330"/>
        <v>Velodrome</v>
      </c>
      <c r="BD177" t="str">
        <f t="shared" si="261"/>
        <v>Pass</v>
      </c>
      <c r="BE177" t="str">
        <f t="shared" si="262"/>
        <v>Pass_Deflected</v>
      </c>
      <c r="BF177" t="str">
        <f t="shared" si="263"/>
        <v>Pass-Forehand</v>
      </c>
      <c r="BG177" t="str">
        <f t="shared" si="22"/>
        <v>u</v>
      </c>
      <c r="BH177" cm="1">
        <f t="array" aca="1" ref="BH177" ca="1">IFERROR(_xlfn._xlws.FILTER(shifts!A:A,(shifts!B:B=events!Z177)*(shifts!AG:AG&gt;=events!BJ177)*(shifts!AH:AH&lt;=events!BK177)),BH176)</f>
        <v>7</v>
      </c>
      <c r="BI177" s="15">
        <f t="shared" si="264"/>
        <v>0</v>
      </c>
      <c r="BJ177">
        <f t="shared" si="265"/>
        <v>905</v>
      </c>
      <c r="BK177">
        <f t="shared" si="266"/>
        <v>905</v>
      </c>
      <c r="BL177" s="15">
        <f>SUMIFS(BI$2:BI177,K$2:K177,"=Intermission")+SUMIFS(BI$2:BI177,K$2:K177,"=Timeout")</f>
        <v>0</v>
      </c>
      <c r="BM177">
        <f t="shared" si="267"/>
        <v>0</v>
      </c>
      <c r="BN177" s="19">
        <f t="shared" si="268"/>
        <v>175</v>
      </c>
      <c r="BO177">
        <f t="shared" si="269"/>
        <v>170</v>
      </c>
      <c r="BP177" s="17">
        <f t="shared" si="270"/>
        <v>175</v>
      </c>
      <c r="BQ177" t="str">
        <f t="shared" si="271"/>
        <v>opp_team_player_1</v>
      </c>
      <c r="BR177">
        <f>COUNTIFS(S$3:S177,"="&amp;S177,AH$3:AH177,"="&amp;AH177)</f>
        <v>1</v>
      </c>
      <c r="BS177" t="str">
        <f>IFERROR(VLOOKUP(BA177&amp;BT177&amp;X177,game_rosters!U:W,3,FALSE),"")</f>
        <v>P100230</v>
      </c>
      <c r="BT177" t="str">
        <f t="shared" si="272"/>
        <v>Velodrome</v>
      </c>
    </row>
    <row r="178" spans="1:72" x14ac:dyDescent="0.2">
      <c r="A178" t="str">
        <f t="shared" si="247"/>
        <v>x</v>
      </c>
      <c r="D178" s="26" t="s">
        <v>729</v>
      </c>
      <c r="E178" s="4"/>
      <c r="F178" s="45"/>
      <c r="G178" s="4"/>
      <c r="H178" s="47"/>
      <c r="I178" s="26">
        <v>70</v>
      </c>
      <c r="J178" s="26" t="str">
        <f t="shared" si="274"/>
        <v/>
      </c>
      <c r="N178" t="str">
        <f t="shared" si="291"/>
        <v/>
      </c>
      <c r="Q178" t="str">
        <f t="shared" si="285"/>
        <v/>
      </c>
      <c r="R178" s="26">
        <v>1</v>
      </c>
      <c r="S178">
        <f>IF(A178=1,MAX($S$2:$S177)+1,IF(OR($I178&lt;&gt;"",A178="x"),$S177,""))</f>
        <v>92</v>
      </c>
      <c r="T178">
        <f>IF(D178=1,MAX($T$2:$T177)+1,IF(S178=S177,$T177,IF(D178="x",T177,IF(D177="x","",""))))</f>
        <v>13</v>
      </c>
      <c r="U178" t="str">
        <f>IF(B178=1,MAX($U$2:$U177)+1,IF(AND($T178&lt;&gt;"",$T178=$T177),$U177,IF(B178="x",U177,"")))</f>
        <v/>
      </c>
      <c r="V178" t="str">
        <f>IF(C178=1,MAX($V$2:$V177)+1,IF(AND($T178&lt;&gt;"",$T178=$T177),$U177,IF(C178="x",V177,"")))</f>
        <v/>
      </c>
      <c r="W178" t="str" cm="1">
        <f t="array" ref="W178">IFERROR(_xlfn._xlws.FILTER(game_rosters!AC:AC,(game_rosters!J:J=events!X178)*(K178&lt;&gt;"")),"")</f>
        <v/>
      </c>
      <c r="X178" cm="1">
        <f t="array" ref="X178">IF($I178&lt;&gt;"",$I178,INDEX($I$1:$I178,ROW()-COUNTIFS($T$1:$T178,"="&amp;$T178,$S$1:$S178,"&lt;"&amp;$S178)))</f>
        <v>70</v>
      </c>
      <c r="Y178" t="str" cm="1">
        <f t="array" ref="Y178">IFERROR(IF(_xlfn._xlws.FILTER(game_rosters!$J:$J,(game_rosters!$G:$G=events!$AM178)*(game_rosters!$J:$J=events!$X178))&gt;0,1,""),"")</f>
        <v/>
      </c>
      <c r="Z178" s="6">
        <f t="shared" si="248"/>
        <v>1</v>
      </c>
      <c r="AA178">
        <f t="shared" si="249"/>
        <v>1092</v>
      </c>
      <c r="AB178">
        <f t="shared" si="250"/>
        <v>9013</v>
      </c>
      <c r="AC178">
        <f t="shared" si="251"/>
        <v>9013</v>
      </c>
      <c r="AD178" t="str">
        <f t="shared" si="252"/>
        <v>15</v>
      </c>
      <c r="AE178" t="str">
        <f t="shared" si="253"/>
        <v>05</v>
      </c>
      <c r="AF178" t="str">
        <f t="shared" si="254"/>
        <v/>
      </c>
      <c r="AG178" t="str">
        <f t="shared" si="255"/>
        <v/>
      </c>
      <c r="AH178" t="str">
        <f t="shared" si="298"/>
        <v>o</v>
      </c>
      <c r="AI178" t="str">
        <f t="shared" si="323"/>
        <v>d</v>
      </c>
      <c r="AJ178" t="str">
        <f t="shared" si="323"/>
        <v>d</v>
      </c>
      <c r="AK178" t="str">
        <f t="shared" si="300"/>
        <v/>
      </c>
      <c r="AL178" t="str">
        <f t="shared" si="301"/>
        <v/>
      </c>
      <c r="AM178" t="str">
        <f t="shared" si="256"/>
        <v>Home</v>
      </c>
      <c r="AN178" t="str">
        <f t="shared" si="302"/>
        <v>h</v>
      </c>
      <c r="AO178" t="str">
        <f t="shared" si="303"/>
        <v>d</v>
      </c>
      <c r="AP178" t="str">
        <f t="shared" si="304"/>
        <v>o</v>
      </c>
      <c r="AQ178" t="str">
        <f>IF(AM178&lt;&gt;"",AM178,IF($AC178=#REF!,#REF!,""))</f>
        <v>Home</v>
      </c>
      <c r="AR178" t="str">
        <f t="shared" si="305"/>
        <v>h</v>
      </c>
      <c r="AS178" t="str">
        <f t="shared" si="306"/>
        <v>Defensive</v>
      </c>
      <c r="AT178" t="str">
        <f t="shared" si="257"/>
        <v/>
      </c>
      <c r="AU178" t="str">
        <f t="shared" si="258"/>
        <v/>
      </c>
      <c r="AV178" t="str" cm="1">
        <f t="array" ref="AV178">IFERROR(IF(O178&lt;&gt;"",O178,IF(OR($S178="",$T178=""),"",IF(O178&lt;&gt;"",O178,IF($T178&lt;&gt;"",_xlfn._xlws.FILTER(O:O,($BT:$BT=$BT178)*($I:$I=$I178)*($T:$T=$T178)*($S:$S=_xlfn.MINIFS($S:$S,$T:$T,"="&amp;$T178)),"")))))&amp;"",IF(O178="","",""))&amp;""</f>
        <v/>
      </c>
      <c r="AW178" t="str" cm="1">
        <f t="array" ref="AW178">IFERROR(IF(P178&lt;&gt;"",P178,IF(OR($S178="",$T178=""),"",IF($T178&lt;&gt;"",_xlfn._xlws.FILTER(P:P,($BT:$BT=$BT178)*($I:$I=$I178)*($T:$T=$T178)*($S:$S=_xlfn.MINIFS($S:$S,$T:$T,"="&amp;$T178)),""))))&amp;"",IF(P178="","",""))&amp;""</f>
        <v/>
      </c>
      <c r="AX178" t="str" cm="1">
        <f t="array" ref="AX178">IFERROR(IF(Q178&lt;&gt;"",Q178,IF(OR($S178="",$T178=""),"",IF($T178&lt;&gt;"",_xlfn._xlws.FILTER(Q:Q,($BT:$BT=$BT178)*($I:$I=$I178)*($T:$T=$T178)*($S:$S=_xlfn.MINIFS($S:$S,$T:$T,"="&amp;$T178)),""))))&amp;"",IF(Q178="","",""))&amp;""</f>
        <v/>
      </c>
      <c r="AY178" t="str" cm="1">
        <f t="array" ref="AY178">IFERROR(IF(R178&lt;&gt;"",R178,IF(OR($S178="",$T178=""),"",IF($T178&lt;&gt;"",_xlfn._xlws.FILTER(R:R,($BT:$BT=$BT178)*($I:$I=$I178)*($T:$T=$T178)*($S:$S=_xlfn.MINIFS($S:$S,$T:$T,"="&amp;$T178)),""))))&amp;"",IF(R178="","",""))&amp;""</f>
        <v>1</v>
      </c>
      <c r="AZ178" s="6">
        <f t="shared" si="259"/>
        <v>18</v>
      </c>
      <c r="BA178">
        <f t="shared" ref="BA178:BC178" si="331">BA177</f>
        <v>18991</v>
      </c>
      <c r="BB178" t="str">
        <f t="shared" si="331"/>
        <v>Triple J</v>
      </c>
      <c r="BC178" t="str">
        <f t="shared" si="331"/>
        <v>Velodrome</v>
      </c>
      <c r="BD178" t="str">
        <f t="shared" si="261"/>
        <v>Pass</v>
      </c>
      <c r="BE178" t="str">
        <f t="shared" si="262"/>
        <v>Pass_Deflected</v>
      </c>
      <c r="BF178" t="str">
        <f t="shared" si="263"/>
        <v>Pass-Forehand</v>
      </c>
      <c r="BG178" t="str">
        <f t="shared" si="22"/>
        <v>u</v>
      </c>
      <c r="BH178" cm="1">
        <f t="array" aca="1" ref="BH178" ca="1">IFERROR(_xlfn._xlws.FILTER(shifts!A:A,(shifts!B:B=events!Z178)*(shifts!AG:AG&gt;=events!BJ178)*(shifts!AH:AH&lt;=events!BK178)),BH177)</f>
        <v>7</v>
      </c>
      <c r="BI178" s="15">
        <f t="shared" si="264"/>
        <v>0</v>
      </c>
      <c r="BJ178">
        <f t="shared" si="265"/>
        <v>905</v>
      </c>
      <c r="BK178">
        <f t="shared" si="266"/>
        <v>905</v>
      </c>
      <c r="BL178" s="15">
        <f>SUMIFS(BI$2:BI178,K$2:K178,"=Intermission")+SUMIFS(BI$2:BI178,K$2:K178,"=Timeout")</f>
        <v>0</v>
      </c>
      <c r="BM178">
        <f t="shared" si="267"/>
        <v>0</v>
      </c>
      <c r="BN178" s="19">
        <f t="shared" si="268"/>
        <v>175</v>
      </c>
      <c r="BO178">
        <f t="shared" si="269"/>
        <v>170</v>
      </c>
      <c r="BP178" s="17">
        <f t="shared" si="270"/>
        <v>175</v>
      </c>
      <c r="BQ178" t="str">
        <f t="shared" si="271"/>
        <v>opp_team_player_2</v>
      </c>
      <c r="BR178">
        <f>COUNTIFS(S$3:S178,"="&amp;S178,AH$3:AH178,"="&amp;AH178)</f>
        <v>2</v>
      </c>
      <c r="BS178" t="str">
        <f>IFERROR(VLOOKUP(BA178&amp;BT178&amp;X178,game_rosters!U:W,3,FALSE),"")</f>
        <v>P100001</v>
      </c>
      <c r="BT178" t="str">
        <f t="shared" si="272"/>
        <v>Velodrome</v>
      </c>
    </row>
    <row r="179" spans="1:72" x14ac:dyDescent="0.2">
      <c r="A179">
        <f t="shared" si="247"/>
        <v>1</v>
      </c>
      <c r="D179" s="26" t="s">
        <v>729</v>
      </c>
      <c r="E179" s="4"/>
      <c r="F179" s="45"/>
      <c r="G179" s="4"/>
      <c r="H179" s="47"/>
      <c r="J179" s="26" t="s">
        <v>736</v>
      </c>
      <c r="K179" t="s">
        <v>9</v>
      </c>
      <c r="L179" t="s">
        <v>173</v>
      </c>
      <c r="M179" t="s">
        <v>75</v>
      </c>
      <c r="N179" t="str">
        <f t="shared" si="291"/>
        <v>u</v>
      </c>
      <c r="Q179" t="str">
        <f t="shared" si="285"/>
        <v/>
      </c>
      <c r="S179">
        <f>IF(A179=1,MAX($S$2:$S178)+1,IF(OR($I179&lt;&gt;"",A179="x"),$S178,""))</f>
        <v>93</v>
      </c>
      <c r="T179">
        <f>IF(D179=1,MAX($T$2:$T178)+1,IF(S179=S178,$T178,IF(D179="x",T178,IF(D178="x","",""))))</f>
        <v>13</v>
      </c>
      <c r="U179" t="str">
        <f>IF(B179=1,MAX($U$2:$U178)+1,IF(AND($T179&lt;&gt;"",$T179=$T178),$U178,IF(B179="x",U178,"")))</f>
        <v/>
      </c>
      <c r="V179" t="str">
        <f>IF(C179=1,MAX($V$2:$V178)+1,IF(AND($T179&lt;&gt;"",$T179=$T178),$U178,IF(C179="x",V178,"")))</f>
        <v/>
      </c>
      <c r="W179" t="str" cm="1">
        <f t="array" ref="W179">IFERROR(_xlfn._xlws.FILTER(game_rosters!AC:AC,(game_rosters!J:J=events!X179)*(K179&lt;&gt;"")),"")</f>
        <v>h</v>
      </c>
      <c r="X179" cm="1">
        <f t="array" ref="X179">IF($I179&lt;&gt;"",$I179,INDEX($I$1:$I179,ROW()-COUNTIFS($T$1:$T179,"="&amp;$T179,$S$1:$S179,"&lt;"&amp;$S179)))</f>
        <v>41</v>
      </c>
      <c r="Y179" cm="1">
        <f t="array" ref="Y179">IFERROR(IF(_xlfn._xlws.FILTER(game_rosters!$J:$J,(game_rosters!$G:$G=events!$AM179)*(game_rosters!$J:$J=events!$X179))&gt;0,1,""),"")</f>
        <v>1</v>
      </c>
      <c r="Z179" s="6">
        <f t="shared" si="248"/>
        <v>1</v>
      </c>
      <c r="AA179">
        <f t="shared" si="249"/>
        <v>1093</v>
      </c>
      <c r="AB179">
        <f t="shared" si="250"/>
        <v>9013</v>
      </c>
      <c r="AC179">
        <f t="shared" si="251"/>
        <v>9013</v>
      </c>
      <c r="AD179" t="str">
        <f t="shared" si="252"/>
        <v>15</v>
      </c>
      <c r="AE179" t="str">
        <f t="shared" si="253"/>
        <v>05</v>
      </c>
      <c r="AF179" t="str">
        <f t="shared" si="254"/>
        <v/>
      </c>
      <c r="AG179" t="str">
        <f t="shared" si="255"/>
        <v/>
      </c>
      <c r="AH179" t="str">
        <f t="shared" si="298"/>
        <v>e</v>
      </c>
      <c r="AI179" t="str">
        <f t="shared" si="323"/>
        <v>d</v>
      </c>
      <c r="AJ179" t="str">
        <f t="shared" si="323"/>
        <v>d</v>
      </c>
      <c r="AK179" t="str">
        <f t="shared" si="300"/>
        <v>d</v>
      </c>
      <c r="AL179" t="str">
        <f t="shared" si="301"/>
        <v>o</v>
      </c>
      <c r="AM179" t="str">
        <f t="shared" si="256"/>
        <v>Home</v>
      </c>
      <c r="AN179" t="str">
        <f t="shared" si="302"/>
        <v>h</v>
      </c>
      <c r="AO179" t="str">
        <f t="shared" si="303"/>
        <v>d</v>
      </c>
      <c r="AP179" t="str">
        <f t="shared" si="304"/>
        <v>o</v>
      </c>
      <c r="AQ179" t="str">
        <f>IF(AM179&lt;&gt;"",AM179,IF($AC179=#REF!,#REF!,""))</f>
        <v>Home</v>
      </c>
      <c r="AR179" t="str">
        <f t="shared" si="305"/>
        <v>h</v>
      </c>
      <c r="AS179" t="str">
        <f t="shared" si="306"/>
        <v>Offensive</v>
      </c>
      <c r="AT179" t="str">
        <f t="shared" si="257"/>
        <v/>
      </c>
      <c r="AU179" t="str">
        <f t="shared" si="258"/>
        <v/>
      </c>
      <c r="AV179" t="str" cm="1">
        <f t="array" ref="AV179">IFERROR(IF(O179&lt;&gt;"",O179,IF(OR($S179="",$T179=""),"",IF(O179&lt;&gt;"",O179,IF($T179&lt;&gt;"",_xlfn._xlws.FILTER(O:O,($BT:$BT=$BT179)*($I:$I=$I179)*($T:$T=$T179)*($S:$S=_xlfn.MINIFS($S:$S,$T:$T,"="&amp;$T179)),"")))))&amp;"",IF(O179="","",""))&amp;""</f>
        <v/>
      </c>
      <c r="AW179" t="str" cm="1">
        <f t="array" ref="AW179">IFERROR(IF(P179&lt;&gt;"",P179,IF(OR($S179="",$T179=""),"",IF($T179&lt;&gt;"",_xlfn._xlws.FILTER(P:P,($BT:$BT=$BT179)*($I:$I=$I179)*($T:$T=$T179)*($S:$S=_xlfn.MINIFS($S:$S,$T:$T,"="&amp;$T179)),""))))&amp;"",IF(P179="","",""))&amp;""</f>
        <v/>
      </c>
      <c r="AX179" t="str" cm="1">
        <f t="array" ref="AX179">IFERROR(IF(Q179&lt;&gt;"",Q179,IF(OR($S179="",$T179=""),"",IF($T179&lt;&gt;"",_xlfn._xlws.FILTER(Q:Q,($BT:$BT=$BT179)*($I:$I=$I179)*($T:$T=$T179)*($S:$S=_xlfn.MINIFS($S:$S,$T:$T,"="&amp;$T179)),""))))&amp;"",IF(Q179="","",""))&amp;""</f>
        <v/>
      </c>
      <c r="AY179" t="str" cm="1">
        <f t="array" ref="AY179">IFERROR(IF(R179&lt;&gt;"",R179,IF(OR($S179="",$T179=""),"",IF($T179&lt;&gt;"",_xlfn._xlws.FILTER(R:R,($BT:$BT=$BT179)*($I:$I=$I179)*($T:$T=$T179)*($S:$S=_xlfn.MINIFS($S:$S,$T:$T,"="&amp;$T179)),""))))&amp;"",IF(R179="","",""))&amp;""</f>
        <v/>
      </c>
      <c r="AZ179" s="6">
        <f t="shared" si="259"/>
        <v>18</v>
      </c>
      <c r="BA179">
        <f t="shared" ref="BA179:BC179" si="332">BA178</f>
        <v>18991</v>
      </c>
      <c r="BB179" t="str">
        <f t="shared" si="332"/>
        <v>Triple J</v>
      </c>
      <c r="BC179" t="str">
        <f t="shared" si="332"/>
        <v>Velodrome</v>
      </c>
      <c r="BD179" t="str">
        <f t="shared" si="261"/>
        <v>Turnover</v>
      </c>
      <c r="BE179" t="str">
        <f t="shared" si="262"/>
        <v>Turnover_Giveaway</v>
      </c>
      <c r="BF179" t="str">
        <f t="shared" si="263"/>
        <v>Giveaway-PassBlocked</v>
      </c>
      <c r="BG179" t="str">
        <f t="shared" si="22"/>
        <v>u</v>
      </c>
      <c r="BH179" cm="1">
        <f t="array" aca="1" ref="BH179" ca="1">IFERROR(_xlfn._xlws.FILTER(shifts!A:A,(shifts!B:B=events!Z179)*(shifts!AG:AG&gt;=events!BJ179)*(shifts!AH:AH&lt;=events!BK179)),BH178)</f>
        <v>7</v>
      </c>
      <c r="BI179" s="15">
        <f t="shared" si="264"/>
        <v>0</v>
      </c>
      <c r="BJ179">
        <f t="shared" si="265"/>
        <v>905</v>
      </c>
      <c r="BK179">
        <f t="shared" si="266"/>
        <v>905</v>
      </c>
      <c r="BL179" s="15">
        <f>SUMIFS(BI$2:BI179,K$2:K179,"=Intermission")+SUMIFS(BI$2:BI179,K$2:K179,"=Timeout")</f>
        <v>0</v>
      </c>
      <c r="BM179">
        <f t="shared" si="267"/>
        <v>0</v>
      </c>
      <c r="BN179" s="19">
        <f t="shared" si="268"/>
        <v>175</v>
      </c>
      <c r="BO179">
        <f t="shared" si="269"/>
        <v>170</v>
      </c>
      <c r="BP179" s="17">
        <f t="shared" si="270"/>
        <v>175</v>
      </c>
      <c r="BQ179" t="str">
        <f t="shared" si="271"/>
        <v>event_team_player_1</v>
      </c>
      <c r="BR179">
        <f>COUNTIFS(S$3:S179,"="&amp;S179,AH$3:AH179,"="&amp;AH179)</f>
        <v>1</v>
      </c>
      <c r="BS179" t="str">
        <f>IFERROR(VLOOKUP(BA179&amp;BT179&amp;X179,game_rosters!U:W,3,FALSE),"")</f>
        <v>P100206</v>
      </c>
      <c r="BT179" t="str">
        <f t="shared" si="272"/>
        <v>Triple J</v>
      </c>
    </row>
    <row r="180" spans="1:72" x14ac:dyDescent="0.2">
      <c r="A180" t="str">
        <f t="shared" si="247"/>
        <v>x</v>
      </c>
      <c r="D180" s="26" t="s">
        <v>729</v>
      </c>
      <c r="E180" s="4"/>
      <c r="F180" s="45"/>
      <c r="G180" s="4"/>
      <c r="H180" s="47"/>
      <c r="J180" s="26" t="str">
        <f t="shared" si="274"/>
        <v/>
      </c>
      <c r="N180" t="str">
        <f t="shared" si="291"/>
        <v/>
      </c>
      <c r="Q180" t="str">
        <f t="shared" si="285"/>
        <v/>
      </c>
      <c r="S180">
        <f>IF(A180=1,MAX($S$2:$S179)+1,IF(OR($I180&lt;&gt;"",A180="x"),$S179,""))</f>
        <v>93</v>
      </c>
      <c r="T180">
        <f>IF(D180=1,MAX($T$2:$T179)+1,IF(S180=S179,$T179,IF(D180="x",T179,IF(D179="x","",""))))</f>
        <v>13</v>
      </c>
      <c r="U180" t="str">
        <f>IF(B180=1,MAX($U$2:$U179)+1,IF(AND($T180&lt;&gt;"",$T180=$T179),$U179,IF(B180="x",U179,"")))</f>
        <v/>
      </c>
      <c r="V180" t="str">
        <f>IF(C180=1,MAX($V$2:$V179)+1,IF(AND($T180&lt;&gt;"",$T180=$T179),$U179,IF(C180="x",V179,"")))</f>
        <v/>
      </c>
      <c r="W180" t="str" cm="1">
        <f t="array" ref="W180">IFERROR(_xlfn._xlws.FILTER(game_rosters!AC:AC,(game_rosters!J:J=events!X180)*(K180&lt;&gt;"")),"")</f>
        <v/>
      </c>
      <c r="X180" cm="1">
        <f t="array" ref="X180">IF($I180&lt;&gt;"",$I180,INDEX($I$1:$I180,ROW()-COUNTIFS($T$1:$T180,"="&amp;$T180,$S$1:$S180,"&lt;"&amp;$S180)))</f>
        <v>71</v>
      </c>
      <c r="Y180" cm="1">
        <f t="array" ref="Y180">IFERROR(IF(_xlfn._xlws.FILTER(game_rosters!$J:$J,(game_rosters!$G:$G=events!$AM180)*(game_rosters!$J:$J=events!$X180))&gt;0,1,""),"")</f>
        <v>1</v>
      </c>
      <c r="Z180" s="6">
        <f t="shared" si="248"/>
        <v>1</v>
      </c>
      <c r="AA180">
        <f t="shared" si="249"/>
        <v>1093</v>
      </c>
      <c r="AB180">
        <f t="shared" si="250"/>
        <v>9013</v>
      </c>
      <c r="AC180">
        <f t="shared" si="251"/>
        <v>9013</v>
      </c>
      <c r="AD180" t="str">
        <f t="shared" si="252"/>
        <v>15</v>
      </c>
      <c r="AE180" t="str">
        <f t="shared" si="253"/>
        <v>05</v>
      </c>
      <c r="AF180" t="str">
        <f t="shared" si="254"/>
        <v/>
      </c>
      <c r="AG180" t="str">
        <f t="shared" si="255"/>
        <v/>
      </c>
      <c r="AH180" t="str">
        <f t="shared" si="298"/>
        <v>e</v>
      </c>
      <c r="AI180" t="str">
        <f t="shared" si="323"/>
        <v>d</v>
      </c>
      <c r="AJ180" t="str">
        <f t="shared" si="323"/>
        <v>d</v>
      </c>
      <c r="AK180" t="str">
        <f t="shared" si="300"/>
        <v/>
      </c>
      <c r="AL180" t="str">
        <f t="shared" si="301"/>
        <v/>
      </c>
      <c r="AM180" t="str">
        <f t="shared" si="256"/>
        <v>Home</v>
      </c>
      <c r="AN180" t="str">
        <f t="shared" si="302"/>
        <v>h</v>
      </c>
      <c r="AO180" t="str">
        <f t="shared" si="303"/>
        <v>d</v>
      </c>
      <c r="AP180" t="str">
        <f t="shared" si="304"/>
        <v>o</v>
      </c>
      <c r="AQ180" t="str">
        <f>IF(AM180&lt;&gt;"",AM180,IF($AC180=#REF!,#REF!,""))</f>
        <v>Home</v>
      </c>
      <c r="AR180" t="str">
        <f t="shared" si="305"/>
        <v>h</v>
      </c>
      <c r="AS180" t="str">
        <f t="shared" si="306"/>
        <v>Offensive</v>
      </c>
      <c r="AT180" t="str">
        <f t="shared" si="257"/>
        <v/>
      </c>
      <c r="AU180" t="str">
        <f t="shared" si="258"/>
        <v/>
      </c>
      <c r="AV180" t="str" cm="1">
        <f t="array" ref="AV180">IFERROR(IF(O180&lt;&gt;"",O180,IF(OR($S180="",$T180=""),"",IF(O180&lt;&gt;"",O180,IF($T180&lt;&gt;"",_xlfn._xlws.FILTER(O:O,($BT:$BT=$BT180)*($I:$I=$I180)*($T:$T=$T180)*($S:$S=_xlfn.MINIFS($S:$S,$T:$T,"="&amp;$T180)),"")))))&amp;"",IF(O180="","",""))&amp;""</f>
        <v/>
      </c>
      <c r="AW180" t="str" cm="1">
        <f t="array" ref="AW180">IFERROR(IF(P180&lt;&gt;"",P180,IF(OR($S180="",$T180=""),"",IF($T180&lt;&gt;"",_xlfn._xlws.FILTER(P:P,($BT:$BT=$BT180)*($I:$I=$I180)*($T:$T=$T180)*($S:$S=_xlfn.MINIFS($S:$S,$T:$T,"="&amp;$T180)),""))))&amp;"",IF(P180="","",""))&amp;""</f>
        <v/>
      </c>
      <c r="AX180" t="str" cm="1">
        <f t="array" ref="AX180">IFERROR(IF(Q180&lt;&gt;"",Q180,IF(OR($S180="",$T180=""),"",IF($T180&lt;&gt;"",_xlfn._xlws.FILTER(Q:Q,($BT:$BT=$BT180)*($I:$I=$I180)*($T:$T=$T180)*($S:$S=_xlfn.MINIFS($S:$S,$T:$T,"="&amp;$T180)),""))))&amp;"",IF(Q180="","",""))&amp;""</f>
        <v/>
      </c>
      <c r="AY180" t="str" cm="1">
        <f t="array" ref="AY180">IFERROR(IF(R180&lt;&gt;"",R180,IF(OR($S180="",$T180=""),"",IF($T180&lt;&gt;"",_xlfn._xlws.FILTER(R:R,($BT:$BT=$BT180)*($I:$I=$I180)*($T:$T=$T180)*($S:$S=_xlfn.MINIFS($S:$S,$T:$T,"="&amp;$T180)),""))))&amp;"",IF(R180="","",""))&amp;""</f>
        <v/>
      </c>
      <c r="AZ180" s="6">
        <f t="shared" si="259"/>
        <v>18</v>
      </c>
      <c r="BA180">
        <f t="shared" ref="BA180:BC180" si="333">BA179</f>
        <v>18991</v>
      </c>
      <c r="BB180" t="str">
        <f t="shared" si="333"/>
        <v>Triple J</v>
      </c>
      <c r="BC180" t="str">
        <f t="shared" si="333"/>
        <v>Velodrome</v>
      </c>
      <c r="BD180" t="str">
        <f t="shared" si="261"/>
        <v>Turnover</v>
      </c>
      <c r="BE180" t="str">
        <f t="shared" si="262"/>
        <v>Turnover_Giveaway</v>
      </c>
      <c r="BF180" t="str">
        <f t="shared" si="263"/>
        <v>Giveaway-PassBlocked</v>
      </c>
      <c r="BG180" t="str">
        <f t="shared" si="22"/>
        <v>u</v>
      </c>
      <c r="BH180" cm="1">
        <f t="array" aca="1" ref="BH180" ca="1">IFERROR(_xlfn._xlws.FILTER(shifts!A:A,(shifts!B:B=events!Z180)*(shifts!AG:AG&gt;=events!BJ180)*(shifts!AH:AH&lt;=events!BK180)),BH179)</f>
        <v>7</v>
      </c>
      <c r="BI180" s="15">
        <f t="shared" si="264"/>
        <v>0</v>
      </c>
      <c r="BJ180">
        <f t="shared" si="265"/>
        <v>905</v>
      </c>
      <c r="BK180">
        <f t="shared" si="266"/>
        <v>905</v>
      </c>
      <c r="BL180" s="15">
        <f>SUMIFS(BI$2:BI180,K$2:K180,"=Intermission")+SUMIFS(BI$2:BI180,K$2:K180,"=Timeout")</f>
        <v>0</v>
      </c>
      <c r="BM180">
        <f t="shared" si="267"/>
        <v>0</v>
      </c>
      <c r="BN180" s="19">
        <f t="shared" si="268"/>
        <v>175</v>
      </c>
      <c r="BO180">
        <f t="shared" si="269"/>
        <v>170</v>
      </c>
      <c r="BP180" s="17">
        <f t="shared" si="270"/>
        <v>175</v>
      </c>
      <c r="BQ180" t="str">
        <f t="shared" si="271"/>
        <v>event_team_player_2</v>
      </c>
      <c r="BR180">
        <f>COUNTIFS(S$3:S180,"="&amp;S180,AH$3:AH180,"="&amp;AH180)</f>
        <v>2</v>
      </c>
      <c r="BS180" t="str">
        <f>IFERROR(VLOOKUP(BA180&amp;BT180&amp;X180,game_rosters!U:W,3,FALSE),"")</f>
        <v>P100008</v>
      </c>
      <c r="BT180" t="str">
        <f t="shared" si="272"/>
        <v>Triple J</v>
      </c>
    </row>
    <row r="181" spans="1:72" x14ac:dyDescent="0.2">
      <c r="A181" t="str">
        <f t="shared" si="247"/>
        <v>x</v>
      </c>
      <c r="D181" s="26" t="s">
        <v>729</v>
      </c>
      <c r="E181" s="4"/>
      <c r="F181" s="45"/>
      <c r="G181" s="4"/>
      <c r="H181" s="47"/>
      <c r="J181" s="26" t="str">
        <f t="shared" si="274"/>
        <v/>
      </c>
      <c r="N181" t="str">
        <f t="shared" si="291"/>
        <v/>
      </c>
      <c r="Q181" t="str">
        <f t="shared" si="285"/>
        <v/>
      </c>
      <c r="S181">
        <f>IF(A181=1,MAX($S$2:$S180)+1,IF(OR($I181&lt;&gt;"",A181="x"),$S180,""))</f>
        <v>93</v>
      </c>
      <c r="T181">
        <f>IF(D181=1,MAX($T$2:$T180)+1,IF(S181=S180,$T180,IF(D181="x",T180,IF(D180="x","",""))))</f>
        <v>13</v>
      </c>
      <c r="U181" t="str">
        <f>IF(B181=1,MAX($U$2:$U180)+1,IF(AND($T181&lt;&gt;"",$T181=$T180),$U180,IF(B181="x",U180,"")))</f>
        <v/>
      </c>
      <c r="V181" t="str">
        <f>IF(C181=1,MAX($V$2:$V180)+1,IF(AND($T181&lt;&gt;"",$T181=$T180),$U180,IF(C181="x",V180,"")))</f>
        <v/>
      </c>
      <c r="W181" t="str" cm="1">
        <f t="array" ref="W181">IFERROR(_xlfn._xlws.FILTER(game_rosters!AC:AC,(game_rosters!J:J=events!X181)*(K181&lt;&gt;"")),"")</f>
        <v/>
      </c>
      <c r="X181" cm="1">
        <f t="array" ref="X181">IF($I181&lt;&gt;"",$I181,INDEX($I$1:$I181,ROW()-COUNTIFS($T$1:$T181,"="&amp;$T181,$S$1:$S181,"&lt;"&amp;$S181)))</f>
        <v>24</v>
      </c>
      <c r="Y181" t="str" cm="1">
        <f t="array" ref="Y181">IFERROR(IF(_xlfn._xlws.FILTER(game_rosters!$J:$J,(game_rosters!$G:$G=events!$AM181)*(game_rosters!$J:$J=events!$X181))&gt;0,1,""),"")</f>
        <v/>
      </c>
      <c r="Z181" s="6">
        <f t="shared" si="248"/>
        <v>1</v>
      </c>
      <c r="AA181">
        <f t="shared" si="249"/>
        <v>1093</v>
      </c>
      <c r="AB181">
        <f t="shared" si="250"/>
        <v>9013</v>
      </c>
      <c r="AC181">
        <f t="shared" si="251"/>
        <v>9013</v>
      </c>
      <c r="AD181" t="str">
        <f t="shared" si="252"/>
        <v>15</v>
      </c>
      <c r="AE181" t="str">
        <f t="shared" si="253"/>
        <v>05</v>
      </c>
      <c r="AF181" t="str">
        <f t="shared" si="254"/>
        <v/>
      </c>
      <c r="AG181" t="str">
        <f t="shared" si="255"/>
        <v/>
      </c>
      <c r="AH181" t="str">
        <f t="shared" si="298"/>
        <v>o</v>
      </c>
      <c r="AI181" t="str">
        <f t="shared" si="323"/>
        <v>d</v>
      </c>
      <c r="AJ181" t="str">
        <f t="shared" si="323"/>
        <v>d</v>
      </c>
      <c r="AK181" t="str">
        <f t="shared" si="300"/>
        <v/>
      </c>
      <c r="AL181" t="str">
        <f t="shared" si="301"/>
        <v/>
      </c>
      <c r="AM181" t="str">
        <f t="shared" si="256"/>
        <v>Home</v>
      </c>
      <c r="AN181" t="str">
        <f t="shared" si="302"/>
        <v>h</v>
      </c>
      <c r="AO181" t="str">
        <f t="shared" si="303"/>
        <v>d</v>
      </c>
      <c r="AP181" t="str">
        <f t="shared" si="304"/>
        <v>o</v>
      </c>
      <c r="AQ181" t="str">
        <f>IF(AM181&lt;&gt;"",AM181,IF($AC181=#REF!,#REF!,""))</f>
        <v>Home</v>
      </c>
      <c r="AR181" t="str">
        <f t="shared" si="305"/>
        <v>h</v>
      </c>
      <c r="AS181" t="str">
        <f t="shared" si="306"/>
        <v>Defensive</v>
      </c>
      <c r="AT181" t="str">
        <f t="shared" si="257"/>
        <v/>
      </c>
      <c r="AU181" t="str">
        <f t="shared" si="258"/>
        <v/>
      </c>
      <c r="AV181" t="str" cm="1">
        <f t="array" ref="AV181">IFERROR(IF(O181&lt;&gt;"",O181,IF(OR($S181="",$T181=""),"",IF(O181&lt;&gt;"",O181,IF($T181&lt;&gt;"",_xlfn._xlws.FILTER(O:O,($BT:$BT=$BT181)*($I:$I=$I181)*($T:$T=$T181)*($S:$S=_xlfn.MINIFS($S:$S,$T:$T,"="&amp;$T181)),"")))))&amp;"",IF(O181="","",""))&amp;""</f>
        <v/>
      </c>
      <c r="AW181" t="str" cm="1">
        <f t="array" ref="AW181">IFERROR(IF(P181&lt;&gt;"",P181,IF(OR($S181="",$T181=""),"",IF($T181&lt;&gt;"",_xlfn._xlws.FILTER(P:P,($BT:$BT=$BT181)*($I:$I=$I181)*($T:$T=$T181)*($S:$S=_xlfn.MINIFS($S:$S,$T:$T,"="&amp;$T181)),""))))&amp;"",IF(P181="","",""))&amp;""</f>
        <v/>
      </c>
      <c r="AX181" t="str" cm="1">
        <f t="array" ref="AX181">IFERROR(IF(Q181&lt;&gt;"",Q181,IF(OR($S181="",$T181=""),"",IF($T181&lt;&gt;"",_xlfn._xlws.FILTER(Q:Q,($BT:$BT=$BT181)*($I:$I=$I181)*($T:$T=$T181)*($S:$S=_xlfn.MINIFS($S:$S,$T:$T,"="&amp;$T181)),""))))&amp;"",IF(Q181="","",""))&amp;""</f>
        <v/>
      </c>
      <c r="AY181" t="str" cm="1">
        <f t="array" ref="AY181">IFERROR(IF(R181&lt;&gt;"",R181,IF(OR($S181="",$T181=""),"",IF($T181&lt;&gt;"",_xlfn._xlws.FILTER(R:R,($BT:$BT=$BT181)*($I:$I=$I181)*($T:$T=$T181)*($S:$S=_xlfn.MINIFS($S:$S,$T:$T,"="&amp;$T181)),""))))&amp;"",IF(R181="","",""))&amp;""</f>
        <v/>
      </c>
      <c r="AZ181" s="6">
        <f t="shared" si="259"/>
        <v>18</v>
      </c>
      <c r="BA181">
        <f t="shared" ref="BA181:BC181" si="334">BA180</f>
        <v>18991</v>
      </c>
      <c r="BB181" t="str">
        <f t="shared" si="334"/>
        <v>Triple J</v>
      </c>
      <c r="BC181" t="str">
        <f t="shared" si="334"/>
        <v>Velodrome</v>
      </c>
      <c r="BD181" t="str">
        <f t="shared" si="261"/>
        <v>Turnover</v>
      </c>
      <c r="BE181" t="str">
        <f t="shared" si="262"/>
        <v>Turnover_Giveaway</v>
      </c>
      <c r="BF181" t="str">
        <f t="shared" si="263"/>
        <v>Giveaway-PassBlocked</v>
      </c>
      <c r="BG181" t="str">
        <f t="shared" si="22"/>
        <v>u</v>
      </c>
      <c r="BH181" cm="1">
        <f t="array" aca="1" ref="BH181" ca="1">IFERROR(_xlfn._xlws.FILTER(shifts!A:A,(shifts!B:B=events!Z181)*(shifts!AG:AG&gt;=events!BJ181)*(shifts!AH:AH&lt;=events!BK181)),BH180)</f>
        <v>7</v>
      </c>
      <c r="BI181" s="15">
        <f t="shared" si="264"/>
        <v>0</v>
      </c>
      <c r="BJ181">
        <f t="shared" si="265"/>
        <v>905</v>
      </c>
      <c r="BK181">
        <f t="shared" si="266"/>
        <v>905</v>
      </c>
      <c r="BL181" s="15">
        <f>SUMIFS(BI$2:BI181,K$2:K181,"=Intermission")+SUMIFS(BI$2:BI181,K$2:K181,"=Timeout")</f>
        <v>0</v>
      </c>
      <c r="BM181">
        <f t="shared" si="267"/>
        <v>0</v>
      </c>
      <c r="BN181" s="19">
        <f t="shared" si="268"/>
        <v>175</v>
      </c>
      <c r="BO181">
        <f t="shared" si="269"/>
        <v>170</v>
      </c>
      <c r="BP181" s="17">
        <f t="shared" si="270"/>
        <v>175</v>
      </c>
      <c r="BQ181" t="str">
        <f t="shared" si="271"/>
        <v>opp_team_player_1</v>
      </c>
      <c r="BR181">
        <f>COUNTIFS(S$3:S181,"="&amp;S181,AH$3:AH181,"="&amp;AH181)</f>
        <v>1</v>
      </c>
      <c r="BS181" t="str">
        <f>IFERROR(VLOOKUP(BA181&amp;BT181&amp;X181,game_rosters!U:W,3,FALSE),"")</f>
        <v>P100230</v>
      </c>
      <c r="BT181" t="str">
        <f t="shared" si="272"/>
        <v>Velodrome</v>
      </c>
    </row>
    <row r="182" spans="1:72" x14ac:dyDescent="0.2">
      <c r="A182" t="str">
        <f t="shared" si="247"/>
        <v>x</v>
      </c>
      <c r="D182" s="26" t="s">
        <v>729</v>
      </c>
      <c r="E182" s="4"/>
      <c r="F182" s="45"/>
      <c r="G182" s="4"/>
      <c r="H182" s="47"/>
      <c r="J182" s="26" t="str">
        <f t="shared" si="274"/>
        <v/>
      </c>
      <c r="N182" t="str">
        <f t="shared" si="291"/>
        <v/>
      </c>
      <c r="Q182" t="str">
        <f t="shared" si="285"/>
        <v/>
      </c>
      <c r="S182">
        <f>IF(A182=1,MAX($S$2:$S181)+1,IF(OR($I182&lt;&gt;"",A182="x"),$S181,""))</f>
        <v>93</v>
      </c>
      <c r="T182">
        <f>IF(D182=1,MAX($T$2:$T181)+1,IF(S182=S181,$T181,IF(D182="x",T181,IF(D181="x","",""))))</f>
        <v>13</v>
      </c>
      <c r="U182" t="str">
        <f>IF(B182=1,MAX($U$2:$U181)+1,IF(AND($T182&lt;&gt;"",$T182=$T181),$U181,IF(B182="x",U181,"")))</f>
        <v/>
      </c>
      <c r="V182" t="str">
        <f>IF(C182=1,MAX($V$2:$V181)+1,IF(AND($T182&lt;&gt;"",$T182=$T181),$U181,IF(C182="x",V181,"")))</f>
        <v/>
      </c>
      <c r="W182" t="str" cm="1">
        <f t="array" ref="W182">IFERROR(_xlfn._xlws.FILTER(game_rosters!AC:AC,(game_rosters!J:J=events!X182)*(K182&lt;&gt;"")),"")</f>
        <v/>
      </c>
      <c r="X182" cm="1">
        <f t="array" ref="X182">IF($I182&lt;&gt;"",$I182,INDEX($I$1:$I182,ROW()-COUNTIFS($T$1:$T182,"="&amp;$T182,$S$1:$S182,"&lt;"&amp;$S182)))</f>
        <v>70</v>
      </c>
      <c r="Y182" t="str" cm="1">
        <f t="array" ref="Y182">IFERROR(IF(_xlfn._xlws.FILTER(game_rosters!$J:$J,(game_rosters!$G:$G=events!$AM182)*(game_rosters!$J:$J=events!$X182))&gt;0,1,""),"")</f>
        <v/>
      </c>
      <c r="Z182" s="6">
        <f t="shared" si="248"/>
        <v>1</v>
      </c>
      <c r="AA182">
        <f t="shared" si="249"/>
        <v>1093</v>
      </c>
      <c r="AB182">
        <f t="shared" si="250"/>
        <v>9013</v>
      </c>
      <c r="AC182">
        <f t="shared" si="251"/>
        <v>9013</v>
      </c>
      <c r="AD182" t="str">
        <f t="shared" si="252"/>
        <v>15</v>
      </c>
      <c r="AE182" t="str">
        <f t="shared" si="253"/>
        <v>05</v>
      </c>
      <c r="AF182" t="str">
        <f t="shared" si="254"/>
        <v/>
      </c>
      <c r="AG182" t="str">
        <f t="shared" si="255"/>
        <v/>
      </c>
      <c r="AH182" t="str">
        <f t="shared" si="298"/>
        <v>o</v>
      </c>
      <c r="AI182" t="str">
        <f t="shared" si="323"/>
        <v>d</v>
      </c>
      <c r="AJ182" t="str">
        <f t="shared" si="323"/>
        <v>d</v>
      </c>
      <c r="AK182" t="str">
        <f t="shared" si="300"/>
        <v/>
      </c>
      <c r="AL182" t="str">
        <f t="shared" si="301"/>
        <v/>
      </c>
      <c r="AM182" t="str">
        <f t="shared" si="256"/>
        <v>Home</v>
      </c>
      <c r="AN182" t="str">
        <f t="shared" si="302"/>
        <v>h</v>
      </c>
      <c r="AO182" t="str">
        <f t="shared" si="303"/>
        <v>d</v>
      </c>
      <c r="AP182" t="str">
        <f t="shared" si="304"/>
        <v>o</v>
      </c>
      <c r="AQ182" t="str">
        <f>IF(AM182&lt;&gt;"",AM182,IF($AC182=#REF!,#REF!,""))</f>
        <v>Home</v>
      </c>
      <c r="AR182" t="str">
        <f t="shared" si="305"/>
        <v>h</v>
      </c>
      <c r="AS182" t="str">
        <f t="shared" si="306"/>
        <v>Defensive</v>
      </c>
      <c r="AT182" t="str">
        <f t="shared" si="257"/>
        <v/>
      </c>
      <c r="AU182" t="str">
        <f t="shared" si="258"/>
        <v/>
      </c>
      <c r="AV182" t="str" cm="1">
        <f t="array" ref="AV182">IFERROR(IF(O182&lt;&gt;"",O182,IF(OR($S182="",$T182=""),"",IF(O182&lt;&gt;"",O182,IF($T182&lt;&gt;"",_xlfn._xlws.FILTER(O:O,($BT:$BT=$BT182)*($I:$I=$I182)*($T:$T=$T182)*($S:$S=_xlfn.MINIFS($S:$S,$T:$T,"="&amp;$T182)),"")))))&amp;"",IF(O182="","",""))&amp;""</f>
        <v/>
      </c>
      <c r="AW182" t="str" cm="1">
        <f t="array" ref="AW182">IFERROR(IF(P182&lt;&gt;"",P182,IF(OR($S182="",$T182=""),"",IF($T182&lt;&gt;"",_xlfn._xlws.FILTER(P:P,($BT:$BT=$BT182)*($I:$I=$I182)*($T:$T=$T182)*($S:$S=_xlfn.MINIFS($S:$S,$T:$T,"="&amp;$T182)),""))))&amp;"",IF(P182="","",""))&amp;""</f>
        <v/>
      </c>
      <c r="AX182" t="str" cm="1">
        <f t="array" ref="AX182">IFERROR(IF(Q182&lt;&gt;"",Q182,IF(OR($S182="",$T182=""),"",IF($T182&lt;&gt;"",_xlfn._xlws.FILTER(Q:Q,($BT:$BT=$BT182)*($I:$I=$I182)*($T:$T=$T182)*($S:$S=_xlfn.MINIFS($S:$S,$T:$T,"="&amp;$T182)),""))))&amp;"",IF(Q182="","",""))&amp;""</f>
        <v/>
      </c>
      <c r="AY182" t="str" cm="1">
        <f t="array" ref="AY182">IFERROR(IF(R182&lt;&gt;"",R182,IF(OR($S182="",$T182=""),"",IF($T182&lt;&gt;"",_xlfn._xlws.FILTER(R:R,($BT:$BT=$BT182)*($I:$I=$I182)*($T:$T=$T182)*($S:$S=_xlfn.MINIFS($S:$S,$T:$T,"="&amp;$T182)),""))))&amp;"",IF(R182="","",""))&amp;""</f>
        <v/>
      </c>
      <c r="AZ182" s="6">
        <f t="shared" si="259"/>
        <v>18</v>
      </c>
      <c r="BA182">
        <f t="shared" ref="BA182:BC182" si="335">BA181</f>
        <v>18991</v>
      </c>
      <c r="BB182" t="str">
        <f t="shared" si="335"/>
        <v>Triple J</v>
      </c>
      <c r="BC182" t="str">
        <f t="shared" si="335"/>
        <v>Velodrome</v>
      </c>
      <c r="BD182" t="str">
        <f t="shared" si="261"/>
        <v>Turnover</v>
      </c>
      <c r="BE182" t="str">
        <f t="shared" si="262"/>
        <v>Turnover_Giveaway</v>
      </c>
      <c r="BF182" t="str">
        <f t="shared" si="263"/>
        <v>Giveaway-PassBlocked</v>
      </c>
      <c r="BG182" t="str">
        <f t="shared" si="22"/>
        <v>u</v>
      </c>
      <c r="BH182" cm="1">
        <f t="array" aca="1" ref="BH182" ca="1">IFERROR(_xlfn._xlws.FILTER(shifts!A:A,(shifts!B:B=events!Z182)*(shifts!AG:AG&gt;=events!BJ182)*(shifts!AH:AH&lt;=events!BK182)),BH181)</f>
        <v>7</v>
      </c>
      <c r="BI182" s="15">
        <f t="shared" si="264"/>
        <v>0</v>
      </c>
      <c r="BJ182">
        <f t="shared" si="265"/>
        <v>905</v>
      </c>
      <c r="BK182">
        <f t="shared" si="266"/>
        <v>905</v>
      </c>
      <c r="BL182" s="15">
        <f>SUMIFS(BI$2:BI182,K$2:K182,"=Intermission")+SUMIFS(BI$2:BI182,K$2:K182,"=Timeout")</f>
        <v>0</v>
      </c>
      <c r="BM182">
        <f t="shared" si="267"/>
        <v>0</v>
      </c>
      <c r="BN182" s="19">
        <f t="shared" si="268"/>
        <v>175</v>
      </c>
      <c r="BO182">
        <f t="shared" si="269"/>
        <v>170</v>
      </c>
      <c r="BP182" s="17">
        <f t="shared" si="270"/>
        <v>175</v>
      </c>
      <c r="BQ182" t="str">
        <f t="shared" si="271"/>
        <v>opp_team_player_2</v>
      </c>
      <c r="BR182">
        <f>COUNTIFS(S$3:S182,"="&amp;S182,AH$3:AH182,"="&amp;AH182)</f>
        <v>2</v>
      </c>
      <c r="BS182" t="str">
        <f>IFERROR(VLOOKUP(BA182&amp;BT182&amp;X182,game_rosters!U:W,3,FALSE),"")</f>
        <v>P100001</v>
      </c>
      <c r="BT182" t="str">
        <f t="shared" si="272"/>
        <v>Velodrome</v>
      </c>
    </row>
    <row r="183" spans="1:72" x14ac:dyDescent="0.2">
      <c r="A183">
        <f t="shared" si="247"/>
        <v>1</v>
      </c>
      <c r="E183" s="4"/>
      <c r="F183" s="45" t="s">
        <v>1057</v>
      </c>
      <c r="G183" s="4"/>
      <c r="H183" s="47" t="s">
        <v>1040</v>
      </c>
      <c r="I183" s="26">
        <v>70</v>
      </c>
      <c r="J183" s="26" t="s">
        <v>368</v>
      </c>
      <c r="K183" t="s">
        <v>13</v>
      </c>
      <c r="L183" t="s">
        <v>586</v>
      </c>
      <c r="N183" t="s">
        <v>594</v>
      </c>
      <c r="O183" t="s">
        <v>907</v>
      </c>
      <c r="Q183" t="str">
        <f t="shared" si="285"/>
        <v>u</v>
      </c>
      <c r="S183">
        <f>IF(A183=1,MAX($S$2:$S182)+1,IF(OR($I183&lt;&gt;"",A183="x"),$S182,""))</f>
        <v>94</v>
      </c>
      <c r="T183" t="str">
        <f>IF(D183=1,MAX($T$2:$T182)+1,IF(S183=S182,$T182,IF(D183="x",T182,IF(D182="x","",""))))</f>
        <v/>
      </c>
      <c r="U183" t="str">
        <f>IF(B183=1,MAX($U$2:$U182)+1,IF(AND($T183&lt;&gt;"",$T183=$T182),$U182,IF(B183="x",U182,"")))</f>
        <v/>
      </c>
      <c r="V183" t="str">
        <f>IF(C183=1,MAX($V$2:$V182)+1,IF(AND($T183&lt;&gt;"",$T183=$T182),$U182,IF(C183="x",V182,"")))</f>
        <v/>
      </c>
      <c r="W183" t="str" cm="1">
        <f t="array" ref="W183">IFERROR(_xlfn._xlws.FILTER(game_rosters!AC:AC,(game_rosters!J:J=events!X183)*(K183&lt;&gt;"")),"")</f>
        <v>a</v>
      </c>
      <c r="X183" cm="1">
        <f t="array" ref="X183">IF($I183&lt;&gt;"",$I183,INDEX($I$1:$I183,ROW()-COUNTIFS($T$1:$T183,"="&amp;$T183,$S$1:$S183,"&lt;"&amp;$S183)))</f>
        <v>70</v>
      </c>
      <c r="Y183" cm="1">
        <f t="array" ref="Y183">IFERROR(IF(_xlfn._xlws.FILTER(game_rosters!$J:$J,(game_rosters!$G:$G=events!$AM183)*(game_rosters!$J:$J=events!$X183))&gt;0,1,""),"")</f>
        <v>1</v>
      </c>
      <c r="Z183" s="6">
        <f t="shared" si="248"/>
        <v>1</v>
      </c>
      <c r="AA183">
        <f t="shared" si="249"/>
        <v>1094</v>
      </c>
      <c r="AB183" t="str">
        <f t="shared" si="250"/>
        <v/>
      </c>
      <c r="AC183">
        <f t="shared" si="251"/>
        <v>1094</v>
      </c>
      <c r="AD183" t="str">
        <f t="shared" si="252"/>
        <v>15</v>
      </c>
      <c r="AE183" t="str">
        <f t="shared" si="253"/>
        <v>03</v>
      </c>
      <c r="AF183" t="str">
        <f t="shared" si="254"/>
        <v>15</v>
      </c>
      <c r="AG183" t="str">
        <f t="shared" si="255"/>
        <v>02</v>
      </c>
      <c r="AH183" t="str">
        <f t="shared" si="298"/>
        <v>e</v>
      </c>
      <c r="AI183" t="str">
        <f t="shared" si="323"/>
        <v>o</v>
      </c>
      <c r="AJ183" t="str">
        <f t="shared" si="323"/>
        <v>o</v>
      </c>
      <c r="AK183" t="str">
        <f t="shared" si="300"/>
        <v>d</v>
      </c>
      <c r="AL183" t="str">
        <f t="shared" si="301"/>
        <v>o</v>
      </c>
      <c r="AM183" t="str">
        <f t="shared" si="256"/>
        <v>Away</v>
      </c>
      <c r="AN183" t="str">
        <f t="shared" si="302"/>
        <v>a</v>
      </c>
      <c r="AO183" t="str">
        <f t="shared" si="303"/>
        <v>d</v>
      </c>
      <c r="AP183" t="str">
        <f t="shared" si="304"/>
        <v>o</v>
      </c>
      <c r="AQ183" t="str">
        <f>IF(AM183&lt;&gt;"",AM183,IF($AC183=#REF!,#REF!,""))</f>
        <v>Away</v>
      </c>
      <c r="AR183" t="str">
        <f t="shared" si="305"/>
        <v>a</v>
      </c>
      <c r="AS183" t="str">
        <f t="shared" si="306"/>
        <v>Offensive</v>
      </c>
      <c r="AT183" t="str">
        <f t="shared" si="257"/>
        <v/>
      </c>
      <c r="AU183" t="str">
        <f t="shared" si="258"/>
        <v/>
      </c>
      <c r="AV183" t="str" cm="1">
        <f t="array" ref="AV183">IFERROR(IF(O183&lt;&gt;"",O183,IF(OR($S183="",$T183=""),"",IF(O183&lt;&gt;"",O183,IF($T183&lt;&gt;"",_xlfn._xlws.FILTER(O:O,($BT:$BT=$BT183)*($I:$I=$I183)*($T:$T=$T183)*($S:$S=_xlfn.MINIFS($S:$S,$T:$T,"="&amp;$T183)),"")))))&amp;"",IF(O183="","",""))&amp;""</f>
        <v>PuckRecoveryRetreivalPass</v>
      </c>
      <c r="AW183" t="str" cm="1">
        <f t="array" ref="AW183">IFERROR(IF(P183&lt;&gt;"",P183,IF(OR($S183="",$T183=""),"",IF($T183&lt;&gt;"",_xlfn._xlws.FILTER(P:P,($BT:$BT=$BT183)*($I:$I=$I183)*($T:$T=$T183)*($S:$S=_xlfn.MINIFS($S:$S,$T:$T,"="&amp;$T183)),""))))&amp;"",IF(P183="","",""))&amp;""</f>
        <v/>
      </c>
      <c r="AX183" t="str" cm="1">
        <f t="array" ref="AX183">IFERROR(IF(Q183&lt;&gt;"",Q183,IF(OR($S183="",$T183=""),"",IF($T183&lt;&gt;"",_xlfn._xlws.FILTER(Q:Q,($BT:$BT=$BT183)*($I:$I=$I183)*($T:$T=$T183)*($S:$S=_xlfn.MINIFS($S:$S,$T:$T,"="&amp;$T183)),""))))&amp;"",IF(Q183="","",""))&amp;""</f>
        <v>u</v>
      </c>
      <c r="AY183" t="str" cm="1">
        <f t="array" ref="AY183">IFERROR(IF(R183&lt;&gt;"",R183,IF(OR($S183="",$T183=""),"",IF($T183&lt;&gt;"",_xlfn._xlws.FILTER(R:R,($BT:$BT=$BT183)*($I:$I=$I183)*($T:$T=$T183)*($S:$S=_xlfn.MINIFS($S:$S,$T:$T,"="&amp;$T183)),""))))&amp;"",IF(R183="","",""))&amp;""</f>
        <v/>
      </c>
      <c r="AZ183" s="6">
        <f t="shared" si="259"/>
        <v>18</v>
      </c>
      <c r="BA183">
        <f t="shared" ref="BA183:BC183" si="336">BA182</f>
        <v>18991</v>
      </c>
      <c r="BB183" t="str">
        <f t="shared" si="336"/>
        <v>Triple J</v>
      </c>
      <c r="BC183" t="str">
        <f t="shared" si="336"/>
        <v>Velodrome</v>
      </c>
      <c r="BD183" t="str">
        <f t="shared" si="261"/>
        <v>Possession</v>
      </c>
      <c r="BE183" t="str">
        <f t="shared" si="262"/>
        <v>PuckRetrieval</v>
      </c>
      <c r="BF183" t="str">
        <f t="shared" si="263"/>
        <v/>
      </c>
      <c r="BG183" t="str">
        <f t="shared" si="22"/>
        <v>u</v>
      </c>
      <c r="BH183" cm="1">
        <f t="array" aca="1" ref="BH183" ca="1">IFERROR(_xlfn._xlws.FILTER(shifts!A:A,(shifts!B:B=events!Z183)*(shifts!AG:AG&gt;=events!BJ183)*(shifts!AH:AH&lt;=events!BK183)),BH182)</f>
        <v>7</v>
      </c>
      <c r="BI183" s="15">
        <f t="shared" si="264"/>
        <v>1</v>
      </c>
      <c r="BJ183">
        <f t="shared" si="265"/>
        <v>903</v>
      </c>
      <c r="BK183">
        <f t="shared" si="266"/>
        <v>902</v>
      </c>
      <c r="BL183" s="15">
        <f>SUMIFS(BI$2:BI183,K$2:K183,"=Intermission")+SUMIFS(BI$2:BI183,K$2:K183,"=Timeout")</f>
        <v>0</v>
      </c>
      <c r="BM183">
        <f t="shared" si="267"/>
        <v>0</v>
      </c>
      <c r="BN183" s="19">
        <f t="shared" si="268"/>
        <v>177</v>
      </c>
      <c r="BO183">
        <f t="shared" si="269"/>
        <v>172</v>
      </c>
      <c r="BP183" s="17">
        <f t="shared" si="270"/>
        <v>178</v>
      </c>
      <c r="BQ183" t="str">
        <f t="shared" si="271"/>
        <v>event_team_player_1</v>
      </c>
      <c r="BR183">
        <f>COUNTIFS(S$3:S183,"="&amp;S183,AH$3:AH183,"="&amp;AH183)</f>
        <v>1</v>
      </c>
      <c r="BS183" t="str">
        <f>IFERROR(VLOOKUP(BA183&amp;BT183&amp;X183,game_rosters!U:W,3,FALSE),"")</f>
        <v>P100001</v>
      </c>
      <c r="BT183" t="str">
        <f t="shared" si="272"/>
        <v>Velodrome</v>
      </c>
    </row>
    <row r="184" spans="1:72" x14ac:dyDescent="0.2">
      <c r="A184">
        <f t="shared" si="247"/>
        <v>1</v>
      </c>
      <c r="D184" s="26">
        <v>1</v>
      </c>
      <c r="E184" s="4"/>
      <c r="F184" s="45"/>
      <c r="G184" s="4"/>
      <c r="H184" s="47"/>
      <c r="I184" s="26">
        <v>70</v>
      </c>
      <c r="J184" s="26" t="s">
        <v>368</v>
      </c>
      <c r="K184" t="s">
        <v>7</v>
      </c>
      <c r="L184" t="s">
        <v>182</v>
      </c>
      <c r="M184" t="s">
        <v>385</v>
      </c>
      <c r="N184" t="str">
        <f t="shared" si="291"/>
        <v>u</v>
      </c>
      <c r="Q184" t="str">
        <f t="shared" si="285"/>
        <v/>
      </c>
      <c r="S184">
        <f>IF(A184=1,MAX($S$2:$S183)+1,IF(OR($I184&lt;&gt;"",A184="x"),$S183,""))</f>
        <v>95</v>
      </c>
      <c r="T184">
        <f>IF(D184=1,MAX($T$2:$T183)+1,IF(S184=S183,$T183,IF(D184="x",T183,IF(D183="x","",""))))</f>
        <v>14</v>
      </c>
      <c r="U184" t="str">
        <f>IF(B184=1,MAX($U$2:$U183)+1,IF(AND($T184&lt;&gt;"",$T184=$T183),$U183,IF(B184="x",U183,"")))</f>
        <v/>
      </c>
      <c r="V184" t="str">
        <f>IF(C184=1,MAX($V$2:$V183)+1,IF(AND($T184&lt;&gt;"",$T184=$T183),$U183,IF(C184="x",V183,"")))</f>
        <v/>
      </c>
      <c r="W184" t="str" cm="1">
        <f t="array" ref="W184">IFERROR(_xlfn._xlws.FILTER(game_rosters!AC:AC,(game_rosters!J:J=events!X184)*(K184&lt;&gt;"")),"")</f>
        <v>a</v>
      </c>
      <c r="X184" cm="1">
        <f t="array" ref="X184">IF($I184&lt;&gt;"",$I184,INDEX($I$1:$I184,ROW()-COUNTIFS($T$1:$T184,"="&amp;$T184,$S$1:$S184,"&lt;"&amp;$S184)))</f>
        <v>70</v>
      </c>
      <c r="Y184" cm="1">
        <f t="array" ref="Y184">IFERROR(IF(_xlfn._xlws.FILTER(game_rosters!$J:$J,(game_rosters!$G:$G=events!$AM184)*(game_rosters!$J:$J=events!$X184))&gt;0,1,""),"")</f>
        <v>1</v>
      </c>
      <c r="Z184" s="6">
        <f t="shared" si="248"/>
        <v>1</v>
      </c>
      <c r="AA184">
        <f t="shared" si="249"/>
        <v>1095</v>
      </c>
      <c r="AB184">
        <f t="shared" si="250"/>
        <v>9014</v>
      </c>
      <c r="AC184">
        <f t="shared" si="251"/>
        <v>9014</v>
      </c>
      <c r="AD184" t="str">
        <f t="shared" si="252"/>
        <v>15</v>
      </c>
      <c r="AE184" t="str">
        <f t="shared" si="253"/>
        <v>02</v>
      </c>
      <c r="AF184" t="str">
        <f t="shared" si="254"/>
        <v/>
      </c>
      <c r="AG184" t="str">
        <f t="shared" si="255"/>
        <v/>
      </c>
      <c r="AH184" t="str">
        <f t="shared" si="298"/>
        <v>e</v>
      </c>
      <c r="AI184" t="str">
        <f t="shared" si="323"/>
        <v>o</v>
      </c>
      <c r="AJ184" t="str">
        <f t="shared" si="323"/>
        <v>o</v>
      </c>
      <c r="AK184" t="str">
        <f t="shared" si="300"/>
        <v>d</v>
      </c>
      <c r="AL184" t="str">
        <f t="shared" si="301"/>
        <v>o</v>
      </c>
      <c r="AM184" t="str">
        <f t="shared" si="256"/>
        <v>Away</v>
      </c>
      <c r="AN184" t="str">
        <f t="shared" si="302"/>
        <v>a</v>
      </c>
      <c r="AO184" t="str">
        <f t="shared" si="303"/>
        <v>d</v>
      </c>
      <c r="AP184" t="str">
        <f t="shared" si="304"/>
        <v>o</v>
      </c>
      <c r="AQ184" t="str">
        <f>IF(AM184&lt;&gt;"",AM184,IF($AC184=#REF!,#REF!,""))</f>
        <v>Away</v>
      </c>
      <c r="AR184" t="str">
        <f t="shared" si="305"/>
        <v>a</v>
      </c>
      <c r="AS184" t="str">
        <f t="shared" si="306"/>
        <v>Offensive</v>
      </c>
      <c r="AT184" t="str">
        <f t="shared" si="257"/>
        <v/>
      </c>
      <c r="AU184" t="str">
        <f t="shared" si="258"/>
        <v/>
      </c>
      <c r="AV184" t="str" cm="1">
        <f t="array" ref="AV184">IFERROR(IF(O184&lt;&gt;"",O184,IF(OR($S184="",$T184=""),"",IF(O184&lt;&gt;"",O184,IF($T184&lt;&gt;"",_xlfn._xlws.FILTER(O:O,($BT:$BT=$BT184)*($I:$I=$I184)*($T:$T=$T184)*($S:$S=_xlfn.MINIFS($S:$S,$T:$T,"="&amp;$T184)),"")))))&amp;"",IF(O184="","",""))&amp;""</f>
        <v/>
      </c>
      <c r="AW184" t="str" cm="1">
        <f t="array" ref="AW184">IFERROR(IF(P184&lt;&gt;"",P184,IF(OR($S184="",$T184=""),"",IF($T184&lt;&gt;"",_xlfn._xlws.FILTER(P:P,($BT:$BT=$BT184)*($I:$I=$I184)*($T:$T=$T184)*($S:$S=_xlfn.MINIFS($S:$S,$T:$T,"="&amp;$T184)),""))))&amp;"",IF(P184="","",""))&amp;""</f>
        <v/>
      </c>
      <c r="AX184" t="str" cm="1">
        <f t="array" ref="AX184">IFERROR(IF(Q184&lt;&gt;"",Q184,IF(OR($S184="",$T184=""),"",IF($T184&lt;&gt;"",_xlfn._xlws.FILTER(Q:Q,($BT:$BT=$BT184)*($I:$I=$I184)*($T:$T=$T184)*($S:$S=_xlfn.MINIFS($S:$S,$T:$T,"="&amp;$T184)),""))))&amp;"",IF(Q184="","",""))&amp;""</f>
        <v/>
      </c>
      <c r="AY184" t="str" cm="1">
        <f t="array" ref="AY184">IFERROR(IF(R184&lt;&gt;"",R184,IF(OR($S184="",$T184=""),"",IF($T184&lt;&gt;"",_xlfn._xlws.FILTER(R:R,($BT:$BT=$BT184)*($I:$I=$I184)*($T:$T=$T184)*($S:$S=_xlfn.MINIFS($S:$S,$T:$T,"="&amp;$T184)),""))))&amp;"",IF(R184="","",""))&amp;""</f>
        <v/>
      </c>
      <c r="AZ184" s="6">
        <f t="shared" si="259"/>
        <v>18</v>
      </c>
      <c r="BA184">
        <f t="shared" ref="BA184:BC184" si="337">BA183</f>
        <v>18991</v>
      </c>
      <c r="BB184" t="str">
        <f t="shared" si="337"/>
        <v>Triple J</v>
      </c>
      <c r="BC184" t="str">
        <f t="shared" si="337"/>
        <v>Velodrome</v>
      </c>
      <c r="BD184" t="str">
        <f t="shared" si="261"/>
        <v>Pass</v>
      </c>
      <c r="BE184" t="str">
        <f t="shared" si="262"/>
        <v>Pass_Missed</v>
      </c>
      <c r="BF184" t="str">
        <f t="shared" si="263"/>
        <v>Pass-Drop</v>
      </c>
      <c r="BG184" t="str">
        <f t="shared" si="22"/>
        <v>u</v>
      </c>
      <c r="BH184" cm="1">
        <f t="array" aca="1" ref="BH184" ca="1">IFERROR(_xlfn._xlws.FILTER(shifts!A:A,(shifts!B:B=events!Z184)*(shifts!AG:AG&gt;=events!BJ184)*(shifts!AH:AH&lt;=events!BK184)),BH183)</f>
        <v>7</v>
      </c>
      <c r="BI184" s="15">
        <f t="shared" si="264"/>
        <v>0</v>
      </c>
      <c r="BJ184">
        <f t="shared" si="265"/>
        <v>902</v>
      </c>
      <c r="BK184">
        <f t="shared" si="266"/>
        <v>902</v>
      </c>
      <c r="BL184" s="15">
        <f>SUMIFS(BI$2:BI184,K$2:K184,"=Intermission")+SUMIFS(BI$2:BI184,K$2:K184,"=Timeout")</f>
        <v>0</v>
      </c>
      <c r="BM184">
        <f t="shared" si="267"/>
        <v>0</v>
      </c>
      <c r="BN184" s="19">
        <f t="shared" si="268"/>
        <v>178</v>
      </c>
      <c r="BO184">
        <f t="shared" si="269"/>
        <v>173</v>
      </c>
      <c r="BP184" s="17">
        <f t="shared" si="270"/>
        <v>178</v>
      </c>
      <c r="BQ184" t="str">
        <f t="shared" si="271"/>
        <v>event_team_player_1</v>
      </c>
      <c r="BR184">
        <f>COUNTIFS(S$3:S184,"="&amp;S184,AH$3:AH184,"="&amp;AH184)</f>
        <v>1</v>
      </c>
      <c r="BS184" t="str">
        <f>IFERROR(VLOOKUP(BA184&amp;BT184&amp;X184,game_rosters!U:W,3,FALSE),"")</f>
        <v>P100001</v>
      </c>
      <c r="BT184" t="str">
        <f t="shared" si="272"/>
        <v>Velodrome</v>
      </c>
    </row>
    <row r="185" spans="1:72" x14ac:dyDescent="0.2">
      <c r="A185" t="str">
        <f t="shared" si="247"/>
        <v>x</v>
      </c>
      <c r="D185" s="26" t="s">
        <v>729</v>
      </c>
      <c r="E185" s="4"/>
      <c r="F185" s="45"/>
      <c r="G185" s="4"/>
      <c r="H185" s="47"/>
      <c r="I185" s="26">
        <v>24</v>
      </c>
      <c r="J185" s="26" t="str">
        <f t="shared" si="274"/>
        <v/>
      </c>
      <c r="N185" t="str">
        <f t="shared" si="291"/>
        <v/>
      </c>
      <c r="Q185" t="str">
        <f t="shared" si="285"/>
        <v/>
      </c>
      <c r="S185">
        <f>IF(A185=1,MAX($S$2:$S184)+1,IF(OR($I185&lt;&gt;"",A185="x"),$S184,""))</f>
        <v>95</v>
      </c>
      <c r="T185">
        <f>IF(D185=1,MAX($T$2:$T184)+1,IF(S185=S184,$T184,IF(D185="x",T184,IF(D184="x","",""))))</f>
        <v>14</v>
      </c>
      <c r="U185" t="str">
        <f>IF(B185=1,MAX($U$2:$U184)+1,IF(AND($T185&lt;&gt;"",$T185=$T184),$U184,IF(B185="x",U184,"")))</f>
        <v/>
      </c>
      <c r="V185" t="str">
        <f>IF(C185=1,MAX($V$2:$V184)+1,IF(AND($T185&lt;&gt;"",$T185=$T184),$U184,IF(C185="x",V184,"")))</f>
        <v/>
      </c>
      <c r="W185" t="str" cm="1">
        <f t="array" ref="W185">IFERROR(_xlfn._xlws.FILTER(game_rosters!AC:AC,(game_rosters!J:J=events!X185)*(K185&lt;&gt;"")),"")</f>
        <v/>
      </c>
      <c r="X185" cm="1">
        <f t="array" ref="X185">IF($I185&lt;&gt;"",$I185,INDEX($I$1:$I185,ROW()-COUNTIFS($T$1:$T185,"="&amp;$T185,$S$1:$S185,"&lt;"&amp;$S185)))</f>
        <v>24</v>
      </c>
      <c r="Y185" cm="1">
        <f t="array" ref="Y185">IFERROR(IF(_xlfn._xlws.FILTER(game_rosters!$J:$J,(game_rosters!$G:$G=events!$AM185)*(game_rosters!$J:$J=events!$X185))&gt;0,1,""),"")</f>
        <v>1</v>
      </c>
      <c r="Z185" s="6">
        <f t="shared" si="248"/>
        <v>1</v>
      </c>
      <c r="AA185">
        <f t="shared" si="249"/>
        <v>1095</v>
      </c>
      <c r="AB185">
        <f t="shared" si="250"/>
        <v>9014</v>
      </c>
      <c r="AC185">
        <f t="shared" si="251"/>
        <v>9014</v>
      </c>
      <c r="AD185" t="str">
        <f t="shared" si="252"/>
        <v>15</v>
      </c>
      <c r="AE185" t="str">
        <f t="shared" si="253"/>
        <v>02</v>
      </c>
      <c r="AF185" t="str">
        <f t="shared" si="254"/>
        <v/>
      </c>
      <c r="AG185" t="str">
        <f t="shared" si="255"/>
        <v/>
      </c>
      <c r="AH185" t="str">
        <f t="shared" si="298"/>
        <v>e</v>
      </c>
      <c r="AI185" t="str">
        <f t="shared" si="323"/>
        <v>o</v>
      </c>
      <c r="AJ185" t="str">
        <f t="shared" si="323"/>
        <v>o</v>
      </c>
      <c r="AK185" t="str">
        <f t="shared" si="300"/>
        <v/>
      </c>
      <c r="AL185" t="str">
        <f t="shared" si="301"/>
        <v/>
      </c>
      <c r="AM185" t="str">
        <f t="shared" si="256"/>
        <v>Away</v>
      </c>
      <c r="AN185" t="str">
        <f t="shared" si="302"/>
        <v>a</v>
      </c>
      <c r="AO185" t="str">
        <f t="shared" si="303"/>
        <v>d</v>
      </c>
      <c r="AP185" t="str">
        <f t="shared" si="304"/>
        <v>o</v>
      </c>
      <c r="AQ185" t="str">
        <f>IF(AM185&lt;&gt;"",AM185,IF($AC185=#REF!,#REF!,""))</f>
        <v>Away</v>
      </c>
      <c r="AR185" t="str">
        <f t="shared" si="305"/>
        <v>a</v>
      </c>
      <c r="AS185" t="str">
        <f t="shared" si="306"/>
        <v>Offensive</v>
      </c>
      <c r="AT185" t="str">
        <f t="shared" si="257"/>
        <v/>
      </c>
      <c r="AU185" t="str">
        <f t="shared" si="258"/>
        <v/>
      </c>
      <c r="AV185" t="str" cm="1">
        <f t="array" ref="AV185">IFERROR(IF(O185&lt;&gt;"",O185,IF(OR($S185="",$T185=""),"",IF(O185&lt;&gt;"",O185,IF($T185&lt;&gt;"",_xlfn._xlws.FILTER(O:O,($BT:$BT=$BT185)*($I:$I=$I185)*($T:$T=$T185)*($S:$S=_xlfn.MINIFS($S:$S,$T:$T,"="&amp;$T185)),"")))))&amp;"",IF(O185="","",""))&amp;""</f>
        <v/>
      </c>
      <c r="AW185" t="str" cm="1">
        <f t="array" ref="AW185">IFERROR(IF(P185&lt;&gt;"",P185,IF(OR($S185="",$T185=""),"",IF($T185&lt;&gt;"",_xlfn._xlws.FILTER(P:P,($BT:$BT=$BT185)*($I:$I=$I185)*($T:$T=$T185)*($S:$S=_xlfn.MINIFS($S:$S,$T:$T,"="&amp;$T185)),""))))&amp;"",IF(P185="","",""))&amp;""</f>
        <v/>
      </c>
      <c r="AX185" t="str" cm="1">
        <f t="array" ref="AX185">IFERROR(IF(Q185&lt;&gt;"",Q185,IF(OR($S185="",$T185=""),"",IF($T185&lt;&gt;"",_xlfn._xlws.FILTER(Q:Q,($BT:$BT=$BT185)*($I:$I=$I185)*($T:$T=$T185)*($S:$S=_xlfn.MINIFS($S:$S,$T:$T,"="&amp;$T185)),""))))&amp;"",IF(Q185="","",""))&amp;""</f>
        <v/>
      </c>
      <c r="AY185" t="str" cm="1">
        <f t="array" ref="AY185">IFERROR(IF(R185&lt;&gt;"",R185,IF(OR($S185="",$T185=""),"",IF($T185&lt;&gt;"",_xlfn._xlws.FILTER(R:R,($BT:$BT=$BT185)*($I:$I=$I185)*($T:$T=$T185)*($S:$S=_xlfn.MINIFS($S:$S,$T:$T,"="&amp;$T185)),""))))&amp;"",IF(R185="","",""))&amp;""</f>
        <v/>
      </c>
      <c r="AZ185" s="6">
        <f t="shared" si="259"/>
        <v>18</v>
      </c>
      <c r="BA185">
        <f t="shared" ref="BA185:BC185" si="338">BA184</f>
        <v>18991</v>
      </c>
      <c r="BB185" t="str">
        <f t="shared" si="338"/>
        <v>Triple J</v>
      </c>
      <c r="BC185" t="str">
        <f t="shared" si="338"/>
        <v>Velodrome</v>
      </c>
      <c r="BD185" t="str">
        <f t="shared" si="261"/>
        <v>Pass</v>
      </c>
      <c r="BE185" t="str">
        <f t="shared" si="262"/>
        <v>Pass_Missed</v>
      </c>
      <c r="BF185" t="str">
        <f t="shared" si="263"/>
        <v>Pass-Drop</v>
      </c>
      <c r="BG185" t="str">
        <f t="shared" si="22"/>
        <v>u</v>
      </c>
      <c r="BH185" cm="1">
        <f t="array" aca="1" ref="BH185" ca="1">IFERROR(_xlfn._xlws.FILTER(shifts!A:A,(shifts!B:B=events!Z185)*(shifts!AG:AG&gt;=events!BJ185)*(shifts!AH:AH&lt;=events!BK185)),BH184)</f>
        <v>7</v>
      </c>
      <c r="BI185" s="15">
        <f t="shared" si="264"/>
        <v>0</v>
      </c>
      <c r="BJ185">
        <f t="shared" si="265"/>
        <v>902</v>
      </c>
      <c r="BK185">
        <f t="shared" si="266"/>
        <v>902</v>
      </c>
      <c r="BL185" s="15">
        <f>SUMIFS(BI$2:BI185,K$2:K185,"=Intermission")+SUMIFS(BI$2:BI185,K$2:K185,"=Timeout")</f>
        <v>0</v>
      </c>
      <c r="BM185">
        <f t="shared" si="267"/>
        <v>0</v>
      </c>
      <c r="BN185" s="19">
        <f t="shared" si="268"/>
        <v>178</v>
      </c>
      <c r="BO185">
        <f t="shared" si="269"/>
        <v>173</v>
      </c>
      <c r="BP185" s="17">
        <f t="shared" si="270"/>
        <v>178</v>
      </c>
      <c r="BQ185" t="str">
        <f t="shared" si="271"/>
        <v>event_team_player_2</v>
      </c>
      <c r="BR185">
        <f>COUNTIFS(S$3:S185,"="&amp;S185,AH$3:AH185,"="&amp;AH185)</f>
        <v>2</v>
      </c>
      <c r="BS185" t="str">
        <f>IFERROR(VLOOKUP(BA185&amp;BT185&amp;X185,game_rosters!U:W,3,FALSE),"")</f>
        <v>P100230</v>
      </c>
      <c r="BT185" t="str">
        <f t="shared" si="272"/>
        <v>Velodrome</v>
      </c>
    </row>
    <row r="186" spans="1:72" x14ac:dyDescent="0.2">
      <c r="A186">
        <f t="shared" si="247"/>
        <v>1</v>
      </c>
      <c r="D186" s="26" t="s">
        <v>729</v>
      </c>
      <c r="E186" s="4"/>
      <c r="F186" s="45"/>
      <c r="G186" s="4"/>
      <c r="H186" s="47"/>
      <c r="J186" s="26" t="s">
        <v>368</v>
      </c>
      <c r="K186" t="s">
        <v>9</v>
      </c>
      <c r="L186" t="s">
        <v>173</v>
      </c>
      <c r="M186" t="s">
        <v>74</v>
      </c>
      <c r="N186" t="str">
        <f t="shared" si="291"/>
        <v>u</v>
      </c>
      <c r="Q186" t="str">
        <f t="shared" si="285"/>
        <v/>
      </c>
      <c r="S186">
        <f>IF(A186=1,MAX($S$2:$S185)+1,IF(OR($I186&lt;&gt;"",A186="x"),$S185,""))</f>
        <v>96</v>
      </c>
      <c r="T186">
        <f>IF(D186=1,MAX($T$2:$T185)+1,IF(S186=S185,$T185,IF(D186="x",T185,IF(D185="x","",""))))</f>
        <v>14</v>
      </c>
      <c r="U186" t="str">
        <f>IF(B186=1,MAX($U$2:$U185)+1,IF(AND($T186&lt;&gt;"",$T186=$T185),$U185,IF(B186="x",U185,"")))</f>
        <v/>
      </c>
      <c r="V186" t="str">
        <f>IF(C186=1,MAX($V$2:$V185)+1,IF(AND($T186&lt;&gt;"",$T186=$T185),$U185,IF(C186="x",V185,"")))</f>
        <v/>
      </c>
      <c r="W186" t="str" cm="1">
        <f t="array" ref="W186">IFERROR(_xlfn._xlws.FILTER(game_rosters!AC:AC,(game_rosters!J:J=events!X186)*(K186&lt;&gt;"")),"")</f>
        <v>a</v>
      </c>
      <c r="X186" cm="1">
        <f t="array" ref="X186">IF($I186&lt;&gt;"",$I186,INDEX($I$1:$I186,ROW()-COUNTIFS($T$1:$T186,"="&amp;$T186,$S$1:$S186,"&lt;"&amp;$S186)))</f>
        <v>70</v>
      </c>
      <c r="Y186" cm="1">
        <f t="array" ref="Y186">IFERROR(IF(_xlfn._xlws.FILTER(game_rosters!$J:$J,(game_rosters!$G:$G=events!$AM186)*(game_rosters!$J:$J=events!$X186))&gt;0,1,""),"")</f>
        <v>1</v>
      </c>
      <c r="Z186" s="6">
        <f t="shared" si="248"/>
        <v>1</v>
      </c>
      <c r="AA186">
        <f t="shared" si="249"/>
        <v>1096</v>
      </c>
      <c r="AB186">
        <f t="shared" si="250"/>
        <v>9014</v>
      </c>
      <c r="AC186">
        <f t="shared" si="251"/>
        <v>9014</v>
      </c>
      <c r="AD186" t="str">
        <f t="shared" si="252"/>
        <v>15</v>
      </c>
      <c r="AE186" t="str">
        <f t="shared" si="253"/>
        <v>02</v>
      </c>
      <c r="AF186" t="str">
        <f t="shared" si="254"/>
        <v/>
      </c>
      <c r="AG186" t="str">
        <f t="shared" si="255"/>
        <v/>
      </c>
      <c r="AH186" t="str">
        <f t="shared" si="298"/>
        <v>e</v>
      </c>
      <c r="AI186" t="str">
        <f t="shared" si="323"/>
        <v>o</v>
      </c>
      <c r="AJ186" t="str">
        <f t="shared" si="323"/>
        <v>o</v>
      </c>
      <c r="AK186" t="str">
        <f t="shared" si="300"/>
        <v>d</v>
      </c>
      <c r="AL186" t="str">
        <f t="shared" si="301"/>
        <v>o</v>
      </c>
      <c r="AM186" t="str">
        <f t="shared" si="256"/>
        <v>Away</v>
      </c>
      <c r="AN186" t="str">
        <f t="shared" si="302"/>
        <v>a</v>
      </c>
      <c r="AO186" t="str">
        <f t="shared" si="303"/>
        <v>d</v>
      </c>
      <c r="AP186" t="str">
        <f t="shared" si="304"/>
        <v>o</v>
      </c>
      <c r="AQ186" t="str">
        <f>IF(AM186&lt;&gt;"",AM186,IF($AC186=#REF!,#REF!,""))</f>
        <v>Away</v>
      </c>
      <c r="AR186" t="str">
        <f t="shared" si="305"/>
        <v>a</v>
      </c>
      <c r="AS186" t="str">
        <f t="shared" si="306"/>
        <v>Offensive</v>
      </c>
      <c r="AT186" t="str">
        <f t="shared" si="257"/>
        <v/>
      </c>
      <c r="AU186" t="str">
        <f t="shared" si="258"/>
        <v/>
      </c>
      <c r="AV186" t="str" cm="1">
        <f t="array" ref="AV186">IFERROR(IF(O186&lt;&gt;"",O186,IF(OR($S186="",$T186=""),"",IF(O186&lt;&gt;"",O186,IF($T186&lt;&gt;"",_xlfn._xlws.FILTER(O:O,($BT:$BT=$BT186)*($I:$I=$I186)*($T:$T=$T186)*($S:$S=_xlfn.MINIFS($S:$S,$T:$T,"="&amp;$T186)),"")))))&amp;"",IF(O186="","",""))&amp;""</f>
        <v/>
      </c>
      <c r="AW186" t="str" cm="1">
        <f t="array" ref="AW186">IFERROR(IF(P186&lt;&gt;"",P186,IF(OR($S186="",$T186=""),"",IF($T186&lt;&gt;"",_xlfn._xlws.FILTER(P:P,($BT:$BT=$BT186)*($I:$I=$I186)*($T:$T=$T186)*($S:$S=_xlfn.MINIFS($S:$S,$T:$T,"="&amp;$T186)),""))))&amp;"",IF(P186="","",""))&amp;""</f>
        <v/>
      </c>
      <c r="AX186" t="str" cm="1">
        <f t="array" ref="AX186">IFERROR(IF(Q186&lt;&gt;"",Q186,IF(OR($S186="",$T186=""),"",IF($T186&lt;&gt;"",_xlfn._xlws.FILTER(Q:Q,($BT:$BT=$BT186)*($I:$I=$I186)*($T:$T=$T186)*($S:$S=_xlfn.MINIFS($S:$S,$T:$T,"="&amp;$T186)),""))))&amp;"",IF(Q186="","",""))&amp;""</f>
        <v/>
      </c>
      <c r="AY186" t="str" cm="1">
        <f t="array" ref="AY186">IFERROR(IF(R186&lt;&gt;"",R186,IF(OR($S186="",$T186=""),"",IF($T186&lt;&gt;"",_xlfn._xlws.FILTER(R:R,($BT:$BT=$BT186)*($I:$I=$I186)*($T:$T=$T186)*($S:$S=_xlfn.MINIFS($S:$S,$T:$T,"="&amp;$T186)),""))))&amp;"",IF(R186="","",""))&amp;""</f>
        <v/>
      </c>
      <c r="AZ186" s="6">
        <f t="shared" si="259"/>
        <v>18</v>
      </c>
      <c r="BA186">
        <f t="shared" ref="BA186:BC186" si="339">BA185</f>
        <v>18991</v>
      </c>
      <c r="BB186" t="str">
        <f t="shared" si="339"/>
        <v>Triple J</v>
      </c>
      <c r="BC186" t="str">
        <f t="shared" si="339"/>
        <v>Velodrome</v>
      </c>
      <c r="BD186" t="str">
        <f t="shared" si="261"/>
        <v>Turnover</v>
      </c>
      <c r="BE186" t="str">
        <f t="shared" si="262"/>
        <v>Turnover_Giveaway</v>
      </c>
      <c r="BF186" t="str">
        <f t="shared" si="263"/>
        <v>Giveaway-PassMissed</v>
      </c>
      <c r="BG186" t="str">
        <f t="shared" si="22"/>
        <v>u</v>
      </c>
      <c r="BH186" cm="1">
        <f t="array" aca="1" ref="BH186" ca="1">IFERROR(_xlfn._xlws.FILTER(shifts!A:A,(shifts!B:B=events!Z186)*(shifts!AG:AG&gt;=events!BJ186)*(shifts!AH:AH&lt;=events!BK186)),BH185)</f>
        <v>7</v>
      </c>
      <c r="BI186" s="15">
        <f t="shared" si="264"/>
        <v>0</v>
      </c>
      <c r="BJ186">
        <f t="shared" si="265"/>
        <v>902</v>
      </c>
      <c r="BK186">
        <f t="shared" si="266"/>
        <v>902</v>
      </c>
      <c r="BL186" s="15">
        <f>SUMIFS(BI$2:BI186,K$2:K186,"=Intermission")+SUMIFS(BI$2:BI186,K$2:K186,"=Timeout")</f>
        <v>0</v>
      </c>
      <c r="BM186">
        <f t="shared" si="267"/>
        <v>0</v>
      </c>
      <c r="BN186" s="19">
        <f t="shared" si="268"/>
        <v>178</v>
      </c>
      <c r="BO186">
        <f t="shared" si="269"/>
        <v>173</v>
      </c>
      <c r="BP186" s="17">
        <f t="shared" si="270"/>
        <v>178</v>
      </c>
      <c r="BQ186" t="str">
        <f t="shared" si="271"/>
        <v>event_team_player_1</v>
      </c>
      <c r="BR186">
        <f>COUNTIFS(S$3:S186,"="&amp;S186,AH$3:AH186,"="&amp;AH186)</f>
        <v>1</v>
      </c>
      <c r="BS186" t="str">
        <f>IFERROR(VLOOKUP(BA186&amp;BT186&amp;X186,game_rosters!U:W,3,FALSE),"")</f>
        <v>P100001</v>
      </c>
      <c r="BT186" t="str">
        <f t="shared" si="272"/>
        <v>Velodrome</v>
      </c>
    </row>
    <row r="187" spans="1:72" x14ac:dyDescent="0.2">
      <c r="A187" t="str">
        <f t="shared" si="247"/>
        <v>x</v>
      </c>
      <c r="D187" s="26" t="s">
        <v>729</v>
      </c>
      <c r="E187" s="4"/>
      <c r="F187" s="45"/>
      <c r="G187" s="4"/>
      <c r="H187" s="47"/>
      <c r="J187" s="26" t="str">
        <f t="shared" si="274"/>
        <v/>
      </c>
      <c r="N187" t="str">
        <f t="shared" si="291"/>
        <v/>
      </c>
      <c r="Q187" t="str">
        <f t="shared" si="285"/>
        <v/>
      </c>
      <c r="S187">
        <f>IF(A187=1,MAX($S$2:$S186)+1,IF(OR($I187&lt;&gt;"",A187="x"),$S186,""))</f>
        <v>96</v>
      </c>
      <c r="T187">
        <f>IF(D187=1,MAX($T$2:$T186)+1,IF(S187=S186,$T186,IF(D187="x",T186,IF(D186="x","",""))))</f>
        <v>14</v>
      </c>
      <c r="U187" t="str">
        <f>IF(B187=1,MAX($U$2:$U186)+1,IF(AND($T187&lt;&gt;"",$T187=$T186),$U186,IF(B187="x",U186,"")))</f>
        <v/>
      </c>
      <c r="V187" t="str">
        <f>IF(C187=1,MAX($V$2:$V186)+1,IF(AND($T187&lt;&gt;"",$T187=$T186),$U186,IF(C187="x",V186,"")))</f>
        <v/>
      </c>
      <c r="W187" t="str" cm="1">
        <f t="array" ref="W187">IFERROR(_xlfn._xlws.FILTER(game_rosters!AC:AC,(game_rosters!J:J=events!X187)*(K187&lt;&gt;"")),"")</f>
        <v/>
      </c>
      <c r="X187" cm="1">
        <f t="array" ref="X187">IF($I187&lt;&gt;"",$I187,INDEX($I$1:$I187,ROW()-COUNTIFS($T$1:$T187,"="&amp;$T187,$S$1:$S187,"&lt;"&amp;$S187)))</f>
        <v>24</v>
      </c>
      <c r="Y187" cm="1">
        <f t="array" ref="Y187">IFERROR(IF(_xlfn._xlws.FILTER(game_rosters!$J:$J,(game_rosters!$G:$G=events!$AM187)*(game_rosters!$J:$J=events!$X187))&gt;0,1,""),"")</f>
        <v>1</v>
      </c>
      <c r="Z187" s="6">
        <f t="shared" si="248"/>
        <v>1</v>
      </c>
      <c r="AA187">
        <f t="shared" si="249"/>
        <v>1096</v>
      </c>
      <c r="AB187">
        <f t="shared" si="250"/>
        <v>9014</v>
      </c>
      <c r="AC187">
        <f t="shared" si="251"/>
        <v>9014</v>
      </c>
      <c r="AD187" t="str">
        <f t="shared" si="252"/>
        <v>15</v>
      </c>
      <c r="AE187" t="str">
        <f t="shared" si="253"/>
        <v>02</v>
      </c>
      <c r="AF187" t="str">
        <f t="shared" si="254"/>
        <v/>
      </c>
      <c r="AG187" t="str">
        <f t="shared" si="255"/>
        <v/>
      </c>
      <c r="AH187" t="str">
        <f t="shared" si="298"/>
        <v>e</v>
      </c>
      <c r="AI187" t="str">
        <f t="shared" ref="AI187:AJ202" si="340">IF($J187&lt;&gt;"",$J187,IF($AC187=$AC186,AI186,""))</f>
        <v>o</v>
      </c>
      <c r="AJ187" t="str">
        <f t="shared" si="340"/>
        <v>o</v>
      </c>
      <c r="AK187" t="str">
        <f t="shared" si="300"/>
        <v/>
      </c>
      <c r="AL187" t="str">
        <f t="shared" si="301"/>
        <v/>
      </c>
      <c r="AM187" t="str">
        <f t="shared" si="256"/>
        <v>Away</v>
      </c>
      <c r="AN187" t="str">
        <f t="shared" si="302"/>
        <v>a</v>
      </c>
      <c r="AO187" t="str">
        <f t="shared" si="303"/>
        <v>d</v>
      </c>
      <c r="AP187" t="str">
        <f t="shared" si="304"/>
        <v>o</v>
      </c>
      <c r="AQ187" t="str">
        <f>IF(AM187&lt;&gt;"",AM187,IF($AC187=#REF!,#REF!,""))</f>
        <v>Away</v>
      </c>
      <c r="AR187" t="str">
        <f t="shared" si="305"/>
        <v>a</v>
      </c>
      <c r="AS187" t="str">
        <f t="shared" si="306"/>
        <v>Offensive</v>
      </c>
      <c r="AT187" t="str">
        <f t="shared" si="257"/>
        <v/>
      </c>
      <c r="AU187" t="str">
        <f t="shared" si="258"/>
        <v/>
      </c>
      <c r="AV187" t="str" cm="1">
        <f t="array" ref="AV187">IFERROR(IF(O187&lt;&gt;"",O187,IF(OR($S187="",$T187=""),"",IF(O187&lt;&gt;"",O187,IF($T187&lt;&gt;"",_xlfn._xlws.FILTER(O:O,($BT:$BT=$BT187)*($I:$I=$I187)*($T:$T=$T187)*($S:$S=_xlfn.MINIFS($S:$S,$T:$T,"="&amp;$T187)),"")))))&amp;"",IF(O187="","",""))&amp;""</f>
        <v/>
      </c>
      <c r="AW187" t="str" cm="1">
        <f t="array" ref="AW187">IFERROR(IF(P187&lt;&gt;"",P187,IF(OR($S187="",$T187=""),"",IF($T187&lt;&gt;"",_xlfn._xlws.FILTER(P:P,($BT:$BT=$BT187)*($I:$I=$I187)*($T:$T=$T187)*($S:$S=_xlfn.MINIFS($S:$S,$T:$T,"="&amp;$T187)),""))))&amp;"",IF(P187="","",""))&amp;""</f>
        <v/>
      </c>
      <c r="AX187" t="str" cm="1">
        <f t="array" ref="AX187">IFERROR(IF(Q187&lt;&gt;"",Q187,IF(OR($S187="",$T187=""),"",IF($T187&lt;&gt;"",_xlfn._xlws.FILTER(Q:Q,($BT:$BT=$BT187)*($I:$I=$I187)*($T:$T=$T187)*($S:$S=_xlfn.MINIFS($S:$S,$T:$T,"="&amp;$T187)),""))))&amp;"",IF(Q187="","",""))&amp;""</f>
        <v/>
      </c>
      <c r="AY187" t="str" cm="1">
        <f t="array" ref="AY187">IFERROR(IF(R187&lt;&gt;"",R187,IF(OR($S187="",$T187=""),"",IF($T187&lt;&gt;"",_xlfn._xlws.FILTER(R:R,($BT:$BT=$BT187)*($I:$I=$I187)*($T:$T=$T187)*($S:$S=_xlfn.MINIFS($S:$S,$T:$T,"="&amp;$T187)),""))))&amp;"",IF(R187="","",""))&amp;""</f>
        <v/>
      </c>
      <c r="AZ187" s="6">
        <f t="shared" si="259"/>
        <v>18</v>
      </c>
      <c r="BA187">
        <f t="shared" ref="BA187:BC187" si="341">BA186</f>
        <v>18991</v>
      </c>
      <c r="BB187" t="str">
        <f t="shared" si="341"/>
        <v>Triple J</v>
      </c>
      <c r="BC187" t="str">
        <f t="shared" si="341"/>
        <v>Velodrome</v>
      </c>
      <c r="BD187" t="str">
        <f t="shared" si="261"/>
        <v>Turnover</v>
      </c>
      <c r="BE187" t="str">
        <f t="shared" si="262"/>
        <v>Turnover_Giveaway</v>
      </c>
      <c r="BF187" t="str">
        <f t="shared" si="263"/>
        <v>Giveaway-PassMissed</v>
      </c>
      <c r="BG187" t="str">
        <f t="shared" si="22"/>
        <v>u</v>
      </c>
      <c r="BH187" cm="1">
        <f t="array" aca="1" ref="BH187" ca="1">IFERROR(_xlfn._xlws.FILTER(shifts!A:A,(shifts!B:B=events!Z187)*(shifts!AG:AG&gt;=events!BJ187)*(shifts!AH:AH&lt;=events!BK187)),BH186)</f>
        <v>7</v>
      </c>
      <c r="BI187" s="15">
        <f t="shared" si="264"/>
        <v>0</v>
      </c>
      <c r="BJ187">
        <f t="shared" si="265"/>
        <v>902</v>
      </c>
      <c r="BK187">
        <f t="shared" si="266"/>
        <v>902</v>
      </c>
      <c r="BL187" s="15">
        <f>SUMIFS(BI$2:BI187,K$2:K187,"=Intermission")+SUMIFS(BI$2:BI187,K$2:K187,"=Timeout")</f>
        <v>0</v>
      </c>
      <c r="BM187">
        <f t="shared" si="267"/>
        <v>0</v>
      </c>
      <c r="BN187" s="19">
        <f t="shared" si="268"/>
        <v>178</v>
      </c>
      <c r="BO187">
        <f t="shared" si="269"/>
        <v>173</v>
      </c>
      <c r="BP187" s="17">
        <f t="shared" si="270"/>
        <v>178</v>
      </c>
      <c r="BQ187" t="str">
        <f t="shared" si="271"/>
        <v>event_team_player_2</v>
      </c>
      <c r="BR187">
        <f>COUNTIFS(S$3:S187,"="&amp;S187,AH$3:AH187,"="&amp;AH187)</f>
        <v>2</v>
      </c>
      <c r="BS187" t="str">
        <f>IFERROR(VLOOKUP(BA187&amp;BT187&amp;X187,game_rosters!U:W,3,FALSE),"")</f>
        <v>P100230</v>
      </c>
      <c r="BT187" t="str">
        <f t="shared" si="272"/>
        <v>Velodrome</v>
      </c>
    </row>
    <row r="188" spans="1:72" x14ac:dyDescent="0.2">
      <c r="A188">
        <f t="shared" si="247"/>
        <v>1</v>
      </c>
      <c r="E188" s="4"/>
      <c r="F188" s="45"/>
      <c r="G188" s="4"/>
      <c r="H188" s="47" t="s">
        <v>748</v>
      </c>
      <c r="I188" s="26">
        <v>69</v>
      </c>
      <c r="J188" s="26" t="s">
        <v>736</v>
      </c>
      <c r="K188" t="s">
        <v>13</v>
      </c>
      <c r="L188" t="s">
        <v>586</v>
      </c>
      <c r="N188" t="s">
        <v>594</v>
      </c>
      <c r="O188" t="s">
        <v>907</v>
      </c>
      <c r="Q188" t="str">
        <f t="shared" si="285"/>
        <v>u</v>
      </c>
      <c r="S188">
        <f>IF(A188=1,MAX($S$2:$S187)+1,IF(OR($I188&lt;&gt;"",A188="x"),$S187,""))</f>
        <v>97</v>
      </c>
      <c r="T188" t="str">
        <f>IF(D188=1,MAX($T$2:$T187)+1,IF(S188=S187,$T187,IF(D188="x",T187,IF(D187="x","",""))))</f>
        <v/>
      </c>
      <c r="U188" t="str">
        <f>IF(B188=1,MAX($U$2:$U187)+1,IF(AND($T188&lt;&gt;"",$T188=$T187),$U187,IF(B188="x",U187,"")))</f>
        <v/>
      </c>
      <c r="V188" t="str">
        <f>IF(C188=1,MAX($V$2:$V187)+1,IF(AND($T188&lt;&gt;"",$T188=$T187),$U187,IF(C188="x",V187,"")))</f>
        <v/>
      </c>
      <c r="W188" t="str" cm="1">
        <f t="array" ref="W188">IFERROR(_xlfn._xlws.FILTER(game_rosters!AC:AC,(game_rosters!J:J=events!X188)*(K188&lt;&gt;"")),"")</f>
        <v>h</v>
      </c>
      <c r="X188" cm="1">
        <f t="array" ref="X188">IF($I188&lt;&gt;"",$I188,INDEX($I$1:$I188,ROW()-COUNTIFS($T$1:$T188,"="&amp;$T188,$S$1:$S188,"&lt;"&amp;$S188)))</f>
        <v>69</v>
      </c>
      <c r="Y188" cm="1">
        <f t="array" ref="Y188">IFERROR(IF(_xlfn._xlws.FILTER(game_rosters!$J:$J,(game_rosters!$G:$G=events!$AM188)*(game_rosters!$J:$J=events!$X188))&gt;0,1,""),"")</f>
        <v>1</v>
      </c>
      <c r="Z188" s="6">
        <f t="shared" si="248"/>
        <v>1</v>
      </c>
      <c r="AA188">
        <f t="shared" si="249"/>
        <v>1097</v>
      </c>
      <c r="AB188" t="str">
        <f t="shared" si="250"/>
        <v/>
      </c>
      <c r="AC188">
        <f t="shared" si="251"/>
        <v>1097</v>
      </c>
      <c r="AD188" t="str">
        <f t="shared" si="252"/>
        <v>15</v>
      </c>
      <c r="AE188" t="str">
        <f t="shared" si="253"/>
        <v>02</v>
      </c>
      <c r="AF188" t="str">
        <f t="shared" si="254"/>
        <v>15</v>
      </c>
      <c r="AG188" t="str">
        <f t="shared" si="255"/>
        <v>01</v>
      </c>
      <c r="AH188" t="str">
        <f t="shared" si="298"/>
        <v>e</v>
      </c>
      <c r="AI188" t="str">
        <f t="shared" si="340"/>
        <v>d</v>
      </c>
      <c r="AJ188" t="str">
        <f t="shared" si="340"/>
        <v>d</v>
      </c>
      <c r="AK188" t="str">
        <f t="shared" si="300"/>
        <v>d</v>
      </c>
      <c r="AL188" t="str">
        <f t="shared" si="301"/>
        <v>o</v>
      </c>
      <c r="AM188" t="str">
        <f t="shared" si="256"/>
        <v>Home</v>
      </c>
      <c r="AN188" t="str">
        <f t="shared" si="302"/>
        <v>h</v>
      </c>
      <c r="AO188" t="str">
        <f t="shared" si="303"/>
        <v>d</v>
      </c>
      <c r="AP188" t="str">
        <f t="shared" si="304"/>
        <v>o</v>
      </c>
      <c r="AQ188" t="str">
        <f>IF(AM188&lt;&gt;"",AM188,IF($AC188=#REF!,#REF!,""))</f>
        <v>Home</v>
      </c>
      <c r="AR188" t="str">
        <f t="shared" si="305"/>
        <v>h</v>
      </c>
      <c r="AS188" t="str">
        <f t="shared" si="306"/>
        <v>Offensive</v>
      </c>
      <c r="AT188" t="str">
        <f t="shared" si="257"/>
        <v/>
      </c>
      <c r="AU188" t="str">
        <f t="shared" si="258"/>
        <v/>
      </c>
      <c r="AV188" t="str" cm="1">
        <f t="array" ref="AV188">IFERROR(IF(O188&lt;&gt;"",O188,IF(OR($S188="",$T188=""),"",IF(O188&lt;&gt;"",O188,IF($T188&lt;&gt;"",_xlfn._xlws.FILTER(O:O,($BT:$BT=$BT188)*($I:$I=$I188)*($T:$T=$T188)*($S:$S=_xlfn.MINIFS($S:$S,$T:$T,"="&amp;$T188)),"")))))&amp;"",IF(O188="","",""))&amp;""</f>
        <v>PuckRecoveryRetreivalPass</v>
      </c>
      <c r="AW188" t="str" cm="1">
        <f t="array" ref="AW188">IFERROR(IF(P188&lt;&gt;"",P188,IF(OR($S188="",$T188=""),"",IF($T188&lt;&gt;"",_xlfn._xlws.FILTER(P:P,($BT:$BT=$BT188)*($I:$I=$I188)*($T:$T=$T188)*($S:$S=_xlfn.MINIFS($S:$S,$T:$T,"="&amp;$T188)),""))))&amp;"",IF(P188="","",""))&amp;""</f>
        <v/>
      </c>
      <c r="AX188" t="str" cm="1">
        <f t="array" ref="AX188">IFERROR(IF(Q188&lt;&gt;"",Q188,IF(OR($S188="",$T188=""),"",IF($T188&lt;&gt;"",_xlfn._xlws.FILTER(Q:Q,($BT:$BT=$BT188)*($I:$I=$I188)*($T:$T=$T188)*($S:$S=_xlfn.MINIFS($S:$S,$T:$T,"="&amp;$T188)),""))))&amp;"",IF(Q188="","",""))&amp;""</f>
        <v>u</v>
      </c>
      <c r="AY188" t="str" cm="1">
        <f t="array" ref="AY188">IFERROR(IF(R188&lt;&gt;"",R188,IF(OR($S188="",$T188=""),"",IF($T188&lt;&gt;"",_xlfn._xlws.FILTER(R:R,($BT:$BT=$BT188)*($I:$I=$I188)*($T:$T=$T188)*($S:$S=_xlfn.MINIFS($S:$S,$T:$T,"="&amp;$T188)),""))))&amp;"",IF(R188="","",""))&amp;""</f>
        <v/>
      </c>
      <c r="AZ188" s="6">
        <f t="shared" si="259"/>
        <v>18</v>
      </c>
      <c r="BA188">
        <f t="shared" ref="BA188:BC188" si="342">BA187</f>
        <v>18991</v>
      </c>
      <c r="BB188" t="str">
        <f t="shared" si="342"/>
        <v>Triple J</v>
      </c>
      <c r="BC188" t="str">
        <f t="shared" si="342"/>
        <v>Velodrome</v>
      </c>
      <c r="BD188" t="str">
        <f t="shared" si="261"/>
        <v>Possession</v>
      </c>
      <c r="BE188" t="str">
        <f t="shared" si="262"/>
        <v>PuckRetrieval</v>
      </c>
      <c r="BF188" t="str">
        <f t="shared" si="263"/>
        <v/>
      </c>
      <c r="BG188" t="str">
        <f t="shared" si="22"/>
        <v>u</v>
      </c>
      <c r="BH188" cm="1">
        <f t="array" aca="1" ref="BH188" ca="1">IFERROR(_xlfn._xlws.FILTER(shifts!A:A,(shifts!B:B=events!Z188)*(shifts!AG:AG&gt;=events!BJ188)*(shifts!AH:AH&lt;=events!BK188)),BH187)</f>
        <v>7</v>
      </c>
      <c r="BI188" s="15">
        <f t="shared" si="264"/>
        <v>1</v>
      </c>
      <c r="BJ188">
        <f t="shared" si="265"/>
        <v>902</v>
      </c>
      <c r="BK188">
        <f t="shared" si="266"/>
        <v>901</v>
      </c>
      <c r="BL188" s="15">
        <f>SUMIFS(BI$2:BI188,K$2:K188,"=Intermission")+SUMIFS(BI$2:BI188,K$2:K188,"=Timeout")</f>
        <v>0</v>
      </c>
      <c r="BM188">
        <f t="shared" si="267"/>
        <v>0</v>
      </c>
      <c r="BN188" s="19">
        <f t="shared" si="268"/>
        <v>178</v>
      </c>
      <c r="BO188">
        <f t="shared" si="269"/>
        <v>173</v>
      </c>
      <c r="BP188" s="17">
        <f t="shared" si="270"/>
        <v>179</v>
      </c>
      <c r="BQ188" t="str">
        <f t="shared" si="271"/>
        <v>event_team_player_1</v>
      </c>
      <c r="BR188">
        <f>COUNTIFS(S$3:S188,"="&amp;S188,AH$3:AH188,"="&amp;AH188)</f>
        <v>1</v>
      </c>
      <c r="BS188" t="str">
        <f>IFERROR(VLOOKUP(BA188&amp;BT188&amp;X188,game_rosters!U:W,3,FALSE),"")</f>
        <v>P100014</v>
      </c>
      <c r="BT188" t="str">
        <f t="shared" si="272"/>
        <v>Triple J</v>
      </c>
    </row>
    <row r="189" spans="1:72" x14ac:dyDescent="0.2">
      <c r="A189">
        <f t="shared" si="247"/>
        <v>1</v>
      </c>
      <c r="D189" s="26">
        <v>1</v>
      </c>
      <c r="E189" s="4"/>
      <c r="F189" s="45"/>
      <c r="G189" s="4"/>
      <c r="H189" s="47"/>
      <c r="I189" s="26">
        <v>69</v>
      </c>
      <c r="J189" s="26" t="str">
        <f t="shared" si="274"/>
        <v>d</v>
      </c>
      <c r="K189" t="s">
        <v>238</v>
      </c>
      <c r="L189" t="s">
        <v>184</v>
      </c>
      <c r="M189" t="s">
        <v>376</v>
      </c>
      <c r="N189" t="str">
        <f t="shared" si="291"/>
        <v>u</v>
      </c>
      <c r="O189" t="s">
        <v>576</v>
      </c>
      <c r="Q189" t="str">
        <f t="shared" si="285"/>
        <v>u</v>
      </c>
      <c r="S189">
        <f>IF(A189=1,MAX($S$2:$S188)+1,IF(OR($I189&lt;&gt;"",A189="x"),$S188,""))</f>
        <v>98</v>
      </c>
      <c r="T189">
        <f>IF(D189=1,MAX($T$2:$T188)+1,IF(S189=S188,$T188,IF(D189="x",T188,IF(D188="x","",""))))</f>
        <v>15</v>
      </c>
      <c r="U189" t="str">
        <f>IF(B189=1,MAX($U$2:$U188)+1,IF(AND($T189&lt;&gt;"",$T189=$T188),$U188,IF(B189="x",U188,"")))</f>
        <v/>
      </c>
      <c r="V189" t="str">
        <f>IF(C189=1,MAX($V$2:$V188)+1,IF(AND($T189&lt;&gt;"",$T189=$T188),$U188,IF(C189="x",V188,"")))</f>
        <v/>
      </c>
      <c r="W189" t="str" cm="1">
        <f t="array" ref="W189">IFERROR(_xlfn._xlws.FILTER(game_rosters!AC:AC,(game_rosters!J:J=events!X189)*(K189&lt;&gt;"")),"")</f>
        <v>h</v>
      </c>
      <c r="X189" cm="1">
        <f t="array" ref="X189">IF($I189&lt;&gt;"",$I189,INDEX($I$1:$I189,ROW()-COUNTIFS($T$1:$T189,"="&amp;$T189,$S$1:$S189,"&lt;"&amp;$S189)))</f>
        <v>69</v>
      </c>
      <c r="Y189" cm="1">
        <f t="array" ref="Y189">IFERROR(IF(_xlfn._xlws.FILTER(game_rosters!$J:$J,(game_rosters!$G:$G=events!$AM189)*(game_rosters!$J:$J=events!$X189))&gt;0,1,""),"")</f>
        <v>1</v>
      </c>
      <c r="Z189" s="6">
        <f t="shared" si="248"/>
        <v>1</v>
      </c>
      <c r="AA189">
        <f t="shared" si="249"/>
        <v>1098</v>
      </c>
      <c r="AB189">
        <f t="shared" si="250"/>
        <v>9015</v>
      </c>
      <c r="AC189">
        <f t="shared" si="251"/>
        <v>9015</v>
      </c>
      <c r="AD189" t="str">
        <f t="shared" si="252"/>
        <v>15</v>
      </c>
      <c r="AE189" t="str">
        <f t="shared" si="253"/>
        <v>01</v>
      </c>
      <c r="AF189" t="str">
        <f t="shared" si="254"/>
        <v/>
      </c>
      <c r="AG189" t="str">
        <f t="shared" si="255"/>
        <v/>
      </c>
      <c r="AH189" t="str">
        <f t="shared" si="298"/>
        <v>e</v>
      </c>
      <c r="AI189" t="str">
        <f t="shared" si="340"/>
        <v>d</v>
      </c>
      <c r="AJ189" t="str">
        <f t="shared" si="340"/>
        <v>d</v>
      </c>
      <c r="AK189" t="str">
        <f t="shared" si="300"/>
        <v>d</v>
      </c>
      <c r="AL189" t="str">
        <f t="shared" si="301"/>
        <v>o</v>
      </c>
      <c r="AM189" t="str">
        <f t="shared" si="256"/>
        <v>Home</v>
      </c>
      <c r="AN189" t="str">
        <f t="shared" si="302"/>
        <v>h</v>
      </c>
      <c r="AO189" t="str">
        <f t="shared" si="303"/>
        <v>d</v>
      </c>
      <c r="AP189" t="str">
        <f t="shared" si="304"/>
        <v>o</v>
      </c>
      <c r="AQ189" t="str">
        <f>IF(AM189&lt;&gt;"",AM189,IF($AC189=#REF!,#REF!,""))</f>
        <v>Home</v>
      </c>
      <c r="AR189" t="str">
        <f t="shared" si="305"/>
        <v>h</v>
      </c>
      <c r="AS189" t="str">
        <f t="shared" si="306"/>
        <v>Offensive</v>
      </c>
      <c r="AT189" t="str">
        <f t="shared" si="257"/>
        <v/>
      </c>
      <c r="AU189" t="str">
        <f t="shared" si="258"/>
        <v/>
      </c>
      <c r="AV189" t="str" cm="1">
        <f t="array" ref="AV189">IFERROR(IF(O189&lt;&gt;"",O189,IF(OR($S189="",$T189=""),"",IF(O189&lt;&gt;"",O189,IF($T189&lt;&gt;"",_xlfn._xlws.FILTER(O:O,($BT:$BT=$BT189)*($I:$I=$I189)*($T:$T=$T189)*($S:$S=_xlfn.MINIFS($S:$S,$T:$T,"="&amp;$T189)),"")))))&amp;"",IF(O189="","",""))&amp;""</f>
        <v>SecondTouch</v>
      </c>
      <c r="AW189" t="str" cm="1">
        <f t="array" ref="AW189">IFERROR(IF(P189&lt;&gt;"",P189,IF(OR($S189="",$T189=""),"",IF($T189&lt;&gt;"",_xlfn._xlws.FILTER(P:P,($BT:$BT=$BT189)*($I:$I=$I189)*($T:$T=$T189)*($S:$S=_xlfn.MINIFS($S:$S,$T:$T,"="&amp;$T189)),""))))&amp;"",IF(P189="","",""))&amp;""</f>
        <v/>
      </c>
      <c r="AX189" t="str" cm="1">
        <f t="array" ref="AX189">IFERROR(IF(Q189&lt;&gt;"",Q189,IF(OR($S189="",$T189=""),"",IF($T189&lt;&gt;"",_xlfn._xlws.FILTER(Q:Q,($BT:$BT=$BT189)*($I:$I=$I189)*($T:$T=$T189)*($S:$S=_xlfn.MINIFS($S:$S,$T:$T,"="&amp;$T189)),""))))&amp;"",IF(Q189="","",""))&amp;""</f>
        <v>u</v>
      </c>
      <c r="AY189" t="str" cm="1">
        <f t="array" ref="AY189">IFERROR(IF(R189&lt;&gt;"",R189,IF(OR($S189="",$T189=""),"",IF($T189&lt;&gt;"",_xlfn._xlws.FILTER(R:R,($BT:$BT=$BT189)*($I:$I=$I189)*($T:$T=$T189)*($S:$S=_xlfn.MINIFS($S:$S,$T:$T,"="&amp;$T189)),""))))&amp;"",IF(R189="","",""))&amp;""</f>
        <v/>
      </c>
      <c r="AZ189" s="6">
        <f t="shared" si="259"/>
        <v>19</v>
      </c>
      <c r="BA189">
        <f t="shared" ref="BA189:BC189" si="343">BA188</f>
        <v>18991</v>
      </c>
      <c r="BB189" t="str">
        <f t="shared" si="343"/>
        <v>Triple J</v>
      </c>
      <c r="BC189" t="str">
        <f t="shared" si="343"/>
        <v>Velodrome</v>
      </c>
      <c r="BD189" t="str">
        <f t="shared" si="261"/>
        <v>Zone_Entry_Exit</v>
      </c>
      <c r="BE189" t="str">
        <f t="shared" si="262"/>
        <v>Zone_Exit</v>
      </c>
      <c r="BF189" t="str">
        <f t="shared" si="263"/>
        <v>ZoneExit-PassMiss/Misplay</v>
      </c>
      <c r="BG189" t="str">
        <f t="shared" si="22"/>
        <v>u</v>
      </c>
      <c r="BH189" cm="1">
        <f t="array" aca="1" ref="BH189" ca="1">IFERROR(_xlfn._xlws.FILTER(shifts!A:A,(shifts!B:B=events!Z189)*(shifts!AG:AG&gt;=events!BJ189)*(shifts!AH:AH&lt;=events!BK189)),BH188)</f>
        <v>7</v>
      </c>
      <c r="BI189" s="15">
        <f t="shared" si="264"/>
        <v>0</v>
      </c>
      <c r="BJ189">
        <f t="shared" si="265"/>
        <v>901</v>
      </c>
      <c r="BK189">
        <f t="shared" si="266"/>
        <v>901</v>
      </c>
      <c r="BL189" s="15">
        <f>SUMIFS(BI$2:BI189,K$2:K189,"=Intermission")+SUMIFS(BI$2:BI189,K$2:K189,"=Timeout")</f>
        <v>0</v>
      </c>
      <c r="BM189">
        <f t="shared" si="267"/>
        <v>0</v>
      </c>
      <c r="BN189" s="19">
        <f t="shared" si="268"/>
        <v>179</v>
      </c>
      <c r="BO189">
        <f t="shared" si="269"/>
        <v>174</v>
      </c>
      <c r="BP189" s="17">
        <f t="shared" si="270"/>
        <v>179</v>
      </c>
      <c r="BQ189" t="str">
        <f t="shared" si="271"/>
        <v>event_team_player_1</v>
      </c>
      <c r="BR189">
        <f>COUNTIFS(S$3:S189,"="&amp;S189,AH$3:AH189,"="&amp;AH189)</f>
        <v>1</v>
      </c>
      <c r="BS189" t="str">
        <f>IFERROR(VLOOKUP(BA189&amp;BT189&amp;X189,game_rosters!U:W,3,FALSE),"")</f>
        <v>P100014</v>
      </c>
      <c r="BT189" t="str">
        <f t="shared" si="272"/>
        <v>Triple J</v>
      </c>
    </row>
    <row r="190" spans="1:72" x14ac:dyDescent="0.2">
      <c r="A190">
        <f t="shared" si="247"/>
        <v>1</v>
      </c>
      <c r="D190" s="26" t="s">
        <v>729</v>
      </c>
      <c r="E190" s="4"/>
      <c r="F190" s="45"/>
      <c r="G190" s="4"/>
      <c r="H190" s="47"/>
      <c r="I190" s="26">
        <v>69</v>
      </c>
      <c r="J190" s="26" t="s">
        <v>736</v>
      </c>
      <c r="K190" t="s">
        <v>9</v>
      </c>
      <c r="L190" t="s">
        <v>173</v>
      </c>
      <c r="M190" t="s">
        <v>74</v>
      </c>
      <c r="N190" t="str">
        <f t="shared" si="291"/>
        <v>u</v>
      </c>
      <c r="Q190" t="str">
        <f t="shared" si="285"/>
        <v/>
      </c>
      <c r="S190">
        <f>IF(A190=1,MAX($S$2:$S189)+1,IF(OR($I190&lt;&gt;"",A190="x"),$S189,""))</f>
        <v>99</v>
      </c>
      <c r="T190">
        <f>IF(D190=1,MAX($T$2:$T189)+1,IF(S190=S189,$T189,IF(D190="x",T189,IF(D189="x","",""))))</f>
        <v>15</v>
      </c>
      <c r="U190" t="str">
        <f>IF(B190=1,MAX($U$2:$U189)+1,IF(AND($T190&lt;&gt;"",$T190=$T189),$U189,IF(B190="x",U189,"")))</f>
        <v/>
      </c>
      <c r="V190" t="str">
        <f>IF(C190=1,MAX($V$2:$V189)+1,IF(AND($T190&lt;&gt;"",$T190=$T189),$U189,IF(C190="x",V189,"")))</f>
        <v/>
      </c>
      <c r="W190" t="str" cm="1">
        <f t="array" ref="W190">IFERROR(_xlfn._xlws.FILTER(game_rosters!AC:AC,(game_rosters!J:J=events!X190)*(K190&lt;&gt;"")),"")</f>
        <v>h</v>
      </c>
      <c r="X190" cm="1">
        <f t="array" ref="X190">IF($I190&lt;&gt;"",$I190,INDEX($I$1:$I190,ROW()-COUNTIFS($T$1:$T190,"="&amp;$T190,$S$1:$S190,"&lt;"&amp;$S190)))</f>
        <v>69</v>
      </c>
      <c r="Y190" cm="1">
        <f t="array" ref="Y190">IFERROR(IF(_xlfn._xlws.FILTER(game_rosters!$J:$J,(game_rosters!$G:$G=events!$AM190)*(game_rosters!$J:$J=events!$X190))&gt;0,1,""),"")</f>
        <v>1</v>
      </c>
      <c r="Z190" s="6">
        <f t="shared" si="248"/>
        <v>1</v>
      </c>
      <c r="AA190">
        <f t="shared" si="249"/>
        <v>1099</v>
      </c>
      <c r="AB190">
        <f t="shared" si="250"/>
        <v>9015</v>
      </c>
      <c r="AC190">
        <f t="shared" si="251"/>
        <v>9015</v>
      </c>
      <c r="AD190" t="str">
        <f t="shared" si="252"/>
        <v>15</v>
      </c>
      <c r="AE190" t="str">
        <f t="shared" si="253"/>
        <v>01</v>
      </c>
      <c r="AF190" t="str">
        <f t="shared" si="254"/>
        <v/>
      </c>
      <c r="AG190" t="str">
        <f t="shared" si="255"/>
        <v/>
      </c>
      <c r="AH190" t="str">
        <f t="shared" si="298"/>
        <v>e</v>
      </c>
      <c r="AI190" t="str">
        <f t="shared" si="340"/>
        <v>d</v>
      </c>
      <c r="AJ190" t="str">
        <f t="shared" si="340"/>
        <v>d</v>
      </c>
      <c r="AK190" t="str">
        <f t="shared" si="300"/>
        <v>d</v>
      </c>
      <c r="AL190" t="str">
        <f t="shared" si="301"/>
        <v>o</v>
      </c>
      <c r="AM190" t="str">
        <f t="shared" si="256"/>
        <v>Home</v>
      </c>
      <c r="AN190" t="str">
        <f t="shared" si="302"/>
        <v>h</v>
      </c>
      <c r="AO190" t="str">
        <f t="shared" si="303"/>
        <v>d</v>
      </c>
      <c r="AP190" t="str">
        <f t="shared" si="304"/>
        <v>o</v>
      </c>
      <c r="AQ190" t="str">
        <f>IF(AM190&lt;&gt;"",AM190,IF($AC190=#REF!,#REF!,""))</f>
        <v>Home</v>
      </c>
      <c r="AR190" t="str">
        <f t="shared" si="305"/>
        <v>h</v>
      </c>
      <c r="AS190" t="str">
        <f t="shared" si="306"/>
        <v>Offensive</v>
      </c>
      <c r="AT190" t="str">
        <f t="shared" si="257"/>
        <v/>
      </c>
      <c r="AU190" t="str">
        <f t="shared" si="258"/>
        <v/>
      </c>
      <c r="AV190" t="str" cm="1">
        <f t="array" ref="AV190">IFERROR(IF(O190&lt;&gt;"",O190,IF(OR($S190="",$T190=""),"",IF(O190&lt;&gt;"",O190,IF($T190&lt;&gt;"",_xlfn._xlws.FILTER(O:O,($BT:$BT=$BT190)*($I:$I=$I190)*($T:$T=$T190)*($S:$S=_xlfn.MINIFS($S:$S,$T:$T,"="&amp;$T190)),"")))))&amp;"",IF(O190="","",""))&amp;""</f>
        <v>SecondTouch</v>
      </c>
      <c r="AW190" t="str" cm="1">
        <f t="array" ref="AW190">IFERROR(IF(P190&lt;&gt;"",P190,IF(OR($S190="",$T190=""),"",IF($T190&lt;&gt;"",_xlfn._xlws.FILTER(P:P,($BT:$BT=$BT190)*($I:$I=$I190)*($T:$T=$T190)*($S:$S=_xlfn.MINIFS($S:$S,$T:$T,"="&amp;$T190)),""))))&amp;"",IF(P190="","",""))&amp;""</f>
        <v/>
      </c>
      <c r="AX190" t="str" cm="1">
        <f t="array" ref="AX190">IFERROR(IF(Q190&lt;&gt;"",Q190,IF(OR($S190="",$T190=""),"",IF($T190&lt;&gt;"",_xlfn._xlws.FILTER(Q:Q,($BT:$BT=$BT190)*($I:$I=$I190)*($T:$T=$T190)*($S:$S=_xlfn.MINIFS($S:$S,$T:$T,"="&amp;$T190)),""))))&amp;"",IF(Q190="","",""))&amp;""</f>
        <v>u</v>
      </c>
      <c r="AY190" t="str" cm="1">
        <f t="array" ref="AY190">IFERROR(IF(R190&lt;&gt;"",R190,IF(OR($S190="",$T190=""),"",IF($T190&lt;&gt;"",_xlfn._xlws.FILTER(R:R,($BT:$BT=$BT190)*($I:$I=$I190)*($T:$T=$T190)*($S:$S=_xlfn.MINIFS($S:$S,$T:$T,"="&amp;$T190)),""))))&amp;"",IF(R190="","",""))&amp;""</f>
        <v/>
      </c>
      <c r="AZ190" s="6">
        <f t="shared" si="259"/>
        <v>19</v>
      </c>
      <c r="BA190">
        <f t="shared" ref="BA190:BC190" si="344">BA189</f>
        <v>18991</v>
      </c>
      <c r="BB190" t="str">
        <f t="shared" si="344"/>
        <v>Triple J</v>
      </c>
      <c r="BC190" t="str">
        <f t="shared" si="344"/>
        <v>Velodrome</v>
      </c>
      <c r="BD190" t="str">
        <f t="shared" si="261"/>
        <v>Turnover</v>
      </c>
      <c r="BE190" t="str">
        <f t="shared" si="262"/>
        <v>Turnover_Giveaway</v>
      </c>
      <c r="BF190" t="str">
        <f t="shared" si="263"/>
        <v>Giveaway-PassMissed</v>
      </c>
      <c r="BG190" t="str">
        <f t="shared" si="22"/>
        <v>u</v>
      </c>
      <c r="BH190" cm="1">
        <f t="array" aca="1" ref="BH190" ca="1">IFERROR(_xlfn._xlws.FILTER(shifts!A:A,(shifts!B:B=events!Z190)*(shifts!AG:AG&gt;=events!BJ190)*(shifts!AH:AH&lt;=events!BK190)),BH189)</f>
        <v>7</v>
      </c>
      <c r="BI190" s="15">
        <f t="shared" si="264"/>
        <v>0</v>
      </c>
      <c r="BJ190">
        <f t="shared" si="265"/>
        <v>901</v>
      </c>
      <c r="BK190">
        <f t="shared" si="266"/>
        <v>901</v>
      </c>
      <c r="BL190" s="15">
        <f>SUMIFS(BI$2:BI190,K$2:K190,"=Intermission")+SUMIFS(BI$2:BI190,K$2:K190,"=Timeout")</f>
        <v>0</v>
      </c>
      <c r="BM190">
        <f t="shared" si="267"/>
        <v>0</v>
      </c>
      <c r="BN190" s="19">
        <f t="shared" si="268"/>
        <v>179</v>
      </c>
      <c r="BO190">
        <f t="shared" si="269"/>
        <v>174</v>
      </c>
      <c r="BP190" s="17">
        <f t="shared" si="270"/>
        <v>179</v>
      </c>
      <c r="BQ190" t="str">
        <f t="shared" si="271"/>
        <v>event_team_player_1</v>
      </c>
      <c r="BR190">
        <f>COUNTIFS(S$3:S190,"="&amp;S190,AH$3:AH190,"="&amp;AH190)</f>
        <v>1</v>
      </c>
      <c r="BS190" t="str">
        <f>IFERROR(VLOOKUP(BA190&amp;BT190&amp;X190,game_rosters!U:W,3,FALSE),"")</f>
        <v>P100014</v>
      </c>
      <c r="BT190" t="str">
        <f t="shared" si="272"/>
        <v>Triple J</v>
      </c>
    </row>
    <row r="191" spans="1:72" x14ac:dyDescent="0.2">
      <c r="A191">
        <f t="shared" si="247"/>
        <v>1</v>
      </c>
      <c r="E191" s="4" t="s">
        <v>745</v>
      </c>
      <c r="F191" s="45" t="s">
        <v>1028</v>
      </c>
      <c r="G191" s="4"/>
      <c r="H191" s="47"/>
      <c r="I191" s="26">
        <v>84</v>
      </c>
      <c r="J191" s="26" t="s">
        <v>734</v>
      </c>
      <c r="K191" t="s">
        <v>13</v>
      </c>
      <c r="L191" t="s">
        <v>586</v>
      </c>
      <c r="N191" t="s">
        <v>594</v>
      </c>
      <c r="O191" t="s">
        <v>912</v>
      </c>
      <c r="Q191" t="str">
        <f t="shared" si="285"/>
        <v>u</v>
      </c>
      <c r="S191">
        <f>IF(A191=1,MAX($S$2:$S190)+1,IF(OR($I191&lt;&gt;"",A191="x"),$S190,""))</f>
        <v>100</v>
      </c>
      <c r="T191" t="str">
        <f>IF(D191=1,MAX($T$2:$T190)+1,IF(S191=S190,$T190,IF(D191="x",T190,IF(D190="x","",""))))</f>
        <v/>
      </c>
      <c r="U191" t="str">
        <f>IF(B191=1,MAX($U$2:$U190)+1,IF(AND($T191&lt;&gt;"",$T191=$T190),$U190,IF(B191="x",U190,"")))</f>
        <v/>
      </c>
      <c r="V191" t="str">
        <f>IF(C191=1,MAX($V$2:$V190)+1,IF(AND($T191&lt;&gt;"",$T191=$T190),$U190,IF(C191="x",V190,"")))</f>
        <v/>
      </c>
      <c r="W191" t="str" cm="1">
        <f t="array" ref="W191">IFERROR(_xlfn._xlws.FILTER(game_rosters!AC:AC,(game_rosters!J:J=events!X191)*(K191&lt;&gt;"")),"")</f>
        <v>a</v>
      </c>
      <c r="X191" cm="1">
        <f t="array" ref="X191">IF($I191&lt;&gt;"",$I191,INDEX($I$1:$I191,ROW()-COUNTIFS($T$1:$T191,"="&amp;$T191,$S$1:$S191,"&lt;"&amp;$S191)))</f>
        <v>84</v>
      </c>
      <c r="Y191" cm="1">
        <f t="array" ref="Y191">IFERROR(IF(_xlfn._xlws.FILTER(game_rosters!$J:$J,(game_rosters!$G:$G=events!$AM191)*(game_rosters!$J:$J=events!$X191))&gt;0,1,""),"")</f>
        <v>1</v>
      </c>
      <c r="Z191" s="6">
        <f t="shared" si="248"/>
        <v>1</v>
      </c>
      <c r="AA191">
        <f t="shared" si="249"/>
        <v>1100</v>
      </c>
      <c r="AB191" t="str">
        <f t="shared" si="250"/>
        <v/>
      </c>
      <c r="AC191">
        <f t="shared" si="251"/>
        <v>1100</v>
      </c>
      <c r="AD191" t="str">
        <f t="shared" si="252"/>
        <v>14</v>
      </c>
      <c r="AE191" t="str">
        <f t="shared" si="253"/>
        <v>58</v>
      </c>
      <c r="AF191" t="str">
        <f t="shared" si="254"/>
        <v/>
      </c>
      <c r="AG191" t="str">
        <f t="shared" si="255"/>
        <v/>
      </c>
      <c r="AH191" t="str">
        <f t="shared" si="298"/>
        <v>e</v>
      </c>
      <c r="AI191" t="str">
        <f t="shared" si="340"/>
        <v>n</v>
      </c>
      <c r="AJ191" t="str">
        <f t="shared" si="340"/>
        <v>n</v>
      </c>
      <c r="AK191" t="str">
        <f t="shared" si="300"/>
        <v>n</v>
      </c>
      <c r="AL191" t="str">
        <f t="shared" si="301"/>
        <v>n</v>
      </c>
      <c r="AM191" t="str">
        <f t="shared" si="256"/>
        <v>Away</v>
      </c>
      <c r="AN191" t="str">
        <f t="shared" si="302"/>
        <v>a</v>
      </c>
      <c r="AO191" t="str">
        <f t="shared" si="303"/>
        <v>n</v>
      </c>
      <c r="AP191" t="str">
        <f t="shared" si="304"/>
        <v>n</v>
      </c>
      <c r="AQ191" t="str">
        <f>IF(AM191&lt;&gt;"",AM191,IF($AC191=#REF!,#REF!,""))</f>
        <v>Away</v>
      </c>
      <c r="AR191" t="str">
        <f t="shared" si="305"/>
        <v>a</v>
      </c>
      <c r="AS191" t="str">
        <f t="shared" si="306"/>
        <v>Offensive</v>
      </c>
      <c r="AT191" t="str">
        <f t="shared" si="257"/>
        <v/>
      </c>
      <c r="AU191" t="str">
        <f t="shared" si="258"/>
        <v/>
      </c>
      <c r="AV191" t="str" cm="1">
        <f t="array" ref="AV191">IFERROR(IF(O191&lt;&gt;"",O191,IF(OR($S191="",$T191=""),"",IF(O191&lt;&gt;"",O191,IF($T191&lt;&gt;"",_xlfn._xlws.FILTER(O:O,($BT:$BT=$BT191)*($I:$I=$I191)*($T:$T=$T191)*($S:$S=_xlfn.MINIFS($S:$S,$T:$T,"="&amp;$T191)),"")))))&amp;"",IF(O191="","",""))&amp;""</f>
        <v>PuckRecoveryRetreivalClear</v>
      </c>
      <c r="AW191" t="str" cm="1">
        <f t="array" ref="AW191">IFERROR(IF(P191&lt;&gt;"",P191,IF(OR($S191="",$T191=""),"",IF($T191&lt;&gt;"",_xlfn._xlws.FILTER(P:P,($BT:$BT=$BT191)*($I:$I=$I191)*($T:$T=$T191)*($S:$S=_xlfn.MINIFS($S:$S,$T:$T,"="&amp;$T191)),""))))&amp;"",IF(P191="","",""))&amp;""</f>
        <v/>
      </c>
      <c r="AX191" t="str" cm="1">
        <f t="array" ref="AX191">IFERROR(IF(Q191&lt;&gt;"",Q191,IF(OR($S191="",$T191=""),"",IF($T191&lt;&gt;"",_xlfn._xlws.FILTER(Q:Q,($BT:$BT=$BT191)*($I:$I=$I191)*($T:$T=$T191)*($S:$S=_xlfn.MINIFS($S:$S,$T:$T,"="&amp;$T191)),""))))&amp;"",IF(Q191="","",""))&amp;""</f>
        <v>u</v>
      </c>
      <c r="AY191" t="str" cm="1">
        <f t="array" ref="AY191">IFERROR(IF(R191&lt;&gt;"",R191,IF(OR($S191="",$T191=""),"",IF($T191&lt;&gt;"",_xlfn._xlws.FILTER(R:R,($BT:$BT=$BT191)*($I:$I=$I191)*($T:$T=$T191)*($S:$S=_xlfn.MINIFS($S:$S,$T:$T,"="&amp;$T191)),""))))&amp;"",IF(R191="","",""))&amp;""</f>
        <v/>
      </c>
      <c r="AZ191" s="6">
        <f t="shared" si="259"/>
        <v>19</v>
      </c>
      <c r="BA191">
        <f t="shared" ref="BA191:BC191" si="345">BA190</f>
        <v>18991</v>
      </c>
      <c r="BB191" t="str">
        <f t="shared" si="345"/>
        <v>Triple J</v>
      </c>
      <c r="BC191" t="str">
        <f t="shared" si="345"/>
        <v>Velodrome</v>
      </c>
      <c r="BD191" t="str">
        <f t="shared" si="261"/>
        <v>Possession</v>
      </c>
      <c r="BE191" t="str">
        <f t="shared" si="262"/>
        <v>PuckRetrieval</v>
      </c>
      <c r="BF191" t="str">
        <f t="shared" si="263"/>
        <v/>
      </c>
      <c r="BG191" t="str">
        <f t="shared" si="22"/>
        <v>u</v>
      </c>
      <c r="BH191" cm="1">
        <f t="array" aca="1" ref="BH191" ca="1">IFERROR(_xlfn._xlws.FILTER(shifts!A:A,(shifts!B:B=events!Z191)*(shifts!AG:AG&gt;=events!BJ191)*(shifts!AH:AH&lt;=events!BK191)),BH190)</f>
        <v>7</v>
      </c>
      <c r="BI191" s="15">
        <f t="shared" si="264"/>
        <v>0</v>
      </c>
      <c r="BJ191">
        <f t="shared" si="265"/>
        <v>898</v>
      </c>
      <c r="BK191">
        <f t="shared" si="266"/>
        <v>898</v>
      </c>
      <c r="BL191" s="15">
        <f>SUMIFS(BI$2:BI191,K$2:K191,"=Intermission")+SUMIFS(BI$2:BI191,K$2:K191,"=Timeout")</f>
        <v>0</v>
      </c>
      <c r="BM191">
        <f t="shared" si="267"/>
        <v>0</v>
      </c>
      <c r="BN191" s="19">
        <f t="shared" si="268"/>
        <v>182</v>
      </c>
      <c r="BO191">
        <f t="shared" si="269"/>
        <v>177</v>
      </c>
      <c r="BP191" s="17">
        <f t="shared" si="270"/>
        <v>182</v>
      </c>
      <c r="BQ191" t="str">
        <f t="shared" si="271"/>
        <v>event_team_player_1</v>
      </c>
      <c r="BR191">
        <f>COUNTIFS(S$3:S191,"="&amp;S191,AH$3:AH191,"="&amp;AH191)</f>
        <v>1</v>
      </c>
      <c r="BS191" t="str">
        <f>IFERROR(VLOOKUP(BA191&amp;BT191&amp;X191,game_rosters!U:W,3,FALSE),"")</f>
        <v>P100198</v>
      </c>
      <c r="BT191" t="str">
        <f t="shared" si="272"/>
        <v>Velodrome</v>
      </c>
    </row>
    <row r="192" spans="1:72" x14ac:dyDescent="0.2">
      <c r="A192">
        <f t="shared" si="247"/>
        <v>1</v>
      </c>
      <c r="D192" s="26">
        <v>1</v>
      </c>
      <c r="E192" s="4"/>
      <c r="F192" s="45"/>
      <c r="G192" s="4"/>
      <c r="H192" s="47"/>
      <c r="I192" s="26">
        <v>84</v>
      </c>
      <c r="J192" s="26" t="s">
        <v>734</v>
      </c>
      <c r="K192" t="s">
        <v>238</v>
      </c>
      <c r="L192" t="s">
        <v>174</v>
      </c>
      <c r="M192" t="s">
        <v>87</v>
      </c>
      <c r="N192" t="s">
        <v>594</v>
      </c>
      <c r="O192" t="s">
        <v>576</v>
      </c>
      <c r="Q192" t="str">
        <f t="shared" si="285"/>
        <v>u</v>
      </c>
      <c r="S192">
        <f>IF(A192=1,MAX($S$2:$S191)+1,IF(OR($I192&lt;&gt;"",A192="x"),$S191,""))</f>
        <v>101</v>
      </c>
      <c r="T192">
        <f>IF(D192=1,MAX($T$2:$T191)+1,IF(S192=S191,$T191,IF(D192="x",T191,IF(D191="x","",""))))</f>
        <v>16</v>
      </c>
      <c r="U192" t="str">
        <f>IF(B192=1,MAX($U$2:$U191)+1,IF(AND($T192&lt;&gt;"",$T192=$T191),$U191,IF(B192="x",U191,"")))</f>
        <v/>
      </c>
      <c r="V192" t="str">
        <f>IF(C192=1,MAX($V$2:$V191)+1,IF(AND($T192&lt;&gt;"",$T192=$T191),$U191,IF(C192="x",V191,"")))</f>
        <v/>
      </c>
      <c r="W192" t="str" cm="1">
        <f t="array" ref="W192">IFERROR(_xlfn._xlws.FILTER(game_rosters!AC:AC,(game_rosters!J:J=events!X192)*(K192&lt;&gt;"")),"")</f>
        <v>a</v>
      </c>
      <c r="X192" cm="1">
        <f t="array" ref="X192">IF($I192&lt;&gt;"",$I192,INDEX($I$1:$I192,ROW()-COUNTIFS($T$1:$T192,"="&amp;$T192,$S$1:$S192,"&lt;"&amp;$S192)))</f>
        <v>84</v>
      </c>
      <c r="Y192" cm="1">
        <f t="array" ref="Y192">IFERROR(IF(_xlfn._xlws.FILTER(game_rosters!$J:$J,(game_rosters!$G:$G=events!$AM192)*(game_rosters!$J:$J=events!$X192))&gt;0,1,""),"")</f>
        <v>1</v>
      </c>
      <c r="Z192" s="6">
        <f t="shared" si="248"/>
        <v>1</v>
      </c>
      <c r="AA192">
        <f t="shared" si="249"/>
        <v>1101</v>
      </c>
      <c r="AB192">
        <f t="shared" si="250"/>
        <v>9016</v>
      </c>
      <c r="AC192">
        <f t="shared" si="251"/>
        <v>9016</v>
      </c>
      <c r="AD192" t="str">
        <f t="shared" si="252"/>
        <v>14</v>
      </c>
      <c r="AE192" t="str">
        <f t="shared" si="253"/>
        <v>58</v>
      </c>
      <c r="AF192" t="str">
        <f t="shared" si="254"/>
        <v/>
      </c>
      <c r="AG192" t="str">
        <f t="shared" si="255"/>
        <v/>
      </c>
      <c r="AH192" t="str">
        <f t="shared" si="298"/>
        <v>e</v>
      </c>
      <c r="AI192" t="str">
        <f t="shared" si="340"/>
        <v>n</v>
      </c>
      <c r="AJ192" t="str">
        <f t="shared" si="340"/>
        <v>n</v>
      </c>
      <c r="AK192" t="str">
        <f t="shared" si="300"/>
        <v>n</v>
      </c>
      <c r="AL192" t="str">
        <f t="shared" si="301"/>
        <v>n</v>
      </c>
      <c r="AM192" t="str">
        <f t="shared" si="256"/>
        <v>Away</v>
      </c>
      <c r="AN192" t="str">
        <f t="shared" si="302"/>
        <v>a</v>
      </c>
      <c r="AO192" t="str">
        <f t="shared" si="303"/>
        <v>n</v>
      </c>
      <c r="AP192" t="str">
        <f t="shared" si="304"/>
        <v>n</v>
      </c>
      <c r="AQ192" t="str">
        <f>IF(AM192&lt;&gt;"",AM192,IF($AC192=#REF!,#REF!,""))</f>
        <v>Away</v>
      </c>
      <c r="AR192" t="str">
        <f t="shared" si="305"/>
        <v>a</v>
      </c>
      <c r="AS192" t="str">
        <f t="shared" si="306"/>
        <v>Offensive</v>
      </c>
      <c r="AT192" t="str">
        <f t="shared" si="257"/>
        <v/>
      </c>
      <c r="AU192" t="str">
        <f t="shared" si="258"/>
        <v/>
      </c>
      <c r="AV192" t="str" cm="1">
        <f t="array" ref="AV192">IFERROR(IF(O192&lt;&gt;"",O192,IF(OR($S192="",$T192=""),"",IF(O192&lt;&gt;"",O192,IF($T192&lt;&gt;"",_xlfn._xlws.FILTER(O:O,($BT:$BT=$BT192)*($I:$I=$I192)*($T:$T=$T192)*($S:$S=_xlfn.MINIFS($S:$S,$T:$T,"="&amp;$T192)),"")))))&amp;"",IF(O192="","",""))&amp;""</f>
        <v>SecondTouch</v>
      </c>
      <c r="AW192" t="str" cm="1">
        <f t="array" ref="AW192">IFERROR(IF(P192&lt;&gt;"",P192,IF(OR($S192="",$T192=""),"",IF($T192&lt;&gt;"",_xlfn._xlws.FILTER(P:P,($BT:$BT=$BT192)*($I:$I=$I192)*($T:$T=$T192)*($S:$S=_xlfn.MINIFS($S:$S,$T:$T,"="&amp;$T192)),""))))&amp;"",IF(P192="","",""))&amp;""</f>
        <v/>
      </c>
      <c r="AX192" t="str" cm="1">
        <f t="array" ref="AX192">IFERROR(IF(Q192&lt;&gt;"",Q192,IF(OR($S192="",$T192=""),"",IF($T192&lt;&gt;"",_xlfn._xlws.FILTER(Q:Q,($BT:$BT=$BT192)*($I:$I=$I192)*($T:$T=$T192)*($S:$S=_xlfn.MINIFS($S:$S,$T:$T,"="&amp;$T192)),""))))&amp;"",IF(Q192="","",""))&amp;""</f>
        <v>u</v>
      </c>
      <c r="AY192" t="str" cm="1">
        <f t="array" ref="AY192">IFERROR(IF(R192&lt;&gt;"",R192,IF(OR($S192="",$T192=""),"",IF($T192&lt;&gt;"",_xlfn._xlws.FILTER(R:R,($BT:$BT=$BT192)*($I:$I=$I192)*($T:$T=$T192)*($S:$S=_xlfn.MINIFS($S:$S,$T:$T,"="&amp;$T192)),""))))&amp;"",IF(R192="","",""))&amp;""</f>
        <v/>
      </c>
      <c r="AZ192" s="6">
        <f t="shared" si="259"/>
        <v>20</v>
      </c>
      <c r="BA192">
        <f t="shared" ref="BA192:BC192" si="346">BA191</f>
        <v>18991</v>
      </c>
      <c r="BB192" t="str">
        <f t="shared" si="346"/>
        <v>Triple J</v>
      </c>
      <c r="BC192" t="str">
        <f t="shared" si="346"/>
        <v>Velodrome</v>
      </c>
      <c r="BD192" t="str">
        <f t="shared" si="261"/>
        <v>Zone_Entry_Exit</v>
      </c>
      <c r="BE192" t="str">
        <f t="shared" si="262"/>
        <v>Zone_Entry</v>
      </c>
      <c r="BF192" t="str">
        <f t="shared" si="263"/>
        <v>ZoneEntry-DumpIn</v>
      </c>
      <c r="BG192" t="str">
        <f t="shared" si="22"/>
        <v>u</v>
      </c>
      <c r="BH192" cm="1">
        <f t="array" aca="1" ref="BH192" ca="1">IFERROR(_xlfn._xlws.FILTER(shifts!A:A,(shifts!B:B=events!Z192)*(shifts!AG:AG&gt;=events!BJ192)*(shifts!AH:AH&lt;=events!BK192)),BH191)</f>
        <v>7</v>
      </c>
      <c r="BI192" s="15">
        <f t="shared" si="264"/>
        <v>0</v>
      </c>
      <c r="BJ192">
        <f t="shared" si="265"/>
        <v>898</v>
      </c>
      <c r="BK192">
        <f t="shared" si="266"/>
        <v>898</v>
      </c>
      <c r="BL192" s="15">
        <f>SUMIFS(BI$2:BI192,K$2:K192,"=Intermission")+SUMIFS(BI$2:BI192,K$2:K192,"=Timeout")</f>
        <v>0</v>
      </c>
      <c r="BM192">
        <f t="shared" si="267"/>
        <v>0</v>
      </c>
      <c r="BN192" s="19">
        <f t="shared" si="268"/>
        <v>182</v>
      </c>
      <c r="BO192">
        <f t="shared" si="269"/>
        <v>177</v>
      </c>
      <c r="BP192" s="17">
        <f t="shared" si="270"/>
        <v>182</v>
      </c>
      <c r="BQ192" t="str">
        <f t="shared" si="271"/>
        <v>event_team_player_1</v>
      </c>
      <c r="BR192">
        <f>COUNTIFS(S$3:S192,"="&amp;S192,AH$3:AH192,"="&amp;AH192)</f>
        <v>1</v>
      </c>
      <c r="BS192" t="str">
        <f>IFERROR(VLOOKUP(BA192&amp;BT192&amp;X192,game_rosters!U:W,3,FALSE),"")</f>
        <v>P100198</v>
      </c>
      <c r="BT192" t="str">
        <f t="shared" si="272"/>
        <v>Velodrome</v>
      </c>
    </row>
    <row r="193" spans="1:72" x14ac:dyDescent="0.2">
      <c r="A193">
        <f t="shared" si="247"/>
        <v>1</v>
      </c>
      <c r="D193" s="26" t="s">
        <v>729</v>
      </c>
      <c r="E193" s="4"/>
      <c r="F193" s="45"/>
      <c r="G193" s="4"/>
      <c r="H193" s="47"/>
      <c r="I193" s="26">
        <v>84</v>
      </c>
      <c r="J193" s="26" t="s">
        <v>734</v>
      </c>
      <c r="K193" t="s">
        <v>9</v>
      </c>
      <c r="L193" t="s">
        <v>173</v>
      </c>
      <c r="M193" t="s">
        <v>354</v>
      </c>
      <c r="N193" t="str">
        <f t="shared" si="291"/>
        <v>u</v>
      </c>
      <c r="Q193" t="str">
        <f t="shared" si="285"/>
        <v/>
      </c>
      <c r="S193">
        <f>IF(A193=1,MAX($S$2:$S192)+1,IF(OR($I193&lt;&gt;"",A193="x"),$S192,""))</f>
        <v>102</v>
      </c>
      <c r="T193">
        <f>IF(D193=1,MAX($T$2:$T192)+1,IF(S193=S192,$T192,IF(D193="x",T192,IF(D192="x","",""))))</f>
        <v>16</v>
      </c>
      <c r="U193" t="str">
        <f>IF(B193=1,MAX($U$2:$U192)+1,IF(AND($T193&lt;&gt;"",$T193=$T192),$U192,IF(B193="x",U192,"")))</f>
        <v/>
      </c>
      <c r="V193" t="str">
        <f>IF(C193=1,MAX($V$2:$V192)+1,IF(AND($T193&lt;&gt;"",$T193=$T192),$U192,IF(C193="x",V192,"")))</f>
        <v/>
      </c>
      <c r="W193" t="str" cm="1">
        <f t="array" ref="W193">IFERROR(_xlfn._xlws.FILTER(game_rosters!AC:AC,(game_rosters!J:J=events!X193)*(K193&lt;&gt;"")),"")</f>
        <v>a</v>
      </c>
      <c r="X193" cm="1">
        <f t="array" ref="X193">IF($I193&lt;&gt;"",$I193,INDEX($I$1:$I193,ROW()-COUNTIFS($T$1:$T193,"="&amp;$T193,$S$1:$S193,"&lt;"&amp;$S193)))</f>
        <v>84</v>
      </c>
      <c r="Y193" cm="1">
        <f t="array" ref="Y193">IFERROR(IF(_xlfn._xlws.FILTER(game_rosters!$J:$J,(game_rosters!$G:$G=events!$AM193)*(game_rosters!$J:$J=events!$X193))&gt;0,1,""),"")</f>
        <v>1</v>
      </c>
      <c r="Z193" s="6">
        <f t="shared" si="248"/>
        <v>1</v>
      </c>
      <c r="AA193">
        <f t="shared" si="249"/>
        <v>1102</v>
      </c>
      <c r="AB193">
        <f t="shared" si="250"/>
        <v>9016</v>
      </c>
      <c r="AC193">
        <f t="shared" si="251"/>
        <v>9016</v>
      </c>
      <c r="AD193" t="str">
        <f t="shared" si="252"/>
        <v>14</v>
      </c>
      <c r="AE193" t="str">
        <f t="shared" si="253"/>
        <v>58</v>
      </c>
      <c r="AF193" t="str">
        <f t="shared" si="254"/>
        <v/>
      </c>
      <c r="AG193" t="str">
        <f t="shared" si="255"/>
        <v/>
      </c>
      <c r="AH193" t="str">
        <f t="shared" si="298"/>
        <v>e</v>
      </c>
      <c r="AI193" t="str">
        <f t="shared" si="340"/>
        <v>n</v>
      </c>
      <c r="AJ193" t="str">
        <f t="shared" si="340"/>
        <v>n</v>
      </c>
      <c r="AK193" t="str">
        <f t="shared" si="300"/>
        <v>n</v>
      </c>
      <c r="AL193" t="str">
        <f t="shared" si="301"/>
        <v>n</v>
      </c>
      <c r="AM193" t="str">
        <f t="shared" si="256"/>
        <v>Away</v>
      </c>
      <c r="AN193" t="str">
        <f t="shared" si="302"/>
        <v>a</v>
      </c>
      <c r="AO193" t="str">
        <f t="shared" si="303"/>
        <v>n</v>
      </c>
      <c r="AP193" t="str">
        <f t="shared" si="304"/>
        <v>n</v>
      </c>
      <c r="AQ193" t="str">
        <f>IF(AM193&lt;&gt;"",AM193,IF($AC193=#REF!,#REF!,""))</f>
        <v>Away</v>
      </c>
      <c r="AR193" t="str">
        <f t="shared" si="305"/>
        <v>a</v>
      </c>
      <c r="AS193" t="str">
        <f t="shared" si="306"/>
        <v>Offensive</v>
      </c>
      <c r="AT193" t="str">
        <f t="shared" si="257"/>
        <v/>
      </c>
      <c r="AU193" t="str">
        <f t="shared" si="258"/>
        <v/>
      </c>
      <c r="AV193" t="str" cm="1">
        <f t="array" ref="AV193">IFERROR(IF(O193&lt;&gt;"",O193,IF(OR($S193="",$T193=""),"",IF(O193&lt;&gt;"",O193,IF($T193&lt;&gt;"",_xlfn._xlws.FILTER(O:O,($BT:$BT=$BT193)*($I:$I=$I193)*($T:$T=$T193)*($S:$S=_xlfn.MINIFS($S:$S,$T:$T,"="&amp;$T193)),"")))))&amp;"",IF(O193="","",""))&amp;""</f>
        <v>SecondTouch</v>
      </c>
      <c r="AW193" t="str" cm="1">
        <f t="array" ref="AW193">IFERROR(IF(P193&lt;&gt;"",P193,IF(OR($S193="",$T193=""),"",IF($T193&lt;&gt;"",_xlfn._xlws.FILTER(P:P,($BT:$BT=$BT193)*($I:$I=$I193)*($T:$T=$T193)*($S:$S=_xlfn.MINIFS($S:$S,$T:$T,"="&amp;$T193)),""))))&amp;"",IF(P193="","",""))&amp;""</f>
        <v/>
      </c>
      <c r="AX193" t="str" cm="1">
        <f t="array" ref="AX193">IFERROR(IF(Q193&lt;&gt;"",Q193,IF(OR($S193="",$T193=""),"",IF($T193&lt;&gt;"",_xlfn._xlws.FILTER(Q:Q,($BT:$BT=$BT193)*($I:$I=$I193)*($T:$T=$T193)*($S:$S=_xlfn.MINIFS($S:$S,$T:$T,"="&amp;$T193)),""))))&amp;"",IF(Q193="","",""))&amp;""</f>
        <v>u</v>
      </c>
      <c r="AY193" t="str" cm="1">
        <f t="array" ref="AY193">IFERROR(IF(R193&lt;&gt;"",R193,IF(OR($S193="",$T193=""),"",IF($T193&lt;&gt;"",_xlfn._xlws.FILTER(R:R,($BT:$BT=$BT193)*($I:$I=$I193)*($T:$T=$T193)*($S:$S=_xlfn.MINIFS($S:$S,$T:$T,"="&amp;$T193)),""))))&amp;"",IF(R193="","",""))&amp;""</f>
        <v/>
      </c>
      <c r="AZ193" s="6">
        <f t="shared" si="259"/>
        <v>20</v>
      </c>
      <c r="BA193">
        <f t="shared" ref="BA193:BC193" si="347">BA192</f>
        <v>18991</v>
      </c>
      <c r="BB193" t="str">
        <f t="shared" si="347"/>
        <v>Triple J</v>
      </c>
      <c r="BC193" t="str">
        <f t="shared" si="347"/>
        <v>Velodrome</v>
      </c>
      <c r="BD193" t="str">
        <f t="shared" si="261"/>
        <v>Turnover</v>
      </c>
      <c r="BE193" t="str">
        <f t="shared" si="262"/>
        <v>Turnover_Giveaway</v>
      </c>
      <c r="BF193" t="str">
        <f t="shared" si="263"/>
        <v>Giveaway-ZoneClear/Dump</v>
      </c>
      <c r="BG193" t="str">
        <f t="shared" si="22"/>
        <v>u</v>
      </c>
      <c r="BH193" cm="1">
        <f t="array" aca="1" ref="BH193" ca="1">IFERROR(_xlfn._xlws.FILTER(shifts!A:A,(shifts!B:B=events!Z193)*(shifts!AG:AG&gt;=events!BJ193)*(shifts!AH:AH&lt;=events!BK193)),BH192)</f>
        <v>7</v>
      </c>
      <c r="BI193" s="15">
        <f t="shared" si="264"/>
        <v>0</v>
      </c>
      <c r="BJ193">
        <f t="shared" si="265"/>
        <v>898</v>
      </c>
      <c r="BK193">
        <f t="shared" si="266"/>
        <v>898</v>
      </c>
      <c r="BL193" s="15">
        <f>SUMIFS(BI$2:BI193,K$2:K193,"=Intermission")+SUMIFS(BI$2:BI193,K$2:K193,"=Timeout")</f>
        <v>0</v>
      </c>
      <c r="BM193">
        <f t="shared" si="267"/>
        <v>0</v>
      </c>
      <c r="BN193" s="19">
        <f t="shared" si="268"/>
        <v>182</v>
      </c>
      <c r="BO193">
        <f t="shared" si="269"/>
        <v>177</v>
      </c>
      <c r="BP193" s="17">
        <f t="shared" si="270"/>
        <v>182</v>
      </c>
      <c r="BQ193" t="str">
        <f t="shared" si="271"/>
        <v>event_team_player_1</v>
      </c>
      <c r="BR193">
        <f>COUNTIFS(S$3:S193,"="&amp;S193,AH$3:AH193,"="&amp;AH193)</f>
        <v>1</v>
      </c>
      <c r="BS193" t="str">
        <f>IFERROR(VLOOKUP(BA193&amp;BT193&amp;X193,game_rosters!U:W,3,FALSE),"")</f>
        <v>P100198</v>
      </c>
      <c r="BT193" t="str">
        <f t="shared" si="272"/>
        <v>Velodrome</v>
      </c>
    </row>
    <row r="194" spans="1:72" x14ac:dyDescent="0.2">
      <c r="A194">
        <f t="shared" si="247"/>
        <v>1</v>
      </c>
      <c r="E194" s="4" t="s">
        <v>745</v>
      </c>
      <c r="F194" s="45" t="s">
        <v>733</v>
      </c>
      <c r="G194" s="4" t="s">
        <v>745</v>
      </c>
      <c r="H194" s="47" t="s">
        <v>753</v>
      </c>
      <c r="I194" s="26">
        <v>41</v>
      </c>
      <c r="J194" s="26" t="s">
        <v>736</v>
      </c>
      <c r="K194" t="s">
        <v>13</v>
      </c>
      <c r="L194" t="s">
        <v>586</v>
      </c>
      <c r="N194" t="s">
        <v>594</v>
      </c>
      <c r="O194" t="s">
        <v>904</v>
      </c>
      <c r="Q194" t="str">
        <f t="shared" si="285"/>
        <v>u</v>
      </c>
      <c r="S194">
        <f>IF(A194=1,MAX($S$2:$S193)+1,IF(OR($I194&lt;&gt;"",A194="x"),$S193,""))</f>
        <v>103</v>
      </c>
      <c r="T194" t="str">
        <f>IF(D194=1,MAX($T$2:$T193)+1,IF(S194=S193,$T193,IF(D194="x",T193,IF(D193="x","",""))))</f>
        <v/>
      </c>
      <c r="U194" t="str">
        <f>IF(B194=1,MAX($U$2:$U193)+1,IF(AND($T194&lt;&gt;"",$T194=$T193),$U193,IF(B194="x",U193,"")))</f>
        <v/>
      </c>
      <c r="V194" t="str">
        <f>IF(C194=1,MAX($V$2:$V193)+1,IF(AND($T194&lt;&gt;"",$T194=$T193),$U193,IF(C194="x",V193,"")))</f>
        <v/>
      </c>
      <c r="W194" t="str" cm="1">
        <f t="array" ref="W194">IFERROR(_xlfn._xlws.FILTER(game_rosters!AC:AC,(game_rosters!J:J=events!X194)*(K194&lt;&gt;"")),"")</f>
        <v>h</v>
      </c>
      <c r="X194" cm="1">
        <f t="array" ref="X194">IF($I194&lt;&gt;"",$I194,INDEX($I$1:$I194,ROW()-COUNTIFS($T$1:$T194,"="&amp;$T194,$S$1:$S194,"&lt;"&amp;$S194)))</f>
        <v>41</v>
      </c>
      <c r="Y194" cm="1">
        <f t="array" ref="Y194">IFERROR(IF(_xlfn._xlws.FILTER(game_rosters!$J:$J,(game_rosters!$G:$G=events!$AM194)*(game_rosters!$J:$J=events!$X194))&gt;0,1,""),"")</f>
        <v>1</v>
      </c>
      <c r="Z194" s="6">
        <f t="shared" si="248"/>
        <v>1</v>
      </c>
      <c r="AA194">
        <f t="shared" si="249"/>
        <v>1103</v>
      </c>
      <c r="AB194" t="str">
        <f t="shared" si="250"/>
        <v/>
      </c>
      <c r="AC194">
        <f t="shared" si="251"/>
        <v>1103</v>
      </c>
      <c r="AD194" t="str">
        <f t="shared" si="252"/>
        <v>14</v>
      </c>
      <c r="AE194" t="str">
        <f t="shared" si="253"/>
        <v>56</v>
      </c>
      <c r="AF194" t="str">
        <f t="shared" si="254"/>
        <v>14</v>
      </c>
      <c r="AG194" t="str">
        <f t="shared" si="255"/>
        <v>55</v>
      </c>
      <c r="AH194" t="str">
        <f t="shared" si="298"/>
        <v>e</v>
      </c>
      <c r="AI194" t="str">
        <f t="shared" si="340"/>
        <v>d</v>
      </c>
      <c r="AJ194" t="str">
        <f t="shared" si="340"/>
        <v>d</v>
      </c>
      <c r="AK194" t="str">
        <f t="shared" si="300"/>
        <v>d</v>
      </c>
      <c r="AL194" t="str">
        <f t="shared" si="301"/>
        <v>o</v>
      </c>
      <c r="AM194" t="str">
        <f t="shared" si="256"/>
        <v>Home</v>
      </c>
      <c r="AN194" t="str">
        <f t="shared" si="302"/>
        <v>h</v>
      </c>
      <c r="AO194" t="str">
        <f t="shared" si="303"/>
        <v>d</v>
      </c>
      <c r="AP194" t="str">
        <f t="shared" si="304"/>
        <v>o</v>
      </c>
      <c r="AQ194" t="str">
        <f>IF(AM194&lt;&gt;"",AM194,IF($AC194=#REF!,#REF!,""))</f>
        <v>Home</v>
      </c>
      <c r="AR194" t="str">
        <f t="shared" si="305"/>
        <v>h</v>
      </c>
      <c r="AS194" t="str">
        <f t="shared" si="306"/>
        <v>Offensive</v>
      </c>
      <c r="AT194" t="str">
        <f t="shared" si="257"/>
        <v/>
      </c>
      <c r="AU194" t="str">
        <f t="shared" si="258"/>
        <v/>
      </c>
      <c r="AV194" t="str" cm="1">
        <f t="array" ref="AV194">IFERROR(IF(O194&lt;&gt;"",O194,IF(OR($S194="",$T194=""),"",IF(O194&lt;&gt;"",O194,IF($T194&lt;&gt;"",_xlfn._xlws.FILTER(O:O,($BT:$BT=$BT194)*($I:$I=$I194)*($T:$T=$T194)*($S:$S=_xlfn.MINIFS($S:$S,$T:$T,"="&amp;$T194)),"")))))&amp;"",IF(O194="","",""))&amp;""</f>
        <v>PuckRecoveryRetreivalDumpIn</v>
      </c>
      <c r="AW194" t="str" cm="1">
        <f t="array" ref="AW194">IFERROR(IF(P194&lt;&gt;"",P194,IF(OR($S194="",$T194=""),"",IF($T194&lt;&gt;"",_xlfn._xlws.FILTER(P:P,($BT:$BT=$BT194)*($I:$I=$I194)*($T:$T=$T194)*($S:$S=_xlfn.MINIFS($S:$S,$T:$T,"="&amp;$T194)),""))))&amp;"",IF(P194="","",""))&amp;""</f>
        <v/>
      </c>
      <c r="AX194" t="str" cm="1">
        <f t="array" ref="AX194">IFERROR(IF(Q194&lt;&gt;"",Q194,IF(OR($S194="",$T194=""),"",IF($T194&lt;&gt;"",_xlfn._xlws.FILTER(Q:Q,($BT:$BT=$BT194)*($I:$I=$I194)*($T:$T=$T194)*($S:$S=_xlfn.MINIFS($S:$S,$T:$T,"="&amp;$T194)),""))))&amp;"",IF(Q194="","",""))&amp;""</f>
        <v>u</v>
      </c>
      <c r="AY194" t="str" cm="1">
        <f t="array" ref="AY194">IFERROR(IF(R194&lt;&gt;"",R194,IF(OR($S194="",$T194=""),"",IF($T194&lt;&gt;"",_xlfn._xlws.FILTER(R:R,($BT:$BT=$BT194)*($I:$I=$I194)*($T:$T=$T194)*($S:$S=_xlfn.MINIFS($S:$S,$T:$T,"="&amp;$T194)),""))))&amp;"",IF(R194="","",""))&amp;""</f>
        <v/>
      </c>
      <c r="AZ194" s="6">
        <f t="shared" si="259"/>
        <v>20</v>
      </c>
      <c r="BA194">
        <f t="shared" ref="BA194:BC194" si="348">BA193</f>
        <v>18991</v>
      </c>
      <c r="BB194" t="str">
        <f t="shared" si="348"/>
        <v>Triple J</v>
      </c>
      <c r="BC194" t="str">
        <f t="shared" si="348"/>
        <v>Velodrome</v>
      </c>
      <c r="BD194" t="str">
        <f t="shared" si="261"/>
        <v>Possession</v>
      </c>
      <c r="BE194" t="str">
        <f t="shared" si="262"/>
        <v>PuckRetrieval</v>
      </c>
      <c r="BF194" t="str">
        <f t="shared" si="263"/>
        <v/>
      </c>
      <c r="BG194" t="str">
        <f t="shared" si="22"/>
        <v>u</v>
      </c>
      <c r="BH194" cm="1">
        <f t="array" aca="1" ref="BH194" ca="1">IFERROR(_xlfn._xlws.FILTER(shifts!A:A,(shifts!B:B=events!Z194)*(shifts!AG:AG&gt;=events!BJ194)*(shifts!AH:AH&lt;=events!BK194)),BH193)</f>
        <v>8</v>
      </c>
      <c r="BI194" s="15">
        <f t="shared" si="264"/>
        <v>1</v>
      </c>
      <c r="BJ194">
        <f t="shared" si="265"/>
        <v>896</v>
      </c>
      <c r="BK194">
        <f t="shared" si="266"/>
        <v>895</v>
      </c>
      <c r="BL194" s="15">
        <f>SUMIFS(BI$2:BI194,K$2:K194,"=Intermission")+SUMIFS(BI$2:BI194,K$2:K194,"=Timeout")</f>
        <v>0</v>
      </c>
      <c r="BM194">
        <f t="shared" si="267"/>
        <v>0</v>
      </c>
      <c r="BN194" s="19">
        <f t="shared" si="268"/>
        <v>184</v>
      </c>
      <c r="BO194">
        <f t="shared" si="269"/>
        <v>179</v>
      </c>
      <c r="BP194" s="17">
        <f t="shared" si="270"/>
        <v>185</v>
      </c>
      <c r="BQ194" t="str">
        <f t="shared" si="271"/>
        <v>event_team_player_1</v>
      </c>
      <c r="BR194">
        <f>COUNTIFS(S$3:S194,"="&amp;S194,AH$3:AH194,"="&amp;AH194)</f>
        <v>1</v>
      </c>
      <c r="BS194" t="str">
        <f>IFERROR(VLOOKUP(BA194&amp;BT194&amp;X194,game_rosters!U:W,3,FALSE),"")</f>
        <v>P100206</v>
      </c>
      <c r="BT194" t="str">
        <f t="shared" si="272"/>
        <v>Triple J</v>
      </c>
    </row>
    <row r="195" spans="1:72" x14ac:dyDescent="0.2">
      <c r="A195">
        <f t="shared" si="247"/>
        <v>1</v>
      </c>
      <c r="D195" s="26">
        <v>1</v>
      </c>
      <c r="E195" s="4"/>
      <c r="F195" s="45"/>
      <c r="G195" s="4"/>
      <c r="H195" s="47"/>
      <c r="I195" s="26">
        <v>41</v>
      </c>
      <c r="J195" s="26" t="str">
        <f t="shared" si="274"/>
        <v/>
      </c>
      <c r="K195" t="s">
        <v>7</v>
      </c>
      <c r="L195" t="s">
        <v>199</v>
      </c>
      <c r="M195" t="s">
        <v>68</v>
      </c>
      <c r="N195" t="str">
        <f t="shared" si="291"/>
        <v>u</v>
      </c>
      <c r="O195" t="s">
        <v>767</v>
      </c>
      <c r="Q195" t="str">
        <f t="shared" si="285"/>
        <v>u</v>
      </c>
      <c r="S195">
        <f>IF(A195=1,MAX($S$2:$S194)+1,IF(OR($I195&lt;&gt;"",A195="x"),$S194,""))</f>
        <v>104</v>
      </c>
      <c r="T195">
        <f>IF(D195=1,MAX($T$2:$T194)+1,IF(S195=S194,$T194,IF(D195="x",T194,IF(D194="x","",""))))</f>
        <v>17</v>
      </c>
      <c r="U195" t="str">
        <f>IF(B195=1,MAX($U$2:$U194)+1,IF(AND($T195&lt;&gt;"",$T195=$T194),$U194,IF(B195="x",U194,"")))</f>
        <v/>
      </c>
      <c r="V195" t="str">
        <f>IF(C195=1,MAX($V$2:$V194)+1,IF(AND($T195&lt;&gt;"",$T195=$T194),$U194,IF(C195="x",V194,"")))</f>
        <v/>
      </c>
      <c r="W195" t="str" cm="1">
        <f t="array" ref="W195">IFERROR(_xlfn._xlws.FILTER(game_rosters!AC:AC,(game_rosters!J:J=events!X195)*(K195&lt;&gt;"")),"")</f>
        <v>h</v>
      </c>
      <c r="X195" cm="1">
        <f t="array" ref="X195">IF($I195&lt;&gt;"",$I195,INDEX($I$1:$I195,ROW()-COUNTIFS($T$1:$T195,"="&amp;$T195,$S$1:$S195,"&lt;"&amp;$S195)))</f>
        <v>41</v>
      </c>
      <c r="Y195" cm="1">
        <f t="array" ref="Y195">IFERROR(IF(_xlfn._xlws.FILTER(game_rosters!$J:$J,(game_rosters!$G:$G=events!$AM195)*(game_rosters!$J:$J=events!$X195))&gt;0,1,""),"")</f>
        <v>1</v>
      </c>
      <c r="Z195" s="6">
        <f t="shared" si="248"/>
        <v>1</v>
      </c>
      <c r="AA195">
        <f t="shared" si="249"/>
        <v>1104</v>
      </c>
      <c r="AB195">
        <f t="shared" si="250"/>
        <v>9017</v>
      </c>
      <c r="AC195">
        <f t="shared" si="251"/>
        <v>9017</v>
      </c>
      <c r="AD195" t="str">
        <f t="shared" si="252"/>
        <v>14</v>
      </c>
      <c r="AE195" t="str">
        <f t="shared" si="253"/>
        <v>55</v>
      </c>
      <c r="AF195" t="str">
        <f t="shared" si="254"/>
        <v/>
      </c>
      <c r="AG195" t="str">
        <f t="shared" si="255"/>
        <v/>
      </c>
      <c r="AH195" t="str">
        <f t="shared" si="298"/>
        <v>e</v>
      </c>
      <c r="AI195" t="str">
        <f t="shared" si="340"/>
        <v/>
      </c>
      <c r="AJ195" t="str">
        <f t="shared" si="340"/>
        <v/>
      </c>
      <c r="AK195" t="str">
        <f t="shared" si="300"/>
        <v/>
      </c>
      <c r="AL195" t="str">
        <f t="shared" si="301"/>
        <v/>
      </c>
      <c r="AM195" t="str">
        <f t="shared" si="256"/>
        <v>Home</v>
      </c>
      <c r="AN195" t="str">
        <f t="shared" si="302"/>
        <v>h</v>
      </c>
      <c r="AO195" t="str">
        <f t="shared" si="303"/>
        <v/>
      </c>
      <c r="AP195" t="str">
        <f t="shared" si="304"/>
        <v/>
      </c>
      <c r="AQ195" t="str">
        <f>IF(AM195&lt;&gt;"",AM195,IF($AC195=#REF!,#REF!,""))</f>
        <v>Home</v>
      </c>
      <c r="AR195" t="str">
        <f t="shared" si="305"/>
        <v>h</v>
      </c>
      <c r="AS195" t="str">
        <f t="shared" si="306"/>
        <v>Offensive</v>
      </c>
      <c r="AT195" t="str">
        <f t="shared" si="257"/>
        <v/>
      </c>
      <c r="AU195" t="str">
        <f t="shared" si="258"/>
        <v/>
      </c>
      <c r="AV195" t="str" cm="1">
        <f t="array" ref="AV195">IFERROR(IF(O195&lt;&gt;"",O195,IF(OR($S195="",$T195=""),"",IF(O195&lt;&gt;"",O195,IF($T195&lt;&gt;"",_xlfn._xlws.FILTER(O:O,($BT:$BT=$BT195)*($I:$I=$I195)*($T:$T=$T195)*($S:$S=_xlfn.MINIFS($S:$S,$T:$T,"="&amp;$T195)),"")))))&amp;"",IF(O195="","",""))&amp;""</f>
        <v>AttemptedBreakOutPass</v>
      </c>
      <c r="AW195" t="str" cm="1">
        <f t="array" ref="AW195">IFERROR(IF(P195&lt;&gt;"",P195,IF(OR($S195="",$T195=""),"",IF($T195&lt;&gt;"",_xlfn._xlws.FILTER(P:P,($BT:$BT=$BT195)*($I:$I=$I195)*($T:$T=$T195)*($S:$S=_xlfn.MINIFS($S:$S,$T:$T,"="&amp;$T195)),""))))&amp;"",IF(P195="","",""))&amp;""</f>
        <v/>
      </c>
      <c r="AX195" t="str" cm="1">
        <f t="array" ref="AX195">IFERROR(IF(Q195&lt;&gt;"",Q195,IF(OR($S195="",$T195=""),"",IF($T195&lt;&gt;"",_xlfn._xlws.FILTER(Q:Q,($BT:$BT=$BT195)*($I:$I=$I195)*($T:$T=$T195)*($S:$S=_xlfn.MINIFS($S:$S,$T:$T,"="&amp;$T195)),""))))&amp;"",IF(Q195="","",""))&amp;""</f>
        <v>u</v>
      </c>
      <c r="AY195" t="str" cm="1">
        <f t="array" ref="AY195">IFERROR(IF(R195&lt;&gt;"",R195,IF(OR($S195="",$T195=""),"",IF($T195&lt;&gt;"",_xlfn._xlws.FILTER(R:R,($BT:$BT=$BT195)*($I:$I=$I195)*($T:$T=$T195)*($S:$S=_xlfn.MINIFS($S:$S,$T:$T,"="&amp;$T195)),""))))&amp;"",IF(R195="","",""))&amp;""</f>
        <v/>
      </c>
      <c r="AZ195" s="6">
        <f t="shared" si="259"/>
        <v>20</v>
      </c>
      <c r="BA195">
        <f t="shared" ref="BA195:BC195" si="349">BA194</f>
        <v>18991</v>
      </c>
      <c r="BB195" t="str">
        <f t="shared" si="349"/>
        <v>Triple J</v>
      </c>
      <c r="BC195" t="str">
        <f t="shared" si="349"/>
        <v>Velodrome</v>
      </c>
      <c r="BD195" t="str">
        <f t="shared" si="261"/>
        <v>Pass</v>
      </c>
      <c r="BE195" t="str">
        <f t="shared" si="262"/>
        <v>Pass_Intercepted</v>
      </c>
      <c r="BF195" t="str">
        <f t="shared" si="263"/>
        <v>Pass-Forehand</v>
      </c>
      <c r="BG195" t="str">
        <f t="shared" si="22"/>
        <v>u</v>
      </c>
      <c r="BH195" cm="1">
        <f t="array" aca="1" ref="BH195" ca="1">IFERROR(_xlfn._xlws.FILTER(shifts!A:A,(shifts!B:B=events!Z195)*(shifts!AG:AG&gt;=events!BJ195)*(shifts!AH:AH&lt;=events!BK195)),BH194)</f>
        <v>8</v>
      </c>
      <c r="BI195" s="15">
        <f t="shared" si="264"/>
        <v>0</v>
      </c>
      <c r="BJ195">
        <f t="shared" si="265"/>
        <v>895</v>
      </c>
      <c r="BK195">
        <f t="shared" si="266"/>
        <v>895</v>
      </c>
      <c r="BL195" s="15">
        <f>SUMIFS(BI$2:BI195,K$2:K195,"=Intermission")+SUMIFS(BI$2:BI195,K$2:K195,"=Timeout")</f>
        <v>0</v>
      </c>
      <c r="BM195">
        <f t="shared" si="267"/>
        <v>0</v>
      </c>
      <c r="BN195" s="19">
        <f t="shared" si="268"/>
        <v>185</v>
      </c>
      <c r="BO195">
        <f t="shared" si="269"/>
        <v>180</v>
      </c>
      <c r="BP195" s="17">
        <f t="shared" si="270"/>
        <v>185</v>
      </c>
      <c r="BQ195" t="str">
        <f t="shared" si="271"/>
        <v>event_team_player_1</v>
      </c>
      <c r="BR195">
        <f>COUNTIFS(S$3:S195,"="&amp;S195,AH$3:AH195,"="&amp;AH195)</f>
        <v>1</v>
      </c>
      <c r="BS195" t="str">
        <f>IFERROR(VLOOKUP(BA195&amp;BT195&amp;X195,game_rosters!U:W,3,FALSE),"")</f>
        <v>P100206</v>
      </c>
      <c r="BT195" t="str">
        <f t="shared" si="272"/>
        <v>Triple J</v>
      </c>
    </row>
    <row r="196" spans="1:72" x14ac:dyDescent="0.2">
      <c r="A196" t="str">
        <f t="shared" si="247"/>
        <v>x</v>
      </c>
      <c r="D196" s="26" t="s">
        <v>729</v>
      </c>
      <c r="E196" s="4"/>
      <c r="F196" s="45"/>
      <c r="G196" s="4"/>
      <c r="H196" s="47"/>
      <c r="I196" s="26">
        <v>73</v>
      </c>
      <c r="J196" s="26" t="str">
        <f t="shared" si="274"/>
        <v/>
      </c>
      <c r="N196" t="str">
        <f t="shared" si="291"/>
        <v/>
      </c>
      <c r="Q196" t="str">
        <f t="shared" si="285"/>
        <v/>
      </c>
      <c r="S196">
        <f>IF(A196=1,MAX($S$2:$S195)+1,IF(OR($I196&lt;&gt;"",A196="x"),$S195,""))</f>
        <v>104</v>
      </c>
      <c r="T196">
        <f>IF(D196=1,MAX($T$2:$T195)+1,IF(S196=S195,$T195,IF(D196="x",T195,IF(D195="x","",""))))</f>
        <v>17</v>
      </c>
      <c r="U196" t="str">
        <f>IF(B196=1,MAX($U$2:$U195)+1,IF(AND($T196&lt;&gt;"",$T196=$T195),$U195,IF(B196="x",U195,"")))</f>
        <v/>
      </c>
      <c r="V196" t="str">
        <f>IF(C196=1,MAX($V$2:$V195)+1,IF(AND($T196&lt;&gt;"",$T196=$T195),$U195,IF(C196="x",V195,"")))</f>
        <v/>
      </c>
      <c r="W196" t="str" cm="1">
        <f t="array" ref="W196">IFERROR(_xlfn._xlws.FILTER(game_rosters!AC:AC,(game_rosters!J:J=events!X196)*(K196&lt;&gt;"")),"")</f>
        <v/>
      </c>
      <c r="X196" cm="1">
        <f t="array" ref="X196">IF($I196&lt;&gt;"",$I196,INDEX($I$1:$I196,ROW()-COUNTIFS($T$1:$T196,"="&amp;$T196,$S$1:$S196,"&lt;"&amp;$S196)))</f>
        <v>73</v>
      </c>
      <c r="Y196" cm="1">
        <f t="array" ref="Y196">IFERROR(IF(_xlfn._xlws.FILTER(game_rosters!$J:$J,(game_rosters!$G:$G=events!$AM196)*(game_rosters!$J:$J=events!$X196))&gt;0,1,""),"")</f>
        <v>1</v>
      </c>
      <c r="Z196" s="6">
        <f t="shared" si="248"/>
        <v>1</v>
      </c>
      <c r="AA196">
        <f t="shared" si="249"/>
        <v>1104</v>
      </c>
      <c r="AB196">
        <f t="shared" si="250"/>
        <v>9017</v>
      </c>
      <c r="AC196">
        <f t="shared" si="251"/>
        <v>9017</v>
      </c>
      <c r="AD196" t="str">
        <f t="shared" si="252"/>
        <v>14</v>
      </c>
      <c r="AE196" t="str">
        <f t="shared" si="253"/>
        <v>55</v>
      </c>
      <c r="AF196" t="str">
        <f t="shared" si="254"/>
        <v/>
      </c>
      <c r="AG196" t="str">
        <f t="shared" si="255"/>
        <v/>
      </c>
      <c r="AH196" t="str">
        <f t="shared" si="298"/>
        <v>e</v>
      </c>
      <c r="AI196" t="str">
        <f t="shared" si="340"/>
        <v/>
      </c>
      <c r="AJ196" t="str">
        <f t="shared" si="340"/>
        <v/>
      </c>
      <c r="AK196" t="str">
        <f t="shared" si="300"/>
        <v/>
      </c>
      <c r="AL196" t="str">
        <f t="shared" si="301"/>
        <v/>
      </c>
      <c r="AM196" t="str">
        <f t="shared" si="256"/>
        <v>Home</v>
      </c>
      <c r="AN196" t="str">
        <f t="shared" si="302"/>
        <v>h</v>
      </c>
      <c r="AO196" t="str">
        <f t="shared" si="303"/>
        <v/>
      </c>
      <c r="AP196" t="str">
        <f t="shared" si="304"/>
        <v/>
      </c>
      <c r="AQ196" t="str">
        <f>IF(AM196&lt;&gt;"",AM196,IF($AC196=#REF!,#REF!,""))</f>
        <v>Home</v>
      </c>
      <c r="AR196" t="str">
        <f t="shared" si="305"/>
        <v>h</v>
      </c>
      <c r="AS196" t="str">
        <f t="shared" si="306"/>
        <v>Offensive</v>
      </c>
      <c r="AT196" t="str">
        <f t="shared" si="257"/>
        <v/>
      </c>
      <c r="AU196" t="str">
        <f t="shared" si="258"/>
        <v/>
      </c>
      <c r="AV196" t="str" cm="1">
        <f t="array" ref="AV196">IFERROR(IF(O196&lt;&gt;"",O196,IF(OR($S196="",$T196=""),"",IF(O196&lt;&gt;"",O196,IF($T196&lt;&gt;"",_xlfn._xlws.FILTER(O:O,($BT:$BT=$BT196)*($I:$I=$I196)*($T:$T=$T196)*($S:$S=_xlfn.MINIFS($S:$S,$T:$T,"="&amp;$T196)),"")))))&amp;"",IF(O196="","",""))&amp;""</f>
        <v/>
      </c>
      <c r="AW196" t="str" cm="1">
        <f t="array" ref="AW196">IFERROR(IF(P196&lt;&gt;"",P196,IF(OR($S196="",$T196=""),"",IF($T196&lt;&gt;"",_xlfn._xlws.FILTER(P:P,($BT:$BT=$BT196)*($I:$I=$I196)*($T:$T=$T196)*($S:$S=_xlfn.MINIFS($S:$S,$T:$T,"="&amp;$T196)),""))))&amp;"",IF(P196="","",""))&amp;""</f>
        <v/>
      </c>
      <c r="AX196" t="str" cm="1">
        <f t="array" ref="AX196">IFERROR(IF(Q196&lt;&gt;"",Q196,IF(OR($S196="",$T196=""),"",IF($T196&lt;&gt;"",_xlfn._xlws.FILTER(Q:Q,($BT:$BT=$BT196)*($I:$I=$I196)*($T:$T=$T196)*($S:$S=_xlfn.MINIFS($S:$S,$T:$T,"="&amp;$T196)),""))))&amp;"",IF(Q196="","",""))&amp;""</f>
        <v/>
      </c>
      <c r="AY196" t="str" cm="1">
        <f t="array" ref="AY196">IFERROR(IF(R196&lt;&gt;"",R196,IF(OR($S196="",$T196=""),"",IF($T196&lt;&gt;"",_xlfn._xlws.FILTER(R:R,($BT:$BT=$BT196)*($I:$I=$I196)*($T:$T=$T196)*($S:$S=_xlfn.MINIFS($S:$S,$T:$T,"="&amp;$T196)),""))))&amp;"",IF(R196="","",""))&amp;""</f>
        <v/>
      </c>
      <c r="AZ196" s="6">
        <f t="shared" si="259"/>
        <v>20</v>
      </c>
      <c r="BA196">
        <f t="shared" ref="BA196:BC196" si="350">BA195</f>
        <v>18991</v>
      </c>
      <c r="BB196" t="str">
        <f t="shared" si="350"/>
        <v>Triple J</v>
      </c>
      <c r="BC196" t="str">
        <f t="shared" si="350"/>
        <v>Velodrome</v>
      </c>
      <c r="BD196" t="str">
        <f t="shared" si="261"/>
        <v>Pass</v>
      </c>
      <c r="BE196" t="str">
        <f t="shared" si="262"/>
        <v>Pass_Intercepted</v>
      </c>
      <c r="BF196" t="str">
        <f t="shared" si="263"/>
        <v>Pass-Forehand</v>
      </c>
      <c r="BG196" t="str">
        <f t="shared" si="22"/>
        <v>u</v>
      </c>
      <c r="BH196" cm="1">
        <f t="array" aca="1" ref="BH196" ca="1">IFERROR(_xlfn._xlws.FILTER(shifts!A:A,(shifts!B:B=events!Z196)*(shifts!AG:AG&gt;=events!BJ196)*(shifts!AH:AH&lt;=events!BK196)),BH195)</f>
        <v>8</v>
      </c>
      <c r="BI196" s="15">
        <f t="shared" si="264"/>
        <v>0</v>
      </c>
      <c r="BJ196">
        <f t="shared" si="265"/>
        <v>895</v>
      </c>
      <c r="BK196">
        <f t="shared" si="266"/>
        <v>895</v>
      </c>
      <c r="BL196" s="15">
        <f>SUMIFS(BI$2:BI196,K$2:K196,"=Intermission")+SUMIFS(BI$2:BI196,K$2:K196,"=Timeout")</f>
        <v>0</v>
      </c>
      <c r="BM196">
        <f t="shared" si="267"/>
        <v>0</v>
      </c>
      <c r="BN196" s="19">
        <f t="shared" si="268"/>
        <v>185</v>
      </c>
      <c r="BO196">
        <f t="shared" si="269"/>
        <v>180</v>
      </c>
      <c r="BP196" s="17">
        <f t="shared" si="270"/>
        <v>185</v>
      </c>
      <c r="BQ196" t="str">
        <f t="shared" si="271"/>
        <v>event_team_player_2</v>
      </c>
      <c r="BR196">
        <f>COUNTIFS(S$3:S196,"="&amp;S196,AH$3:AH196,"="&amp;AH196)</f>
        <v>2</v>
      </c>
      <c r="BS196" t="str">
        <f>IFERROR(VLOOKUP(BA196&amp;BT196&amp;X196,game_rosters!U:W,3,FALSE),"")</f>
        <v>P100021</v>
      </c>
      <c r="BT196" t="str">
        <f t="shared" si="272"/>
        <v>Triple J</v>
      </c>
    </row>
    <row r="197" spans="1:72" x14ac:dyDescent="0.2">
      <c r="A197" t="str">
        <f t="shared" ref="A197:A260" si="351">IF(K197&lt;&gt;"",1,IF(D197="x","x",""))</f>
        <v>x</v>
      </c>
      <c r="D197" s="26" t="s">
        <v>729</v>
      </c>
      <c r="E197" s="4"/>
      <c r="F197" s="45"/>
      <c r="G197" s="4"/>
      <c r="H197" s="47"/>
      <c r="I197" s="26">
        <v>70</v>
      </c>
      <c r="J197" s="26" t="str">
        <f t="shared" si="274"/>
        <v/>
      </c>
      <c r="N197" t="str">
        <f t="shared" si="291"/>
        <v/>
      </c>
      <c r="O197" t="s">
        <v>557</v>
      </c>
      <c r="Q197" t="s">
        <v>595</v>
      </c>
      <c r="S197">
        <f>IF(A197=1,MAX($S$2:$S196)+1,IF(OR($I197&lt;&gt;"",A197="x"),$S196,""))</f>
        <v>104</v>
      </c>
      <c r="T197">
        <f>IF(D197=1,MAX($T$2:$T196)+1,IF(S197=S196,$T196,IF(D197="x",T196,IF(D196="x","",""))))</f>
        <v>17</v>
      </c>
      <c r="U197" t="str">
        <f>IF(B197=1,MAX($U$2:$U196)+1,IF(AND($T197&lt;&gt;"",$T197=$T196),$U196,IF(B197="x",U196,"")))</f>
        <v/>
      </c>
      <c r="V197" t="str">
        <f>IF(C197=1,MAX($V$2:$V196)+1,IF(AND($T197&lt;&gt;"",$T197=$T196),$U196,IF(C197="x",V196,"")))</f>
        <v/>
      </c>
      <c r="W197" t="str" cm="1">
        <f t="array" ref="W197">IFERROR(_xlfn._xlws.FILTER(game_rosters!AC:AC,(game_rosters!J:J=events!X197)*(K197&lt;&gt;"")),"")</f>
        <v/>
      </c>
      <c r="X197" cm="1">
        <f t="array" ref="X197">IF($I197&lt;&gt;"",$I197,INDEX($I$1:$I197,ROW()-COUNTIFS($T$1:$T197,"="&amp;$T197,$S$1:$S197,"&lt;"&amp;$S197)))</f>
        <v>70</v>
      </c>
      <c r="Y197" t="str" cm="1">
        <f t="array" ref="Y197">IFERROR(IF(_xlfn._xlws.FILTER(game_rosters!$J:$J,(game_rosters!$G:$G=events!$AM197)*(game_rosters!$J:$J=events!$X197))&gt;0,1,""),"")</f>
        <v/>
      </c>
      <c r="Z197" s="6">
        <f t="shared" ref="Z197:Z260" si="352">IF(K197="Intermission",Z196+1,Z196)</f>
        <v>1</v>
      </c>
      <c r="AA197">
        <f t="shared" ref="AA197:AA260" si="353">S197+1000</f>
        <v>1104</v>
      </c>
      <c r="AB197">
        <f t="shared" ref="AB197:AB260" si="354">IF(T197&lt;&gt;"",9000+T197,"")</f>
        <v>9017</v>
      </c>
      <c r="AC197">
        <f t="shared" ref="AC197:AC260" si="355">IF(AB197&lt;&gt;"",AB197,S197+1000)</f>
        <v>9017</v>
      </c>
      <c r="AD197" t="str">
        <f t="shared" ref="AD197:AD260" si="356">IF(E197&lt;&gt;"",E197,IF($AC197=$AC196,AD196,IF(AF196&lt;&gt;"",AF196,IF(AD196&lt;&gt;"",AD196,""))))</f>
        <v>14</v>
      </c>
      <c r="AE197" t="str">
        <f t="shared" ref="AE197:AE260" si="357">IF(F197&lt;&gt;"",F197,IF($AC197=$AC196,AE196,IF(AG196&lt;&gt;"",AG196,IF(AE196&lt;&gt;"",AE196,""))))</f>
        <v>55</v>
      </c>
      <c r="AF197" t="str">
        <f t="shared" ref="AF197:AF260" si="358">IF(G197&lt;&gt;"",G197,IF($AC197=$AC196,AF196,IF(H197="","",AD197)))</f>
        <v/>
      </c>
      <c r="AG197" t="str">
        <f t="shared" ref="AG197:AG260" si="359">IF(H197&lt;&gt;"",H197,IF($S197=$S196,AG196,""))</f>
        <v/>
      </c>
      <c r="AH197" t="str">
        <f t="shared" si="298"/>
        <v>o</v>
      </c>
      <c r="AI197" t="str">
        <f t="shared" si="340"/>
        <v/>
      </c>
      <c r="AJ197" t="str">
        <f t="shared" si="340"/>
        <v/>
      </c>
      <c r="AK197" t="str">
        <f t="shared" si="300"/>
        <v/>
      </c>
      <c r="AL197" t="str">
        <f t="shared" si="301"/>
        <v/>
      </c>
      <c r="AM197" t="str">
        <f t="shared" ref="AM197:AM260" si="360">IF(AN197="H","Home",IF(AN197="A","Away",""))</f>
        <v>Home</v>
      </c>
      <c r="AN197" t="str">
        <f t="shared" si="302"/>
        <v>h</v>
      </c>
      <c r="AO197" t="str">
        <f t="shared" si="303"/>
        <v/>
      </c>
      <c r="AP197" t="str">
        <f t="shared" si="304"/>
        <v/>
      </c>
      <c r="AQ197" t="str">
        <f>IF(AM197&lt;&gt;"",AM197,IF($AC197=#REF!,#REF!,""))</f>
        <v>Home</v>
      </c>
      <c r="AR197" t="str">
        <f t="shared" si="305"/>
        <v>h</v>
      </c>
      <c r="AS197" t="str">
        <f t="shared" si="306"/>
        <v>Defensive</v>
      </c>
      <c r="AT197" t="str">
        <f t="shared" ref="AT197:AT260" si="361">IF(U197&lt;&gt;"",U197+5000,"")</f>
        <v/>
      </c>
      <c r="AU197" t="str">
        <f t="shared" ref="AU197:AU260" si="362">IF(V197&lt;&gt;"",V197+6000,"")</f>
        <v/>
      </c>
      <c r="AV197" t="str" cm="1">
        <f t="array" ref="AV197">IFERROR(IF(O197&lt;&gt;"",O197,IF(OR($S197="",$T197=""),"",IF(O197&lt;&gt;"",O197,IF($T197&lt;&gt;"",_xlfn._xlws.FILTER(O:O,($BT:$BT=$BT197)*($I:$I=$I197)*($T:$T=$T197)*($S:$S=_xlfn.MINIFS($S:$S,$T:$T,"="&amp;$T197)),"")))))&amp;"",IF(O197="","",""))&amp;""</f>
        <v>PassIntercepted</v>
      </c>
      <c r="AW197" t="str" cm="1">
        <f t="array" ref="AW197">IFERROR(IF(P197&lt;&gt;"",P197,IF(OR($S197="",$T197=""),"",IF($T197&lt;&gt;"",_xlfn._xlws.FILTER(P:P,($BT:$BT=$BT197)*($I:$I=$I197)*($T:$T=$T197)*($S:$S=_xlfn.MINIFS($S:$S,$T:$T,"="&amp;$T197)),""))))&amp;"",IF(P197="","",""))&amp;""</f>
        <v/>
      </c>
      <c r="AX197" t="str" cm="1">
        <f t="array" ref="AX197">IFERROR(IF(Q197&lt;&gt;"",Q197,IF(OR($S197="",$T197=""),"",IF($T197&lt;&gt;"",_xlfn._xlws.FILTER(Q:Q,($BT:$BT=$BT197)*($I:$I=$I197)*($T:$T=$T197)*($S:$S=_xlfn.MINIFS($S:$S,$T:$T,"="&amp;$T197)),""))))&amp;"",IF(Q197="","",""))&amp;""</f>
        <v>s</v>
      </c>
      <c r="AY197" t="str" cm="1">
        <f t="array" ref="AY197">IFERROR(IF(R197&lt;&gt;"",R197,IF(OR($S197="",$T197=""),"",IF($T197&lt;&gt;"",_xlfn._xlws.FILTER(R:R,($BT:$BT=$BT197)*($I:$I=$I197)*($T:$T=$T197)*($S:$S=_xlfn.MINIFS($S:$S,$T:$T,"="&amp;$T197)),""))))&amp;"",IF(R197="","",""))&amp;""</f>
        <v/>
      </c>
      <c r="AZ197" s="6">
        <f t="shared" ref="AZ197:AZ260" si="363">IF(OR(L197="Zone_Entry",L197="Zone_Exit"),AZ196+1,AZ196)</f>
        <v>20</v>
      </c>
      <c r="BA197">
        <f t="shared" ref="BA197:BC197" si="364">BA196</f>
        <v>18991</v>
      </c>
      <c r="BB197" t="str">
        <f t="shared" si="364"/>
        <v>Triple J</v>
      </c>
      <c r="BC197" t="str">
        <f t="shared" si="364"/>
        <v>Velodrome</v>
      </c>
      <c r="BD197" t="str">
        <f t="shared" ref="BD197:BD260" si="365">IF($K197&lt;&gt;"",$K197,IF($S197=$S196,BD196,""))</f>
        <v>Pass</v>
      </c>
      <c r="BE197" t="str">
        <f t="shared" ref="BE197:BE260" si="366">IF(L197&lt;&gt;"",L197,IF($S197=$S196,BE196,""))</f>
        <v>Pass_Intercepted</v>
      </c>
      <c r="BF197" t="str">
        <f t="shared" ref="BF197:BF260" si="367">IF(M197&lt;&gt;"",M197,IF($S197=$S196,BF196,""))</f>
        <v>Pass-Forehand</v>
      </c>
      <c r="BG197" t="str">
        <f t="shared" si="22"/>
        <v>u</v>
      </c>
      <c r="BH197" cm="1">
        <f t="array" aca="1" ref="BH197" ca="1">IFERROR(_xlfn._xlws.FILTER(shifts!A:A,(shifts!B:B=events!Z197)*(shifts!AG:AG&gt;=events!BJ197)*(shifts!AH:AH&lt;=events!BK197)),BH196)</f>
        <v>8</v>
      </c>
      <c r="BI197" s="15">
        <f t="shared" ref="BI197:BI260" si="368">IF(AND(AF197="",AG197=""),0,((AD197*60)+AE197)-((AF197*60)+AG197))</f>
        <v>0</v>
      </c>
      <c r="BJ197">
        <f t="shared" ref="BJ197:BJ260" si="369">(AD197*60)+AE197</f>
        <v>895</v>
      </c>
      <c r="BK197">
        <f t="shared" ref="BK197:BK260" si="370">IF(AND(AF197="",AG197=""),BJ197,((AF197*60)+AG197))</f>
        <v>895</v>
      </c>
      <c r="BL197" s="15">
        <f>SUMIFS(BI$2:BI197,K$2:K197,"=Intermission")+SUMIFS(BI$2:BI197,K$2:K197,"=Timeout")</f>
        <v>0</v>
      </c>
      <c r="BM197">
        <f t="shared" ref="BM197:BM260" si="371">IF(Z197=1,0,IF(Z197=2,1080+BL197,IF(Z197=3,(1080*2)+BL197,0)))</f>
        <v>0</v>
      </c>
      <c r="BN197" s="19">
        <f t="shared" ref="BN197:BN260" si="372">IF(K197="Intermission",BN196,((1080)-((AD197*60)+AE197))+BM197)</f>
        <v>185</v>
      </c>
      <c r="BO197">
        <f t="shared" ref="BO197:BO260" si="373">IF(BN197&lt;5,0,BN197-5)</f>
        <v>180</v>
      </c>
      <c r="BP197" s="17">
        <f t="shared" ref="BP197:BP260" si="374">BO197+BI197+5</f>
        <v>185</v>
      </c>
      <c r="BQ197" t="str">
        <f t="shared" ref="BQ197:BQ260" si="375">IF(AH197="e","event_team_player_"&amp;BR197,IF(AH197="o","opp_team_player_"&amp;BR197,""))</f>
        <v>opp_team_player_1</v>
      </c>
      <c r="BR197">
        <f>COUNTIFS(S$3:S197,"="&amp;S197,AH$3:AH197,"="&amp;AH197)</f>
        <v>1</v>
      </c>
      <c r="BS197" t="str">
        <f>IFERROR(VLOOKUP(BA197&amp;BT197&amp;X197,game_rosters!U:W,3,FALSE),"")</f>
        <v>P100001</v>
      </c>
      <c r="BT197" t="str">
        <f t="shared" ref="BT197:BT260" si="376">IF(AQ197="","",IF(AND(AQ197="Away",AH197="e"),BC197,IF(AND(AQ197="Home",AH197="e"),BB197,IF(AND(AQ197="Away",AH197="o"),BB197,IF(AND(AQ197="Home",AH197="o"),BC197)))))</f>
        <v>Velodrome</v>
      </c>
    </row>
    <row r="198" spans="1:72" x14ac:dyDescent="0.2">
      <c r="A198">
        <f t="shared" si="351"/>
        <v>1</v>
      </c>
      <c r="D198" s="26" t="s">
        <v>729</v>
      </c>
      <c r="E198" s="4"/>
      <c r="F198" s="45"/>
      <c r="G198" s="4"/>
      <c r="H198" s="47"/>
      <c r="J198" s="26" t="str">
        <f t="shared" ref="J198:J260" si="377">IF(OR(K198="Goal",K198="Shot",L198="Zone_Entry",M198="Stoppage-Goal",M197="Stoppage-Goal"),"o",IF(OR(K198="Save",K198="Rebound",L198="Zone_Exit",M198="Stoppage-GoalieStoppage",M197="Stoppage-GoalieStoppage"),"d",IF(OR(L198="Faceoff_AfterGoal",L198="Faceoff_PeriodStart",698="Faceoff_GameStart",M197="Stoppage-Goal"),"n","")))</f>
        <v>d</v>
      </c>
      <c r="K198" t="s">
        <v>238</v>
      </c>
      <c r="L198" t="s">
        <v>184</v>
      </c>
      <c r="M198" t="s">
        <v>376</v>
      </c>
      <c r="N198" t="str">
        <f t="shared" si="291"/>
        <v>u</v>
      </c>
      <c r="Q198" t="str">
        <f t="shared" si="285"/>
        <v/>
      </c>
      <c r="S198">
        <f>IF(A198=1,MAX($S$2:$S197)+1,IF(OR($I198&lt;&gt;"",A198="x"),$S197,""))</f>
        <v>105</v>
      </c>
      <c r="T198">
        <f>IF(D198=1,MAX($T$2:$T197)+1,IF(S198=S197,$T197,IF(D198="x",T197,IF(D197="x","",""))))</f>
        <v>17</v>
      </c>
      <c r="U198" t="str">
        <f>IF(B198=1,MAX($U$2:$U197)+1,IF(AND($T198&lt;&gt;"",$T198=$T197),$U197,IF(B198="x",U197,"")))</f>
        <v/>
      </c>
      <c r="V198" t="str">
        <f>IF(C198=1,MAX($V$2:$V197)+1,IF(AND($T198&lt;&gt;"",$T198=$T197),$U197,IF(C198="x",V197,"")))</f>
        <v/>
      </c>
      <c r="W198" t="str" cm="1">
        <f t="array" ref="W198">IFERROR(_xlfn._xlws.FILTER(game_rosters!AC:AC,(game_rosters!J:J=events!X198)*(K198&lt;&gt;"")),"")</f>
        <v>h</v>
      </c>
      <c r="X198" cm="1">
        <f t="array" ref="X198">IF($I198&lt;&gt;"",$I198,INDEX($I$1:$I198,ROW()-COUNTIFS($T$1:$T198,"="&amp;$T198,$S$1:$S198,"&lt;"&amp;$S198)))</f>
        <v>41</v>
      </c>
      <c r="Y198" cm="1">
        <f t="array" ref="Y198">IFERROR(IF(_xlfn._xlws.FILTER(game_rosters!$J:$J,(game_rosters!$G:$G=events!$AM198)*(game_rosters!$J:$J=events!$X198))&gt;0,1,""),"")</f>
        <v>1</v>
      </c>
      <c r="Z198" s="6">
        <f t="shared" si="352"/>
        <v>1</v>
      </c>
      <c r="AA198">
        <f t="shared" si="353"/>
        <v>1105</v>
      </c>
      <c r="AB198">
        <f t="shared" si="354"/>
        <v>9017</v>
      </c>
      <c r="AC198">
        <f t="shared" si="355"/>
        <v>9017</v>
      </c>
      <c r="AD198" t="str">
        <f t="shared" si="356"/>
        <v>14</v>
      </c>
      <c r="AE198" t="str">
        <f t="shared" si="357"/>
        <v>55</v>
      </c>
      <c r="AF198" t="str">
        <f t="shared" si="358"/>
        <v/>
      </c>
      <c r="AG198" t="str">
        <f t="shared" si="359"/>
        <v/>
      </c>
      <c r="AH198" t="str">
        <f t="shared" si="298"/>
        <v>e</v>
      </c>
      <c r="AI198" t="str">
        <f t="shared" si="340"/>
        <v>d</v>
      </c>
      <c r="AJ198" t="str">
        <f t="shared" si="340"/>
        <v>d</v>
      </c>
      <c r="AK198" t="str">
        <f t="shared" si="300"/>
        <v>d</v>
      </c>
      <c r="AL198" t="str">
        <f t="shared" si="301"/>
        <v>o</v>
      </c>
      <c r="AM198" t="str">
        <f t="shared" si="360"/>
        <v>Home</v>
      </c>
      <c r="AN198" t="str">
        <f t="shared" si="302"/>
        <v>h</v>
      </c>
      <c r="AO198" t="str">
        <f t="shared" si="303"/>
        <v>d</v>
      </c>
      <c r="AP198" t="str">
        <f t="shared" si="304"/>
        <v>o</v>
      </c>
      <c r="AQ198" t="str">
        <f>IF(AM198&lt;&gt;"",AM198,IF($AC198=#REF!,#REF!,""))</f>
        <v>Home</v>
      </c>
      <c r="AR198" t="str">
        <f t="shared" si="305"/>
        <v>h</v>
      </c>
      <c r="AS198" t="str">
        <f t="shared" si="306"/>
        <v>Offensive</v>
      </c>
      <c r="AT198" t="str">
        <f t="shared" si="361"/>
        <v/>
      </c>
      <c r="AU198" t="str">
        <f t="shared" si="362"/>
        <v/>
      </c>
      <c r="AV198" t="str" cm="1">
        <f t="array" ref="AV198">IFERROR(IF(O198&lt;&gt;"",O198,IF(OR($S198="",$T198=""),"",IF(O198&lt;&gt;"",O198,IF($T198&lt;&gt;"",_xlfn._xlws.FILTER(O:O,($BT:$BT=$BT198)*($I:$I=$I198)*($T:$T=$T198)*($S:$S=_xlfn.MINIFS($S:$S,$T:$T,"="&amp;$T198)),"")))))&amp;"",IF(O198="","",""))&amp;""</f>
        <v/>
      </c>
      <c r="AW198" t="str" cm="1">
        <f t="array" ref="AW198">IFERROR(IF(P198&lt;&gt;"",P198,IF(OR($S198="",$T198=""),"",IF($T198&lt;&gt;"",_xlfn._xlws.FILTER(P:P,($BT:$BT=$BT198)*($I:$I=$I198)*($T:$T=$T198)*($S:$S=_xlfn.MINIFS($S:$S,$T:$T,"="&amp;$T198)),""))))&amp;"",IF(P198="","",""))&amp;""</f>
        <v/>
      </c>
      <c r="AX198" t="str" cm="1">
        <f t="array" ref="AX198">IFERROR(IF(Q198&lt;&gt;"",Q198,IF(OR($S198="",$T198=""),"",IF($T198&lt;&gt;"",_xlfn._xlws.FILTER(Q:Q,($BT:$BT=$BT198)*($I:$I=$I198)*($T:$T=$T198)*($S:$S=_xlfn.MINIFS($S:$S,$T:$T,"="&amp;$T198)),""))))&amp;"",IF(Q198="","",""))&amp;""</f>
        <v/>
      </c>
      <c r="AY198" t="str" cm="1">
        <f t="array" ref="AY198">IFERROR(IF(R198&lt;&gt;"",R198,IF(OR($S198="",$T198=""),"",IF($T198&lt;&gt;"",_xlfn._xlws.FILTER(R:R,($BT:$BT=$BT198)*($I:$I=$I198)*($T:$T=$T198)*($S:$S=_xlfn.MINIFS($S:$S,$T:$T,"="&amp;$T198)),""))))&amp;"",IF(R198="","",""))&amp;""</f>
        <v/>
      </c>
      <c r="AZ198" s="6">
        <f t="shared" si="363"/>
        <v>21</v>
      </c>
      <c r="BA198">
        <f t="shared" ref="BA198:BC198" si="378">BA197</f>
        <v>18991</v>
      </c>
      <c r="BB198" t="str">
        <f t="shared" si="378"/>
        <v>Triple J</v>
      </c>
      <c r="BC198" t="str">
        <f t="shared" si="378"/>
        <v>Velodrome</v>
      </c>
      <c r="BD198" t="str">
        <f t="shared" si="365"/>
        <v>Zone_Entry_Exit</v>
      </c>
      <c r="BE198" t="str">
        <f t="shared" si="366"/>
        <v>Zone_Exit</v>
      </c>
      <c r="BF198" t="str">
        <f t="shared" si="367"/>
        <v>ZoneExit-PassMiss/Misplay</v>
      </c>
      <c r="BG198" t="str">
        <f t="shared" si="22"/>
        <v>u</v>
      </c>
      <c r="BH198" cm="1">
        <f t="array" aca="1" ref="BH198" ca="1">IFERROR(_xlfn._xlws.FILTER(shifts!A:A,(shifts!B:B=events!Z198)*(shifts!AG:AG&gt;=events!BJ198)*(shifts!AH:AH&lt;=events!BK198)),BH197)</f>
        <v>8</v>
      </c>
      <c r="BI198" s="15">
        <f t="shared" si="368"/>
        <v>0</v>
      </c>
      <c r="BJ198">
        <f t="shared" si="369"/>
        <v>895</v>
      </c>
      <c r="BK198">
        <f t="shared" si="370"/>
        <v>895</v>
      </c>
      <c r="BL198" s="15">
        <f>SUMIFS(BI$2:BI198,K$2:K198,"=Intermission")+SUMIFS(BI$2:BI198,K$2:K198,"=Timeout")</f>
        <v>0</v>
      </c>
      <c r="BM198">
        <f t="shared" si="371"/>
        <v>0</v>
      </c>
      <c r="BN198" s="19">
        <f t="shared" si="372"/>
        <v>185</v>
      </c>
      <c r="BO198">
        <f t="shared" si="373"/>
        <v>180</v>
      </c>
      <c r="BP198" s="17">
        <f t="shared" si="374"/>
        <v>185</v>
      </c>
      <c r="BQ198" t="str">
        <f t="shared" si="375"/>
        <v>event_team_player_1</v>
      </c>
      <c r="BR198">
        <f>COUNTIFS(S$3:S198,"="&amp;S198,AH$3:AH198,"="&amp;AH198)</f>
        <v>1</v>
      </c>
      <c r="BS198" t="str">
        <f>IFERROR(VLOOKUP(BA198&amp;BT198&amp;X198,game_rosters!U:W,3,FALSE),"")</f>
        <v>P100206</v>
      </c>
      <c r="BT198" t="str">
        <f t="shared" si="376"/>
        <v>Triple J</v>
      </c>
    </row>
    <row r="199" spans="1:72" x14ac:dyDescent="0.2">
      <c r="A199" t="str">
        <f t="shared" si="351"/>
        <v>x</v>
      </c>
      <c r="D199" s="26" t="s">
        <v>729</v>
      </c>
      <c r="E199" s="4"/>
      <c r="F199" s="45"/>
      <c r="G199" s="4"/>
      <c r="H199" s="47"/>
      <c r="J199" s="26" t="str">
        <f t="shared" si="377"/>
        <v/>
      </c>
      <c r="N199" t="str">
        <f t="shared" si="291"/>
        <v/>
      </c>
      <c r="Q199" t="str">
        <f t="shared" si="285"/>
        <v/>
      </c>
      <c r="S199">
        <f>IF(A199=1,MAX($S$2:$S198)+1,IF(OR($I199&lt;&gt;"",A199="x"),$S198,""))</f>
        <v>105</v>
      </c>
      <c r="T199">
        <f>IF(D199=1,MAX($T$2:$T198)+1,IF(S199=S198,$T198,IF(D199="x",T198,IF(D198="x","",""))))</f>
        <v>17</v>
      </c>
      <c r="U199" t="str">
        <f>IF(B199=1,MAX($U$2:$U198)+1,IF(AND($T199&lt;&gt;"",$T199=$T198),$U198,IF(B199="x",U198,"")))</f>
        <v/>
      </c>
      <c r="V199" t="str">
        <f>IF(C199=1,MAX($V$2:$V198)+1,IF(AND($T199&lt;&gt;"",$T199=$T198),$U198,IF(C199="x",V198,"")))</f>
        <v/>
      </c>
      <c r="W199" t="str" cm="1">
        <f t="array" ref="W199">IFERROR(_xlfn._xlws.FILTER(game_rosters!AC:AC,(game_rosters!J:J=events!X199)*(K199&lt;&gt;"")),"")</f>
        <v/>
      </c>
      <c r="X199" cm="1">
        <f t="array" ref="X199">IF($I199&lt;&gt;"",$I199,INDEX($I$1:$I199,ROW()-COUNTIFS($T$1:$T199,"="&amp;$T199,$S$1:$S199,"&lt;"&amp;$S199)))</f>
        <v>73</v>
      </c>
      <c r="Y199" cm="1">
        <f t="array" ref="Y199">IFERROR(IF(_xlfn._xlws.FILTER(game_rosters!$J:$J,(game_rosters!$G:$G=events!$AM199)*(game_rosters!$J:$J=events!$X199))&gt;0,1,""),"")</f>
        <v>1</v>
      </c>
      <c r="Z199" s="6">
        <f t="shared" si="352"/>
        <v>1</v>
      </c>
      <c r="AA199">
        <f t="shared" si="353"/>
        <v>1105</v>
      </c>
      <c r="AB199">
        <f t="shared" si="354"/>
        <v>9017</v>
      </c>
      <c r="AC199">
        <f t="shared" si="355"/>
        <v>9017</v>
      </c>
      <c r="AD199" t="str">
        <f t="shared" si="356"/>
        <v>14</v>
      </c>
      <c r="AE199" t="str">
        <f t="shared" si="357"/>
        <v>55</v>
      </c>
      <c r="AF199" t="str">
        <f t="shared" si="358"/>
        <v/>
      </c>
      <c r="AG199" t="str">
        <f t="shared" si="359"/>
        <v/>
      </c>
      <c r="AH199" t="str">
        <f t="shared" si="298"/>
        <v>e</v>
      </c>
      <c r="AI199" t="str">
        <f t="shared" si="340"/>
        <v>d</v>
      </c>
      <c r="AJ199" t="str">
        <f t="shared" si="340"/>
        <v>d</v>
      </c>
      <c r="AK199" t="str">
        <f t="shared" si="300"/>
        <v/>
      </c>
      <c r="AL199" t="str">
        <f t="shared" si="301"/>
        <v/>
      </c>
      <c r="AM199" t="str">
        <f t="shared" si="360"/>
        <v>Home</v>
      </c>
      <c r="AN199" t="str">
        <f t="shared" si="302"/>
        <v>h</v>
      </c>
      <c r="AO199" t="str">
        <f t="shared" si="303"/>
        <v>d</v>
      </c>
      <c r="AP199" t="str">
        <f t="shared" si="304"/>
        <v>o</v>
      </c>
      <c r="AQ199" t="str">
        <f>IF(AM199&lt;&gt;"",AM199,IF($AC199=#REF!,#REF!,""))</f>
        <v>Home</v>
      </c>
      <c r="AR199" t="str">
        <f t="shared" si="305"/>
        <v>h</v>
      </c>
      <c r="AS199" t="str">
        <f t="shared" si="306"/>
        <v>Offensive</v>
      </c>
      <c r="AT199" t="str">
        <f t="shared" si="361"/>
        <v/>
      </c>
      <c r="AU199" t="str">
        <f t="shared" si="362"/>
        <v/>
      </c>
      <c r="AV199" t="str" cm="1">
        <f t="array" ref="AV199">IFERROR(IF(O199&lt;&gt;"",O199,IF(OR($S199="",$T199=""),"",IF(O199&lt;&gt;"",O199,IF($T199&lt;&gt;"",_xlfn._xlws.FILTER(O:O,($BT:$BT=$BT199)*($I:$I=$I199)*($T:$T=$T199)*($S:$S=_xlfn.MINIFS($S:$S,$T:$T,"="&amp;$T199)),"")))))&amp;"",IF(O199="","",""))&amp;""</f>
        <v/>
      </c>
      <c r="AW199" t="str" cm="1">
        <f t="array" ref="AW199">IFERROR(IF(P199&lt;&gt;"",P199,IF(OR($S199="",$T199=""),"",IF($T199&lt;&gt;"",_xlfn._xlws.FILTER(P:P,($BT:$BT=$BT199)*($I:$I=$I199)*($T:$T=$T199)*($S:$S=_xlfn.MINIFS($S:$S,$T:$T,"="&amp;$T199)),""))))&amp;"",IF(P199="","",""))&amp;""</f>
        <v/>
      </c>
      <c r="AX199" t="str" cm="1">
        <f t="array" ref="AX199">IFERROR(IF(Q199&lt;&gt;"",Q199,IF(OR($S199="",$T199=""),"",IF($T199&lt;&gt;"",_xlfn._xlws.FILTER(Q:Q,($BT:$BT=$BT199)*($I:$I=$I199)*($T:$T=$T199)*($S:$S=_xlfn.MINIFS($S:$S,$T:$T,"="&amp;$T199)),""))))&amp;"",IF(Q199="","",""))&amp;""</f>
        <v/>
      </c>
      <c r="AY199" t="str" cm="1">
        <f t="array" ref="AY199">IFERROR(IF(R199&lt;&gt;"",R199,IF(OR($S199="",$T199=""),"",IF($T199&lt;&gt;"",_xlfn._xlws.FILTER(R:R,($BT:$BT=$BT199)*($I:$I=$I199)*($T:$T=$T199)*($S:$S=_xlfn.MINIFS($S:$S,$T:$T,"="&amp;$T199)),""))))&amp;"",IF(R199="","",""))&amp;""</f>
        <v/>
      </c>
      <c r="AZ199" s="6">
        <f t="shared" si="363"/>
        <v>21</v>
      </c>
      <c r="BA199">
        <f t="shared" ref="BA199:BC199" si="379">BA198</f>
        <v>18991</v>
      </c>
      <c r="BB199" t="str">
        <f t="shared" si="379"/>
        <v>Triple J</v>
      </c>
      <c r="BC199" t="str">
        <f t="shared" si="379"/>
        <v>Velodrome</v>
      </c>
      <c r="BD199" t="str">
        <f t="shared" si="365"/>
        <v>Zone_Entry_Exit</v>
      </c>
      <c r="BE199" t="str">
        <f t="shared" si="366"/>
        <v>Zone_Exit</v>
      </c>
      <c r="BF199" t="str">
        <f t="shared" si="367"/>
        <v>ZoneExit-PassMiss/Misplay</v>
      </c>
      <c r="BG199" t="str">
        <f t="shared" si="22"/>
        <v>u</v>
      </c>
      <c r="BH199" cm="1">
        <f t="array" aca="1" ref="BH199" ca="1">IFERROR(_xlfn._xlws.FILTER(shifts!A:A,(shifts!B:B=events!Z199)*(shifts!AG:AG&gt;=events!BJ199)*(shifts!AH:AH&lt;=events!BK199)),BH198)</f>
        <v>8</v>
      </c>
      <c r="BI199" s="15">
        <f t="shared" si="368"/>
        <v>0</v>
      </c>
      <c r="BJ199">
        <f t="shared" si="369"/>
        <v>895</v>
      </c>
      <c r="BK199">
        <f t="shared" si="370"/>
        <v>895</v>
      </c>
      <c r="BL199" s="15">
        <f>SUMIFS(BI$2:BI199,K$2:K199,"=Intermission")+SUMIFS(BI$2:BI199,K$2:K199,"=Timeout")</f>
        <v>0</v>
      </c>
      <c r="BM199">
        <f t="shared" si="371"/>
        <v>0</v>
      </c>
      <c r="BN199" s="19">
        <f t="shared" si="372"/>
        <v>185</v>
      </c>
      <c r="BO199">
        <f t="shared" si="373"/>
        <v>180</v>
      </c>
      <c r="BP199" s="17">
        <f t="shared" si="374"/>
        <v>185</v>
      </c>
      <c r="BQ199" t="str">
        <f t="shared" si="375"/>
        <v>event_team_player_2</v>
      </c>
      <c r="BR199">
        <f>COUNTIFS(S$3:S199,"="&amp;S199,AH$3:AH199,"="&amp;AH199)</f>
        <v>2</v>
      </c>
      <c r="BS199" t="str">
        <f>IFERROR(VLOOKUP(BA199&amp;BT199&amp;X199,game_rosters!U:W,3,FALSE),"")</f>
        <v>P100021</v>
      </c>
      <c r="BT199" t="str">
        <f t="shared" si="376"/>
        <v>Triple J</v>
      </c>
    </row>
    <row r="200" spans="1:72" x14ac:dyDescent="0.2">
      <c r="A200" t="str">
        <f t="shared" si="351"/>
        <v>x</v>
      </c>
      <c r="D200" s="26" t="s">
        <v>729</v>
      </c>
      <c r="E200" s="4"/>
      <c r="F200" s="45"/>
      <c r="G200" s="4"/>
      <c r="H200" s="47"/>
      <c r="J200" s="26" t="str">
        <f t="shared" si="377"/>
        <v/>
      </c>
      <c r="N200" t="str">
        <f t="shared" si="291"/>
        <v/>
      </c>
      <c r="Q200" t="str">
        <f t="shared" si="285"/>
        <v/>
      </c>
      <c r="S200">
        <f>IF(A200=1,MAX($S$2:$S199)+1,IF(OR($I200&lt;&gt;"",A200="x"),$S199,""))</f>
        <v>105</v>
      </c>
      <c r="T200">
        <f>IF(D200=1,MAX($T$2:$T199)+1,IF(S200=S199,$T199,IF(D200="x",T199,IF(D199="x","",""))))</f>
        <v>17</v>
      </c>
      <c r="U200" t="str">
        <f>IF(B200=1,MAX($U$2:$U199)+1,IF(AND($T200&lt;&gt;"",$T200=$T199),$U199,IF(B200="x",U199,"")))</f>
        <v/>
      </c>
      <c r="V200" t="str">
        <f>IF(C200=1,MAX($V$2:$V199)+1,IF(AND($T200&lt;&gt;"",$T200=$T199),$U199,IF(C200="x",V199,"")))</f>
        <v/>
      </c>
      <c r="W200" t="str" cm="1">
        <f t="array" ref="W200">IFERROR(_xlfn._xlws.FILTER(game_rosters!AC:AC,(game_rosters!J:J=events!X200)*(K200&lt;&gt;"")),"")</f>
        <v/>
      </c>
      <c r="X200" cm="1">
        <f t="array" ref="X200">IF($I200&lt;&gt;"",$I200,INDEX($I$1:$I200,ROW()-COUNTIFS($T$1:$T200,"="&amp;$T200,$S$1:$S200,"&lt;"&amp;$S200)))</f>
        <v>70</v>
      </c>
      <c r="Y200" t="str" cm="1">
        <f t="array" ref="Y200">IFERROR(IF(_xlfn._xlws.FILTER(game_rosters!$J:$J,(game_rosters!$G:$G=events!$AM200)*(game_rosters!$J:$J=events!$X200))&gt;0,1,""),"")</f>
        <v/>
      </c>
      <c r="Z200" s="6">
        <f t="shared" si="352"/>
        <v>1</v>
      </c>
      <c r="AA200">
        <f t="shared" si="353"/>
        <v>1105</v>
      </c>
      <c r="AB200">
        <f t="shared" si="354"/>
        <v>9017</v>
      </c>
      <c r="AC200">
        <f t="shared" si="355"/>
        <v>9017</v>
      </c>
      <c r="AD200" t="str">
        <f t="shared" si="356"/>
        <v>14</v>
      </c>
      <c r="AE200" t="str">
        <f t="shared" si="357"/>
        <v>55</v>
      </c>
      <c r="AF200" t="str">
        <f t="shared" si="358"/>
        <v/>
      </c>
      <c r="AG200" t="str">
        <f t="shared" si="359"/>
        <v/>
      </c>
      <c r="AH200" t="str">
        <f t="shared" si="298"/>
        <v>o</v>
      </c>
      <c r="AI200" t="str">
        <f t="shared" si="340"/>
        <v>d</v>
      </c>
      <c r="AJ200" t="str">
        <f t="shared" si="340"/>
        <v>d</v>
      </c>
      <c r="AK200" t="str">
        <f t="shared" si="300"/>
        <v/>
      </c>
      <c r="AL200" t="str">
        <f t="shared" si="301"/>
        <v/>
      </c>
      <c r="AM200" t="str">
        <f t="shared" si="360"/>
        <v>Home</v>
      </c>
      <c r="AN200" t="str">
        <f t="shared" si="302"/>
        <v>h</v>
      </c>
      <c r="AO200" t="str">
        <f t="shared" si="303"/>
        <v>d</v>
      </c>
      <c r="AP200" t="str">
        <f t="shared" si="304"/>
        <v>o</v>
      </c>
      <c r="AQ200" t="str">
        <f>IF(AM200&lt;&gt;"",AM200,IF($AC200=#REF!,#REF!,""))</f>
        <v>Home</v>
      </c>
      <c r="AR200" t="str">
        <f t="shared" si="305"/>
        <v>h</v>
      </c>
      <c r="AS200" t="str">
        <f t="shared" si="306"/>
        <v>Defensive</v>
      </c>
      <c r="AT200" t="str">
        <f t="shared" si="361"/>
        <v/>
      </c>
      <c r="AU200" t="str">
        <f t="shared" si="362"/>
        <v/>
      </c>
      <c r="AV200" t="str" cm="1">
        <f t="array" ref="AV200">IFERROR(IF(O200&lt;&gt;"",O200,IF(OR($S200="",$T200=""),"",IF(O200&lt;&gt;"",O200,IF($T200&lt;&gt;"",_xlfn._xlws.FILTER(O:O,($BT:$BT=$BT200)*($I:$I=$I200)*($T:$T=$T200)*($S:$S=_xlfn.MINIFS($S:$S,$T:$T,"="&amp;$T200)),"")))))&amp;"",IF(O200="","",""))&amp;""</f>
        <v/>
      </c>
      <c r="AW200" t="str" cm="1">
        <f t="array" ref="AW200">IFERROR(IF(P200&lt;&gt;"",P200,IF(OR($S200="",$T200=""),"",IF($T200&lt;&gt;"",_xlfn._xlws.FILTER(P:P,($BT:$BT=$BT200)*($I:$I=$I200)*($T:$T=$T200)*($S:$S=_xlfn.MINIFS($S:$S,$T:$T,"="&amp;$T200)),""))))&amp;"",IF(P200="","",""))&amp;""</f>
        <v/>
      </c>
      <c r="AX200" t="str" cm="1">
        <f t="array" ref="AX200">IFERROR(IF(Q200&lt;&gt;"",Q200,IF(OR($S200="",$T200=""),"",IF($T200&lt;&gt;"",_xlfn._xlws.FILTER(Q:Q,($BT:$BT=$BT200)*($I:$I=$I200)*($T:$T=$T200)*($S:$S=_xlfn.MINIFS($S:$S,$T:$T,"="&amp;$T200)),""))))&amp;"",IF(Q200="","",""))&amp;""</f>
        <v/>
      </c>
      <c r="AY200" t="str" cm="1">
        <f t="array" ref="AY200">IFERROR(IF(R200&lt;&gt;"",R200,IF(OR($S200="",$T200=""),"",IF($T200&lt;&gt;"",_xlfn._xlws.FILTER(R:R,($BT:$BT=$BT200)*($I:$I=$I200)*($T:$T=$T200)*($S:$S=_xlfn.MINIFS($S:$S,$T:$T,"="&amp;$T200)),""))))&amp;"",IF(R200="","",""))&amp;""</f>
        <v/>
      </c>
      <c r="AZ200" s="6">
        <f t="shared" si="363"/>
        <v>21</v>
      </c>
      <c r="BA200">
        <f t="shared" ref="BA200:BC200" si="380">BA199</f>
        <v>18991</v>
      </c>
      <c r="BB200" t="str">
        <f t="shared" si="380"/>
        <v>Triple J</v>
      </c>
      <c r="BC200" t="str">
        <f t="shared" si="380"/>
        <v>Velodrome</v>
      </c>
      <c r="BD200" t="str">
        <f t="shared" si="365"/>
        <v>Zone_Entry_Exit</v>
      </c>
      <c r="BE200" t="str">
        <f t="shared" si="366"/>
        <v>Zone_Exit</v>
      </c>
      <c r="BF200" t="str">
        <f t="shared" si="367"/>
        <v>ZoneExit-PassMiss/Misplay</v>
      </c>
      <c r="BG200" t="str">
        <f t="shared" si="22"/>
        <v>u</v>
      </c>
      <c r="BH200" cm="1">
        <f t="array" aca="1" ref="BH200" ca="1">IFERROR(_xlfn._xlws.FILTER(shifts!A:A,(shifts!B:B=events!Z200)*(shifts!AG:AG&gt;=events!BJ200)*(shifts!AH:AH&lt;=events!BK200)),BH199)</f>
        <v>8</v>
      </c>
      <c r="BI200" s="15">
        <f t="shared" si="368"/>
        <v>0</v>
      </c>
      <c r="BJ200">
        <f t="shared" si="369"/>
        <v>895</v>
      </c>
      <c r="BK200">
        <f t="shared" si="370"/>
        <v>895</v>
      </c>
      <c r="BL200" s="15">
        <f>SUMIFS(BI$2:BI200,K$2:K200,"=Intermission")+SUMIFS(BI$2:BI200,K$2:K200,"=Timeout")</f>
        <v>0</v>
      </c>
      <c r="BM200">
        <f t="shared" si="371"/>
        <v>0</v>
      </c>
      <c r="BN200" s="19">
        <f t="shared" si="372"/>
        <v>185</v>
      </c>
      <c r="BO200">
        <f t="shared" si="373"/>
        <v>180</v>
      </c>
      <c r="BP200" s="17">
        <f t="shared" si="374"/>
        <v>185</v>
      </c>
      <c r="BQ200" t="str">
        <f t="shared" si="375"/>
        <v>opp_team_player_1</v>
      </c>
      <c r="BR200">
        <f>COUNTIFS(S$3:S200,"="&amp;S200,AH$3:AH200,"="&amp;AH200)</f>
        <v>1</v>
      </c>
      <c r="BS200" t="str">
        <f>IFERROR(VLOOKUP(BA200&amp;BT200&amp;X200,game_rosters!U:W,3,FALSE),"")</f>
        <v>P100001</v>
      </c>
      <c r="BT200" t="str">
        <f t="shared" si="376"/>
        <v>Velodrome</v>
      </c>
    </row>
    <row r="201" spans="1:72" x14ac:dyDescent="0.2">
      <c r="A201">
        <f t="shared" si="351"/>
        <v>1</v>
      </c>
      <c r="D201" s="26" t="s">
        <v>729</v>
      </c>
      <c r="E201" s="4"/>
      <c r="F201" s="45"/>
      <c r="G201" s="4"/>
      <c r="H201" s="47"/>
      <c r="J201" s="26" t="str">
        <f t="shared" si="377"/>
        <v/>
      </c>
      <c r="K201" t="s">
        <v>9</v>
      </c>
      <c r="L201" t="s">
        <v>173</v>
      </c>
      <c r="M201" t="s">
        <v>73</v>
      </c>
      <c r="N201" t="str">
        <f t="shared" si="291"/>
        <v>u</v>
      </c>
      <c r="Q201" t="str">
        <f t="shared" si="285"/>
        <v/>
      </c>
      <c r="S201">
        <f>IF(A201=1,MAX($S$2:$S200)+1,IF(OR($I201&lt;&gt;"",A201="x"),$S200,""))</f>
        <v>106</v>
      </c>
      <c r="T201">
        <f>IF(D201=1,MAX($T$2:$T200)+1,IF(S201=S200,$T200,IF(D201="x",T200,IF(D200="x","",""))))</f>
        <v>17</v>
      </c>
      <c r="U201" t="str">
        <f>IF(B201=1,MAX($U$2:$U200)+1,IF(AND($T201&lt;&gt;"",$T201=$T200),$U200,IF(B201="x",U200,"")))</f>
        <v/>
      </c>
      <c r="V201" t="str">
        <f>IF(C201=1,MAX($V$2:$V200)+1,IF(AND($T201&lt;&gt;"",$T201=$T200),$U200,IF(C201="x",V200,"")))</f>
        <v/>
      </c>
      <c r="W201" t="str" cm="1">
        <f t="array" ref="W201">IFERROR(_xlfn._xlws.FILTER(game_rosters!AC:AC,(game_rosters!J:J=events!X201)*(K201&lt;&gt;"")),"")</f>
        <v>h</v>
      </c>
      <c r="X201" cm="1">
        <f t="array" ref="X201">IF($I201&lt;&gt;"",$I201,INDEX($I$1:$I201,ROW()-COUNTIFS($T$1:$T201,"="&amp;$T201,$S$1:$S201,"&lt;"&amp;$S201)))</f>
        <v>41</v>
      </c>
      <c r="Y201" cm="1">
        <f t="array" ref="Y201">IFERROR(IF(_xlfn._xlws.FILTER(game_rosters!$J:$J,(game_rosters!$G:$G=events!$AM201)*(game_rosters!$J:$J=events!$X201))&gt;0,1,""),"")</f>
        <v>1</v>
      </c>
      <c r="Z201" s="6">
        <f t="shared" si="352"/>
        <v>1</v>
      </c>
      <c r="AA201">
        <f t="shared" si="353"/>
        <v>1106</v>
      </c>
      <c r="AB201">
        <f t="shared" si="354"/>
        <v>9017</v>
      </c>
      <c r="AC201">
        <f t="shared" si="355"/>
        <v>9017</v>
      </c>
      <c r="AD201" t="str">
        <f t="shared" si="356"/>
        <v>14</v>
      </c>
      <c r="AE201" t="str">
        <f t="shared" si="357"/>
        <v>55</v>
      </c>
      <c r="AF201" t="str">
        <f t="shared" si="358"/>
        <v/>
      </c>
      <c r="AG201" t="str">
        <f t="shared" si="359"/>
        <v/>
      </c>
      <c r="AH201" t="str">
        <f t="shared" si="298"/>
        <v>e</v>
      </c>
      <c r="AI201" t="str">
        <f t="shared" si="340"/>
        <v>d</v>
      </c>
      <c r="AJ201" t="str">
        <f t="shared" si="340"/>
        <v>d</v>
      </c>
      <c r="AK201" t="str">
        <f t="shared" si="300"/>
        <v>d</v>
      </c>
      <c r="AL201" t="str">
        <f t="shared" si="301"/>
        <v/>
      </c>
      <c r="AM201" t="str">
        <f t="shared" si="360"/>
        <v>Home</v>
      </c>
      <c r="AN201" t="str">
        <f t="shared" si="302"/>
        <v>h</v>
      </c>
      <c r="AO201" t="str">
        <f t="shared" si="303"/>
        <v>d</v>
      </c>
      <c r="AP201" t="str">
        <f t="shared" si="304"/>
        <v>o</v>
      </c>
      <c r="AQ201" t="str">
        <f>IF(AM201&lt;&gt;"",AM201,IF($AC201=#REF!,#REF!,""))</f>
        <v>Home</v>
      </c>
      <c r="AR201" t="str">
        <f t="shared" si="305"/>
        <v>h</v>
      </c>
      <c r="AS201" t="str">
        <f t="shared" si="306"/>
        <v>Offensive</v>
      </c>
      <c r="AT201" t="str">
        <f t="shared" si="361"/>
        <v/>
      </c>
      <c r="AU201" t="str">
        <f t="shared" si="362"/>
        <v/>
      </c>
      <c r="AV201" t="str" cm="1">
        <f t="array" ref="AV201">IFERROR(IF(O201&lt;&gt;"",O201,IF(OR($S201="",$T201=""),"",IF(O201&lt;&gt;"",O201,IF($T201&lt;&gt;"",_xlfn._xlws.FILTER(O:O,($BT:$BT=$BT201)*($I:$I=$I201)*($T:$T=$T201)*($S:$S=_xlfn.MINIFS($S:$S,$T:$T,"="&amp;$T201)),"")))))&amp;"",IF(O201="","",""))&amp;""</f>
        <v/>
      </c>
      <c r="AW201" t="str" cm="1">
        <f t="array" ref="AW201">IFERROR(IF(P201&lt;&gt;"",P201,IF(OR($S201="",$T201=""),"",IF($T201&lt;&gt;"",_xlfn._xlws.FILTER(P:P,($BT:$BT=$BT201)*($I:$I=$I201)*($T:$T=$T201)*($S:$S=_xlfn.MINIFS($S:$S,$T:$T,"="&amp;$T201)),""))))&amp;"",IF(P201="","",""))&amp;""</f>
        <v/>
      </c>
      <c r="AX201" t="str" cm="1">
        <f t="array" ref="AX201">IFERROR(IF(Q201&lt;&gt;"",Q201,IF(OR($S201="",$T201=""),"",IF($T201&lt;&gt;"",_xlfn._xlws.FILTER(Q:Q,($BT:$BT=$BT201)*($I:$I=$I201)*($T:$T=$T201)*($S:$S=_xlfn.MINIFS($S:$S,$T:$T,"="&amp;$T201)),""))))&amp;"",IF(Q201="","",""))&amp;""</f>
        <v/>
      </c>
      <c r="AY201" t="str" cm="1">
        <f t="array" ref="AY201">IFERROR(IF(R201&lt;&gt;"",R201,IF(OR($S201="",$T201=""),"",IF($T201&lt;&gt;"",_xlfn._xlws.FILTER(R:R,($BT:$BT=$BT201)*($I:$I=$I201)*($T:$T=$T201)*($S:$S=_xlfn.MINIFS($S:$S,$T:$T,"="&amp;$T201)),""))))&amp;"",IF(R201="","",""))&amp;""</f>
        <v/>
      </c>
      <c r="AZ201" s="6">
        <f t="shared" si="363"/>
        <v>21</v>
      </c>
      <c r="BA201">
        <f t="shared" ref="BA201:BC201" si="381">BA200</f>
        <v>18991</v>
      </c>
      <c r="BB201" t="str">
        <f t="shared" si="381"/>
        <v>Triple J</v>
      </c>
      <c r="BC201" t="str">
        <f t="shared" si="381"/>
        <v>Velodrome</v>
      </c>
      <c r="BD201" t="str">
        <f t="shared" si="365"/>
        <v>Turnover</v>
      </c>
      <c r="BE201" t="str">
        <f t="shared" si="366"/>
        <v>Turnover_Giveaway</v>
      </c>
      <c r="BF201" t="str">
        <f t="shared" si="367"/>
        <v>Giveaway-PassIntercepted</v>
      </c>
      <c r="BG201" t="str">
        <f t="shared" si="22"/>
        <v>u</v>
      </c>
      <c r="BH201" cm="1">
        <f t="array" aca="1" ref="BH201" ca="1">IFERROR(_xlfn._xlws.FILTER(shifts!A:A,(shifts!B:B=events!Z201)*(shifts!AG:AG&gt;=events!BJ201)*(shifts!AH:AH&lt;=events!BK201)),BH200)</f>
        <v>8</v>
      </c>
      <c r="BI201" s="15">
        <f t="shared" si="368"/>
        <v>0</v>
      </c>
      <c r="BJ201">
        <f t="shared" si="369"/>
        <v>895</v>
      </c>
      <c r="BK201">
        <f t="shared" si="370"/>
        <v>895</v>
      </c>
      <c r="BL201" s="15">
        <f>SUMIFS(BI$2:BI201,K$2:K201,"=Intermission")+SUMIFS(BI$2:BI201,K$2:K201,"=Timeout")</f>
        <v>0</v>
      </c>
      <c r="BM201">
        <f t="shared" si="371"/>
        <v>0</v>
      </c>
      <c r="BN201" s="19">
        <f t="shared" si="372"/>
        <v>185</v>
      </c>
      <c r="BO201">
        <f t="shared" si="373"/>
        <v>180</v>
      </c>
      <c r="BP201" s="17">
        <f t="shared" si="374"/>
        <v>185</v>
      </c>
      <c r="BQ201" t="str">
        <f t="shared" si="375"/>
        <v>event_team_player_1</v>
      </c>
      <c r="BR201">
        <f>COUNTIFS(S$3:S201,"="&amp;S201,AH$3:AH201,"="&amp;AH201)</f>
        <v>1</v>
      </c>
      <c r="BS201" t="str">
        <f>IFERROR(VLOOKUP(BA201&amp;BT201&amp;X201,game_rosters!U:W,3,FALSE),"")</f>
        <v>P100206</v>
      </c>
      <c r="BT201" t="str">
        <f t="shared" si="376"/>
        <v>Triple J</v>
      </c>
    </row>
    <row r="202" spans="1:72" x14ac:dyDescent="0.2">
      <c r="A202" t="str">
        <f t="shared" si="351"/>
        <v>x</v>
      </c>
      <c r="D202" s="26" t="s">
        <v>729</v>
      </c>
      <c r="E202" s="4"/>
      <c r="F202" s="45"/>
      <c r="G202" s="4"/>
      <c r="H202" s="47"/>
      <c r="J202" s="26" t="str">
        <f t="shared" si="377"/>
        <v/>
      </c>
      <c r="N202" t="str">
        <f t="shared" si="291"/>
        <v/>
      </c>
      <c r="Q202" t="str">
        <f t="shared" si="285"/>
        <v/>
      </c>
      <c r="S202">
        <f>IF(A202=1,MAX($S$2:$S201)+1,IF(OR($I202&lt;&gt;"",A202="x"),$S201,""))</f>
        <v>106</v>
      </c>
      <c r="T202">
        <f>IF(D202=1,MAX($T$2:$T201)+1,IF(S202=S201,$T201,IF(D202="x",T201,IF(D201="x","",""))))</f>
        <v>17</v>
      </c>
      <c r="U202" t="str">
        <f>IF(B202=1,MAX($U$2:$U201)+1,IF(AND($T202&lt;&gt;"",$T202=$T201),$U201,IF(B202="x",U201,"")))</f>
        <v/>
      </c>
      <c r="V202" t="str">
        <f>IF(C202=1,MAX($V$2:$V201)+1,IF(AND($T202&lt;&gt;"",$T202=$T201),$U201,IF(C202="x",V201,"")))</f>
        <v/>
      </c>
      <c r="W202" t="str" cm="1">
        <f t="array" ref="W202">IFERROR(_xlfn._xlws.FILTER(game_rosters!AC:AC,(game_rosters!J:J=events!X202)*(K202&lt;&gt;"")),"")</f>
        <v/>
      </c>
      <c r="X202" cm="1">
        <f t="array" ref="X202">IF($I202&lt;&gt;"",$I202,INDEX($I$1:$I202,ROW()-COUNTIFS($T$1:$T202,"="&amp;$T202,$S$1:$S202,"&lt;"&amp;$S202)))</f>
        <v>73</v>
      </c>
      <c r="Y202" cm="1">
        <f t="array" ref="Y202">IFERROR(IF(_xlfn._xlws.FILTER(game_rosters!$J:$J,(game_rosters!$G:$G=events!$AM202)*(game_rosters!$J:$J=events!$X202))&gt;0,1,""),"")</f>
        <v>1</v>
      </c>
      <c r="Z202" s="6">
        <f t="shared" si="352"/>
        <v>1</v>
      </c>
      <c r="AA202">
        <f t="shared" si="353"/>
        <v>1106</v>
      </c>
      <c r="AB202">
        <f t="shared" si="354"/>
        <v>9017</v>
      </c>
      <c r="AC202">
        <f t="shared" si="355"/>
        <v>9017</v>
      </c>
      <c r="AD202" t="str">
        <f t="shared" si="356"/>
        <v>14</v>
      </c>
      <c r="AE202" t="str">
        <f t="shared" si="357"/>
        <v>55</v>
      </c>
      <c r="AF202" t="str">
        <f t="shared" si="358"/>
        <v/>
      </c>
      <c r="AG202" t="str">
        <f t="shared" si="359"/>
        <v/>
      </c>
      <c r="AH202" t="str">
        <f t="shared" si="298"/>
        <v>e</v>
      </c>
      <c r="AI202" t="str">
        <f t="shared" si="340"/>
        <v>d</v>
      </c>
      <c r="AJ202" t="str">
        <f t="shared" si="340"/>
        <v>d</v>
      </c>
      <c r="AK202" t="str">
        <f t="shared" si="300"/>
        <v/>
      </c>
      <c r="AL202" t="str">
        <f t="shared" si="301"/>
        <v/>
      </c>
      <c r="AM202" t="str">
        <f t="shared" si="360"/>
        <v>Home</v>
      </c>
      <c r="AN202" t="str">
        <f t="shared" si="302"/>
        <v>h</v>
      </c>
      <c r="AO202" t="str">
        <f t="shared" si="303"/>
        <v>d</v>
      </c>
      <c r="AP202" t="str">
        <f t="shared" si="304"/>
        <v>o</v>
      </c>
      <c r="AQ202" t="str">
        <f>IF(AM202&lt;&gt;"",AM202,IF($AC202=#REF!,#REF!,""))</f>
        <v>Home</v>
      </c>
      <c r="AR202" t="str">
        <f t="shared" si="305"/>
        <v>h</v>
      </c>
      <c r="AS202" t="str">
        <f t="shared" si="306"/>
        <v>Offensive</v>
      </c>
      <c r="AT202" t="str">
        <f t="shared" si="361"/>
        <v/>
      </c>
      <c r="AU202" t="str">
        <f t="shared" si="362"/>
        <v/>
      </c>
      <c r="AV202" t="str" cm="1">
        <f t="array" ref="AV202">IFERROR(IF(O202&lt;&gt;"",O202,IF(OR($S202="",$T202=""),"",IF(O202&lt;&gt;"",O202,IF($T202&lt;&gt;"",_xlfn._xlws.FILTER(O:O,($BT:$BT=$BT202)*($I:$I=$I202)*($T:$T=$T202)*($S:$S=_xlfn.MINIFS($S:$S,$T:$T,"="&amp;$T202)),"")))))&amp;"",IF(O202="","",""))&amp;""</f>
        <v/>
      </c>
      <c r="AW202" t="str" cm="1">
        <f t="array" ref="AW202">IFERROR(IF(P202&lt;&gt;"",P202,IF(OR($S202="",$T202=""),"",IF($T202&lt;&gt;"",_xlfn._xlws.FILTER(P:P,($BT:$BT=$BT202)*($I:$I=$I202)*($T:$T=$T202)*($S:$S=_xlfn.MINIFS($S:$S,$T:$T,"="&amp;$T202)),""))))&amp;"",IF(P202="","",""))&amp;""</f>
        <v/>
      </c>
      <c r="AX202" t="str" cm="1">
        <f t="array" ref="AX202">IFERROR(IF(Q202&lt;&gt;"",Q202,IF(OR($S202="",$T202=""),"",IF($T202&lt;&gt;"",_xlfn._xlws.FILTER(Q:Q,($BT:$BT=$BT202)*($I:$I=$I202)*($T:$T=$T202)*($S:$S=_xlfn.MINIFS($S:$S,$T:$T,"="&amp;$T202)),""))))&amp;"",IF(Q202="","",""))&amp;""</f>
        <v/>
      </c>
      <c r="AY202" t="str" cm="1">
        <f t="array" ref="AY202">IFERROR(IF(R202&lt;&gt;"",R202,IF(OR($S202="",$T202=""),"",IF($T202&lt;&gt;"",_xlfn._xlws.FILTER(R:R,($BT:$BT=$BT202)*($I:$I=$I202)*($T:$T=$T202)*($S:$S=_xlfn.MINIFS($S:$S,$T:$T,"="&amp;$T202)),""))))&amp;"",IF(R202="","",""))&amp;""</f>
        <v/>
      </c>
      <c r="AZ202" s="6">
        <f t="shared" si="363"/>
        <v>21</v>
      </c>
      <c r="BA202">
        <f t="shared" ref="BA202:BC202" si="382">BA201</f>
        <v>18991</v>
      </c>
      <c r="BB202" t="str">
        <f t="shared" si="382"/>
        <v>Triple J</v>
      </c>
      <c r="BC202" t="str">
        <f t="shared" si="382"/>
        <v>Velodrome</v>
      </c>
      <c r="BD202" t="str">
        <f t="shared" si="365"/>
        <v>Turnover</v>
      </c>
      <c r="BE202" t="str">
        <f t="shared" si="366"/>
        <v>Turnover_Giveaway</v>
      </c>
      <c r="BF202" t="str">
        <f t="shared" si="367"/>
        <v>Giveaway-PassIntercepted</v>
      </c>
      <c r="BG202" t="str">
        <f t="shared" si="22"/>
        <v>u</v>
      </c>
      <c r="BH202" cm="1">
        <f t="array" aca="1" ref="BH202" ca="1">IFERROR(_xlfn._xlws.FILTER(shifts!A:A,(shifts!B:B=events!Z202)*(shifts!AG:AG&gt;=events!BJ202)*(shifts!AH:AH&lt;=events!BK202)),BH201)</f>
        <v>8</v>
      </c>
      <c r="BI202" s="15">
        <f t="shared" si="368"/>
        <v>0</v>
      </c>
      <c r="BJ202">
        <f t="shared" si="369"/>
        <v>895</v>
      </c>
      <c r="BK202">
        <f t="shared" si="370"/>
        <v>895</v>
      </c>
      <c r="BL202" s="15">
        <f>SUMIFS(BI$2:BI202,K$2:K202,"=Intermission")+SUMIFS(BI$2:BI202,K$2:K202,"=Timeout")</f>
        <v>0</v>
      </c>
      <c r="BM202">
        <f t="shared" si="371"/>
        <v>0</v>
      </c>
      <c r="BN202" s="19">
        <f t="shared" si="372"/>
        <v>185</v>
      </c>
      <c r="BO202">
        <f t="shared" si="373"/>
        <v>180</v>
      </c>
      <c r="BP202" s="17">
        <f t="shared" si="374"/>
        <v>185</v>
      </c>
      <c r="BQ202" t="str">
        <f t="shared" si="375"/>
        <v>event_team_player_2</v>
      </c>
      <c r="BR202">
        <f>COUNTIFS(S$3:S202,"="&amp;S202,AH$3:AH202,"="&amp;AH202)</f>
        <v>2</v>
      </c>
      <c r="BS202" t="str">
        <f>IFERROR(VLOOKUP(BA202&amp;BT202&amp;X202,game_rosters!U:W,3,FALSE),"")</f>
        <v>P100021</v>
      </c>
      <c r="BT202" t="str">
        <f t="shared" si="376"/>
        <v>Triple J</v>
      </c>
    </row>
    <row r="203" spans="1:72" x14ac:dyDescent="0.2">
      <c r="A203" t="str">
        <f t="shared" si="351"/>
        <v>x</v>
      </c>
      <c r="D203" s="26" t="s">
        <v>729</v>
      </c>
      <c r="E203" s="4"/>
      <c r="F203" s="45"/>
      <c r="G203" s="4"/>
      <c r="H203" s="47"/>
      <c r="J203" s="26" t="str">
        <f t="shared" si="377"/>
        <v/>
      </c>
      <c r="N203" t="str">
        <f t="shared" si="291"/>
        <v/>
      </c>
      <c r="Q203" t="str">
        <f t="shared" si="285"/>
        <v/>
      </c>
      <c r="S203">
        <f>IF(A203=1,MAX($S$2:$S202)+1,IF(OR($I203&lt;&gt;"",A203="x"),$S202,""))</f>
        <v>106</v>
      </c>
      <c r="T203">
        <f>IF(D203=1,MAX($T$2:$T202)+1,IF(S203=S202,$T202,IF(D203="x",T202,IF(D202="x","",""))))</f>
        <v>17</v>
      </c>
      <c r="U203" t="str">
        <f>IF(B203=1,MAX($U$2:$U202)+1,IF(AND($T203&lt;&gt;"",$T203=$T202),$U202,IF(B203="x",U202,"")))</f>
        <v/>
      </c>
      <c r="V203" t="str">
        <f>IF(C203=1,MAX($V$2:$V202)+1,IF(AND($T203&lt;&gt;"",$T203=$T202),$U202,IF(C203="x",V202,"")))</f>
        <v/>
      </c>
      <c r="W203" t="str" cm="1">
        <f t="array" ref="W203">IFERROR(_xlfn._xlws.FILTER(game_rosters!AC:AC,(game_rosters!J:J=events!X203)*(K203&lt;&gt;"")),"")</f>
        <v/>
      </c>
      <c r="X203" cm="1">
        <f t="array" ref="X203">IF($I203&lt;&gt;"",$I203,INDEX($I$1:$I203,ROW()-COUNTIFS($T$1:$T203,"="&amp;$T203,$S$1:$S203,"&lt;"&amp;$S203)))</f>
        <v>70</v>
      </c>
      <c r="Y203" t="str" cm="1">
        <f t="array" ref="Y203">IFERROR(IF(_xlfn._xlws.FILTER(game_rosters!$J:$J,(game_rosters!$G:$G=events!$AM203)*(game_rosters!$J:$J=events!$X203))&gt;0,1,""),"")</f>
        <v/>
      </c>
      <c r="Z203" s="6">
        <f t="shared" si="352"/>
        <v>1</v>
      </c>
      <c r="AA203">
        <f t="shared" si="353"/>
        <v>1106</v>
      </c>
      <c r="AB203">
        <f t="shared" si="354"/>
        <v>9017</v>
      </c>
      <c r="AC203">
        <f t="shared" si="355"/>
        <v>9017</v>
      </c>
      <c r="AD203" t="str">
        <f t="shared" si="356"/>
        <v>14</v>
      </c>
      <c r="AE203" t="str">
        <f t="shared" si="357"/>
        <v>55</v>
      </c>
      <c r="AF203" t="str">
        <f t="shared" si="358"/>
        <v/>
      </c>
      <c r="AG203" t="str">
        <f t="shared" si="359"/>
        <v/>
      </c>
      <c r="AH203" t="str">
        <f t="shared" si="298"/>
        <v>o</v>
      </c>
      <c r="AI203" t="str">
        <f t="shared" ref="AI203:AJ218" si="383">IF($J203&lt;&gt;"",$J203,IF($AC203=$AC202,AI202,""))</f>
        <v>d</v>
      </c>
      <c r="AJ203" t="str">
        <f t="shared" si="383"/>
        <v>d</v>
      </c>
      <c r="AK203" t="str">
        <f t="shared" si="300"/>
        <v/>
      </c>
      <c r="AL203" t="str">
        <f t="shared" si="301"/>
        <v/>
      </c>
      <c r="AM203" t="str">
        <f t="shared" si="360"/>
        <v>Home</v>
      </c>
      <c r="AN203" t="str">
        <f t="shared" si="302"/>
        <v>h</v>
      </c>
      <c r="AO203" t="str">
        <f t="shared" si="303"/>
        <v>d</v>
      </c>
      <c r="AP203" t="str">
        <f t="shared" si="304"/>
        <v>o</v>
      </c>
      <c r="AQ203" t="str">
        <f>IF(AM203&lt;&gt;"",AM203,IF($AC203=#REF!,#REF!,""))</f>
        <v>Home</v>
      </c>
      <c r="AR203" t="str">
        <f t="shared" si="305"/>
        <v>h</v>
      </c>
      <c r="AS203" t="str">
        <f t="shared" si="306"/>
        <v>Defensive</v>
      </c>
      <c r="AT203" t="str">
        <f t="shared" si="361"/>
        <v/>
      </c>
      <c r="AU203" t="str">
        <f t="shared" si="362"/>
        <v/>
      </c>
      <c r="AV203" t="str" cm="1">
        <f t="array" ref="AV203">IFERROR(IF(O203&lt;&gt;"",O203,IF(OR($S203="",$T203=""),"",IF(O203&lt;&gt;"",O203,IF($T203&lt;&gt;"",_xlfn._xlws.FILTER(O:O,($BT:$BT=$BT203)*($I:$I=$I203)*($T:$T=$T203)*($S:$S=_xlfn.MINIFS($S:$S,$T:$T,"="&amp;$T203)),"")))))&amp;"",IF(O203="","",""))&amp;""</f>
        <v/>
      </c>
      <c r="AW203" t="str" cm="1">
        <f t="array" ref="AW203">IFERROR(IF(P203&lt;&gt;"",P203,IF(OR($S203="",$T203=""),"",IF($T203&lt;&gt;"",_xlfn._xlws.FILTER(P:P,($BT:$BT=$BT203)*($I:$I=$I203)*($T:$T=$T203)*($S:$S=_xlfn.MINIFS($S:$S,$T:$T,"="&amp;$T203)),""))))&amp;"",IF(P203="","",""))&amp;""</f>
        <v/>
      </c>
      <c r="AX203" t="str" cm="1">
        <f t="array" ref="AX203">IFERROR(IF(Q203&lt;&gt;"",Q203,IF(OR($S203="",$T203=""),"",IF($T203&lt;&gt;"",_xlfn._xlws.FILTER(Q:Q,($BT:$BT=$BT203)*($I:$I=$I203)*($T:$T=$T203)*($S:$S=_xlfn.MINIFS($S:$S,$T:$T,"="&amp;$T203)),""))))&amp;"",IF(Q203="","",""))&amp;""</f>
        <v/>
      </c>
      <c r="AY203" t="str" cm="1">
        <f t="array" ref="AY203">IFERROR(IF(R203&lt;&gt;"",R203,IF(OR($S203="",$T203=""),"",IF($T203&lt;&gt;"",_xlfn._xlws.FILTER(R:R,($BT:$BT=$BT203)*($I:$I=$I203)*($T:$T=$T203)*($S:$S=_xlfn.MINIFS($S:$S,$T:$T,"="&amp;$T203)),""))))&amp;"",IF(R203="","",""))&amp;""</f>
        <v/>
      </c>
      <c r="AZ203" s="6">
        <f t="shared" si="363"/>
        <v>21</v>
      </c>
      <c r="BA203">
        <f t="shared" ref="BA203:BC203" si="384">BA202</f>
        <v>18991</v>
      </c>
      <c r="BB203" t="str">
        <f t="shared" si="384"/>
        <v>Triple J</v>
      </c>
      <c r="BC203" t="str">
        <f t="shared" si="384"/>
        <v>Velodrome</v>
      </c>
      <c r="BD203" t="str">
        <f t="shared" si="365"/>
        <v>Turnover</v>
      </c>
      <c r="BE203" t="str">
        <f t="shared" si="366"/>
        <v>Turnover_Giveaway</v>
      </c>
      <c r="BF203" t="str">
        <f t="shared" si="367"/>
        <v>Giveaway-PassIntercepted</v>
      </c>
      <c r="BG203" t="str">
        <f t="shared" si="22"/>
        <v>u</v>
      </c>
      <c r="BH203" cm="1">
        <f t="array" aca="1" ref="BH203" ca="1">IFERROR(_xlfn._xlws.FILTER(shifts!A:A,(shifts!B:B=events!Z203)*(shifts!AG:AG&gt;=events!BJ203)*(shifts!AH:AH&lt;=events!BK203)),BH202)</f>
        <v>8</v>
      </c>
      <c r="BI203" s="15">
        <f t="shared" si="368"/>
        <v>0</v>
      </c>
      <c r="BJ203">
        <f t="shared" si="369"/>
        <v>895</v>
      </c>
      <c r="BK203">
        <f t="shared" si="370"/>
        <v>895</v>
      </c>
      <c r="BL203" s="15">
        <f>SUMIFS(BI$2:BI203,K$2:K203,"=Intermission")+SUMIFS(BI$2:BI203,K$2:K203,"=Timeout")</f>
        <v>0</v>
      </c>
      <c r="BM203">
        <f t="shared" si="371"/>
        <v>0</v>
      </c>
      <c r="BN203" s="19">
        <f t="shared" si="372"/>
        <v>185</v>
      </c>
      <c r="BO203">
        <f t="shared" si="373"/>
        <v>180</v>
      </c>
      <c r="BP203" s="17">
        <f t="shared" si="374"/>
        <v>185</v>
      </c>
      <c r="BQ203" t="str">
        <f t="shared" si="375"/>
        <v>opp_team_player_1</v>
      </c>
      <c r="BR203">
        <f>COUNTIFS(S$3:S203,"="&amp;S203,AH$3:AH203,"="&amp;AH203)</f>
        <v>1</v>
      </c>
      <c r="BS203" t="str">
        <f>IFERROR(VLOOKUP(BA203&amp;BT203&amp;X203,game_rosters!U:W,3,FALSE),"")</f>
        <v>P100001</v>
      </c>
      <c r="BT203" t="str">
        <f t="shared" si="376"/>
        <v>Velodrome</v>
      </c>
    </row>
    <row r="204" spans="1:72" x14ac:dyDescent="0.2">
      <c r="A204">
        <f t="shared" si="351"/>
        <v>1</v>
      </c>
      <c r="E204" s="4"/>
      <c r="F204" s="45" t="s">
        <v>1059</v>
      </c>
      <c r="G204" s="4"/>
      <c r="H204" s="47" t="s">
        <v>1053</v>
      </c>
      <c r="I204" s="26">
        <v>70</v>
      </c>
      <c r="J204" s="26" t="s">
        <v>734</v>
      </c>
      <c r="K204" t="s">
        <v>13</v>
      </c>
      <c r="N204" t="str">
        <f t="shared" si="291"/>
        <v/>
      </c>
      <c r="Q204" t="str">
        <f t="shared" si="285"/>
        <v/>
      </c>
      <c r="S204">
        <f>IF(A204=1,MAX($S$2:$S203)+1,IF(OR($I204&lt;&gt;"",A204="x"),$S203,""))</f>
        <v>107</v>
      </c>
      <c r="T204" t="str">
        <f>IF(D204=1,MAX($T$2:$T203)+1,IF(S204=S203,$T203,IF(D204="x",T203,IF(D203="x","",""))))</f>
        <v/>
      </c>
      <c r="U204" t="str">
        <f>IF(B204=1,MAX($U$2:$U203)+1,IF(AND($T204&lt;&gt;"",$T204=$T203),$U203,IF(B204="x",U203,"")))</f>
        <v/>
      </c>
      <c r="V204" t="str">
        <f>IF(C204=1,MAX($V$2:$V203)+1,IF(AND($T204&lt;&gt;"",$T204=$T203),$U203,IF(C204="x",V203,"")))</f>
        <v/>
      </c>
      <c r="W204" t="str" cm="1">
        <f t="array" ref="W204">IFERROR(_xlfn._xlws.FILTER(game_rosters!AC:AC,(game_rosters!J:J=events!X204)*(K204&lt;&gt;"")),"")</f>
        <v>a</v>
      </c>
      <c r="X204" cm="1">
        <f t="array" ref="X204">IF($I204&lt;&gt;"",$I204,INDEX($I$1:$I204,ROW()-COUNTIFS($T$1:$T204,"="&amp;$T204,$S$1:$S204,"&lt;"&amp;$S204)))</f>
        <v>70</v>
      </c>
      <c r="Y204" cm="1">
        <f t="array" ref="Y204">IFERROR(IF(_xlfn._xlws.FILTER(game_rosters!$J:$J,(game_rosters!$G:$G=events!$AM204)*(game_rosters!$J:$J=events!$X204))&gt;0,1,""),"")</f>
        <v>1</v>
      </c>
      <c r="Z204" s="6">
        <f t="shared" si="352"/>
        <v>1</v>
      </c>
      <c r="AA204">
        <f t="shared" si="353"/>
        <v>1107</v>
      </c>
      <c r="AB204" t="str">
        <f t="shared" si="354"/>
        <v/>
      </c>
      <c r="AC204">
        <f t="shared" si="355"/>
        <v>1107</v>
      </c>
      <c r="AD204" t="str">
        <f t="shared" si="356"/>
        <v>14</v>
      </c>
      <c r="AE204" t="str">
        <f t="shared" si="357"/>
        <v>54</v>
      </c>
      <c r="AF204" t="str">
        <f t="shared" si="358"/>
        <v>14</v>
      </c>
      <c r="AG204" t="str">
        <f t="shared" si="359"/>
        <v>53</v>
      </c>
      <c r="AH204" t="str">
        <f t="shared" si="298"/>
        <v>e</v>
      </c>
      <c r="AI204" t="str">
        <f t="shared" si="383"/>
        <v>n</v>
      </c>
      <c r="AJ204" t="str">
        <f t="shared" si="383"/>
        <v>n</v>
      </c>
      <c r="AK204" t="str">
        <f t="shared" si="300"/>
        <v>n</v>
      </c>
      <c r="AL204" t="str">
        <f t="shared" si="301"/>
        <v>n</v>
      </c>
      <c r="AM204" t="str">
        <f t="shared" si="360"/>
        <v>Away</v>
      </c>
      <c r="AN204" t="str">
        <f t="shared" si="302"/>
        <v>a</v>
      </c>
      <c r="AO204" t="str">
        <f t="shared" si="303"/>
        <v>n</v>
      </c>
      <c r="AP204" t="str">
        <f t="shared" si="304"/>
        <v>n</v>
      </c>
      <c r="AQ204" t="str">
        <f>IF(AM204&lt;&gt;"",AM204,IF($AC204=#REF!,#REF!,""))</f>
        <v>Away</v>
      </c>
      <c r="AR204" t="str">
        <f t="shared" si="305"/>
        <v>a</v>
      </c>
      <c r="AS204" t="str">
        <f t="shared" si="306"/>
        <v>Offensive</v>
      </c>
      <c r="AT204" t="str">
        <f t="shared" si="361"/>
        <v/>
      </c>
      <c r="AU204" t="str">
        <f t="shared" si="362"/>
        <v/>
      </c>
      <c r="AV204" t="str" cm="1">
        <f t="array" ref="AV204">IFERROR(IF(O204&lt;&gt;"",O204,IF(OR($S204="",$T204=""),"",IF(O204&lt;&gt;"",O204,IF($T204&lt;&gt;"",_xlfn._xlws.FILTER(O:O,($BT:$BT=$BT204)*($I:$I=$I204)*($T:$T=$T204)*($S:$S=_xlfn.MINIFS($S:$S,$T:$T,"="&amp;$T204)),"")))))&amp;"",IF(O204="","",""))&amp;""</f>
        <v/>
      </c>
      <c r="AW204" t="str" cm="1">
        <f t="array" ref="AW204">IFERROR(IF(P204&lt;&gt;"",P204,IF(OR($S204="",$T204=""),"",IF($T204&lt;&gt;"",_xlfn._xlws.FILTER(P:P,($BT:$BT=$BT204)*($I:$I=$I204)*($T:$T=$T204)*($S:$S=_xlfn.MINIFS($S:$S,$T:$T,"="&amp;$T204)),""))))&amp;"",IF(P204="","",""))&amp;""</f>
        <v/>
      </c>
      <c r="AX204" t="str" cm="1">
        <f t="array" ref="AX204">IFERROR(IF(Q204&lt;&gt;"",Q204,IF(OR($S204="",$T204=""),"",IF($T204&lt;&gt;"",_xlfn._xlws.FILTER(Q:Q,($BT:$BT=$BT204)*($I:$I=$I204)*($T:$T=$T204)*($S:$S=_xlfn.MINIFS($S:$S,$T:$T,"="&amp;$T204)),""))))&amp;"",IF(Q204="","",""))&amp;""</f>
        <v/>
      </c>
      <c r="AY204" t="str" cm="1">
        <f t="array" ref="AY204">IFERROR(IF(R204&lt;&gt;"",R204,IF(OR($S204="",$T204=""),"",IF($T204&lt;&gt;"",_xlfn._xlws.FILTER(R:R,($BT:$BT=$BT204)*($I:$I=$I204)*($T:$T=$T204)*($S:$S=_xlfn.MINIFS($S:$S,$T:$T,"="&amp;$T204)),""))))&amp;"",IF(R204="","",""))&amp;""</f>
        <v/>
      </c>
      <c r="AZ204" s="6">
        <f t="shared" si="363"/>
        <v>21</v>
      </c>
      <c r="BA204">
        <f t="shared" ref="BA204:BC204" si="385">BA203</f>
        <v>18991</v>
      </c>
      <c r="BB204" t="str">
        <f t="shared" si="385"/>
        <v>Triple J</v>
      </c>
      <c r="BC204" t="str">
        <f t="shared" si="385"/>
        <v>Velodrome</v>
      </c>
      <c r="BD204" t="str">
        <f t="shared" si="365"/>
        <v>Possession</v>
      </c>
      <c r="BE204" t="str">
        <f t="shared" si="366"/>
        <v/>
      </c>
      <c r="BF204" t="str">
        <f t="shared" si="367"/>
        <v/>
      </c>
      <c r="BG204" t="str">
        <f t="shared" si="22"/>
        <v/>
      </c>
      <c r="BH204" cm="1">
        <f t="array" aca="1" ref="BH204" ca="1">IFERROR(_xlfn._xlws.FILTER(shifts!A:A,(shifts!B:B=events!Z204)*(shifts!AG:AG&gt;=events!BJ204)*(shifts!AH:AH&lt;=events!BK204)),BH203)</f>
        <v>8</v>
      </c>
      <c r="BI204" s="15">
        <f t="shared" si="368"/>
        <v>1</v>
      </c>
      <c r="BJ204">
        <f t="shared" si="369"/>
        <v>894</v>
      </c>
      <c r="BK204">
        <f t="shared" si="370"/>
        <v>893</v>
      </c>
      <c r="BL204" s="15">
        <f>SUMIFS(BI$2:BI204,K$2:K204,"=Intermission")+SUMIFS(BI$2:BI204,K$2:K204,"=Timeout")</f>
        <v>0</v>
      </c>
      <c r="BM204">
        <f t="shared" si="371"/>
        <v>0</v>
      </c>
      <c r="BN204" s="19">
        <f t="shared" si="372"/>
        <v>186</v>
      </c>
      <c r="BO204">
        <f t="shared" si="373"/>
        <v>181</v>
      </c>
      <c r="BP204" s="17">
        <f t="shared" si="374"/>
        <v>187</v>
      </c>
      <c r="BQ204" t="str">
        <f t="shared" si="375"/>
        <v>event_team_player_1</v>
      </c>
      <c r="BR204">
        <f>COUNTIFS(S$3:S204,"="&amp;S204,AH$3:AH204,"="&amp;AH204)</f>
        <v>1</v>
      </c>
      <c r="BS204" t="str">
        <f>IFERROR(VLOOKUP(BA204&amp;BT204&amp;X204,game_rosters!U:W,3,FALSE),"")</f>
        <v>P100001</v>
      </c>
      <c r="BT204" t="str">
        <f t="shared" si="376"/>
        <v>Velodrome</v>
      </c>
    </row>
    <row r="205" spans="1:72" x14ac:dyDescent="0.2">
      <c r="A205" t="str">
        <f t="shared" si="351"/>
        <v/>
      </c>
      <c r="E205" s="4"/>
      <c r="F205" s="45"/>
      <c r="G205" s="4"/>
      <c r="H205" s="47"/>
      <c r="I205" s="26">
        <v>71</v>
      </c>
      <c r="J205" s="26" t="str">
        <f t="shared" si="377"/>
        <v/>
      </c>
      <c r="N205" t="str">
        <f t="shared" si="291"/>
        <v/>
      </c>
      <c r="Q205" t="str">
        <f t="shared" si="285"/>
        <v/>
      </c>
      <c r="S205">
        <f>IF(A205=1,MAX($S$2:$S204)+1,IF(OR($I205&lt;&gt;"",A205="x"),$S204,""))</f>
        <v>107</v>
      </c>
      <c r="T205" t="str">
        <f>IF(D205=1,MAX($T$2:$T204)+1,IF(S205=S204,$T204,IF(D205="x",T204,IF(D204="x","",""))))</f>
        <v/>
      </c>
      <c r="U205" t="str">
        <f>IF(B205=1,MAX($U$2:$U204)+1,IF(AND($T205&lt;&gt;"",$T205=$T204),$U204,IF(B205="x",U204,"")))</f>
        <v/>
      </c>
      <c r="V205" t="str">
        <f>IF(C205=1,MAX($V$2:$V204)+1,IF(AND($T205&lt;&gt;"",$T205=$T204),$U204,IF(C205="x",V204,"")))</f>
        <v/>
      </c>
      <c r="W205" t="str" cm="1">
        <f t="array" ref="W205">IFERROR(_xlfn._xlws.FILTER(game_rosters!AC:AC,(game_rosters!J:J=events!X205)*(K205&lt;&gt;"")),"")</f>
        <v/>
      </c>
      <c r="X205" cm="1">
        <f t="array" ref="X205">IF($I205&lt;&gt;"",$I205,INDEX($I$1:$I205,ROW()-COUNTIFS($T$1:$T205,"="&amp;$T205,$S$1:$S205,"&lt;"&amp;$S205)))</f>
        <v>71</v>
      </c>
      <c r="Y205" t="str" cm="1">
        <f t="array" ref="Y205">IFERROR(IF(_xlfn._xlws.FILTER(game_rosters!$J:$J,(game_rosters!$G:$G=events!$AM205)*(game_rosters!$J:$J=events!$X205))&gt;0,1,""),"")</f>
        <v/>
      </c>
      <c r="Z205" s="6">
        <f t="shared" si="352"/>
        <v>1</v>
      </c>
      <c r="AA205">
        <f t="shared" si="353"/>
        <v>1107</v>
      </c>
      <c r="AB205" t="str">
        <f t="shared" si="354"/>
        <v/>
      </c>
      <c r="AC205">
        <f t="shared" si="355"/>
        <v>1107</v>
      </c>
      <c r="AD205" t="str">
        <f t="shared" si="356"/>
        <v>14</v>
      </c>
      <c r="AE205" t="str">
        <f t="shared" si="357"/>
        <v>54</v>
      </c>
      <c r="AF205" t="str">
        <f t="shared" si="358"/>
        <v>14</v>
      </c>
      <c r="AG205" t="str">
        <f t="shared" si="359"/>
        <v>53</v>
      </c>
      <c r="AH205" t="str">
        <f t="shared" si="298"/>
        <v>o</v>
      </c>
      <c r="AI205" t="str">
        <f t="shared" si="383"/>
        <v>n</v>
      </c>
      <c r="AJ205" t="str">
        <f t="shared" si="383"/>
        <v>n</v>
      </c>
      <c r="AK205" t="str">
        <f t="shared" si="300"/>
        <v/>
      </c>
      <c r="AL205" t="str">
        <f t="shared" si="301"/>
        <v/>
      </c>
      <c r="AM205" t="str">
        <f t="shared" si="360"/>
        <v>Away</v>
      </c>
      <c r="AN205" t="str">
        <f t="shared" si="302"/>
        <v>a</v>
      </c>
      <c r="AO205" t="str">
        <f t="shared" si="303"/>
        <v>n</v>
      </c>
      <c r="AP205" t="str">
        <f t="shared" si="304"/>
        <v>n</v>
      </c>
      <c r="AQ205" t="str">
        <f>IF(AM205&lt;&gt;"",AM205,IF($AC205=#REF!,#REF!,""))</f>
        <v>Away</v>
      </c>
      <c r="AR205" t="str">
        <f t="shared" si="305"/>
        <v>a</v>
      </c>
      <c r="AS205" t="str">
        <f t="shared" si="306"/>
        <v>Defensive</v>
      </c>
      <c r="AT205" t="str">
        <f t="shared" si="361"/>
        <v/>
      </c>
      <c r="AU205" t="str">
        <f t="shared" si="362"/>
        <v/>
      </c>
      <c r="AV205" t="str" cm="1">
        <f t="array" ref="AV205">IFERROR(IF(O205&lt;&gt;"",O205,IF(OR($S205="",$T205=""),"",IF(O205&lt;&gt;"",O205,IF($T205&lt;&gt;"",_xlfn._xlws.FILTER(O:O,($BT:$BT=$BT205)*($I:$I=$I205)*($T:$T=$T205)*($S:$S=_xlfn.MINIFS($S:$S,$T:$T,"="&amp;$T205)),"")))))&amp;"",IF(O205="","",""))&amp;""</f>
        <v/>
      </c>
      <c r="AW205" t="str" cm="1">
        <f t="array" ref="AW205">IFERROR(IF(P205&lt;&gt;"",P205,IF(OR($S205="",$T205=""),"",IF($T205&lt;&gt;"",_xlfn._xlws.FILTER(P:P,($BT:$BT=$BT205)*($I:$I=$I205)*($T:$T=$T205)*($S:$S=_xlfn.MINIFS($S:$S,$T:$T,"="&amp;$T205)),""))))&amp;"",IF(P205="","",""))&amp;""</f>
        <v/>
      </c>
      <c r="AX205" t="str" cm="1">
        <f t="array" ref="AX205">IFERROR(IF(Q205&lt;&gt;"",Q205,IF(OR($S205="",$T205=""),"",IF($T205&lt;&gt;"",_xlfn._xlws.FILTER(Q:Q,($BT:$BT=$BT205)*($I:$I=$I205)*($T:$T=$T205)*($S:$S=_xlfn.MINIFS($S:$S,$T:$T,"="&amp;$T205)),""))))&amp;"",IF(Q205="","",""))&amp;""</f>
        <v/>
      </c>
      <c r="AY205" t="str" cm="1">
        <f t="array" ref="AY205">IFERROR(IF(R205&lt;&gt;"",R205,IF(OR($S205="",$T205=""),"",IF($T205&lt;&gt;"",_xlfn._xlws.FILTER(R:R,($BT:$BT=$BT205)*($I:$I=$I205)*($T:$T=$T205)*($S:$S=_xlfn.MINIFS($S:$S,$T:$T,"="&amp;$T205)),""))))&amp;"",IF(R205="","",""))&amp;""</f>
        <v/>
      </c>
      <c r="AZ205" s="6">
        <f t="shared" si="363"/>
        <v>21</v>
      </c>
      <c r="BA205">
        <f t="shared" ref="BA205:BC205" si="386">BA204</f>
        <v>18991</v>
      </c>
      <c r="BB205" t="str">
        <f t="shared" si="386"/>
        <v>Triple J</v>
      </c>
      <c r="BC205" t="str">
        <f t="shared" si="386"/>
        <v>Velodrome</v>
      </c>
      <c r="BD205" t="str">
        <f t="shared" si="365"/>
        <v>Possession</v>
      </c>
      <c r="BE205" t="str">
        <f t="shared" si="366"/>
        <v/>
      </c>
      <c r="BF205" t="str">
        <f t="shared" si="367"/>
        <v/>
      </c>
      <c r="BG205" t="str">
        <f t="shared" si="22"/>
        <v/>
      </c>
      <c r="BH205" cm="1">
        <f t="array" aca="1" ref="BH205" ca="1">IFERROR(_xlfn._xlws.FILTER(shifts!A:A,(shifts!B:B=events!Z205)*(shifts!AG:AG&gt;=events!BJ205)*(shifts!AH:AH&lt;=events!BK205)),BH204)</f>
        <v>8</v>
      </c>
      <c r="BI205" s="15">
        <f t="shared" si="368"/>
        <v>1</v>
      </c>
      <c r="BJ205">
        <f t="shared" si="369"/>
        <v>894</v>
      </c>
      <c r="BK205">
        <f t="shared" si="370"/>
        <v>893</v>
      </c>
      <c r="BL205" s="15">
        <f>SUMIFS(BI$2:BI205,K$2:K205,"=Intermission")+SUMIFS(BI$2:BI205,K$2:K205,"=Timeout")</f>
        <v>0</v>
      </c>
      <c r="BM205">
        <f t="shared" si="371"/>
        <v>0</v>
      </c>
      <c r="BN205" s="19">
        <f t="shared" si="372"/>
        <v>186</v>
      </c>
      <c r="BO205">
        <f t="shared" si="373"/>
        <v>181</v>
      </c>
      <c r="BP205" s="17">
        <f t="shared" si="374"/>
        <v>187</v>
      </c>
      <c r="BQ205" t="str">
        <f t="shared" si="375"/>
        <v>opp_team_player_1</v>
      </c>
      <c r="BR205">
        <f>COUNTIFS(S$3:S205,"="&amp;S205,AH$3:AH205,"="&amp;AH205)</f>
        <v>1</v>
      </c>
      <c r="BS205" t="str">
        <f>IFERROR(VLOOKUP(BA205&amp;BT205&amp;X205,game_rosters!U:W,3,FALSE),"")</f>
        <v>P100008</v>
      </c>
      <c r="BT205" t="str">
        <f t="shared" si="376"/>
        <v>Triple J</v>
      </c>
    </row>
    <row r="206" spans="1:72" x14ac:dyDescent="0.2">
      <c r="A206">
        <f t="shared" si="351"/>
        <v>1</v>
      </c>
      <c r="E206" s="4"/>
      <c r="F206" s="45"/>
      <c r="G206" s="4"/>
      <c r="H206" s="47" t="s">
        <v>1060</v>
      </c>
      <c r="I206" s="26">
        <v>70</v>
      </c>
      <c r="J206" s="26" t="str">
        <f t="shared" si="377"/>
        <v>o</v>
      </c>
      <c r="K206" t="s">
        <v>238</v>
      </c>
      <c r="L206" t="s">
        <v>174</v>
      </c>
      <c r="M206" t="s">
        <v>85</v>
      </c>
      <c r="N206" t="str">
        <f t="shared" si="291"/>
        <v>s</v>
      </c>
      <c r="O206" t="s">
        <v>548</v>
      </c>
      <c r="P206" t="s">
        <v>150</v>
      </c>
      <c r="Q206" t="str">
        <f t="shared" si="285"/>
        <v>s</v>
      </c>
      <c r="R206" s="26">
        <v>1</v>
      </c>
      <c r="S206">
        <f>IF(A206=1,MAX($S$2:$S205)+1,IF(OR($I206&lt;&gt;"",A206="x"),$S205,""))</f>
        <v>108</v>
      </c>
      <c r="T206" t="str">
        <f>IF(D206=1,MAX($T$2:$T205)+1,IF(S206=S205,$T205,IF(D206="x",T205,IF(D205="x","",""))))</f>
        <v/>
      </c>
      <c r="U206" t="str">
        <f>IF(B206=1,MAX($U$2:$U205)+1,IF(AND($T206&lt;&gt;"",$T206=$T205),$U205,IF(B206="x",U205,"")))</f>
        <v/>
      </c>
      <c r="V206" t="str">
        <f>IF(C206=1,MAX($V$2:$V205)+1,IF(AND($T206&lt;&gt;"",$T206=$T205),$U205,IF(C206="x",V205,"")))</f>
        <v/>
      </c>
      <c r="W206" t="str" cm="1">
        <f t="array" ref="W206">IFERROR(_xlfn._xlws.FILTER(game_rosters!AC:AC,(game_rosters!J:J=events!X206)*(K206&lt;&gt;"")),"")</f>
        <v>a</v>
      </c>
      <c r="X206" cm="1">
        <f t="array" ref="X206">IF($I206&lt;&gt;"",$I206,INDEX($I$1:$I206,ROW()-COUNTIFS($T$1:$T206,"="&amp;$T206,$S$1:$S206,"&lt;"&amp;$S206)))</f>
        <v>70</v>
      </c>
      <c r="Y206" cm="1">
        <f t="array" ref="Y206">IFERROR(IF(_xlfn._xlws.FILTER(game_rosters!$J:$J,(game_rosters!$G:$G=events!$AM206)*(game_rosters!$J:$J=events!$X206))&gt;0,1,""),"")</f>
        <v>1</v>
      </c>
      <c r="Z206" s="6">
        <f t="shared" si="352"/>
        <v>1</v>
      </c>
      <c r="AA206">
        <f t="shared" si="353"/>
        <v>1108</v>
      </c>
      <c r="AB206" t="str">
        <f t="shared" si="354"/>
        <v/>
      </c>
      <c r="AC206">
        <f t="shared" si="355"/>
        <v>1108</v>
      </c>
      <c r="AD206" t="str">
        <f t="shared" si="356"/>
        <v>14</v>
      </c>
      <c r="AE206" t="str">
        <f t="shared" si="357"/>
        <v>53</v>
      </c>
      <c r="AF206" t="str">
        <f t="shared" si="358"/>
        <v>14</v>
      </c>
      <c r="AG206" t="str">
        <f t="shared" si="359"/>
        <v>51</v>
      </c>
      <c r="AH206" t="str">
        <f t="shared" si="298"/>
        <v>e</v>
      </c>
      <c r="AI206" t="str">
        <f t="shared" si="383"/>
        <v>o</v>
      </c>
      <c r="AJ206" t="str">
        <f t="shared" si="383"/>
        <v>o</v>
      </c>
      <c r="AK206" t="str">
        <f t="shared" si="300"/>
        <v>d</v>
      </c>
      <c r="AL206" t="str">
        <f t="shared" si="301"/>
        <v>o</v>
      </c>
      <c r="AM206" t="str">
        <f t="shared" si="360"/>
        <v>Away</v>
      </c>
      <c r="AN206" t="str">
        <f t="shared" si="302"/>
        <v>a</v>
      </c>
      <c r="AO206" t="str">
        <f t="shared" si="303"/>
        <v>d</v>
      </c>
      <c r="AP206" t="str">
        <f t="shared" si="304"/>
        <v>o</v>
      </c>
      <c r="AQ206" t="str">
        <f>IF(AM206&lt;&gt;"",AM206,IF($AC206=#REF!,#REF!,""))</f>
        <v>Away</v>
      </c>
      <c r="AR206" t="str">
        <f t="shared" si="305"/>
        <v>a</v>
      </c>
      <c r="AS206" t="str">
        <f t="shared" si="306"/>
        <v>Offensive</v>
      </c>
      <c r="AT206" t="str">
        <f t="shared" si="361"/>
        <v/>
      </c>
      <c r="AU206" t="str">
        <f t="shared" si="362"/>
        <v/>
      </c>
      <c r="AV206" t="str" cm="1">
        <f t="array" ref="AV206">IFERROR(IF(O206&lt;&gt;"",O206,IF(OR($S206="",$T206=""),"",IF(O206&lt;&gt;"",O206,IF($T206&lt;&gt;"",_xlfn._xlws.FILTER(O:O,($BT:$BT=$BT206)*($I:$I=$I206)*($T:$T=$T206)*($S:$S=_xlfn.MINIFS($S:$S,$T:$T,"="&amp;$T206)),"")))))&amp;"",IF(O206="","",""))&amp;""</f>
        <v>CutBack</v>
      </c>
      <c r="AW206" t="str" cm="1">
        <f t="array" ref="AW206">IFERROR(IF(P206&lt;&gt;"",P206,IF(OR($S206="",$T206=""),"",IF($T206&lt;&gt;"",_xlfn._xlws.FILTER(P:P,($BT:$BT=$BT206)*($I:$I=$I206)*($T:$T=$T206)*($S:$S=_xlfn.MINIFS($S:$S,$T:$T,"="&amp;$T206)),""))))&amp;"",IF(P206="","",""))&amp;""</f>
        <v>Deke</v>
      </c>
      <c r="AX206" t="str" cm="1">
        <f t="array" ref="AX206">IFERROR(IF(Q206&lt;&gt;"",Q206,IF(OR($S206="",$T206=""),"",IF($T206&lt;&gt;"",_xlfn._xlws.FILTER(Q:Q,($BT:$BT=$BT206)*($I:$I=$I206)*($T:$T=$T206)*($S:$S=_xlfn.MINIFS($S:$S,$T:$T,"="&amp;$T206)),""))))&amp;"",IF(Q206="","",""))&amp;""</f>
        <v>s</v>
      </c>
      <c r="AY206" t="str" cm="1">
        <f t="array" ref="AY206">IFERROR(IF(R206&lt;&gt;"",R206,IF(OR($S206="",$T206=""),"",IF($T206&lt;&gt;"",_xlfn._xlws.FILTER(R:R,($BT:$BT=$BT206)*($I:$I=$I206)*($T:$T=$T206)*($S:$S=_xlfn.MINIFS($S:$S,$T:$T,"="&amp;$T206)),""))))&amp;"",IF(R206="","",""))&amp;""</f>
        <v>1</v>
      </c>
      <c r="AZ206" s="6">
        <f t="shared" si="363"/>
        <v>22</v>
      </c>
      <c r="BA206">
        <f t="shared" ref="BA206:BC206" si="387">BA205</f>
        <v>18991</v>
      </c>
      <c r="BB206" t="str">
        <f t="shared" si="387"/>
        <v>Triple J</v>
      </c>
      <c r="BC206" t="str">
        <f t="shared" si="387"/>
        <v>Velodrome</v>
      </c>
      <c r="BD206" t="str">
        <f t="shared" si="365"/>
        <v>Zone_Entry_Exit</v>
      </c>
      <c r="BE206" t="str">
        <f t="shared" si="366"/>
        <v>Zone_Entry</v>
      </c>
      <c r="BF206" t="str">
        <f t="shared" si="367"/>
        <v>ZoneEntry-Rush</v>
      </c>
      <c r="BG206" t="str">
        <f t="shared" si="22"/>
        <v>s</v>
      </c>
      <c r="BH206" cm="1">
        <f t="array" aca="1" ref="BH206" ca="1">IFERROR(_xlfn._xlws.FILTER(shifts!A:A,(shifts!B:B=events!Z206)*(shifts!AG:AG&gt;=events!BJ206)*(shifts!AH:AH&lt;=events!BK206)),BH205)</f>
        <v>8</v>
      </c>
      <c r="BI206" s="15">
        <f t="shared" si="368"/>
        <v>2</v>
      </c>
      <c r="BJ206">
        <f t="shared" si="369"/>
        <v>893</v>
      </c>
      <c r="BK206">
        <f t="shared" si="370"/>
        <v>891</v>
      </c>
      <c r="BL206" s="15">
        <f>SUMIFS(BI$2:BI206,K$2:K206,"=Intermission")+SUMIFS(BI$2:BI206,K$2:K206,"=Timeout")</f>
        <v>0</v>
      </c>
      <c r="BM206">
        <f t="shared" si="371"/>
        <v>0</v>
      </c>
      <c r="BN206" s="19">
        <f t="shared" si="372"/>
        <v>187</v>
      </c>
      <c r="BO206">
        <f t="shared" si="373"/>
        <v>182</v>
      </c>
      <c r="BP206" s="17">
        <f t="shared" si="374"/>
        <v>189</v>
      </c>
      <c r="BQ206" t="str">
        <f t="shared" si="375"/>
        <v>event_team_player_1</v>
      </c>
      <c r="BR206">
        <f>COUNTIFS(S$3:S206,"="&amp;S206,AH$3:AH206,"="&amp;AH206)</f>
        <v>1</v>
      </c>
      <c r="BS206" t="str">
        <f>IFERROR(VLOOKUP(BA206&amp;BT206&amp;X206,game_rosters!U:W,3,FALSE),"")</f>
        <v>P100001</v>
      </c>
      <c r="BT206" t="str">
        <f t="shared" si="376"/>
        <v>Velodrome</v>
      </c>
    </row>
    <row r="207" spans="1:72" x14ac:dyDescent="0.2">
      <c r="A207" t="str">
        <f t="shared" si="351"/>
        <v/>
      </c>
      <c r="E207" s="4"/>
      <c r="F207" s="45"/>
      <c r="G207" s="4"/>
      <c r="H207" s="47"/>
      <c r="I207" s="26">
        <v>41</v>
      </c>
      <c r="J207" s="26" t="str">
        <f t="shared" si="377"/>
        <v/>
      </c>
      <c r="N207" t="str">
        <f t="shared" si="291"/>
        <v/>
      </c>
      <c r="O207" t="s">
        <v>164</v>
      </c>
      <c r="Q207" t="str">
        <f t="shared" si="285"/>
        <v>u</v>
      </c>
      <c r="R207" s="26">
        <v>1</v>
      </c>
      <c r="S207">
        <f>IF(A207=1,MAX($S$2:$S206)+1,IF(OR($I207&lt;&gt;"",A207="x"),$S206,""))</f>
        <v>108</v>
      </c>
      <c r="T207" t="str">
        <f>IF(D207=1,MAX($T$2:$T206)+1,IF(S207=S206,$T206,IF(D207="x",T206,IF(D206="x","",""))))</f>
        <v/>
      </c>
      <c r="U207" t="str">
        <f>IF(B207=1,MAX($U$2:$U206)+1,IF(AND($T207&lt;&gt;"",$T207=$T206),$U206,IF(B207="x",U206,"")))</f>
        <v/>
      </c>
      <c r="V207" t="str">
        <f>IF(C207=1,MAX($V$2:$V206)+1,IF(AND($T207&lt;&gt;"",$T207=$T206),$U206,IF(C207="x",V206,"")))</f>
        <v/>
      </c>
      <c r="W207" t="str" cm="1">
        <f t="array" ref="W207">IFERROR(_xlfn._xlws.FILTER(game_rosters!AC:AC,(game_rosters!J:J=events!X207)*(K207&lt;&gt;"")),"")</f>
        <v/>
      </c>
      <c r="X207" cm="1">
        <f t="array" ref="X207">IF($I207&lt;&gt;"",$I207,INDEX($I$1:$I207,ROW()-COUNTIFS($T$1:$T207,"="&amp;$T207,$S$1:$S207,"&lt;"&amp;$S207)))</f>
        <v>41</v>
      </c>
      <c r="Y207" t="str" cm="1">
        <f t="array" ref="Y207">IFERROR(IF(_xlfn._xlws.FILTER(game_rosters!$J:$J,(game_rosters!$G:$G=events!$AM207)*(game_rosters!$J:$J=events!$X207))&gt;0,1,""),"")</f>
        <v/>
      </c>
      <c r="Z207" s="6">
        <f t="shared" si="352"/>
        <v>1</v>
      </c>
      <c r="AA207">
        <f t="shared" si="353"/>
        <v>1108</v>
      </c>
      <c r="AB207" t="str">
        <f t="shared" si="354"/>
        <v/>
      </c>
      <c r="AC207">
        <f t="shared" si="355"/>
        <v>1108</v>
      </c>
      <c r="AD207" t="str">
        <f t="shared" si="356"/>
        <v>14</v>
      </c>
      <c r="AE207" t="str">
        <f t="shared" si="357"/>
        <v>53</v>
      </c>
      <c r="AF207" t="str">
        <f t="shared" si="358"/>
        <v>14</v>
      </c>
      <c r="AG207" t="str">
        <f t="shared" si="359"/>
        <v>51</v>
      </c>
      <c r="AH207" t="str">
        <f t="shared" si="298"/>
        <v>o</v>
      </c>
      <c r="AI207" t="str">
        <f t="shared" si="383"/>
        <v>o</v>
      </c>
      <c r="AJ207" t="str">
        <f t="shared" si="383"/>
        <v>o</v>
      </c>
      <c r="AK207" t="str">
        <f t="shared" si="300"/>
        <v/>
      </c>
      <c r="AL207" t="str">
        <f t="shared" si="301"/>
        <v/>
      </c>
      <c r="AM207" t="str">
        <f t="shared" si="360"/>
        <v>Away</v>
      </c>
      <c r="AN207" t="str">
        <f t="shared" si="302"/>
        <v>a</v>
      </c>
      <c r="AO207" t="str">
        <f t="shared" si="303"/>
        <v>d</v>
      </c>
      <c r="AP207" t="str">
        <f t="shared" si="304"/>
        <v>o</v>
      </c>
      <c r="AQ207" t="str">
        <f>IF(AM207&lt;&gt;"",AM207,IF($AC207=#REF!,#REF!,""))</f>
        <v>Away</v>
      </c>
      <c r="AR207" t="str">
        <f t="shared" si="305"/>
        <v>a</v>
      </c>
      <c r="AS207" t="str">
        <f t="shared" si="306"/>
        <v>Defensive</v>
      </c>
      <c r="AT207" t="str">
        <f t="shared" si="361"/>
        <v/>
      </c>
      <c r="AU207" t="str">
        <f t="shared" si="362"/>
        <v/>
      </c>
      <c r="AV207" t="str" cm="1">
        <f t="array" ref="AV207">IFERROR(IF(O207&lt;&gt;"",O207,IF(OR($S207="",$T207=""),"",IF(O207&lt;&gt;"",O207,IF($T207&lt;&gt;"",_xlfn._xlws.FILTER(O:O,($BT:$BT=$BT207)*($I:$I=$I207)*($T:$T=$T207)*($S:$S=_xlfn.MINIFS($S:$S,$T:$T,"="&amp;$T207)),"")))))&amp;"",IF(O207="","",""))&amp;""</f>
        <v>BeatDeke</v>
      </c>
      <c r="AW207" t="str" cm="1">
        <f t="array" ref="AW207">IFERROR(IF(P207&lt;&gt;"",P207,IF(OR($S207="",$T207=""),"",IF($T207&lt;&gt;"",_xlfn._xlws.FILTER(P:P,($BT:$BT=$BT207)*($I:$I=$I207)*($T:$T=$T207)*($S:$S=_xlfn.MINIFS($S:$S,$T:$T,"="&amp;$T207)),""))))&amp;"",IF(P207="","",""))&amp;""</f>
        <v/>
      </c>
      <c r="AX207" t="str" cm="1">
        <f t="array" ref="AX207">IFERROR(IF(Q207&lt;&gt;"",Q207,IF(OR($S207="",$T207=""),"",IF($T207&lt;&gt;"",_xlfn._xlws.FILTER(Q:Q,($BT:$BT=$BT207)*($I:$I=$I207)*($T:$T=$T207)*($S:$S=_xlfn.MINIFS($S:$S,$T:$T,"="&amp;$T207)),""))))&amp;"",IF(Q207="","",""))&amp;""</f>
        <v>u</v>
      </c>
      <c r="AY207" t="str" cm="1">
        <f t="array" ref="AY207">IFERROR(IF(R207&lt;&gt;"",R207,IF(OR($S207="",$T207=""),"",IF($T207&lt;&gt;"",_xlfn._xlws.FILTER(R:R,($BT:$BT=$BT207)*($I:$I=$I207)*($T:$T=$T207)*($S:$S=_xlfn.MINIFS($S:$S,$T:$T,"="&amp;$T207)),""))))&amp;"",IF(R207="","",""))&amp;""</f>
        <v>1</v>
      </c>
      <c r="AZ207" s="6">
        <f t="shared" si="363"/>
        <v>22</v>
      </c>
      <c r="BA207">
        <f t="shared" ref="BA207:BC207" si="388">BA206</f>
        <v>18991</v>
      </c>
      <c r="BB207" t="str">
        <f t="shared" si="388"/>
        <v>Triple J</v>
      </c>
      <c r="BC207" t="str">
        <f t="shared" si="388"/>
        <v>Velodrome</v>
      </c>
      <c r="BD207" t="str">
        <f t="shared" si="365"/>
        <v>Zone_Entry_Exit</v>
      </c>
      <c r="BE207" t="str">
        <f t="shared" si="366"/>
        <v>Zone_Entry</v>
      </c>
      <c r="BF207" t="str">
        <f t="shared" si="367"/>
        <v>ZoneEntry-Rush</v>
      </c>
      <c r="BG207" t="str">
        <f t="shared" si="22"/>
        <v>s</v>
      </c>
      <c r="BH207" cm="1">
        <f t="array" aca="1" ref="BH207" ca="1">IFERROR(_xlfn._xlws.FILTER(shifts!A:A,(shifts!B:B=events!Z207)*(shifts!AG:AG&gt;=events!BJ207)*(shifts!AH:AH&lt;=events!BK207)),BH206)</f>
        <v>8</v>
      </c>
      <c r="BI207" s="15">
        <f t="shared" si="368"/>
        <v>2</v>
      </c>
      <c r="BJ207">
        <f t="shared" si="369"/>
        <v>893</v>
      </c>
      <c r="BK207">
        <f t="shared" si="370"/>
        <v>891</v>
      </c>
      <c r="BL207" s="15">
        <f>SUMIFS(BI$2:BI207,K$2:K207,"=Intermission")+SUMIFS(BI$2:BI207,K$2:K207,"=Timeout")</f>
        <v>0</v>
      </c>
      <c r="BM207">
        <f t="shared" si="371"/>
        <v>0</v>
      </c>
      <c r="BN207" s="19">
        <f t="shared" si="372"/>
        <v>187</v>
      </c>
      <c r="BO207">
        <f t="shared" si="373"/>
        <v>182</v>
      </c>
      <c r="BP207" s="17">
        <f t="shared" si="374"/>
        <v>189</v>
      </c>
      <c r="BQ207" t="str">
        <f t="shared" si="375"/>
        <v>opp_team_player_1</v>
      </c>
      <c r="BR207">
        <f>COUNTIFS(S$3:S207,"="&amp;S207,AH$3:AH207,"="&amp;AH207)</f>
        <v>1</v>
      </c>
      <c r="BS207" t="str">
        <f>IFERROR(VLOOKUP(BA207&amp;BT207&amp;X207,game_rosters!U:W,3,FALSE),"")</f>
        <v>P100206</v>
      </c>
      <c r="BT207" t="str">
        <f t="shared" si="376"/>
        <v>Triple J</v>
      </c>
    </row>
    <row r="208" spans="1:72" x14ac:dyDescent="0.2">
      <c r="A208">
        <f t="shared" si="351"/>
        <v>1</v>
      </c>
      <c r="E208" s="4"/>
      <c r="F208" s="45"/>
      <c r="G208" s="4"/>
      <c r="H208" s="47" t="s">
        <v>1045</v>
      </c>
      <c r="I208" s="26">
        <v>70</v>
      </c>
      <c r="J208" s="26" t="s">
        <v>368</v>
      </c>
      <c r="K208" t="s">
        <v>13</v>
      </c>
      <c r="N208" t="str">
        <f t="shared" si="291"/>
        <v/>
      </c>
      <c r="O208" t="s">
        <v>149</v>
      </c>
      <c r="Q208" t="str">
        <f t="shared" ref="Q208:Q271" si="389">IF(O208="","",IF(AND(N208&lt;&gt;"",OR(O208&lt;&gt;"",P208&lt;&gt;"")),N208,IF(OR(ISNUMBER(SEARCH("attemp",O208)),ISNUMBER(SEARCH("beat",O208)),ISNUMBER(SEARCH("mis",O208)),ISNUMBER(SEARCH("fail",O208)),ISNUMBER(SEARCH("loss",O208)),ISNUMBER(SEARCH("lost",O208)),ISNUMBER(SEARCH("attemp",P208)),ISNUMBER(SEARCH("mis",P208)),ISNUMBER(SEARCH("fail",P208)),ISNUMBER(SEARCH("loss",P208)),ISNUMBER(SEARCH("beat",P208)),ISNUMBER(SEARCH("lost",P208))),"u","")))</f>
        <v/>
      </c>
      <c r="R208" s="26">
        <v>1</v>
      </c>
      <c r="S208">
        <f>IF(A208=1,MAX($S$2:$S207)+1,IF(OR($I208&lt;&gt;"",A208="x"),$S207,""))</f>
        <v>109</v>
      </c>
      <c r="T208" t="str">
        <f>IF(D208=1,MAX($T$2:$T207)+1,IF(S208=S207,$T207,IF(D208="x",T207,IF(D207="x","",""))))</f>
        <v/>
      </c>
      <c r="U208" t="str">
        <f>IF(B208=1,MAX($U$2:$U207)+1,IF(AND($T208&lt;&gt;"",$T208=$T207),$U207,IF(B208="x",U207,"")))</f>
        <v/>
      </c>
      <c r="V208" t="str">
        <f>IF(C208=1,MAX($V$2:$V207)+1,IF(AND($T208&lt;&gt;"",$T208=$T207),$U207,IF(C208="x",V207,"")))</f>
        <v/>
      </c>
      <c r="W208" t="str" cm="1">
        <f t="array" ref="W208">IFERROR(_xlfn._xlws.FILTER(game_rosters!AC:AC,(game_rosters!J:J=events!X208)*(K208&lt;&gt;"")),"")</f>
        <v>a</v>
      </c>
      <c r="X208" cm="1">
        <f t="array" ref="X208">IF($I208&lt;&gt;"",$I208,INDEX($I$1:$I208,ROW()-COUNTIFS($T$1:$T208,"="&amp;$T208,$S$1:$S208,"&lt;"&amp;$S208)))</f>
        <v>70</v>
      </c>
      <c r="Y208" cm="1">
        <f t="array" ref="Y208">IFERROR(IF(_xlfn._xlws.FILTER(game_rosters!$J:$J,(game_rosters!$G:$G=events!$AM208)*(game_rosters!$J:$J=events!$X208))&gt;0,1,""),"")</f>
        <v>1</v>
      </c>
      <c r="Z208" s="6">
        <f t="shared" si="352"/>
        <v>1</v>
      </c>
      <c r="AA208">
        <f t="shared" si="353"/>
        <v>1109</v>
      </c>
      <c r="AB208" t="str">
        <f t="shared" si="354"/>
        <v/>
      </c>
      <c r="AC208">
        <f t="shared" si="355"/>
        <v>1109</v>
      </c>
      <c r="AD208" t="str">
        <f t="shared" si="356"/>
        <v>14</v>
      </c>
      <c r="AE208" t="str">
        <f t="shared" si="357"/>
        <v>51</v>
      </c>
      <c r="AF208" t="str">
        <f t="shared" si="358"/>
        <v>14</v>
      </c>
      <c r="AG208" t="str">
        <f t="shared" si="359"/>
        <v>50</v>
      </c>
      <c r="AH208" t="str">
        <f t="shared" si="298"/>
        <v>e</v>
      </c>
      <c r="AI208" t="str">
        <f t="shared" si="383"/>
        <v>o</v>
      </c>
      <c r="AJ208" t="str">
        <f t="shared" si="383"/>
        <v>o</v>
      </c>
      <c r="AK208" t="str">
        <f t="shared" si="300"/>
        <v>d</v>
      </c>
      <c r="AL208" t="str">
        <f t="shared" si="301"/>
        <v>o</v>
      </c>
      <c r="AM208" t="str">
        <f t="shared" si="360"/>
        <v>Away</v>
      </c>
      <c r="AN208" t="str">
        <f t="shared" si="302"/>
        <v>a</v>
      </c>
      <c r="AO208" t="str">
        <f t="shared" si="303"/>
        <v>d</v>
      </c>
      <c r="AP208" t="str">
        <f t="shared" si="304"/>
        <v>o</v>
      </c>
      <c r="AQ208" t="str">
        <f>IF(AM208&lt;&gt;"",AM208,IF($AC208=#REF!,#REF!,""))</f>
        <v>Away</v>
      </c>
      <c r="AR208" t="str">
        <f t="shared" si="305"/>
        <v>a</v>
      </c>
      <c r="AS208" t="str">
        <f t="shared" si="306"/>
        <v>Offensive</v>
      </c>
      <c r="AT208" t="str">
        <f t="shared" si="361"/>
        <v/>
      </c>
      <c r="AU208" t="str">
        <f t="shared" si="362"/>
        <v/>
      </c>
      <c r="AV208" t="str" cm="1">
        <f t="array" ref="AV208">IFERROR(IF(O208&lt;&gt;"",O208,IF(OR($S208="",$T208=""),"",IF(O208&lt;&gt;"",O208,IF($T208&lt;&gt;"",_xlfn._xlws.FILTER(O:O,($BT:$BT=$BT208)*($I:$I=$I208)*($T:$T=$T208)*($S:$S=_xlfn.MINIFS($S:$S,$T:$T,"="&amp;$T208)),"")))))&amp;"",IF(O208="","",""))&amp;""</f>
        <v>Delay</v>
      </c>
      <c r="AW208" t="str" cm="1">
        <f t="array" ref="AW208">IFERROR(IF(P208&lt;&gt;"",P208,IF(OR($S208="",$T208=""),"",IF($T208&lt;&gt;"",_xlfn._xlws.FILTER(P:P,($BT:$BT=$BT208)*($I:$I=$I208)*($T:$T=$T208)*($S:$S=_xlfn.MINIFS($S:$S,$T:$T,"="&amp;$T208)),""))))&amp;"",IF(P208="","",""))&amp;""</f>
        <v/>
      </c>
      <c r="AX208" t="str" cm="1">
        <f t="array" ref="AX208">IFERROR(IF(Q208&lt;&gt;"",Q208,IF(OR($S208="",$T208=""),"",IF($T208&lt;&gt;"",_xlfn._xlws.FILTER(Q:Q,($BT:$BT=$BT208)*($I:$I=$I208)*($T:$T=$T208)*($S:$S=_xlfn.MINIFS($S:$S,$T:$T,"="&amp;$T208)),""))))&amp;"",IF(Q208="","",""))&amp;""</f>
        <v/>
      </c>
      <c r="AY208" t="str" cm="1">
        <f t="array" ref="AY208">IFERROR(IF(R208&lt;&gt;"",R208,IF(OR($S208="",$T208=""),"",IF($T208&lt;&gt;"",_xlfn._xlws.FILTER(R:R,($BT:$BT=$BT208)*($I:$I=$I208)*($T:$T=$T208)*($S:$S=_xlfn.MINIFS($S:$S,$T:$T,"="&amp;$T208)),""))))&amp;"",IF(R208="","",""))&amp;""</f>
        <v>1</v>
      </c>
      <c r="AZ208" s="6">
        <f t="shared" si="363"/>
        <v>22</v>
      </c>
      <c r="BA208">
        <f t="shared" ref="BA208:BC208" si="390">BA207</f>
        <v>18991</v>
      </c>
      <c r="BB208" t="str">
        <f t="shared" si="390"/>
        <v>Triple J</v>
      </c>
      <c r="BC208" t="str">
        <f t="shared" si="390"/>
        <v>Velodrome</v>
      </c>
      <c r="BD208" t="str">
        <f t="shared" si="365"/>
        <v>Possession</v>
      </c>
      <c r="BE208" t="str">
        <f t="shared" si="366"/>
        <v/>
      </c>
      <c r="BF208" t="str">
        <f t="shared" si="367"/>
        <v/>
      </c>
      <c r="BG208" t="str">
        <f t="shared" si="22"/>
        <v/>
      </c>
      <c r="BH208" cm="1">
        <f t="array" aca="1" ref="BH208" ca="1">IFERROR(_xlfn._xlws.FILTER(shifts!A:A,(shifts!B:B=events!Z208)*(shifts!AG:AG&gt;=events!BJ208)*(shifts!AH:AH&lt;=events!BK208)),BH207)</f>
        <v>8</v>
      </c>
      <c r="BI208" s="15">
        <f t="shared" si="368"/>
        <v>1</v>
      </c>
      <c r="BJ208">
        <f t="shared" si="369"/>
        <v>891</v>
      </c>
      <c r="BK208">
        <f t="shared" si="370"/>
        <v>890</v>
      </c>
      <c r="BL208" s="15">
        <f>SUMIFS(BI$2:BI208,K$2:K208,"=Intermission")+SUMIFS(BI$2:BI208,K$2:K208,"=Timeout")</f>
        <v>0</v>
      </c>
      <c r="BM208">
        <f t="shared" si="371"/>
        <v>0</v>
      </c>
      <c r="BN208" s="19">
        <f t="shared" si="372"/>
        <v>189</v>
      </c>
      <c r="BO208">
        <f t="shared" si="373"/>
        <v>184</v>
      </c>
      <c r="BP208" s="17">
        <f t="shared" si="374"/>
        <v>190</v>
      </c>
      <c r="BQ208" t="str">
        <f t="shared" si="375"/>
        <v>event_team_player_1</v>
      </c>
      <c r="BR208">
        <f>COUNTIFS(S$3:S208,"="&amp;S208,AH$3:AH208,"="&amp;AH208)</f>
        <v>1</v>
      </c>
      <c r="BS208" t="str">
        <f>IFERROR(VLOOKUP(BA208&amp;BT208&amp;X208,game_rosters!U:W,3,FALSE),"")</f>
        <v>P100001</v>
      </c>
      <c r="BT208" t="str">
        <f t="shared" si="376"/>
        <v>Velodrome</v>
      </c>
    </row>
    <row r="209" spans="1:72" x14ac:dyDescent="0.2">
      <c r="A209" t="str">
        <f t="shared" si="351"/>
        <v/>
      </c>
      <c r="E209" s="4"/>
      <c r="F209" s="45"/>
      <c r="G209" s="4"/>
      <c r="H209" s="47"/>
      <c r="I209" s="26">
        <v>71</v>
      </c>
      <c r="J209" s="26" t="str">
        <f t="shared" si="377"/>
        <v/>
      </c>
      <c r="N209" t="str">
        <f t="shared" si="291"/>
        <v/>
      </c>
      <c r="Q209" t="str">
        <f t="shared" si="389"/>
        <v/>
      </c>
      <c r="R209" s="26">
        <v>1</v>
      </c>
      <c r="S209">
        <f>IF(A209=1,MAX($S$2:$S208)+1,IF(OR($I209&lt;&gt;"",A209="x"),$S208,""))</f>
        <v>109</v>
      </c>
      <c r="T209" t="str">
        <f>IF(D209=1,MAX($T$2:$T208)+1,IF(S209=S208,$T208,IF(D209="x",T208,IF(D208="x","",""))))</f>
        <v/>
      </c>
      <c r="U209" t="str">
        <f>IF(B209=1,MAX($U$2:$U208)+1,IF(AND($T209&lt;&gt;"",$T209=$T208),$U208,IF(B209="x",U208,"")))</f>
        <v/>
      </c>
      <c r="V209" t="str">
        <f>IF(C209=1,MAX($V$2:$V208)+1,IF(AND($T209&lt;&gt;"",$T209=$T208),$U208,IF(C209="x",V208,"")))</f>
        <v/>
      </c>
      <c r="W209" t="str" cm="1">
        <f t="array" ref="W209">IFERROR(_xlfn._xlws.FILTER(game_rosters!AC:AC,(game_rosters!J:J=events!X209)*(K209&lt;&gt;"")),"")</f>
        <v/>
      </c>
      <c r="X209" cm="1">
        <f t="array" ref="X209">IF($I209&lt;&gt;"",$I209,INDEX($I$1:$I209,ROW()-COUNTIFS($T$1:$T209,"="&amp;$T209,$S$1:$S209,"&lt;"&amp;$S209)))</f>
        <v>71</v>
      </c>
      <c r="Y209" t="str" cm="1">
        <f t="array" ref="Y209">IFERROR(IF(_xlfn._xlws.FILTER(game_rosters!$J:$J,(game_rosters!$G:$G=events!$AM209)*(game_rosters!$J:$J=events!$X209))&gt;0,1,""),"")</f>
        <v/>
      </c>
      <c r="Z209" s="6">
        <f t="shared" si="352"/>
        <v>1</v>
      </c>
      <c r="AA209">
        <f t="shared" si="353"/>
        <v>1109</v>
      </c>
      <c r="AB209" t="str">
        <f t="shared" si="354"/>
        <v/>
      </c>
      <c r="AC209">
        <f t="shared" si="355"/>
        <v>1109</v>
      </c>
      <c r="AD209" t="str">
        <f t="shared" si="356"/>
        <v>14</v>
      </c>
      <c r="AE209" t="str">
        <f t="shared" si="357"/>
        <v>51</v>
      </c>
      <c r="AF209" t="str">
        <f t="shared" si="358"/>
        <v>14</v>
      </c>
      <c r="AG209" t="str">
        <f t="shared" si="359"/>
        <v>50</v>
      </c>
      <c r="AH209" t="str">
        <f t="shared" si="298"/>
        <v>o</v>
      </c>
      <c r="AI209" t="str">
        <f t="shared" si="383"/>
        <v>o</v>
      </c>
      <c r="AJ209" t="str">
        <f t="shared" si="383"/>
        <v>o</v>
      </c>
      <c r="AK209" t="str">
        <f t="shared" si="300"/>
        <v/>
      </c>
      <c r="AL209" t="str">
        <f t="shared" si="301"/>
        <v/>
      </c>
      <c r="AM209" t="str">
        <f t="shared" si="360"/>
        <v>Away</v>
      </c>
      <c r="AN209" t="str">
        <f t="shared" si="302"/>
        <v>a</v>
      </c>
      <c r="AO209" t="str">
        <f t="shared" si="303"/>
        <v>d</v>
      </c>
      <c r="AP209" t="str">
        <f t="shared" si="304"/>
        <v>o</v>
      </c>
      <c r="AQ209" t="str">
        <f>IF(AM209&lt;&gt;"",AM209,IF($AC209=#REF!,#REF!,""))</f>
        <v>Away</v>
      </c>
      <c r="AR209" t="str">
        <f t="shared" si="305"/>
        <v>a</v>
      </c>
      <c r="AS209" t="str">
        <f t="shared" si="306"/>
        <v>Defensive</v>
      </c>
      <c r="AT209" t="str">
        <f t="shared" si="361"/>
        <v/>
      </c>
      <c r="AU209" t="str">
        <f t="shared" si="362"/>
        <v/>
      </c>
      <c r="AV209" t="str" cm="1">
        <f t="array" ref="AV209">IFERROR(IF(O209&lt;&gt;"",O209,IF(OR($S209="",$T209=""),"",IF(O209&lt;&gt;"",O209,IF($T209&lt;&gt;"",_xlfn._xlws.FILTER(O:O,($BT:$BT=$BT209)*($I:$I=$I209)*($T:$T=$T209)*($S:$S=_xlfn.MINIFS($S:$S,$T:$T,"="&amp;$T209)),"")))))&amp;"",IF(O209="","",""))&amp;""</f>
        <v/>
      </c>
      <c r="AW209" t="str" cm="1">
        <f t="array" ref="AW209">IFERROR(IF(P209&lt;&gt;"",P209,IF(OR($S209="",$T209=""),"",IF($T209&lt;&gt;"",_xlfn._xlws.FILTER(P:P,($BT:$BT=$BT209)*($I:$I=$I209)*($T:$T=$T209)*($S:$S=_xlfn.MINIFS($S:$S,$T:$T,"="&amp;$T209)),""))))&amp;"",IF(P209="","",""))&amp;""</f>
        <v/>
      </c>
      <c r="AX209" t="str" cm="1">
        <f t="array" ref="AX209">IFERROR(IF(Q209&lt;&gt;"",Q209,IF(OR($S209="",$T209=""),"",IF($T209&lt;&gt;"",_xlfn._xlws.FILTER(Q:Q,($BT:$BT=$BT209)*($I:$I=$I209)*($T:$T=$T209)*($S:$S=_xlfn.MINIFS($S:$S,$T:$T,"="&amp;$T209)),""))))&amp;"",IF(Q209="","",""))&amp;""</f>
        <v/>
      </c>
      <c r="AY209" t="str" cm="1">
        <f t="array" ref="AY209">IFERROR(IF(R209&lt;&gt;"",R209,IF(OR($S209="",$T209=""),"",IF($T209&lt;&gt;"",_xlfn._xlws.FILTER(R:R,($BT:$BT=$BT209)*($I:$I=$I209)*($T:$T=$T209)*($S:$S=_xlfn.MINIFS($S:$S,$T:$T,"="&amp;$T209)),""))))&amp;"",IF(R209="","",""))&amp;""</f>
        <v>1</v>
      </c>
      <c r="AZ209" s="6">
        <f t="shared" si="363"/>
        <v>22</v>
      </c>
      <c r="BA209">
        <f t="shared" ref="BA209:BC209" si="391">BA208</f>
        <v>18991</v>
      </c>
      <c r="BB209" t="str">
        <f t="shared" si="391"/>
        <v>Triple J</v>
      </c>
      <c r="BC209" t="str">
        <f t="shared" si="391"/>
        <v>Velodrome</v>
      </c>
      <c r="BD209" t="str">
        <f t="shared" si="365"/>
        <v>Possession</v>
      </c>
      <c r="BE209" t="str">
        <f t="shared" si="366"/>
        <v/>
      </c>
      <c r="BF209" t="str">
        <f t="shared" si="367"/>
        <v/>
      </c>
      <c r="BG209" t="str">
        <f t="shared" si="22"/>
        <v/>
      </c>
      <c r="BH209" cm="1">
        <f t="array" aca="1" ref="BH209" ca="1">IFERROR(_xlfn._xlws.FILTER(shifts!A:A,(shifts!B:B=events!Z209)*(shifts!AG:AG&gt;=events!BJ209)*(shifts!AH:AH&lt;=events!BK209)),BH208)</f>
        <v>8</v>
      </c>
      <c r="BI209" s="15">
        <f t="shared" si="368"/>
        <v>1</v>
      </c>
      <c r="BJ209">
        <f t="shared" si="369"/>
        <v>891</v>
      </c>
      <c r="BK209">
        <f t="shared" si="370"/>
        <v>890</v>
      </c>
      <c r="BL209" s="15">
        <f>SUMIFS(BI$2:BI209,K$2:K209,"=Intermission")+SUMIFS(BI$2:BI209,K$2:K209,"=Timeout")</f>
        <v>0</v>
      </c>
      <c r="BM209">
        <f t="shared" si="371"/>
        <v>0</v>
      </c>
      <c r="BN209" s="19">
        <f t="shared" si="372"/>
        <v>189</v>
      </c>
      <c r="BO209">
        <f t="shared" si="373"/>
        <v>184</v>
      </c>
      <c r="BP209" s="17">
        <f t="shared" si="374"/>
        <v>190</v>
      </c>
      <c r="BQ209" t="str">
        <f t="shared" si="375"/>
        <v>opp_team_player_1</v>
      </c>
      <c r="BR209">
        <f>COUNTIFS(S$3:S209,"="&amp;S209,AH$3:AH209,"="&amp;AH209)</f>
        <v>1</v>
      </c>
      <c r="BS209" t="str">
        <f>IFERROR(VLOOKUP(BA209&amp;BT209&amp;X209,game_rosters!U:W,3,FALSE),"")</f>
        <v>P100008</v>
      </c>
      <c r="BT209" t="str">
        <f t="shared" si="376"/>
        <v>Triple J</v>
      </c>
    </row>
    <row r="210" spans="1:72" x14ac:dyDescent="0.2">
      <c r="A210">
        <f t="shared" si="351"/>
        <v>1</v>
      </c>
      <c r="E210" s="4"/>
      <c r="F210" s="45"/>
      <c r="G210" s="4"/>
      <c r="H210" s="47"/>
      <c r="I210" s="26">
        <v>70</v>
      </c>
      <c r="J210" s="26" t="s">
        <v>368</v>
      </c>
      <c r="K210" t="s">
        <v>7</v>
      </c>
      <c r="L210" t="s">
        <v>172</v>
      </c>
      <c r="M210" t="s">
        <v>67</v>
      </c>
      <c r="N210" t="str">
        <f t="shared" si="291"/>
        <v>s</v>
      </c>
      <c r="Q210" t="str">
        <f t="shared" si="389"/>
        <v/>
      </c>
      <c r="S210">
        <f>IF(A210=1,MAX($S$2:$S209)+1,IF(OR($I210&lt;&gt;"",A210="x"),$S209,""))</f>
        <v>110</v>
      </c>
      <c r="T210" t="str">
        <f>IF(D210=1,MAX($T$2:$T209)+1,IF(S210=S209,$T209,IF(D210="x",T209,IF(D209="x","",""))))</f>
        <v/>
      </c>
      <c r="U210" t="str">
        <f>IF(B210=1,MAX($U$2:$U209)+1,IF(AND($T210&lt;&gt;"",$T210=$T209),$U209,IF(B210="x",U209,"")))</f>
        <v/>
      </c>
      <c r="V210" t="str">
        <f>IF(C210=1,MAX($V$2:$V209)+1,IF(AND($T210&lt;&gt;"",$T210=$T209),$U209,IF(C210="x",V209,"")))</f>
        <v/>
      </c>
      <c r="W210" t="str" cm="1">
        <f t="array" ref="W210">IFERROR(_xlfn._xlws.FILTER(game_rosters!AC:AC,(game_rosters!J:J=events!X210)*(K210&lt;&gt;"")),"")</f>
        <v>a</v>
      </c>
      <c r="X210" cm="1">
        <f t="array" ref="X210">IF($I210&lt;&gt;"",$I210,INDEX($I$1:$I210,ROW()-COUNTIFS($T$1:$T210,"="&amp;$T210,$S$1:$S210,"&lt;"&amp;$S210)))</f>
        <v>70</v>
      </c>
      <c r="Y210" cm="1">
        <f t="array" ref="Y210">IFERROR(IF(_xlfn._xlws.FILTER(game_rosters!$J:$J,(game_rosters!$G:$G=events!$AM210)*(game_rosters!$J:$J=events!$X210))&gt;0,1,""),"")</f>
        <v>1</v>
      </c>
      <c r="Z210" s="6">
        <f t="shared" si="352"/>
        <v>1</v>
      </c>
      <c r="AA210">
        <f t="shared" si="353"/>
        <v>1110</v>
      </c>
      <c r="AB210" t="str">
        <f t="shared" si="354"/>
        <v/>
      </c>
      <c r="AC210">
        <f t="shared" si="355"/>
        <v>1110</v>
      </c>
      <c r="AD210" t="str">
        <f t="shared" si="356"/>
        <v>14</v>
      </c>
      <c r="AE210" t="str">
        <f t="shared" si="357"/>
        <v>50</v>
      </c>
      <c r="AF210" t="str">
        <f t="shared" si="358"/>
        <v/>
      </c>
      <c r="AG210" t="str">
        <f t="shared" si="359"/>
        <v/>
      </c>
      <c r="AH210" t="str">
        <f t="shared" si="298"/>
        <v>e</v>
      </c>
      <c r="AI210" t="str">
        <f t="shared" si="383"/>
        <v>o</v>
      </c>
      <c r="AJ210" t="str">
        <f t="shared" si="383"/>
        <v>o</v>
      </c>
      <c r="AK210" t="str">
        <f t="shared" si="300"/>
        <v>d</v>
      </c>
      <c r="AL210" t="str">
        <f t="shared" si="301"/>
        <v>o</v>
      </c>
      <c r="AM210" t="str">
        <f t="shared" si="360"/>
        <v>Away</v>
      </c>
      <c r="AN210" t="str">
        <f t="shared" si="302"/>
        <v>a</v>
      </c>
      <c r="AO210" t="str">
        <f t="shared" si="303"/>
        <v>d</v>
      </c>
      <c r="AP210" t="str">
        <f t="shared" si="304"/>
        <v>o</v>
      </c>
      <c r="AQ210" t="str">
        <f>IF(AM210&lt;&gt;"",AM210,IF($AC210=#REF!,#REF!,""))</f>
        <v>Away</v>
      </c>
      <c r="AR210" t="str">
        <f t="shared" si="305"/>
        <v>a</v>
      </c>
      <c r="AS210" t="str">
        <f t="shared" si="306"/>
        <v>Offensive</v>
      </c>
      <c r="AT210" t="str">
        <f t="shared" si="361"/>
        <v/>
      </c>
      <c r="AU210" t="str">
        <f t="shared" si="362"/>
        <v/>
      </c>
      <c r="AV210" t="str" cm="1">
        <f t="array" ref="AV210">IFERROR(IF(O210&lt;&gt;"",O210,IF(OR($S210="",$T210=""),"",IF(O210&lt;&gt;"",O210,IF($T210&lt;&gt;"",_xlfn._xlws.FILTER(O:O,($BT:$BT=$BT210)*($I:$I=$I210)*($T:$T=$T210)*($S:$S=_xlfn.MINIFS($S:$S,$T:$T,"="&amp;$T210)),"")))))&amp;"",IF(O210="","",""))&amp;""</f>
        <v/>
      </c>
      <c r="AW210" t="str" cm="1">
        <f t="array" ref="AW210">IFERROR(IF(P210&lt;&gt;"",P210,IF(OR($S210="",$T210=""),"",IF($T210&lt;&gt;"",_xlfn._xlws.FILTER(P:P,($BT:$BT=$BT210)*($I:$I=$I210)*($T:$T=$T210)*($S:$S=_xlfn.MINIFS($S:$S,$T:$T,"="&amp;$T210)),""))))&amp;"",IF(P210="","",""))&amp;""</f>
        <v/>
      </c>
      <c r="AX210" t="str" cm="1">
        <f t="array" ref="AX210">IFERROR(IF(Q210&lt;&gt;"",Q210,IF(OR($S210="",$T210=""),"",IF($T210&lt;&gt;"",_xlfn._xlws.FILTER(Q:Q,($BT:$BT=$BT210)*($I:$I=$I210)*($T:$T=$T210)*($S:$S=_xlfn.MINIFS($S:$S,$T:$T,"="&amp;$T210)),""))))&amp;"",IF(Q210="","",""))&amp;""</f>
        <v/>
      </c>
      <c r="AY210" t="str" cm="1">
        <f t="array" ref="AY210">IFERROR(IF(R210&lt;&gt;"",R210,IF(OR($S210="",$T210=""),"",IF($T210&lt;&gt;"",_xlfn._xlws.FILTER(R:R,($BT:$BT=$BT210)*($I:$I=$I210)*($T:$T=$T210)*($S:$S=_xlfn.MINIFS($S:$S,$T:$T,"="&amp;$T210)),""))))&amp;"",IF(R210="","",""))&amp;""</f>
        <v/>
      </c>
      <c r="AZ210" s="6">
        <f t="shared" si="363"/>
        <v>22</v>
      </c>
      <c r="BA210">
        <f t="shared" ref="BA210:BC210" si="392">BA209</f>
        <v>18991</v>
      </c>
      <c r="BB210" t="str">
        <f t="shared" si="392"/>
        <v>Triple J</v>
      </c>
      <c r="BC210" t="str">
        <f t="shared" si="392"/>
        <v>Velodrome</v>
      </c>
      <c r="BD210" t="str">
        <f t="shared" si="365"/>
        <v>Pass</v>
      </c>
      <c r="BE210" t="str">
        <f t="shared" si="366"/>
        <v>Pass_Completed</v>
      </c>
      <c r="BF210" t="str">
        <f t="shared" si="367"/>
        <v>Pass-Backhand</v>
      </c>
      <c r="BG210" t="str">
        <f t="shared" si="22"/>
        <v>s</v>
      </c>
      <c r="BH210" cm="1">
        <f t="array" aca="1" ref="BH210" ca="1">IFERROR(_xlfn._xlws.FILTER(shifts!A:A,(shifts!B:B=events!Z210)*(shifts!AG:AG&gt;=events!BJ210)*(shifts!AH:AH&lt;=events!BK210)),BH209)</f>
        <v>8</v>
      </c>
      <c r="BI210" s="15">
        <f t="shared" si="368"/>
        <v>0</v>
      </c>
      <c r="BJ210">
        <f t="shared" si="369"/>
        <v>890</v>
      </c>
      <c r="BK210">
        <f t="shared" si="370"/>
        <v>890</v>
      </c>
      <c r="BL210" s="15">
        <f>SUMIFS(BI$2:BI210,K$2:K210,"=Intermission")+SUMIFS(BI$2:BI210,K$2:K210,"=Timeout")</f>
        <v>0</v>
      </c>
      <c r="BM210">
        <f t="shared" si="371"/>
        <v>0</v>
      </c>
      <c r="BN210" s="19">
        <f t="shared" si="372"/>
        <v>190</v>
      </c>
      <c r="BO210">
        <f t="shared" si="373"/>
        <v>185</v>
      </c>
      <c r="BP210" s="17">
        <f t="shared" si="374"/>
        <v>190</v>
      </c>
      <c r="BQ210" t="str">
        <f t="shared" si="375"/>
        <v>event_team_player_1</v>
      </c>
      <c r="BR210">
        <f>COUNTIFS(S$3:S210,"="&amp;S210,AH$3:AH210,"="&amp;AH210)</f>
        <v>1</v>
      </c>
      <c r="BS210" t="str">
        <f>IFERROR(VLOOKUP(BA210&amp;BT210&amp;X210,game_rosters!U:W,3,FALSE),"")</f>
        <v>P100001</v>
      </c>
      <c r="BT210" t="str">
        <f t="shared" si="376"/>
        <v>Velodrome</v>
      </c>
    </row>
    <row r="211" spans="1:72" x14ac:dyDescent="0.2">
      <c r="A211" t="str">
        <f t="shared" si="351"/>
        <v/>
      </c>
      <c r="E211" s="4"/>
      <c r="F211" s="45"/>
      <c r="G211" s="4"/>
      <c r="H211" s="47"/>
      <c r="I211" s="26">
        <v>91</v>
      </c>
      <c r="J211" s="26" t="str">
        <f t="shared" si="377"/>
        <v/>
      </c>
      <c r="N211" t="str">
        <f t="shared" si="291"/>
        <v/>
      </c>
      <c r="Q211" t="str">
        <f t="shared" si="389"/>
        <v/>
      </c>
      <c r="S211">
        <f>IF(A211=1,MAX($S$2:$S210)+1,IF(OR($I211&lt;&gt;"",A211="x"),$S210,""))</f>
        <v>110</v>
      </c>
      <c r="T211" t="str">
        <f>IF(D211=1,MAX($T$2:$T210)+1,IF(S211=S210,$T210,IF(D211="x",T210,IF(D210="x","",""))))</f>
        <v/>
      </c>
      <c r="U211" t="str">
        <f>IF(B211=1,MAX($U$2:$U210)+1,IF(AND($T211&lt;&gt;"",$T211=$T210),$U210,IF(B211="x",U210,"")))</f>
        <v/>
      </c>
      <c r="V211" t="str">
        <f>IF(C211=1,MAX($V$2:$V210)+1,IF(AND($T211&lt;&gt;"",$T211=$T210),$U210,IF(C211="x",V210,"")))</f>
        <v/>
      </c>
      <c r="W211" t="str" cm="1">
        <f t="array" ref="W211">IFERROR(_xlfn._xlws.FILTER(game_rosters!AC:AC,(game_rosters!J:J=events!X211)*(K211&lt;&gt;"")),"")</f>
        <v/>
      </c>
      <c r="X211" cm="1">
        <f t="array" ref="X211">IF($I211&lt;&gt;"",$I211,INDEX($I$1:$I211,ROW()-COUNTIFS($T$1:$T211,"="&amp;$T211,$S$1:$S211,"&lt;"&amp;$S211)))</f>
        <v>91</v>
      </c>
      <c r="Y211" cm="1">
        <f t="array" ref="Y211">IFERROR(IF(_xlfn._xlws.FILTER(game_rosters!$J:$J,(game_rosters!$G:$G=events!$AM211)*(game_rosters!$J:$J=events!$X211))&gt;0,1,""),"")</f>
        <v>1</v>
      </c>
      <c r="Z211" s="6">
        <f t="shared" si="352"/>
        <v>1</v>
      </c>
      <c r="AA211">
        <f t="shared" si="353"/>
        <v>1110</v>
      </c>
      <c r="AB211" t="str">
        <f t="shared" si="354"/>
        <v/>
      </c>
      <c r="AC211">
        <f t="shared" si="355"/>
        <v>1110</v>
      </c>
      <c r="AD211" t="str">
        <f t="shared" si="356"/>
        <v>14</v>
      </c>
      <c r="AE211" t="str">
        <f t="shared" si="357"/>
        <v>50</v>
      </c>
      <c r="AF211" t="str">
        <f t="shared" si="358"/>
        <v/>
      </c>
      <c r="AG211" t="str">
        <f t="shared" si="359"/>
        <v/>
      </c>
      <c r="AH211" t="str">
        <f t="shared" si="298"/>
        <v>e</v>
      </c>
      <c r="AI211" t="str">
        <f t="shared" si="383"/>
        <v>o</v>
      </c>
      <c r="AJ211" t="str">
        <f t="shared" si="383"/>
        <v>o</v>
      </c>
      <c r="AK211" t="str">
        <f t="shared" si="300"/>
        <v/>
      </c>
      <c r="AL211" t="str">
        <f t="shared" si="301"/>
        <v/>
      </c>
      <c r="AM211" t="str">
        <f t="shared" si="360"/>
        <v>Away</v>
      </c>
      <c r="AN211" t="str">
        <f t="shared" si="302"/>
        <v>a</v>
      </c>
      <c r="AO211" t="str">
        <f t="shared" si="303"/>
        <v>d</v>
      </c>
      <c r="AP211" t="str">
        <f t="shared" si="304"/>
        <v>o</v>
      </c>
      <c r="AQ211" t="str">
        <f>IF(AM211&lt;&gt;"",AM211,IF($AC211=#REF!,#REF!,""))</f>
        <v>Away</v>
      </c>
      <c r="AR211" t="str">
        <f t="shared" si="305"/>
        <v>a</v>
      </c>
      <c r="AS211" t="str">
        <f t="shared" si="306"/>
        <v>Offensive</v>
      </c>
      <c r="AT211" t="str">
        <f t="shared" si="361"/>
        <v/>
      </c>
      <c r="AU211" t="str">
        <f t="shared" si="362"/>
        <v/>
      </c>
      <c r="AV211" t="str" cm="1">
        <f t="array" ref="AV211">IFERROR(IF(O211&lt;&gt;"",O211,IF(OR($S211="",$T211=""),"",IF(O211&lt;&gt;"",O211,IF($T211&lt;&gt;"",_xlfn._xlws.FILTER(O:O,($BT:$BT=$BT211)*($I:$I=$I211)*($T:$T=$T211)*($S:$S=_xlfn.MINIFS($S:$S,$T:$T,"="&amp;$T211)),"")))))&amp;"",IF(O211="","",""))&amp;""</f>
        <v/>
      </c>
      <c r="AW211" t="str" cm="1">
        <f t="array" ref="AW211">IFERROR(IF(P211&lt;&gt;"",P211,IF(OR($S211="",$T211=""),"",IF($T211&lt;&gt;"",_xlfn._xlws.FILTER(P:P,($BT:$BT=$BT211)*($I:$I=$I211)*($T:$T=$T211)*($S:$S=_xlfn.MINIFS($S:$S,$T:$T,"="&amp;$T211)),""))))&amp;"",IF(P211="","",""))&amp;""</f>
        <v/>
      </c>
      <c r="AX211" t="str" cm="1">
        <f t="array" ref="AX211">IFERROR(IF(Q211&lt;&gt;"",Q211,IF(OR($S211="",$T211=""),"",IF($T211&lt;&gt;"",_xlfn._xlws.FILTER(Q:Q,($BT:$BT=$BT211)*($I:$I=$I211)*($T:$T=$T211)*($S:$S=_xlfn.MINIFS($S:$S,$T:$T,"="&amp;$T211)),""))))&amp;"",IF(Q211="","",""))&amp;""</f>
        <v/>
      </c>
      <c r="AY211" t="str" cm="1">
        <f t="array" ref="AY211">IFERROR(IF(R211&lt;&gt;"",R211,IF(OR($S211="",$T211=""),"",IF($T211&lt;&gt;"",_xlfn._xlws.FILTER(R:R,($BT:$BT=$BT211)*($I:$I=$I211)*($T:$T=$T211)*($S:$S=_xlfn.MINIFS($S:$S,$T:$T,"="&amp;$T211)),""))))&amp;"",IF(R211="","",""))&amp;""</f>
        <v/>
      </c>
      <c r="AZ211" s="6">
        <f t="shared" si="363"/>
        <v>22</v>
      </c>
      <c r="BA211">
        <f t="shared" ref="BA211:BC211" si="393">BA210</f>
        <v>18991</v>
      </c>
      <c r="BB211" t="str">
        <f t="shared" si="393"/>
        <v>Triple J</v>
      </c>
      <c r="BC211" t="str">
        <f t="shared" si="393"/>
        <v>Velodrome</v>
      </c>
      <c r="BD211" t="str">
        <f t="shared" si="365"/>
        <v>Pass</v>
      </c>
      <c r="BE211" t="str">
        <f t="shared" si="366"/>
        <v>Pass_Completed</v>
      </c>
      <c r="BF211" t="str">
        <f t="shared" si="367"/>
        <v>Pass-Backhand</v>
      </c>
      <c r="BG211" t="str">
        <f t="shared" si="22"/>
        <v>s</v>
      </c>
      <c r="BH211" cm="1">
        <f t="array" aca="1" ref="BH211" ca="1">IFERROR(_xlfn._xlws.FILTER(shifts!A:A,(shifts!B:B=events!Z211)*(shifts!AG:AG&gt;=events!BJ211)*(shifts!AH:AH&lt;=events!BK211)),BH210)</f>
        <v>8</v>
      </c>
      <c r="BI211" s="15">
        <f t="shared" si="368"/>
        <v>0</v>
      </c>
      <c r="BJ211">
        <f t="shared" si="369"/>
        <v>890</v>
      </c>
      <c r="BK211">
        <f t="shared" si="370"/>
        <v>890</v>
      </c>
      <c r="BL211" s="15">
        <f>SUMIFS(BI$2:BI211,K$2:K211,"=Intermission")+SUMIFS(BI$2:BI211,K$2:K211,"=Timeout")</f>
        <v>0</v>
      </c>
      <c r="BM211">
        <f t="shared" si="371"/>
        <v>0</v>
      </c>
      <c r="BN211" s="19">
        <f t="shared" si="372"/>
        <v>190</v>
      </c>
      <c r="BO211">
        <f t="shared" si="373"/>
        <v>185</v>
      </c>
      <c r="BP211" s="17">
        <f t="shared" si="374"/>
        <v>190</v>
      </c>
      <c r="BQ211" t="str">
        <f t="shared" si="375"/>
        <v>event_team_player_2</v>
      </c>
      <c r="BR211">
        <f>COUNTIFS(S$3:S211,"="&amp;S211,AH$3:AH211,"="&amp;AH211)</f>
        <v>2</v>
      </c>
      <c r="BS211" t="str">
        <f>IFERROR(VLOOKUP(BA211&amp;BT211&amp;X211,game_rosters!U:W,3,FALSE),"")</f>
        <v>P100002</v>
      </c>
      <c r="BT211" t="str">
        <f t="shared" si="376"/>
        <v>Velodrome</v>
      </c>
    </row>
    <row r="212" spans="1:72" x14ac:dyDescent="0.2">
      <c r="A212">
        <f t="shared" si="351"/>
        <v>1</v>
      </c>
      <c r="E212" s="4"/>
      <c r="F212" s="45" t="s">
        <v>751</v>
      </c>
      <c r="G212" s="4"/>
      <c r="H212" s="47" t="s">
        <v>1066</v>
      </c>
      <c r="I212" s="26">
        <v>91</v>
      </c>
      <c r="J212" s="26" t="s">
        <v>368</v>
      </c>
      <c r="K212" t="s">
        <v>13</v>
      </c>
      <c r="N212" t="str">
        <f t="shared" si="291"/>
        <v/>
      </c>
      <c r="Q212" t="str">
        <f t="shared" si="389"/>
        <v/>
      </c>
      <c r="S212">
        <f>IF(A212=1,MAX($S$2:$S211)+1,IF(OR($I212&lt;&gt;"",A212="x"),$S211,""))</f>
        <v>111</v>
      </c>
      <c r="T212" t="str">
        <f>IF(D212=1,MAX($T$2:$T211)+1,IF(S212=S211,$T211,IF(D212="x",T211,IF(D211="x","",""))))</f>
        <v/>
      </c>
      <c r="U212" t="str">
        <f>IF(B212=1,MAX($U$2:$U211)+1,IF(AND($T212&lt;&gt;"",$T212=$T211),$U211,IF(B212="x",U211,"")))</f>
        <v/>
      </c>
      <c r="V212" t="str">
        <f>IF(C212=1,MAX($V$2:$V211)+1,IF(AND($T212&lt;&gt;"",$T212=$T211),$U211,IF(C212="x",V211,"")))</f>
        <v/>
      </c>
      <c r="W212" t="str" cm="1">
        <f t="array" ref="W212">IFERROR(_xlfn._xlws.FILTER(game_rosters!AC:AC,(game_rosters!J:J=events!X212)*(K212&lt;&gt;"")),"")</f>
        <v>a</v>
      </c>
      <c r="X212" cm="1">
        <f t="array" ref="X212">IF($I212&lt;&gt;"",$I212,INDEX($I$1:$I212,ROW()-COUNTIFS($T$1:$T212,"="&amp;$T212,$S$1:$S212,"&lt;"&amp;$S212)))</f>
        <v>91</v>
      </c>
      <c r="Y212" cm="1">
        <f t="array" ref="Y212">IFERROR(IF(_xlfn._xlws.FILTER(game_rosters!$J:$J,(game_rosters!$G:$G=events!$AM212)*(game_rosters!$J:$J=events!$X212))&gt;0,1,""),"")</f>
        <v>1</v>
      </c>
      <c r="Z212" s="6">
        <f t="shared" si="352"/>
        <v>1</v>
      </c>
      <c r="AA212">
        <f t="shared" si="353"/>
        <v>1111</v>
      </c>
      <c r="AB212" t="str">
        <f t="shared" si="354"/>
        <v/>
      </c>
      <c r="AC212">
        <f t="shared" si="355"/>
        <v>1111</v>
      </c>
      <c r="AD212" t="str">
        <f t="shared" si="356"/>
        <v>14</v>
      </c>
      <c r="AE212" t="str">
        <f t="shared" si="357"/>
        <v>49</v>
      </c>
      <c r="AF212" t="str">
        <f t="shared" si="358"/>
        <v>14</v>
      </c>
      <c r="AG212" t="str">
        <f t="shared" si="359"/>
        <v>48</v>
      </c>
      <c r="AH212" t="str">
        <f t="shared" si="298"/>
        <v>e</v>
      </c>
      <c r="AI212" t="str">
        <f t="shared" si="383"/>
        <v>o</v>
      </c>
      <c r="AJ212" t="str">
        <f t="shared" si="383"/>
        <v>o</v>
      </c>
      <c r="AK212" t="str">
        <f t="shared" si="300"/>
        <v>d</v>
      </c>
      <c r="AL212" t="str">
        <f t="shared" si="301"/>
        <v>o</v>
      </c>
      <c r="AM212" t="str">
        <f t="shared" si="360"/>
        <v>Away</v>
      </c>
      <c r="AN212" t="str">
        <f t="shared" si="302"/>
        <v>a</v>
      </c>
      <c r="AO212" t="str">
        <f t="shared" si="303"/>
        <v>d</v>
      </c>
      <c r="AP212" t="str">
        <f t="shared" si="304"/>
        <v>o</v>
      </c>
      <c r="AQ212" t="str">
        <f>IF(AM212&lt;&gt;"",AM212,IF($AC212=#REF!,#REF!,""))</f>
        <v>Away</v>
      </c>
      <c r="AR212" t="str">
        <f t="shared" si="305"/>
        <v>a</v>
      </c>
      <c r="AS212" t="str">
        <f t="shared" si="306"/>
        <v>Offensive</v>
      </c>
      <c r="AT212" t="str">
        <f t="shared" si="361"/>
        <v/>
      </c>
      <c r="AU212" t="str">
        <f t="shared" si="362"/>
        <v/>
      </c>
      <c r="AV212" t="str" cm="1">
        <f t="array" ref="AV212">IFERROR(IF(O212&lt;&gt;"",O212,IF(OR($S212="",$T212=""),"",IF(O212&lt;&gt;"",O212,IF($T212&lt;&gt;"",_xlfn._xlws.FILTER(O:O,($BT:$BT=$BT212)*($I:$I=$I212)*($T:$T=$T212)*($S:$S=_xlfn.MINIFS($S:$S,$T:$T,"="&amp;$T212)),"")))))&amp;"",IF(O212="","",""))&amp;""</f>
        <v/>
      </c>
      <c r="AW212" t="str" cm="1">
        <f t="array" ref="AW212">IFERROR(IF(P212&lt;&gt;"",P212,IF(OR($S212="",$T212=""),"",IF($T212&lt;&gt;"",_xlfn._xlws.FILTER(P:P,($BT:$BT=$BT212)*($I:$I=$I212)*($T:$T=$T212)*($S:$S=_xlfn.MINIFS($S:$S,$T:$T,"="&amp;$T212)),""))))&amp;"",IF(P212="","",""))&amp;""</f>
        <v/>
      </c>
      <c r="AX212" t="str" cm="1">
        <f t="array" ref="AX212">IFERROR(IF(Q212&lt;&gt;"",Q212,IF(OR($S212="",$T212=""),"",IF($T212&lt;&gt;"",_xlfn._xlws.FILTER(Q:Q,($BT:$BT=$BT212)*($I:$I=$I212)*($T:$T=$T212)*($S:$S=_xlfn.MINIFS($S:$S,$T:$T,"="&amp;$T212)),""))))&amp;"",IF(Q212="","",""))&amp;""</f>
        <v/>
      </c>
      <c r="AY212" t="str" cm="1">
        <f t="array" ref="AY212">IFERROR(IF(R212&lt;&gt;"",R212,IF(OR($S212="",$T212=""),"",IF($T212&lt;&gt;"",_xlfn._xlws.FILTER(R:R,($BT:$BT=$BT212)*($I:$I=$I212)*($T:$T=$T212)*($S:$S=_xlfn.MINIFS($S:$S,$T:$T,"="&amp;$T212)),""))))&amp;"",IF(R212="","",""))&amp;""</f>
        <v/>
      </c>
      <c r="AZ212" s="6">
        <f t="shared" si="363"/>
        <v>22</v>
      </c>
      <c r="BA212">
        <f t="shared" ref="BA212:BC212" si="394">BA211</f>
        <v>18991</v>
      </c>
      <c r="BB212" t="str">
        <f t="shared" si="394"/>
        <v>Triple J</v>
      </c>
      <c r="BC212" t="str">
        <f t="shared" si="394"/>
        <v>Velodrome</v>
      </c>
      <c r="BD212" t="str">
        <f t="shared" si="365"/>
        <v>Possession</v>
      </c>
      <c r="BE212" t="str">
        <f t="shared" si="366"/>
        <v/>
      </c>
      <c r="BF212" t="str">
        <f t="shared" si="367"/>
        <v/>
      </c>
      <c r="BG212" t="str">
        <f t="shared" si="22"/>
        <v/>
      </c>
      <c r="BH212" cm="1">
        <f t="array" aca="1" ref="BH212" ca="1">IFERROR(_xlfn._xlws.FILTER(shifts!A:A,(shifts!B:B=events!Z212)*(shifts!AG:AG&gt;=events!BJ212)*(shifts!AH:AH&lt;=events!BK212)),BH211)</f>
        <v>8</v>
      </c>
      <c r="BI212" s="15">
        <f t="shared" si="368"/>
        <v>1</v>
      </c>
      <c r="BJ212">
        <f t="shared" si="369"/>
        <v>889</v>
      </c>
      <c r="BK212">
        <f t="shared" si="370"/>
        <v>888</v>
      </c>
      <c r="BL212" s="15">
        <f>SUMIFS(BI$2:BI212,K$2:K212,"=Intermission")+SUMIFS(BI$2:BI212,K$2:K212,"=Timeout")</f>
        <v>0</v>
      </c>
      <c r="BM212">
        <f t="shared" si="371"/>
        <v>0</v>
      </c>
      <c r="BN212" s="19">
        <f t="shared" si="372"/>
        <v>191</v>
      </c>
      <c r="BO212">
        <f t="shared" si="373"/>
        <v>186</v>
      </c>
      <c r="BP212" s="17">
        <f t="shared" si="374"/>
        <v>192</v>
      </c>
      <c r="BQ212" t="str">
        <f t="shared" si="375"/>
        <v>event_team_player_1</v>
      </c>
      <c r="BR212">
        <f>COUNTIFS(S$3:S212,"="&amp;S212,AH$3:AH212,"="&amp;AH212)</f>
        <v>1</v>
      </c>
      <c r="BS212" t="str">
        <f>IFERROR(VLOOKUP(BA212&amp;BT212&amp;X212,game_rosters!U:W,3,FALSE),"")</f>
        <v>P100002</v>
      </c>
      <c r="BT212" t="str">
        <f t="shared" si="376"/>
        <v>Velodrome</v>
      </c>
    </row>
    <row r="213" spans="1:72" x14ac:dyDescent="0.2">
      <c r="A213">
        <f t="shared" si="351"/>
        <v>1</v>
      </c>
      <c r="E213" s="4"/>
      <c r="F213" s="45"/>
      <c r="G213" s="4"/>
      <c r="H213" s="47"/>
      <c r="I213" s="26">
        <v>91</v>
      </c>
      <c r="J213" s="26" t="s">
        <v>368</v>
      </c>
      <c r="K213" t="s">
        <v>6</v>
      </c>
      <c r="L213" t="s">
        <v>181</v>
      </c>
      <c r="M213" t="s">
        <v>53</v>
      </c>
      <c r="N213" t="str">
        <f t="shared" ref="N213:N275" si="395">IF(K213="","",IF(K213="Goal","s",IF(AND(K213="Zone_Entry_Exit",OR(ISNUMBER(SEARCH("fail",L213)),ISNUMBER(SEARCH("FromExitClear",M213)),ISNUMBER(SEARCH("miss",M213)))),"u",IF(AND(K213="Zone_Entry_Exit",OR(NOT(ISNUMBER(SEARCH("fail",L213))),NOT(ISNUMBER(SEARCH("FromExitClear",M213))),NOT(ISNUMBER(SEARCH("miss",M213))))),"s",IF(AND(OR(K213="Shot",K213="Pass"),OR(ISNUMBER(SEARCH("complete",L213)),ISNUMBER(SEARCH("goal",L213)),ISNUMBER(SEARCH("OnNet",L213)))),"s",IF(L213="Turnover_Giveaway","u",IF(AND(OR(K213="Shot",K213="Pass"),OR(ISNUMBER(SEARCH("fail",L213)),NOT(ISNUMBER(SEARCH("complete",L213))),NOT(ISNUMBER(SEARCH("OnNet",L213))))),"u","")))))))</f>
        <v>u</v>
      </c>
      <c r="Q213" t="str">
        <f t="shared" si="389"/>
        <v/>
      </c>
      <c r="S213">
        <f>IF(A213=1,MAX($S$2:$S212)+1,IF(OR($I213&lt;&gt;"",A213="x"),$S212,""))</f>
        <v>112</v>
      </c>
      <c r="T213" t="str">
        <f>IF(D213=1,MAX($T$2:$T212)+1,IF(S213=S212,$T212,IF(D213="x",T212,IF(D212="x","",""))))</f>
        <v/>
      </c>
      <c r="U213" t="str">
        <f>IF(B213=1,MAX($U$2:$U212)+1,IF(AND($T213&lt;&gt;"",$T213=$T212),$U212,IF(B213="x",U212,"")))</f>
        <v/>
      </c>
      <c r="V213" t="str">
        <f>IF(C213=1,MAX($V$2:$V212)+1,IF(AND($T213&lt;&gt;"",$T213=$T212),$U212,IF(C213="x",V212,"")))</f>
        <v/>
      </c>
      <c r="W213" t="str" cm="1">
        <f t="array" ref="W213">IFERROR(_xlfn._xlws.FILTER(game_rosters!AC:AC,(game_rosters!J:J=events!X213)*(K213&lt;&gt;"")),"")</f>
        <v>a</v>
      </c>
      <c r="X213" cm="1">
        <f t="array" ref="X213">IF($I213&lt;&gt;"",$I213,INDEX($I$1:$I213,ROW()-COUNTIFS($T$1:$T213,"="&amp;$T213,$S$1:$S213,"&lt;"&amp;$S213)))</f>
        <v>91</v>
      </c>
      <c r="Y213" cm="1">
        <f t="array" ref="Y213">IFERROR(IF(_xlfn._xlws.FILTER(game_rosters!$J:$J,(game_rosters!$G:$G=events!$AM213)*(game_rosters!$J:$J=events!$X213))&gt;0,1,""),"")</f>
        <v>1</v>
      </c>
      <c r="Z213" s="6">
        <f t="shared" si="352"/>
        <v>1</v>
      </c>
      <c r="AA213">
        <f t="shared" si="353"/>
        <v>1112</v>
      </c>
      <c r="AB213" t="str">
        <f t="shared" si="354"/>
        <v/>
      </c>
      <c r="AC213">
        <f t="shared" si="355"/>
        <v>1112</v>
      </c>
      <c r="AD213" t="str">
        <f t="shared" si="356"/>
        <v>14</v>
      </c>
      <c r="AE213" t="str">
        <f t="shared" si="357"/>
        <v>48</v>
      </c>
      <c r="AF213" t="str">
        <f t="shared" si="358"/>
        <v/>
      </c>
      <c r="AG213" t="str">
        <f t="shared" si="359"/>
        <v/>
      </c>
      <c r="AH213" t="str">
        <f t="shared" si="298"/>
        <v>e</v>
      </c>
      <c r="AI213" t="str">
        <f t="shared" si="383"/>
        <v>o</v>
      </c>
      <c r="AJ213" t="str">
        <f t="shared" si="383"/>
        <v>o</v>
      </c>
      <c r="AK213" t="str">
        <f t="shared" si="300"/>
        <v>d</v>
      </c>
      <c r="AL213" t="str">
        <f t="shared" si="301"/>
        <v>o</v>
      </c>
      <c r="AM213" t="str">
        <f t="shared" si="360"/>
        <v>Away</v>
      </c>
      <c r="AN213" t="str">
        <f t="shared" si="302"/>
        <v>a</v>
      </c>
      <c r="AO213" t="str">
        <f t="shared" si="303"/>
        <v>d</v>
      </c>
      <c r="AP213" t="str">
        <f t="shared" si="304"/>
        <v>o</v>
      </c>
      <c r="AQ213" t="str">
        <f>IF(AM213&lt;&gt;"",AM213,IF($AC213=#REF!,#REF!,""))</f>
        <v>Away</v>
      </c>
      <c r="AR213" t="str">
        <f t="shared" si="305"/>
        <v>a</v>
      </c>
      <c r="AS213" t="str">
        <f t="shared" si="306"/>
        <v>Offensive</v>
      </c>
      <c r="AT213" t="str">
        <f t="shared" si="361"/>
        <v/>
      </c>
      <c r="AU213" t="str">
        <f t="shared" si="362"/>
        <v/>
      </c>
      <c r="AV213" t="str" cm="1">
        <f t="array" ref="AV213">IFERROR(IF(O213&lt;&gt;"",O213,IF(OR($S213="",$T213=""),"",IF(O213&lt;&gt;"",O213,IF($T213&lt;&gt;"",_xlfn._xlws.FILTER(O:O,($BT:$BT=$BT213)*($I:$I=$I213)*($T:$T=$T213)*($S:$S=_xlfn.MINIFS($S:$S,$T:$T,"="&amp;$T213)),"")))))&amp;"",IF(O213="","",""))&amp;""</f>
        <v/>
      </c>
      <c r="AW213" t="str" cm="1">
        <f t="array" ref="AW213">IFERROR(IF(P213&lt;&gt;"",P213,IF(OR($S213="",$T213=""),"",IF($T213&lt;&gt;"",_xlfn._xlws.FILTER(P:P,($BT:$BT=$BT213)*($I:$I=$I213)*($T:$T=$T213)*($S:$S=_xlfn.MINIFS($S:$S,$T:$T,"="&amp;$T213)),""))))&amp;"",IF(P213="","",""))&amp;""</f>
        <v/>
      </c>
      <c r="AX213" t="str" cm="1">
        <f t="array" ref="AX213">IFERROR(IF(Q213&lt;&gt;"",Q213,IF(OR($S213="",$T213=""),"",IF($T213&lt;&gt;"",_xlfn._xlws.FILTER(Q:Q,($BT:$BT=$BT213)*($I:$I=$I213)*($T:$T=$T213)*($S:$S=_xlfn.MINIFS($S:$S,$T:$T,"="&amp;$T213)),""))))&amp;"",IF(Q213="","",""))&amp;""</f>
        <v/>
      </c>
      <c r="AY213" t="str" cm="1">
        <f t="array" ref="AY213">IFERROR(IF(R213&lt;&gt;"",R213,IF(OR($S213="",$T213=""),"",IF($T213&lt;&gt;"",_xlfn._xlws.FILTER(R:R,($BT:$BT=$BT213)*($I:$I=$I213)*($T:$T=$T213)*($S:$S=_xlfn.MINIFS($S:$S,$T:$T,"="&amp;$T213)),""))))&amp;"",IF(R213="","",""))&amp;""</f>
        <v/>
      </c>
      <c r="AZ213" s="6">
        <f t="shared" si="363"/>
        <v>22</v>
      </c>
      <c r="BA213">
        <f t="shared" ref="BA213:BC213" si="396">BA212</f>
        <v>18991</v>
      </c>
      <c r="BB213" t="str">
        <f t="shared" si="396"/>
        <v>Triple J</v>
      </c>
      <c r="BC213" t="str">
        <f t="shared" si="396"/>
        <v>Velodrome</v>
      </c>
      <c r="BD213" t="str">
        <f t="shared" si="365"/>
        <v>Shot</v>
      </c>
      <c r="BE213" t="str">
        <f t="shared" si="366"/>
        <v>Shot_Missed</v>
      </c>
      <c r="BF213" t="str">
        <f t="shared" si="367"/>
        <v>Shot-Backhand</v>
      </c>
      <c r="BG213" t="str">
        <f t="shared" si="22"/>
        <v>u</v>
      </c>
      <c r="BH213" cm="1">
        <f t="array" aca="1" ref="BH213" ca="1">IFERROR(_xlfn._xlws.FILTER(shifts!A:A,(shifts!B:B=events!Z213)*(shifts!AG:AG&gt;=events!BJ213)*(shifts!AH:AH&lt;=events!BK213)),BH212)</f>
        <v>8</v>
      </c>
      <c r="BI213" s="15">
        <f t="shared" si="368"/>
        <v>0</v>
      </c>
      <c r="BJ213">
        <f t="shared" si="369"/>
        <v>888</v>
      </c>
      <c r="BK213">
        <f t="shared" si="370"/>
        <v>888</v>
      </c>
      <c r="BL213" s="15">
        <f>SUMIFS(BI$2:BI213,K$2:K213,"=Intermission")+SUMIFS(BI$2:BI213,K$2:K213,"=Timeout")</f>
        <v>0</v>
      </c>
      <c r="BM213">
        <f t="shared" si="371"/>
        <v>0</v>
      </c>
      <c r="BN213" s="19">
        <f t="shared" si="372"/>
        <v>192</v>
      </c>
      <c r="BO213">
        <f t="shared" si="373"/>
        <v>187</v>
      </c>
      <c r="BP213" s="17">
        <f t="shared" si="374"/>
        <v>192</v>
      </c>
      <c r="BQ213" t="str">
        <f t="shared" si="375"/>
        <v>event_team_player_1</v>
      </c>
      <c r="BR213">
        <f>COUNTIFS(S$3:S213,"="&amp;S213,AH$3:AH213,"="&amp;AH213)</f>
        <v>1</v>
      </c>
      <c r="BS213" t="str">
        <f>IFERROR(VLOOKUP(BA213&amp;BT213&amp;X213,game_rosters!U:W,3,FALSE),"")</f>
        <v>P100002</v>
      </c>
      <c r="BT213" t="str">
        <f t="shared" si="376"/>
        <v>Velodrome</v>
      </c>
    </row>
    <row r="214" spans="1:72" x14ac:dyDescent="0.2">
      <c r="A214">
        <f t="shared" si="351"/>
        <v>1</v>
      </c>
      <c r="E214" s="4"/>
      <c r="F214" s="45" t="s">
        <v>737</v>
      </c>
      <c r="G214" s="4"/>
      <c r="H214" s="47"/>
      <c r="I214" s="26">
        <v>70</v>
      </c>
      <c r="J214" s="26" t="s">
        <v>368</v>
      </c>
      <c r="K214" t="s">
        <v>13</v>
      </c>
      <c r="L214" t="s">
        <v>587</v>
      </c>
      <c r="N214" t="str">
        <f t="shared" si="395"/>
        <v/>
      </c>
      <c r="O214" t="s">
        <v>909</v>
      </c>
      <c r="Q214" t="str">
        <f t="shared" si="389"/>
        <v/>
      </c>
      <c r="R214" s="26">
        <v>1</v>
      </c>
      <c r="S214">
        <f>IF(A214=1,MAX($S$2:$S213)+1,IF(OR($I214&lt;&gt;"",A214="x"),$S213,""))</f>
        <v>113</v>
      </c>
      <c r="T214" t="str">
        <f>IF(D214=1,MAX($T$2:$T213)+1,IF(S214=S213,$T213,IF(D214="x",T213,IF(D213="x","",""))))</f>
        <v/>
      </c>
      <c r="U214" t="str">
        <f>IF(B214=1,MAX($U$2:$U213)+1,IF(AND($T214&lt;&gt;"",$T214=$T213),$U213,IF(B214="x",U213,"")))</f>
        <v/>
      </c>
      <c r="V214" t="str">
        <f>IF(C214=1,MAX($V$2:$V213)+1,IF(AND($T214&lt;&gt;"",$T214=$T213),$U213,IF(C214="x",V213,"")))</f>
        <v/>
      </c>
      <c r="W214" t="str" cm="1">
        <f t="array" ref="W214">IFERROR(_xlfn._xlws.FILTER(game_rosters!AC:AC,(game_rosters!J:J=events!X214)*(K214&lt;&gt;"")),"")</f>
        <v>a</v>
      </c>
      <c r="X214" cm="1">
        <f t="array" ref="X214">IF($I214&lt;&gt;"",$I214,INDEX($I$1:$I214,ROW()-COUNTIFS($T$1:$T214,"="&amp;$T214,$S$1:$S214,"&lt;"&amp;$S214)))</f>
        <v>70</v>
      </c>
      <c r="Y214" cm="1">
        <f t="array" ref="Y214">IFERROR(IF(_xlfn._xlws.FILTER(game_rosters!$J:$J,(game_rosters!$G:$G=events!$AM214)*(game_rosters!$J:$J=events!$X214))&gt;0,1,""),"")</f>
        <v>1</v>
      </c>
      <c r="Z214" s="6">
        <f t="shared" si="352"/>
        <v>1</v>
      </c>
      <c r="AA214">
        <f t="shared" si="353"/>
        <v>1113</v>
      </c>
      <c r="AB214" t="str">
        <f t="shared" si="354"/>
        <v/>
      </c>
      <c r="AC214">
        <f t="shared" si="355"/>
        <v>1113</v>
      </c>
      <c r="AD214" t="str">
        <f t="shared" si="356"/>
        <v>14</v>
      </c>
      <c r="AE214" t="str">
        <f t="shared" si="357"/>
        <v>46</v>
      </c>
      <c r="AF214" t="str">
        <f t="shared" si="358"/>
        <v/>
      </c>
      <c r="AG214" t="str">
        <f t="shared" si="359"/>
        <v/>
      </c>
      <c r="AH214" t="str">
        <f t="shared" si="298"/>
        <v>e</v>
      </c>
      <c r="AI214" t="str">
        <f t="shared" si="383"/>
        <v>o</v>
      </c>
      <c r="AJ214" t="str">
        <f t="shared" si="383"/>
        <v>o</v>
      </c>
      <c r="AK214" t="str">
        <f t="shared" si="300"/>
        <v>d</v>
      </c>
      <c r="AL214" t="str">
        <f t="shared" si="301"/>
        <v>o</v>
      </c>
      <c r="AM214" t="str">
        <f t="shared" si="360"/>
        <v>Away</v>
      </c>
      <c r="AN214" t="str">
        <f t="shared" si="302"/>
        <v>a</v>
      </c>
      <c r="AO214" t="str">
        <f t="shared" si="303"/>
        <v>d</v>
      </c>
      <c r="AP214" t="str">
        <f t="shared" si="304"/>
        <v>o</v>
      </c>
      <c r="AQ214" t="str">
        <f>IF(AM214&lt;&gt;"",AM214,IF($AC214=#REF!,#REF!,""))</f>
        <v>Away</v>
      </c>
      <c r="AR214" t="str">
        <f t="shared" si="305"/>
        <v>a</v>
      </c>
      <c r="AS214" t="str">
        <f t="shared" si="306"/>
        <v>Offensive</v>
      </c>
      <c r="AT214" t="str">
        <f t="shared" si="361"/>
        <v/>
      </c>
      <c r="AU214" t="str">
        <f t="shared" si="362"/>
        <v/>
      </c>
      <c r="AV214" t="str" cm="1">
        <f t="array" ref="AV214">IFERROR(IF(O214&lt;&gt;"",O214,IF(OR($S214="",$T214=""),"",IF(O214&lt;&gt;"",O214,IF($T214&lt;&gt;"",_xlfn._xlws.FILTER(O:O,($BT:$BT=$BT214)*($I:$I=$I214)*($T:$T=$T214)*($S:$S=_xlfn.MINIFS($S:$S,$T:$T,"="&amp;$T214)),"")))))&amp;"",IF(O214="","",""))&amp;""</f>
        <v>PuckRecoveryRetreivalShot</v>
      </c>
      <c r="AW214" t="str" cm="1">
        <f t="array" ref="AW214">IFERROR(IF(P214&lt;&gt;"",P214,IF(OR($S214="",$T214=""),"",IF($T214&lt;&gt;"",_xlfn._xlws.FILTER(P:P,($BT:$BT=$BT214)*($I:$I=$I214)*($T:$T=$T214)*($S:$S=_xlfn.MINIFS($S:$S,$T:$T,"="&amp;$T214)),""))))&amp;"",IF(P214="","",""))&amp;""</f>
        <v/>
      </c>
      <c r="AX214" t="str" cm="1">
        <f t="array" ref="AX214">IFERROR(IF(Q214&lt;&gt;"",Q214,IF(OR($S214="",$T214=""),"",IF($T214&lt;&gt;"",_xlfn._xlws.FILTER(Q:Q,($BT:$BT=$BT214)*($I:$I=$I214)*($T:$T=$T214)*($S:$S=_xlfn.MINIFS($S:$S,$T:$T,"="&amp;$T214)),""))))&amp;"",IF(Q214="","",""))&amp;""</f>
        <v/>
      </c>
      <c r="AY214" t="str" cm="1">
        <f t="array" ref="AY214">IFERROR(IF(R214&lt;&gt;"",R214,IF(OR($S214="",$T214=""),"",IF($T214&lt;&gt;"",_xlfn._xlws.FILTER(R:R,($BT:$BT=$BT214)*($I:$I=$I214)*($T:$T=$T214)*($S:$S=_xlfn.MINIFS($S:$S,$T:$T,"="&amp;$T214)),""))))&amp;"",IF(R214="","",""))&amp;""</f>
        <v>1</v>
      </c>
      <c r="AZ214" s="6">
        <f t="shared" si="363"/>
        <v>22</v>
      </c>
      <c r="BA214">
        <f t="shared" ref="BA214:BC214" si="397">BA213</f>
        <v>18991</v>
      </c>
      <c r="BB214" t="str">
        <f t="shared" si="397"/>
        <v>Triple J</v>
      </c>
      <c r="BC214" t="str">
        <f t="shared" si="397"/>
        <v>Velodrome</v>
      </c>
      <c r="BD214" t="str">
        <f t="shared" si="365"/>
        <v>Possession</v>
      </c>
      <c r="BE214" t="str">
        <f t="shared" si="366"/>
        <v>PuckRecovery</v>
      </c>
      <c r="BF214" t="str">
        <f t="shared" si="367"/>
        <v/>
      </c>
      <c r="BG214" t="str">
        <f t="shared" si="22"/>
        <v/>
      </c>
      <c r="BH214" cm="1">
        <f t="array" aca="1" ref="BH214" ca="1">IFERROR(_xlfn._xlws.FILTER(shifts!A:A,(shifts!B:B=events!Z214)*(shifts!AG:AG&gt;=events!BJ214)*(shifts!AH:AH&lt;=events!BK214)),BH213)</f>
        <v>8</v>
      </c>
      <c r="BI214" s="15">
        <f t="shared" si="368"/>
        <v>0</v>
      </c>
      <c r="BJ214">
        <f t="shared" si="369"/>
        <v>886</v>
      </c>
      <c r="BK214">
        <f t="shared" si="370"/>
        <v>886</v>
      </c>
      <c r="BL214" s="15">
        <f>SUMIFS(BI$2:BI214,K$2:K214,"=Intermission")+SUMIFS(BI$2:BI214,K$2:K214,"=Timeout")</f>
        <v>0</v>
      </c>
      <c r="BM214">
        <f t="shared" si="371"/>
        <v>0</v>
      </c>
      <c r="BN214" s="19">
        <f t="shared" si="372"/>
        <v>194</v>
      </c>
      <c r="BO214">
        <f t="shared" si="373"/>
        <v>189</v>
      </c>
      <c r="BP214" s="17">
        <f t="shared" si="374"/>
        <v>194</v>
      </c>
      <c r="BQ214" t="str">
        <f t="shared" si="375"/>
        <v>event_team_player_1</v>
      </c>
      <c r="BR214">
        <f>COUNTIFS(S$3:S214,"="&amp;S214,AH$3:AH214,"="&amp;AH214)</f>
        <v>1</v>
      </c>
      <c r="BS214" t="str">
        <f>IFERROR(VLOOKUP(BA214&amp;BT214&amp;X214,game_rosters!U:W,3,FALSE),"")</f>
        <v>P100001</v>
      </c>
      <c r="BT214" t="str">
        <f t="shared" si="376"/>
        <v>Velodrome</v>
      </c>
    </row>
    <row r="215" spans="1:72" x14ac:dyDescent="0.2">
      <c r="A215" t="str">
        <f t="shared" si="351"/>
        <v/>
      </c>
      <c r="E215" s="4"/>
      <c r="F215" s="45"/>
      <c r="G215" s="4"/>
      <c r="H215" s="47"/>
      <c r="I215" s="26">
        <v>41</v>
      </c>
      <c r="J215" s="26" t="str">
        <f t="shared" si="377"/>
        <v/>
      </c>
      <c r="N215" t="str">
        <f t="shared" si="395"/>
        <v/>
      </c>
      <c r="Q215" t="str">
        <f t="shared" si="389"/>
        <v/>
      </c>
      <c r="R215" s="26">
        <v>1</v>
      </c>
      <c r="S215">
        <f>IF(A215=1,MAX($S$2:$S214)+1,IF(OR($I215&lt;&gt;"",A215="x"),$S214,""))</f>
        <v>113</v>
      </c>
      <c r="T215" t="str">
        <f>IF(D215=1,MAX($T$2:$T214)+1,IF(S215=S214,$T214,IF(D215="x",T214,IF(D214="x","",""))))</f>
        <v/>
      </c>
      <c r="U215" t="str">
        <f>IF(B215=1,MAX($U$2:$U214)+1,IF(AND($T215&lt;&gt;"",$T215=$T214),$U214,IF(B215="x",U214,"")))</f>
        <v/>
      </c>
      <c r="V215" t="str">
        <f>IF(C215=1,MAX($V$2:$V214)+1,IF(AND($T215&lt;&gt;"",$T215=$T214),$U214,IF(C215="x",V214,"")))</f>
        <v/>
      </c>
      <c r="W215" t="str" cm="1">
        <f t="array" ref="W215">IFERROR(_xlfn._xlws.FILTER(game_rosters!AC:AC,(game_rosters!J:J=events!X215)*(K215&lt;&gt;"")),"")</f>
        <v/>
      </c>
      <c r="X215" cm="1">
        <f t="array" ref="X215">IF($I215&lt;&gt;"",$I215,INDEX($I$1:$I215,ROW()-COUNTIFS($T$1:$T215,"="&amp;$T215,$S$1:$S215,"&lt;"&amp;$S215)))</f>
        <v>41</v>
      </c>
      <c r="Y215" t="str" cm="1">
        <f t="array" ref="Y215">IFERROR(IF(_xlfn._xlws.FILTER(game_rosters!$J:$J,(game_rosters!$G:$G=events!$AM215)*(game_rosters!$J:$J=events!$X215))&gt;0,1,""),"")</f>
        <v/>
      </c>
      <c r="Z215" s="6">
        <f t="shared" si="352"/>
        <v>1</v>
      </c>
      <c r="AA215">
        <f t="shared" si="353"/>
        <v>1113</v>
      </c>
      <c r="AB215" t="str">
        <f t="shared" si="354"/>
        <v/>
      </c>
      <c r="AC215">
        <f t="shared" si="355"/>
        <v>1113</v>
      </c>
      <c r="AD215" t="str">
        <f t="shared" si="356"/>
        <v>14</v>
      </c>
      <c r="AE215" t="str">
        <f t="shared" si="357"/>
        <v>46</v>
      </c>
      <c r="AF215" t="str">
        <f t="shared" si="358"/>
        <v/>
      </c>
      <c r="AG215" t="str">
        <f t="shared" si="359"/>
        <v/>
      </c>
      <c r="AH215" t="str">
        <f t="shared" si="298"/>
        <v>o</v>
      </c>
      <c r="AI215" t="str">
        <f t="shared" si="383"/>
        <v>o</v>
      </c>
      <c r="AJ215" t="str">
        <f t="shared" si="383"/>
        <v>o</v>
      </c>
      <c r="AK215" t="str">
        <f t="shared" si="300"/>
        <v/>
      </c>
      <c r="AL215" t="str">
        <f t="shared" si="301"/>
        <v/>
      </c>
      <c r="AM215" t="str">
        <f t="shared" si="360"/>
        <v>Away</v>
      </c>
      <c r="AN215" t="str">
        <f t="shared" si="302"/>
        <v>a</v>
      </c>
      <c r="AO215" t="str">
        <f t="shared" si="303"/>
        <v>d</v>
      </c>
      <c r="AP215" t="str">
        <f t="shared" si="304"/>
        <v>o</v>
      </c>
      <c r="AQ215" t="str">
        <f>IF(AM215&lt;&gt;"",AM215,IF($AC215=#REF!,#REF!,""))</f>
        <v>Away</v>
      </c>
      <c r="AR215" t="str">
        <f t="shared" si="305"/>
        <v>a</v>
      </c>
      <c r="AS215" t="str">
        <f t="shared" si="306"/>
        <v>Defensive</v>
      </c>
      <c r="AT215" t="str">
        <f t="shared" si="361"/>
        <v/>
      </c>
      <c r="AU215" t="str">
        <f t="shared" si="362"/>
        <v/>
      </c>
      <c r="AV215" t="str" cm="1">
        <f t="array" ref="AV215">IFERROR(IF(O215&lt;&gt;"",O215,IF(OR($S215="",$T215=""),"",IF(O215&lt;&gt;"",O215,IF($T215&lt;&gt;"",_xlfn._xlws.FILTER(O:O,($BT:$BT=$BT215)*($I:$I=$I215)*($T:$T=$T215)*($S:$S=_xlfn.MINIFS($S:$S,$T:$T,"="&amp;$T215)),"")))))&amp;"",IF(O215="","",""))&amp;""</f>
        <v/>
      </c>
      <c r="AW215" t="str" cm="1">
        <f t="array" ref="AW215">IFERROR(IF(P215&lt;&gt;"",P215,IF(OR($S215="",$T215=""),"",IF($T215&lt;&gt;"",_xlfn._xlws.FILTER(P:P,($BT:$BT=$BT215)*($I:$I=$I215)*($T:$T=$T215)*($S:$S=_xlfn.MINIFS($S:$S,$T:$T,"="&amp;$T215)),""))))&amp;"",IF(P215="","",""))&amp;""</f>
        <v/>
      </c>
      <c r="AX215" t="str" cm="1">
        <f t="array" ref="AX215">IFERROR(IF(Q215&lt;&gt;"",Q215,IF(OR($S215="",$T215=""),"",IF($T215&lt;&gt;"",_xlfn._xlws.FILTER(Q:Q,($BT:$BT=$BT215)*($I:$I=$I215)*($T:$T=$T215)*($S:$S=_xlfn.MINIFS($S:$S,$T:$T,"="&amp;$T215)),""))))&amp;"",IF(Q215="","",""))&amp;""</f>
        <v/>
      </c>
      <c r="AY215" t="str" cm="1">
        <f t="array" ref="AY215">IFERROR(IF(R215&lt;&gt;"",R215,IF(OR($S215="",$T215=""),"",IF($T215&lt;&gt;"",_xlfn._xlws.FILTER(R:R,($BT:$BT=$BT215)*($I:$I=$I215)*($T:$T=$T215)*($S:$S=_xlfn.MINIFS($S:$S,$T:$T,"="&amp;$T215)),""))))&amp;"",IF(R215="","",""))&amp;""</f>
        <v>1</v>
      </c>
      <c r="AZ215" s="6">
        <f t="shared" si="363"/>
        <v>22</v>
      </c>
      <c r="BA215">
        <f t="shared" ref="BA215:BC215" si="398">BA214</f>
        <v>18991</v>
      </c>
      <c r="BB215" t="str">
        <f t="shared" si="398"/>
        <v>Triple J</v>
      </c>
      <c r="BC215" t="str">
        <f t="shared" si="398"/>
        <v>Velodrome</v>
      </c>
      <c r="BD215" t="str">
        <f t="shared" si="365"/>
        <v>Possession</v>
      </c>
      <c r="BE215" t="str">
        <f t="shared" si="366"/>
        <v>PuckRecovery</v>
      </c>
      <c r="BF215" t="str">
        <f t="shared" si="367"/>
        <v/>
      </c>
      <c r="BG215" t="str">
        <f t="shared" si="22"/>
        <v/>
      </c>
      <c r="BH215" cm="1">
        <f t="array" aca="1" ref="BH215" ca="1">IFERROR(_xlfn._xlws.FILTER(shifts!A:A,(shifts!B:B=events!Z215)*(shifts!AG:AG&gt;=events!BJ215)*(shifts!AH:AH&lt;=events!BK215)),BH214)</f>
        <v>8</v>
      </c>
      <c r="BI215" s="15">
        <f t="shared" si="368"/>
        <v>0</v>
      </c>
      <c r="BJ215">
        <f t="shared" si="369"/>
        <v>886</v>
      </c>
      <c r="BK215">
        <f t="shared" si="370"/>
        <v>886</v>
      </c>
      <c r="BL215" s="15">
        <f>SUMIFS(BI$2:BI215,K$2:K215,"=Intermission")+SUMIFS(BI$2:BI215,K$2:K215,"=Timeout")</f>
        <v>0</v>
      </c>
      <c r="BM215">
        <f t="shared" si="371"/>
        <v>0</v>
      </c>
      <c r="BN215" s="19">
        <f t="shared" si="372"/>
        <v>194</v>
      </c>
      <c r="BO215">
        <f t="shared" si="373"/>
        <v>189</v>
      </c>
      <c r="BP215" s="17">
        <f t="shared" si="374"/>
        <v>194</v>
      </c>
      <c r="BQ215" t="str">
        <f t="shared" si="375"/>
        <v>opp_team_player_1</v>
      </c>
      <c r="BR215">
        <f>COUNTIFS(S$3:S215,"="&amp;S215,AH$3:AH215,"="&amp;AH215)</f>
        <v>1</v>
      </c>
      <c r="BS215" t="str">
        <f>IFERROR(VLOOKUP(BA215&amp;BT215&amp;X215,game_rosters!U:W,3,FALSE),"")</f>
        <v>P100206</v>
      </c>
      <c r="BT215" t="str">
        <f t="shared" si="376"/>
        <v>Triple J</v>
      </c>
    </row>
    <row r="216" spans="1:72" x14ac:dyDescent="0.2">
      <c r="A216">
        <f t="shared" si="351"/>
        <v>1</v>
      </c>
      <c r="E216" s="4"/>
      <c r="F216" s="45"/>
      <c r="G216" s="4"/>
      <c r="H216" s="47"/>
      <c r="I216" s="26">
        <v>70</v>
      </c>
      <c r="J216" s="26" t="s">
        <v>368</v>
      </c>
      <c r="K216" t="s">
        <v>7</v>
      </c>
      <c r="L216" t="s">
        <v>172</v>
      </c>
      <c r="M216" t="s">
        <v>70</v>
      </c>
      <c r="N216" t="str">
        <f t="shared" si="395"/>
        <v>s</v>
      </c>
      <c r="O216" t="s">
        <v>576</v>
      </c>
      <c r="Q216" t="str">
        <f t="shared" si="389"/>
        <v>s</v>
      </c>
      <c r="R216" s="26">
        <v>1</v>
      </c>
      <c r="S216">
        <f>IF(A216=1,MAX($S$2:$S215)+1,IF(OR($I216&lt;&gt;"",A216="x"),$S215,""))</f>
        <v>114</v>
      </c>
      <c r="T216" t="str">
        <f>IF(D216=1,MAX($T$2:$T215)+1,IF(S216=S215,$T215,IF(D216="x",T215,IF(D215="x","",""))))</f>
        <v/>
      </c>
      <c r="U216" t="str">
        <f>IF(B216=1,MAX($U$2:$U215)+1,IF(AND($T216&lt;&gt;"",$T216=$T215),$U215,IF(B216="x",U215,"")))</f>
        <v/>
      </c>
      <c r="V216" t="str">
        <f>IF(C216=1,MAX($V$2:$V215)+1,IF(AND($T216&lt;&gt;"",$T216=$T215),$U215,IF(C216="x",V215,"")))</f>
        <v/>
      </c>
      <c r="W216" t="str" cm="1">
        <f t="array" ref="W216">IFERROR(_xlfn._xlws.FILTER(game_rosters!AC:AC,(game_rosters!J:J=events!X216)*(K216&lt;&gt;"")),"")</f>
        <v>a</v>
      </c>
      <c r="X216" cm="1">
        <f t="array" ref="X216">IF($I216&lt;&gt;"",$I216,INDEX($I$1:$I216,ROW()-COUNTIFS($T$1:$T216,"="&amp;$T216,$S$1:$S216,"&lt;"&amp;$S216)))</f>
        <v>70</v>
      </c>
      <c r="Y216" cm="1">
        <f t="array" ref="Y216">IFERROR(IF(_xlfn._xlws.FILTER(game_rosters!$J:$J,(game_rosters!$G:$G=events!$AM216)*(game_rosters!$J:$J=events!$X216))&gt;0,1,""),"")</f>
        <v>1</v>
      </c>
      <c r="Z216" s="6">
        <f t="shared" si="352"/>
        <v>1</v>
      </c>
      <c r="AA216">
        <f t="shared" si="353"/>
        <v>1114</v>
      </c>
      <c r="AB216" t="str">
        <f t="shared" si="354"/>
        <v/>
      </c>
      <c r="AC216">
        <f t="shared" si="355"/>
        <v>1114</v>
      </c>
      <c r="AD216" t="str">
        <f t="shared" si="356"/>
        <v>14</v>
      </c>
      <c r="AE216" t="str">
        <f t="shared" si="357"/>
        <v>46</v>
      </c>
      <c r="AF216" t="str">
        <f t="shared" si="358"/>
        <v/>
      </c>
      <c r="AG216" t="str">
        <f t="shared" si="359"/>
        <v/>
      </c>
      <c r="AH216" t="str">
        <f t="shared" si="298"/>
        <v>e</v>
      </c>
      <c r="AI216" t="str">
        <f t="shared" si="383"/>
        <v>o</v>
      </c>
      <c r="AJ216" t="str">
        <f t="shared" si="383"/>
        <v>o</v>
      </c>
      <c r="AK216" t="str">
        <f t="shared" si="300"/>
        <v>d</v>
      </c>
      <c r="AL216" t="str">
        <f t="shared" si="301"/>
        <v>o</v>
      </c>
      <c r="AM216" t="str">
        <f t="shared" si="360"/>
        <v>Away</v>
      </c>
      <c r="AN216" t="str">
        <f t="shared" si="302"/>
        <v>a</v>
      </c>
      <c r="AO216" t="str">
        <f t="shared" si="303"/>
        <v>d</v>
      </c>
      <c r="AP216" t="str">
        <f t="shared" si="304"/>
        <v>o</v>
      </c>
      <c r="AQ216" t="str">
        <f>IF(AM216&lt;&gt;"",AM216,IF($AC216=#REF!,#REF!,""))</f>
        <v>Away</v>
      </c>
      <c r="AR216" t="str">
        <f t="shared" si="305"/>
        <v>a</v>
      </c>
      <c r="AS216" t="str">
        <f t="shared" si="306"/>
        <v>Offensive</v>
      </c>
      <c r="AT216" t="str">
        <f t="shared" si="361"/>
        <v/>
      </c>
      <c r="AU216" t="str">
        <f t="shared" si="362"/>
        <v/>
      </c>
      <c r="AV216" t="str" cm="1">
        <f t="array" ref="AV216">IFERROR(IF(O216&lt;&gt;"",O216,IF(OR($S216="",$T216=""),"",IF(O216&lt;&gt;"",O216,IF($T216&lt;&gt;"",_xlfn._xlws.FILTER(O:O,($BT:$BT=$BT216)*($I:$I=$I216)*($T:$T=$T216)*($S:$S=_xlfn.MINIFS($S:$S,$T:$T,"="&amp;$T216)),"")))))&amp;"",IF(O216="","",""))&amp;""</f>
        <v>SecondTouch</v>
      </c>
      <c r="AW216" t="str" cm="1">
        <f t="array" ref="AW216">IFERROR(IF(P216&lt;&gt;"",P216,IF(OR($S216="",$T216=""),"",IF($T216&lt;&gt;"",_xlfn._xlws.FILTER(P:P,($BT:$BT=$BT216)*($I:$I=$I216)*($T:$T=$T216)*($S:$S=_xlfn.MINIFS($S:$S,$T:$T,"="&amp;$T216)),""))))&amp;"",IF(P216="","",""))&amp;""</f>
        <v/>
      </c>
      <c r="AX216" t="str" cm="1">
        <f t="array" ref="AX216">IFERROR(IF(Q216&lt;&gt;"",Q216,IF(OR($S216="",$T216=""),"",IF($T216&lt;&gt;"",_xlfn._xlws.FILTER(Q:Q,($BT:$BT=$BT216)*($I:$I=$I216)*($T:$T=$T216)*($S:$S=_xlfn.MINIFS($S:$S,$T:$T,"="&amp;$T216)),""))))&amp;"",IF(Q216="","",""))&amp;""</f>
        <v>s</v>
      </c>
      <c r="AY216" t="str" cm="1">
        <f t="array" ref="AY216">IFERROR(IF(R216&lt;&gt;"",R216,IF(OR($S216="",$T216=""),"",IF($T216&lt;&gt;"",_xlfn._xlws.FILTER(R:R,($BT:$BT=$BT216)*($I:$I=$I216)*($T:$T=$T216)*($S:$S=_xlfn.MINIFS($S:$S,$T:$T,"="&amp;$T216)),""))))&amp;"",IF(R216="","",""))&amp;""</f>
        <v>1</v>
      </c>
      <c r="AZ216" s="6">
        <f t="shared" si="363"/>
        <v>22</v>
      </c>
      <c r="BA216">
        <f t="shared" ref="BA216:BC216" si="399">BA215</f>
        <v>18991</v>
      </c>
      <c r="BB216" t="str">
        <f t="shared" si="399"/>
        <v>Triple J</v>
      </c>
      <c r="BC216" t="str">
        <f t="shared" si="399"/>
        <v>Velodrome</v>
      </c>
      <c r="BD216" t="str">
        <f t="shared" si="365"/>
        <v>Pass</v>
      </c>
      <c r="BE216" t="str">
        <f t="shared" si="366"/>
        <v>Pass_Completed</v>
      </c>
      <c r="BF216" t="str">
        <f t="shared" si="367"/>
        <v>Pass-Other</v>
      </c>
      <c r="BG216" t="str">
        <f t="shared" si="22"/>
        <v>s</v>
      </c>
      <c r="BH216" cm="1">
        <f t="array" aca="1" ref="BH216" ca="1">IFERROR(_xlfn._xlws.FILTER(shifts!A:A,(shifts!B:B=events!Z216)*(shifts!AG:AG&gt;=events!BJ216)*(shifts!AH:AH&lt;=events!BK216)),BH215)</f>
        <v>8</v>
      </c>
      <c r="BI216" s="15">
        <f t="shared" si="368"/>
        <v>0</v>
      </c>
      <c r="BJ216">
        <f t="shared" si="369"/>
        <v>886</v>
      </c>
      <c r="BK216">
        <f t="shared" si="370"/>
        <v>886</v>
      </c>
      <c r="BL216" s="15">
        <f>SUMIFS(BI$2:BI216,K$2:K216,"=Intermission")+SUMIFS(BI$2:BI216,K$2:K216,"=Timeout")</f>
        <v>0</v>
      </c>
      <c r="BM216">
        <f t="shared" si="371"/>
        <v>0</v>
      </c>
      <c r="BN216" s="19">
        <f t="shared" si="372"/>
        <v>194</v>
      </c>
      <c r="BO216">
        <f t="shared" si="373"/>
        <v>189</v>
      </c>
      <c r="BP216" s="17">
        <f t="shared" si="374"/>
        <v>194</v>
      </c>
      <c r="BQ216" t="str">
        <f t="shared" si="375"/>
        <v>event_team_player_1</v>
      </c>
      <c r="BR216">
        <f>COUNTIFS(S$3:S216,"="&amp;S216,AH$3:AH216,"="&amp;AH216)</f>
        <v>1</v>
      </c>
      <c r="BS216" t="str">
        <f>IFERROR(VLOOKUP(BA216&amp;BT216&amp;X216,game_rosters!U:W,3,FALSE),"")</f>
        <v>P100001</v>
      </c>
      <c r="BT216" t="str">
        <f t="shared" si="376"/>
        <v>Velodrome</v>
      </c>
    </row>
    <row r="217" spans="1:72" x14ac:dyDescent="0.2">
      <c r="A217" t="str">
        <f t="shared" si="351"/>
        <v/>
      </c>
      <c r="E217" s="4"/>
      <c r="F217" s="45"/>
      <c r="G217" s="4"/>
      <c r="H217" s="47"/>
      <c r="I217" s="26">
        <v>91</v>
      </c>
      <c r="J217" s="26" t="str">
        <f t="shared" si="377"/>
        <v/>
      </c>
      <c r="N217" t="str">
        <f t="shared" si="395"/>
        <v/>
      </c>
      <c r="Q217" t="str">
        <f t="shared" si="389"/>
        <v/>
      </c>
      <c r="S217">
        <f>IF(A217=1,MAX($S$2:$S216)+1,IF(OR($I217&lt;&gt;"",A217="x"),$S216,""))</f>
        <v>114</v>
      </c>
      <c r="T217" t="str">
        <f>IF(D217=1,MAX($T$2:$T216)+1,IF(S217=S216,$T216,IF(D217="x",T216,IF(D216="x","",""))))</f>
        <v/>
      </c>
      <c r="U217" t="str">
        <f>IF(B217=1,MAX($U$2:$U216)+1,IF(AND($T217&lt;&gt;"",$T217=$T216),$U216,IF(B217="x",U216,"")))</f>
        <v/>
      </c>
      <c r="V217" t="str">
        <f>IF(C217=1,MAX($V$2:$V216)+1,IF(AND($T217&lt;&gt;"",$T217=$T216),$U216,IF(C217="x",V216,"")))</f>
        <v/>
      </c>
      <c r="W217" t="str" cm="1">
        <f t="array" ref="W217">IFERROR(_xlfn._xlws.FILTER(game_rosters!AC:AC,(game_rosters!J:J=events!X217)*(K217&lt;&gt;"")),"")</f>
        <v/>
      </c>
      <c r="X217" cm="1">
        <f t="array" ref="X217">IF($I217&lt;&gt;"",$I217,INDEX($I$1:$I217,ROW()-COUNTIFS($T$1:$T217,"="&amp;$T217,$S$1:$S217,"&lt;"&amp;$S217)))</f>
        <v>91</v>
      </c>
      <c r="Y217" cm="1">
        <f t="array" ref="Y217">IFERROR(IF(_xlfn._xlws.FILTER(game_rosters!$J:$J,(game_rosters!$G:$G=events!$AM217)*(game_rosters!$J:$J=events!$X217))&gt;0,1,""),"")</f>
        <v>1</v>
      </c>
      <c r="Z217" s="6">
        <f t="shared" si="352"/>
        <v>1</v>
      </c>
      <c r="AA217">
        <f t="shared" si="353"/>
        <v>1114</v>
      </c>
      <c r="AB217" t="str">
        <f t="shared" si="354"/>
        <v/>
      </c>
      <c r="AC217">
        <f t="shared" si="355"/>
        <v>1114</v>
      </c>
      <c r="AD217" t="str">
        <f t="shared" si="356"/>
        <v>14</v>
      </c>
      <c r="AE217" t="str">
        <f t="shared" si="357"/>
        <v>46</v>
      </c>
      <c r="AF217" t="str">
        <f t="shared" si="358"/>
        <v/>
      </c>
      <c r="AG217" t="str">
        <f t="shared" si="359"/>
        <v/>
      </c>
      <c r="AH217" t="str">
        <f t="shared" si="298"/>
        <v>e</v>
      </c>
      <c r="AI217" t="str">
        <f t="shared" si="383"/>
        <v>o</v>
      </c>
      <c r="AJ217" t="str">
        <f t="shared" si="383"/>
        <v>o</v>
      </c>
      <c r="AK217" t="str">
        <f t="shared" si="300"/>
        <v/>
      </c>
      <c r="AL217" t="str">
        <f t="shared" si="301"/>
        <v/>
      </c>
      <c r="AM217" t="str">
        <f t="shared" si="360"/>
        <v>Away</v>
      </c>
      <c r="AN217" t="str">
        <f t="shared" si="302"/>
        <v>a</v>
      </c>
      <c r="AO217" t="str">
        <f t="shared" si="303"/>
        <v>d</v>
      </c>
      <c r="AP217" t="str">
        <f t="shared" si="304"/>
        <v>o</v>
      </c>
      <c r="AQ217" t="str">
        <f>IF(AM217&lt;&gt;"",AM217,IF($AC217=#REF!,#REF!,""))</f>
        <v>Away</v>
      </c>
      <c r="AR217" t="str">
        <f t="shared" si="305"/>
        <v>a</v>
      </c>
      <c r="AS217" t="str">
        <f t="shared" si="306"/>
        <v>Offensive</v>
      </c>
      <c r="AT217" t="str">
        <f t="shared" si="361"/>
        <v/>
      </c>
      <c r="AU217" t="str">
        <f t="shared" si="362"/>
        <v/>
      </c>
      <c r="AV217" t="str" cm="1">
        <f t="array" ref="AV217">IFERROR(IF(O217&lt;&gt;"",O217,IF(OR($S217="",$T217=""),"",IF(O217&lt;&gt;"",O217,IF($T217&lt;&gt;"",_xlfn._xlws.FILTER(O:O,($BT:$BT=$BT217)*($I:$I=$I217)*($T:$T=$T217)*($S:$S=_xlfn.MINIFS($S:$S,$T:$T,"="&amp;$T217)),"")))))&amp;"",IF(O217="","",""))&amp;""</f>
        <v/>
      </c>
      <c r="AW217" t="str" cm="1">
        <f t="array" ref="AW217">IFERROR(IF(P217&lt;&gt;"",P217,IF(OR($S217="",$T217=""),"",IF($T217&lt;&gt;"",_xlfn._xlws.FILTER(P:P,($BT:$BT=$BT217)*($I:$I=$I217)*($T:$T=$T217)*($S:$S=_xlfn.MINIFS($S:$S,$T:$T,"="&amp;$T217)),""))))&amp;"",IF(P217="","",""))&amp;""</f>
        <v/>
      </c>
      <c r="AX217" t="str" cm="1">
        <f t="array" ref="AX217">IFERROR(IF(Q217&lt;&gt;"",Q217,IF(OR($S217="",$T217=""),"",IF($T217&lt;&gt;"",_xlfn._xlws.FILTER(Q:Q,($BT:$BT=$BT217)*($I:$I=$I217)*($T:$T=$T217)*($S:$S=_xlfn.MINIFS($S:$S,$T:$T,"="&amp;$T217)),""))))&amp;"",IF(Q217="","",""))&amp;""</f>
        <v/>
      </c>
      <c r="AY217" t="str" cm="1">
        <f t="array" ref="AY217">IFERROR(IF(R217&lt;&gt;"",R217,IF(OR($S217="",$T217=""),"",IF($T217&lt;&gt;"",_xlfn._xlws.FILTER(R:R,($BT:$BT=$BT217)*($I:$I=$I217)*($T:$T=$T217)*($S:$S=_xlfn.MINIFS($S:$S,$T:$T,"="&amp;$T217)),""))))&amp;"",IF(R217="","",""))&amp;""</f>
        <v/>
      </c>
      <c r="AZ217" s="6">
        <f t="shared" si="363"/>
        <v>22</v>
      </c>
      <c r="BA217">
        <f t="shared" ref="BA217:BC217" si="400">BA216</f>
        <v>18991</v>
      </c>
      <c r="BB217" t="str">
        <f t="shared" si="400"/>
        <v>Triple J</v>
      </c>
      <c r="BC217" t="str">
        <f t="shared" si="400"/>
        <v>Velodrome</v>
      </c>
      <c r="BD217" t="str">
        <f t="shared" si="365"/>
        <v>Pass</v>
      </c>
      <c r="BE217" t="str">
        <f t="shared" si="366"/>
        <v>Pass_Completed</v>
      </c>
      <c r="BF217" t="str">
        <f t="shared" si="367"/>
        <v>Pass-Other</v>
      </c>
      <c r="BG217" t="str">
        <f t="shared" si="22"/>
        <v>s</v>
      </c>
      <c r="BH217" cm="1">
        <f t="array" aca="1" ref="BH217" ca="1">IFERROR(_xlfn._xlws.FILTER(shifts!A:A,(shifts!B:B=events!Z217)*(shifts!AG:AG&gt;=events!BJ217)*(shifts!AH:AH&lt;=events!BK217)),BH216)</f>
        <v>8</v>
      </c>
      <c r="BI217" s="15">
        <f t="shared" si="368"/>
        <v>0</v>
      </c>
      <c r="BJ217">
        <f t="shared" si="369"/>
        <v>886</v>
      </c>
      <c r="BK217">
        <f t="shared" si="370"/>
        <v>886</v>
      </c>
      <c r="BL217" s="15">
        <f>SUMIFS(BI$2:BI217,K$2:K217,"=Intermission")+SUMIFS(BI$2:BI217,K$2:K217,"=Timeout")</f>
        <v>0</v>
      </c>
      <c r="BM217">
        <f t="shared" si="371"/>
        <v>0</v>
      </c>
      <c r="BN217" s="19">
        <f t="shared" si="372"/>
        <v>194</v>
      </c>
      <c r="BO217">
        <f t="shared" si="373"/>
        <v>189</v>
      </c>
      <c r="BP217" s="17">
        <f t="shared" si="374"/>
        <v>194</v>
      </c>
      <c r="BQ217" t="str">
        <f t="shared" si="375"/>
        <v>event_team_player_2</v>
      </c>
      <c r="BR217">
        <f>COUNTIFS(S$3:S217,"="&amp;S217,AH$3:AH217,"="&amp;AH217)</f>
        <v>2</v>
      </c>
      <c r="BS217" t="str">
        <f>IFERROR(VLOOKUP(BA217&amp;BT217&amp;X217,game_rosters!U:W,3,FALSE),"")</f>
        <v>P100002</v>
      </c>
      <c r="BT217" t="str">
        <f t="shared" si="376"/>
        <v>Velodrome</v>
      </c>
    </row>
    <row r="218" spans="1:72" x14ac:dyDescent="0.2">
      <c r="A218" t="str">
        <f t="shared" si="351"/>
        <v/>
      </c>
      <c r="E218" s="4"/>
      <c r="F218" s="45"/>
      <c r="G218" s="4"/>
      <c r="H218" s="47"/>
      <c r="I218" s="26">
        <v>41</v>
      </c>
      <c r="J218" s="26" t="str">
        <f t="shared" si="377"/>
        <v/>
      </c>
      <c r="N218" t="str">
        <f t="shared" si="395"/>
        <v/>
      </c>
      <c r="Q218" t="str">
        <f t="shared" si="389"/>
        <v/>
      </c>
      <c r="R218" s="26">
        <v>1</v>
      </c>
      <c r="S218">
        <f>IF(A218=1,MAX($S$2:$S217)+1,IF(OR($I218&lt;&gt;"",A218="x"),$S217,""))</f>
        <v>114</v>
      </c>
      <c r="T218" t="str">
        <f>IF(D218=1,MAX($T$2:$T217)+1,IF(S218=S217,$T217,IF(D218="x",T217,IF(D217="x","",""))))</f>
        <v/>
      </c>
      <c r="U218" t="str">
        <f>IF(B218=1,MAX($U$2:$U217)+1,IF(AND($T218&lt;&gt;"",$T218=$T217),$U217,IF(B218="x",U217,"")))</f>
        <v/>
      </c>
      <c r="V218" t="str">
        <f>IF(C218=1,MAX($V$2:$V217)+1,IF(AND($T218&lt;&gt;"",$T218=$T217),$U217,IF(C218="x",V217,"")))</f>
        <v/>
      </c>
      <c r="W218" t="str" cm="1">
        <f t="array" ref="W218">IFERROR(_xlfn._xlws.FILTER(game_rosters!AC:AC,(game_rosters!J:J=events!X218)*(K218&lt;&gt;"")),"")</f>
        <v/>
      </c>
      <c r="X218" cm="1">
        <f t="array" ref="X218">IF($I218&lt;&gt;"",$I218,INDEX($I$1:$I218,ROW()-COUNTIFS($T$1:$T218,"="&amp;$T218,$S$1:$S218,"&lt;"&amp;$S218)))</f>
        <v>41</v>
      </c>
      <c r="Y218" t="str" cm="1">
        <f t="array" ref="Y218">IFERROR(IF(_xlfn._xlws.FILTER(game_rosters!$J:$J,(game_rosters!$G:$G=events!$AM218)*(game_rosters!$J:$J=events!$X218))&gt;0,1,""),"")</f>
        <v/>
      </c>
      <c r="Z218" s="6">
        <f t="shared" si="352"/>
        <v>1</v>
      </c>
      <c r="AA218">
        <f t="shared" si="353"/>
        <v>1114</v>
      </c>
      <c r="AB218" t="str">
        <f t="shared" si="354"/>
        <v/>
      </c>
      <c r="AC218">
        <f t="shared" si="355"/>
        <v>1114</v>
      </c>
      <c r="AD218" t="str">
        <f t="shared" si="356"/>
        <v>14</v>
      </c>
      <c r="AE218" t="str">
        <f t="shared" si="357"/>
        <v>46</v>
      </c>
      <c r="AF218" t="str">
        <f t="shared" si="358"/>
        <v/>
      </c>
      <c r="AG218" t="str">
        <f t="shared" si="359"/>
        <v/>
      </c>
      <c r="AH218" t="str">
        <f t="shared" si="298"/>
        <v>o</v>
      </c>
      <c r="AI218" t="str">
        <f t="shared" si="383"/>
        <v>o</v>
      </c>
      <c r="AJ218" t="str">
        <f t="shared" si="383"/>
        <v>o</v>
      </c>
      <c r="AK218" t="str">
        <f t="shared" si="300"/>
        <v/>
      </c>
      <c r="AL218" t="str">
        <f t="shared" si="301"/>
        <v/>
      </c>
      <c r="AM218" t="str">
        <f t="shared" si="360"/>
        <v>Away</v>
      </c>
      <c r="AN218" t="str">
        <f t="shared" si="302"/>
        <v>a</v>
      </c>
      <c r="AO218" t="str">
        <f t="shared" si="303"/>
        <v>d</v>
      </c>
      <c r="AP218" t="str">
        <f t="shared" si="304"/>
        <v>o</v>
      </c>
      <c r="AQ218" t="str">
        <f>IF(AM218&lt;&gt;"",AM218,IF($AC218=#REF!,#REF!,""))</f>
        <v>Away</v>
      </c>
      <c r="AR218" t="str">
        <f t="shared" si="305"/>
        <v>a</v>
      </c>
      <c r="AS218" t="str">
        <f t="shared" si="306"/>
        <v>Defensive</v>
      </c>
      <c r="AT218" t="str">
        <f t="shared" si="361"/>
        <v/>
      </c>
      <c r="AU218" t="str">
        <f t="shared" si="362"/>
        <v/>
      </c>
      <c r="AV218" t="str" cm="1">
        <f t="array" ref="AV218">IFERROR(IF(O218&lt;&gt;"",O218,IF(OR($S218="",$T218=""),"",IF(O218&lt;&gt;"",O218,IF($T218&lt;&gt;"",_xlfn._xlws.FILTER(O:O,($BT:$BT=$BT218)*($I:$I=$I218)*($T:$T=$T218)*($S:$S=_xlfn.MINIFS($S:$S,$T:$T,"="&amp;$T218)),"")))))&amp;"",IF(O218="","",""))&amp;""</f>
        <v/>
      </c>
      <c r="AW218" t="str" cm="1">
        <f t="array" ref="AW218">IFERROR(IF(P218&lt;&gt;"",P218,IF(OR($S218="",$T218=""),"",IF($T218&lt;&gt;"",_xlfn._xlws.FILTER(P:P,($BT:$BT=$BT218)*($I:$I=$I218)*($T:$T=$T218)*($S:$S=_xlfn.MINIFS($S:$S,$T:$T,"="&amp;$T218)),""))))&amp;"",IF(P218="","",""))&amp;""</f>
        <v/>
      </c>
      <c r="AX218" t="str" cm="1">
        <f t="array" ref="AX218">IFERROR(IF(Q218&lt;&gt;"",Q218,IF(OR($S218="",$T218=""),"",IF($T218&lt;&gt;"",_xlfn._xlws.FILTER(Q:Q,($BT:$BT=$BT218)*($I:$I=$I218)*($T:$T=$T218)*($S:$S=_xlfn.MINIFS($S:$S,$T:$T,"="&amp;$T218)),""))))&amp;"",IF(Q218="","",""))&amp;""</f>
        <v/>
      </c>
      <c r="AY218" t="str" cm="1">
        <f t="array" ref="AY218">IFERROR(IF(R218&lt;&gt;"",R218,IF(OR($S218="",$T218=""),"",IF($T218&lt;&gt;"",_xlfn._xlws.FILTER(R:R,($BT:$BT=$BT218)*($I:$I=$I218)*($T:$T=$T218)*($S:$S=_xlfn.MINIFS($S:$S,$T:$T,"="&amp;$T218)),""))))&amp;"",IF(R218="","",""))&amp;""</f>
        <v>1</v>
      </c>
      <c r="AZ218" s="6">
        <f t="shared" si="363"/>
        <v>22</v>
      </c>
      <c r="BA218">
        <f t="shared" ref="BA218:BC218" si="401">BA217</f>
        <v>18991</v>
      </c>
      <c r="BB218" t="str">
        <f t="shared" si="401"/>
        <v>Triple J</v>
      </c>
      <c r="BC218" t="str">
        <f t="shared" si="401"/>
        <v>Velodrome</v>
      </c>
      <c r="BD218" t="str">
        <f t="shared" si="365"/>
        <v>Pass</v>
      </c>
      <c r="BE218" t="str">
        <f t="shared" si="366"/>
        <v>Pass_Completed</v>
      </c>
      <c r="BF218" t="str">
        <f t="shared" si="367"/>
        <v>Pass-Other</v>
      </c>
      <c r="BG218" t="str">
        <f t="shared" si="22"/>
        <v>s</v>
      </c>
      <c r="BH218" cm="1">
        <f t="array" aca="1" ref="BH218" ca="1">IFERROR(_xlfn._xlws.FILTER(shifts!A:A,(shifts!B:B=events!Z218)*(shifts!AG:AG&gt;=events!BJ218)*(shifts!AH:AH&lt;=events!BK218)),BH217)</f>
        <v>8</v>
      </c>
      <c r="BI218" s="15">
        <f t="shared" si="368"/>
        <v>0</v>
      </c>
      <c r="BJ218">
        <f t="shared" si="369"/>
        <v>886</v>
      </c>
      <c r="BK218">
        <f t="shared" si="370"/>
        <v>886</v>
      </c>
      <c r="BL218" s="15">
        <f>SUMIFS(BI$2:BI218,K$2:K218,"=Intermission")+SUMIFS(BI$2:BI218,K$2:K218,"=Timeout")</f>
        <v>0</v>
      </c>
      <c r="BM218">
        <f t="shared" si="371"/>
        <v>0</v>
      </c>
      <c r="BN218" s="19">
        <f t="shared" si="372"/>
        <v>194</v>
      </c>
      <c r="BO218">
        <f t="shared" si="373"/>
        <v>189</v>
      </c>
      <c r="BP218" s="17">
        <f t="shared" si="374"/>
        <v>194</v>
      </c>
      <c r="BQ218" t="str">
        <f t="shared" si="375"/>
        <v>opp_team_player_1</v>
      </c>
      <c r="BR218">
        <f>COUNTIFS(S$3:S218,"="&amp;S218,AH$3:AH218,"="&amp;AH218)</f>
        <v>1</v>
      </c>
      <c r="BS218" t="str">
        <f>IFERROR(VLOOKUP(BA218&amp;BT218&amp;X218,game_rosters!U:W,3,FALSE),"")</f>
        <v>P100206</v>
      </c>
      <c r="BT218" t="str">
        <f t="shared" si="376"/>
        <v>Triple J</v>
      </c>
    </row>
    <row r="219" spans="1:72" x14ac:dyDescent="0.2">
      <c r="A219">
        <f t="shared" si="351"/>
        <v>1</v>
      </c>
      <c r="E219" s="4"/>
      <c r="F219" s="45" t="s">
        <v>1029</v>
      </c>
      <c r="G219" s="4"/>
      <c r="H219" s="47"/>
      <c r="I219" s="26">
        <v>91</v>
      </c>
      <c r="J219" s="26" t="s">
        <v>368</v>
      </c>
      <c r="K219" t="s">
        <v>7</v>
      </c>
      <c r="L219" t="s">
        <v>172</v>
      </c>
      <c r="M219" t="s">
        <v>66</v>
      </c>
      <c r="N219" t="str">
        <f t="shared" si="395"/>
        <v>s</v>
      </c>
      <c r="O219" t="s">
        <v>576</v>
      </c>
      <c r="Q219" t="str">
        <f t="shared" si="389"/>
        <v>s</v>
      </c>
      <c r="R219" s="26">
        <v>1</v>
      </c>
      <c r="S219">
        <f>IF(A219=1,MAX($S$2:$S218)+1,IF(OR($I219&lt;&gt;"",A219="x"),$S218,""))</f>
        <v>115</v>
      </c>
      <c r="T219" t="str">
        <f>IF(D219=1,MAX($T$2:$T218)+1,IF(S219=S218,$T218,IF(D219="x",T218,IF(D218="x","",""))))</f>
        <v/>
      </c>
      <c r="U219" t="str">
        <f>IF(B219=1,MAX($U$2:$U218)+1,IF(AND($T219&lt;&gt;"",$T219=$T218),$U218,IF(B219="x",U218,"")))</f>
        <v/>
      </c>
      <c r="V219" t="str">
        <f>IF(C219=1,MAX($V$2:$V218)+1,IF(AND($T219&lt;&gt;"",$T219=$T218),$U218,IF(C219="x",V218,"")))</f>
        <v/>
      </c>
      <c r="W219" t="str" cm="1">
        <f t="array" ref="W219">IFERROR(_xlfn._xlws.FILTER(game_rosters!AC:AC,(game_rosters!J:J=events!X219)*(K219&lt;&gt;"")),"")</f>
        <v>a</v>
      </c>
      <c r="X219" cm="1">
        <f t="array" ref="X219">IF($I219&lt;&gt;"",$I219,INDEX($I$1:$I219,ROW()-COUNTIFS($T$1:$T219,"="&amp;$T219,$S$1:$S219,"&lt;"&amp;$S219)))</f>
        <v>91</v>
      </c>
      <c r="Y219" cm="1">
        <f t="array" ref="Y219">IFERROR(IF(_xlfn._xlws.FILTER(game_rosters!$J:$J,(game_rosters!$G:$G=events!$AM219)*(game_rosters!$J:$J=events!$X219))&gt;0,1,""),"")</f>
        <v>1</v>
      </c>
      <c r="Z219" s="6">
        <f t="shared" si="352"/>
        <v>1</v>
      </c>
      <c r="AA219">
        <f t="shared" si="353"/>
        <v>1115</v>
      </c>
      <c r="AB219" t="str">
        <f t="shared" si="354"/>
        <v/>
      </c>
      <c r="AC219">
        <f t="shared" si="355"/>
        <v>1115</v>
      </c>
      <c r="AD219" t="str">
        <f t="shared" si="356"/>
        <v>14</v>
      </c>
      <c r="AE219" t="str">
        <f t="shared" si="357"/>
        <v>44</v>
      </c>
      <c r="AF219" t="str">
        <f t="shared" si="358"/>
        <v/>
      </c>
      <c r="AG219" t="str">
        <f t="shared" si="359"/>
        <v/>
      </c>
      <c r="AH219" t="str">
        <f t="shared" ref="AH219:AH282" si="402">IF(Y219="x","",IF(Y219=1,"e","o"))</f>
        <v>e</v>
      </c>
      <c r="AI219" t="str">
        <f t="shared" ref="AI219:AJ226" si="403">IF($J219&lt;&gt;"",$J219,IF($AC219=$AC218,AI218,""))</f>
        <v>o</v>
      </c>
      <c r="AJ219" t="str">
        <f t="shared" si="403"/>
        <v>o</v>
      </c>
      <c r="AK219" t="str">
        <f t="shared" ref="AK219:AK282" si="404">IF($W219="","",IF($AI219="","",IF($W219="h",$AI219,IF($AI219="n","n",IF(AND($W219="a",$AI219="d"),"o",IF(AND($W219="a",$AI219="o"),"d"))))))</f>
        <v>d</v>
      </c>
      <c r="AL219" t="str">
        <f t="shared" ref="AL219:AL282" si="405">IF($W219="","",IF(J219="","",IF(AK219="n","n",IF(AK219="d","o",IF(AK219="o","d","")))))</f>
        <v>o</v>
      </c>
      <c r="AM219" t="str">
        <f t="shared" si="360"/>
        <v>Away</v>
      </c>
      <c r="AN219" t="str">
        <f t="shared" ref="AN219:AN282" si="406">IF($W219&lt;&gt;"",$W219,IF($AC219=AC218,AN218,""))</f>
        <v>a</v>
      </c>
      <c r="AO219" t="str">
        <f t="shared" ref="AO219:AO282" si="407">IF(AK219&lt;&gt;"",AK219,IF($AC219=AC218,AO218,""))</f>
        <v>d</v>
      </c>
      <c r="AP219" t="str">
        <f t="shared" ref="AP219:AP282" si="408">IF(AL219&lt;&gt;"",AL219,IF($AC219=AC218,AP218,""))</f>
        <v>o</v>
      </c>
      <c r="AQ219" t="str">
        <f>IF(AM219&lt;&gt;"",AM219,IF($AC219=#REF!,#REF!,""))</f>
        <v>Away</v>
      </c>
      <c r="AR219" t="str">
        <f t="shared" ref="AR219:AR282" si="409">IF(AN219&lt;&gt;"",AN219,IF($AC219=AC218,AQ218,""))</f>
        <v>a</v>
      </c>
      <c r="AS219" t="str">
        <f t="shared" ref="AS219:AS282" si="410">IF(AND(AH219="e",OR(BD219="Save",BE219="Turnover_Takeaway",BE219="Play_Defensive")),"Defensive",IF(AND(AH219="o",OR(BD219="Save",BE219="Turnover_Takeaway",BE219="Play_Defensive")),"Offensive",IF(OR(BD219="Deadice",BD219="Stoppage",BD219="Intermission"),"",IF(AH219="e","Offensive",IF(AH219="o","Defensive","")))))</f>
        <v>Offensive</v>
      </c>
      <c r="AT219" t="str">
        <f t="shared" si="361"/>
        <v/>
      </c>
      <c r="AU219" t="str">
        <f t="shared" si="362"/>
        <v/>
      </c>
      <c r="AV219" t="str" cm="1">
        <f t="array" ref="AV219">IFERROR(IF(O219&lt;&gt;"",O219,IF(OR($S219="",$T219=""),"",IF(O219&lt;&gt;"",O219,IF($T219&lt;&gt;"",_xlfn._xlws.FILTER(O:O,($BT:$BT=$BT219)*($I:$I=$I219)*($T:$T=$T219)*($S:$S=_xlfn.MINIFS($S:$S,$T:$T,"="&amp;$T219)),"")))))&amp;"",IF(O219="","",""))&amp;""</f>
        <v>SecondTouch</v>
      </c>
      <c r="AW219" t="str" cm="1">
        <f t="array" ref="AW219">IFERROR(IF(P219&lt;&gt;"",P219,IF(OR($S219="",$T219=""),"",IF($T219&lt;&gt;"",_xlfn._xlws.FILTER(P:P,($BT:$BT=$BT219)*($I:$I=$I219)*($T:$T=$T219)*($S:$S=_xlfn.MINIFS($S:$S,$T:$T,"="&amp;$T219)),""))))&amp;"",IF(P219="","",""))&amp;""</f>
        <v/>
      </c>
      <c r="AX219" t="str" cm="1">
        <f t="array" ref="AX219">IFERROR(IF(Q219&lt;&gt;"",Q219,IF(OR($S219="",$T219=""),"",IF($T219&lt;&gt;"",_xlfn._xlws.FILTER(Q:Q,($BT:$BT=$BT219)*($I:$I=$I219)*($T:$T=$T219)*($S:$S=_xlfn.MINIFS($S:$S,$T:$T,"="&amp;$T219)),""))))&amp;"",IF(Q219="","",""))&amp;""</f>
        <v>s</v>
      </c>
      <c r="AY219" t="str" cm="1">
        <f t="array" ref="AY219">IFERROR(IF(R219&lt;&gt;"",R219,IF(OR($S219="",$T219=""),"",IF($T219&lt;&gt;"",_xlfn._xlws.FILTER(R:R,($BT:$BT=$BT219)*($I:$I=$I219)*($T:$T=$T219)*($S:$S=_xlfn.MINIFS($S:$S,$T:$T,"="&amp;$T219)),""))))&amp;"",IF(R219="","",""))&amp;""</f>
        <v>1</v>
      </c>
      <c r="AZ219" s="6">
        <f t="shared" si="363"/>
        <v>22</v>
      </c>
      <c r="BA219">
        <f t="shared" ref="BA219:BC219" si="411">BA218</f>
        <v>18991</v>
      </c>
      <c r="BB219" t="str">
        <f t="shared" si="411"/>
        <v>Triple J</v>
      </c>
      <c r="BC219" t="str">
        <f t="shared" si="411"/>
        <v>Velodrome</v>
      </c>
      <c r="BD219" t="str">
        <f t="shared" si="365"/>
        <v>Pass</v>
      </c>
      <c r="BE219" t="str">
        <f t="shared" si="366"/>
        <v>Pass_Completed</v>
      </c>
      <c r="BF219" t="str">
        <f t="shared" si="367"/>
        <v>Pass-Rim/Wrap</v>
      </c>
      <c r="BG219" t="str">
        <f t="shared" si="22"/>
        <v>s</v>
      </c>
      <c r="BH219" cm="1">
        <f t="array" aca="1" ref="BH219" ca="1">IFERROR(_xlfn._xlws.FILTER(shifts!A:A,(shifts!B:B=events!Z219)*(shifts!AG:AG&gt;=events!BJ219)*(shifts!AH:AH&lt;=events!BK219)),BH218)</f>
        <v>8</v>
      </c>
      <c r="BI219" s="15">
        <f t="shared" si="368"/>
        <v>0</v>
      </c>
      <c r="BJ219">
        <f t="shared" si="369"/>
        <v>884</v>
      </c>
      <c r="BK219">
        <f t="shared" si="370"/>
        <v>884</v>
      </c>
      <c r="BL219" s="15">
        <f>SUMIFS(BI$2:BI219,K$2:K219,"=Intermission")+SUMIFS(BI$2:BI219,K$2:K219,"=Timeout")</f>
        <v>0</v>
      </c>
      <c r="BM219">
        <f t="shared" si="371"/>
        <v>0</v>
      </c>
      <c r="BN219" s="19">
        <f t="shared" si="372"/>
        <v>196</v>
      </c>
      <c r="BO219">
        <f t="shared" si="373"/>
        <v>191</v>
      </c>
      <c r="BP219" s="17">
        <f t="shared" si="374"/>
        <v>196</v>
      </c>
      <c r="BQ219" t="str">
        <f t="shared" si="375"/>
        <v>event_team_player_1</v>
      </c>
      <c r="BR219">
        <f>COUNTIFS(S$3:S219,"="&amp;S219,AH$3:AH219,"="&amp;AH219)</f>
        <v>1</v>
      </c>
      <c r="BS219" t="str">
        <f>IFERROR(VLOOKUP(BA219&amp;BT219&amp;X219,game_rosters!U:W,3,FALSE),"")</f>
        <v>P100002</v>
      </c>
      <c r="BT219" t="str">
        <f t="shared" si="376"/>
        <v>Velodrome</v>
      </c>
    </row>
    <row r="220" spans="1:72" x14ac:dyDescent="0.2">
      <c r="A220" t="str">
        <f t="shared" si="351"/>
        <v/>
      </c>
      <c r="E220" s="4"/>
      <c r="F220" s="45"/>
      <c r="G220" s="4"/>
      <c r="H220" s="47"/>
      <c r="I220" s="26">
        <v>70</v>
      </c>
      <c r="J220" s="26" t="str">
        <f t="shared" si="377"/>
        <v/>
      </c>
      <c r="N220" t="str">
        <f t="shared" si="395"/>
        <v/>
      </c>
      <c r="Q220" t="str">
        <f t="shared" si="389"/>
        <v/>
      </c>
      <c r="S220">
        <f>IF(A220=1,MAX($S$2:$S219)+1,IF(OR($I220&lt;&gt;"",A220="x"),$S219,""))</f>
        <v>115</v>
      </c>
      <c r="T220" t="str">
        <f>IF(D220=1,MAX($T$2:$T219)+1,IF(S220=S219,$T219,IF(D220="x",T219,IF(D219="x","",""))))</f>
        <v/>
      </c>
      <c r="U220" t="str">
        <f>IF(B220=1,MAX($U$2:$U219)+1,IF(AND($T220&lt;&gt;"",$T220=$T219),$U219,IF(B220="x",U219,"")))</f>
        <v/>
      </c>
      <c r="V220" t="str">
        <f>IF(C220=1,MAX($V$2:$V219)+1,IF(AND($T220&lt;&gt;"",$T220=$T219),$U219,IF(C220="x",V219,"")))</f>
        <v/>
      </c>
      <c r="W220" t="str" cm="1">
        <f t="array" ref="W220">IFERROR(_xlfn._xlws.FILTER(game_rosters!AC:AC,(game_rosters!J:J=events!X220)*(K220&lt;&gt;"")),"")</f>
        <v/>
      </c>
      <c r="X220" cm="1">
        <f t="array" ref="X220">IF($I220&lt;&gt;"",$I220,INDEX($I$1:$I220,ROW()-COUNTIFS($T$1:$T220,"="&amp;$T220,$S$1:$S220,"&lt;"&amp;$S220)))</f>
        <v>70</v>
      </c>
      <c r="Y220" cm="1">
        <f t="array" ref="Y220">IFERROR(IF(_xlfn._xlws.FILTER(game_rosters!$J:$J,(game_rosters!$G:$G=events!$AM220)*(game_rosters!$J:$J=events!$X220))&gt;0,1,""),"")</f>
        <v>1</v>
      </c>
      <c r="Z220" s="6">
        <f t="shared" si="352"/>
        <v>1</v>
      </c>
      <c r="AA220">
        <f t="shared" si="353"/>
        <v>1115</v>
      </c>
      <c r="AB220" t="str">
        <f t="shared" si="354"/>
        <v/>
      </c>
      <c r="AC220">
        <f t="shared" si="355"/>
        <v>1115</v>
      </c>
      <c r="AD220" t="str">
        <f t="shared" si="356"/>
        <v>14</v>
      </c>
      <c r="AE220" t="str">
        <f t="shared" si="357"/>
        <v>44</v>
      </c>
      <c r="AF220" t="str">
        <f t="shared" si="358"/>
        <v/>
      </c>
      <c r="AG220" t="str">
        <f t="shared" si="359"/>
        <v/>
      </c>
      <c r="AH220" t="str">
        <f t="shared" si="402"/>
        <v>e</v>
      </c>
      <c r="AI220" t="str">
        <f t="shared" si="403"/>
        <v>o</v>
      </c>
      <c r="AJ220" t="str">
        <f t="shared" si="403"/>
        <v>o</v>
      </c>
      <c r="AK220" t="str">
        <f t="shared" si="404"/>
        <v/>
      </c>
      <c r="AL220" t="str">
        <f t="shared" si="405"/>
        <v/>
      </c>
      <c r="AM220" t="str">
        <f t="shared" si="360"/>
        <v>Away</v>
      </c>
      <c r="AN220" t="str">
        <f t="shared" si="406"/>
        <v>a</v>
      </c>
      <c r="AO220" t="str">
        <f t="shared" si="407"/>
        <v>d</v>
      </c>
      <c r="AP220" t="str">
        <f t="shared" si="408"/>
        <v>o</v>
      </c>
      <c r="AQ220" t="str">
        <f>IF(AM220&lt;&gt;"",AM220,IF($AC220=#REF!,#REF!,""))</f>
        <v>Away</v>
      </c>
      <c r="AR220" t="str">
        <f t="shared" si="409"/>
        <v>a</v>
      </c>
      <c r="AS220" t="str">
        <f t="shared" si="410"/>
        <v>Offensive</v>
      </c>
      <c r="AT220" t="str">
        <f t="shared" si="361"/>
        <v/>
      </c>
      <c r="AU220" t="str">
        <f t="shared" si="362"/>
        <v/>
      </c>
      <c r="AV220" t="str" cm="1">
        <f t="array" ref="AV220">IFERROR(IF(O220&lt;&gt;"",O220,IF(OR($S220="",$T220=""),"",IF(O220&lt;&gt;"",O220,IF($T220&lt;&gt;"",_xlfn._xlws.FILTER(O:O,($BT:$BT=$BT220)*($I:$I=$I220)*($T:$T=$T220)*($S:$S=_xlfn.MINIFS($S:$S,$T:$T,"="&amp;$T220)),"")))))&amp;"",IF(O220="","",""))&amp;""</f>
        <v/>
      </c>
      <c r="AW220" t="str" cm="1">
        <f t="array" ref="AW220">IFERROR(IF(P220&lt;&gt;"",P220,IF(OR($S220="",$T220=""),"",IF($T220&lt;&gt;"",_xlfn._xlws.FILTER(P:P,($BT:$BT=$BT220)*($I:$I=$I220)*($T:$T=$T220)*($S:$S=_xlfn.MINIFS($S:$S,$T:$T,"="&amp;$T220)),""))))&amp;"",IF(P220="","",""))&amp;""</f>
        <v/>
      </c>
      <c r="AX220" t="str" cm="1">
        <f t="array" ref="AX220">IFERROR(IF(Q220&lt;&gt;"",Q220,IF(OR($S220="",$T220=""),"",IF($T220&lt;&gt;"",_xlfn._xlws.FILTER(Q:Q,($BT:$BT=$BT220)*($I:$I=$I220)*($T:$T=$T220)*($S:$S=_xlfn.MINIFS($S:$S,$T:$T,"="&amp;$T220)),""))))&amp;"",IF(Q220="","",""))&amp;""</f>
        <v/>
      </c>
      <c r="AY220" t="str" cm="1">
        <f t="array" ref="AY220">IFERROR(IF(R220&lt;&gt;"",R220,IF(OR($S220="",$T220=""),"",IF($T220&lt;&gt;"",_xlfn._xlws.FILTER(R:R,($BT:$BT=$BT220)*($I:$I=$I220)*($T:$T=$T220)*($S:$S=_xlfn.MINIFS($S:$S,$T:$T,"="&amp;$T220)),""))))&amp;"",IF(R220="","",""))&amp;""</f>
        <v/>
      </c>
      <c r="AZ220" s="6">
        <f t="shared" si="363"/>
        <v>22</v>
      </c>
      <c r="BA220">
        <f t="shared" ref="BA220:BC220" si="412">BA219</f>
        <v>18991</v>
      </c>
      <c r="BB220" t="str">
        <f t="shared" si="412"/>
        <v>Triple J</v>
      </c>
      <c r="BC220" t="str">
        <f t="shared" si="412"/>
        <v>Velodrome</v>
      </c>
      <c r="BD220" t="str">
        <f t="shared" si="365"/>
        <v>Pass</v>
      </c>
      <c r="BE220" t="str">
        <f t="shared" si="366"/>
        <v>Pass_Completed</v>
      </c>
      <c r="BF220" t="str">
        <f t="shared" si="367"/>
        <v>Pass-Rim/Wrap</v>
      </c>
      <c r="BG220" t="str">
        <f t="shared" si="22"/>
        <v>s</v>
      </c>
      <c r="BH220" cm="1">
        <f t="array" aca="1" ref="BH220" ca="1">IFERROR(_xlfn._xlws.FILTER(shifts!A:A,(shifts!B:B=events!Z220)*(shifts!AG:AG&gt;=events!BJ220)*(shifts!AH:AH&lt;=events!BK220)),BH219)</f>
        <v>8</v>
      </c>
      <c r="BI220" s="15">
        <f t="shared" si="368"/>
        <v>0</v>
      </c>
      <c r="BJ220">
        <f t="shared" si="369"/>
        <v>884</v>
      </c>
      <c r="BK220">
        <f t="shared" si="370"/>
        <v>884</v>
      </c>
      <c r="BL220" s="15">
        <f>SUMIFS(BI$2:BI220,K$2:K220,"=Intermission")+SUMIFS(BI$2:BI220,K$2:K220,"=Timeout")</f>
        <v>0</v>
      </c>
      <c r="BM220">
        <f t="shared" si="371"/>
        <v>0</v>
      </c>
      <c r="BN220" s="19">
        <f t="shared" si="372"/>
        <v>196</v>
      </c>
      <c r="BO220">
        <f t="shared" si="373"/>
        <v>191</v>
      </c>
      <c r="BP220" s="17">
        <f t="shared" si="374"/>
        <v>196</v>
      </c>
      <c r="BQ220" t="str">
        <f t="shared" si="375"/>
        <v>event_team_player_2</v>
      </c>
      <c r="BR220">
        <f>COUNTIFS(S$3:S220,"="&amp;S220,AH$3:AH220,"="&amp;AH220)</f>
        <v>2</v>
      </c>
      <c r="BS220" t="str">
        <f>IFERROR(VLOOKUP(BA220&amp;BT220&amp;X220,game_rosters!U:W,3,FALSE),"")</f>
        <v>P100001</v>
      </c>
      <c r="BT220" t="str">
        <f t="shared" si="376"/>
        <v>Velodrome</v>
      </c>
    </row>
    <row r="221" spans="1:72" x14ac:dyDescent="0.2">
      <c r="A221" t="str">
        <f t="shared" si="351"/>
        <v/>
      </c>
      <c r="E221" s="4"/>
      <c r="F221" s="45"/>
      <c r="G221" s="4"/>
      <c r="H221" s="47"/>
      <c r="I221" s="26">
        <v>19</v>
      </c>
      <c r="J221" s="26" t="str">
        <f t="shared" si="377"/>
        <v/>
      </c>
      <c r="N221" t="str">
        <f t="shared" si="395"/>
        <v/>
      </c>
      <c r="Q221" t="str">
        <f t="shared" si="389"/>
        <v/>
      </c>
      <c r="R221" s="26">
        <v>1</v>
      </c>
      <c r="S221">
        <f>IF(A221=1,MAX($S$2:$S220)+1,IF(OR($I221&lt;&gt;"",A221="x"),$S220,""))</f>
        <v>115</v>
      </c>
      <c r="T221" t="str">
        <f>IF(D221=1,MAX($T$2:$T220)+1,IF(S221=S220,$T220,IF(D221="x",T220,IF(D220="x","",""))))</f>
        <v/>
      </c>
      <c r="U221" t="str">
        <f>IF(B221=1,MAX($U$2:$U220)+1,IF(AND($T221&lt;&gt;"",$T221=$T220),$U220,IF(B221="x",U220,"")))</f>
        <v/>
      </c>
      <c r="V221" t="str">
        <f>IF(C221=1,MAX($V$2:$V220)+1,IF(AND($T221&lt;&gt;"",$T221=$T220),$U220,IF(C221="x",V220,"")))</f>
        <v/>
      </c>
      <c r="W221" t="str" cm="1">
        <f t="array" ref="W221">IFERROR(_xlfn._xlws.FILTER(game_rosters!AC:AC,(game_rosters!J:J=events!X221)*(K221&lt;&gt;"")),"")</f>
        <v/>
      </c>
      <c r="X221" cm="1">
        <f t="array" ref="X221">IF($I221&lt;&gt;"",$I221,INDEX($I$1:$I221,ROW()-COUNTIFS($T$1:$T221,"="&amp;$T221,$S$1:$S221,"&lt;"&amp;$S221)))</f>
        <v>19</v>
      </c>
      <c r="Y221" t="str" cm="1">
        <f t="array" ref="Y221">IFERROR(IF(_xlfn._xlws.FILTER(game_rosters!$J:$J,(game_rosters!$G:$G=events!$AM221)*(game_rosters!$J:$J=events!$X221))&gt;0,1,""),"")</f>
        <v/>
      </c>
      <c r="Z221" s="6">
        <f t="shared" si="352"/>
        <v>1</v>
      </c>
      <c r="AA221">
        <f t="shared" si="353"/>
        <v>1115</v>
      </c>
      <c r="AB221" t="str">
        <f t="shared" si="354"/>
        <v/>
      </c>
      <c r="AC221">
        <f t="shared" si="355"/>
        <v>1115</v>
      </c>
      <c r="AD221" t="str">
        <f t="shared" si="356"/>
        <v>14</v>
      </c>
      <c r="AE221" t="str">
        <f t="shared" si="357"/>
        <v>44</v>
      </c>
      <c r="AF221" t="str">
        <f t="shared" si="358"/>
        <v/>
      </c>
      <c r="AG221" t="str">
        <f t="shared" si="359"/>
        <v/>
      </c>
      <c r="AH221" t="str">
        <f t="shared" si="402"/>
        <v>o</v>
      </c>
      <c r="AI221" t="str">
        <f t="shared" si="403"/>
        <v>o</v>
      </c>
      <c r="AJ221" t="str">
        <f t="shared" si="403"/>
        <v>o</v>
      </c>
      <c r="AK221" t="str">
        <f t="shared" si="404"/>
        <v/>
      </c>
      <c r="AL221" t="str">
        <f t="shared" si="405"/>
        <v/>
      </c>
      <c r="AM221" t="str">
        <f t="shared" si="360"/>
        <v>Away</v>
      </c>
      <c r="AN221" t="str">
        <f t="shared" si="406"/>
        <v>a</v>
      </c>
      <c r="AO221" t="str">
        <f t="shared" si="407"/>
        <v>d</v>
      </c>
      <c r="AP221" t="str">
        <f t="shared" si="408"/>
        <v>o</v>
      </c>
      <c r="AQ221" t="str">
        <f>IF(AM221&lt;&gt;"",AM221,IF($AC221=#REF!,#REF!,""))</f>
        <v>Away</v>
      </c>
      <c r="AR221" t="str">
        <f t="shared" si="409"/>
        <v>a</v>
      </c>
      <c r="AS221" t="str">
        <f t="shared" si="410"/>
        <v>Defensive</v>
      </c>
      <c r="AT221" t="str">
        <f t="shared" si="361"/>
        <v/>
      </c>
      <c r="AU221" t="str">
        <f t="shared" si="362"/>
        <v/>
      </c>
      <c r="AV221" t="str" cm="1">
        <f t="array" ref="AV221">IFERROR(IF(O221&lt;&gt;"",O221,IF(OR($S221="",$T221=""),"",IF(O221&lt;&gt;"",O221,IF($T221&lt;&gt;"",_xlfn._xlws.FILTER(O:O,($BT:$BT=$BT221)*($I:$I=$I221)*($T:$T=$T221)*($S:$S=_xlfn.MINIFS($S:$S,$T:$T,"="&amp;$T221)),"")))))&amp;"",IF(O221="","",""))&amp;""</f>
        <v/>
      </c>
      <c r="AW221" t="str" cm="1">
        <f t="array" ref="AW221">IFERROR(IF(P221&lt;&gt;"",P221,IF(OR($S221="",$T221=""),"",IF($T221&lt;&gt;"",_xlfn._xlws.FILTER(P:P,($BT:$BT=$BT221)*($I:$I=$I221)*($T:$T=$T221)*($S:$S=_xlfn.MINIFS($S:$S,$T:$T,"="&amp;$T221)),""))))&amp;"",IF(P221="","",""))&amp;""</f>
        <v/>
      </c>
      <c r="AX221" t="str" cm="1">
        <f t="array" ref="AX221">IFERROR(IF(Q221&lt;&gt;"",Q221,IF(OR($S221="",$T221=""),"",IF($T221&lt;&gt;"",_xlfn._xlws.FILTER(Q:Q,($BT:$BT=$BT221)*($I:$I=$I221)*($T:$T=$T221)*($S:$S=_xlfn.MINIFS($S:$S,$T:$T,"="&amp;$T221)),""))))&amp;"",IF(Q221="","",""))&amp;""</f>
        <v/>
      </c>
      <c r="AY221" t="str" cm="1">
        <f t="array" ref="AY221">IFERROR(IF(R221&lt;&gt;"",R221,IF(OR($S221="",$T221=""),"",IF($T221&lt;&gt;"",_xlfn._xlws.FILTER(R:R,($BT:$BT=$BT221)*($I:$I=$I221)*($T:$T=$T221)*($S:$S=_xlfn.MINIFS($S:$S,$T:$T,"="&amp;$T221)),""))))&amp;"",IF(R221="","",""))&amp;""</f>
        <v>1</v>
      </c>
      <c r="AZ221" s="6">
        <f t="shared" si="363"/>
        <v>22</v>
      </c>
      <c r="BA221">
        <f t="shared" ref="BA221:BC221" si="413">BA220</f>
        <v>18991</v>
      </c>
      <c r="BB221" t="str">
        <f t="shared" si="413"/>
        <v>Triple J</v>
      </c>
      <c r="BC221" t="str">
        <f t="shared" si="413"/>
        <v>Velodrome</v>
      </c>
      <c r="BD221" t="str">
        <f t="shared" si="365"/>
        <v>Pass</v>
      </c>
      <c r="BE221" t="str">
        <f t="shared" si="366"/>
        <v>Pass_Completed</v>
      </c>
      <c r="BF221" t="str">
        <f t="shared" si="367"/>
        <v>Pass-Rim/Wrap</v>
      </c>
      <c r="BG221" t="str">
        <f t="shared" si="22"/>
        <v>s</v>
      </c>
      <c r="BH221" cm="1">
        <f t="array" aca="1" ref="BH221" ca="1">IFERROR(_xlfn._xlws.FILTER(shifts!A:A,(shifts!B:B=events!Z221)*(shifts!AG:AG&gt;=events!BJ221)*(shifts!AH:AH&lt;=events!BK221)),BH220)</f>
        <v>8</v>
      </c>
      <c r="BI221" s="15">
        <f t="shared" si="368"/>
        <v>0</v>
      </c>
      <c r="BJ221">
        <f t="shared" si="369"/>
        <v>884</v>
      </c>
      <c r="BK221">
        <f t="shared" si="370"/>
        <v>884</v>
      </c>
      <c r="BL221" s="15">
        <f>SUMIFS(BI$2:BI221,K$2:K221,"=Intermission")+SUMIFS(BI$2:BI221,K$2:K221,"=Timeout")</f>
        <v>0</v>
      </c>
      <c r="BM221">
        <f t="shared" si="371"/>
        <v>0</v>
      </c>
      <c r="BN221" s="19">
        <f t="shared" si="372"/>
        <v>196</v>
      </c>
      <c r="BO221">
        <f t="shared" si="373"/>
        <v>191</v>
      </c>
      <c r="BP221" s="17">
        <f t="shared" si="374"/>
        <v>196</v>
      </c>
      <c r="BQ221" t="str">
        <f t="shared" si="375"/>
        <v>opp_team_player_1</v>
      </c>
      <c r="BR221">
        <f>COUNTIFS(S$3:S221,"="&amp;S221,AH$3:AH221,"="&amp;AH221)</f>
        <v>1</v>
      </c>
      <c r="BS221" t="str">
        <f>IFERROR(VLOOKUP(BA221&amp;BT221&amp;X221,game_rosters!U:W,3,FALSE),"")</f>
        <v>P100089</v>
      </c>
      <c r="BT221" t="str">
        <f t="shared" si="376"/>
        <v>Triple J</v>
      </c>
    </row>
    <row r="222" spans="1:72" x14ac:dyDescent="0.2">
      <c r="A222">
        <f t="shared" si="351"/>
        <v>1</v>
      </c>
      <c r="E222" s="4"/>
      <c r="F222" s="45" t="s">
        <v>1032</v>
      </c>
      <c r="G222" s="4"/>
      <c r="H222" s="47" t="s">
        <v>1037</v>
      </c>
      <c r="I222" s="26">
        <v>70</v>
      </c>
      <c r="J222" s="26" t="s">
        <v>368</v>
      </c>
      <c r="K222" t="s">
        <v>13</v>
      </c>
      <c r="N222" t="str">
        <f t="shared" si="395"/>
        <v/>
      </c>
      <c r="Q222" t="str">
        <f t="shared" si="389"/>
        <v/>
      </c>
      <c r="R222" s="26">
        <v>1</v>
      </c>
      <c r="S222">
        <f>IF(A222=1,MAX($S$2:$S221)+1,IF(OR($I222&lt;&gt;"",A222="x"),$S221,""))</f>
        <v>116</v>
      </c>
      <c r="T222" t="str">
        <f>IF(D222=1,MAX($T$2:$T221)+1,IF(S222=S221,$T221,IF(D222="x",T221,IF(D221="x","",""))))</f>
        <v/>
      </c>
      <c r="U222" t="str">
        <f>IF(B222=1,MAX($U$2:$U221)+1,IF(AND($T222&lt;&gt;"",$T222=$T221),$U221,IF(B222="x",U221,"")))</f>
        <v/>
      </c>
      <c r="V222" t="str">
        <f>IF(C222=1,MAX($V$2:$V221)+1,IF(AND($T222&lt;&gt;"",$T222=$T221),$U221,IF(C222="x",V221,"")))</f>
        <v/>
      </c>
      <c r="W222" t="str" cm="1">
        <f t="array" ref="W222">IFERROR(_xlfn._xlws.FILTER(game_rosters!AC:AC,(game_rosters!J:J=events!X222)*(K222&lt;&gt;"")),"")</f>
        <v>a</v>
      </c>
      <c r="X222" cm="1">
        <f t="array" ref="X222">IF($I222&lt;&gt;"",$I222,INDEX($I$1:$I222,ROW()-COUNTIFS($T$1:$T222,"="&amp;$T222,$S$1:$S222,"&lt;"&amp;$S222)))</f>
        <v>70</v>
      </c>
      <c r="Y222" cm="1">
        <f t="array" ref="Y222">IFERROR(IF(_xlfn._xlws.FILTER(game_rosters!$J:$J,(game_rosters!$G:$G=events!$AM222)*(game_rosters!$J:$J=events!$X222))&gt;0,1,""),"")</f>
        <v>1</v>
      </c>
      <c r="Z222" s="6">
        <f t="shared" si="352"/>
        <v>1</v>
      </c>
      <c r="AA222">
        <f t="shared" si="353"/>
        <v>1116</v>
      </c>
      <c r="AB222" t="str">
        <f t="shared" si="354"/>
        <v/>
      </c>
      <c r="AC222">
        <f t="shared" si="355"/>
        <v>1116</v>
      </c>
      <c r="AD222" t="str">
        <f t="shared" si="356"/>
        <v>14</v>
      </c>
      <c r="AE222" t="str">
        <f t="shared" si="357"/>
        <v>42</v>
      </c>
      <c r="AF222" t="str">
        <f t="shared" si="358"/>
        <v>14</v>
      </c>
      <c r="AG222" t="str">
        <f t="shared" si="359"/>
        <v>41</v>
      </c>
      <c r="AH222" t="str">
        <f t="shared" si="402"/>
        <v>e</v>
      </c>
      <c r="AI222" t="str">
        <f t="shared" si="403"/>
        <v>o</v>
      </c>
      <c r="AJ222" t="str">
        <f t="shared" si="403"/>
        <v>o</v>
      </c>
      <c r="AK222" t="str">
        <f t="shared" si="404"/>
        <v>d</v>
      </c>
      <c r="AL222" t="str">
        <f t="shared" si="405"/>
        <v>o</v>
      </c>
      <c r="AM222" t="str">
        <f t="shared" si="360"/>
        <v>Away</v>
      </c>
      <c r="AN222" t="str">
        <f t="shared" si="406"/>
        <v>a</v>
      </c>
      <c r="AO222" t="str">
        <f t="shared" si="407"/>
        <v>d</v>
      </c>
      <c r="AP222" t="str">
        <f t="shared" si="408"/>
        <v>o</v>
      </c>
      <c r="AQ222" t="str">
        <f>IF(AM222&lt;&gt;"",AM222,IF($AC222=#REF!,#REF!,""))</f>
        <v>Away</v>
      </c>
      <c r="AR222" t="str">
        <f t="shared" si="409"/>
        <v>a</v>
      </c>
      <c r="AS222" t="str">
        <f t="shared" si="410"/>
        <v>Offensive</v>
      </c>
      <c r="AT222" t="str">
        <f t="shared" si="361"/>
        <v/>
      </c>
      <c r="AU222" t="str">
        <f t="shared" si="362"/>
        <v/>
      </c>
      <c r="AV222" t="str" cm="1">
        <f t="array" ref="AV222">IFERROR(IF(O222&lt;&gt;"",O222,IF(OR($S222="",$T222=""),"",IF(O222&lt;&gt;"",O222,IF($T222&lt;&gt;"",_xlfn._xlws.FILTER(O:O,($BT:$BT=$BT222)*($I:$I=$I222)*($T:$T=$T222)*($S:$S=_xlfn.MINIFS($S:$S,$T:$T,"="&amp;$T222)),"")))))&amp;"",IF(O222="","",""))&amp;""</f>
        <v/>
      </c>
      <c r="AW222" t="str" cm="1">
        <f t="array" ref="AW222">IFERROR(IF(P222&lt;&gt;"",P222,IF(OR($S222="",$T222=""),"",IF($T222&lt;&gt;"",_xlfn._xlws.FILTER(P:P,($BT:$BT=$BT222)*($I:$I=$I222)*($T:$T=$T222)*($S:$S=_xlfn.MINIFS($S:$S,$T:$T,"="&amp;$T222)),""))))&amp;"",IF(P222="","",""))&amp;""</f>
        <v/>
      </c>
      <c r="AX222" t="str" cm="1">
        <f t="array" ref="AX222">IFERROR(IF(Q222&lt;&gt;"",Q222,IF(OR($S222="",$T222=""),"",IF($T222&lt;&gt;"",_xlfn._xlws.FILTER(Q:Q,($BT:$BT=$BT222)*($I:$I=$I222)*($T:$T=$T222)*($S:$S=_xlfn.MINIFS($S:$S,$T:$T,"="&amp;$T222)),""))))&amp;"",IF(Q222="","",""))&amp;""</f>
        <v/>
      </c>
      <c r="AY222" t="str" cm="1">
        <f t="array" ref="AY222">IFERROR(IF(R222&lt;&gt;"",R222,IF(OR($S222="",$T222=""),"",IF($T222&lt;&gt;"",_xlfn._xlws.FILTER(R:R,($BT:$BT=$BT222)*($I:$I=$I222)*($T:$T=$T222)*($S:$S=_xlfn.MINIFS($S:$S,$T:$T,"="&amp;$T222)),""))))&amp;"",IF(R222="","",""))&amp;""</f>
        <v>1</v>
      </c>
      <c r="AZ222" s="6">
        <f t="shared" si="363"/>
        <v>22</v>
      </c>
      <c r="BA222">
        <f t="shared" ref="BA222:BC222" si="414">BA221</f>
        <v>18991</v>
      </c>
      <c r="BB222" t="str">
        <f t="shared" si="414"/>
        <v>Triple J</v>
      </c>
      <c r="BC222" t="str">
        <f t="shared" si="414"/>
        <v>Velodrome</v>
      </c>
      <c r="BD222" t="str">
        <f t="shared" si="365"/>
        <v>Possession</v>
      </c>
      <c r="BE222" t="str">
        <f t="shared" si="366"/>
        <v/>
      </c>
      <c r="BF222" t="str">
        <f t="shared" si="367"/>
        <v/>
      </c>
      <c r="BG222" t="str">
        <f t="shared" si="22"/>
        <v/>
      </c>
      <c r="BH222" cm="1">
        <f t="array" aca="1" ref="BH222" ca="1">IFERROR(_xlfn._xlws.FILTER(shifts!A:A,(shifts!B:B=events!Z222)*(shifts!AG:AG&gt;=events!BJ222)*(shifts!AH:AH&lt;=events!BK222)),BH221)</f>
        <v>8</v>
      </c>
      <c r="BI222" s="15">
        <f t="shared" si="368"/>
        <v>1</v>
      </c>
      <c r="BJ222">
        <f t="shared" si="369"/>
        <v>882</v>
      </c>
      <c r="BK222">
        <f t="shared" si="370"/>
        <v>881</v>
      </c>
      <c r="BL222" s="15">
        <f>SUMIFS(BI$2:BI222,K$2:K222,"=Intermission")+SUMIFS(BI$2:BI222,K$2:K222,"=Timeout")</f>
        <v>0</v>
      </c>
      <c r="BM222">
        <f t="shared" si="371"/>
        <v>0</v>
      </c>
      <c r="BN222" s="19">
        <f t="shared" si="372"/>
        <v>198</v>
      </c>
      <c r="BO222">
        <f t="shared" si="373"/>
        <v>193</v>
      </c>
      <c r="BP222" s="17">
        <f t="shared" si="374"/>
        <v>199</v>
      </c>
      <c r="BQ222" t="str">
        <f t="shared" si="375"/>
        <v>event_team_player_1</v>
      </c>
      <c r="BR222">
        <f>COUNTIFS(S$3:S222,"="&amp;S222,AH$3:AH222,"="&amp;AH222)</f>
        <v>1</v>
      </c>
      <c r="BS222" t="str">
        <f>IFERROR(VLOOKUP(BA222&amp;BT222&amp;X222,game_rosters!U:W,3,FALSE),"")</f>
        <v>P100001</v>
      </c>
      <c r="BT222" t="str">
        <f t="shared" si="376"/>
        <v>Velodrome</v>
      </c>
    </row>
    <row r="223" spans="1:72" x14ac:dyDescent="0.2">
      <c r="A223" t="str">
        <f t="shared" si="351"/>
        <v/>
      </c>
      <c r="E223" s="4"/>
      <c r="F223" s="45"/>
      <c r="G223" s="4"/>
      <c r="H223" s="47"/>
      <c r="I223" s="26">
        <v>71</v>
      </c>
      <c r="J223" s="26" t="str">
        <f t="shared" si="377"/>
        <v/>
      </c>
      <c r="N223" t="str">
        <f t="shared" si="395"/>
        <v/>
      </c>
      <c r="Q223" t="str">
        <f t="shared" si="389"/>
        <v/>
      </c>
      <c r="R223" s="26">
        <v>1</v>
      </c>
      <c r="S223">
        <f>IF(A223=1,MAX($S$2:$S222)+1,IF(OR($I223&lt;&gt;"",A223="x"),$S222,""))</f>
        <v>116</v>
      </c>
      <c r="T223" t="str">
        <f>IF(D223=1,MAX($T$2:$T222)+1,IF(S223=S222,$T222,IF(D223="x",T222,IF(D222="x","",""))))</f>
        <v/>
      </c>
      <c r="U223" t="str">
        <f>IF(B223=1,MAX($U$2:$U222)+1,IF(AND($T223&lt;&gt;"",$T223=$T222),$U222,IF(B223="x",U222,"")))</f>
        <v/>
      </c>
      <c r="V223" t="str">
        <f>IF(C223=1,MAX($V$2:$V222)+1,IF(AND($T223&lt;&gt;"",$T223=$T222),$U222,IF(C223="x",V222,"")))</f>
        <v/>
      </c>
      <c r="W223" t="str" cm="1">
        <f t="array" ref="W223">IFERROR(_xlfn._xlws.FILTER(game_rosters!AC:AC,(game_rosters!J:J=events!X223)*(K223&lt;&gt;"")),"")</f>
        <v/>
      </c>
      <c r="X223" cm="1">
        <f t="array" ref="X223">IF($I223&lt;&gt;"",$I223,INDEX($I$1:$I223,ROW()-COUNTIFS($T$1:$T223,"="&amp;$T223,$S$1:$S223,"&lt;"&amp;$S223)))</f>
        <v>71</v>
      </c>
      <c r="Y223" t="str" cm="1">
        <f t="array" ref="Y223">IFERROR(IF(_xlfn._xlws.FILTER(game_rosters!$J:$J,(game_rosters!$G:$G=events!$AM223)*(game_rosters!$J:$J=events!$X223))&gt;0,1,""),"")</f>
        <v/>
      </c>
      <c r="Z223" s="6">
        <f t="shared" si="352"/>
        <v>1</v>
      </c>
      <c r="AA223">
        <f t="shared" si="353"/>
        <v>1116</v>
      </c>
      <c r="AB223" t="str">
        <f t="shared" si="354"/>
        <v/>
      </c>
      <c r="AC223">
        <f t="shared" si="355"/>
        <v>1116</v>
      </c>
      <c r="AD223" t="str">
        <f t="shared" si="356"/>
        <v>14</v>
      </c>
      <c r="AE223" t="str">
        <f t="shared" si="357"/>
        <v>42</v>
      </c>
      <c r="AF223" t="str">
        <f t="shared" si="358"/>
        <v>14</v>
      </c>
      <c r="AG223" t="str">
        <f t="shared" si="359"/>
        <v>41</v>
      </c>
      <c r="AH223" t="str">
        <f t="shared" si="402"/>
        <v>o</v>
      </c>
      <c r="AI223" t="str">
        <f t="shared" si="403"/>
        <v>o</v>
      </c>
      <c r="AJ223" t="str">
        <f t="shared" si="403"/>
        <v>o</v>
      </c>
      <c r="AK223" t="str">
        <f t="shared" si="404"/>
        <v/>
      </c>
      <c r="AL223" t="str">
        <f t="shared" si="405"/>
        <v/>
      </c>
      <c r="AM223" t="str">
        <f t="shared" si="360"/>
        <v>Away</v>
      </c>
      <c r="AN223" t="str">
        <f t="shared" si="406"/>
        <v>a</v>
      </c>
      <c r="AO223" t="str">
        <f t="shared" si="407"/>
        <v>d</v>
      </c>
      <c r="AP223" t="str">
        <f t="shared" si="408"/>
        <v>o</v>
      </c>
      <c r="AQ223" t="str">
        <f>IF(AM223&lt;&gt;"",AM223,IF($AC223=#REF!,#REF!,""))</f>
        <v>Away</v>
      </c>
      <c r="AR223" t="str">
        <f t="shared" si="409"/>
        <v>a</v>
      </c>
      <c r="AS223" t="str">
        <f t="shared" si="410"/>
        <v>Defensive</v>
      </c>
      <c r="AT223" t="str">
        <f t="shared" si="361"/>
        <v/>
      </c>
      <c r="AU223" t="str">
        <f t="shared" si="362"/>
        <v/>
      </c>
      <c r="AV223" t="str" cm="1">
        <f t="array" ref="AV223">IFERROR(IF(O223&lt;&gt;"",O223,IF(OR($S223="",$T223=""),"",IF(O223&lt;&gt;"",O223,IF($T223&lt;&gt;"",_xlfn._xlws.FILTER(O:O,($BT:$BT=$BT223)*($I:$I=$I223)*($T:$T=$T223)*($S:$S=_xlfn.MINIFS($S:$S,$T:$T,"="&amp;$T223)),"")))))&amp;"",IF(O223="","",""))&amp;""</f>
        <v/>
      </c>
      <c r="AW223" t="str" cm="1">
        <f t="array" ref="AW223">IFERROR(IF(P223&lt;&gt;"",P223,IF(OR($S223="",$T223=""),"",IF($T223&lt;&gt;"",_xlfn._xlws.FILTER(P:P,($BT:$BT=$BT223)*($I:$I=$I223)*($T:$T=$T223)*($S:$S=_xlfn.MINIFS($S:$S,$T:$T,"="&amp;$T223)),""))))&amp;"",IF(P223="","",""))&amp;""</f>
        <v/>
      </c>
      <c r="AX223" t="str" cm="1">
        <f t="array" ref="AX223">IFERROR(IF(Q223&lt;&gt;"",Q223,IF(OR($S223="",$T223=""),"",IF($T223&lt;&gt;"",_xlfn._xlws.FILTER(Q:Q,($BT:$BT=$BT223)*($I:$I=$I223)*($T:$T=$T223)*($S:$S=_xlfn.MINIFS($S:$S,$T:$T,"="&amp;$T223)),""))))&amp;"",IF(Q223="","",""))&amp;""</f>
        <v/>
      </c>
      <c r="AY223" t="str" cm="1">
        <f t="array" ref="AY223">IFERROR(IF(R223&lt;&gt;"",R223,IF(OR($S223="",$T223=""),"",IF($T223&lt;&gt;"",_xlfn._xlws.FILTER(R:R,($BT:$BT=$BT223)*($I:$I=$I223)*($T:$T=$T223)*($S:$S=_xlfn.MINIFS($S:$S,$T:$T,"="&amp;$T223)),""))))&amp;"",IF(R223="","",""))&amp;""</f>
        <v>1</v>
      </c>
      <c r="AZ223" s="6">
        <f t="shared" si="363"/>
        <v>22</v>
      </c>
      <c r="BA223">
        <f t="shared" ref="BA223:BC223" si="415">BA222</f>
        <v>18991</v>
      </c>
      <c r="BB223" t="str">
        <f t="shared" si="415"/>
        <v>Triple J</v>
      </c>
      <c r="BC223" t="str">
        <f t="shared" si="415"/>
        <v>Velodrome</v>
      </c>
      <c r="BD223" t="str">
        <f t="shared" si="365"/>
        <v>Possession</v>
      </c>
      <c r="BE223" t="str">
        <f t="shared" si="366"/>
        <v/>
      </c>
      <c r="BF223" t="str">
        <f t="shared" si="367"/>
        <v/>
      </c>
      <c r="BG223" t="str">
        <f t="shared" si="22"/>
        <v/>
      </c>
      <c r="BH223" cm="1">
        <f t="array" aca="1" ref="BH223" ca="1">IFERROR(_xlfn._xlws.FILTER(shifts!A:A,(shifts!B:B=events!Z223)*(shifts!AG:AG&gt;=events!BJ223)*(shifts!AH:AH&lt;=events!BK223)),BH222)</f>
        <v>8</v>
      </c>
      <c r="BI223" s="15">
        <f t="shared" si="368"/>
        <v>1</v>
      </c>
      <c r="BJ223">
        <f t="shared" si="369"/>
        <v>882</v>
      </c>
      <c r="BK223">
        <f t="shared" si="370"/>
        <v>881</v>
      </c>
      <c r="BL223" s="15">
        <f>SUMIFS(BI$2:BI223,K$2:K223,"=Intermission")+SUMIFS(BI$2:BI223,K$2:K223,"=Timeout")</f>
        <v>0</v>
      </c>
      <c r="BM223">
        <f t="shared" si="371"/>
        <v>0</v>
      </c>
      <c r="BN223" s="19">
        <f t="shared" si="372"/>
        <v>198</v>
      </c>
      <c r="BO223">
        <f t="shared" si="373"/>
        <v>193</v>
      </c>
      <c r="BP223" s="17">
        <f t="shared" si="374"/>
        <v>199</v>
      </c>
      <c r="BQ223" t="str">
        <f t="shared" si="375"/>
        <v>opp_team_player_1</v>
      </c>
      <c r="BR223">
        <f>COUNTIFS(S$3:S223,"="&amp;S223,AH$3:AH223,"="&amp;AH223)</f>
        <v>1</v>
      </c>
      <c r="BS223" t="str">
        <f>IFERROR(VLOOKUP(BA223&amp;BT223&amp;X223,game_rosters!U:W,3,FALSE),"")</f>
        <v>P100008</v>
      </c>
      <c r="BT223" t="str">
        <f t="shared" si="376"/>
        <v>Triple J</v>
      </c>
    </row>
    <row r="224" spans="1:72" x14ac:dyDescent="0.2">
      <c r="A224" t="str">
        <f t="shared" si="351"/>
        <v/>
      </c>
      <c r="E224" s="4"/>
      <c r="F224" s="45"/>
      <c r="G224" s="4"/>
      <c r="H224" s="47"/>
      <c r="I224" s="26">
        <v>41</v>
      </c>
      <c r="J224" s="26" t="str">
        <f t="shared" si="377"/>
        <v/>
      </c>
      <c r="N224" t="str">
        <f t="shared" si="395"/>
        <v/>
      </c>
      <c r="Q224" t="str">
        <f t="shared" si="389"/>
        <v/>
      </c>
      <c r="R224" s="26">
        <v>1</v>
      </c>
      <c r="S224">
        <f>IF(A224=1,MAX($S$2:$S223)+1,IF(OR($I224&lt;&gt;"",A224="x"),$S223,""))</f>
        <v>116</v>
      </c>
      <c r="T224" t="str">
        <f>IF(D224=1,MAX($T$2:$T223)+1,IF(S224=S223,$T223,IF(D224="x",T223,IF(D223="x","",""))))</f>
        <v/>
      </c>
      <c r="U224" t="str">
        <f>IF(B224=1,MAX($U$2:$U223)+1,IF(AND($T224&lt;&gt;"",$T224=$T223),$U223,IF(B224="x",U223,"")))</f>
        <v/>
      </c>
      <c r="V224" t="str">
        <f>IF(C224=1,MAX($V$2:$V223)+1,IF(AND($T224&lt;&gt;"",$T224=$T223),$U223,IF(C224="x",V223,"")))</f>
        <v/>
      </c>
      <c r="W224" t="str" cm="1">
        <f t="array" ref="W224">IFERROR(_xlfn._xlws.FILTER(game_rosters!AC:AC,(game_rosters!J:J=events!X224)*(K224&lt;&gt;"")),"")</f>
        <v/>
      </c>
      <c r="X224" cm="1">
        <f t="array" ref="X224">IF($I224&lt;&gt;"",$I224,INDEX($I$1:$I224,ROW()-COUNTIFS($T$1:$T224,"="&amp;$T224,$S$1:$S224,"&lt;"&amp;$S224)))</f>
        <v>41</v>
      </c>
      <c r="Y224" t="str" cm="1">
        <f t="array" ref="Y224">IFERROR(IF(_xlfn._xlws.FILTER(game_rosters!$J:$J,(game_rosters!$G:$G=events!$AM224)*(game_rosters!$J:$J=events!$X224))&gt;0,1,""),"")</f>
        <v/>
      </c>
      <c r="Z224" s="6">
        <f t="shared" si="352"/>
        <v>1</v>
      </c>
      <c r="AA224">
        <f t="shared" si="353"/>
        <v>1116</v>
      </c>
      <c r="AB224" t="str">
        <f t="shared" si="354"/>
        <v/>
      </c>
      <c r="AC224">
        <f t="shared" si="355"/>
        <v>1116</v>
      </c>
      <c r="AD224" t="str">
        <f t="shared" si="356"/>
        <v>14</v>
      </c>
      <c r="AE224" t="str">
        <f t="shared" si="357"/>
        <v>42</v>
      </c>
      <c r="AF224" t="str">
        <f t="shared" si="358"/>
        <v>14</v>
      </c>
      <c r="AG224" t="str">
        <f t="shared" si="359"/>
        <v>41</v>
      </c>
      <c r="AH224" t="str">
        <f t="shared" si="402"/>
        <v>o</v>
      </c>
      <c r="AI224" t="str">
        <f t="shared" si="403"/>
        <v>o</v>
      </c>
      <c r="AJ224" t="str">
        <f t="shared" si="403"/>
        <v>o</v>
      </c>
      <c r="AK224" t="str">
        <f t="shared" si="404"/>
        <v/>
      </c>
      <c r="AL224" t="str">
        <f t="shared" si="405"/>
        <v/>
      </c>
      <c r="AM224" t="str">
        <f t="shared" si="360"/>
        <v>Away</v>
      </c>
      <c r="AN224" t="str">
        <f t="shared" si="406"/>
        <v>a</v>
      </c>
      <c r="AO224" t="str">
        <f t="shared" si="407"/>
        <v>d</v>
      </c>
      <c r="AP224" t="str">
        <f t="shared" si="408"/>
        <v>o</v>
      </c>
      <c r="AQ224" t="str">
        <f>IF(AM224&lt;&gt;"",AM224,IF($AC224=#REF!,#REF!,""))</f>
        <v>Away</v>
      </c>
      <c r="AR224" t="str">
        <f t="shared" si="409"/>
        <v>a</v>
      </c>
      <c r="AS224" t="str">
        <f t="shared" si="410"/>
        <v>Defensive</v>
      </c>
      <c r="AT224" t="str">
        <f t="shared" si="361"/>
        <v/>
      </c>
      <c r="AU224" t="str">
        <f t="shared" si="362"/>
        <v/>
      </c>
      <c r="AV224" t="str" cm="1">
        <f t="array" ref="AV224">IFERROR(IF(O224&lt;&gt;"",O224,IF(OR($S224="",$T224=""),"",IF(O224&lt;&gt;"",O224,IF($T224&lt;&gt;"",_xlfn._xlws.FILTER(O:O,($BT:$BT=$BT224)*($I:$I=$I224)*($T:$T=$T224)*($S:$S=_xlfn.MINIFS($S:$S,$T:$T,"="&amp;$T224)),"")))))&amp;"",IF(O224="","",""))&amp;""</f>
        <v/>
      </c>
      <c r="AW224" t="str" cm="1">
        <f t="array" ref="AW224">IFERROR(IF(P224&lt;&gt;"",P224,IF(OR($S224="",$T224=""),"",IF($T224&lt;&gt;"",_xlfn._xlws.FILTER(P:P,($BT:$BT=$BT224)*($I:$I=$I224)*($T:$T=$T224)*($S:$S=_xlfn.MINIFS($S:$S,$T:$T,"="&amp;$T224)),""))))&amp;"",IF(P224="","",""))&amp;""</f>
        <v/>
      </c>
      <c r="AX224" t="str" cm="1">
        <f t="array" ref="AX224">IFERROR(IF(Q224&lt;&gt;"",Q224,IF(OR($S224="",$T224=""),"",IF($T224&lt;&gt;"",_xlfn._xlws.FILTER(Q:Q,($BT:$BT=$BT224)*($I:$I=$I224)*($T:$T=$T224)*($S:$S=_xlfn.MINIFS($S:$S,$T:$T,"="&amp;$T224)),""))))&amp;"",IF(Q224="","",""))&amp;""</f>
        <v/>
      </c>
      <c r="AY224" t="str" cm="1">
        <f t="array" ref="AY224">IFERROR(IF(R224&lt;&gt;"",R224,IF(OR($S224="",$T224=""),"",IF($T224&lt;&gt;"",_xlfn._xlws.FILTER(R:R,($BT:$BT=$BT224)*($I:$I=$I224)*($T:$T=$T224)*($S:$S=_xlfn.MINIFS($S:$S,$T:$T,"="&amp;$T224)),""))))&amp;"",IF(R224="","",""))&amp;""</f>
        <v>1</v>
      </c>
      <c r="AZ224" s="6">
        <f t="shared" si="363"/>
        <v>22</v>
      </c>
      <c r="BA224">
        <f t="shared" ref="BA224:BC224" si="416">BA223</f>
        <v>18991</v>
      </c>
      <c r="BB224" t="str">
        <f t="shared" si="416"/>
        <v>Triple J</v>
      </c>
      <c r="BC224" t="str">
        <f t="shared" si="416"/>
        <v>Velodrome</v>
      </c>
      <c r="BD224" t="str">
        <f t="shared" si="365"/>
        <v>Possession</v>
      </c>
      <c r="BE224" t="str">
        <f t="shared" si="366"/>
        <v/>
      </c>
      <c r="BF224" t="str">
        <f t="shared" si="367"/>
        <v/>
      </c>
      <c r="BG224" t="str">
        <f t="shared" si="22"/>
        <v/>
      </c>
      <c r="BH224" cm="1">
        <f t="array" aca="1" ref="BH224" ca="1">IFERROR(_xlfn._xlws.FILTER(shifts!A:A,(shifts!B:B=events!Z224)*(shifts!AG:AG&gt;=events!BJ224)*(shifts!AH:AH&lt;=events!BK224)),BH223)</f>
        <v>8</v>
      </c>
      <c r="BI224" s="15">
        <f t="shared" si="368"/>
        <v>1</v>
      </c>
      <c r="BJ224">
        <f t="shared" si="369"/>
        <v>882</v>
      </c>
      <c r="BK224">
        <f t="shared" si="370"/>
        <v>881</v>
      </c>
      <c r="BL224" s="15">
        <f>SUMIFS(BI$2:BI224,K$2:K224,"=Intermission")+SUMIFS(BI$2:BI224,K$2:K224,"=Timeout")</f>
        <v>0</v>
      </c>
      <c r="BM224">
        <f t="shared" si="371"/>
        <v>0</v>
      </c>
      <c r="BN224" s="19">
        <f t="shared" si="372"/>
        <v>198</v>
      </c>
      <c r="BO224">
        <f t="shared" si="373"/>
        <v>193</v>
      </c>
      <c r="BP224" s="17">
        <f t="shared" si="374"/>
        <v>199</v>
      </c>
      <c r="BQ224" t="str">
        <f t="shared" si="375"/>
        <v>opp_team_player_2</v>
      </c>
      <c r="BR224">
        <f>COUNTIFS(S$3:S224,"="&amp;S224,AH$3:AH224,"="&amp;AH224)</f>
        <v>2</v>
      </c>
      <c r="BS224" t="str">
        <f>IFERROR(VLOOKUP(BA224&amp;BT224&amp;X224,game_rosters!U:W,3,FALSE),"")</f>
        <v>P100206</v>
      </c>
      <c r="BT224" t="str">
        <f t="shared" si="376"/>
        <v>Triple J</v>
      </c>
    </row>
    <row r="225" spans="1:72" x14ac:dyDescent="0.2">
      <c r="A225">
        <f t="shared" si="351"/>
        <v>1</v>
      </c>
      <c r="E225" s="4"/>
      <c r="F225" s="45"/>
      <c r="G225" s="4"/>
      <c r="H225" s="47"/>
      <c r="I225" s="26">
        <v>71</v>
      </c>
      <c r="J225" s="26" t="s">
        <v>736</v>
      </c>
      <c r="K225" t="s">
        <v>230</v>
      </c>
      <c r="L225" t="s">
        <v>389</v>
      </c>
      <c r="M225" t="s">
        <v>432</v>
      </c>
      <c r="N225" t="s">
        <v>595</v>
      </c>
      <c r="O225" t="s">
        <v>156</v>
      </c>
      <c r="Q225" t="str">
        <f t="shared" si="389"/>
        <v>s</v>
      </c>
      <c r="R225" s="26">
        <v>1</v>
      </c>
      <c r="S225">
        <f>IF(A225=1,MAX($S$2:$S224)+1,IF(OR($I225&lt;&gt;"",A225="x"),$S224,""))</f>
        <v>117</v>
      </c>
      <c r="T225" t="str">
        <f>IF(D225=1,MAX($T$2:$T224)+1,IF(S225=S224,$T224,IF(D225="x",T224,IF(D224="x","",""))))</f>
        <v/>
      </c>
      <c r="U225" t="str">
        <f>IF(B225=1,MAX($U$2:$U224)+1,IF(AND($T225&lt;&gt;"",$T225=$T224),$U224,IF(B225="x",U224,"")))</f>
        <v/>
      </c>
      <c r="V225" t="str">
        <f>IF(C225=1,MAX($V$2:$V224)+1,IF(AND($T225&lt;&gt;"",$T225=$T224),$U224,IF(C225="x",V224,"")))</f>
        <v/>
      </c>
      <c r="W225" t="str" cm="1">
        <f t="array" ref="W225">IFERROR(_xlfn._xlws.FILTER(game_rosters!AC:AC,(game_rosters!J:J=events!X225)*(K225&lt;&gt;"")),"")</f>
        <v>h</v>
      </c>
      <c r="X225" cm="1">
        <f t="array" ref="X225">IF($I225&lt;&gt;"",$I225,INDEX($I$1:$I225,ROW()-COUNTIFS($T$1:$T225,"="&amp;$T225,$S$1:$S225,"&lt;"&amp;$S225)))</f>
        <v>71</v>
      </c>
      <c r="Y225" cm="1">
        <f t="array" ref="Y225">IFERROR(IF(_xlfn._xlws.FILTER(game_rosters!$J:$J,(game_rosters!$G:$G=events!$AM225)*(game_rosters!$J:$J=events!$X225))&gt;0,1,""),"")</f>
        <v>1</v>
      </c>
      <c r="Z225" s="6">
        <f t="shared" si="352"/>
        <v>1</v>
      </c>
      <c r="AA225">
        <f t="shared" si="353"/>
        <v>1117</v>
      </c>
      <c r="AB225" t="str">
        <f t="shared" si="354"/>
        <v/>
      </c>
      <c r="AC225">
        <f t="shared" si="355"/>
        <v>1117</v>
      </c>
      <c r="AD225" t="str">
        <f t="shared" si="356"/>
        <v>14</v>
      </c>
      <c r="AE225" t="str">
        <f t="shared" si="357"/>
        <v>41</v>
      </c>
      <c r="AF225" t="str">
        <f t="shared" si="358"/>
        <v/>
      </c>
      <c r="AG225" t="str">
        <f t="shared" si="359"/>
        <v/>
      </c>
      <c r="AH225" t="str">
        <f t="shared" si="402"/>
        <v>e</v>
      </c>
      <c r="AI225" t="str">
        <f t="shared" si="403"/>
        <v>d</v>
      </c>
      <c r="AJ225" t="str">
        <f t="shared" si="403"/>
        <v>d</v>
      </c>
      <c r="AK225" t="str">
        <f t="shared" si="404"/>
        <v>d</v>
      </c>
      <c r="AL225" t="str">
        <f t="shared" si="405"/>
        <v>o</v>
      </c>
      <c r="AM225" t="str">
        <f t="shared" si="360"/>
        <v>Home</v>
      </c>
      <c r="AN225" t="str">
        <f t="shared" si="406"/>
        <v>h</v>
      </c>
      <c r="AO225" t="str">
        <f t="shared" si="407"/>
        <v>d</v>
      </c>
      <c r="AP225" t="str">
        <f t="shared" si="408"/>
        <v>o</v>
      </c>
      <c r="AQ225" t="str">
        <f>IF(AM225&lt;&gt;"",AM225,IF($AC225=#REF!,#REF!,""))</f>
        <v>Home</v>
      </c>
      <c r="AR225" t="str">
        <f t="shared" si="409"/>
        <v>h</v>
      </c>
      <c r="AS225" t="str">
        <f t="shared" si="410"/>
        <v>Defensive</v>
      </c>
      <c r="AT225" t="str">
        <f t="shared" si="361"/>
        <v/>
      </c>
      <c r="AU225" t="str">
        <f t="shared" si="362"/>
        <v/>
      </c>
      <c r="AV225" t="str" cm="1">
        <f t="array" ref="AV225">IFERROR(IF(O225&lt;&gt;"",O225,IF(OR($S225="",$T225=""),"",IF(O225&lt;&gt;"",O225,IF($T225&lt;&gt;"",_xlfn._xlws.FILTER(O:O,($BT:$BT=$BT225)*($I:$I=$I225)*($T:$T=$T225)*($S:$S=_xlfn.MINIFS($S:$S,$T:$T,"="&amp;$T225)),"")))))&amp;"",IF(O225="","",""))&amp;""</f>
        <v>PokeCheck</v>
      </c>
      <c r="AW225" t="str" cm="1">
        <f t="array" ref="AW225">IFERROR(IF(P225&lt;&gt;"",P225,IF(OR($S225="",$T225=""),"",IF($T225&lt;&gt;"",_xlfn._xlws.FILTER(P:P,($BT:$BT=$BT225)*($I:$I=$I225)*($T:$T=$T225)*($S:$S=_xlfn.MINIFS($S:$S,$T:$T,"="&amp;$T225)),""))))&amp;"",IF(P225="","",""))&amp;""</f>
        <v/>
      </c>
      <c r="AX225" t="str" cm="1">
        <f t="array" ref="AX225">IFERROR(IF(Q225&lt;&gt;"",Q225,IF(OR($S225="",$T225=""),"",IF($T225&lt;&gt;"",_xlfn._xlws.FILTER(Q:Q,($BT:$BT=$BT225)*($I:$I=$I225)*($T:$T=$T225)*($S:$S=_xlfn.MINIFS($S:$S,$T:$T,"="&amp;$T225)),""))))&amp;"",IF(Q225="","",""))&amp;""</f>
        <v>s</v>
      </c>
      <c r="AY225" t="str" cm="1">
        <f t="array" ref="AY225">IFERROR(IF(R225&lt;&gt;"",R225,IF(OR($S225="",$T225=""),"",IF($T225&lt;&gt;"",_xlfn._xlws.FILTER(R:R,($BT:$BT=$BT225)*($I:$I=$I225)*($T:$T=$T225)*($S:$S=_xlfn.MINIFS($S:$S,$T:$T,"="&amp;$T225)),""))))&amp;"",IF(R225="","",""))&amp;""</f>
        <v>1</v>
      </c>
      <c r="AZ225" s="6">
        <f t="shared" si="363"/>
        <v>22</v>
      </c>
      <c r="BA225">
        <f t="shared" ref="BA225:BC225" si="417">BA224</f>
        <v>18991</v>
      </c>
      <c r="BB225" t="str">
        <f t="shared" si="417"/>
        <v>Triple J</v>
      </c>
      <c r="BC225" t="str">
        <f t="shared" si="417"/>
        <v>Velodrome</v>
      </c>
      <c r="BD225" t="str">
        <f t="shared" si="365"/>
        <v>Play</v>
      </c>
      <c r="BE225" t="str">
        <f t="shared" si="366"/>
        <v>Play_Defensive</v>
      </c>
      <c r="BF225" t="str">
        <f t="shared" si="367"/>
        <v>Play-PokeCheck</v>
      </c>
      <c r="BG225" t="str">
        <f t="shared" si="22"/>
        <v>s</v>
      </c>
      <c r="BH225" cm="1">
        <f t="array" aca="1" ref="BH225" ca="1">IFERROR(_xlfn._xlws.FILTER(shifts!A:A,(shifts!B:B=events!Z225)*(shifts!AG:AG&gt;=events!BJ225)*(shifts!AH:AH&lt;=events!BK225)),BH224)</f>
        <v>8</v>
      </c>
      <c r="BI225" s="15">
        <f t="shared" si="368"/>
        <v>0</v>
      </c>
      <c r="BJ225">
        <f t="shared" si="369"/>
        <v>881</v>
      </c>
      <c r="BK225">
        <f t="shared" si="370"/>
        <v>881</v>
      </c>
      <c r="BL225" s="15">
        <f>SUMIFS(BI$2:BI225,K$2:K225,"=Intermission")+SUMIFS(BI$2:BI225,K$2:K225,"=Timeout")</f>
        <v>0</v>
      </c>
      <c r="BM225">
        <f t="shared" si="371"/>
        <v>0</v>
      </c>
      <c r="BN225" s="19">
        <f t="shared" si="372"/>
        <v>199</v>
      </c>
      <c r="BO225">
        <f t="shared" si="373"/>
        <v>194</v>
      </c>
      <c r="BP225" s="17">
        <f t="shared" si="374"/>
        <v>199</v>
      </c>
      <c r="BQ225" t="str">
        <f t="shared" si="375"/>
        <v>event_team_player_1</v>
      </c>
      <c r="BR225">
        <f>COUNTIFS(S$3:S225,"="&amp;S225,AH$3:AH225,"="&amp;AH225)</f>
        <v>1</v>
      </c>
      <c r="BS225" t="str">
        <f>IFERROR(VLOOKUP(BA225&amp;BT225&amp;X225,game_rosters!U:W,3,FALSE),"")</f>
        <v>P100008</v>
      </c>
      <c r="BT225" t="str">
        <f t="shared" si="376"/>
        <v>Triple J</v>
      </c>
    </row>
    <row r="226" spans="1:72" x14ac:dyDescent="0.2">
      <c r="A226" t="str">
        <f t="shared" si="351"/>
        <v/>
      </c>
      <c r="E226" s="4"/>
      <c r="F226" s="45"/>
      <c r="G226" s="4"/>
      <c r="H226" s="47"/>
      <c r="I226" s="26">
        <v>70</v>
      </c>
      <c r="J226" s="26" t="str">
        <f t="shared" si="377"/>
        <v/>
      </c>
      <c r="N226" t="str">
        <f t="shared" si="395"/>
        <v/>
      </c>
      <c r="O226" t="s">
        <v>785</v>
      </c>
      <c r="Q226" t="str">
        <f t="shared" si="389"/>
        <v>u</v>
      </c>
      <c r="R226" s="26">
        <v>1</v>
      </c>
      <c r="S226">
        <f>IF(A226=1,MAX($S$2:$S225)+1,IF(OR($I226&lt;&gt;"",A226="x"),$S225,""))</f>
        <v>117</v>
      </c>
      <c r="T226" t="str">
        <f>IF(D226=1,MAX($T$2:$T225)+1,IF(S226=S225,$T225,IF(D226="x",T225,IF(D225="x","",""))))</f>
        <v/>
      </c>
      <c r="U226" t="str">
        <f>IF(B226=1,MAX($U$2:$U225)+1,IF(AND($T226&lt;&gt;"",$T226=$T225),$U225,IF(B226="x",U225,"")))</f>
        <v/>
      </c>
      <c r="V226" t="str">
        <f>IF(C226=1,MAX($V$2:$V225)+1,IF(AND($T226&lt;&gt;"",$T226=$T225),$U225,IF(C226="x",V225,"")))</f>
        <v/>
      </c>
      <c r="W226" t="str" cm="1">
        <f t="array" ref="W226">IFERROR(_xlfn._xlws.FILTER(game_rosters!AC:AC,(game_rosters!J:J=events!X226)*(K226&lt;&gt;"")),"")</f>
        <v/>
      </c>
      <c r="X226" cm="1">
        <f t="array" ref="X226">IF($I226&lt;&gt;"",$I226,INDEX($I$1:$I226,ROW()-COUNTIFS($T$1:$T226,"="&amp;$T226,$S$1:$S226,"&lt;"&amp;$S226)))</f>
        <v>70</v>
      </c>
      <c r="Y226" t="str" cm="1">
        <f t="array" ref="Y226">IFERROR(IF(_xlfn._xlws.FILTER(game_rosters!$J:$J,(game_rosters!$G:$G=events!$AM226)*(game_rosters!$J:$J=events!$X226))&gt;0,1,""),"")</f>
        <v/>
      </c>
      <c r="Z226" s="6">
        <f t="shared" si="352"/>
        <v>1</v>
      </c>
      <c r="AA226">
        <f t="shared" si="353"/>
        <v>1117</v>
      </c>
      <c r="AB226" t="str">
        <f t="shared" si="354"/>
        <v/>
      </c>
      <c r="AC226">
        <f t="shared" si="355"/>
        <v>1117</v>
      </c>
      <c r="AD226" t="str">
        <f t="shared" si="356"/>
        <v>14</v>
      </c>
      <c r="AE226" t="str">
        <f t="shared" si="357"/>
        <v>41</v>
      </c>
      <c r="AF226" t="str">
        <f t="shared" si="358"/>
        <v/>
      </c>
      <c r="AG226" t="str">
        <f t="shared" si="359"/>
        <v/>
      </c>
      <c r="AH226" t="str">
        <f t="shared" si="402"/>
        <v>o</v>
      </c>
      <c r="AI226" t="str">
        <f t="shared" si="403"/>
        <v>d</v>
      </c>
      <c r="AJ226" t="str">
        <f t="shared" si="403"/>
        <v>d</v>
      </c>
      <c r="AK226" t="str">
        <f t="shared" si="404"/>
        <v/>
      </c>
      <c r="AL226" t="str">
        <f t="shared" si="405"/>
        <v/>
      </c>
      <c r="AM226" t="str">
        <f t="shared" si="360"/>
        <v>Home</v>
      </c>
      <c r="AN226" t="str">
        <f t="shared" si="406"/>
        <v>h</v>
      </c>
      <c r="AO226" t="str">
        <f t="shared" si="407"/>
        <v>d</v>
      </c>
      <c r="AP226" t="str">
        <f t="shared" si="408"/>
        <v>o</v>
      </c>
      <c r="AQ226" t="str">
        <f>IF(AM226&lt;&gt;"",AM226,IF($AC226=#REF!,#REF!,""))</f>
        <v>Home</v>
      </c>
      <c r="AR226" t="str">
        <f t="shared" si="409"/>
        <v>h</v>
      </c>
      <c r="AS226" t="str">
        <f t="shared" si="410"/>
        <v>Offensive</v>
      </c>
      <c r="AT226" t="str">
        <f t="shared" si="361"/>
        <v/>
      </c>
      <c r="AU226" t="str">
        <f t="shared" si="362"/>
        <v/>
      </c>
      <c r="AV226" t="str" cm="1">
        <f t="array" ref="AV226">IFERROR(IF(O226&lt;&gt;"",O226,IF(OR($S226="",$T226=""),"",IF(O226&lt;&gt;"",O226,IF($T226&lt;&gt;"",_xlfn._xlws.FILTER(O:O,($BT:$BT=$BT226)*($I:$I=$I226)*($T:$T=$T226)*($S:$S=_xlfn.MINIFS($S:$S,$T:$T,"="&amp;$T226)),"")))))&amp;"",IF(O226="","",""))&amp;""</f>
        <v>LostPuck</v>
      </c>
      <c r="AW226" t="str" cm="1">
        <f t="array" ref="AW226">IFERROR(IF(P226&lt;&gt;"",P226,IF(OR($S226="",$T226=""),"",IF($T226&lt;&gt;"",_xlfn._xlws.FILTER(P:P,($BT:$BT=$BT226)*($I:$I=$I226)*($T:$T=$T226)*($S:$S=_xlfn.MINIFS($S:$S,$T:$T,"="&amp;$T226)),""))))&amp;"",IF(P226="","",""))&amp;""</f>
        <v/>
      </c>
      <c r="AX226" t="str" cm="1">
        <f t="array" ref="AX226">IFERROR(IF(Q226&lt;&gt;"",Q226,IF(OR($S226="",$T226=""),"",IF($T226&lt;&gt;"",_xlfn._xlws.FILTER(Q:Q,($BT:$BT=$BT226)*($I:$I=$I226)*($T:$T=$T226)*($S:$S=_xlfn.MINIFS($S:$S,$T:$T,"="&amp;$T226)),""))))&amp;"",IF(Q226="","",""))&amp;""</f>
        <v>u</v>
      </c>
      <c r="AY226" t="str" cm="1">
        <f t="array" ref="AY226">IFERROR(IF(R226&lt;&gt;"",R226,IF(OR($S226="",$T226=""),"",IF($T226&lt;&gt;"",_xlfn._xlws.FILTER(R:R,($BT:$BT=$BT226)*($I:$I=$I226)*($T:$T=$T226)*($S:$S=_xlfn.MINIFS($S:$S,$T:$T,"="&amp;$T226)),""))))&amp;"",IF(R226="","",""))&amp;""</f>
        <v>1</v>
      </c>
      <c r="AZ226" s="6">
        <f t="shared" si="363"/>
        <v>22</v>
      </c>
      <c r="BA226">
        <f t="shared" ref="BA226:BC226" si="418">BA225</f>
        <v>18991</v>
      </c>
      <c r="BB226" t="str">
        <f t="shared" si="418"/>
        <v>Triple J</v>
      </c>
      <c r="BC226" t="str">
        <f t="shared" si="418"/>
        <v>Velodrome</v>
      </c>
      <c r="BD226" t="str">
        <f t="shared" si="365"/>
        <v>Play</v>
      </c>
      <c r="BE226" t="str">
        <f t="shared" si="366"/>
        <v>Play_Defensive</v>
      </c>
      <c r="BF226" t="str">
        <f t="shared" si="367"/>
        <v>Play-PokeCheck</v>
      </c>
      <c r="BG226" t="str">
        <f t="shared" si="22"/>
        <v>s</v>
      </c>
      <c r="BH226" cm="1">
        <f t="array" aca="1" ref="BH226" ca="1">IFERROR(_xlfn._xlws.FILTER(shifts!A:A,(shifts!B:B=events!Z226)*(shifts!AG:AG&gt;=events!BJ226)*(shifts!AH:AH&lt;=events!BK226)),BH225)</f>
        <v>8</v>
      </c>
      <c r="BI226" s="15">
        <f t="shared" si="368"/>
        <v>0</v>
      </c>
      <c r="BJ226">
        <f t="shared" si="369"/>
        <v>881</v>
      </c>
      <c r="BK226">
        <f t="shared" si="370"/>
        <v>881</v>
      </c>
      <c r="BL226" s="15">
        <f>SUMIFS(BI$2:BI226,K$2:K226,"=Intermission")+SUMIFS(BI$2:BI226,K$2:K226,"=Timeout")</f>
        <v>0</v>
      </c>
      <c r="BM226">
        <f t="shared" si="371"/>
        <v>0</v>
      </c>
      <c r="BN226" s="19">
        <f t="shared" si="372"/>
        <v>199</v>
      </c>
      <c r="BO226">
        <f t="shared" si="373"/>
        <v>194</v>
      </c>
      <c r="BP226" s="17">
        <f t="shared" si="374"/>
        <v>199</v>
      </c>
      <c r="BQ226" t="str">
        <f t="shared" si="375"/>
        <v>opp_team_player_1</v>
      </c>
      <c r="BR226">
        <f>COUNTIFS(S$3:S226,"="&amp;S226,AH$3:AH226,"="&amp;AH226)</f>
        <v>1</v>
      </c>
      <c r="BS226" t="str">
        <f>IFERROR(VLOOKUP(BA226&amp;BT226&amp;X226,game_rosters!U:W,3,FALSE),"")</f>
        <v>P100001</v>
      </c>
      <c r="BT226" t="str">
        <f t="shared" si="376"/>
        <v>Velodrome</v>
      </c>
    </row>
    <row r="227" spans="1:72" x14ac:dyDescent="0.2">
      <c r="A227">
        <f t="shared" si="351"/>
        <v>1</v>
      </c>
      <c r="E227" s="4"/>
      <c r="F227" s="45" t="s">
        <v>749</v>
      </c>
      <c r="G227" s="4"/>
      <c r="H227" s="47" t="s">
        <v>1038</v>
      </c>
      <c r="I227" s="26">
        <v>70</v>
      </c>
      <c r="J227" s="26" t="s">
        <v>368</v>
      </c>
      <c r="K227" t="s">
        <v>13</v>
      </c>
      <c r="L227" t="s">
        <v>587</v>
      </c>
      <c r="N227" t="s">
        <v>595</v>
      </c>
      <c r="O227" t="s">
        <v>910</v>
      </c>
      <c r="Q227" t="str">
        <f t="shared" si="389"/>
        <v>s</v>
      </c>
      <c r="R227" s="26">
        <v>1</v>
      </c>
      <c r="S227">
        <f>IF(A227=1,MAX($S$2:$S226)+1,IF(OR($I227&lt;&gt;"",A227="x"),$S226,""))</f>
        <v>118</v>
      </c>
      <c r="T227" t="str">
        <f>IF(D227=1,MAX($T$2:$T226)+1,IF(S227=S226,$T226,IF(D227="x",T226,IF(D226="x","",""))))</f>
        <v/>
      </c>
      <c r="U227" t="str">
        <f>IF(B227=1,MAX($U$2:$U226)+1,IF(AND($T227&lt;&gt;"",$T227=$T226),$U226,IF(B227="x",U226,"")))</f>
        <v/>
      </c>
      <c r="V227" t="str">
        <f>IF(C227=1,MAX($V$2:$V226)+1,IF(AND($T227&lt;&gt;"",$T227=$T226),$U226,IF(C227="x",V226,"")))</f>
        <v/>
      </c>
      <c r="W227" t="str" cm="1">
        <f t="array" ref="W227">IFERROR(_xlfn._xlws.FILTER(game_rosters!AC:AC,(game_rosters!J:J=events!X227)*(K227&lt;&gt;"")),"")</f>
        <v>a</v>
      </c>
      <c r="X227" cm="1">
        <f t="array" ref="X227">IF($I227&lt;&gt;"",$I227,INDEX($I$1:$I227,ROW()-COUNTIFS($T$1:$T227,"="&amp;$T227,$S$1:$S227,"&lt;"&amp;$S227)))</f>
        <v>70</v>
      </c>
      <c r="Y227" cm="1">
        <f t="array" ref="Y227">IFERROR(IF(_xlfn._xlws.FILTER(game_rosters!$J:$J,(game_rosters!$G:$G=events!$AM227)*(game_rosters!$J:$J=events!$X227))&gt;0,1,""),"")</f>
        <v>1</v>
      </c>
      <c r="Z227" s="6">
        <f t="shared" si="352"/>
        <v>1</v>
      </c>
      <c r="AA227">
        <f t="shared" si="353"/>
        <v>1118</v>
      </c>
      <c r="AB227" t="str">
        <f t="shared" si="354"/>
        <v/>
      </c>
      <c r="AC227">
        <f t="shared" si="355"/>
        <v>1118</v>
      </c>
      <c r="AD227" t="str">
        <f t="shared" si="356"/>
        <v>14</v>
      </c>
      <c r="AE227" t="str">
        <f t="shared" si="357"/>
        <v>39</v>
      </c>
      <c r="AF227" t="str">
        <f t="shared" si="358"/>
        <v>14</v>
      </c>
      <c r="AG227" t="str">
        <f t="shared" si="359"/>
        <v>37</v>
      </c>
      <c r="AH227" t="str">
        <f t="shared" si="402"/>
        <v>e</v>
      </c>
      <c r="AI227" t="str">
        <f t="shared" ref="AI227:AJ227" si="419">IF($J227&lt;&gt;"",$J227,IF($AC227=$AC226,AI226,""))</f>
        <v>o</v>
      </c>
      <c r="AJ227" t="str">
        <f t="shared" si="419"/>
        <v>o</v>
      </c>
      <c r="AK227" t="str">
        <f t="shared" si="404"/>
        <v>d</v>
      </c>
      <c r="AL227" t="str">
        <f t="shared" ref="AL227:AL244" si="420">IF($W227="","",IF(J227="","",IF(AK227="n","n",IF(AK227="d","o",IF(AK227="o","d","")))))</f>
        <v>o</v>
      </c>
      <c r="AM227" t="str">
        <f t="shared" si="360"/>
        <v>Away</v>
      </c>
      <c r="AN227" t="str">
        <f t="shared" si="406"/>
        <v>a</v>
      </c>
      <c r="AO227" t="str">
        <f t="shared" si="407"/>
        <v>d</v>
      </c>
      <c r="AP227" t="str">
        <f t="shared" si="408"/>
        <v>o</v>
      </c>
      <c r="AQ227" t="str">
        <f>IF(AM227&lt;&gt;"",AM227,IF($AC227=#REF!,#REF!,""))</f>
        <v>Away</v>
      </c>
      <c r="AR227" t="str">
        <f t="shared" si="409"/>
        <v>a</v>
      </c>
      <c r="AS227" t="str">
        <f t="shared" si="410"/>
        <v>Offensive</v>
      </c>
      <c r="AT227" t="str">
        <f t="shared" si="361"/>
        <v/>
      </c>
      <c r="AU227" t="str">
        <f t="shared" si="362"/>
        <v/>
      </c>
      <c r="AV227" t="str" cm="1">
        <f t="array" ref="AV227">IFERROR(IF(O227&lt;&gt;"",O227,IF(OR($S227="",$T227=""),"",IF(O227&lt;&gt;"",O227,IF($T227&lt;&gt;"",_xlfn._xlws.FILTER(O:O,($BT:$BT=$BT227)*($I:$I=$I227)*($T:$T=$T227)*($S:$S=_xlfn.MINIFS($S:$S,$T:$T,"="&amp;$T227)),"")))))&amp;"",IF(O227="","",""))&amp;""</f>
        <v>PuckRecoveryRetreivalTurnover</v>
      </c>
      <c r="AW227" t="str" cm="1">
        <f t="array" ref="AW227">IFERROR(IF(P227&lt;&gt;"",P227,IF(OR($S227="",$T227=""),"",IF($T227&lt;&gt;"",_xlfn._xlws.FILTER(P:P,($BT:$BT=$BT227)*($I:$I=$I227)*($T:$T=$T227)*($S:$S=_xlfn.MINIFS($S:$S,$T:$T,"="&amp;$T227)),""))))&amp;"",IF(P227="","",""))&amp;""</f>
        <v/>
      </c>
      <c r="AX227" t="str" cm="1">
        <f t="array" ref="AX227">IFERROR(IF(Q227&lt;&gt;"",Q227,IF(OR($S227="",$T227=""),"",IF($T227&lt;&gt;"",_xlfn._xlws.FILTER(Q:Q,($BT:$BT=$BT227)*($I:$I=$I227)*($T:$T=$T227)*($S:$S=_xlfn.MINIFS($S:$S,$T:$T,"="&amp;$T227)),""))))&amp;"",IF(Q227="","",""))&amp;""</f>
        <v>s</v>
      </c>
      <c r="AY227" t="str" cm="1">
        <f t="array" ref="AY227">IFERROR(IF(R227&lt;&gt;"",R227,IF(OR($S227="",$T227=""),"",IF($T227&lt;&gt;"",_xlfn._xlws.FILTER(R:R,($BT:$BT=$BT227)*($I:$I=$I227)*($T:$T=$T227)*($S:$S=_xlfn.MINIFS($S:$S,$T:$T,"="&amp;$T227)),""))))&amp;"",IF(R227="","",""))&amp;""</f>
        <v>1</v>
      </c>
      <c r="AZ227" s="6">
        <f t="shared" si="363"/>
        <v>22</v>
      </c>
      <c r="BA227">
        <f t="shared" ref="BA227:BC227" si="421">BA226</f>
        <v>18991</v>
      </c>
      <c r="BB227" t="str">
        <f t="shared" si="421"/>
        <v>Triple J</v>
      </c>
      <c r="BC227" t="str">
        <f t="shared" si="421"/>
        <v>Velodrome</v>
      </c>
      <c r="BD227" t="str">
        <f t="shared" si="365"/>
        <v>Possession</v>
      </c>
      <c r="BE227" t="str">
        <f t="shared" si="366"/>
        <v>PuckRecovery</v>
      </c>
      <c r="BF227" t="str">
        <f t="shared" si="367"/>
        <v/>
      </c>
      <c r="BG227" t="str">
        <f t="shared" si="22"/>
        <v>s</v>
      </c>
      <c r="BH227" cm="1">
        <f t="array" aca="1" ref="BH227" ca="1">IFERROR(_xlfn._xlws.FILTER(shifts!A:A,(shifts!B:B=events!Z227)*(shifts!AG:AG&gt;=events!BJ227)*(shifts!AH:AH&lt;=events!BK227)),BH226)</f>
        <v>8</v>
      </c>
      <c r="BI227" s="15">
        <f t="shared" si="368"/>
        <v>2</v>
      </c>
      <c r="BJ227">
        <f t="shared" si="369"/>
        <v>879</v>
      </c>
      <c r="BK227">
        <f t="shared" si="370"/>
        <v>877</v>
      </c>
      <c r="BL227" s="15">
        <f>SUMIFS(BI$2:BI227,K$2:K227,"=Intermission")+SUMIFS(BI$2:BI227,K$2:K227,"=Timeout")</f>
        <v>0</v>
      </c>
      <c r="BM227">
        <f t="shared" si="371"/>
        <v>0</v>
      </c>
      <c r="BN227" s="19">
        <f t="shared" si="372"/>
        <v>201</v>
      </c>
      <c r="BO227">
        <f t="shared" si="373"/>
        <v>196</v>
      </c>
      <c r="BP227" s="17">
        <f t="shared" si="374"/>
        <v>203</v>
      </c>
      <c r="BQ227" t="str">
        <f t="shared" si="375"/>
        <v>event_team_player_1</v>
      </c>
      <c r="BR227">
        <f>COUNTIFS(S$3:S227,"="&amp;S227,AH$3:AH227,"="&amp;AH227)</f>
        <v>1</v>
      </c>
      <c r="BS227" t="str">
        <f>IFERROR(VLOOKUP(BA227&amp;BT227&amp;X227,game_rosters!U:W,3,FALSE),"")</f>
        <v>P100001</v>
      </c>
      <c r="BT227" t="str">
        <f t="shared" si="376"/>
        <v>Velodrome</v>
      </c>
    </row>
    <row r="228" spans="1:72" x14ac:dyDescent="0.2">
      <c r="A228" t="str">
        <f t="shared" si="351"/>
        <v/>
      </c>
      <c r="E228" s="4"/>
      <c r="F228" s="45"/>
      <c r="G228" s="4"/>
      <c r="H228" s="47"/>
      <c r="I228" s="26">
        <v>41</v>
      </c>
      <c r="J228" s="26" t="str">
        <f t="shared" si="377"/>
        <v/>
      </c>
      <c r="N228" t="str">
        <f t="shared" si="395"/>
        <v/>
      </c>
      <c r="Q228" t="str">
        <f t="shared" si="389"/>
        <v/>
      </c>
      <c r="R228" s="26">
        <v>1</v>
      </c>
      <c r="S228">
        <f>IF(A228=1,MAX($S$2:$S227)+1,IF(OR($I228&lt;&gt;"",A228="x"),$S227,""))</f>
        <v>118</v>
      </c>
      <c r="T228" t="str">
        <f>IF(D228=1,MAX($T$2:$T227)+1,IF(S228=S227,$T227,IF(D228="x",T227,IF(D227="x","",""))))</f>
        <v/>
      </c>
      <c r="U228" t="str">
        <f>IF(B228=1,MAX($U$2:$U227)+1,IF(AND($T228&lt;&gt;"",$T228=$T227),$U227,IF(B228="x",U227,"")))</f>
        <v/>
      </c>
      <c r="V228" t="str">
        <f>IF(C228=1,MAX($V$2:$V227)+1,IF(AND($T228&lt;&gt;"",$T228=$T227),$U227,IF(C228="x",V227,"")))</f>
        <v/>
      </c>
      <c r="W228" t="str" cm="1">
        <f t="array" ref="W228">IFERROR(_xlfn._xlws.FILTER(game_rosters!AC:AC,(game_rosters!J:J=events!X228)*(K228&lt;&gt;"")),"")</f>
        <v/>
      </c>
      <c r="X228" cm="1">
        <f t="array" ref="X228">IF($I228&lt;&gt;"",$I228,INDEX($I$1:$I228,ROW()-COUNTIFS($T$1:$T228,"="&amp;$T228,$S$1:$S228,"&lt;"&amp;$S228)))</f>
        <v>41</v>
      </c>
      <c r="Y228" t="str" cm="1">
        <f t="array" ref="Y228">IFERROR(IF(_xlfn._xlws.FILTER(game_rosters!$J:$J,(game_rosters!$G:$G=events!$AM228)*(game_rosters!$J:$J=events!$X228))&gt;0,1,""),"")</f>
        <v/>
      </c>
      <c r="Z228" s="6">
        <f t="shared" si="352"/>
        <v>1</v>
      </c>
      <c r="AA228">
        <f t="shared" si="353"/>
        <v>1118</v>
      </c>
      <c r="AB228" t="str">
        <f t="shared" si="354"/>
        <v/>
      </c>
      <c r="AC228">
        <f t="shared" si="355"/>
        <v>1118</v>
      </c>
      <c r="AD228" t="str">
        <f t="shared" si="356"/>
        <v>14</v>
      </c>
      <c r="AE228" t="str">
        <f t="shared" si="357"/>
        <v>39</v>
      </c>
      <c r="AF228" t="str">
        <f t="shared" si="358"/>
        <v>14</v>
      </c>
      <c r="AG228" t="str">
        <f t="shared" si="359"/>
        <v>37</v>
      </c>
      <c r="AH228" t="str">
        <f t="shared" si="402"/>
        <v>o</v>
      </c>
      <c r="AI228" t="str">
        <f t="shared" ref="AI228:AJ228" si="422">IF($J228&lt;&gt;"",$J228,IF($AC228=$AC227,AI227,""))</f>
        <v>o</v>
      </c>
      <c r="AJ228" t="str">
        <f t="shared" si="422"/>
        <v>o</v>
      </c>
      <c r="AK228" t="str">
        <f t="shared" si="404"/>
        <v/>
      </c>
      <c r="AL228" t="str">
        <f t="shared" si="420"/>
        <v/>
      </c>
      <c r="AM228" t="str">
        <f t="shared" si="360"/>
        <v>Away</v>
      </c>
      <c r="AN228" t="str">
        <f t="shared" si="406"/>
        <v>a</v>
      </c>
      <c r="AO228" t="str">
        <f t="shared" si="407"/>
        <v>d</v>
      </c>
      <c r="AP228" t="str">
        <f t="shared" si="408"/>
        <v>o</v>
      </c>
      <c r="AQ228" t="str">
        <f>IF(AM228&lt;&gt;"",AM228,IF($AC228=#REF!,#REF!,""))</f>
        <v>Away</v>
      </c>
      <c r="AR228" t="str">
        <f t="shared" si="409"/>
        <v>a</v>
      </c>
      <c r="AS228" t="str">
        <f t="shared" si="410"/>
        <v>Defensive</v>
      </c>
      <c r="AT228" t="str">
        <f t="shared" si="361"/>
        <v/>
      </c>
      <c r="AU228" t="str">
        <f t="shared" si="362"/>
        <v/>
      </c>
      <c r="AV228" t="str" cm="1">
        <f t="array" ref="AV228">IFERROR(IF(O228&lt;&gt;"",O228,IF(OR($S228="",$T228=""),"",IF(O228&lt;&gt;"",O228,IF($T228&lt;&gt;"",_xlfn._xlws.FILTER(O:O,($BT:$BT=$BT228)*($I:$I=$I228)*($T:$T=$T228)*($S:$S=_xlfn.MINIFS($S:$S,$T:$T,"="&amp;$T228)),"")))))&amp;"",IF(O228="","",""))&amp;""</f>
        <v/>
      </c>
      <c r="AW228" t="str" cm="1">
        <f t="array" ref="AW228">IFERROR(IF(P228&lt;&gt;"",P228,IF(OR($S228="",$T228=""),"",IF($T228&lt;&gt;"",_xlfn._xlws.FILTER(P:P,($BT:$BT=$BT228)*($I:$I=$I228)*($T:$T=$T228)*($S:$S=_xlfn.MINIFS($S:$S,$T:$T,"="&amp;$T228)),""))))&amp;"",IF(P228="","",""))&amp;""</f>
        <v/>
      </c>
      <c r="AX228" t="str" cm="1">
        <f t="array" ref="AX228">IFERROR(IF(Q228&lt;&gt;"",Q228,IF(OR($S228="",$T228=""),"",IF($T228&lt;&gt;"",_xlfn._xlws.FILTER(Q:Q,($BT:$BT=$BT228)*($I:$I=$I228)*($T:$T=$T228)*($S:$S=_xlfn.MINIFS($S:$S,$T:$T,"="&amp;$T228)),""))))&amp;"",IF(Q228="","",""))&amp;""</f>
        <v/>
      </c>
      <c r="AY228" t="str" cm="1">
        <f t="array" ref="AY228">IFERROR(IF(R228&lt;&gt;"",R228,IF(OR($S228="",$T228=""),"",IF($T228&lt;&gt;"",_xlfn._xlws.FILTER(R:R,($BT:$BT=$BT228)*($I:$I=$I228)*($T:$T=$T228)*($S:$S=_xlfn.MINIFS($S:$S,$T:$T,"="&amp;$T228)),""))))&amp;"",IF(R228="","",""))&amp;""</f>
        <v>1</v>
      </c>
      <c r="AZ228" s="6">
        <f t="shared" si="363"/>
        <v>22</v>
      </c>
      <c r="BA228">
        <f t="shared" ref="BA228:BC228" si="423">BA227</f>
        <v>18991</v>
      </c>
      <c r="BB228" t="str">
        <f t="shared" si="423"/>
        <v>Triple J</v>
      </c>
      <c r="BC228" t="str">
        <f t="shared" si="423"/>
        <v>Velodrome</v>
      </c>
      <c r="BD228" t="str">
        <f t="shared" si="365"/>
        <v>Possession</v>
      </c>
      <c r="BE228" t="str">
        <f t="shared" si="366"/>
        <v>PuckRecovery</v>
      </c>
      <c r="BF228" t="str">
        <f t="shared" si="367"/>
        <v/>
      </c>
      <c r="BG228" t="str">
        <f t="shared" si="22"/>
        <v>s</v>
      </c>
      <c r="BH228" cm="1">
        <f t="array" aca="1" ref="BH228" ca="1">IFERROR(_xlfn._xlws.FILTER(shifts!A:A,(shifts!B:B=events!Z228)*(shifts!AG:AG&gt;=events!BJ228)*(shifts!AH:AH&lt;=events!BK228)),BH227)</f>
        <v>8</v>
      </c>
      <c r="BI228" s="15">
        <f t="shared" si="368"/>
        <v>2</v>
      </c>
      <c r="BJ228">
        <f t="shared" si="369"/>
        <v>879</v>
      </c>
      <c r="BK228">
        <f t="shared" si="370"/>
        <v>877</v>
      </c>
      <c r="BL228" s="15">
        <f>SUMIFS(BI$2:BI228,K$2:K228,"=Intermission")+SUMIFS(BI$2:BI228,K$2:K228,"=Timeout")</f>
        <v>0</v>
      </c>
      <c r="BM228">
        <f t="shared" si="371"/>
        <v>0</v>
      </c>
      <c r="BN228" s="19">
        <f t="shared" si="372"/>
        <v>201</v>
      </c>
      <c r="BO228">
        <f t="shared" si="373"/>
        <v>196</v>
      </c>
      <c r="BP228" s="17">
        <f t="shared" si="374"/>
        <v>203</v>
      </c>
      <c r="BQ228" t="str">
        <f t="shared" si="375"/>
        <v>opp_team_player_1</v>
      </c>
      <c r="BR228">
        <f>COUNTIFS(S$3:S228,"="&amp;S228,AH$3:AH228,"="&amp;AH228)</f>
        <v>1</v>
      </c>
      <c r="BS228" t="str">
        <f>IFERROR(VLOOKUP(BA228&amp;BT228&amp;X228,game_rosters!U:W,3,FALSE),"")</f>
        <v>P100206</v>
      </c>
      <c r="BT228" t="str">
        <f t="shared" si="376"/>
        <v>Triple J</v>
      </c>
    </row>
    <row r="229" spans="1:72" x14ac:dyDescent="0.2">
      <c r="A229">
        <f t="shared" si="351"/>
        <v>1</v>
      </c>
      <c r="E229" s="4"/>
      <c r="F229" s="45"/>
      <c r="G229" s="4"/>
      <c r="H229" s="47"/>
      <c r="I229" s="26">
        <v>70</v>
      </c>
      <c r="J229" s="26" t="s">
        <v>368</v>
      </c>
      <c r="K229" t="s">
        <v>7</v>
      </c>
      <c r="L229" t="s">
        <v>172</v>
      </c>
      <c r="M229" t="s">
        <v>68</v>
      </c>
      <c r="N229" t="str">
        <f t="shared" si="395"/>
        <v>s</v>
      </c>
      <c r="Q229" t="str">
        <f t="shared" si="389"/>
        <v/>
      </c>
      <c r="R229" s="26">
        <v>1</v>
      </c>
      <c r="S229">
        <f>IF(A229=1,MAX($S$2:$S228)+1,IF(OR($I229&lt;&gt;"",A229="x"),$S228,""))</f>
        <v>119</v>
      </c>
      <c r="T229" t="str">
        <f>IF(D229=1,MAX($T$2:$T228)+1,IF(S229=S228,$T228,IF(D229="x",T228,IF(D228="x","",""))))</f>
        <v/>
      </c>
      <c r="U229" t="str">
        <f>IF(B229=1,MAX($U$2:$U228)+1,IF(AND($T229&lt;&gt;"",$T229=$T228),$U228,IF(B229="x",U228,"")))</f>
        <v/>
      </c>
      <c r="V229" t="str">
        <f>IF(C229=1,MAX($V$2:$V228)+1,IF(AND($T229&lt;&gt;"",$T229=$T228),$U228,IF(C229="x",V228,"")))</f>
        <v/>
      </c>
      <c r="W229" t="str" cm="1">
        <f t="array" ref="W229">IFERROR(_xlfn._xlws.FILTER(game_rosters!AC:AC,(game_rosters!J:J=events!X229)*(K229&lt;&gt;"")),"")</f>
        <v>a</v>
      </c>
      <c r="X229" cm="1">
        <f t="array" ref="X229">IF($I229&lt;&gt;"",$I229,INDEX($I$1:$I229,ROW()-COUNTIFS($T$1:$T229,"="&amp;$T229,$S$1:$S229,"&lt;"&amp;$S229)))</f>
        <v>70</v>
      </c>
      <c r="Y229" cm="1">
        <f t="array" ref="Y229">IFERROR(IF(_xlfn._xlws.FILTER(game_rosters!$J:$J,(game_rosters!$G:$G=events!$AM229)*(game_rosters!$J:$J=events!$X229))&gt;0,1,""),"")</f>
        <v>1</v>
      </c>
      <c r="Z229" s="6">
        <f t="shared" si="352"/>
        <v>1</v>
      </c>
      <c r="AA229">
        <f t="shared" si="353"/>
        <v>1119</v>
      </c>
      <c r="AB229" t="str">
        <f t="shared" si="354"/>
        <v/>
      </c>
      <c r="AC229">
        <f t="shared" si="355"/>
        <v>1119</v>
      </c>
      <c r="AD229" t="str">
        <f t="shared" si="356"/>
        <v>14</v>
      </c>
      <c r="AE229" t="str">
        <f t="shared" si="357"/>
        <v>37</v>
      </c>
      <c r="AF229" t="str">
        <f t="shared" si="358"/>
        <v/>
      </c>
      <c r="AG229" t="str">
        <f t="shared" si="359"/>
        <v/>
      </c>
      <c r="AH229" t="str">
        <f t="shared" si="402"/>
        <v>e</v>
      </c>
      <c r="AI229" t="str">
        <f t="shared" ref="AI229:AJ229" si="424">IF($J229&lt;&gt;"",$J229,IF($AC229=$AC228,AI228,""))</f>
        <v>o</v>
      </c>
      <c r="AJ229" t="str">
        <f t="shared" si="424"/>
        <v>o</v>
      </c>
      <c r="AK229" t="str">
        <f t="shared" si="404"/>
        <v>d</v>
      </c>
      <c r="AL229" t="str">
        <f t="shared" si="420"/>
        <v>o</v>
      </c>
      <c r="AM229" t="str">
        <f t="shared" si="360"/>
        <v>Away</v>
      </c>
      <c r="AN229" t="str">
        <f t="shared" si="406"/>
        <v>a</v>
      </c>
      <c r="AO229" t="str">
        <f t="shared" si="407"/>
        <v>d</v>
      </c>
      <c r="AP229" t="str">
        <f t="shared" si="408"/>
        <v>o</v>
      </c>
      <c r="AQ229" t="str">
        <f>IF(AM229&lt;&gt;"",AM229,IF($AC229=#REF!,#REF!,""))</f>
        <v>Away</v>
      </c>
      <c r="AR229" t="str">
        <f t="shared" si="409"/>
        <v>a</v>
      </c>
      <c r="AS229" t="str">
        <f t="shared" si="410"/>
        <v>Offensive</v>
      </c>
      <c r="AT229" t="str">
        <f t="shared" si="361"/>
        <v/>
      </c>
      <c r="AU229" t="str">
        <f t="shared" si="362"/>
        <v/>
      </c>
      <c r="AV229" t="str" cm="1">
        <f t="array" ref="AV229">IFERROR(IF(O229&lt;&gt;"",O229,IF(OR($S229="",$T229=""),"",IF(O229&lt;&gt;"",O229,IF($T229&lt;&gt;"",_xlfn._xlws.FILTER(O:O,($BT:$BT=$BT229)*($I:$I=$I229)*($T:$T=$T229)*($S:$S=_xlfn.MINIFS($S:$S,$T:$T,"="&amp;$T229)),"")))))&amp;"",IF(O229="","",""))&amp;""</f>
        <v/>
      </c>
      <c r="AW229" t="str" cm="1">
        <f t="array" ref="AW229">IFERROR(IF(P229&lt;&gt;"",P229,IF(OR($S229="",$T229=""),"",IF($T229&lt;&gt;"",_xlfn._xlws.FILTER(P:P,($BT:$BT=$BT229)*($I:$I=$I229)*($T:$T=$T229)*($S:$S=_xlfn.MINIFS($S:$S,$T:$T,"="&amp;$T229)),""))))&amp;"",IF(P229="","",""))&amp;""</f>
        <v/>
      </c>
      <c r="AX229" t="str" cm="1">
        <f t="array" ref="AX229">IFERROR(IF(Q229&lt;&gt;"",Q229,IF(OR($S229="",$T229=""),"",IF($T229&lt;&gt;"",_xlfn._xlws.FILTER(Q:Q,($BT:$BT=$BT229)*($I:$I=$I229)*($T:$T=$T229)*($S:$S=_xlfn.MINIFS($S:$S,$T:$T,"="&amp;$T229)),""))))&amp;"",IF(Q229="","",""))&amp;""</f>
        <v/>
      </c>
      <c r="AY229" t="str" cm="1">
        <f t="array" ref="AY229">IFERROR(IF(R229&lt;&gt;"",R229,IF(OR($S229="",$T229=""),"",IF($T229&lt;&gt;"",_xlfn._xlws.FILTER(R:R,($BT:$BT=$BT229)*($I:$I=$I229)*($T:$T=$T229)*($S:$S=_xlfn.MINIFS($S:$S,$T:$T,"="&amp;$T229)),""))))&amp;"",IF(R229="","",""))&amp;""</f>
        <v>1</v>
      </c>
      <c r="AZ229" s="6">
        <f t="shared" si="363"/>
        <v>22</v>
      </c>
      <c r="BA229">
        <f t="shared" ref="BA229:BC229" si="425">BA228</f>
        <v>18991</v>
      </c>
      <c r="BB229" t="str">
        <f t="shared" si="425"/>
        <v>Triple J</v>
      </c>
      <c r="BC229" t="str">
        <f t="shared" si="425"/>
        <v>Velodrome</v>
      </c>
      <c r="BD229" t="str">
        <f t="shared" si="365"/>
        <v>Pass</v>
      </c>
      <c r="BE229" t="str">
        <f t="shared" si="366"/>
        <v>Pass_Completed</v>
      </c>
      <c r="BF229" t="str">
        <f t="shared" si="367"/>
        <v>Pass-Forehand</v>
      </c>
      <c r="BG229" t="str">
        <f t="shared" si="22"/>
        <v>s</v>
      </c>
      <c r="BH229" cm="1">
        <f t="array" aca="1" ref="BH229" ca="1">IFERROR(_xlfn._xlws.FILTER(shifts!A:A,(shifts!B:B=events!Z229)*(shifts!AG:AG&gt;=events!BJ229)*(shifts!AH:AH&lt;=events!BK229)),BH228)</f>
        <v>8</v>
      </c>
      <c r="BI229" s="15">
        <f t="shared" si="368"/>
        <v>0</v>
      </c>
      <c r="BJ229">
        <f t="shared" si="369"/>
        <v>877</v>
      </c>
      <c r="BK229">
        <f t="shared" si="370"/>
        <v>877</v>
      </c>
      <c r="BL229" s="15">
        <f>SUMIFS(BI$2:BI229,K$2:K229,"=Intermission")+SUMIFS(BI$2:BI229,K$2:K229,"=Timeout")</f>
        <v>0</v>
      </c>
      <c r="BM229">
        <f t="shared" si="371"/>
        <v>0</v>
      </c>
      <c r="BN229" s="19">
        <f t="shared" si="372"/>
        <v>203</v>
      </c>
      <c r="BO229">
        <f t="shared" si="373"/>
        <v>198</v>
      </c>
      <c r="BP229" s="17">
        <f t="shared" si="374"/>
        <v>203</v>
      </c>
      <c r="BQ229" t="str">
        <f t="shared" si="375"/>
        <v>event_team_player_1</v>
      </c>
      <c r="BR229">
        <f>COUNTIFS(S$3:S229,"="&amp;S229,AH$3:AH229,"="&amp;AH229)</f>
        <v>1</v>
      </c>
      <c r="BS229" t="str">
        <f>IFERROR(VLOOKUP(BA229&amp;BT229&amp;X229,game_rosters!U:W,3,FALSE),"")</f>
        <v>P100001</v>
      </c>
      <c r="BT229" t="str">
        <f t="shared" si="376"/>
        <v>Velodrome</v>
      </c>
    </row>
    <row r="230" spans="1:72" x14ac:dyDescent="0.2">
      <c r="A230" t="str">
        <f t="shared" si="351"/>
        <v/>
      </c>
      <c r="E230" s="4"/>
      <c r="F230" s="45"/>
      <c r="G230" s="4"/>
      <c r="H230" s="47"/>
      <c r="I230" s="26">
        <v>84</v>
      </c>
      <c r="J230" s="26" t="str">
        <f t="shared" si="377"/>
        <v/>
      </c>
      <c r="N230" t="str">
        <f t="shared" si="395"/>
        <v/>
      </c>
      <c r="Q230" t="str">
        <f t="shared" si="389"/>
        <v/>
      </c>
      <c r="S230">
        <f>IF(A230=1,MAX($S$2:$S229)+1,IF(OR($I230&lt;&gt;"",A230="x"),$S229,""))</f>
        <v>119</v>
      </c>
      <c r="T230" t="str">
        <f>IF(D230=1,MAX($T$2:$T229)+1,IF(S230=S229,$T229,IF(D230="x",T229,IF(D229="x","",""))))</f>
        <v/>
      </c>
      <c r="U230" t="str">
        <f>IF(B230=1,MAX($U$2:$U229)+1,IF(AND($T230&lt;&gt;"",$T230=$T229),$U229,IF(B230="x",U229,"")))</f>
        <v/>
      </c>
      <c r="V230" t="str">
        <f>IF(C230=1,MAX($V$2:$V229)+1,IF(AND($T230&lt;&gt;"",$T230=$T229),$U229,IF(C230="x",V229,"")))</f>
        <v/>
      </c>
      <c r="W230" t="str" cm="1">
        <f t="array" ref="W230">IFERROR(_xlfn._xlws.FILTER(game_rosters!AC:AC,(game_rosters!J:J=events!X230)*(K230&lt;&gt;"")),"")</f>
        <v/>
      </c>
      <c r="X230" cm="1">
        <f t="array" ref="X230">IF($I230&lt;&gt;"",$I230,INDEX($I$1:$I230,ROW()-COUNTIFS($T$1:$T230,"="&amp;$T230,$S$1:$S230,"&lt;"&amp;$S230)))</f>
        <v>84</v>
      </c>
      <c r="Y230" cm="1">
        <f t="array" ref="Y230">IFERROR(IF(_xlfn._xlws.FILTER(game_rosters!$J:$J,(game_rosters!$G:$G=events!$AM230)*(game_rosters!$J:$J=events!$X230))&gt;0,1,""),"")</f>
        <v>1</v>
      </c>
      <c r="Z230" s="6">
        <f t="shared" si="352"/>
        <v>1</v>
      </c>
      <c r="AA230">
        <f t="shared" si="353"/>
        <v>1119</v>
      </c>
      <c r="AB230" t="str">
        <f t="shared" si="354"/>
        <v/>
      </c>
      <c r="AC230">
        <f t="shared" si="355"/>
        <v>1119</v>
      </c>
      <c r="AD230" t="str">
        <f t="shared" si="356"/>
        <v>14</v>
      </c>
      <c r="AE230" t="str">
        <f t="shared" si="357"/>
        <v>37</v>
      </c>
      <c r="AF230" t="str">
        <f t="shared" si="358"/>
        <v/>
      </c>
      <c r="AG230" t="str">
        <f t="shared" si="359"/>
        <v/>
      </c>
      <c r="AH230" t="str">
        <f t="shared" si="402"/>
        <v>e</v>
      </c>
      <c r="AI230" t="str">
        <f t="shared" ref="AI230:AJ230" si="426">IF($J230&lt;&gt;"",$J230,IF($AC230=$AC229,AI229,""))</f>
        <v>o</v>
      </c>
      <c r="AJ230" t="str">
        <f t="shared" si="426"/>
        <v>o</v>
      </c>
      <c r="AK230" t="str">
        <f t="shared" si="404"/>
        <v/>
      </c>
      <c r="AL230" t="str">
        <f t="shared" si="420"/>
        <v/>
      </c>
      <c r="AM230" t="str">
        <f t="shared" si="360"/>
        <v>Away</v>
      </c>
      <c r="AN230" t="str">
        <f t="shared" si="406"/>
        <v>a</v>
      </c>
      <c r="AO230" t="str">
        <f t="shared" si="407"/>
        <v>d</v>
      </c>
      <c r="AP230" t="str">
        <f t="shared" si="408"/>
        <v>o</v>
      </c>
      <c r="AQ230" t="str">
        <f>IF(AM230&lt;&gt;"",AM230,IF($AC230=#REF!,#REF!,""))</f>
        <v>Away</v>
      </c>
      <c r="AR230" t="str">
        <f t="shared" si="409"/>
        <v>a</v>
      </c>
      <c r="AS230" t="str">
        <f t="shared" si="410"/>
        <v>Offensive</v>
      </c>
      <c r="AT230" t="str">
        <f t="shared" si="361"/>
        <v/>
      </c>
      <c r="AU230" t="str">
        <f t="shared" si="362"/>
        <v/>
      </c>
      <c r="AV230" t="str" cm="1">
        <f t="array" ref="AV230">IFERROR(IF(O230&lt;&gt;"",O230,IF(OR($S230="",$T230=""),"",IF(O230&lt;&gt;"",O230,IF($T230&lt;&gt;"",_xlfn._xlws.FILTER(O:O,($BT:$BT=$BT230)*($I:$I=$I230)*($T:$T=$T230)*($S:$S=_xlfn.MINIFS($S:$S,$T:$T,"="&amp;$T230)),"")))))&amp;"",IF(O230="","",""))&amp;""</f>
        <v/>
      </c>
      <c r="AW230" t="str" cm="1">
        <f t="array" ref="AW230">IFERROR(IF(P230&lt;&gt;"",P230,IF(OR($S230="",$T230=""),"",IF($T230&lt;&gt;"",_xlfn._xlws.FILTER(P:P,($BT:$BT=$BT230)*($I:$I=$I230)*($T:$T=$T230)*($S:$S=_xlfn.MINIFS($S:$S,$T:$T,"="&amp;$T230)),""))))&amp;"",IF(P230="","",""))&amp;""</f>
        <v/>
      </c>
      <c r="AX230" t="str" cm="1">
        <f t="array" ref="AX230">IFERROR(IF(Q230&lt;&gt;"",Q230,IF(OR($S230="",$T230=""),"",IF($T230&lt;&gt;"",_xlfn._xlws.FILTER(Q:Q,($BT:$BT=$BT230)*($I:$I=$I230)*($T:$T=$T230)*($S:$S=_xlfn.MINIFS($S:$S,$T:$T,"="&amp;$T230)),""))))&amp;"",IF(Q230="","",""))&amp;""</f>
        <v/>
      </c>
      <c r="AY230" t="str" cm="1">
        <f t="array" ref="AY230">IFERROR(IF(R230&lt;&gt;"",R230,IF(OR($S230="",$T230=""),"",IF($T230&lt;&gt;"",_xlfn._xlws.FILTER(R:R,($BT:$BT=$BT230)*($I:$I=$I230)*($T:$T=$T230)*($S:$S=_xlfn.MINIFS($S:$S,$T:$T,"="&amp;$T230)),""))))&amp;"",IF(R230="","",""))&amp;""</f>
        <v/>
      </c>
      <c r="AZ230" s="6">
        <f t="shared" si="363"/>
        <v>22</v>
      </c>
      <c r="BA230">
        <f t="shared" ref="BA230:BC230" si="427">BA229</f>
        <v>18991</v>
      </c>
      <c r="BB230" t="str">
        <f t="shared" si="427"/>
        <v>Triple J</v>
      </c>
      <c r="BC230" t="str">
        <f t="shared" si="427"/>
        <v>Velodrome</v>
      </c>
      <c r="BD230" t="str">
        <f t="shared" si="365"/>
        <v>Pass</v>
      </c>
      <c r="BE230" t="str">
        <f t="shared" si="366"/>
        <v>Pass_Completed</v>
      </c>
      <c r="BF230" t="str">
        <f t="shared" si="367"/>
        <v>Pass-Forehand</v>
      </c>
      <c r="BG230" t="str">
        <f t="shared" si="22"/>
        <v>s</v>
      </c>
      <c r="BH230" cm="1">
        <f t="array" aca="1" ref="BH230" ca="1">IFERROR(_xlfn._xlws.FILTER(shifts!A:A,(shifts!B:B=events!Z230)*(shifts!AG:AG&gt;=events!BJ230)*(shifts!AH:AH&lt;=events!BK230)),BH229)</f>
        <v>8</v>
      </c>
      <c r="BI230" s="15">
        <f t="shared" si="368"/>
        <v>0</v>
      </c>
      <c r="BJ230">
        <f t="shared" si="369"/>
        <v>877</v>
      </c>
      <c r="BK230">
        <f t="shared" si="370"/>
        <v>877</v>
      </c>
      <c r="BL230" s="15">
        <f>SUMIFS(BI$2:BI230,K$2:K230,"=Intermission")+SUMIFS(BI$2:BI230,K$2:K230,"=Timeout")</f>
        <v>0</v>
      </c>
      <c r="BM230">
        <f t="shared" si="371"/>
        <v>0</v>
      </c>
      <c r="BN230" s="19">
        <f t="shared" si="372"/>
        <v>203</v>
      </c>
      <c r="BO230">
        <f t="shared" si="373"/>
        <v>198</v>
      </c>
      <c r="BP230" s="17">
        <f t="shared" si="374"/>
        <v>203</v>
      </c>
      <c r="BQ230" t="str">
        <f t="shared" si="375"/>
        <v>event_team_player_2</v>
      </c>
      <c r="BR230">
        <f>COUNTIFS(S$3:S230,"="&amp;S230,AH$3:AH230,"="&amp;AH230)</f>
        <v>2</v>
      </c>
      <c r="BS230" t="str">
        <f>IFERROR(VLOOKUP(BA230&amp;BT230&amp;X230,game_rosters!U:W,3,FALSE),"")</f>
        <v>P100198</v>
      </c>
      <c r="BT230" t="str">
        <f t="shared" si="376"/>
        <v>Velodrome</v>
      </c>
    </row>
    <row r="231" spans="1:72" x14ac:dyDescent="0.2">
      <c r="A231" t="str">
        <f t="shared" si="351"/>
        <v/>
      </c>
      <c r="E231" s="4"/>
      <c r="F231" s="45"/>
      <c r="G231" s="4"/>
      <c r="H231" s="47"/>
      <c r="I231" s="26">
        <v>41</v>
      </c>
      <c r="J231" s="26" t="str">
        <f t="shared" si="377"/>
        <v/>
      </c>
      <c r="N231" t="str">
        <f t="shared" si="395"/>
        <v/>
      </c>
      <c r="O231" t="s">
        <v>567</v>
      </c>
      <c r="Q231" t="str">
        <f t="shared" si="389"/>
        <v/>
      </c>
      <c r="R231" s="26">
        <v>1</v>
      </c>
      <c r="S231">
        <f>IF(A231=1,MAX($S$2:$S230)+1,IF(OR($I231&lt;&gt;"",A231="x"),$S230,""))</f>
        <v>119</v>
      </c>
      <c r="T231" t="str">
        <f>IF(D231=1,MAX($T$2:$T230)+1,IF(S231=S230,$T230,IF(D231="x",T230,IF(D230="x","",""))))</f>
        <v/>
      </c>
      <c r="U231" t="str">
        <f>IF(B231=1,MAX($U$2:$U230)+1,IF(AND($T231&lt;&gt;"",$T231=$T230),$U230,IF(B231="x",U230,"")))</f>
        <v/>
      </c>
      <c r="V231" t="str">
        <f>IF(C231=1,MAX($V$2:$V230)+1,IF(AND($T231&lt;&gt;"",$T231=$T230),$U230,IF(C231="x",V230,"")))</f>
        <v/>
      </c>
      <c r="W231" t="str" cm="1">
        <f t="array" ref="W231">IFERROR(_xlfn._xlws.FILTER(game_rosters!AC:AC,(game_rosters!J:J=events!X231)*(K231&lt;&gt;"")),"")</f>
        <v/>
      </c>
      <c r="X231" cm="1">
        <f t="array" ref="X231">IF($I231&lt;&gt;"",$I231,INDEX($I$1:$I231,ROW()-COUNTIFS($T$1:$T231,"="&amp;$T231,$S$1:$S231,"&lt;"&amp;$S231)))</f>
        <v>41</v>
      </c>
      <c r="Y231" t="str" cm="1">
        <f t="array" ref="Y231">IFERROR(IF(_xlfn._xlws.FILTER(game_rosters!$J:$J,(game_rosters!$G:$G=events!$AM231)*(game_rosters!$J:$J=events!$X231))&gt;0,1,""),"")</f>
        <v/>
      </c>
      <c r="Z231" s="6">
        <f t="shared" si="352"/>
        <v>1</v>
      </c>
      <c r="AA231">
        <f t="shared" si="353"/>
        <v>1119</v>
      </c>
      <c r="AB231" t="str">
        <f t="shared" si="354"/>
        <v/>
      </c>
      <c r="AC231">
        <f t="shared" si="355"/>
        <v>1119</v>
      </c>
      <c r="AD231" t="str">
        <f t="shared" si="356"/>
        <v>14</v>
      </c>
      <c r="AE231" t="str">
        <f t="shared" si="357"/>
        <v>37</v>
      </c>
      <c r="AF231" t="str">
        <f t="shared" si="358"/>
        <v/>
      </c>
      <c r="AG231" t="str">
        <f t="shared" si="359"/>
        <v/>
      </c>
      <c r="AH231" t="str">
        <f t="shared" si="402"/>
        <v>o</v>
      </c>
      <c r="AI231" t="str">
        <f t="shared" ref="AI231:AJ231" si="428">IF($J231&lt;&gt;"",$J231,IF($AC231=$AC230,AI230,""))</f>
        <v>o</v>
      </c>
      <c r="AJ231" t="str">
        <f t="shared" si="428"/>
        <v>o</v>
      </c>
      <c r="AK231" t="str">
        <f t="shared" si="404"/>
        <v/>
      </c>
      <c r="AL231" t="str">
        <f t="shared" si="420"/>
        <v/>
      </c>
      <c r="AM231" t="str">
        <f t="shared" si="360"/>
        <v>Away</v>
      </c>
      <c r="AN231" t="str">
        <f t="shared" si="406"/>
        <v>a</v>
      </c>
      <c r="AO231" t="str">
        <f t="shared" si="407"/>
        <v>d</v>
      </c>
      <c r="AP231" t="str">
        <f t="shared" si="408"/>
        <v>o</v>
      </c>
      <c r="AQ231" t="str">
        <f>IF(AM231&lt;&gt;"",AM231,IF($AC231=#REF!,#REF!,""))</f>
        <v>Away</v>
      </c>
      <c r="AR231" t="str">
        <f t="shared" si="409"/>
        <v>a</v>
      </c>
      <c r="AS231" t="str">
        <f t="shared" si="410"/>
        <v>Defensive</v>
      </c>
      <c r="AT231" t="str">
        <f t="shared" si="361"/>
        <v/>
      </c>
      <c r="AU231" t="str">
        <f t="shared" si="362"/>
        <v/>
      </c>
      <c r="AV231" t="str" cm="1">
        <f t="array" ref="AV231">IFERROR(IF(O231&lt;&gt;"",O231,IF(OR($S231="",$T231=""),"",IF(O231&lt;&gt;"",O231,IF($T231&lt;&gt;"",_xlfn._xlws.FILTER(O:O,($BT:$BT=$BT231)*($I:$I=$I231)*($T:$T=$T231)*($S:$S=_xlfn.MINIFS($S:$S,$T:$T,"="&amp;$T231)),"")))))&amp;"",IF(O231="","",""))&amp;""</f>
        <v>StickCheck</v>
      </c>
      <c r="AW231" t="str" cm="1">
        <f t="array" ref="AW231">IFERROR(IF(P231&lt;&gt;"",P231,IF(OR($S231="",$T231=""),"",IF($T231&lt;&gt;"",_xlfn._xlws.FILTER(P:P,($BT:$BT=$BT231)*($I:$I=$I231)*($T:$T=$T231)*($S:$S=_xlfn.MINIFS($S:$S,$T:$T,"="&amp;$T231)),""))))&amp;"",IF(P231="","",""))&amp;""</f>
        <v/>
      </c>
      <c r="AX231" t="str" cm="1">
        <f t="array" ref="AX231">IFERROR(IF(Q231&lt;&gt;"",Q231,IF(OR($S231="",$T231=""),"",IF($T231&lt;&gt;"",_xlfn._xlws.FILTER(Q:Q,($BT:$BT=$BT231)*($I:$I=$I231)*($T:$T=$T231)*($S:$S=_xlfn.MINIFS($S:$S,$T:$T,"="&amp;$T231)),""))))&amp;"",IF(Q231="","",""))&amp;""</f>
        <v/>
      </c>
      <c r="AY231" t="str" cm="1">
        <f t="array" ref="AY231">IFERROR(IF(R231&lt;&gt;"",R231,IF(OR($S231="",$T231=""),"",IF($T231&lt;&gt;"",_xlfn._xlws.FILTER(R:R,($BT:$BT=$BT231)*($I:$I=$I231)*($T:$T=$T231)*($S:$S=_xlfn.MINIFS($S:$S,$T:$T,"="&amp;$T231)),""))))&amp;"",IF(R231="","",""))&amp;""</f>
        <v>1</v>
      </c>
      <c r="AZ231" s="6">
        <f t="shared" si="363"/>
        <v>22</v>
      </c>
      <c r="BA231">
        <f t="shared" ref="BA231:BC231" si="429">BA230</f>
        <v>18991</v>
      </c>
      <c r="BB231" t="str">
        <f t="shared" si="429"/>
        <v>Triple J</v>
      </c>
      <c r="BC231" t="str">
        <f t="shared" si="429"/>
        <v>Velodrome</v>
      </c>
      <c r="BD231" t="str">
        <f t="shared" si="365"/>
        <v>Pass</v>
      </c>
      <c r="BE231" t="str">
        <f t="shared" si="366"/>
        <v>Pass_Completed</v>
      </c>
      <c r="BF231" t="str">
        <f t="shared" si="367"/>
        <v>Pass-Forehand</v>
      </c>
      <c r="BG231" t="str">
        <f t="shared" si="22"/>
        <v>s</v>
      </c>
      <c r="BH231" cm="1">
        <f t="array" aca="1" ref="BH231" ca="1">IFERROR(_xlfn._xlws.FILTER(shifts!A:A,(shifts!B:B=events!Z231)*(shifts!AG:AG&gt;=events!BJ231)*(shifts!AH:AH&lt;=events!BK231)),BH230)</f>
        <v>8</v>
      </c>
      <c r="BI231" s="15">
        <f t="shared" si="368"/>
        <v>0</v>
      </c>
      <c r="BJ231">
        <f t="shared" si="369"/>
        <v>877</v>
      </c>
      <c r="BK231">
        <f t="shared" si="370"/>
        <v>877</v>
      </c>
      <c r="BL231" s="15">
        <f>SUMIFS(BI$2:BI231,K$2:K231,"=Intermission")+SUMIFS(BI$2:BI231,K$2:K231,"=Timeout")</f>
        <v>0</v>
      </c>
      <c r="BM231">
        <f t="shared" si="371"/>
        <v>0</v>
      </c>
      <c r="BN231" s="19">
        <f t="shared" si="372"/>
        <v>203</v>
      </c>
      <c r="BO231">
        <f t="shared" si="373"/>
        <v>198</v>
      </c>
      <c r="BP231" s="17">
        <f t="shared" si="374"/>
        <v>203</v>
      </c>
      <c r="BQ231" t="str">
        <f t="shared" si="375"/>
        <v>opp_team_player_1</v>
      </c>
      <c r="BR231">
        <f>COUNTIFS(S$3:S231,"="&amp;S231,AH$3:AH231,"="&amp;AH231)</f>
        <v>1</v>
      </c>
      <c r="BS231" t="str">
        <f>IFERROR(VLOOKUP(BA231&amp;BT231&amp;X231,game_rosters!U:W,3,FALSE),"")</f>
        <v>P100206</v>
      </c>
      <c r="BT231" t="str">
        <f t="shared" si="376"/>
        <v>Triple J</v>
      </c>
    </row>
    <row r="232" spans="1:72" x14ac:dyDescent="0.2">
      <c r="A232">
        <f t="shared" si="351"/>
        <v>1</v>
      </c>
      <c r="E232" s="4"/>
      <c r="F232" s="45"/>
      <c r="G232" s="4"/>
      <c r="H232" s="47" t="s">
        <v>750</v>
      </c>
      <c r="I232" s="26">
        <v>84</v>
      </c>
      <c r="J232" s="26" t="s">
        <v>368</v>
      </c>
      <c r="K232" t="s">
        <v>13</v>
      </c>
      <c r="N232" t="str">
        <f t="shared" si="395"/>
        <v/>
      </c>
      <c r="Q232" t="str">
        <f t="shared" si="389"/>
        <v/>
      </c>
      <c r="S232">
        <f>IF(A232=1,MAX($S$2:$S231)+1,IF(OR($I232&lt;&gt;"",A232="x"),$S231,""))</f>
        <v>120</v>
      </c>
      <c r="T232" t="str">
        <f>IF(D232=1,MAX($T$2:$T231)+1,IF(S232=S231,$T231,IF(D232="x",T231,IF(D231="x","",""))))</f>
        <v/>
      </c>
      <c r="U232" t="str">
        <f>IF(B232=1,MAX($U$2:$U231)+1,IF(AND($T232&lt;&gt;"",$T232=$T231),$U231,IF(B232="x",U231,"")))</f>
        <v/>
      </c>
      <c r="V232" t="str">
        <f>IF(C232=1,MAX($V$2:$V231)+1,IF(AND($T232&lt;&gt;"",$T232=$T231),$U231,IF(C232="x",V231,"")))</f>
        <v/>
      </c>
      <c r="W232" t="str" cm="1">
        <f t="array" ref="W232">IFERROR(_xlfn._xlws.FILTER(game_rosters!AC:AC,(game_rosters!J:J=events!X232)*(K232&lt;&gt;"")),"")</f>
        <v>a</v>
      </c>
      <c r="X232" cm="1">
        <f t="array" ref="X232">IF($I232&lt;&gt;"",$I232,INDEX($I$1:$I232,ROW()-COUNTIFS($T$1:$T232,"="&amp;$T232,$S$1:$S232,"&lt;"&amp;$S232)))</f>
        <v>84</v>
      </c>
      <c r="Y232" cm="1">
        <f t="array" ref="Y232">IFERROR(IF(_xlfn._xlws.FILTER(game_rosters!$J:$J,(game_rosters!$G:$G=events!$AM232)*(game_rosters!$J:$J=events!$X232))&gt;0,1,""),"")</f>
        <v>1</v>
      </c>
      <c r="Z232" s="6">
        <f t="shared" si="352"/>
        <v>1</v>
      </c>
      <c r="AA232">
        <f t="shared" si="353"/>
        <v>1120</v>
      </c>
      <c r="AB232" t="str">
        <f t="shared" si="354"/>
        <v/>
      </c>
      <c r="AC232">
        <f t="shared" si="355"/>
        <v>1120</v>
      </c>
      <c r="AD232" t="str">
        <f t="shared" si="356"/>
        <v>14</v>
      </c>
      <c r="AE232" t="str">
        <f t="shared" si="357"/>
        <v>37</v>
      </c>
      <c r="AF232" t="str">
        <f t="shared" si="358"/>
        <v>14</v>
      </c>
      <c r="AG232" t="str">
        <f t="shared" si="359"/>
        <v>35</v>
      </c>
      <c r="AH232" t="str">
        <f t="shared" si="402"/>
        <v>e</v>
      </c>
      <c r="AI232" t="str">
        <f t="shared" ref="AI232:AJ232" si="430">IF($J232&lt;&gt;"",$J232,IF($AC232=$AC231,AI231,""))</f>
        <v>o</v>
      </c>
      <c r="AJ232" t="str">
        <f t="shared" si="430"/>
        <v>o</v>
      </c>
      <c r="AK232" t="str">
        <f t="shared" si="404"/>
        <v>d</v>
      </c>
      <c r="AL232" t="str">
        <f t="shared" si="420"/>
        <v>o</v>
      </c>
      <c r="AM232" t="str">
        <f t="shared" si="360"/>
        <v>Away</v>
      </c>
      <c r="AN232" t="str">
        <f t="shared" si="406"/>
        <v>a</v>
      </c>
      <c r="AO232" t="str">
        <f t="shared" si="407"/>
        <v>d</v>
      </c>
      <c r="AP232" t="str">
        <f t="shared" si="408"/>
        <v>o</v>
      </c>
      <c r="AQ232" t="str">
        <f>IF(AM232&lt;&gt;"",AM232,IF($AC232=#REF!,#REF!,""))</f>
        <v>Away</v>
      </c>
      <c r="AR232" t="str">
        <f t="shared" si="409"/>
        <v>a</v>
      </c>
      <c r="AS232" t="str">
        <f t="shared" si="410"/>
        <v>Offensive</v>
      </c>
      <c r="AT232" t="str">
        <f t="shared" si="361"/>
        <v/>
      </c>
      <c r="AU232" t="str">
        <f t="shared" si="362"/>
        <v/>
      </c>
      <c r="AV232" t="str" cm="1">
        <f t="array" ref="AV232">IFERROR(IF(O232&lt;&gt;"",O232,IF(OR($S232="",$T232=""),"",IF(O232&lt;&gt;"",O232,IF($T232&lt;&gt;"",_xlfn._xlws.FILTER(O:O,($BT:$BT=$BT232)*($I:$I=$I232)*($T:$T=$T232)*($S:$S=_xlfn.MINIFS($S:$S,$T:$T,"="&amp;$T232)),"")))))&amp;"",IF(O232="","",""))&amp;""</f>
        <v/>
      </c>
      <c r="AW232" t="str" cm="1">
        <f t="array" ref="AW232">IFERROR(IF(P232&lt;&gt;"",P232,IF(OR($S232="",$T232=""),"",IF($T232&lt;&gt;"",_xlfn._xlws.FILTER(P:P,($BT:$BT=$BT232)*($I:$I=$I232)*($T:$T=$T232)*($S:$S=_xlfn.MINIFS($S:$S,$T:$T,"="&amp;$T232)),""))))&amp;"",IF(P232="","",""))&amp;""</f>
        <v/>
      </c>
      <c r="AX232" t="str" cm="1">
        <f t="array" ref="AX232">IFERROR(IF(Q232&lt;&gt;"",Q232,IF(OR($S232="",$T232=""),"",IF($T232&lt;&gt;"",_xlfn._xlws.FILTER(Q:Q,($BT:$BT=$BT232)*($I:$I=$I232)*($T:$T=$T232)*($S:$S=_xlfn.MINIFS($S:$S,$T:$T,"="&amp;$T232)),""))))&amp;"",IF(Q232="","",""))&amp;""</f>
        <v/>
      </c>
      <c r="AY232" t="str" cm="1">
        <f t="array" ref="AY232">IFERROR(IF(R232&lt;&gt;"",R232,IF(OR($S232="",$T232=""),"",IF($T232&lt;&gt;"",_xlfn._xlws.FILTER(R:R,($BT:$BT=$BT232)*($I:$I=$I232)*($T:$T=$T232)*($S:$S=_xlfn.MINIFS($S:$S,$T:$T,"="&amp;$T232)),""))))&amp;"",IF(R232="","",""))&amp;""</f>
        <v/>
      </c>
      <c r="AZ232" s="6">
        <f t="shared" si="363"/>
        <v>22</v>
      </c>
      <c r="BA232">
        <f t="shared" ref="BA232:BC232" si="431">BA231</f>
        <v>18991</v>
      </c>
      <c r="BB232" t="str">
        <f t="shared" si="431"/>
        <v>Triple J</v>
      </c>
      <c r="BC232" t="str">
        <f t="shared" si="431"/>
        <v>Velodrome</v>
      </c>
      <c r="BD232" t="str">
        <f t="shared" si="365"/>
        <v>Possession</v>
      </c>
      <c r="BE232" t="str">
        <f t="shared" si="366"/>
        <v/>
      </c>
      <c r="BF232" t="str">
        <f t="shared" si="367"/>
        <v/>
      </c>
      <c r="BG232" t="str">
        <f t="shared" si="22"/>
        <v/>
      </c>
      <c r="BH232" cm="1">
        <f t="array" aca="1" ref="BH232" ca="1">IFERROR(_xlfn._xlws.FILTER(shifts!A:A,(shifts!B:B=events!Z232)*(shifts!AG:AG&gt;=events!BJ232)*(shifts!AH:AH&lt;=events!BK232)),BH231)</f>
        <v>8</v>
      </c>
      <c r="BI232" s="15">
        <f t="shared" si="368"/>
        <v>2</v>
      </c>
      <c r="BJ232">
        <f t="shared" si="369"/>
        <v>877</v>
      </c>
      <c r="BK232">
        <f t="shared" si="370"/>
        <v>875</v>
      </c>
      <c r="BL232" s="15">
        <f>SUMIFS(BI$2:BI232,K$2:K232,"=Intermission")+SUMIFS(BI$2:BI232,K$2:K232,"=Timeout")</f>
        <v>0</v>
      </c>
      <c r="BM232">
        <f t="shared" si="371"/>
        <v>0</v>
      </c>
      <c r="BN232" s="19">
        <f t="shared" si="372"/>
        <v>203</v>
      </c>
      <c r="BO232">
        <f t="shared" si="373"/>
        <v>198</v>
      </c>
      <c r="BP232" s="17">
        <f t="shared" si="374"/>
        <v>205</v>
      </c>
      <c r="BQ232" t="str">
        <f t="shared" si="375"/>
        <v>event_team_player_1</v>
      </c>
      <c r="BR232">
        <f>COUNTIFS(S$3:S232,"="&amp;S232,AH$3:AH232,"="&amp;AH232)</f>
        <v>1</v>
      </c>
      <c r="BS232" t="str">
        <f>IFERROR(VLOOKUP(BA232&amp;BT232&amp;X232,game_rosters!U:W,3,FALSE),"")</f>
        <v>P100198</v>
      </c>
      <c r="BT232" t="str">
        <f t="shared" si="376"/>
        <v>Velodrome</v>
      </c>
    </row>
    <row r="233" spans="1:72" x14ac:dyDescent="0.2">
      <c r="A233" t="str">
        <f t="shared" si="351"/>
        <v/>
      </c>
      <c r="E233" s="4"/>
      <c r="F233" s="45"/>
      <c r="G233" s="4"/>
      <c r="H233" s="47"/>
      <c r="I233" s="26">
        <v>69</v>
      </c>
      <c r="J233" s="26" t="str">
        <f t="shared" si="377"/>
        <v/>
      </c>
      <c r="N233" t="str">
        <f t="shared" si="395"/>
        <v/>
      </c>
      <c r="Q233" t="str">
        <f t="shared" si="389"/>
        <v/>
      </c>
      <c r="S233">
        <f>IF(A233=1,MAX($S$2:$S232)+1,IF(OR($I233&lt;&gt;"",A233="x"),$S232,""))</f>
        <v>120</v>
      </c>
      <c r="T233" t="str">
        <f>IF(D233=1,MAX($T$2:$T232)+1,IF(S233=S232,$T232,IF(D233="x",T232,IF(D232="x","",""))))</f>
        <v/>
      </c>
      <c r="U233" t="str">
        <f>IF(B233=1,MAX($U$2:$U232)+1,IF(AND($T233&lt;&gt;"",$T233=$T232),$U232,IF(B233="x",U232,"")))</f>
        <v/>
      </c>
      <c r="V233" t="str">
        <f>IF(C233=1,MAX($V$2:$V232)+1,IF(AND($T233&lt;&gt;"",$T233=$T232),$U232,IF(C233="x",V232,"")))</f>
        <v/>
      </c>
      <c r="W233" t="str" cm="1">
        <f t="array" ref="W233">IFERROR(_xlfn._xlws.FILTER(game_rosters!AC:AC,(game_rosters!J:J=events!X233)*(K233&lt;&gt;"")),"")</f>
        <v/>
      </c>
      <c r="X233" cm="1">
        <f t="array" ref="X233">IF($I233&lt;&gt;"",$I233,INDEX($I$1:$I233,ROW()-COUNTIFS($T$1:$T233,"="&amp;$T233,$S$1:$S233,"&lt;"&amp;$S233)))</f>
        <v>69</v>
      </c>
      <c r="Y233" t="str" cm="1">
        <f t="array" ref="Y233">IFERROR(IF(_xlfn._xlws.FILTER(game_rosters!$J:$J,(game_rosters!$G:$G=events!$AM233)*(game_rosters!$J:$J=events!$X233))&gt;0,1,""),"")</f>
        <v/>
      </c>
      <c r="Z233" s="6">
        <f t="shared" si="352"/>
        <v>1</v>
      </c>
      <c r="AA233">
        <f t="shared" si="353"/>
        <v>1120</v>
      </c>
      <c r="AB233" t="str">
        <f t="shared" si="354"/>
        <v/>
      </c>
      <c r="AC233">
        <f t="shared" si="355"/>
        <v>1120</v>
      </c>
      <c r="AD233" t="str">
        <f t="shared" si="356"/>
        <v>14</v>
      </c>
      <c r="AE233" t="str">
        <f t="shared" si="357"/>
        <v>37</v>
      </c>
      <c r="AF233" t="str">
        <f t="shared" si="358"/>
        <v>14</v>
      </c>
      <c r="AG233" t="str">
        <f t="shared" si="359"/>
        <v>35</v>
      </c>
      <c r="AH233" t="str">
        <f t="shared" si="402"/>
        <v>o</v>
      </c>
      <c r="AI233" t="str">
        <f t="shared" ref="AI233:AJ233" si="432">IF($J233&lt;&gt;"",$J233,IF($AC233=$AC232,AI232,""))</f>
        <v>o</v>
      </c>
      <c r="AJ233" t="str">
        <f t="shared" si="432"/>
        <v>o</v>
      </c>
      <c r="AK233" t="str">
        <f t="shared" si="404"/>
        <v/>
      </c>
      <c r="AL233" t="str">
        <f t="shared" si="420"/>
        <v/>
      </c>
      <c r="AM233" t="str">
        <f t="shared" si="360"/>
        <v>Away</v>
      </c>
      <c r="AN233" t="str">
        <f t="shared" si="406"/>
        <v>a</v>
      </c>
      <c r="AO233" t="str">
        <f t="shared" si="407"/>
        <v>d</v>
      </c>
      <c r="AP233" t="str">
        <f t="shared" si="408"/>
        <v>o</v>
      </c>
      <c r="AQ233" t="str">
        <f>IF(AM233&lt;&gt;"",AM233,IF($AC233=#REF!,#REF!,""))</f>
        <v>Away</v>
      </c>
      <c r="AR233" t="str">
        <f t="shared" si="409"/>
        <v>a</v>
      </c>
      <c r="AS233" t="str">
        <f t="shared" si="410"/>
        <v>Defensive</v>
      </c>
      <c r="AT233" t="str">
        <f t="shared" si="361"/>
        <v/>
      </c>
      <c r="AU233" t="str">
        <f t="shared" si="362"/>
        <v/>
      </c>
      <c r="AV233" t="str" cm="1">
        <f t="array" ref="AV233">IFERROR(IF(O233&lt;&gt;"",O233,IF(OR($S233="",$T233=""),"",IF(O233&lt;&gt;"",O233,IF($T233&lt;&gt;"",_xlfn._xlws.FILTER(O:O,($BT:$BT=$BT233)*($I:$I=$I233)*($T:$T=$T233)*($S:$S=_xlfn.MINIFS($S:$S,$T:$T,"="&amp;$T233)),"")))))&amp;"",IF(O233="","",""))&amp;""</f>
        <v/>
      </c>
      <c r="AW233" t="str" cm="1">
        <f t="array" ref="AW233">IFERROR(IF(P233&lt;&gt;"",P233,IF(OR($S233="",$T233=""),"",IF($T233&lt;&gt;"",_xlfn._xlws.FILTER(P:P,($BT:$BT=$BT233)*($I:$I=$I233)*($T:$T=$T233)*($S:$S=_xlfn.MINIFS($S:$S,$T:$T,"="&amp;$T233)),""))))&amp;"",IF(P233="","",""))&amp;""</f>
        <v/>
      </c>
      <c r="AX233" t="str" cm="1">
        <f t="array" ref="AX233">IFERROR(IF(Q233&lt;&gt;"",Q233,IF(OR($S233="",$T233=""),"",IF($T233&lt;&gt;"",_xlfn._xlws.FILTER(Q:Q,($BT:$BT=$BT233)*($I:$I=$I233)*($T:$T=$T233)*($S:$S=_xlfn.MINIFS($S:$S,$T:$T,"="&amp;$T233)),""))))&amp;"",IF(Q233="","",""))&amp;""</f>
        <v/>
      </c>
      <c r="AY233" t="str" cm="1">
        <f t="array" ref="AY233">IFERROR(IF(R233&lt;&gt;"",R233,IF(OR($S233="",$T233=""),"",IF($T233&lt;&gt;"",_xlfn._xlws.FILTER(R:R,($BT:$BT=$BT233)*($I:$I=$I233)*($T:$T=$T233)*($S:$S=_xlfn.MINIFS($S:$S,$T:$T,"="&amp;$T233)),""))))&amp;"",IF(R233="","",""))&amp;""</f>
        <v/>
      </c>
      <c r="AZ233" s="6">
        <f t="shared" si="363"/>
        <v>22</v>
      </c>
      <c r="BA233">
        <f t="shared" ref="BA233:BC233" si="433">BA232</f>
        <v>18991</v>
      </c>
      <c r="BB233" t="str">
        <f t="shared" si="433"/>
        <v>Triple J</v>
      </c>
      <c r="BC233" t="str">
        <f t="shared" si="433"/>
        <v>Velodrome</v>
      </c>
      <c r="BD233" t="str">
        <f t="shared" si="365"/>
        <v>Possession</v>
      </c>
      <c r="BE233" t="str">
        <f t="shared" si="366"/>
        <v/>
      </c>
      <c r="BF233" t="str">
        <f t="shared" si="367"/>
        <v/>
      </c>
      <c r="BG233" t="str">
        <f t="shared" si="22"/>
        <v/>
      </c>
      <c r="BH233" cm="1">
        <f t="array" aca="1" ref="BH233" ca="1">IFERROR(_xlfn._xlws.FILTER(shifts!A:A,(shifts!B:B=events!Z233)*(shifts!AG:AG&gt;=events!BJ233)*(shifts!AH:AH&lt;=events!BK233)),BH232)</f>
        <v>8</v>
      </c>
      <c r="BI233" s="15">
        <f t="shared" si="368"/>
        <v>2</v>
      </c>
      <c r="BJ233">
        <f t="shared" si="369"/>
        <v>877</v>
      </c>
      <c r="BK233">
        <f t="shared" si="370"/>
        <v>875</v>
      </c>
      <c r="BL233" s="15">
        <f>SUMIFS(BI$2:BI233,K$2:K233,"=Intermission")+SUMIFS(BI$2:BI233,K$2:K233,"=Timeout")</f>
        <v>0</v>
      </c>
      <c r="BM233">
        <f t="shared" si="371"/>
        <v>0</v>
      </c>
      <c r="BN233" s="19">
        <f t="shared" si="372"/>
        <v>203</v>
      </c>
      <c r="BO233">
        <f t="shared" si="373"/>
        <v>198</v>
      </c>
      <c r="BP233" s="17">
        <f t="shared" si="374"/>
        <v>205</v>
      </c>
      <c r="BQ233" t="str">
        <f t="shared" si="375"/>
        <v>opp_team_player_1</v>
      </c>
      <c r="BR233">
        <f>COUNTIFS(S$3:S233,"="&amp;S233,AH$3:AH233,"="&amp;AH233)</f>
        <v>1</v>
      </c>
      <c r="BS233" t="str">
        <f>IFERROR(VLOOKUP(BA233&amp;BT233&amp;X233,game_rosters!U:W,3,FALSE),"")</f>
        <v>P100014</v>
      </c>
      <c r="BT233" t="str">
        <f t="shared" si="376"/>
        <v>Triple J</v>
      </c>
    </row>
    <row r="234" spans="1:72" x14ac:dyDescent="0.2">
      <c r="A234">
        <f t="shared" si="351"/>
        <v>1</v>
      </c>
      <c r="E234" s="4"/>
      <c r="F234" s="45"/>
      <c r="G234" s="4"/>
      <c r="H234" s="47"/>
      <c r="I234" s="26">
        <v>84</v>
      </c>
      <c r="J234" s="26" t="s">
        <v>368</v>
      </c>
      <c r="K234" t="s">
        <v>7</v>
      </c>
      <c r="L234" t="s">
        <v>172</v>
      </c>
      <c r="M234" t="s">
        <v>68</v>
      </c>
      <c r="N234" t="str">
        <f t="shared" si="395"/>
        <v>s</v>
      </c>
      <c r="O234" t="s">
        <v>539</v>
      </c>
      <c r="Q234" t="str">
        <f t="shared" si="389"/>
        <v>s</v>
      </c>
      <c r="R234" s="26">
        <v>1</v>
      </c>
      <c r="S234">
        <f>IF(A234=1,MAX($S$2:$S233)+1,IF(OR($I234&lt;&gt;"",A234="x"),$S233,""))</f>
        <v>121</v>
      </c>
      <c r="T234" t="str">
        <f>IF(D234=1,MAX($T$2:$T233)+1,IF(S234=S233,$T233,IF(D234="x",T233,IF(D233="x","",""))))</f>
        <v/>
      </c>
      <c r="U234" t="str">
        <f>IF(B234=1,MAX($U$2:$U233)+1,IF(AND($T234&lt;&gt;"",$T234=$T233),$U233,IF(B234="x",U233,"")))</f>
        <v/>
      </c>
      <c r="V234" t="str">
        <f>IF(C234=1,MAX($V$2:$V233)+1,IF(AND($T234&lt;&gt;"",$T234=$T233),$U233,IF(C234="x",V233,"")))</f>
        <v/>
      </c>
      <c r="W234" t="str" cm="1">
        <f t="array" ref="W234">IFERROR(_xlfn._xlws.FILTER(game_rosters!AC:AC,(game_rosters!J:J=events!X234)*(K234&lt;&gt;"")),"")</f>
        <v>a</v>
      </c>
      <c r="X234" cm="1">
        <f t="array" ref="X234">IF($I234&lt;&gt;"",$I234,INDEX($I$1:$I234,ROW()-COUNTIFS($T$1:$T234,"="&amp;$T234,$S$1:$S234,"&lt;"&amp;$S234)))</f>
        <v>84</v>
      </c>
      <c r="Y234" cm="1">
        <f t="array" ref="Y234">IFERROR(IF(_xlfn._xlws.FILTER(game_rosters!$J:$J,(game_rosters!$G:$G=events!$AM234)*(game_rosters!$J:$J=events!$X234))&gt;0,1,""),"")</f>
        <v>1</v>
      </c>
      <c r="Z234" s="6">
        <f t="shared" si="352"/>
        <v>1</v>
      </c>
      <c r="AA234">
        <f t="shared" si="353"/>
        <v>1121</v>
      </c>
      <c r="AB234" t="str">
        <f t="shared" si="354"/>
        <v/>
      </c>
      <c r="AC234">
        <f t="shared" si="355"/>
        <v>1121</v>
      </c>
      <c r="AD234" t="str">
        <f t="shared" si="356"/>
        <v>14</v>
      </c>
      <c r="AE234" t="str">
        <f t="shared" si="357"/>
        <v>35</v>
      </c>
      <c r="AF234" t="str">
        <f t="shared" si="358"/>
        <v/>
      </c>
      <c r="AG234" t="str">
        <f t="shared" si="359"/>
        <v/>
      </c>
      <c r="AH234" t="str">
        <f t="shared" si="402"/>
        <v>e</v>
      </c>
      <c r="AI234" t="str">
        <f t="shared" ref="AI234:AJ234" si="434">IF($J234&lt;&gt;"",$J234,IF($AC234=$AC233,AI233,""))</f>
        <v>o</v>
      </c>
      <c r="AJ234" t="str">
        <f t="shared" si="434"/>
        <v>o</v>
      </c>
      <c r="AK234" t="str">
        <f t="shared" si="404"/>
        <v>d</v>
      </c>
      <c r="AL234" t="str">
        <f t="shared" si="420"/>
        <v>o</v>
      </c>
      <c r="AM234" t="str">
        <f t="shared" si="360"/>
        <v>Away</v>
      </c>
      <c r="AN234" t="str">
        <f t="shared" si="406"/>
        <v>a</v>
      </c>
      <c r="AO234" t="str">
        <f t="shared" si="407"/>
        <v>d</v>
      </c>
      <c r="AP234" t="str">
        <f t="shared" si="408"/>
        <v>o</v>
      </c>
      <c r="AQ234" t="str">
        <f>IF(AM234&lt;&gt;"",AM234,IF($AC234=#REF!,#REF!,""))</f>
        <v>Away</v>
      </c>
      <c r="AR234" t="str">
        <f t="shared" si="409"/>
        <v>a</v>
      </c>
      <c r="AS234" t="str">
        <f t="shared" si="410"/>
        <v>Offensive</v>
      </c>
      <c r="AT234" t="str">
        <f t="shared" si="361"/>
        <v/>
      </c>
      <c r="AU234" t="str">
        <f t="shared" si="362"/>
        <v/>
      </c>
      <c r="AV234" t="str" cm="1">
        <f t="array" ref="AV234">IFERROR(IF(O234&lt;&gt;"",O234,IF(OR($S234="",$T234=""),"",IF(O234&lt;&gt;"",O234,IF($T234&lt;&gt;"",_xlfn._xlws.FILTER(O:O,($BT:$BT=$BT234)*($I:$I=$I234)*($T:$T=$T234)*($S:$S=_xlfn.MINIFS($S:$S,$T:$T,"="&amp;$T234)),"")))))&amp;"",IF(O234="","",""))&amp;""</f>
        <v>AssistSecondary</v>
      </c>
      <c r="AW234" t="str" cm="1">
        <f t="array" ref="AW234">IFERROR(IF(P234&lt;&gt;"",P234,IF(OR($S234="",$T234=""),"",IF($T234&lt;&gt;"",_xlfn._xlws.FILTER(P:P,($BT:$BT=$BT234)*($I:$I=$I234)*($T:$T=$T234)*($S:$S=_xlfn.MINIFS($S:$S,$T:$T,"="&amp;$T234)),""))))&amp;"",IF(P234="","",""))&amp;""</f>
        <v/>
      </c>
      <c r="AX234" t="str" cm="1">
        <f t="array" ref="AX234">IFERROR(IF(Q234&lt;&gt;"",Q234,IF(OR($S234="",$T234=""),"",IF($T234&lt;&gt;"",_xlfn._xlws.FILTER(Q:Q,($BT:$BT=$BT234)*($I:$I=$I234)*($T:$T=$T234)*($S:$S=_xlfn.MINIFS($S:$S,$T:$T,"="&amp;$T234)),""))))&amp;"",IF(Q234="","",""))&amp;""</f>
        <v>s</v>
      </c>
      <c r="AY234" t="str" cm="1">
        <f t="array" ref="AY234">IFERROR(IF(R234&lt;&gt;"",R234,IF(OR($S234="",$T234=""),"",IF($T234&lt;&gt;"",_xlfn._xlws.FILTER(R:R,($BT:$BT=$BT234)*($I:$I=$I234)*($T:$T=$T234)*($S:$S=_xlfn.MINIFS($S:$S,$T:$T,"="&amp;$T234)),""))))&amp;"",IF(R234="","",""))&amp;""</f>
        <v>1</v>
      </c>
      <c r="AZ234" s="6">
        <f t="shared" si="363"/>
        <v>22</v>
      </c>
      <c r="BA234">
        <f t="shared" ref="BA234:BC234" si="435">BA233</f>
        <v>18991</v>
      </c>
      <c r="BB234" t="str">
        <f t="shared" si="435"/>
        <v>Triple J</v>
      </c>
      <c r="BC234" t="str">
        <f t="shared" si="435"/>
        <v>Velodrome</v>
      </c>
      <c r="BD234" t="str">
        <f t="shared" si="365"/>
        <v>Pass</v>
      </c>
      <c r="BE234" t="str">
        <f t="shared" si="366"/>
        <v>Pass_Completed</v>
      </c>
      <c r="BF234" t="str">
        <f t="shared" si="367"/>
        <v>Pass-Forehand</v>
      </c>
      <c r="BG234" t="str">
        <f t="shared" si="22"/>
        <v>s</v>
      </c>
      <c r="BH234" cm="1">
        <f t="array" aca="1" ref="BH234" ca="1">IFERROR(_xlfn._xlws.FILTER(shifts!A:A,(shifts!B:B=events!Z234)*(shifts!AG:AG&gt;=events!BJ234)*(shifts!AH:AH&lt;=events!BK234)),BH233)</f>
        <v>8</v>
      </c>
      <c r="BI234" s="15">
        <f t="shared" si="368"/>
        <v>0</v>
      </c>
      <c r="BJ234">
        <f t="shared" si="369"/>
        <v>875</v>
      </c>
      <c r="BK234">
        <f t="shared" si="370"/>
        <v>875</v>
      </c>
      <c r="BL234" s="15">
        <f>SUMIFS(BI$2:BI234,K$2:K234,"=Intermission")+SUMIFS(BI$2:BI234,K$2:K234,"=Timeout")</f>
        <v>0</v>
      </c>
      <c r="BM234">
        <f t="shared" si="371"/>
        <v>0</v>
      </c>
      <c r="BN234" s="19">
        <f t="shared" si="372"/>
        <v>205</v>
      </c>
      <c r="BO234">
        <f t="shared" si="373"/>
        <v>200</v>
      </c>
      <c r="BP234" s="17">
        <f t="shared" si="374"/>
        <v>205</v>
      </c>
      <c r="BQ234" t="str">
        <f t="shared" si="375"/>
        <v>event_team_player_1</v>
      </c>
      <c r="BR234">
        <f>COUNTIFS(S$3:S234,"="&amp;S234,AH$3:AH234,"="&amp;AH234)</f>
        <v>1</v>
      </c>
      <c r="BS234" t="str">
        <f>IFERROR(VLOOKUP(BA234&amp;BT234&amp;X234,game_rosters!U:W,3,FALSE),"")</f>
        <v>P100198</v>
      </c>
      <c r="BT234" t="str">
        <f t="shared" si="376"/>
        <v>Velodrome</v>
      </c>
    </row>
    <row r="235" spans="1:72" x14ac:dyDescent="0.2">
      <c r="A235" t="str">
        <f t="shared" si="351"/>
        <v/>
      </c>
      <c r="E235" s="4"/>
      <c r="F235" s="45"/>
      <c r="G235" s="4"/>
      <c r="H235" s="47"/>
      <c r="I235" s="26">
        <v>91</v>
      </c>
      <c r="J235" s="26" t="str">
        <f t="shared" si="377"/>
        <v/>
      </c>
      <c r="N235" t="str">
        <f t="shared" si="395"/>
        <v/>
      </c>
      <c r="Q235" t="str">
        <f t="shared" si="389"/>
        <v/>
      </c>
      <c r="S235">
        <f>IF(A235=1,MAX($S$2:$S234)+1,IF(OR($I235&lt;&gt;"",A235="x"),$S234,""))</f>
        <v>121</v>
      </c>
      <c r="T235" t="str">
        <f>IF(D235=1,MAX($T$2:$T234)+1,IF(S235=S234,$T234,IF(D235="x",T234,IF(D234="x","",""))))</f>
        <v/>
      </c>
      <c r="U235" t="str">
        <f>IF(B235=1,MAX($U$2:$U234)+1,IF(AND($T235&lt;&gt;"",$T235=$T234),$U234,IF(B235="x",U234,"")))</f>
        <v/>
      </c>
      <c r="V235" t="str">
        <f>IF(C235=1,MAX($V$2:$V234)+1,IF(AND($T235&lt;&gt;"",$T235=$T234),$U234,IF(C235="x",V234,"")))</f>
        <v/>
      </c>
      <c r="W235" t="str" cm="1">
        <f t="array" ref="W235">IFERROR(_xlfn._xlws.FILTER(game_rosters!AC:AC,(game_rosters!J:J=events!X235)*(K235&lt;&gt;"")),"")</f>
        <v/>
      </c>
      <c r="X235" cm="1">
        <f t="array" ref="X235">IF($I235&lt;&gt;"",$I235,INDEX($I$1:$I235,ROW()-COUNTIFS($T$1:$T235,"="&amp;$T235,$S$1:$S235,"&lt;"&amp;$S235)))</f>
        <v>91</v>
      </c>
      <c r="Y235" cm="1">
        <f t="array" ref="Y235">IFERROR(IF(_xlfn._xlws.FILTER(game_rosters!$J:$J,(game_rosters!$G:$G=events!$AM235)*(game_rosters!$J:$J=events!$X235))&gt;0,1,""),"")</f>
        <v>1</v>
      </c>
      <c r="Z235" s="6">
        <f t="shared" si="352"/>
        <v>1</v>
      </c>
      <c r="AA235">
        <f t="shared" si="353"/>
        <v>1121</v>
      </c>
      <c r="AB235" t="str">
        <f t="shared" si="354"/>
        <v/>
      </c>
      <c r="AC235">
        <f t="shared" si="355"/>
        <v>1121</v>
      </c>
      <c r="AD235" t="str">
        <f t="shared" si="356"/>
        <v>14</v>
      </c>
      <c r="AE235" t="str">
        <f t="shared" si="357"/>
        <v>35</v>
      </c>
      <c r="AF235" t="str">
        <f t="shared" si="358"/>
        <v/>
      </c>
      <c r="AG235" t="str">
        <f t="shared" si="359"/>
        <v/>
      </c>
      <c r="AH235" t="str">
        <f t="shared" si="402"/>
        <v>e</v>
      </c>
      <c r="AI235" t="str">
        <f t="shared" ref="AI235:AJ235" si="436">IF($J235&lt;&gt;"",$J235,IF($AC235=$AC234,AI234,""))</f>
        <v>o</v>
      </c>
      <c r="AJ235" t="str">
        <f t="shared" si="436"/>
        <v>o</v>
      </c>
      <c r="AK235" t="str">
        <f t="shared" si="404"/>
        <v/>
      </c>
      <c r="AL235" t="str">
        <f t="shared" si="420"/>
        <v/>
      </c>
      <c r="AM235" t="str">
        <f t="shared" si="360"/>
        <v>Away</v>
      </c>
      <c r="AN235" t="str">
        <f t="shared" si="406"/>
        <v>a</v>
      </c>
      <c r="AO235" t="str">
        <f t="shared" si="407"/>
        <v>d</v>
      </c>
      <c r="AP235" t="str">
        <f t="shared" si="408"/>
        <v>o</v>
      </c>
      <c r="AQ235" t="str">
        <f>IF(AM235&lt;&gt;"",AM235,IF($AC235=#REF!,#REF!,""))</f>
        <v>Away</v>
      </c>
      <c r="AR235" t="str">
        <f t="shared" si="409"/>
        <v>a</v>
      </c>
      <c r="AS235" t="str">
        <f t="shared" si="410"/>
        <v>Offensive</v>
      </c>
      <c r="AT235" t="str">
        <f t="shared" si="361"/>
        <v/>
      </c>
      <c r="AU235" t="str">
        <f t="shared" si="362"/>
        <v/>
      </c>
      <c r="AV235" t="str" cm="1">
        <f t="array" ref="AV235">IFERROR(IF(O235&lt;&gt;"",O235,IF(OR($S235="",$T235=""),"",IF(O235&lt;&gt;"",O235,IF($T235&lt;&gt;"",_xlfn._xlws.FILTER(O:O,($BT:$BT=$BT235)*($I:$I=$I235)*($T:$T=$T235)*($S:$S=_xlfn.MINIFS($S:$S,$T:$T,"="&amp;$T235)),"")))))&amp;"",IF(O235="","",""))&amp;""</f>
        <v/>
      </c>
      <c r="AW235" t="str" cm="1">
        <f t="array" ref="AW235">IFERROR(IF(P235&lt;&gt;"",P235,IF(OR($S235="",$T235=""),"",IF($T235&lt;&gt;"",_xlfn._xlws.FILTER(P:P,($BT:$BT=$BT235)*($I:$I=$I235)*($T:$T=$T235)*($S:$S=_xlfn.MINIFS($S:$S,$T:$T,"="&amp;$T235)),""))))&amp;"",IF(P235="","",""))&amp;""</f>
        <v/>
      </c>
      <c r="AX235" t="str" cm="1">
        <f t="array" ref="AX235">IFERROR(IF(Q235&lt;&gt;"",Q235,IF(OR($S235="",$T235=""),"",IF($T235&lt;&gt;"",_xlfn._xlws.FILTER(Q:Q,($BT:$BT=$BT235)*($I:$I=$I235)*($T:$T=$T235)*($S:$S=_xlfn.MINIFS($S:$S,$T:$T,"="&amp;$T235)),""))))&amp;"",IF(Q235="","",""))&amp;""</f>
        <v/>
      </c>
      <c r="AY235" t="str" cm="1">
        <f t="array" ref="AY235">IFERROR(IF(R235&lt;&gt;"",R235,IF(OR($S235="",$T235=""),"",IF($T235&lt;&gt;"",_xlfn._xlws.FILTER(R:R,($BT:$BT=$BT235)*($I:$I=$I235)*($T:$T=$T235)*($S:$S=_xlfn.MINIFS($S:$S,$T:$T,"="&amp;$T235)),""))))&amp;"",IF(R235="","",""))&amp;""</f>
        <v/>
      </c>
      <c r="AZ235" s="6">
        <f t="shared" si="363"/>
        <v>22</v>
      </c>
      <c r="BA235">
        <f t="shared" ref="BA235:BC235" si="437">BA234</f>
        <v>18991</v>
      </c>
      <c r="BB235" t="str">
        <f t="shared" si="437"/>
        <v>Triple J</v>
      </c>
      <c r="BC235" t="str">
        <f t="shared" si="437"/>
        <v>Velodrome</v>
      </c>
      <c r="BD235" t="str">
        <f t="shared" si="365"/>
        <v>Pass</v>
      </c>
      <c r="BE235" t="str">
        <f t="shared" si="366"/>
        <v>Pass_Completed</v>
      </c>
      <c r="BF235" t="str">
        <f t="shared" si="367"/>
        <v>Pass-Forehand</v>
      </c>
      <c r="BG235" t="str">
        <f t="shared" si="22"/>
        <v>s</v>
      </c>
      <c r="BH235" cm="1">
        <f t="array" aca="1" ref="BH235" ca="1">IFERROR(_xlfn._xlws.FILTER(shifts!A:A,(shifts!B:B=events!Z235)*(shifts!AG:AG&gt;=events!BJ235)*(shifts!AH:AH&lt;=events!BK235)),BH234)</f>
        <v>8</v>
      </c>
      <c r="BI235" s="15">
        <f t="shared" si="368"/>
        <v>0</v>
      </c>
      <c r="BJ235">
        <f t="shared" si="369"/>
        <v>875</v>
      </c>
      <c r="BK235">
        <f t="shared" si="370"/>
        <v>875</v>
      </c>
      <c r="BL235" s="15">
        <f>SUMIFS(BI$2:BI235,K$2:K235,"=Intermission")+SUMIFS(BI$2:BI235,K$2:K235,"=Timeout")</f>
        <v>0</v>
      </c>
      <c r="BM235">
        <f t="shared" si="371"/>
        <v>0</v>
      </c>
      <c r="BN235" s="19">
        <f t="shared" si="372"/>
        <v>205</v>
      </c>
      <c r="BO235">
        <f t="shared" si="373"/>
        <v>200</v>
      </c>
      <c r="BP235" s="17">
        <f t="shared" si="374"/>
        <v>205</v>
      </c>
      <c r="BQ235" t="str">
        <f t="shared" si="375"/>
        <v>event_team_player_2</v>
      </c>
      <c r="BR235">
        <f>COUNTIFS(S$3:S235,"="&amp;S235,AH$3:AH235,"="&amp;AH235)</f>
        <v>2</v>
      </c>
      <c r="BS235" t="str">
        <f>IFERROR(VLOOKUP(BA235&amp;BT235&amp;X235,game_rosters!U:W,3,FALSE),"")</f>
        <v>P100002</v>
      </c>
      <c r="BT235" t="str">
        <f t="shared" si="376"/>
        <v>Velodrome</v>
      </c>
    </row>
    <row r="236" spans="1:72" x14ac:dyDescent="0.2">
      <c r="A236" t="str">
        <f t="shared" si="351"/>
        <v/>
      </c>
      <c r="E236" s="4"/>
      <c r="F236" s="45"/>
      <c r="G236" s="4"/>
      <c r="H236" s="47"/>
      <c r="I236" s="26">
        <v>69</v>
      </c>
      <c r="J236" s="26" t="str">
        <f t="shared" si="377"/>
        <v/>
      </c>
      <c r="N236" t="str">
        <f t="shared" si="395"/>
        <v/>
      </c>
      <c r="Q236" t="str">
        <f t="shared" si="389"/>
        <v/>
      </c>
      <c r="R236" s="26">
        <v>1</v>
      </c>
      <c r="S236">
        <f>IF(A236=1,MAX($S$2:$S235)+1,IF(OR($I236&lt;&gt;"",A236="x"),$S235,""))</f>
        <v>121</v>
      </c>
      <c r="T236" t="str">
        <f>IF(D236=1,MAX($T$2:$T235)+1,IF(S236=S235,$T235,IF(D236="x",T235,IF(D235="x","",""))))</f>
        <v/>
      </c>
      <c r="U236" t="str">
        <f>IF(B236=1,MAX($U$2:$U235)+1,IF(AND($T236&lt;&gt;"",$T236=$T235),$U235,IF(B236="x",U235,"")))</f>
        <v/>
      </c>
      <c r="V236" t="str">
        <f>IF(C236=1,MAX($V$2:$V235)+1,IF(AND($T236&lt;&gt;"",$T236=$T235),$U235,IF(C236="x",V235,"")))</f>
        <v/>
      </c>
      <c r="W236" t="str" cm="1">
        <f t="array" ref="W236">IFERROR(_xlfn._xlws.FILTER(game_rosters!AC:AC,(game_rosters!J:J=events!X236)*(K236&lt;&gt;"")),"")</f>
        <v/>
      </c>
      <c r="X236" cm="1">
        <f t="array" ref="X236">IF($I236&lt;&gt;"",$I236,INDEX($I$1:$I236,ROW()-COUNTIFS($T$1:$T236,"="&amp;$T236,$S$1:$S236,"&lt;"&amp;$S236)))</f>
        <v>69</v>
      </c>
      <c r="Y236" t="str" cm="1">
        <f t="array" ref="Y236">IFERROR(IF(_xlfn._xlws.FILTER(game_rosters!$J:$J,(game_rosters!$G:$G=events!$AM236)*(game_rosters!$J:$J=events!$X236))&gt;0,1,""),"")</f>
        <v/>
      </c>
      <c r="Z236" s="6">
        <f t="shared" si="352"/>
        <v>1</v>
      </c>
      <c r="AA236">
        <f t="shared" si="353"/>
        <v>1121</v>
      </c>
      <c r="AB236" t="str">
        <f t="shared" si="354"/>
        <v/>
      </c>
      <c r="AC236">
        <f t="shared" si="355"/>
        <v>1121</v>
      </c>
      <c r="AD236" t="str">
        <f t="shared" si="356"/>
        <v>14</v>
      </c>
      <c r="AE236" t="str">
        <f t="shared" si="357"/>
        <v>35</v>
      </c>
      <c r="AF236" t="str">
        <f t="shared" si="358"/>
        <v/>
      </c>
      <c r="AG236" t="str">
        <f t="shared" si="359"/>
        <v/>
      </c>
      <c r="AH236" t="str">
        <f t="shared" si="402"/>
        <v>o</v>
      </c>
      <c r="AI236" t="str">
        <f t="shared" ref="AI236:AJ236" si="438">IF($J236&lt;&gt;"",$J236,IF($AC236=$AC235,AI235,""))</f>
        <v>o</v>
      </c>
      <c r="AJ236" t="str">
        <f t="shared" si="438"/>
        <v>o</v>
      </c>
      <c r="AK236" t="str">
        <f t="shared" si="404"/>
        <v/>
      </c>
      <c r="AL236" t="str">
        <f t="shared" si="420"/>
        <v/>
      </c>
      <c r="AM236" t="str">
        <f t="shared" si="360"/>
        <v>Away</v>
      </c>
      <c r="AN236" t="str">
        <f t="shared" si="406"/>
        <v>a</v>
      </c>
      <c r="AO236" t="str">
        <f t="shared" si="407"/>
        <v>d</v>
      </c>
      <c r="AP236" t="str">
        <f t="shared" si="408"/>
        <v>o</v>
      </c>
      <c r="AQ236" t="str">
        <f>IF(AM236&lt;&gt;"",AM236,IF($AC236=#REF!,#REF!,""))</f>
        <v>Away</v>
      </c>
      <c r="AR236" t="str">
        <f t="shared" si="409"/>
        <v>a</v>
      </c>
      <c r="AS236" t="str">
        <f t="shared" si="410"/>
        <v>Defensive</v>
      </c>
      <c r="AT236" t="str">
        <f t="shared" si="361"/>
        <v/>
      </c>
      <c r="AU236" t="str">
        <f t="shared" si="362"/>
        <v/>
      </c>
      <c r="AV236" t="str" cm="1">
        <f t="array" ref="AV236">IFERROR(IF(O236&lt;&gt;"",O236,IF(OR($S236="",$T236=""),"",IF(O236&lt;&gt;"",O236,IF($T236&lt;&gt;"",_xlfn._xlws.FILTER(O:O,($BT:$BT=$BT236)*($I:$I=$I236)*($T:$T=$T236)*($S:$S=_xlfn.MINIFS($S:$S,$T:$T,"="&amp;$T236)),"")))))&amp;"",IF(O236="","",""))&amp;""</f>
        <v/>
      </c>
      <c r="AW236" t="str" cm="1">
        <f t="array" ref="AW236">IFERROR(IF(P236&lt;&gt;"",P236,IF(OR($S236="",$T236=""),"",IF($T236&lt;&gt;"",_xlfn._xlws.FILTER(P:P,($BT:$BT=$BT236)*($I:$I=$I236)*($T:$T=$T236)*($S:$S=_xlfn.MINIFS($S:$S,$T:$T,"="&amp;$T236)),""))))&amp;"",IF(P236="","",""))&amp;""</f>
        <v/>
      </c>
      <c r="AX236" t="str" cm="1">
        <f t="array" ref="AX236">IFERROR(IF(Q236&lt;&gt;"",Q236,IF(OR($S236="",$T236=""),"",IF($T236&lt;&gt;"",_xlfn._xlws.FILTER(Q:Q,($BT:$BT=$BT236)*($I:$I=$I236)*($T:$T=$T236)*($S:$S=_xlfn.MINIFS($S:$S,$T:$T,"="&amp;$T236)),""))))&amp;"",IF(Q236="","",""))&amp;""</f>
        <v/>
      </c>
      <c r="AY236" t="str" cm="1">
        <f t="array" ref="AY236">IFERROR(IF(R236&lt;&gt;"",R236,IF(OR($S236="",$T236=""),"",IF($T236&lt;&gt;"",_xlfn._xlws.FILTER(R:R,($BT:$BT=$BT236)*($I:$I=$I236)*($T:$T=$T236)*($S:$S=_xlfn.MINIFS($S:$S,$T:$T,"="&amp;$T236)),""))))&amp;"",IF(R236="","",""))&amp;""</f>
        <v>1</v>
      </c>
      <c r="AZ236" s="6">
        <f t="shared" si="363"/>
        <v>22</v>
      </c>
      <c r="BA236">
        <f t="shared" ref="BA236:BC236" si="439">BA235</f>
        <v>18991</v>
      </c>
      <c r="BB236" t="str">
        <f t="shared" si="439"/>
        <v>Triple J</v>
      </c>
      <c r="BC236" t="str">
        <f t="shared" si="439"/>
        <v>Velodrome</v>
      </c>
      <c r="BD236" t="str">
        <f t="shared" si="365"/>
        <v>Pass</v>
      </c>
      <c r="BE236" t="str">
        <f t="shared" si="366"/>
        <v>Pass_Completed</v>
      </c>
      <c r="BF236" t="str">
        <f t="shared" si="367"/>
        <v>Pass-Forehand</v>
      </c>
      <c r="BG236" t="str">
        <f t="shared" si="22"/>
        <v>s</v>
      </c>
      <c r="BH236" cm="1">
        <f t="array" aca="1" ref="BH236" ca="1">IFERROR(_xlfn._xlws.FILTER(shifts!A:A,(shifts!B:B=events!Z236)*(shifts!AG:AG&gt;=events!BJ236)*(shifts!AH:AH&lt;=events!BK236)),BH235)</f>
        <v>8</v>
      </c>
      <c r="BI236" s="15">
        <f t="shared" si="368"/>
        <v>0</v>
      </c>
      <c r="BJ236">
        <f t="shared" si="369"/>
        <v>875</v>
      </c>
      <c r="BK236">
        <f t="shared" si="370"/>
        <v>875</v>
      </c>
      <c r="BL236" s="15">
        <f>SUMIFS(BI$2:BI236,K$2:K236,"=Intermission")+SUMIFS(BI$2:BI236,K$2:K236,"=Timeout")</f>
        <v>0</v>
      </c>
      <c r="BM236">
        <f t="shared" si="371"/>
        <v>0</v>
      </c>
      <c r="BN236" s="19">
        <f t="shared" si="372"/>
        <v>205</v>
      </c>
      <c r="BO236">
        <f t="shared" si="373"/>
        <v>200</v>
      </c>
      <c r="BP236" s="17">
        <f t="shared" si="374"/>
        <v>205</v>
      </c>
      <c r="BQ236" t="str">
        <f t="shared" si="375"/>
        <v>opp_team_player_1</v>
      </c>
      <c r="BR236">
        <f>COUNTIFS(S$3:S236,"="&amp;S236,AH$3:AH236,"="&amp;AH236)</f>
        <v>1</v>
      </c>
      <c r="BS236" t="str">
        <f>IFERROR(VLOOKUP(BA236&amp;BT236&amp;X236,game_rosters!U:W,3,FALSE),"")</f>
        <v>P100014</v>
      </c>
      <c r="BT236" t="str">
        <f t="shared" si="376"/>
        <v>Triple J</v>
      </c>
    </row>
    <row r="237" spans="1:72" x14ac:dyDescent="0.2">
      <c r="A237">
        <f t="shared" si="351"/>
        <v>1</v>
      </c>
      <c r="E237" s="4"/>
      <c r="F237" s="45" t="s">
        <v>1030</v>
      </c>
      <c r="G237" s="4"/>
      <c r="H237" s="47" t="s">
        <v>1043</v>
      </c>
      <c r="I237" s="26">
        <v>91</v>
      </c>
      <c r="J237" s="26" t="s">
        <v>368</v>
      </c>
      <c r="K237" t="s">
        <v>13</v>
      </c>
      <c r="N237" t="str">
        <f t="shared" si="395"/>
        <v/>
      </c>
      <c r="Q237" t="str">
        <f t="shared" si="389"/>
        <v/>
      </c>
      <c r="R237" s="26">
        <v>1</v>
      </c>
      <c r="S237">
        <f>IF(A237=1,MAX($S$2:$S236)+1,IF(OR($I237&lt;&gt;"",A237="x"),$S236,""))</f>
        <v>122</v>
      </c>
      <c r="T237" t="str">
        <f>IF(D237=1,MAX($T$2:$T236)+1,IF(S237=S236,$T236,IF(D237="x",T236,IF(D236="x","",""))))</f>
        <v/>
      </c>
      <c r="U237" t="str">
        <f>IF(B237=1,MAX($U$2:$U236)+1,IF(AND($T237&lt;&gt;"",$T237=$T236),$U236,IF(B237="x",U236,"")))</f>
        <v/>
      </c>
      <c r="V237" t="str">
        <f>IF(C237=1,MAX($V$2:$V236)+1,IF(AND($T237&lt;&gt;"",$T237=$T236),$U236,IF(C237="x",V236,"")))</f>
        <v/>
      </c>
      <c r="W237" t="str" cm="1">
        <f t="array" ref="W237">IFERROR(_xlfn._xlws.FILTER(game_rosters!AC:AC,(game_rosters!J:J=events!X237)*(K237&lt;&gt;"")),"")</f>
        <v>a</v>
      </c>
      <c r="X237" cm="1">
        <f t="array" ref="X237">IF($I237&lt;&gt;"",$I237,INDEX($I$1:$I237,ROW()-COUNTIFS($T$1:$T237,"="&amp;$T237,$S$1:$S237,"&lt;"&amp;$S237)))</f>
        <v>91</v>
      </c>
      <c r="Y237" cm="1">
        <f t="array" ref="Y237">IFERROR(IF(_xlfn._xlws.FILTER(game_rosters!$J:$J,(game_rosters!$G:$G=events!$AM237)*(game_rosters!$J:$J=events!$X237))&gt;0,1,""),"")</f>
        <v>1</v>
      </c>
      <c r="Z237" s="6">
        <f t="shared" si="352"/>
        <v>1</v>
      </c>
      <c r="AA237">
        <f t="shared" si="353"/>
        <v>1122</v>
      </c>
      <c r="AB237" t="str">
        <f t="shared" si="354"/>
        <v/>
      </c>
      <c r="AC237">
        <f t="shared" si="355"/>
        <v>1122</v>
      </c>
      <c r="AD237" t="str">
        <f t="shared" si="356"/>
        <v>14</v>
      </c>
      <c r="AE237" t="str">
        <f t="shared" si="357"/>
        <v>34</v>
      </c>
      <c r="AF237" t="str">
        <f t="shared" si="358"/>
        <v>14</v>
      </c>
      <c r="AG237" t="str">
        <f t="shared" si="359"/>
        <v>33</v>
      </c>
      <c r="AH237" t="str">
        <f t="shared" si="402"/>
        <v>e</v>
      </c>
      <c r="AI237" t="str">
        <f t="shared" ref="AI237:AJ237" si="440">IF($J237&lt;&gt;"",$J237,IF($AC237=$AC236,AI236,""))</f>
        <v>o</v>
      </c>
      <c r="AJ237" t="str">
        <f t="shared" si="440"/>
        <v>o</v>
      </c>
      <c r="AK237" t="str">
        <f t="shared" si="404"/>
        <v>d</v>
      </c>
      <c r="AL237" t="str">
        <f t="shared" si="420"/>
        <v>o</v>
      </c>
      <c r="AM237" t="str">
        <f t="shared" si="360"/>
        <v>Away</v>
      </c>
      <c r="AN237" t="str">
        <f t="shared" si="406"/>
        <v>a</v>
      </c>
      <c r="AO237" t="str">
        <f t="shared" si="407"/>
        <v>d</v>
      </c>
      <c r="AP237" t="str">
        <f t="shared" si="408"/>
        <v>o</v>
      </c>
      <c r="AQ237" t="str">
        <f>IF(AM237&lt;&gt;"",AM237,IF($AC237=#REF!,#REF!,""))</f>
        <v>Away</v>
      </c>
      <c r="AR237" t="str">
        <f t="shared" si="409"/>
        <v>a</v>
      </c>
      <c r="AS237" t="str">
        <f t="shared" si="410"/>
        <v>Offensive</v>
      </c>
      <c r="AT237" t="str">
        <f t="shared" si="361"/>
        <v/>
      </c>
      <c r="AU237" t="str">
        <f t="shared" si="362"/>
        <v/>
      </c>
      <c r="AV237" t="str" cm="1">
        <f t="array" ref="AV237">IFERROR(IF(O237&lt;&gt;"",O237,IF(OR($S237="",$T237=""),"",IF(O237&lt;&gt;"",O237,IF($T237&lt;&gt;"",_xlfn._xlws.FILTER(O:O,($BT:$BT=$BT237)*($I:$I=$I237)*($T:$T=$T237)*($S:$S=_xlfn.MINIFS($S:$S,$T:$T,"="&amp;$T237)),"")))))&amp;"",IF(O237="","",""))&amp;""</f>
        <v/>
      </c>
      <c r="AW237" t="str" cm="1">
        <f t="array" ref="AW237">IFERROR(IF(P237&lt;&gt;"",P237,IF(OR($S237="",$T237=""),"",IF($T237&lt;&gt;"",_xlfn._xlws.FILTER(P:P,($BT:$BT=$BT237)*($I:$I=$I237)*($T:$T=$T237)*($S:$S=_xlfn.MINIFS($S:$S,$T:$T,"="&amp;$T237)),""))))&amp;"",IF(P237="","",""))&amp;""</f>
        <v/>
      </c>
      <c r="AX237" t="str" cm="1">
        <f t="array" ref="AX237">IFERROR(IF(Q237&lt;&gt;"",Q237,IF(OR($S237="",$T237=""),"",IF($T237&lt;&gt;"",_xlfn._xlws.FILTER(Q:Q,($BT:$BT=$BT237)*($I:$I=$I237)*($T:$T=$T237)*($S:$S=_xlfn.MINIFS($S:$S,$T:$T,"="&amp;$T237)),""))))&amp;"",IF(Q237="","",""))&amp;""</f>
        <v/>
      </c>
      <c r="AY237" t="str" cm="1">
        <f t="array" ref="AY237">IFERROR(IF(R237&lt;&gt;"",R237,IF(OR($S237="",$T237=""),"",IF($T237&lt;&gt;"",_xlfn._xlws.FILTER(R:R,($BT:$BT=$BT237)*($I:$I=$I237)*($T:$T=$T237)*($S:$S=_xlfn.MINIFS($S:$S,$T:$T,"="&amp;$T237)),""))))&amp;"",IF(R237="","",""))&amp;""</f>
        <v>1</v>
      </c>
      <c r="AZ237" s="6">
        <f t="shared" si="363"/>
        <v>22</v>
      </c>
      <c r="BA237">
        <f t="shared" ref="BA237:BC237" si="441">BA236</f>
        <v>18991</v>
      </c>
      <c r="BB237" t="str">
        <f t="shared" si="441"/>
        <v>Triple J</v>
      </c>
      <c r="BC237" t="str">
        <f t="shared" si="441"/>
        <v>Velodrome</v>
      </c>
      <c r="BD237" t="str">
        <f t="shared" si="365"/>
        <v>Possession</v>
      </c>
      <c r="BE237" t="str">
        <f t="shared" si="366"/>
        <v/>
      </c>
      <c r="BF237" t="str">
        <f t="shared" si="367"/>
        <v/>
      </c>
      <c r="BG237" t="str">
        <f t="shared" si="22"/>
        <v/>
      </c>
      <c r="BH237" cm="1">
        <f t="array" aca="1" ref="BH237" ca="1">IFERROR(_xlfn._xlws.FILTER(shifts!A:A,(shifts!B:B=events!Z237)*(shifts!AG:AG&gt;=events!BJ237)*(shifts!AH:AH&lt;=events!BK237)),BH236)</f>
        <v>8</v>
      </c>
      <c r="BI237" s="15">
        <f t="shared" si="368"/>
        <v>1</v>
      </c>
      <c r="BJ237">
        <f t="shared" si="369"/>
        <v>874</v>
      </c>
      <c r="BK237">
        <f t="shared" si="370"/>
        <v>873</v>
      </c>
      <c r="BL237" s="15">
        <f>SUMIFS(BI$2:BI237,K$2:K237,"=Intermission")+SUMIFS(BI$2:BI237,K$2:K237,"=Timeout")</f>
        <v>0</v>
      </c>
      <c r="BM237">
        <f t="shared" si="371"/>
        <v>0</v>
      </c>
      <c r="BN237" s="19">
        <f t="shared" si="372"/>
        <v>206</v>
      </c>
      <c r="BO237">
        <f t="shared" si="373"/>
        <v>201</v>
      </c>
      <c r="BP237" s="17">
        <f t="shared" si="374"/>
        <v>207</v>
      </c>
      <c r="BQ237" t="str">
        <f t="shared" si="375"/>
        <v>event_team_player_1</v>
      </c>
      <c r="BR237">
        <f>COUNTIFS(S$3:S237,"="&amp;S237,AH$3:AH237,"="&amp;AH237)</f>
        <v>1</v>
      </c>
      <c r="BS237" t="str">
        <f>IFERROR(VLOOKUP(BA237&amp;BT237&amp;X237,game_rosters!U:W,3,FALSE),"")</f>
        <v>P100002</v>
      </c>
      <c r="BT237" t="str">
        <f t="shared" si="376"/>
        <v>Velodrome</v>
      </c>
    </row>
    <row r="238" spans="1:72" x14ac:dyDescent="0.2">
      <c r="A238" t="str">
        <f t="shared" si="351"/>
        <v/>
      </c>
      <c r="E238" s="4"/>
      <c r="F238" s="45"/>
      <c r="G238" s="4"/>
      <c r="H238" s="47"/>
      <c r="I238" s="26">
        <v>73</v>
      </c>
      <c r="J238" s="26" t="str">
        <f t="shared" si="377"/>
        <v/>
      </c>
      <c r="N238" t="str">
        <f t="shared" si="395"/>
        <v/>
      </c>
      <c r="O238" t="s">
        <v>563</v>
      </c>
      <c r="Q238" t="str">
        <f t="shared" si="389"/>
        <v/>
      </c>
      <c r="R238" s="26">
        <v>1</v>
      </c>
      <c r="S238">
        <f>IF(A238=1,MAX($S$2:$S237)+1,IF(OR($I238&lt;&gt;"",A238="x"),$S237,""))</f>
        <v>122</v>
      </c>
      <c r="T238" t="str">
        <f>IF(D238=1,MAX($T$2:$T237)+1,IF(S238=S237,$T237,IF(D238="x",T237,IF(D237="x","",""))))</f>
        <v/>
      </c>
      <c r="U238" t="str">
        <f>IF(B238=1,MAX($U$2:$U237)+1,IF(AND($T238&lt;&gt;"",$T238=$T237),$U237,IF(B238="x",U237,"")))</f>
        <v/>
      </c>
      <c r="V238" t="str">
        <f>IF(C238=1,MAX($V$2:$V237)+1,IF(AND($T238&lt;&gt;"",$T238=$T237),$U237,IF(C238="x",V237,"")))</f>
        <v/>
      </c>
      <c r="W238" t="str" cm="1">
        <f t="array" ref="W238">IFERROR(_xlfn._xlws.FILTER(game_rosters!AC:AC,(game_rosters!J:J=events!X238)*(K238&lt;&gt;"")),"")</f>
        <v/>
      </c>
      <c r="X238" cm="1">
        <f t="array" ref="X238">IF($I238&lt;&gt;"",$I238,INDEX($I$1:$I238,ROW()-COUNTIFS($T$1:$T238,"="&amp;$T238,$S$1:$S238,"&lt;"&amp;$S238)))</f>
        <v>73</v>
      </c>
      <c r="Y238" t="str" cm="1">
        <f t="array" ref="Y238">IFERROR(IF(_xlfn._xlws.FILTER(game_rosters!$J:$J,(game_rosters!$G:$G=events!$AM238)*(game_rosters!$J:$J=events!$X238))&gt;0,1,""),"")</f>
        <v/>
      </c>
      <c r="Z238" s="6">
        <f t="shared" si="352"/>
        <v>1</v>
      </c>
      <c r="AA238">
        <f t="shared" si="353"/>
        <v>1122</v>
      </c>
      <c r="AB238" t="str">
        <f t="shared" si="354"/>
        <v/>
      </c>
      <c r="AC238">
        <f t="shared" si="355"/>
        <v>1122</v>
      </c>
      <c r="AD238" t="str">
        <f t="shared" si="356"/>
        <v>14</v>
      </c>
      <c r="AE238" t="str">
        <f t="shared" si="357"/>
        <v>34</v>
      </c>
      <c r="AF238" t="str">
        <f t="shared" si="358"/>
        <v>14</v>
      </c>
      <c r="AG238" t="str">
        <f t="shared" si="359"/>
        <v>33</v>
      </c>
      <c r="AH238" t="str">
        <f t="shared" si="402"/>
        <v>o</v>
      </c>
      <c r="AI238" t="str">
        <f t="shared" ref="AI238:AJ238" si="442">IF($J238&lt;&gt;"",$J238,IF($AC238=$AC237,AI237,""))</f>
        <v>o</v>
      </c>
      <c r="AJ238" t="str">
        <f t="shared" si="442"/>
        <v>o</v>
      </c>
      <c r="AK238" t="str">
        <f t="shared" si="404"/>
        <v/>
      </c>
      <c r="AL238" t="str">
        <f t="shared" si="420"/>
        <v/>
      </c>
      <c r="AM238" t="str">
        <f t="shared" si="360"/>
        <v>Away</v>
      </c>
      <c r="AN238" t="str">
        <f t="shared" si="406"/>
        <v>a</v>
      </c>
      <c r="AO238" t="str">
        <f t="shared" si="407"/>
        <v>d</v>
      </c>
      <c r="AP238" t="str">
        <f t="shared" si="408"/>
        <v>o</v>
      </c>
      <c r="AQ238" t="str">
        <f>IF(AM238&lt;&gt;"",AM238,IF($AC238=#REF!,#REF!,""))</f>
        <v>Away</v>
      </c>
      <c r="AR238" t="str">
        <f t="shared" si="409"/>
        <v>a</v>
      </c>
      <c r="AS238" t="str">
        <f t="shared" si="410"/>
        <v>Defensive</v>
      </c>
      <c r="AT238" t="str">
        <f t="shared" si="361"/>
        <v/>
      </c>
      <c r="AU238" t="str">
        <f t="shared" si="362"/>
        <v/>
      </c>
      <c r="AV238" t="str" cm="1">
        <f t="array" ref="AV238">IFERROR(IF(O238&lt;&gt;"",O238,IF(OR($S238="",$T238=""),"",IF(O238&lt;&gt;"",O238,IF($T238&lt;&gt;"",_xlfn._xlws.FILTER(O:O,($BT:$BT=$BT238)*($I:$I=$I238)*($T:$T=$T238)*($S:$S=_xlfn.MINIFS($S:$S,$T:$T,"="&amp;$T238)),"")))))&amp;"",IF(O238="","",""))&amp;""</f>
        <v>ManOnMan</v>
      </c>
      <c r="AW238" t="str" cm="1">
        <f t="array" ref="AW238">IFERROR(IF(P238&lt;&gt;"",P238,IF(OR($S238="",$T238=""),"",IF($T238&lt;&gt;"",_xlfn._xlws.FILTER(P:P,($BT:$BT=$BT238)*($I:$I=$I238)*($T:$T=$T238)*($S:$S=_xlfn.MINIFS($S:$S,$T:$T,"="&amp;$T238)),""))))&amp;"",IF(P238="","",""))&amp;""</f>
        <v/>
      </c>
      <c r="AX238" t="str" cm="1">
        <f t="array" ref="AX238">IFERROR(IF(Q238&lt;&gt;"",Q238,IF(OR($S238="",$T238=""),"",IF($T238&lt;&gt;"",_xlfn._xlws.FILTER(Q:Q,($BT:$BT=$BT238)*($I:$I=$I238)*($T:$T=$T238)*($S:$S=_xlfn.MINIFS($S:$S,$T:$T,"="&amp;$T238)),""))))&amp;"",IF(Q238="","",""))&amp;""</f>
        <v/>
      </c>
      <c r="AY238" t="str" cm="1">
        <f t="array" ref="AY238">IFERROR(IF(R238&lt;&gt;"",R238,IF(OR($S238="",$T238=""),"",IF($T238&lt;&gt;"",_xlfn._xlws.FILTER(R:R,($BT:$BT=$BT238)*($I:$I=$I238)*($T:$T=$T238)*($S:$S=_xlfn.MINIFS($S:$S,$T:$T,"="&amp;$T238)),""))))&amp;"",IF(R238="","",""))&amp;""</f>
        <v>1</v>
      </c>
      <c r="AZ238" s="6">
        <f t="shared" si="363"/>
        <v>22</v>
      </c>
      <c r="BA238">
        <f t="shared" ref="BA238:BC238" si="443">BA237</f>
        <v>18991</v>
      </c>
      <c r="BB238" t="str">
        <f t="shared" si="443"/>
        <v>Triple J</v>
      </c>
      <c r="BC238" t="str">
        <f t="shared" si="443"/>
        <v>Velodrome</v>
      </c>
      <c r="BD238" t="str">
        <f t="shared" si="365"/>
        <v>Possession</v>
      </c>
      <c r="BE238" t="str">
        <f t="shared" si="366"/>
        <v/>
      </c>
      <c r="BF238" t="str">
        <f t="shared" si="367"/>
        <v/>
      </c>
      <c r="BG238" t="str">
        <f t="shared" si="22"/>
        <v/>
      </c>
      <c r="BH238" cm="1">
        <f t="array" aca="1" ref="BH238" ca="1">IFERROR(_xlfn._xlws.FILTER(shifts!A:A,(shifts!B:B=events!Z238)*(shifts!AG:AG&gt;=events!BJ238)*(shifts!AH:AH&lt;=events!BK238)),BH237)</f>
        <v>8</v>
      </c>
      <c r="BI238" s="15">
        <f t="shared" si="368"/>
        <v>1</v>
      </c>
      <c r="BJ238">
        <f t="shared" si="369"/>
        <v>874</v>
      </c>
      <c r="BK238">
        <f t="shared" si="370"/>
        <v>873</v>
      </c>
      <c r="BL238" s="15">
        <f>SUMIFS(BI$2:BI238,K$2:K238,"=Intermission")+SUMIFS(BI$2:BI238,K$2:K238,"=Timeout")</f>
        <v>0</v>
      </c>
      <c r="BM238">
        <f t="shared" si="371"/>
        <v>0</v>
      </c>
      <c r="BN238" s="19">
        <f t="shared" si="372"/>
        <v>206</v>
      </c>
      <c r="BO238">
        <f t="shared" si="373"/>
        <v>201</v>
      </c>
      <c r="BP238" s="17">
        <f t="shared" si="374"/>
        <v>207</v>
      </c>
      <c r="BQ238" t="str">
        <f t="shared" si="375"/>
        <v>opp_team_player_1</v>
      </c>
      <c r="BR238">
        <f>COUNTIFS(S$3:S238,"="&amp;S238,AH$3:AH238,"="&amp;AH238)</f>
        <v>1</v>
      </c>
      <c r="BS238" t="str">
        <f>IFERROR(VLOOKUP(BA238&amp;BT238&amp;X238,game_rosters!U:W,3,FALSE),"")</f>
        <v>P100021</v>
      </c>
      <c r="BT238" t="str">
        <f t="shared" si="376"/>
        <v>Triple J</v>
      </c>
    </row>
    <row r="239" spans="1:72" x14ac:dyDescent="0.2">
      <c r="A239">
        <f t="shared" si="351"/>
        <v>1</v>
      </c>
      <c r="E239" s="4"/>
      <c r="F239" s="45" t="s">
        <v>1048</v>
      </c>
      <c r="G239" s="4"/>
      <c r="H239" s="47"/>
      <c r="I239" s="26">
        <v>91</v>
      </c>
      <c r="J239" s="26" t="s">
        <v>368</v>
      </c>
      <c r="K239" t="s">
        <v>7</v>
      </c>
      <c r="L239" t="s">
        <v>172</v>
      </c>
      <c r="M239" t="s">
        <v>385</v>
      </c>
      <c r="N239" t="str">
        <f t="shared" si="395"/>
        <v>s</v>
      </c>
      <c r="O239" t="s">
        <v>538</v>
      </c>
      <c r="Q239" t="str">
        <f t="shared" si="389"/>
        <v>s</v>
      </c>
      <c r="R239" s="26">
        <v>1</v>
      </c>
      <c r="S239">
        <f>IF(A239=1,MAX($S$2:$S238)+1,IF(OR($I239&lt;&gt;"",A239="x"),$S238,""))</f>
        <v>123</v>
      </c>
      <c r="T239" t="str">
        <f>IF(D239=1,MAX($T$2:$T238)+1,IF(S239=S238,$T238,IF(D239="x",T238,IF(D238="x","",""))))</f>
        <v/>
      </c>
      <c r="U239" t="str">
        <f>IF(B239=1,MAX($U$2:$U238)+1,IF(AND($T239&lt;&gt;"",$T239=$T238),$U238,IF(B239="x",U238,"")))</f>
        <v/>
      </c>
      <c r="V239" t="str">
        <f>IF(C239=1,MAX($V$2:$V238)+1,IF(AND($T239&lt;&gt;"",$T239=$T238),$U238,IF(C239="x",V238,"")))</f>
        <v/>
      </c>
      <c r="W239" t="str" cm="1">
        <f t="array" ref="W239">IFERROR(_xlfn._xlws.FILTER(game_rosters!AC:AC,(game_rosters!J:J=events!X239)*(K239&lt;&gt;"")),"")</f>
        <v>a</v>
      </c>
      <c r="X239" cm="1">
        <f t="array" ref="X239">IF($I239&lt;&gt;"",$I239,INDEX($I$1:$I239,ROW()-COUNTIFS($T$1:$T239,"="&amp;$T239,$S$1:$S239,"&lt;"&amp;$S239)))</f>
        <v>91</v>
      </c>
      <c r="Y239" cm="1">
        <f t="array" ref="Y239">IFERROR(IF(_xlfn._xlws.FILTER(game_rosters!$J:$J,(game_rosters!$G:$G=events!$AM239)*(game_rosters!$J:$J=events!$X239))&gt;0,1,""),"")</f>
        <v>1</v>
      </c>
      <c r="Z239" s="6">
        <f t="shared" si="352"/>
        <v>1</v>
      </c>
      <c r="AA239">
        <f t="shared" si="353"/>
        <v>1123</v>
      </c>
      <c r="AB239" t="str">
        <f t="shared" si="354"/>
        <v/>
      </c>
      <c r="AC239">
        <f t="shared" si="355"/>
        <v>1123</v>
      </c>
      <c r="AD239" t="str">
        <f t="shared" si="356"/>
        <v>14</v>
      </c>
      <c r="AE239" t="str">
        <f t="shared" si="357"/>
        <v>32</v>
      </c>
      <c r="AF239" t="str">
        <f t="shared" si="358"/>
        <v/>
      </c>
      <c r="AG239" t="str">
        <f t="shared" si="359"/>
        <v/>
      </c>
      <c r="AH239" t="str">
        <f t="shared" si="402"/>
        <v>e</v>
      </c>
      <c r="AI239" t="str">
        <f t="shared" ref="AI239:AJ239" si="444">IF($J239&lt;&gt;"",$J239,IF($AC239=$AC238,AI238,""))</f>
        <v>o</v>
      </c>
      <c r="AJ239" t="str">
        <f t="shared" si="444"/>
        <v>o</v>
      </c>
      <c r="AK239" t="str">
        <f t="shared" si="404"/>
        <v>d</v>
      </c>
      <c r="AL239" t="str">
        <f t="shared" si="420"/>
        <v>o</v>
      </c>
      <c r="AM239" t="str">
        <f t="shared" si="360"/>
        <v>Away</v>
      </c>
      <c r="AN239" t="str">
        <f t="shared" si="406"/>
        <v>a</v>
      </c>
      <c r="AO239" t="str">
        <f t="shared" si="407"/>
        <v>d</v>
      </c>
      <c r="AP239" t="str">
        <f t="shared" si="408"/>
        <v>o</v>
      </c>
      <c r="AQ239" t="str">
        <f>IF(AM239&lt;&gt;"",AM239,IF($AC239=#REF!,#REF!,""))</f>
        <v>Away</v>
      </c>
      <c r="AR239" t="str">
        <f t="shared" si="409"/>
        <v>a</v>
      </c>
      <c r="AS239" t="str">
        <f t="shared" si="410"/>
        <v>Offensive</v>
      </c>
      <c r="AT239" t="str">
        <f t="shared" si="361"/>
        <v/>
      </c>
      <c r="AU239" t="str">
        <f t="shared" si="362"/>
        <v/>
      </c>
      <c r="AV239" t="str" cm="1">
        <f t="array" ref="AV239">IFERROR(IF(O239&lt;&gt;"",O239,IF(OR($S239="",$T239=""),"",IF(O239&lt;&gt;"",O239,IF($T239&lt;&gt;"",_xlfn._xlws.FILTER(O:O,($BT:$BT=$BT239)*($I:$I=$I239)*($T:$T=$T239)*($S:$S=_xlfn.MINIFS($S:$S,$T:$T,"="&amp;$T239)),"")))))&amp;"",IF(O239="","",""))&amp;""</f>
        <v>AssistPrimary</v>
      </c>
      <c r="AW239" t="str" cm="1">
        <f t="array" ref="AW239">IFERROR(IF(P239&lt;&gt;"",P239,IF(OR($S239="",$T239=""),"",IF($T239&lt;&gt;"",_xlfn._xlws.FILTER(P:P,($BT:$BT=$BT239)*($I:$I=$I239)*($T:$T=$T239)*($S:$S=_xlfn.MINIFS($S:$S,$T:$T,"="&amp;$T239)),""))))&amp;"",IF(P239="","",""))&amp;""</f>
        <v/>
      </c>
      <c r="AX239" t="str" cm="1">
        <f t="array" ref="AX239">IFERROR(IF(Q239&lt;&gt;"",Q239,IF(OR($S239="",$T239=""),"",IF($T239&lt;&gt;"",_xlfn._xlws.FILTER(Q:Q,($BT:$BT=$BT239)*($I:$I=$I239)*($T:$T=$T239)*($S:$S=_xlfn.MINIFS($S:$S,$T:$T,"="&amp;$T239)),""))))&amp;"",IF(Q239="","",""))&amp;""</f>
        <v>s</v>
      </c>
      <c r="AY239" t="str" cm="1">
        <f t="array" ref="AY239">IFERROR(IF(R239&lt;&gt;"",R239,IF(OR($S239="",$T239=""),"",IF($T239&lt;&gt;"",_xlfn._xlws.FILTER(R:R,($BT:$BT=$BT239)*($I:$I=$I239)*($T:$T=$T239)*($S:$S=_xlfn.MINIFS($S:$S,$T:$T,"="&amp;$T239)),""))))&amp;"",IF(R239="","",""))&amp;""</f>
        <v>1</v>
      </c>
      <c r="AZ239" s="6">
        <f t="shared" si="363"/>
        <v>22</v>
      </c>
      <c r="BA239">
        <f t="shared" ref="BA239:BC239" si="445">BA238</f>
        <v>18991</v>
      </c>
      <c r="BB239" t="str">
        <f t="shared" si="445"/>
        <v>Triple J</v>
      </c>
      <c r="BC239" t="str">
        <f t="shared" si="445"/>
        <v>Velodrome</v>
      </c>
      <c r="BD239" t="str">
        <f t="shared" si="365"/>
        <v>Pass</v>
      </c>
      <c r="BE239" t="str">
        <f t="shared" si="366"/>
        <v>Pass_Completed</v>
      </c>
      <c r="BF239" t="str">
        <f t="shared" si="367"/>
        <v>Pass-Drop</v>
      </c>
      <c r="BG239" t="str">
        <f t="shared" si="22"/>
        <v>s</v>
      </c>
      <c r="BH239" cm="1">
        <f t="array" aca="1" ref="BH239" ca="1">IFERROR(_xlfn._xlws.FILTER(shifts!A:A,(shifts!B:B=events!Z239)*(shifts!AG:AG&gt;=events!BJ239)*(shifts!AH:AH&lt;=events!BK239)),BH238)</f>
        <v>8</v>
      </c>
      <c r="BI239" s="15">
        <f t="shared" si="368"/>
        <v>0</v>
      </c>
      <c r="BJ239">
        <f t="shared" si="369"/>
        <v>872</v>
      </c>
      <c r="BK239">
        <f t="shared" si="370"/>
        <v>872</v>
      </c>
      <c r="BL239" s="15">
        <f>SUMIFS(BI$2:BI239,K$2:K239,"=Intermission")+SUMIFS(BI$2:BI239,K$2:K239,"=Timeout")</f>
        <v>0</v>
      </c>
      <c r="BM239">
        <f t="shared" si="371"/>
        <v>0</v>
      </c>
      <c r="BN239" s="19">
        <f t="shared" si="372"/>
        <v>208</v>
      </c>
      <c r="BO239">
        <f t="shared" si="373"/>
        <v>203</v>
      </c>
      <c r="BP239" s="17">
        <f t="shared" si="374"/>
        <v>208</v>
      </c>
      <c r="BQ239" t="str">
        <f t="shared" si="375"/>
        <v>event_team_player_1</v>
      </c>
      <c r="BR239">
        <f>COUNTIFS(S$3:S239,"="&amp;S239,AH$3:AH239,"="&amp;AH239)</f>
        <v>1</v>
      </c>
      <c r="BS239" t="str">
        <f>IFERROR(VLOOKUP(BA239&amp;BT239&amp;X239,game_rosters!U:W,3,FALSE),"")</f>
        <v>P100002</v>
      </c>
      <c r="BT239" t="str">
        <f t="shared" si="376"/>
        <v>Velodrome</v>
      </c>
    </row>
    <row r="240" spans="1:72" x14ac:dyDescent="0.2">
      <c r="A240" t="str">
        <f t="shared" si="351"/>
        <v/>
      </c>
      <c r="E240" s="4"/>
      <c r="F240" s="45"/>
      <c r="G240" s="4"/>
      <c r="H240" s="47"/>
      <c r="I240" s="26">
        <v>70</v>
      </c>
      <c r="J240" s="26" t="str">
        <f t="shared" si="377"/>
        <v/>
      </c>
      <c r="N240" t="str">
        <f t="shared" si="395"/>
        <v/>
      </c>
      <c r="Q240" t="str">
        <f t="shared" si="389"/>
        <v/>
      </c>
      <c r="S240">
        <f>IF(A240=1,MAX($S$2:$S239)+1,IF(OR($I240&lt;&gt;"",A240="x"),$S239,""))</f>
        <v>123</v>
      </c>
      <c r="T240" t="str">
        <f>IF(D240=1,MAX($T$2:$T239)+1,IF(S240=S239,$T239,IF(D240="x",T239,IF(D239="x","",""))))</f>
        <v/>
      </c>
      <c r="U240" t="str">
        <f>IF(B240=1,MAX($U$2:$U239)+1,IF(AND($T240&lt;&gt;"",$T240=$T239),$U239,IF(B240="x",U239,"")))</f>
        <v/>
      </c>
      <c r="V240" t="str">
        <f>IF(C240=1,MAX($V$2:$V239)+1,IF(AND($T240&lt;&gt;"",$T240=$T239),$U239,IF(C240="x",V239,"")))</f>
        <v/>
      </c>
      <c r="W240" t="str" cm="1">
        <f t="array" ref="W240">IFERROR(_xlfn._xlws.FILTER(game_rosters!AC:AC,(game_rosters!J:J=events!X240)*(K240&lt;&gt;"")),"")</f>
        <v/>
      </c>
      <c r="X240" cm="1">
        <f t="array" ref="X240">IF($I240&lt;&gt;"",$I240,INDEX($I$1:$I240,ROW()-COUNTIFS($T$1:$T240,"="&amp;$T240,$S$1:$S240,"&lt;"&amp;$S240)))</f>
        <v>70</v>
      </c>
      <c r="Y240" cm="1">
        <f t="array" ref="Y240">IFERROR(IF(_xlfn._xlws.FILTER(game_rosters!$J:$J,(game_rosters!$G:$G=events!$AM240)*(game_rosters!$J:$J=events!$X240))&gt;0,1,""),"")</f>
        <v>1</v>
      </c>
      <c r="Z240" s="6">
        <f t="shared" si="352"/>
        <v>1</v>
      </c>
      <c r="AA240">
        <f t="shared" si="353"/>
        <v>1123</v>
      </c>
      <c r="AB240" t="str">
        <f t="shared" si="354"/>
        <v/>
      </c>
      <c r="AC240">
        <f t="shared" si="355"/>
        <v>1123</v>
      </c>
      <c r="AD240" t="str">
        <f t="shared" si="356"/>
        <v>14</v>
      </c>
      <c r="AE240" t="str">
        <f t="shared" si="357"/>
        <v>32</v>
      </c>
      <c r="AF240" t="str">
        <f t="shared" si="358"/>
        <v/>
      </c>
      <c r="AG240" t="str">
        <f t="shared" si="359"/>
        <v/>
      </c>
      <c r="AH240" t="str">
        <f t="shared" si="402"/>
        <v>e</v>
      </c>
      <c r="AI240" t="str">
        <f t="shared" ref="AI240:AJ240" si="446">IF($J240&lt;&gt;"",$J240,IF($AC240=$AC239,AI239,""))</f>
        <v>o</v>
      </c>
      <c r="AJ240" t="str">
        <f t="shared" si="446"/>
        <v>o</v>
      </c>
      <c r="AK240" t="str">
        <f t="shared" si="404"/>
        <v/>
      </c>
      <c r="AL240" t="str">
        <f t="shared" si="420"/>
        <v/>
      </c>
      <c r="AM240" t="str">
        <f t="shared" si="360"/>
        <v>Away</v>
      </c>
      <c r="AN240" t="str">
        <f t="shared" si="406"/>
        <v>a</v>
      </c>
      <c r="AO240" t="str">
        <f t="shared" si="407"/>
        <v>d</v>
      </c>
      <c r="AP240" t="str">
        <f t="shared" si="408"/>
        <v>o</v>
      </c>
      <c r="AQ240" t="str">
        <f>IF(AM240&lt;&gt;"",AM240,IF($AC240=#REF!,#REF!,""))</f>
        <v>Away</v>
      </c>
      <c r="AR240" t="str">
        <f t="shared" si="409"/>
        <v>a</v>
      </c>
      <c r="AS240" t="str">
        <f t="shared" si="410"/>
        <v>Offensive</v>
      </c>
      <c r="AT240" t="str">
        <f t="shared" si="361"/>
        <v/>
      </c>
      <c r="AU240" t="str">
        <f t="shared" si="362"/>
        <v/>
      </c>
      <c r="AV240" t="str" cm="1">
        <f t="array" ref="AV240">IFERROR(IF(O240&lt;&gt;"",O240,IF(OR($S240="",$T240=""),"",IF(O240&lt;&gt;"",O240,IF($T240&lt;&gt;"",_xlfn._xlws.FILTER(O:O,($BT:$BT=$BT240)*($I:$I=$I240)*($T:$T=$T240)*($S:$S=_xlfn.MINIFS($S:$S,$T:$T,"="&amp;$T240)),"")))))&amp;"",IF(O240="","",""))&amp;""</f>
        <v/>
      </c>
      <c r="AW240" t="str" cm="1">
        <f t="array" ref="AW240">IFERROR(IF(P240&lt;&gt;"",P240,IF(OR($S240="",$T240=""),"",IF($T240&lt;&gt;"",_xlfn._xlws.FILTER(P:P,($BT:$BT=$BT240)*($I:$I=$I240)*($T:$T=$T240)*($S:$S=_xlfn.MINIFS($S:$S,$T:$T,"="&amp;$T240)),""))))&amp;"",IF(P240="","",""))&amp;""</f>
        <v/>
      </c>
      <c r="AX240" t="str" cm="1">
        <f t="array" ref="AX240">IFERROR(IF(Q240&lt;&gt;"",Q240,IF(OR($S240="",$T240=""),"",IF($T240&lt;&gt;"",_xlfn._xlws.FILTER(Q:Q,($BT:$BT=$BT240)*($I:$I=$I240)*($T:$T=$T240)*($S:$S=_xlfn.MINIFS($S:$S,$T:$T,"="&amp;$T240)),""))))&amp;"",IF(Q240="","",""))&amp;""</f>
        <v/>
      </c>
      <c r="AY240" t="str" cm="1">
        <f t="array" ref="AY240">IFERROR(IF(R240&lt;&gt;"",R240,IF(OR($S240="",$T240=""),"",IF($T240&lt;&gt;"",_xlfn._xlws.FILTER(R:R,($BT:$BT=$BT240)*($I:$I=$I240)*($T:$T=$T240)*($S:$S=_xlfn.MINIFS($S:$S,$T:$T,"="&amp;$T240)),""))))&amp;"",IF(R240="","",""))&amp;""</f>
        <v/>
      </c>
      <c r="AZ240" s="6">
        <f t="shared" si="363"/>
        <v>22</v>
      </c>
      <c r="BA240">
        <f t="shared" ref="BA240:BC240" si="447">BA239</f>
        <v>18991</v>
      </c>
      <c r="BB240" t="str">
        <f t="shared" si="447"/>
        <v>Triple J</v>
      </c>
      <c r="BC240" t="str">
        <f t="shared" si="447"/>
        <v>Velodrome</v>
      </c>
      <c r="BD240" t="str">
        <f t="shared" si="365"/>
        <v>Pass</v>
      </c>
      <c r="BE240" t="str">
        <f t="shared" si="366"/>
        <v>Pass_Completed</v>
      </c>
      <c r="BF240" t="str">
        <f t="shared" si="367"/>
        <v>Pass-Drop</v>
      </c>
      <c r="BG240" t="str">
        <f t="shared" si="22"/>
        <v>s</v>
      </c>
      <c r="BH240" cm="1">
        <f t="array" aca="1" ref="BH240" ca="1">IFERROR(_xlfn._xlws.FILTER(shifts!A:A,(shifts!B:B=events!Z240)*(shifts!AG:AG&gt;=events!BJ240)*(shifts!AH:AH&lt;=events!BK240)),BH239)</f>
        <v>8</v>
      </c>
      <c r="BI240" s="15">
        <f t="shared" si="368"/>
        <v>0</v>
      </c>
      <c r="BJ240">
        <f t="shared" si="369"/>
        <v>872</v>
      </c>
      <c r="BK240">
        <f t="shared" si="370"/>
        <v>872</v>
      </c>
      <c r="BL240" s="15">
        <f>SUMIFS(BI$2:BI240,K$2:K240,"=Intermission")+SUMIFS(BI$2:BI240,K$2:K240,"=Timeout")</f>
        <v>0</v>
      </c>
      <c r="BM240">
        <f t="shared" si="371"/>
        <v>0</v>
      </c>
      <c r="BN240" s="19">
        <f t="shared" si="372"/>
        <v>208</v>
      </c>
      <c r="BO240">
        <f t="shared" si="373"/>
        <v>203</v>
      </c>
      <c r="BP240" s="17">
        <f t="shared" si="374"/>
        <v>208</v>
      </c>
      <c r="BQ240" t="str">
        <f t="shared" si="375"/>
        <v>event_team_player_2</v>
      </c>
      <c r="BR240">
        <f>COUNTIFS(S$3:S240,"="&amp;S240,AH$3:AH240,"="&amp;AH240)</f>
        <v>2</v>
      </c>
      <c r="BS240" t="str">
        <f>IFERROR(VLOOKUP(BA240&amp;BT240&amp;X240,game_rosters!U:W,3,FALSE),"")</f>
        <v>P100001</v>
      </c>
      <c r="BT240" t="str">
        <f t="shared" si="376"/>
        <v>Velodrome</v>
      </c>
    </row>
    <row r="241" spans="1:72" x14ac:dyDescent="0.2">
      <c r="A241" t="str">
        <f t="shared" si="351"/>
        <v/>
      </c>
      <c r="E241" s="4"/>
      <c r="F241" s="45"/>
      <c r="G241" s="4"/>
      <c r="H241" s="47"/>
      <c r="I241" s="26">
        <v>73</v>
      </c>
      <c r="J241" s="26" t="str">
        <f t="shared" si="377"/>
        <v/>
      </c>
      <c r="N241" t="str">
        <f t="shared" si="395"/>
        <v/>
      </c>
      <c r="O241" t="s">
        <v>563</v>
      </c>
      <c r="Q241" t="str">
        <f t="shared" si="389"/>
        <v/>
      </c>
      <c r="R241" s="26">
        <v>1</v>
      </c>
      <c r="S241">
        <f>IF(A241=1,MAX($S$2:$S240)+1,IF(OR($I241&lt;&gt;"",A241="x"),$S240,""))</f>
        <v>123</v>
      </c>
      <c r="T241" t="str">
        <f>IF(D241=1,MAX($T$2:$T240)+1,IF(S241=S240,$T240,IF(D241="x",T240,IF(D240="x","",""))))</f>
        <v/>
      </c>
      <c r="U241" t="str">
        <f>IF(B241=1,MAX($U$2:$U240)+1,IF(AND($T241&lt;&gt;"",$T241=$T240),$U240,IF(B241="x",U240,"")))</f>
        <v/>
      </c>
      <c r="V241" t="str">
        <f>IF(C241=1,MAX($V$2:$V240)+1,IF(AND($T241&lt;&gt;"",$T241=$T240),$U240,IF(C241="x",V240,"")))</f>
        <v/>
      </c>
      <c r="W241" t="str" cm="1">
        <f t="array" ref="W241">IFERROR(_xlfn._xlws.FILTER(game_rosters!AC:AC,(game_rosters!J:J=events!X241)*(K241&lt;&gt;"")),"")</f>
        <v/>
      </c>
      <c r="X241" cm="1">
        <f t="array" ref="X241">IF($I241&lt;&gt;"",$I241,INDEX($I$1:$I241,ROW()-COUNTIFS($T$1:$T241,"="&amp;$T241,$S$1:$S241,"&lt;"&amp;$S241)))</f>
        <v>73</v>
      </c>
      <c r="Y241" t="str" cm="1">
        <f t="array" ref="Y241">IFERROR(IF(_xlfn._xlws.FILTER(game_rosters!$J:$J,(game_rosters!$G:$G=events!$AM241)*(game_rosters!$J:$J=events!$X241))&gt;0,1,""),"")</f>
        <v/>
      </c>
      <c r="Z241" s="6">
        <f t="shared" si="352"/>
        <v>1</v>
      </c>
      <c r="AA241">
        <f t="shared" si="353"/>
        <v>1123</v>
      </c>
      <c r="AB241" t="str">
        <f t="shared" si="354"/>
        <v/>
      </c>
      <c r="AC241">
        <f t="shared" si="355"/>
        <v>1123</v>
      </c>
      <c r="AD241" t="str">
        <f t="shared" si="356"/>
        <v>14</v>
      </c>
      <c r="AE241" t="str">
        <f t="shared" si="357"/>
        <v>32</v>
      </c>
      <c r="AF241" t="str">
        <f t="shared" si="358"/>
        <v/>
      </c>
      <c r="AG241" t="str">
        <f t="shared" si="359"/>
        <v/>
      </c>
      <c r="AH241" t="str">
        <f t="shared" si="402"/>
        <v>o</v>
      </c>
      <c r="AI241" t="str">
        <f t="shared" ref="AI241:AJ241" si="448">IF($J241&lt;&gt;"",$J241,IF($AC241=$AC240,AI240,""))</f>
        <v>o</v>
      </c>
      <c r="AJ241" t="str">
        <f t="shared" si="448"/>
        <v>o</v>
      </c>
      <c r="AK241" t="str">
        <f t="shared" si="404"/>
        <v/>
      </c>
      <c r="AL241" t="str">
        <f t="shared" si="420"/>
        <v/>
      </c>
      <c r="AM241" t="str">
        <f t="shared" si="360"/>
        <v>Away</v>
      </c>
      <c r="AN241" t="str">
        <f t="shared" si="406"/>
        <v>a</v>
      </c>
      <c r="AO241" t="str">
        <f t="shared" si="407"/>
        <v>d</v>
      </c>
      <c r="AP241" t="str">
        <f t="shared" si="408"/>
        <v>o</v>
      </c>
      <c r="AQ241" t="str">
        <f>IF(AM241&lt;&gt;"",AM241,IF($AC241=#REF!,#REF!,""))</f>
        <v>Away</v>
      </c>
      <c r="AR241" t="str">
        <f t="shared" si="409"/>
        <v>a</v>
      </c>
      <c r="AS241" t="str">
        <f t="shared" si="410"/>
        <v>Defensive</v>
      </c>
      <c r="AT241" t="str">
        <f t="shared" si="361"/>
        <v/>
      </c>
      <c r="AU241" t="str">
        <f t="shared" si="362"/>
        <v/>
      </c>
      <c r="AV241" t="str" cm="1">
        <f t="array" ref="AV241">IFERROR(IF(O241&lt;&gt;"",O241,IF(OR($S241="",$T241=""),"",IF(O241&lt;&gt;"",O241,IF($T241&lt;&gt;"",_xlfn._xlws.FILTER(O:O,($BT:$BT=$BT241)*($I:$I=$I241)*($T:$T=$T241)*($S:$S=_xlfn.MINIFS($S:$S,$T:$T,"="&amp;$T241)),"")))))&amp;"",IF(O241="","",""))&amp;""</f>
        <v>ManOnMan</v>
      </c>
      <c r="AW241" t="str" cm="1">
        <f t="array" ref="AW241">IFERROR(IF(P241&lt;&gt;"",P241,IF(OR($S241="",$T241=""),"",IF($T241&lt;&gt;"",_xlfn._xlws.FILTER(P:P,($BT:$BT=$BT241)*($I:$I=$I241)*($T:$T=$T241)*($S:$S=_xlfn.MINIFS($S:$S,$T:$T,"="&amp;$T241)),""))))&amp;"",IF(P241="","",""))&amp;""</f>
        <v/>
      </c>
      <c r="AX241" t="str" cm="1">
        <f t="array" ref="AX241">IFERROR(IF(Q241&lt;&gt;"",Q241,IF(OR($S241="",$T241=""),"",IF($T241&lt;&gt;"",_xlfn._xlws.FILTER(Q:Q,($BT:$BT=$BT241)*($I:$I=$I241)*($T:$T=$T241)*($S:$S=_xlfn.MINIFS($S:$S,$T:$T,"="&amp;$T241)),""))))&amp;"",IF(Q241="","",""))&amp;""</f>
        <v/>
      </c>
      <c r="AY241" t="str" cm="1">
        <f t="array" ref="AY241">IFERROR(IF(R241&lt;&gt;"",R241,IF(OR($S241="",$T241=""),"",IF($T241&lt;&gt;"",_xlfn._xlws.FILTER(R:R,($BT:$BT=$BT241)*($I:$I=$I241)*($T:$T=$T241)*($S:$S=_xlfn.MINIFS($S:$S,$T:$T,"="&amp;$T241)),""))))&amp;"",IF(R241="","",""))&amp;""</f>
        <v>1</v>
      </c>
      <c r="AZ241" s="6">
        <f t="shared" si="363"/>
        <v>22</v>
      </c>
      <c r="BA241">
        <f t="shared" ref="BA241:BC241" si="449">BA240</f>
        <v>18991</v>
      </c>
      <c r="BB241" t="str">
        <f t="shared" si="449"/>
        <v>Triple J</v>
      </c>
      <c r="BC241" t="str">
        <f t="shared" si="449"/>
        <v>Velodrome</v>
      </c>
      <c r="BD241" t="str">
        <f t="shared" si="365"/>
        <v>Pass</v>
      </c>
      <c r="BE241" t="str">
        <f t="shared" si="366"/>
        <v>Pass_Completed</v>
      </c>
      <c r="BF241" t="str">
        <f t="shared" si="367"/>
        <v>Pass-Drop</v>
      </c>
      <c r="BG241" t="str">
        <f t="shared" si="22"/>
        <v>s</v>
      </c>
      <c r="BH241" cm="1">
        <f t="array" aca="1" ref="BH241" ca="1">IFERROR(_xlfn._xlws.FILTER(shifts!A:A,(shifts!B:B=events!Z241)*(shifts!AG:AG&gt;=events!BJ241)*(shifts!AH:AH&lt;=events!BK241)),BH240)</f>
        <v>8</v>
      </c>
      <c r="BI241" s="15">
        <f t="shared" si="368"/>
        <v>0</v>
      </c>
      <c r="BJ241">
        <f t="shared" si="369"/>
        <v>872</v>
      </c>
      <c r="BK241">
        <f t="shared" si="370"/>
        <v>872</v>
      </c>
      <c r="BL241" s="15">
        <f>SUMIFS(BI$2:BI241,K$2:K241,"=Intermission")+SUMIFS(BI$2:BI241,K$2:K241,"=Timeout")</f>
        <v>0</v>
      </c>
      <c r="BM241">
        <f t="shared" si="371"/>
        <v>0</v>
      </c>
      <c r="BN241" s="19">
        <f t="shared" si="372"/>
        <v>208</v>
      </c>
      <c r="BO241">
        <f t="shared" si="373"/>
        <v>203</v>
      </c>
      <c r="BP241" s="17">
        <f t="shared" si="374"/>
        <v>208</v>
      </c>
      <c r="BQ241" t="str">
        <f t="shared" si="375"/>
        <v>opp_team_player_1</v>
      </c>
      <c r="BR241">
        <f>COUNTIFS(S$3:S241,"="&amp;S241,AH$3:AH241,"="&amp;AH241)</f>
        <v>1</v>
      </c>
      <c r="BS241" t="str">
        <f>IFERROR(VLOOKUP(BA241&amp;BT241&amp;X241,game_rosters!U:W,3,FALSE),"")</f>
        <v>P100021</v>
      </c>
      <c r="BT241" t="str">
        <f t="shared" si="376"/>
        <v>Triple J</v>
      </c>
    </row>
    <row r="242" spans="1:72" x14ac:dyDescent="0.2">
      <c r="A242">
        <f t="shared" si="351"/>
        <v>1</v>
      </c>
      <c r="E242" s="4"/>
      <c r="F242" s="45" t="s">
        <v>738</v>
      </c>
      <c r="G242" s="4"/>
      <c r="H242" s="47" t="s">
        <v>1063</v>
      </c>
      <c r="I242" s="26">
        <v>70</v>
      </c>
      <c r="J242" s="26" t="s">
        <v>368</v>
      </c>
      <c r="K242" t="s">
        <v>13</v>
      </c>
      <c r="N242" t="str">
        <f t="shared" si="395"/>
        <v/>
      </c>
      <c r="Q242" t="str">
        <f t="shared" si="389"/>
        <v/>
      </c>
      <c r="R242" s="26">
        <v>1</v>
      </c>
      <c r="S242">
        <f>IF(A242=1,MAX($S$2:$S241)+1,IF(OR($I242&lt;&gt;"",A242="x"),$S241,""))</f>
        <v>124</v>
      </c>
      <c r="T242" t="str">
        <f>IF(D242=1,MAX($T$2:$T241)+1,IF(S242=S241,$T241,IF(D242="x",T241,IF(D241="x","",""))))</f>
        <v/>
      </c>
      <c r="U242" t="str">
        <f>IF(B242=1,MAX($U$2:$U241)+1,IF(AND($T242&lt;&gt;"",$T242=$T241),$U241,IF(B242="x",U241,"")))</f>
        <v/>
      </c>
      <c r="V242" t="str">
        <f>IF(C242=1,MAX($V$2:$V241)+1,IF(AND($T242&lt;&gt;"",$T242=$T241),$U241,IF(C242="x",V241,"")))</f>
        <v/>
      </c>
      <c r="W242" t="str" cm="1">
        <f t="array" ref="W242">IFERROR(_xlfn._xlws.FILTER(game_rosters!AC:AC,(game_rosters!J:J=events!X242)*(K242&lt;&gt;"")),"")</f>
        <v>a</v>
      </c>
      <c r="X242" cm="1">
        <f t="array" ref="X242">IF($I242&lt;&gt;"",$I242,INDEX($I$1:$I242,ROW()-COUNTIFS($T$1:$T242,"="&amp;$T242,$S$1:$S242,"&lt;"&amp;$S242)))</f>
        <v>70</v>
      </c>
      <c r="Y242" cm="1">
        <f t="array" ref="Y242">IFERROR(IF(_xlfn._xlws.FILTER(game_rosters!$J:$J,(game_rosters!$G:$G=events!$AM242)*(game_rosters!$J:$J=events!$X242))&gt;0,1,""),"")</f>
        <v>1</v>
      </c>
      <c r="Z242" s="6">
        <f t="shared" si="352"/>
        <v>1</v>
      </c>
      <c r="AA242">
        <f t="shared" si="353"/>
        <v>1124</v>
      </c>
      <c r="AB242" t="str">
        <f t="shared" si="354"/>
        <v/>
      </c>
      <c r="AC242">
        <f t="shared" si="355"/>
        <v>1124</v>
      </c>
      <c r="AD242" t="str">
        <f t="shared" si="356"/>
        <v>14</v>
      </c>
      <c r="AE242" t="str">
        <f t="shared" si="357"/>
        <v>31</v>
      </c>
      <c r="AF242" t="str">
        <f t="shared" si="358"/>
        <v>14</v>
      </c>
      <c r="AG242" t="str">
        <f t="shared" si="359"/>
        <v>29</v>
      </c>
      <c r="AH242" t="str">
        <f t="shared" si="402"/>
        <v>e</v>
      </c>
      <c r="AI242" t="str">
        <f t="shared" ref="AI242:AJ242" si="450">IF($J242&lt;&gt;"",$J242,IF($AC242=$AC241,AI241,""))</f>
        <v>o</v>
      </c>
      <c r="AJ242" t="str">
        <f t="shared" si="450"/>
        <v>o</v>
      </c>
      <c r="AK242" t="str">
        <f t="shared" si="404"/>
        <v>d</v>
      </c>
      <c r="AL242" t="str">
        <f t="shared" si="420"/>
        <v>o</v>
      </c>
      <c r="AM242" t="str">
        <f t="shared" si="360"/>
        <v>Away</v>
      </c>
      <c r="AN242" t="str">
        <f t="shared" si="406"/>
        <v>a</v>
      </c>
      <c r="AO242" t="str">
        <f t="shared" si="407"/>
        <v>d</v>
      </c>
      <c r="AP242" t="str">
        <f t="shared" si="408"/>
        <v>o</v>
      </c>
      <c r="AQ242" t="str">
        <f>IF(AM242&lt;&gt;"",AM242,IF($AC242=#REF!,#REF!,""))</f>
        <v>Away</v>
      </c>
      <c r="AR242" t="str">
        <f t="shared" si="409"/>
        <v>a</v>
      </c>
      <c r="AS242" t="str">
        <f t="shared" si="410"/>
        <v>Offensive</v>
      </c>
      <c r="AT242" t="str">
        <f t="shared" si="361"/>
        <v/>
      </c>
      <c r="AU242" t="str">
        <f t="shared" si="362"/>
        <v/>
      </c>
      <c r="AV242" t="str" cm="1">
        <f t="array" ref="AV242">IFERROR(IF(O242&lt;&gt;"",O242,IF(OR($S242="",$T242=""),"",IF(O242&lt;&gt;"",O242,IF($T242&lt;&gt;"",_xlfn._xlws.FILTER(O:O,($BT:$BT=$BT242)*($I:$I=$I242)*($T:$T=$T242)*($S:$S=_xlfn.MINIFS($S:$S,$T:$T,"="&amp;$T242)),"")))))&amp;"",IF(O242="","",""))&amp;""</f>
        <v/>
      </c>
      <c r="AW242" t="str" cm="1">
        <f t="array" ref="AW242">IFERROR(IF(P242&lt;&gt;"",P242,IF(OR($S242="",$T242=""),"",IF($T242&lt;&gt;"",_xlfn._xlws.FILTER(P:P,($BT:$BT=$BT242)*($I:$I=$I242)*($T:$T=$T242)*($S:$S=_xlfn.MINIFS($S:$S,$T:$T,"="&amp;$T242)),""))))&amp;"",IF(P242="","",""))&amp;""</f>
        <v/>
      </c>
      <c r="AX242" t="str" cm="1">
        <f t="array" ref="AX242">IFERROR(IF(Q242&lt;&gt;"",Q242,IF(OR($S242="",$T242=""),"",IF($T242&lt;&gt;"",_xlfn._xlws.FILTER(Q:Q,($BT:$BT=$BT242)*($I:$I=$I242)*($T:$T=$T242)*($S:$S=_xlfn.MINIFS($S:$S,$T:$T,"="&amp;$T242)),""))))&amp;"",IF(Q242="","",""))&amp;""</f>
        <v/>
      </c>
      <c r="AY242" t="str" cm="1">
        <f t="array" ref="AY242">IFERROR(IF(R242&lt;&gt;"",R242,IF(OR($S242="",$T242=""),"",IF($T242&lt;&gt;"",_xlfn._xlws.FILTER(R:R,($BT:$BT=$BT242)*($I:$I=$I242)*($T:$T=$T242)*($S:$S=_xlfn.MINIFS($S:$S,$T:$T,"="&amp;$T242)),""))))&amp;"",IF(R242="","",""))&amp;""</f>
        <v>1</v>
      </c>
      <c r="AZ242" s="6">
        <f t="shared" si="363"/>
        <v>22</v>
      </c>
      <c r="BA242">
        <f t="shared" ref="BA242:BC242" si="451">BA241</f>
        <v>18991</v>
      </c>
      <c r="BB242" t="str">
        <f t="shared" si="451"/>
        <v>Triple J</v>
      </c>
      <c r="BC242" t="str">
        <f t="shared" si="451"/>
        <v>Velodrome</v>
      </c>
      <c r="BD242" t="str">
        <f t="shared" si="365"/>
        <v>Possession</v>
      </c>
      <c r="BE242" t="str">
        <f t="shared" si="366"/>
        <v/>
      </c>
      <c r="BF242" t="str">
        <f t="shared" si="367"/>
        <v/>
      </c>
      <c r="BG242" t="str">
        <f t="shared" si="22"/>
        <v/>
      </c>
      <c r="BH242" cm="1">
        <f t="array" aca="1" ref="BH242" ca="1">IFERROR(_xlfn._xlws.FILTER(shifts!A:A,(shifts!B:B=events!Z242)*(shifts!AG:AG&gt;=events!BJ242)*(shifts!AH:AH&lt;=events!BK242)),BH241)</f>
        <v>8</v>
      </c>
      <c r="BI242" s="15">
        <f t="shared" si="368"/>
        <v>2</v>
      </c>
      <c r="BJ242">
        <f t="shared" si="369"/>
        <v>871</v>
      </c>
      <c r="BK242">
        <f t="shared" si="370"/>
        <v>869</v>
      </c>
      <c r="BL242" s="15">
        <f>SUMIFS(BI$2:BI242,K$2:K242,"=Intermission")+SUMIFS(BI$2:BI242,K$2:K242,"=Timeout")</f>
        <v>0</v>
      </c>
      <c r="BM242">
        <f t="shared" si="371"/>
        <v>0</v>
      </c>
      <c r="BN242" s="19">
        <f t="shared" si="372"/>
        <v>209</v>
      </c>
      <c r="BO242">
        <f t="shared" si="373"/>
        <v>204</v>
      </c>
      <c r="BP242" s="17">
        <f t="shared" si="374"/>
        <v>211</v>
      </c>
      <c r="BQ242" t="str">
        <f t="shared" si="375"/>
        <v>event_team_player_1</v>
      </c>
      <c r="BR242">
        <f>COUNTIFS(S$3:S242,"="&amp;S242,AH$3:AH242,"="&amp;AH242)</f>
        <v>1</v>
      </c>
      <c r="BS242" t="str">
        <f>IFERROR(VLOOKUP(BA242&amp;BT242&amp;X242,game_rosters!U:W,3,FALSE),"")</f>
        <v>P100001</v>
      </c>
      <c r="BT242" t="str">
        <f t="shared" si="376"/>
        <v>Velodrome</v>
      </c>
    </row>
    <row r="243" spans="1:72" x14ac:dyDescent="0.2">
      <c r="A243" t="str">
        <f t="shared" si="351"/>
        <v/>
      </c>
      <c r="E243" s="4"/>
      <c r="F243" s="45"/>
      <c r="G243" s="4"/>
      <c r="H243" s="47"/>
      <c r="I243" s="26">
        <v>73</v>
      </c>
      <c r="J243" s="26" t="str">
        <f t="shared" si="377"/>
        <v/>
      </c>
      <c r="N243" t="str">
        <f t="shared" si="395"/>
        <v/>
      </c>
      <c r="O243" t="s">
        <v>567</v>
      </c>
      <c r="Q243" t="str">
        <f t="shared" si="389"/>
        <v/>
      </c>
      <c r="R243" s="26">
        <v>1</v>
      </c>
      <c r="S243">
        <f>IF(A243=1,MAX($S$2:$S242)+1,IF(OR($I243&lt;&gt;"",A243="x"),$S242,""))</f>
        <v>124</v>
      </c>
      <c r="T243" t="str">
        <f>IF(D243=1,MAX($T$2:$T242)+1,IF(S243=S242,$T242,IF(D243="x",T242,IF(D242="x","",""))))</f>
        <v/>
      </c>
      <c r="U243" t="str">
        <f>IF(B243=1,MAX($U$2:$U242)+1,IF(AND($T243&lt;&gt;"",$T243=$T242),$U242,IF(B243="x",U242,"")))</f>
        <v/>
      </c>
      <c r="V243" t="str">
        <f>IF(C243=1,MAX($V$2:$V242)+1,IF(AND($T243&lt;&gt;"",$T243=$T242),$U242,IF(C243="x",V242,"")))</f>
        <v/>
      </c>
      <c r="W243" t="str" cm="1">
        <f t="array" ref="W243">IFERROR(_xlfn._xlws.FILTER(game_rosters!AC:AC,(game_rosters!J:J=events!X243)*(K243&lt;&gt;"")),"")</f>
        <v/>
      </c>
      <c r="X243" cm="1">
        <f t="array" ref="X243">IF($I243&lt;&gt;"",$I243,INDEX($I$1:$I243,ROW()-COUNTIFS($T$1:$T243,"="&amp;$T243,$S$1:$S243,"&lt;"&amp;$S243)))</f>
        <v>73</v>
      </c>
      <c r="Y243" t="str" cm="1">
        <f t="array" ref="Y243">IFERROR(IF(_xlfn._xlws.FILTER(game_rosters!$J:$J,(game_rosters!$G:$G=events!$AM243)*(game_rosters!$J:$J=events!$X243))&gt;0,1,""),"")</f>
        <v/>
      </c>
      <c r="Z243" s="6">
        <f t="shared" si="352"/>
        <v>1</v>
      </c>
      <c r="AA243">
        <f t="shared" si="353"/>
        <v>1124</v>
      </c>
      <c r="AB243" t="str">
        <f t="shared" si="354"/>
        <v/>
      </c>
      <c r="AC243">
        <f t="shared" si="355"/>
        <v>1124</v>
      </c>
      <c r="AD243" t="str">
        <f t="shared" si="356"/>
        <v>14</v>
      </c>
      <c r="AE243" t="str">
        <f t="shared" si="357"/>
        <v>31</v>
      </c>
      <c r="AF243" t="str">
        <f t="shared" si="358"/>
        <v>14</v>
      </c>
      <c r="AG243" t="str">
        <f t="shared" si="359"/>
        <v>29</v>
      </c>
      <c r="AH243" t="str">
        <f t="shared" si="402"/>
        <v>o</v>
      </c>
      <c r="AI243" t="str">
        <f t="shared" ref="AI243:AJ243" si="452">IF($J243&lt;&gt;"",$J243,IF($AC243=$AC242,AI242,""))</f>
        <v>o</v>
      </c>
      <c r="AJ243" t="str">
        <f t="shared" si="452"/>
        <v>o</v>
      </c>
      <c r="AK243" t="str">
        <f t="shared" si="404"/>
        <v/>
      </c>
      <c r="AL243" t="str">
        <f t="shared" si="420"/>
        <v/>
      </c>
      <c r="AM243" t="str">
        <f t="shared" si="360"/>
        <v>Away</v>
      </c>
      <c r="AN243" t="str">
        <f t="shared" si="406"/>
        <v>a</v>
      </c>
      <c r="AO243" t="str">
        <f t="shared" si="407"/>
        <v>d</v>
      </c>
      <c r="AP243" t="str">
        <f t="shared" si="408"/>
        <v>o</v>
      </c>
      <c r="AQ243" t="str">
        <f>IF(AM243&lt;&gt;"",AM243,IF($AC243=#REF!,#REF!,""))</f>
        <v>Away</v>
      </c>
      <c r="AR243" t="str">
        <f t="shared" si="409"/>
        <v>a</v>
      </c>
      <c r="AS243" t="str">
        <f t="shared" si="410"/>
        <v>Defensive</v>
      </c>
      <c r="AT243" t="str">
        <f t="shared" si="361"/>
        <v/>
      </c>
      <c r="AU243" t="str">
        <f t="shared" si="362"/>
        <v/>
      </c>
      <c r="AV243" t="str" cm="1">
        <f t="array" ref="AV243">IFERROR(IF(O243&lt;&gt;"",O243,IF(OR($S243="",$T243=""),"",IF(O243&lt;&gt;"",O243,IF($T243&lt;&gt;"",_xlfn._xlws.FILTER(O:O,($BT:$BT=$BT243)*($I:$I=$I243)*($T:$T=$T243)*($S:$S=_xlfn.MINIFS($S:$S,$T:$T,"="&amp;$T243)),"")))))&amp;"",IF(O243="","",""))&amp;""</f>
        <v>StickCheck</v>
      </c>
      <c r="AW243" t="str" cm="1">
        <f t="array" ref="AW243">IFERROR(IF(P243&lt;&gt;"",P243,IF(OR($S243="",$T243=""),"",IF($T243&lt;&gt;"",_xlfn._xlws.FILTER(P:P,($BT:$BT=$BT243)*($I:$I=$I243)*($T:$T=$T243)*($S:$S=_xlfn.MINIFS($S:$S,$T:$T,"="&amp;$T243)),""))))&amp;"",IF(P243="","",""))&amp;""</f>
        <v/>
      </c>
      <c r="AX243" t="str" cm="1">
        <f t="array" ref="AX243">IFERROR(IF(Q243&lt;&gt;"",Q243,IF(OR($S243="",$T243=""),"",IF($T243&lt;&gt;"",_xlfn._xlws.FILTER(Q:Q,($BT:$BT=$BT243)*($I:$I=$I243)*($T:$T=$T243)*($S:$S=_xlfn.MINIFS($S:$S,$T:$T,"="&amp;$T243)),""))))&amp;"",IF(Q243="","",""))&amp;""</f>
        <v/>
      </c>
      <c r="AY243" t="str" cm="1">
        <f t="array" ref="AY243">IFERROR(IF(R243&lt;&gt;"",R243,IF(OR($S243="",$T243=""),"",IF($T243&lt;&gt;"",_xlfn._xlws.FILTER(R:R,($BT:$BT=$BT243)*($I:$I=$I243)*($T:$T=$T243)*($S:$S=_xlfn.MINIFS($S:$S,$T:$T,"="&amp;$T243)),""))))&amp;"",IF(R243="","",""))&amp;""</f>
        <v>1</v>
      </c>
      <c r="AZ243" s="6">
        <f t="shared" si="363"/>
        <v>22</v>
      </c>
      <c r="BA243">
        <f t="shared" ref="BA243:BC243" si="453">BA242</f>
        <v>18991</v>
      </c>
      <c r="BB243" t="str">
        <f t="shared" si="453"/>
        <v>Triple J</v>
      </c>
      <c r="BC243" t="str">
        <f t="shared" si="453"/>
        <v>Velodrome</v>
      </c>
      <c r="BD243" t="str">
        <f t="shared" si="365"/>
        <v>Possession</v>
      </c>
      <c r="BE243" t="str">
        <f t="shared" si="366"/>
        <v/>
      </c>
      <c r="BF243" t="str">
        <f t="shared" si="367"/>
        <v/>
      </c>
      <c r="BG243" t="str">
        <f t="shared" si="22"/>
        <v/>
      </c>
      <c r="BH243" cm="1">
        <f t="array" aca="1" ref="BH243" ca="1">IFERROR(_xlfn._xlws.FILTER(shifts!A:A,(shifts!B:B=events!Z243)*(shifts!AG:AG&gt;=events!BJ243)*(shifts!AH:AH&lt;=events!BK243)),BH242)</f>
        <v>8</v>
      </c>
      <c r="BI243" s="15">
        <f t="shared" si="368"/>
        <v>2</v>
      </c>
      <c r="BJ243">
        <f t="shared" si="369"/>
        <v>871</v>
      </c>
      <c r="BK243">
        <f t="shared" si="370"/>
        <v>869</v>
      </c>
      <c r="BL243" s="15">
        <f>SUMIFS(BI$2:BI243,K$2:K243,"=Intermission")+SUMIFS(BI$2:BI243,K$2:K243,"=Timeout")</f>
        <v>0</v>
      </c>
      <c r="BM243">
        <f t="shared" si="371"/>
        <v>0</v>
      </c>
      <c r="BN243" s="19">
        <f t="shared" si="372"/>
        <v>209</v>
      </c>
      <c r="BO243">
        <f t="shared" si="373"/>
        <v>204</v>
      </c>
      <c r="BP243" s="17">
        <f t="shared" si="374"/>
        <v>211</v>
      </c>
      <c r="BQ243" t="str">
        <f t="shared" si="375"/>
        <v>opp_team_player_1</v>
      </c>
      <c r="BR243">
        <f>COUNTIFS(S$3:S243,"="&amp;S243,AH$3:AH243,"="&amp;AH243)</f>
        <v>1</v>
      </c>
      <c r="BS243" t="str">
        <f>IFERROR(VLOOKUP(BA243&amp;BT243&amp;X243,game_rosters!U:W,3,FALSE),"")</f>
        <v>P100021</v>
      </c>
      <c r="BT243" t="str">
        <f t="shared" si="376"/>
        <v>Triple J</v>
      </c>
    </row>
    <row r="244" spans="1:72" x14ac:dyDescent="0.2">
      <c r="A244" t="str">
        <f t="shared" si="351"/>
        <v/>
      </c>
      <c r="E244" s="4"/>
      <c r="F244" s="45"/>
      <c r="G244" s="4"/>
      <c r="H244" s="47"/>
      <c r="I244" s="26">
        <v>19</v>
      </c>
      <c r="J244" s="26" t="str">
        <f t="shared" si="377"/>
        <v/>
      </c>
      <c r="N244" t="str">
        <f t="shared" si="395"/>
        <v/>
      </c>
      <c r="O244" t="s">
        <v>567</v>
      </c>
      <c r="Q244" t="str">
        <f t="shared" si="389"/>
        <v/>
      </c>
      <c r="R244" s="26">
        <v>1</v>
      </c>
      <c r="S244">
        <f>IF(A244=1,MAX($S$2:$S243)+1,IF(OR($I244&lt;&gt;"",A244="x"),$S243,""))</f>
        <v>124</v>
      </c>
      <c r="T244" t="str">
        <f>IF(D244=1,MAX($T$2:$T243)+1,IF(S244=S243,$T243,IF(D244="x",T243,IF(D243="x","",""))))</f>
        <v/>
      </c>
      <c r="U244" t="str">
        <f>IF(B244=1,MAX($U$2:$U243)+1,IF(AND($T244&lt;&gt;"",$T244=$T243),$U243,IF(B244="x",U243,"")))</f>
        <v/>
      </c>
      <c r="V244" t="str">
        <f>IF(C244=1,MAX($V$2:$V243)+1,IF(AND($T244&lt;&gt;"",$T244=$T243),$U243,IF(C244="x",V243,"")))</f>
        <v/>
      </c>
      <c r="W244" t="str" cm="1">
        <f t="array" ref="W244">IFERROR(_xlfn._xlws.FILTER(game_rosters!AC:AC,(game_rosters!J:J=events!X244)*(K244&lt;&gt;"")),"")</f>
        <v/>
      </c>
      <c r="X244" cm="1">
        <f t="array" ref="X244">IF($I244&lt;&gt;"",$I244,INDEX($I$1:$I244,ROW()-COUNTIFS($T$1:$T244,"="&amp;$T244,$S$1:$S244,"&lt;"&amp;$S244)))</f>
        <v>19</v>
      </c>
      <c r="Y244" t="str" cm="1">
        <f t="array" ref="Y244">IFERROR(IF(_xlfn._xlws.FILTER(game_rosters!$J:$J,(game_rosters!$G:$G=events!$AM244)*(game_rosters!$J:$J=events!$X244))&gt;0,1,""),"")</f>
        <v/>
      </c>
      <c r="Z244" s="6">
        <f t="shared" si="352"/>
        <v>1</v>
      </c>
      <c r="AA244">
        <f t="shared" si="353"/>
        <v>1124</v>
      </c>
      <c r="AB244" t="str">
        <f t="shared" si="354"/>
        <v/>
      </c>
      <c r="AC244">
        <f t="shared" si="355"/>
        <v>1124</v>
      </c>
      <c r="AD244" t="str">
        <f t="shared" si="356"/>
        <v>14</v>
      </c>
      <c r="AE244" t="str">
        <f t="shared" si="357"/>
        <v>31</v>
      </c>
      <c r="AF244" t="str">
        <f t="shared" si="358"/>
        <v>14</v>
      </c>
      <c r="AG244" t="str">
        <f t="shared" si="359"/>
        <v>29</v>
      </c>
      <c r="AH244" t="str">
        <f t="shared" si="402"/>
        <v>o</v>
      </c>
      <c r="AI244" t="str">
        <f t="shared" ref="AI244:AJ244" si="454">IF($J244&lt;&gt;"",$J244,IF($AC244=$AC243,AI243,""))</f>
        <v>o</v>
      </c>
      <c r="AJ244" t="str">
        <f t="shared" si="454"/>
        <v>o</v>
      </c>
      <c r="AK244" t="str">
        <f t="shared" si="404"/>
        <v/>
      </c>
      <c r="AL244" t="str">
        <f t="shared" si="420"/>
        <v/>
      </c>
      <c r="AM244" t="str">
        <f t="shared" si="360"/>
        <v>Away</v>
      </c>
      <c r="AN244" t="str">
        <f t="shared" si="406"/>
        <v>a</v>
      </c>
      <c r="AO244" t="str">
        <f t="shared" si="407"/>
        <v>d</v>
      </c>
      <c r="AP244" t="str">
        <f t="shared" si="408"/>
        <v>o</v>
      </c>
      <c r="AQ244" t="str">
        <f>IF(AM244&lt;&gt;"",AM244,IF($AC244=#REF!,#REF!,""))</f>
        <v>Away</v>
      </c>
      <c r="AR244" t="str">
        <f t="shared" si="409"/>
        <v>a</v>
      </c>
      <c r="AS244" t="str">
        <f t="shared" si="410"/>
        <v>Defensive</v>
      </c>
      <c r="AT244" t="str">
        <f t="shared" si="361"/>
        <v/>
      </c>
      <c r="AU244" t="str">
        <f t="shared" si="362"/>
        <v/>
      </c>
      <c r="AV244" t="str" cm="1">
        <f t="array" ref="AV244">IFERROR(IF(O244&lt;&gt;"",O244,IF(OR($S244="",$T244=""),"",IF(O244&lt;&gt;"",O244,IF($T244&lt;&gt;"",_xlfn._xlws.FILTER(O:O,($BT:$BT=$BT244)*($I:$I=$I244)*($T:$T=$T244)*($S:$S=_xlfn.MINIFS($S:$S,$T:$T,"="&amp;$T244)),"")))))&amp;"",IF(O244="","",""))&amp;""</f>
        <v>StickCheck</v>
      </c>
      <c r="AW244" t="str" cm="1">
        <f t="array" ref="AW244">IFERROR(IF(P244&lt;&gt;"",P244,IF(OR($S244="",$T244=""),"",IF($T244&lt;&gt;"",_xlfn._xlws.FILTER(P:P,($BT:$BT=$BT244)*($I:$I=$I244)*($T:$T=$T244)*($S:$S=_xlfn.MINIFS($S:$S,$T:$T,"="&amp;$T244)),""))))&amp;"",IF(P244="","",""))&amp;""</f>
        <v/>
      </c>
      <c r="AX244" t="str" cm="1">
        <f t="array" ref="AX244">IFERROR(IF(Q244&lt;&gt;"",Q244,IF(OR($S244="",$T244=""),"",IF($T244&lt;&gt;"",_xlfn._xlws.FILTER(Q:Q,($BT:$BT=$BT244)*($I:$I=$I244)*($T:$T=$T244)*($S:$S=_xlfn.MINIFS($S:$S,$T:$T,"="&amp;$T244)),""))))&amp;"",IF(Q244="","",""))&amp;""</f>
        <v/>
      </c>
      <c r="AY244" t="str" cm="1">
        <f t="array" ref="AY244">IFERROR(IF(R244&lt;&gt;"",R244,IF(OR($S244="",$T244=""),"",IF($T244&lt;&gt;"",_xlfn._xlws.FILTER(R:R,($BT:$BT=$BT244)*($I:$I=$I244)*($T:$T=$T244)*($S:$S=_xlfn.MINIFS($S:$S,$T:$T,"="&amp;$T244)),""))))&amp;"",IF(R244="","",""))&amp;""</f>
        <v>1</v>
      </c>
      <c r="AZ244" s="6">
        <f t="shared" si="363"/>
        <v>22</v>
      </c>
      <c r="BA244">
        <f t="shared" ref="BA244:BC244" si="455">BA243</f>
        <v>18991</v>
      </c>
      <c r="BB244" t="str">
        <f t="shared" si="455"/>
        <v>Triple J</v>
      </c>
      <c r="BC244" t="str">
        <f t="shared" si="455"/>
        <v>Velodrome</v>
      </c>
      <c r="BD244" t="str">
        <f t="shared" si="365"/>
        <v>Possession</v>
      </c>
      <c r="BE244" t="str">
        <f t="shared" si="366"/>
        <v/>
      </c>
      <c r="BF244" t="str">
        <f t="shared" si="367"/>
        <v/>
      </c>
      <c r="BG244" t="str">
        <f t="shared" si="22"/>
        <v/>
      </c>
      <c r="BH244" cm="1">
        <f t="array" aca="1" ref="BH244" ca="1">IFERROR(_xlfn._xlws.FILTER(shifts!A:A,(shifts!B:B=events!Z244)*(shifts!AG:AG&gt;=events!BJ244)*(shifts!AH:AH&lt;=events!BK244)),BH243)</f>
        <v>8</v>
      </c>
      <c r="BI244" s="15">
        <f t="shared" si="368"/>
        <v>2</v>
      </c>
      <c r="BJ244">
        <f t="shared" si="369"/>
        <v>871</v>
      </c>
      <c r="BK244">
        <f t="shared" si="370"/>
        <v>869</v>
      </c>
      <c r="BL244" s="15">
        <f>SUMIFS(BI$2:BI244,K$2:K244,"=Intermission")+SUMIFS(BI$2:BI244,K$2:K244,"=Timeout")</f>
        <v>0</v>
      </c>
      <c r="BM244">
        <f t="shared" si="371"/>
        <v>0</v>
      </c>
      <c r="BN244" s="19">
        <f t="shared" si="372"/>
        <v>209</v>
      </c>
      <c r="BO244">
        <f t="shared" si="373"/>
        <v>204</v>
      </c>
      <c r="BP244" s="17">
        <f t="shared" si="374"/>
        <v>211</v>
      </c>
      <c r="BQ244" t="str">
        <f t="shared" si="375"/>
        <v>opp_team_player_2</v>
      </c>
      <c r="BR244">
        <f>COUNTIFS(S$3:S244,"="&amp;S244,AH$3:AH244,"="&amp;AH244)</f>
        <v>2</v>
      </c>
      <c r="BS244" t="str">
        <f>IFERROR(VLOOKUP(BA244&amp;BT244&amp;X244,game_rosters!U:W,3,FALSE),"")</f>
        <v>P100089</v>
      </c>
      <c r="BT244" t="str">
        <f t="shared" si="376"/>
        <v>Triple J</v>
      </c>
    </row>
    <row r="245" spans="1:72" x14ac:dyDescent="0.2">
      <c r="A245">
        <f t="shared" si="351"/>
        <v>1</v>
      </c>
      <c r="D245" s="26">
        <v>1</v>
      </c>
      <c r="E245" s="4"/>
      <c r="F245" s="45"/>
      <c r="G245" s="4"/>
      <c r="H245" s="47"/>
      <c r="I245" s="26">
        <v>70</v>
      </c>
      <c r="J245" s="26" t="str">
        <f t="shared" si="377"/>
        <v>o</v>
      </c>
      <c r="K245" t="s">
        <v>6</v>
      </c>
      <c r="L245" t="s">
        <v>240</v>
      </c>
      <c r="N245" t="str">
        <f t="shared" si="395"/>
        <v>s</v>
      </c>
      <c r="Q245" t="str">
        <f t="shared" si="389"/>
        <v/>
      </c>
      <c r="R245" s="26">
        <v>1</v>
      </c>
      <c r="S245">
        <f>IF(A245=1,MAX($S$2:$S244)+1,IF(OR($I245&lt;&gt;"",A245="x"),$S244,""))</f>
        <v>125</v>
      </c>
      <c r="T245">
        <f>IF(D245=1,MAX($T$2:$T244)+1,IF(S245=S244,$T244,IF(D245="x",T244,IF(D244="x","",""))))</f>
        <v>18</v>
      </c>
      <c r="U245" t="str">
        <f>IF(B245=1,MAX($U$2:$U244)+1,IF(AND($T245&lt;&gt;"",$T245=$T244),$U244,IF(B245="x",U244,"")))</f>
        <v/>
      </c>
      <c r="V245" t="str">
        <f>IF(C245=1,MAX($V$2:$V244)+1,IF(AND($T245&lt;&gt;"",$T245=$T244),$U244,IF(C245="x",V244,"")))</f>
        <v/>
      </c>
      <c r="W245" t="str" cm="1">
        <f t="array" ref="W245">IFERROR(_xlfn._xlws.FILTER(game_rosters!AC:AC,(game_rosters!J:J=events!X245)*(K245&lt;&gt;"")),"")</f>
        <v>a</v>
      </c>
      <c r="X245" cm="1">
        <f t="array" ref="X245">IF($I245&lt;&gt;"",$I245,INDEX($I$1:$I245,ROW()-COUNTIFS($T$1:$T245,"="&amp;$T245,$S$1:$S245,"&lt;"&amp;$S245)))</f>
        <v>70</v>
      </c>
      <c r="Y245" cm="1">
        <f t="array" ref="Y245">IFERROR(IF(_xlfn._xlws.FILTER(game_rosters!$J:$J,(game_rosters!$G:$G=events!$AM245)*(game_rosters!$J:$J=events!$X245))&gt;0,1,""),"")</f>
        <v>1</v>
      </c>
      <c r="Z245" s="6">
        <f t="shared" si="352"/>
        <v>1</v>
      </c>
      <c r="AA245">
        <f t="shared" si="353"/>
        <v>1125</v>
      </c>
      <c r="AB245">
        <f t="shared" si="354"/>
        <v>9018</v>
      </c>
      <c r="AC245">
        <f t="shared" si="355"/>
        <v>9018</v>
      </c>
      <c r="AD245" t="str">
        <f t="shared" si="356"/>
        <v>14</v>
      </c>
      <c r="AE245" t="str">
        <f t="shared" si="357"/>
        <v>29</v>
      </c>
      <c r="AF245" t="str">
        <f t="shared" si="358"/>
        <v/>
      </c>
      <c r="AG245" t="str">
        <f t="shared" si="359"/>
        <v/>
      </c>
      <c r="AH245" t="str">
        <f t="shared" si="402"/>
        <v>e</v>
      </c>
      <c r="AI245" t="str">
        <f t="shared" ref="AI245:AJ250" si="456">IF($J245&lt;&gt;"",$J245,IF($AC245=$AC244,AI244,""))</f>
        <v>o</v>
      </c>
      <c r="AJ245" t="str">
        <f t="shared" si="456"/>
        <v>o</v>
      </c>
      <c r="AK245" t="str">
        <f t="shared" si="404"/>
        <v>d</v>
      </c>
      <c r="AL245" t="str">
        <f t="shared" si="405"/>
        <v>o</v>
      </c>
      <c r="AM245" t="str">
        <f t="shared" si="360"/>
        <v>Away</v>
      </c>
      <c r="AN245" t="str">
        <f t="shared" si="406"/>
        <v>a</v>
      </c>
      <c r="AO245" t="str">
        <f t="shared" si="407"/>
        <v>d</v>
      </c>
      <c r="AP245" t="str">
        <f t="shared" si="408"/>
        <v>o</v>
      </c>
      <c r="AQ245" t="str">
        <f>IF(AM245&lt;&gt;"",AM245,IF($AC245=#REF!,#REF!,""))</f>
        <v>Away</v>
      </c>
      <c r="AR245" t="str">
        <f t="shared" si="409"/>
        <v>a</v>
      </c>
      <c r="AS245" t="str">
        <f t="shared" si="410"/>
        <v>Offensive</v>
      </c>
      <c r="AT245" t="str">
        <f t="shared" si="361"/>
        <v/>
      </c>
      <c r="AU245" t="str">
        <f t="shared" si="362"/>
        <v/>
      </c>
      <c r="AV245" t="str" cm="1">
        <f t="array" ref="AV245">IFERROR(IF(O245&lt;&gt;"",O245,IF(OR($S245="",$T245=""),"",IF(O245&lt;&gt;"",O245,IF($T245&lt;&gt;"",_xlfn._xlws.FILTER(O:O,($BT:$BT=$BT245)*($I:$I=$I245)*($T:$T=$T245)*($S:$S=_xlfn.MINIFS($S:$S,$T:$T,"="&amp;$T245)),"")))))&amp;"",IF(O245="","",""))&amp;""</f>
        <v/>
      </c>
      <c r="AW245" t="str" cm="1">
        <f t="array" ref="AW245">IFERROR(IF(P245&lt;&gt;"",P245,IF(OR($S245="",$T245=""),"",IF($T245&lt;&gt;"",_xlfn._xlws.FILTER(P:P,($BT:$BT=$BT245)*($I:$I=$I245)*($T:$T=$T245)*($S:$S=_xlfn.MINIFS($S:$S,$T:$T,"="&amp;$T245)),""))))&amp;"",IF(P245="","",""))&amp;""</f>
        <v/>
      </c>
      <c r="AX245" t="str" cm="1">
        <f t="array" ref="AX245">IFERROR(IF(Q245&lt;&gt;"",Q245,IF(OR($S245="",$T245=""),"",IF($T245&lt;&gt;"",_xlfn._xlws.FILTER(Q:Q,($BT:$BT=$BT245)*($I:$I=$I245)*($T:$T=$T245)*($S:$S=_xlfn.MINIFS($S:$S,$T:$T,"="&amp;$T245)),""))))&amp;"",IF(Q245="","",""))&amp;""</f>
        <v/>
      </c>
      <c r="AY245" t="str" cm="1">
        <f t="array" ref="AY245">IFERROR(IF(R245&lt;&gt;"",R245,IF(OR($S245="",$T245=""),"",IF($T245&lt;&gt;"",_xlfn._xlws.FILTER(R:R,($BT:$BT=$BT245)*($I:$I=$I245)*($T:$T=$T245)*($S:$S=_xlfn.MINIFS($S:$S,$T:$T,"="&amp;$T245)),""))))&amp;"",IF(R245="","",""))&amp;""</f>
        <v>1</v>
      </c>
      <c r="AZ245" s="6">
        <f t="shared" si="363"/>
        <v>22</v>
      </c>
      <c r="BA245">
        <f t="shared" ref="BA245:BC245" si="457">BA244</f>
        <v>18991</v>
      </c>
      <c r="BB245" t="str">
        <f t="shared" si="457"/>
        <v>Triple J</v>
      </c>
      <c r="BC245" t="str">
        <f t="shared" si="457"/>
        <v>Velodrome</v>
      </c>
      <c r="BD245" t="str">
        <f t="shared" si="365"/>
        <v>Shot</v>
      </c>
      <c r="BE245" t="str">
        <f t="shared" si="366"/>
        <v>Shot_Goal</v>
      </c>
      <c r="BF245" t="str">
        <f t="shared" si="367"/>
        <v/>
      </c>
      <c r="BG245" t="str">
        <f t="shared" si="22"/>
        <v>s</v>
      </c>
      <c r="BH245" cm="1">
        <f t="array" aca="1" ref="BH245" ca="1">IFERROR(_xlfn._xlws.FILTER(shifts!A:A,(shifts!B:B=events!Z245)*(shifts!AG:AG&gt;=events!BJ245)*(shifts!AH:AH&lt;=events!BK245)),BH244)</f>
        <v>8</v>
      </c>
      <c r="BI245" s="15">
        <f t="shared" si="368"/>
        <v>0</v>
      </c>
      <c r="BJ245">
        <f t="shared" si="369"/>
        <v>869</v>
      </c>
      <c r="BK245">
        <f t="shared" si="370"/>
        <v>869</v>
      </c>
      <c r="BL245" s="15">
        <f>SUMIFS(BI$2:BI245,K$2:K245,"=Intermission")+SUMIFS(BI$2:BI245,K$2:K245,"=Timeout")</f>
        <v>0</v>
      </c>
      <c r="BM245">
        <f t="shared" si="371"/>
        <v>0</v>
      </c>
      <c r="BN245" s="19">
        <f t="shared" si="372"/>
        <v>211</v>
      </c>
      <c r="BO245">
        <f t="shared" si="373"/>
        <v>206</v>
      </c>
      <c r="BP245" s="17">
        <f t="shared" si="374"/>
        <v>211</v>
      </c>
      <c r="BQ245" t="str">
        <f t="shared" si="375"/>
        <v>event_team_player_1</v>
      </c>
      <c r="BR245">
        <f>COUNTIFS(S$3:S245,"="&amp;S245,AH$3:AH245,"="&amp;AH245)</f>
        <v>1</v>
      </c>
      <c r="BS245" t="str">
        <f>IFERROR(VLOOKUP(BA245&amp;BT245&amp;X245,game_rosters!U:W,3,FALSE),"")</f>
        <v>P100001</v>
      </c>
      <c r="BT245" t="str">
        <f t="shared" si="376"/>
        <v>Velodrome</v>
      </c>
    </row>
    <row r="246" spans="1:72" x14ac:dyDescent="0.2">
      <c r="A246" t="str">
        <f t="shared" si="351"/>
        <v>x</v>
      </c>
      <c r="D246" s="26" t="s">
        <v>729</v>
      </c>
      <c r="E246" s="4"/>
      <c r="F246" s="45"/>
      <c r="G246" s="4"/>
      <c r="H246" s="47"/>
      <c r="I246" s="26">
        <v>1</v>
      </c>
      <c r="J246" s="26" t="str">
        <f t="shared" si="377"/>
        <v/>
      </c>
      <c r="N246" t="str">
        <f t="shared" si="395"/>
        <v/>
      </c>
      <c r="Q246" t="str">
        <f t="shared" si="389"/>
        <v/>
      </c>
      <c r="S246">
        <f>IF(A246=1,MAX($S$2:$S245)+1,IF(OR($I246&lt;&gt;"",A246="x"),$S245,""))</f>
        <v>125</v>
      </c>
      <c r="T246">
        <f>IF(D246=1,MAX($T$2:$T245)+1,IF(S246=S245,$T245,IF(D246="x",T245,IF(D245="x","",""))))</f>
        <v>18</v>
      </c>
      <c r="U246" t="str">
        <f>IF(B246=1,MAX($U$2:$U245)+1,IF(AND($T246&lt;&gt;"",$T246=$T245),$U245,IF(B246="x",U245,"")))</f>
        <v/>
      </c>
      <c r="V246" t="str">
        <f>IF(C246=1,MAX($V$2:$V245)+1,IF(AND($T246&lt;&gt;"",$T246=$T245),$U245,IF(C246="x",V245,"")))</f>
        <v/>
      </c>
      <c r="W246" t="str" cm="1">
        <f t="array" ref="W246">IFERROR(_xlfn._xlws.FILTER(game_rosters!AC:AC,(game_rosters!J:J=events!X246)*(K246&lt;&gt;"")),"")</f>
        <v/>
      </c>
      <c r="X246" cm="1">
        <f t="array" ref="X246">IF($I246&lt;&gt;"",$I246,INDEX($I$1:$I246,ROW()-COUNTIFS($T$1:$T246,"="&amp;$T246,$S$1:$S246,"&lt;"&amp;$S246)))</f>
        <v>1</v>
      </c>
      <c r="Y246" t="str" cm="1">
        <f t="array" ref="Y246">IFERROR(IF(_xlfn._xlws.FILTER(game_rosters!$J:$J,(game_rosters!$G:$G=events!$AM246)*(game_rosters!$J:$J=events!$X246))&gt;0,1,""),"")</f>
        <v/>
      </c>
      <c r="Z246" s="6">
        <f t="shared" si="352"/>
        <v>1</v>
      </c>
      <c r="AA246">
        <f t="shared" si="353"/>
        <v>1125</v>
      </c>
      <c r="AB246">
        <f t="shared" si="354"/>
        <v>9018</v>
      </c>
      <c r="AC246">
        <f t="shared" si="355"/>
        <v>9018</v>
      </c>
      <c r="AD246" t="str">
        <f t="shared" si="356"/>
        <v>14</v>
      </c>
      <c r="AE246" t="str">
        <f t="shared" si="357"/>
        <v>29</v>
      </c>
      <c r="AF246" t="str">
        <f t="shared" si="358"/>
        <v/>
      </c>
      <c r="AG246" t="str">
        <f t="shared" si="359"/>
        <v/>
      </c>
      <c r="AH246" t="str">
        <f t="shared" si="402"/>
        <v>o</v>
      </c>
      <c r="AI246" t="str">
        <f t="shared" si="456"/>
        <v>o</v>
      </c>
      <c r="AJ246" t="str">
        <f t="shared" si="456"/>
        <v>o</v>
      </c>
      <c r="AK246" t="str">
        <f t="shared" si="404"/>
        <v/>
      </c>
      <c r="AL246" t="str">
        <f t="shared" si="405"/>
        <v/>
      </c>
      <c r="AM246" t="str">
        <f t="shared" si="360"/>
        <v>Away</v>
      </c>
      <c r="AN246" t="str">
        <f t="shared" si="406"/>
        <v>a</v>
      </c>
      <c r="AO246" t="str">
        <f t="shared" si="407"/>
        <v>d</v>
      </c>
      <c r="AP246" t="str">
        <f t="shared" si="408"/>
        <v>o</v>
      </c>
      <c r="AQ246" t="str">
        <f>IF(AM246&lt;&gt;"",AM246,IF($AC246=#REF!,#REF!,""))</f>
        <v>Away</v>
      </c>
      <c r="AR246" t="str">
        <f t="shared" si="409"/>
        <v>a</v>
      </c>
      <c r="AS246" t="str">
        <f t="shared" si="410"/>
        <v>Defensive</v>
      </c>
      <c r="AT246" t="str">
        <f t="shared" si="361"/>
        <v/>
      </c>
      <c r="AU246" t="str">
        <f t="shared" si="362"/>
        <v/>
      </c>
      <c r="AV246" t="str" cm="1">
        <f t="array" ref="AV246">IFERROR(IF(O246&lt;&gt;"",O246,IF(OR($S246="",$T246=""),"",IF(O246&lt;&gt;"",O246,IF($T246&lt;&gt;"",_xlfn._xlws.FILTER(O:O,($BT:$BT=$BT246)*($I:$I=$I246)*($T:$T=$T246)*($S:$S=_xlfn.MINIFS($S:$S,$T:$T,"="&amp;$T246)),"")))))&amp;"",IF(O246="","",""))&amp;""</f>
        <v/>
      </c>
      <c r="AW246" t="str" cm="1">
        <f t="array" ref="AW246">IFERROR(IF(P246&lt;&gt;"",P246,IF(OR($S246="",$T246=""),"",IF($T246&lt;&gt;"",_xlfn._xlws.FILTER(P:P,($BT:$BT=$BT246)*($I:$I=$I246)*($T:$T=$T246)*($S:$S=_xlfn.MINIFS($S:$S,$T:$T,"="&amp;$T246)),""))))&amp;"",IF(P246="","",""))&amp;""</f>
        <v/>
      </c>
      <c r="AX246" t="str" cm="1">
        <f t="array" ref="AX246">IFERROR(IF(Q246&lt;&gt;"",Q246,IF(OR($S246="",$T246=""),"",IF($T246&lt;&gt;"",_xlfn._xlws.FILTER(Q:Q,($BT:$BT=$BT246)*($I:$I=$I246)*($T:$T=$T246)*($S:$S=_xlfn.MINIFS($S:$S,$T:$T,"="&amp;$T246)),""))))&amp;"",IF(Q246="","",""))&amp;""</f>
        <v/>
      </c>
      <c r="AY246" t="str" cm="1">
        <f t="array" ref="AY246">IFERROR(IF(R246&lt;&gt;"",R246,IF(OR($S246="",$T246=""),"",IF($T246&lt;&gt;"",_xlfn._xlws.FILTER(R:R,($BT:$BT=$BT246)*($I:$I=$I246)*($T:$T=$T246)*($S:$S=_xlfn.MINIFS($S:$S,$T:$T,"="&amp;$T246)),""))))&amp;"",IF(R246="","",""))&amp;""</f>
        <v/>
      </c>
      <c r="AZ246" s="6">
        <f t="shared" si="363"/>
        <v>22</v>
      </c>
      <c r="BA246">
        <f t="shared" ref="BA246:BC246" si="458">BA245</f>
        <v>18991</v>
      </c>
      <c r="BB246" t="str">
        <f t="shared" si="458"/>
        <v>Triple J</v>
      </c>
      <c r="BC246" t="str">
        <f t="shared" si="458"/>
        <v>Velodrome</v>
      </c>
      <c r="BD246" t="str">
        <f t="shared" si="365"/>
        <v>Shot</v>
      </c>
      <c r="BE246" t="str">
        <f t="shared" si="366"/>
        <v>Shot_Goal</v>
      </c>
      <c r="BF246" t="str">
        <f t="shared" si="367"/>
        <v/>
      </c>
      <c r="BG246" t="str">
        <f t="shared" si="22"/>
        <v>s</v>
      </c>
      <c r="BH246" cm="1">
        <f t="array" aca="1" ref="BH246" ca="1">IFERROR(_xlfn._xlws.FILTER(shifts!A:A,(shifts!B:B=events!Z246)*(shifts!AG:AG&gt;=events!BJ246)*(shifts!AH:AH&lt;=events!BK246)),BH245)</f>
        <v>8</v>
      </c>
      <c r="BI246" s="15">
        <f t="shared" si="368"/>
        <v>0</v>
      </c>
      <c r="BJ246">
        <f t="shared" si="369"/>
        <v>869</v>
      </c>
      <c r="BK246">
        <f t="shared" si="370"/>
        <v>869</v>
      </c>
      <c r="BL246" s="15">
        <f>SUMIFS(BI$2:BI246,K$2:K246,"=Intermission")+SUMIFS(BI$2:BI246,K$2:K246,"=Timeout")</f>
        <v>0</v>
      </c>
      <c r="BM246">
        <f t="shared" si="371"/>
        <v>0</v>
      </c>
      <c r="BN246" s="19">
        <f t="shared" si="372"/>
        <v>211</v>
      </c>
      <c r="BO246">
        <f t="shared" si="373"/>
        <v>206</v>
      </c>
      <c r="BP246" s="17">
        <f t="shared" si="374"/>
        <v>211</v>
      </c>
      <c r="BQ246" t="str">
        <f t="shared" si="375"/>
        <v>opp_team_player_1</v>
      </c>
      <c r="BR246">
        <f>COUNTIFS(S$3:S246,"="&amp;S246,AH$3:AH246,"="&amp;AH246)</f>
        <v>1</v>
      </c>
      <c r="BS246" t="str">
        <f>IFERROR(VLOOKUP(BA246&amp;BT246&amp;X246,game_rosters!U:W,3,FALSE),"")</f>
        <v>P100020</v>
      </c>
      <c r="BT246" t="str">
        <f t="shared" si="376"/>
        <v>Triple J</v>
      </c>
    </row>
    <row r="247" spans="1:72" x14ac:dyDescent="0.2">
      <c r="A247" t="str">
        <f t="shared" si="351"/>
        <v>x</v>
      </c>
      <c r="D247" s="26" t="s">
        <v>729</v>
      </c>
      <c r="E247" s="4"/>
      <c r="F247" s="45"/>
      <c r="G247" s="4"/>
      <c r="H247" s="47"/>
      <c r="I247" s="26">
        <v>73</v>
      </c>
      <c r="J247" s="26" t="str">
        <f t="shared" si="377"/>
        <v/>
      </c>
      <c r="N247" t="str">
        <f t="shared" si="395"/>
        <v/>
      </c>
      <c r="O247" t="s">
        <v>567</v>
      </c>
      <c r="Q247" t="str">
        <f t="shared" si="389"/>
        <v/>
      </c>
      <c r="R247" s="26">
        <v>1</v>
      </c>
      <c r="S247">
        <f>IF(A247=1,MAX($S$2:$S246)+1,IF(OR($I247&lt;&gt;"",A247="x"),$S246,""))</f>
        <v>125</v>
      </c>
      <c r="T247">
        <f>IF(D247=1,MAX($T$2:$T246)+1,IF(S247=S246,$T246,IF(D247="x",T246,IF(D246="x","",""))))</f>
        <v>18</v>
      </c>
      <c r="U247" t="str">
        <f>IF(B247=1,MAX($U$2:$U246)+1,IF(AND($T247&lt;&gt;"",$T247=$T246),$U246,IF(B247="x",U246,"")))</f>
        <v/>
      </c>
      <c r="V247" t="str">
        <f>IF(C247=1,MAX($V$2:$V246)+1,IF(AND($T247&lt;&gt;"",$T247=$T246),$U246,IF(C247="x",V246,"")))</f>
        <v/>
      </c>
      <c r="W247" t="str" cm="1">
        <f t="array" ref="W247">IFERROR(_xlfn._xlws.FILTER(game_rosters!AC:AC,(game_rosters!J:J=events!X247)*(K247&lt;&gt;"")),"")</f>
        <v/>
      </c>
      <c r="X247" cm="1">
        <f t="array" ref="X247">IF($I247&lt;&gt;"",$I247,INDEX($I$1:$I247,ROW()-COUNTIFS($T$1:$T247,"="&amp;$T247,$S$1:$S247,"&lt;"&amp;$S247)))</f>
        <v>73</v>
      </c>
      <c r="Y247" t="str" cm="1">
        <f t="array" ref="Y247">IFERROR(IF(_xlfn._xlws.FILTER(game_rosters!$J:$J,(game_rosters!$G:$G=events!$AM247)*(game_rosters!$J:$J=events!$X247))&gt;0,1,""),"")</f>
        <v/>
      </c>
      <c r="Z247" s="6">
        <f t="shared" si="352"/>
        <v>1</v>
      </c>
      <c r="AA247">
        <f t="shared" si="353"/>
        <v>1125</v>
      </c>
      <c r="AB247">
        <f t="shared" si="354"/>
        <v>9018</v>
      </c>
      <c r="AC247">
        <f t="shared" si="355"/>
        <v>9018</v>
      </c>
      <c r="AD247" t="str">
        <f t="shared" si="356"/>
        <v>14</v>
      </c>
      <c r="AE247" t="str">
        <f t="shared" si="357"/>
        <v>29</v>
      </c>
      <c r="AF247" t="str">
        <f t="shared" si="358"/>
        <v/>
      </c>
      <c r="AG247" t="str">
        <f t="shared" si="359"/>
        <v/>
      </c>
      <c r="AH247" t="str">
        <f t="shared" si="402"/>
        <v>o</v>
      </c>
      <c r="AI247" t="str">
        <f t="shared" si="456"/>
        <v>o</v>
      </c>
      <c r="AJ247" t="str">
        <f t="shared" si="456"/>
        <v>o</v>
      </c>
      <c r="AK247" t="str">
        <f t="shared" si="404"/>
        <v/>
      </c>
      <c r="AL247" t="str">
        <f t="shared" si="405"/>
        <v/>
      </c>
      <c r="AM247" t="str">
        <f t="shared" si="360"/>
        <v>Away</v>
      </c>
      <c r="AN247" t="str">
        <f t="shared" si="406"/>
        <v>a</v>
      </c>
      <c r="AO247" t="str">
        <f t="shared" si="407"/>
        <v>d</v>
      </c>
      <c r="AP247" t="str">
        <f t="shared" si="408"/>
        <v>o</v>
      </c>
      <c r="AQ247" t="str">
        <f>IF(AM247&lt;&gt;"",AM247,IF($AC247=#REF!,#REF!,""))</f>
        <v>Away</v>
      </c>
      <c r="AR247" t="str">
        <f t="shared" si="409"/>
        <v>a</v>
      </c>
      <c r="AS247" t="str">
        <f t="shared" si="410"/>
        <v>Defensive</v>
      </c>
      <c r="AT247" t="str">
        <f t="shared" si="361"/>
        <v/>
      </c>
      <c r="AU247" t="str">
        <f t="shared" si="362"/>
        <v/>
      </c>
      <c r="AV247" t="str" cm="1">
        <f t="array" ref="AV247">IFERROR(IF(O247&lt;&gt;"",O247,IF(OR($S247="",$T247=""),"",IF(O247&lt;&gt;"",O247,IF($T247&lt;&gt;"",_xlfn._xlws.FILTER(O:O,($BT:$BT=$BT247)*($I:$I=$I247)*($T:$T=$T247)*($S:$S=_xlfn.MINIFS($S:$S,$T:$T,"="&amp;$T247)),"")))))&amp;"",IF(O247="","",""))&amp;""</f>
        <v>StickCheck</v>
      </c>
      <c r="AW247" t="str" cm="1">
        <f t="array" ref="AW247">IFERROR(IF(P247&lt;&gt;"",P247,IF(OR($S247="",$T247=""),"",IF($T247&lt;&gt;"",_xlfn._xlws.FILTER(P:P,($BT:$BT=$BT247)*($I:$I=$I247)*($T:$T=$T247)*($S:$S=_xlfn.MINIFS($S:$S,$T:$T,"="&amp;$T247)),""))))&amp;"",IF(P247="","",""))&amp;""</f>
        <v/>
      </c>
      <c r="AX247" t="str" cm="1">
        <f t="array" ref="AX247">IFERROR(IF(Q247&lt;&gt;"",Q247,IF(OR($S247="",$T247=""),"",IF($T247&lt;&gt;"",_xlfn._xlws.FILTER(Q:Q,($BT:$BT=$BT247)*($I:$I=$I247)*($T:$T=$T247)*($S:$S=_xlfn.MINIFS($S:$S,$T:$T,"="&amp;$T247)),""))))&amp;"",IF(Q247="","",""))&amp;""</f>
        <v/>
      </c>
      <c r="AY247" t="str" cm="1">
        <f t="array" ref="AY247">IFERROR(IF(R247&lt;&gt;"",R247,IF(OR($S247="",$T247=""),"",IF($T247&lt;&gt;"",_xlfn._xlws.FILTER(R:R,($BT:$BT=$BT247)*($I:$I=$I247)*($T:$T=$T247)*($S:$S=_xlfn.MINIFS($S:$S,$T:$T,"="&amp;$T247)),""))))&amp;"",IF(R247="","",""))&amp;""</f>
        <v>1</v>
      </c>
      <c r="AZ247" s="6">
        <f t="shared" si="363"/>
        <v>22</v>
      </c>
      <c r="BA247">
        <f t="shared" ref="BA247:BC247" si="459">BA246</f>
        <v>18991</v>
      </c>
      <c r="BB247" t="str">
        <f t="shared" si="459"/>
        <v>Triple J</v>
      </c>
      <c r="BC247" t="str">
        <f t="shared" si="459"/>
        <v>Velodrome</v>
      </c>
      <c r="BD247" t="str">
        <f t="shared" si="365"/>
        <v>Shot</v>
      </c>
      <c r="BE247" t="str">
        <f t="shared" si="366"/>
        <v>Shot_Goal</v>
      </c>
      <c r="BF247" t="str">
        <f t="shared" si="367"/>
        <v/>
      </c>
      <c r="BG247" t="str">
        <f t="shared" si="22"/>
        <v>s</v>
      </c>
      <c r="BH247" cm="1">
        <f t="array" aca="1" ref="BH247" ca="1">IFERROR(_xlfn._xlws.FILTER(shifts!A:A,(shifts!B:B=events!Z247)*(shifts!AG:AG&gt;=events!BJ247)*(shifts!AH:AH&lt;=events!BK247)),BH246)</f>
        <v>8</v>
      </c>
      <c r="BI247" s="15">
        <f t="shared" si="368"/>
        <v>0</v>
      </c>
      <c r="BJ247">
        <f t="shared" si="369"/>
        <v>869</v>
      </c>
      <c r="BK247">
        <f t="shared" si="370"/>
        <v>869</v>
      </c>
      <c r="BL247" s="15">
        <f>SUMIFS(BI$2:BI247,K$2:K247,"=Intermission")+SUMIFS(BI$2:BI247,K$2:K247,"=Timeout")</f>
        <v>0</v>
      </c>
      <c r="BM247">
        <f t="shared" si="371"/>
        <v>0</v>
      </c>
      <c r="BN247" s="19">
        <f t="shared" si="372"/>
        <v>211</v>
      </c>
      <c r="BO247">
        <f t="shared" si="373"/>
        <v>206</v>
      </c>
      <c r="BP247" s="17">
        <f t="shared" si="374"/>
        <v>211</v>
      </c>
      <c r="BQ247" t="str">
        <f t="shared" si="375"/>
        <v>opp_team_player_2</v>
      </c>
      <c r="BR247">
        <f>COUNTIFS(S$3:S247,"="&amp;S247,AH$3:AH247,"="&amp;AH247)</f>
        <v>2</v>
      </c>
      <c r="BS247" t="str">
        <f>IFERROR(VLOOKUP(BA247&amp;BT247&amp;X247,game_rosters!U:W,3,FALSE),"")</f>
        <v>P100021</v>
      </c>
      <c r="BT247" t="str">
        <f t="shared" si="376"/>
        <v>Triple J</v>
      </c>
    </row>
    <row r="248" spans="1:72" x14ac:dyDescent="0.2">
      <c r="A248" t="str">
        <f t="shared" si="351"/>
        <v>x</v>
      </c>
      <c r="D248" s="26" t="s">
        <v>729</v>
      </c>
      <c r="E248" s="4"/>
      <c r="F248" s="45"/>
      <c r="G248" s="4"/>
      <c r="H248" s="47"/>
      <c r="I248" s="26">
        <v>19</v>
      </c>
      <c r="J248" s="26" t="str">
        <f t="shared" si="377"/>
        <v/>
      </c>
      <c r="N248" t="str">
        <f t="shared" si="395"/>
        <v/>
      </c>
      <c r="O248" t="s">
        <v>567</v>
      </c>
      <c r="Q248" t="str">
        <f t="shared" si="389"/>
        <v/>
      </c>
      <c r="R248" s="26">
        <v>1</v>
      </c>
      <c r="S248">
        <f>IF(A248=1,MAX($S$2:$S247)+1,IF(OR($I248&lt;&gt;"",A248="x"),$S247,""))</f>
        <v>125</v>
      </c>
      <c r="T248">
        <f>IF(D248=1,MAX($T$2:$T247)+1,IF(S248=S247,$T247,IF(D248="x",T247,IF(D247="x","",""))))</f>
        <v>18</v>
      </c>
      <c r="U248" t="str">
        <f>IF(B248=1,MAX($U$2:$U247)+1,IF(AND($T248&lt;&gt;"",$T248=$T247),$U247,IF(B248="x",U247,"")))</f>
        <v/>
      </c>
      <c r="V248" t="str">
        <f>IF(C248=1,MAX($V$2:$V247)+1,IF(AND($T248&lt;&gt;"",$T248=$T247),$U247,IF(C248="x",V247,"")))</f>
        <v/>
      </c>
      <c r="W248" t="str" cm="1">
        <f t="array" ref="W248">IFERROR(_xlfn._xlws.FILTER(game_rosters!AC:AC,(game_rosters!J:J=events!X248)*(K248&lt;&gt;"")),"")</f>
        <v/>
      </c>
      <c r="X248" cm="1">
        <f t="array" ref="X248">IF($I248&lt;&gt;"",$I248,INDEX($I$1:$I248,ROW()-COUNTIFS($T$1:$T248,"="&amp;$T248,$S$1:$S248,"&lt;"&amp;$S248)))</f>
        <v>19</v>
      </c>
      <c r="Y248" t="str" cm="1">
        <f t="array" ref="Y248">IFERROR(IF(_xlfn._xlws.FILTER(game_rosters!$J:$J,(game_rosters!$G:$G=events!$AM248)*(game_rosters!$J:$J=events!$X248))&gt;0,1,""),"")</f>
        <v/>
      </c>
      <c r="Z248" s="6">
        <f t="shared" si="352"/>
        <v>1</v>
      </c>
      <c r="AA248">
        <f t="shared" si="353"/>
        <v>1125</v>
      </c>
      <c r="AB248">
        <f t="shared" si="354"/>
        <v>9018</v>
      </c>
      <c r="AC248">
        <f t="shared" si="355"/>
        <v>9018</v>
      </c>
      <c r="AD248" t="str">
        <f t="shared" si="356"/>
        <v>14</v>
      </c>
      <c r="AE248" t="str">
        <f t="shared" si="357"/>
        <v>29</v>
      </c>
      <c r="AF248" t="str">
        <f t="shared" si="358"/>
        <v/>
      </c>
      <c r="AG248" t="str">
        <f t="shared" si="359"/>
        <v/>
      </c>
      <c r="AH248" t="str">
        <f t="shared" si="402"/>
        <v>o</v>
      </c>
      <c r="AI248" t="str">
        <f t="shared" si="456"/>
        <v>o</v>
      </c>
      <c r="AJ248" t="str">
        <f t="shared" si="456"/>
        <v>o</v>
      </c>
      <c r="AK248" t="str">
        <f t="shared" si="404"/>
        <v/>
      </c>
      <c r="AL248" t="str">
        <f t="shared" si="405"/>
        <v/>
      </c>
      <c r="AM248" t="str">
        <f t="shared" si="360"/>
        <v>Away</v>
      </c>
      <c r="AN248" t="str">
        <f t="shared" si="406"/>
        <v>a</v>
      </c>
      <c r="AO248" t="str">
        <f t="shared" si="407"/>
        <v>d</v>
      </c>
      <c r="AP248" t="str">
        <f t="shared" si="408"/>
        <v>o</v>
      </c>
      <c r="AQ248" t="str">
        <f>IF(AM248&lt;&gt;"",AM248,IF($AC248=#REF!,#REF!,""))</f>
        <v>Away</v>
      </c>
      <c r="AR248" t="str">
        <f t="shared" si="409"/>
        <v>a</v>
      </c>
      <c r="AS248" t="str">
        <f t="shared" si="410"/>
        <v>Defensive</v>
      </c>
      <c r="AT248" t="str">
        <f t="shared" si="361"/>
        <v/>
      </c>
      <c r="AU248" t="str">
        <f t="shared" si="362"/>
        <v/>
      </c>
      <c r="AV248" t="str" cm="1">
        <f t="array" ref="AV248">IFERROR(IF(O248&lt;&gt;"",O248,IF(OR($S248="",$T248=""),"",IF(O248&lt;&gt;"",O248,IF($T248&lt;&gt;"",_xlfn._xlws.FILTER(O:O,($BT:$BT=$BT248)*($I:$I=$I248)*($T:$T=$T248)*($S:$S=_xlfn.MINIFS($S:$S,$T:$T,"="&amp;$T248)),"")))))&amp;"",IF(O248="","",""))&amp;""</f>
        <v>StickCheck</v>
      </c>
      <c r="AW248" t="str" cm="1">
        <f t="array" ref="AW248">IFERROR(IF(P248&lt;&gt;"",P248,IF(OR($S248="",$T248=""),"",IF($T248&lt;&gt;"",_xlfn._xlws.FILTER(P:P,($BT:$BT=$BT248)*($I:$I=$I248)*($T:$T=$T248)*($S:$S=_xlfn.MINIFS($S:$S,$T:$T,"="&amp;$T248)),""))))&amp;"",IF(P248="","",""))&amp;""</f>
        <v/>
      </c>
      <c r="AX248" t="str" cm="1">
        <f t="array" ref="AX248">IFERROR(IF(Q248&lt;&gt;"",Q248,IF(OR($S248="",$T248=""),"",IF($T248&lt;&gt;"",_xlfn._xlws.FILTER(Q:Q,($BT:$BT=$BT248)*($I:$I=$I248)*($T:$T=$T248)*($S:$S=_xlfn.MINIFS($S:$S,$T:$T,"="&amp;$T248)),""))))&amp;"",IF(Q248="","",""))&amp;""</f>
        <v/>
      </c>
      <c r="AY248" t="str" cm="1">
        <f t="array" ref="AY248">IFERROR(IF(R248&lt;&gt;"",R248,IF(OR($S248="",$T248=""),"",IF($T248&lt;&gt;"",_xlfn._xlws.FILTER(R:R,($BT:$BT=$BT248)*($I:$I=$I248)*($T:$T=$T248)*($S:$S=_xlfn.MINIFS($S:$S,$T:$T,"="&amp;$T248)),""))))&amp;"",IF(R248="","",""))&amp;""</f>
        <v>1</v>
      </c>
      <c r="AZ248" s="6">
        <f t="shared" si="363"/>
        <v>22</v>
      </c>
      <c r="BA248">
        <f t="shared" ref="BA248:BC248" si="460">BA247</f>
        <v>18991</v>
      </c>
      <c r="BB248" t="str">
        <f t="shared" si="460"/>
        <v>Triple J</v>
      </c>
      <c r="BC248" t="str">
        <f t="shared" si="460"/>
        <v>Velodrome</v>
      </c>
      <c r="BD248" t="str">
        <f t="shared" si="365"/>
        <v>Shot</v>
      </c>
      <c r="BE248" t="str">
        <f t="shared" si="366"/>
        <v>Shot_Goal</v>
      </c>
      <c r="BF248" t="str">
        <f t="shared" si="367"/>
        <v/>
      </c>
      <c r="BG248" t="str">
        <f t="shared" si="22"/>
        <v>s</v>
      </c>
      <c r="BH248" cm="1">
        <f t="array" aca="1" ref="BH248" ca="1">IFERROR(_xlfn._xlws.FILTER(shifts!A:A,(shifts!B:B=events!Z248)*(shifts!AG:AG&gt;=events!BJ248)*(shifts!AH:AH&lt;=events!BK248)),BH247)</f>
        <v>8</v>
      </c>
      <c r="BI248" s="15">
        <f t="shared" si="368"/>
        <v>0</v>
      </c>
      <c r="BJ248">
        <f t="shared" si="369"/>
        <v>869</v>
      </c>
      <c r="BK248">
        <f t="shared" si="370"/>
        <v>869</v>
      </c>
      <c r="BL248" s="15">
        <f>SUMIFS(BI$2:BI248,K$2:K248,"=Intermission")+SUMIFS(BI$2:BI248,K$2:K248,"=Timeout")</f>
        <v>0</v>
      </c>
      <c r="BM248">
        <f t="shared" si="371"/>
        <v>0</v>
      </c>
      <c r="BN248" s="19">
        <f t="shared" si="372"/>
        <v>211</v>
      </c>
      <c r="BO248">
        <f t="shared" si="373"/>
        <v>206</v>
      </c>
      <c r="BP248" s="17">
        <f t="shared" si="374"/>
        <v>211</v>
      </c>
      <c r="BQ248" t="str">
        <f t="shared" si="375"/>
        <v>opp_team_player_3</v>
      </c>
      <c r="BR248">
        <f>COUNTIFS(S$3:S248,"="&amp;S248,AH$3:AH248,"="&amp;AH248)</f>
        <v>3</v>
      </c>
      <c r="BS248" t="str">
        <f>IFERROR(VLOOKUP(BA248&amp;BT248&amp;X248,game_rosters!U:W,3,FALSE),"")</f>
        <v>P100089</v>
      </c>
      <c r="BT248" t="str">
        <f t="shared" si="376"/>
        <v>Triple J</v>
      </c>
    </row>
    <row r="249" spans="1:72" x14ac:dyDescent="0.2">
      <c r="A249">
        <f t="shared" si="351"/>
        <v>1</v>
      </c>
      <c r="D249" s="26" t="s">
        <v>729</v>
      </c>
      <c r="E249" s="4"/>
      <c r="F249" s="45"/>
      <c r="G249" s="4"/>
      <c r="H249" s="47"/>
      <c r="J249" s="26" t="str">
        <f t="shared" si="377"/>
        <v>o</v>
      </c>
      <c r="K249" t="s">
        <v>8</v>
      </c>
      <c r="L249" t="s">
        <v>213</v>
      </c>
      <c r="M249" t="s">
        <v>216</v>
      </c>
      <c r="N249" t="str">
        <f t="shared" si="395"/>
        <v>s</v>
      </c>
      <c r="Q249" t="str">
        <f t="shared" si="389"/>
        <v/>
      </c>
      <c r="S249">
        <f>IF(A249=1,MAX($S$2:$S248)+1,IF(OR($I249&lt;&gt;"",A249="x"),$S248,""))</f>
        <v>126</v>
      </c>
      <c r="T249">
        <f>IF(D249=1,MAX($T$2:$T248)+1,IF(S249=S248,$T248,IF(D249="x",T248,IF(D248="x","",""))))</f>
        <v>18</v>
      </c>
      <c r="U249" t="str">
        <f>IF(B249=1,MAX($U$2:$U248)+1,IF(AND($T249&lt;&gt;"",$T249=$T248),$U248,IF(B249="x",U248,"")))</f>
        <v/>
      </c>
      <c r="V249" t="str">
        <f>IF(C249=1,MAX($V$2:$V248)+1,IF(AND($T249&lt;&gt;"",$T249=$T248),$U248,IF(C249="x",V248,"")))</f>
        <v/>
      </c>
      <c r="W249" t="str" cm="1">
        <f t="array" ref="W249">IFERROR(_xlfn._xlws.FILTER(game_rosters!AC:AC,(game_rosters!J:J=events!X249)*(K249&lt;&gt;"")),"")</f>
        <v>a</v>
      </c>
      <c r="X249" cm="1">
        <f t="array" ref="X249">IF($I249&lt;&gt;"",$I249,INDEX($I$1:$I249,ROW()-COUNTIFS($T$1:$T249,"="&amp;$T249,$S$1:$S249,"&lt;"&amp;$S249)))</f>
        <v>70</v>
      </c>
      <c r="Y249" cm="1">
        <f t="array" ref="Y249">IFERROR(IF(_xlfn._xlws.FILTER(game_rosters!$J:$J,(game_rosters!$G:$G=events!$AM249)*(game_rosters!$J:$J=events!$X249))&gt;0,1,""),"")</f>
        <v>1</v>
      </c>
      <c r="Z249" s="6">
        <f t="shared" si="352"/>
        <v>1</v>
      </c>
      <c r="AA249">
        <f t="shared" si="353"/>
        <v>1126</v>
      </c>
      <c r="AB249">
        <f t="shared" si="354"/>
        <v>9018</v>
      </c>
      <c r="AC249">
        <f t="shared" si="355"/>
        <v>9018</v>
      </c>
      <c r="AD249" t="str">
        <f t="shared" si="356"/>
        <v>14</v>
      </c>
      <c r="AE249" t="str">
        <f t="shared" si="357"/>
        <v>29</v>
      </c>
      <c r="AF249" t="str">
        <f t="shared" si="358"/>
        <v/>
      </c>
      <c r="AG249" t="str">
        <f t="shared" si="359"/>
        <v/>
      </c>
      <c r="AH249" t="str">
        <f t="shared" si="402"/>
        <v>e</v>
      </c>
      <c r="AI249" t="str">
        <f t="shared" si="456"/>
        <v>o</v>
      </c>
      <c r="AJ249" t="str">
        <f t="shared" si="456"/>
        <v>o</v>
      </c>
      <c r="AK249" t="str">
        <f t="shared" si="404"/>
        <v>d</v>
      </c>
      <c r="AL249" t="str">
        <f t="shared" si="405"/>
        <v>o</v>
      </c>
      <c r="AM249" t="str">
        <f t="shared" si="360"/>
        <v>Away</v>
      </c>
      <c r="AN249" t="str">
        <f t="shared" si="406"/>
        <v>a</v>
      </c>
      <c r="AO249" t="str">
        <f t="shared" si="407"/>
        <v>d</v>
      </c>
      <c r="AP249" t="str">
        <f t="shared" si="408"/>
        <v>o</v>
      </c>
      <c r="AQ249" t="str">
        <f>IF(AM249&lt;&gt;"",AM249,IF($AC249=#REF!,#REF!,""))</f>
        <v>Away</v>
      </c>
      <c r="AR249" t="str">
        <f t="shared" si="409"/>
        <v>a</v>
      </c>
      <c r="AS249" t="str">
        <f t="shared" si="410"/>
        <v>Offensive</v>
      </c>
      <c r="AT249" t="str">
        <f t="shared" si="361"/>
        <v/>
      </c>
      <c r="AU249" t="str">
        <f t="shared" si="362"/>
        <v/>
      </c>
      <c r="AV249" t="str" cm="1">
        <f t="array" ref="AV249">IFERROR(IF(O249&lt;&gt;"",O249,IF(OR($S249="",$T249=""),"",IF(O249&lt;&gt;"",O249,IF($T249&lt;&gt;"",_xlfn._xlws.FILTER(O:O,($BT:$BT=$BT249)*($I:$I=$I249)*($T:$T=$T249)*($S:$S=_xlfn.MINIFS($S:$S,$T:$T,"="&amp;$T249)),"")))))&amp;"",IF(O249="","",""))&amp;""</f>
        <v/>
      </c>
      <c r="AW249" t="str" cm="1">
        <f t="array" ref="AW249">IFERROR(IF(P249&lt;&gt;"",P249,IF(OR($S249="",$T249=""),"",IF($T249&lt;&gt;"",_xlfn._xlws.FILTER(P:P,($BT:$BT=$BT249)*($I:$I=$I249)*($T:$T=$T249)*($S:$S=_xlfn.MINIFS($S:$S,$T:$T,"="&amp;$T249)),""))))&amp;"",IF(P249="","",""))&amp;""</f>
        <v/>
      </c>
      <c r="AX249" t="str" cm="1">
        <f t="array" ref="AX249">IFERROR(IF(Q249&lt;&gt;"",Q249,IF(OR($S249="",$T249=""),"",IF($T249&lt;&gt;"",_xlfn._xlws.FILTER(Q:Q,($BT:$BT=$BT249)*($I:$I=$I249)*($T:$T=$T249)*($S:$S=_xlfn.MINIFS($S:$S,$T:$T,"="&amp;$T249)),""))))&amp;"",IF(Q249="","",""))&amp;""</f>
        <v/>
      </c>
      <c r="AY249" t="str" cm="1">
        <f t="array" ref="AY249">IFERROR(IF(R249&lt;&gt;"",R249,IF(OR($S249="",$T249=""),"",IF($T249&lt;&gt;"",_xlfn._xlws.FILTER(R:R,($BT:$BT=$BT249)*($I:$I=$I249)*($T:$T=$T249)*($S:$S=_xlfn.MINIFS($S:$S,$T:$T,"="&amp;$T249)),""))))&amp;"",IF(R249="","",""))&amp;""</f>
        <v/>
      </c>
      <c r="AZ249" s="6">
        <f t="shared" si="363"/>
        <v>22</v>
      </c>
      <c r="BA249">
        <f t="shared" ref="BA249:BC249" si="461">BA248</f>
        <v>18991</v>
      </c>
      <c r="BB249" t="str">
        <f t="shared" si="461"/>
        <v>Triple J</v>
      </c>
      <c r="BC249" t="str">
        <f t="shared" si="461"/>
        <v>Velodrome</v>
      </c>
      <c r="BD249" t="str">
        <f t="shared" si="365"/>
        <v>Goal</v>
      </c>
      <c r="BE249" t="str">
        <f t="shared" si="366"/>
        <v>Goal_Scored</v>
      </c>
      <c r="BF249" t="str">
        <f t="shared" si="367"/>
        <v>Goal-Wrist</v>
      </c>
      <c r="BG249" t="str">
        <f t="shared" si="22"/>
        <v>s</v>
      </c>
      <c r="BH249" cm="1">
        <f t="array" aca="1" ref="BH249" ca="1">IFERROR(_xlfn._xlws.FILTER(shifts!A:A,(shifts!B:B=events!Z249)*(shifts!AG:AG&gt;=events!BJ249)*(shifts!AH:AH&lt;=events!BK249)),BH248)</f>
        <v>8</v>
      </c>
      <c r="BI249" s="15">
        <f t="shared" si="368"/>
        <v>0</v>
      </c>
      <c r="BJ249">
        <f t="shared" si="369"/>
        <v>869</v>
      </c>
      <c r="BK249">
        <f t="shared" si="370"/>
        <v>869</v>
      </c>
      <c r="BL249" s="15">
        <f>SUMIFS(BI$2:BI249,K$2:K249,"=Intermission")+SUMIFS(BI$2:BI249,K$2:K249,"=Timeout")</f>
        <v>0</v>
      </c>
      <c r="BM249">
        <f t="shared" si="371"/>
        <v>0</v>
      </c>
      <c r="BN249" s="19">
        <f t="shared" si="372"/>
        <v>211</v>
      </c>
      <c r="BO249">
        <f t="shared" si="373"/>
        <v>206</v>
      </c>
      <c r="BP249" s="17">
        <f t="shared" si="374"/>
        <v>211</v>
      </c>
      <c r="BQ249" t="str">
        <f t="shared" si="375"/>
        <v>event_team_player_1</v>
      </c>
      <c r="BR249">
        <f>COUNTIFS(S$3:S249,"="&amp;S249,AH$3:AH249,"="&amp;AH249)</f>
        <v>1</v>
      </c>
      <c r="BS249" t="str">
        <f>IFERROR(VLOOKUP(BA249&amp;BT249&amp;X249,game_rosters!U:W,3,FALSE),"")</f>
        <v>P100001</v>
      </c>
      <c r="BT249" t="str">
        <f t="shared" si="376"/>
        <v>Velodrome</v>
      </c>
    </row>
    <row r="250" spans="1:72" x14ac:dyDescent="0.2">
      <c r="A250" t="str">
        <f t="shared" si="351"/>
        <v>x</v>
      </c>
      <c r="D250" s="26" t="s">
        <v>729</v>
      </c>
      <c r="E250" s="4"/>
      <c r="F250" s="45"/>
      <c r="G250" s="4"/>
      <c r="H250" s="47"/>
      <c r="J250" s="26" t="str">
        <f t="shared" si="377"/>
        <v/>
      </c>
      <c r="N250" t="str">
        <f t="shared" si="395"/>
        <v/>
      </c>
      <c r="Q250" t="str">
        <f t="shared" si="389"/>
        <v/>
      </c>
      <c r="S250">
        <f>IF(A250=1,MAX($S$2:$S249)+1,IF(OR($I250&lt;&gt;"",A250="x"),$S249,""))</f>
        <v>126</v>
      </c>
      <c r="T250">
        <f>IF(D250=1,MAX($T$2:$T249)+1,IF(S250=S249,$T249,IF(D250="x",T249,IF(D249="x","",""))))</f>
        <v>18</v>
      </c>
      <c r="U250" t="str">
        <f>IF(B250=1,MAX($U$2:$U249)+1,IF(AND($T250&lt;&gt;"",$T250=$T249),$U249,IF(B250="x",U249,"")))</f>
        <v/>
      </c>
      <c r="V250" t="str">
        <f>IF(C250=1,MAX($V$2:$V249)+1,IF(AND($T250&lt;&gt;"",$T250=$T249),$U249,IF(C250="x",V249,"")))</f>
        <v/>
      </c>
      <c r="W250" t="str" cm="1">
        <f t="array" ref="W250">IFERROR(_xlfn._xlws.FILTER(game_rosters!AC:AC,(game_rosters!J:J=events!X250)*(K250&lt;&gt;"")),"")</f>
        <v/>
      </c>
      <c r="X250" cm="1">
        <f t="array" ref="X250">IF($I250&lt;&gt;"",$I250,INDEX($I$1:$I250,ROW()-COUNTIFS($T$1:$T250,"="&amp;$T250,$S$1:$S250,"&lt;"&amp;$S250)))</f>
        <v>1</v>
      </c>
      <c r="Y250" t="str" cm="1">
        <f t="array" ref="Y250">IFERROR(IF(_xlfn._xlws.FILTER(game_rosters!$J:$J,(game_rosters!$G:$G=events!$AM250)*(game_rosters!$J:$J=events!$X250))&gt;0,1,""),"")</f>
        <v/>
      </c>
      <c r="Z250" s="6">
        <f t="shared" si="352"/>
        <v>1</v>
      </c>
      <c r="AA250">
        <f t="shared" si="353"/>
        <v>1126</v>
      </c>
      <c r="AB250">
        <f t="shared" si="354"/>
        <v>9018</v>
      </c>
      <c r="AC250">
        <f t="shared" si="355"/>
        <v>9018</v>
      </c>
      <c r="AD250" t="str">
        <f t="shared" si="356"/>
        <v>14</v>
      </c>
      <c r="AE250" t="str">
        <f t="shared" si="357"/>
        <v>29</v>
      </c>
      <c r="AF250" t="str">
        <f t="shared" si="358"/>
        <v/>
      </c>
      <c r="AG250" t="str">
        <f t="shared" si="359"/>
        <v/>
      </c>
      <c r="AH250" t="str">
        <f t="shared" si="402"/>
        <v>o</v>
      </c>
      <c r="AI250" t="str">
        <f t="shared" si="456"/>
        <v>o</v>
      </c>
      <c r="AJ250" t="str">
        <f t="shared" si="456"/>
        <v>o</v>
      </c>
      <c r="AK250" t="str">
        <f t="shared" si="404"/>
        <v/>
      </c>
      <c r="AL250" t="str">
        <f t="shared" si="405"/>
        <v/>
      </c>
      <c r="AM250" t="str">
        <f t="shared" si="360"/>
        <v>Away</v>
      </c>
      <c r="AN250" t="str">
        <f t="shared" si="406"/>
        <v>a</v>
      </c>
      <c r="AO250" t="str">
        <f t="shared" si="407"/>
        <v>d</v>
      </c>
      <c r="AP250" t="str">
        <f t="shared" si="408"/>
        <v>o</v>
      </c>
      <c r="AQ250" t="str">
        <f>IF(AM250&lt;&gt;"",AM250,IF($AC250=#REF!,#REF!,""))</f>
        <v>Away</v>
      </c>
      <c r="AR250" t="str">
        <f t="shared" si="409"/>
        <v>a</v>
      </c>
      <c r="AS250" t="str">
        <f t="shared" si="410"/>
        <v>Defensive</v>
      </c>
      <c r="AT250" t="str">
        <f t="shared" si="361"/>
        <v/>
      </c>
      <c r="AU250" t="str">
        <f t="shared" si="362"/>
        <v/>
      </c>
      <c r="AV250" t="str" cm="1">
        <f t="array" ref="AV250">IFERROR(IF(O250&lt;&gt;"",O250,IF(OR($S250="",$T250=""),"",IF(O250&lt;&gt;"",O250,IF($T250&lt;&gt;"",_xlfn._xlws.FILTER(O:O,($BT:$BT=$BT250)*($I:$I=$I250)*($T:$T=$T250)*($S:$S=_xlfn.MINIFS($S:$S,$T:$T,"="&amp;$T250)),"")))))&amp;"",IF(O250="","",""))&amp;""</f>
        <v/>
      </c>
      <c r="AW250" t="str" cm="1">
        <f t="array" ref="AW250">IFERROR(IF(P250&lt;&gt;"",P250,IF(OR($S250="",$T250=""),"",IF($T250&lt;&gt;"",_xlfn._xlws.FILTER(P:P,($BT:$BT=$BT250)*($I:$I=$I250)*($T:$T=$T250)*($S:$S=_xlfn.MINIFS($S:$S,$T:$T,"="&amp;$T250)),""))))&amp;"",IF(P250="","",""))&amp;""</f>
        <v/>
      </c>
      <c r="AX250" t="str" cm="1">
        <f t="array" ref="AX250">IFERROR(IF(Q250&lt;&gt;"",Q250,IF(OR($S250="",$T250=""),"",IF($T250&lt;&gt;"",_xlfn._xlws.FILTER(Q:Q,($BT:$BT=$BT250)*($I:$I=$I250)*($T:$T=$T250)*($S:$S=_xlfn.MINIFS($S:$S,$T:$T,"="&amp;$T250)),""))))&amp;"",IF(Q250="","",""))&amp;""</f>
        <v/>
      </c>
      <c r="AY250" t="str" cm="1">
        <f t="array" ref="AY250">IFERROR(IF(R250&lt;&gt;"",R250,IF(OR($S250="",$T250=""),"",IF($T250&lt;&gt;"",_xlfn._xlws.FILTER(R:R,($BT:$BT=$BT250)*($I:$I=$I250)*($T:$T=$T250)*($S:$S=_xlfn.MINIFS($S:$S,$T:$T,"="&amp;$T250)),""))))&amp;"",IF(R250="","",""))&amp;""</f>
        <v/>
      </c>
      <c r="AZ250" s="6">
        <f t="shared" si="363"/>
        <v>22</v>
      </c>
      <c r="BA250">
        <f t="shared" ref="BA250:BC250" si="462">BA249</f>
        <v>18991</v>
      </c>
      <c r="BB250" t="str">
        <f t="shared" si="462"/>
        <v>Triple J</v>
      </c>
      <c r="BC250" t="str">
        <f t="shared" si="462"/>
        <v>Velodrome</v>
      </c>
      <c r="BD250" t="str">
        <f t="shared" si="365"/>
        <v>Goal</v>
      </c>
      <c r="BE250" t="str">
        <f t="shared" si="366"/>
        <v>Goal_Scored</v>
      </c>
      <c r="BF250" t="str">
        <f t="shared" si="367"/>
        <v>Goal-Wrist</v>
      </c>
      <c r="BG250" t="str">
        <f t="shared" si="22"/>
        <v>s</v>
      </c>
      <c r="BH250" cm="1">
        <f t="array" aca="1" ref="BH250" ca="1">IFERROR(_xlfn._xlws.FILTER(shifts!A:A,(shifts!B:B=events!Z250)*(shifts!AG:AG&gt;=events!BJ250)*(shifts!AH:AH&lt;=events!BK250)),BH249)</f>
        <v>8</v>
      </c>
      <c r="BI250" s="15">
        <f t="shared" si="368"/>
        <v>0</v>
      </c>
      <c r="BJ250">
        <f t="shared" si="369"/>
        <v>869</v>
      </c>
      <c r="BK250">
        <f t="shared" si="370"/>
        <v>869</v>
      </c>
      <c r="BL250" s="15">
        <f>SUMIFS(BI$2:BI250,K$2:K250,"=Intermission")+SUMIFS(BI$2:BI250,K$2:K250,"=Timeout")</f>
        <v>0</v>
      </c>
      <c r="BM250">
        <f t="shared" si="371"/>
        <v>0</v>
      </c>
      <c r="BN250" s="19">
        <f t="shared" si="372"/>
        <v>211</v>
      </c>
      <c r="BO250">
        <f t="shared" si="373"/>
        <v>206</v>
      </c>
      <c r="BP250" s="17">
        <f t="shared" si="374"/>
        <v>211</v>
      </c>
      <c r="BQ250" t="str">
        <f t="shared" si="375"/>
        <v>opp_team_player_1</v>
      </c>
      <c r="BR250">
        <f>COUNTIFS(S$3:S250,"="&amp;S250,AH$3:AH250,"="&amp;AH250)</f>
        <v>1</v>
      </c>
      <c r="BS250" t="str">
        <f>IFERROR(VLOOKUP(BA250&amp;BT250&amp;X250,game_rosters!U:W,3,FALSE),"")</f>
        <v>P100020</v>
      </c>
      <c r="BT250" t="str">
        <f t="shared" si="376"/>
        <v>Triple J</v>
      </c>
    </row>
    <row r="251" spans="1:72" x14ac:dyDescent="0.2">
      <c r="A251" t="str">
        <f t="shared" si="351"/>
        <v>x</v>
      </c>
      <c r="D251" s="26" t="s">
        <v>729</v>
      </c>
      <c r="E251" s="4"/>
      <c r="F251" s="45"/>
      <c r="G251" s="4"/>
      <c r="H251" s="47"/>
      <c r="J251" s="26" t="str">
        <f t="shared" si="377"/>
        <v/>
      </c>
      <c r="N251" t="str">
        <f t="shared" si="395"/>
        <v/>
      </c>
      <c r="Q251" t="str">
        <f t="shared" si="389"/>
        <v/>
      </c>
      <c r="S251">
        <f>IF(A251=1,MAX($S$2:$S250)+1,IF(OR($I251&lt;&gt;"",A251="x"),$S250,""))</f>
        <v>126</v>
      </c>
      <c r="T251">
        <f>IF(D251=1,MAX($T$2:$T250)+1,IF(S251=S250,$T250,IF(D251="x",T250,IF(D250="x","",""))))</f>
        <v>18</v>
      </c>
      <c r="U251" t="str">
        <f>IF(B251=1,MAX($U$2:$U250)+1,IF(AND($T251&lt;&gt;"",$T251=$T250),$U250,IF(B251="x",U250,"")))</f>
        <v/>
      </c>
      <c r="V251" t="str">
        <f>IF(C251=1,MAX($V$2:$V250)+1,IF(AND($T251&lt;&gt;"",$T251=$T250),$U250,IF(C251="x",V250,"")))</f>
        <v/>
      </c>
      <c r="W251" t="str" cm="1">
        <f t="array" ref="W251">IFERROR(_xlfn._xlws.FILTER(game_rosters!AC:AC,(game_rosters!J:J=events!X251)*(K251&lt;&gt;"")),"")</f>
        <v/>
      </c>
      <c r="X251" cm="1">
        <f t="array" ref="X251">IF($I251&lt;&gt;"",$I251,INDEX($I$1:$I251,ROW()-COUNTIFS($T$1:$T251,"="&amp;$T251,$S$1:$S251,"&lt;"&amp;$S251)))</f>
        <v>73</v>
      </c>
      <c r="Y251" t="str" cm="1">
        <f t="array" ref="Y251">IFERROR(IF(_xlfn._xlws.FILTER(game_rosters!$J:$J,(game_rosters!$G:$G=events!$AM251)*(game_rosters!$J:$J=events!$X251))&gt;0,1,""),"")</f>
        <v/>
      </c>
      <c r="Z251" s="6">
        <f t="shared" si="352"/>
        <v>1</v>
      </c>
      <c r="AA251">
        <f t="shared" si="353"/>
        <v>1126</v>
      </c>
      <c r="AB251">
        <f t="shared" si="354"/>
        <v>9018</v>
      </c>
      <c r="AC251">
        <f t="shared" si="355"/>
        <v>9018</v>
      </c>
      <c r="AD251" t="str">
        <f t="shared" si="356"/>
        <v>14</v>
      </c>
      <c r="AE251" t="str">
        <f t="shared" si="357"/>
        <v>29</v>
      </c>
      <c r="AF251" t="str">
        <f t="shared" si="358"/>
        <v/>
      </c>
      <c r="AG251" t="str">
        <f t="shared" si="359"/>
        <v/>
      </c>
      <c r="AH251" t="str">
        <f t="shared" si="402"/>
        <v>o</v>
      </c>
      <c r="AI251" t="str">
        <f t="shared" ref="AI251:AJ266" si="463">IF($J251&lt;&gt;"",$J251,IF($AC251=$AC250,AI250,""))</f>
        <v>o</v>
      </c>
      <c r="AJ251" t="str">
        <f t="shared" si="463"/>
        <v>o</v>
      </c>
      <c r="AK251" t="str">
        <f t="shared" si="404"/>
        <v/>
      </c>
      <c r="AL251" t="str">
        <f t="shared" si="405"/>
        <v/>
      </c>
      <c r="AM251" t="str">
        <f t="shared" si="360"/>
        <v>Away</v>
      </c>
      <c r="AN251" t="str">
        <f t="shared" si="406"/>
        <v>a</v>
      </c>
      <c r="AO251" t="str">
        <f t="shared" si="407"/>
        <v>d</v>
      </c>
      <c r="AP251" t="str">
        <f t="shared" si="408"/>
        <v>o</v>
      </c>
      <c r="AQ251" t="str">
        <f>IF(AM251&lt;&gt;"",AM251,IF($AC251=#REF!,#REF!,""))</f>
        <v>Away</v>
      </c>
      <c r="AR251" t="str">
        <f t="shared" si="409"/>
        <v>a</v>
      </c>
      <c r="AS251" t="str">
        <f t="shared" si="410"/>
        <v>Defensive</v>
      </c>
      <c r="AT251" t="str">
        <f t="shared" si="361"/>
        <v/>
      </c>
      <c r="AU251" t="str">
        <f t="shared" si="362"/>
        <v/>
      </c>
      <c r="AV251" t="str" cm="1">
        <f t="array" ref="AV251">IFERROR(IF(O251&lt;&gt;"",O251,IF(OR($S251="",$T251=""),"",IF(O251&lt;&gt;"",O251,IF($T251&lt;&gt;"",_xlfn._xlws.FILTER(O:O,($BT:$BT=$BT251)*($I:$I=$I251)*($T:$T=$T251)*($S:$S=_xlfn.MINIFS($S:$S,$T:$T,"="&amp;$T251)),"")))))&amp;"",IF(O251="","",""))&amp;""</f>
        <v/>
      </c>
      <c r="AW251" t="str" cm="1">
        <f t="array" ref="AW251">IFERROR(IF(P251&lt;&gt;"",P251,IF(OR($S251="",$T251=""),"",IF($T251&lt;&gt;"",_xlfn._xlws.FILTER(P:P,($BT:$BT=$BT251)*($I:$I=$I251)*($T:$T=$T251)*($S:$S=_xlfn.MINIFS($S:$S,$T:$T,"="&amp;$T251)),""))))&amp;"",IF(P251="","",""))&amp;""</f>
        <v/>
      </c>
      <c r="AX251" t="str" cm="1">
        <f t="array" ref="AX251">IFERROR(IF(Q251&lt;&gt;"",Q251,IF(OR($S251="",$T251=""),"",IF($T251&lt;&gt;"",_xlfn._xlws.FILTER(Q:Q,($BT:$BT=$BT251)*($I:$I=$I251)*($T:$T=$T251)*($S:$S=_xlfn.MINIFS($S:$S,$T:$T,"="&amp;$T251)),""))))&amp;"",IF(Q251="","",""))&amp;""</f>
        <v/>
      </c>
      <c r="AY251" t="str" cm="1">
        <f t="array" ref="AY251">IFERROR(IF(R251&lt;&gt;"",R251,IF(OR($S251="",$T251=""),"",IF($T251&lt;&gt;"",_xlfn._xlws.FILTER(R:R,($BT:$BT=$BT251)*($I:$I=$I251)*($T:$T=$T251)*($S:$S=_xlfn.MINIFS($S:$S,$T:$T,"="&amp;$T251)),""))))&amp;"",IF(R251="","",""))&amp;""</f>
        <v/>
      </c>
      <c r="AZ251" s="6">
        <f t="shared" si="363"/>
        <v>22</v>
      </c>
      <c r="BA251">
        <f t="shared" ref="BA251:BC251" si="464">BA250</f>
        <v>18991</v>
      </c>
      <c r="BB251" t="str">
        <f t="shared" si="464"/>
        <v>Triple J</v>
      </c>
      <c r="BC251" t="str">
        <f t="shared" si="464"/>
        <v>Velodrome</v>
      </c>
      <c r="BD251" t="str">
        <f t="shared" si="365"/>
        <v>Goal</v>
      </c>
      <c r="BE251" t="str">
        <f t="shared" si="366"/>
        <v>Goal_Scored</v>
      </c>
      <c r="BF251" t="str">
        <f t="shared" si="367"/>
        <v>Goal-Wrist</v>
      </c>
      <c r="BG251" t="str">
        <f t="shared" si="22"/>
        <v>s</v>
      </c>
      <c r="BH251" cm="1">
        <f t="array" aca="1" ref="BH251" ca="1">IFERROR(_xlfn._xlws.FILTER(shifts!A:A,(shifts!B:B=events!Z251)*(shifts!AG:AG&gt;=events!BJ251)*(shifts!AH:AH&lt;=events!BK251)),BH250)</f>
        <v>8</v>
      </c>
      <c r="BI251" s="15">
        <f t="shared" si="368"/>
        <v>0</v>
      </c>
      <c r="BJ251">
        <f t="shared" si="369"/>
        <v>869</v>
      </c>
      <c r="BK251">
        <f t="shared" si="370"/>
        <v>869</v>
      </c>
      <c r="BL251" s="15">
        <f>SUMIFS(BI$2:BI251,K$2:K251,"=Intermission")+SUMIFS(BI$2:BI251,K$2:K251,"=Timeout")</f>
        <v>0</v>
      </c>
      <c r="BM251">
        <f t="shared" si="371"/>
        <v>0</v>
      </c>
      <c r="BN251" s="19">
        <f t="shared" si="372"/>
        <v>211</v>
      </c>
      <c r="BO251">
        <f t="shared" si="373"/>
        <v>206</v>
      </c>
      <c r="BP251" s="17">
        <f t="shared" si="374"/>
        <v>211</v>
      </c>
      <c r="BQ251" t="str">
        <f t="shared" si="375"/>
        <v>opp_team_player_2</v>
      </c>
      <c r="BR251">
        <f>COUNTIFS(S$3:S251,"="&amp;S251,AH$3:AH251,"="&amp;AH251)</f>
        <v>2</v>
      </c>
      <c r="BS251" t="str">
        <f>IFERROR(VLOOKUP(BA251&amp;BT251&amp;X251,game_rosters!U:W,3,FALSE),"")</f>
        <v>P100021</v>
      </c>
      <c r="BT251" t="str">
        <f t="shared" si="376"/>
        <v>Triple J</v>
      </c>
    </row>
    <row r="252" spans="1:72" x14ac:dyDescent="0.2">
      <c r="A252" t="str">
        <f t="shared" si="351"/>
        <v>x</v>
      </c>
      <c r="D252" s="26" t="s">
        <v>729</v>
      </c>
      <c r="E252" s="4"/>
      <c r="F252" s="45"/>
      <c r="G252" s="4"/>
      <c r="H252" s="47"/>
      <c r="J252" s="26" t="str">
        <f t="shared" si="377"/>
        <v/>
      </c>
      <c r="N252" t="str">
        <f t="shared" si="395"/>
        <v/>
      </c>
      <c r="Q252" t="str">
        <f t="shared" si="389"/>
        <v/>
      </c>
      <c r="S252">
        <f>IF(A252=1,MAX($S$2:$S251)+1,IF(OR($I252&lt;&gt;"",A252="x"),$S251,""))</f>
        <v>126</v>
      </c>
      <c r="T252">
        <f>IF(D252=1,MAX($T$2:$T251)+1,IF(S252=S251,$T251,IF(D252="x",T251,IF(D251="x","",""))))</f>
        <v>18</v>
      </c>
      <c r="U252" t="str">
        <f>IF(B252=1,MAX($U$2:$U251)+1,IF(AND($T252&lt;&gt;"",$T252=$T251),$U251,IF(B252="x",U251,"")))</f>
        <v/>
      </c>
      <c r="V252" t="str">
        <f>IF(C252=1,MAX($V$2:$V251)+1,IF(AND($T252&lt;&gt;"",$T252=$T251),$U251,IF(C252="x",V251,"")))</f>
        <v/>
      </c>
      <c r="W252" t="str" cm="1">
        <f t="array" ref="W252">IFERROR(_xlfn._xlws.FILTER(game_rosters!AC:AC,(game_rosters!J:J=events!X252)*(K252&lt;&gt;"")),"")</f>
        <v/>
      </c>
      <c r="X252" cm="1">
        <f t="array" ref="X252">IF($I252&lt;&gt;"",$I252,INDEX($I$1:$I252,ROW()-COUNTIFS($T$1:$T252,"="&amp;$T252,$S$1:$S252,"&lt;"&amp;$S252)))</f>
        <v>19</v>
      </c>
      <c r="Y252" t="str" cm="1">
        <f t="array" ref="Y252">IFERROR(IF(_xlfn._xlws.FILTER(game_rosters!$J:$J,(game_rosters!$G:$G=events!$AM252)*(game_rosters!$J:$J=events!$X252))&gt;0,1,""),"")</f>
        <v/>
      </c>
      <c r="Z252" s="6">
        <f t="shared" si="352"/>
        <v>1</v>
      </c>
      <c r="AA252">
        <f t="shared" si="353"/>
        <v>1126</v>
      </c>
      <c r="AB252">
        <f t="shared" si="354"/>
        <v>9018</v>
      </c>
      <c r="AC252">
        <f t="shared" si="355"/>
        <v>9018</v>
      </c>
      <c r="AD252" t="str">
        <f t="shared" si="356"/>
        <v>14</v>
      </c>
      <c r="AE252" t="str">
        <f t="shared" si="357"/>
        <v>29</v>
      </c>
      <c r="AF252" t="str">
        <f t="shared" si="358"/>
        <v/>
      </c>
      <c r="AG252" t="str">
        <f t="shared" si="359"/>
        <v/>
      </c>
      <c r="AH252" t="str">
        <f t="shared" si="402"/>
        <v>o</v>
      </c>
      <c r="AI252" t="str">
        <f t="shared" si="463"/>
        <v>o</v>
      </c>
      <c r="AJ252" t="str">
        <f t="shared" si="463"/>
        <v>o</v>
      </c>
      <c r="AK252" t="str">
        <f t="shared" si="404"/>
        <v/>
      </c>
      <c r="AL252" t="str">
        <f t="shared" si="405"/>
        <v/>
      </c>
      <c r="AM252" t="str">
        <f t="shared" si="360"/>
        <v>Away</v>
      </c>
      <c r="AN252" t="str">
        <f t="shared" si="406"/>
        <v>a</v>
      </c>
      <c r="AO252" t="str">
        <f t="shared" si="407"/>
        <v>d</v>
      </c>
      <c r="AP252" t="str">
        <f t="shared" si="408"/>
        <v>o</v>
      </c>
      <c r="AQ252" t="str">
        <f>IF(AM252&lt;&gt;"",AM252,IF($AC252=#REF!,#REF!,""))</f>
        <v>Away</v>
      </c>
      <c r="AR252" t="str">
        <f t="shared" si="409"/>
        <v>a</v>
      </c>
      <c r="AS252" t="str">
        <f t="shared" si="410"/>
        <v>Defensive</v>
      </c>
      <c r="AT252" t="str">
        <f t="shared" si="361"/>
        <v/>
      </c>
      <c r="AU252" t="str">
        <f t="shared" si="362"/>
        <v/>
      </c>
      <c r="AV252" t="str" cm="1">
        <f t="array" ref="AV252">IFERROR(IF(O252&lt;&gt;"",O252,IF(OR($S252="",$T252=""),"",IF(O252&lt;&gt;"",O252,IF($T252&lt;&gt;"",_xlfn._xlws.FILTER(O:O,($BT:$BT=$BT252)*($I:$I=$I252)*($T:$T=$T252)*($S:$S=_xlfn.MINIFS($S:$S,$T:$T,"="&amp;$T252)),"")))))&amp;"",IF(O252="","",""))&amp;""</f>
        <v/>
      </c>
      <c r="AW252" t="str" cm="1">
        <f t="array" ref="AW252">IFERROR(IF(P252&lt;&gt;"",P252,IF(OR($S252="",$T252=""),"",IF($T252&lt;&gt;"",_xlfn._xlws.FILTER(P:P,($BT:$BT=$BT252)*($I:$I=$I252)*($T:$T=$T252)*($S:$S=_xlfn.MINIFS($S:$S,$T:$T,"="&amp;$T252)),""))))&amp;"",IF(P252="","",""))&amp;""</f>
        <v/>
      </c>
      <c r="AX252" t="str" cm="1">
        <f t="array" ref="AX252">IFERROR(IF(Q252&lt;&gt;"",Q252,IF(OR($S252="",$T252=""),"",IF($T252&lt;&gt;"",_xlfn._xlws.FILTER(Q:Q,($BT:$BT=$BT252)*($I:$I=$I252)*($T:$T=$T252)*($S:$S=_xlfn.MINIFS($S:$S,$T:$T,"="&amp;$T252)),""))))&amp;"",IF(Q252="","",""))&amp;""</f>
        <v/>
      </c>
      <c r="AY252" t="str" cm="1">
        <f t="array" ref="AY252">IFERROR(IF(R252&lt;&gt;"",R252,IF(OR($S252="",$T252=""),"",IF($T252&lt;&gt;"",_xlfn._xlws.FILTER(R:R,($BT:$BT=$BT252)*($I:$I=$I252)*($T:$T=$T252)*($S:$S=_xlfn.MINIFS($S:$S,$T:$T,"="&amp;$T252)),""))))&amp;"",IF(R252="","",""))&amp;""</f>
        <v/>
      </c>
      <c r="AZ252" s="6">
        <f t="shared" si="363"/>
        <v>22</v>
      </c>
      <c r="BA252">
        <f t="shared" ref="BA252:BC252" si="465">BA251</f>
        <v>18991</v>
      </c>
      <c r="BB252" t="str">
        <f t="shared" si="465"/>
        <v>Triple J</v>
      </c>
      <c r="BC252" t="str">
        <f t="shared" si="465"/>
        <v>Velodrome</v>
      </c>
      <c r="BD252" t="str">
        <f t="shared" si="365"/>
        <v>Goal</v>
      </c>
      <c r="BE252" t="str">
        <f t="shared" si="366"/>
        <v>Goal_Scored</v>
      </c>
      <c r="BF252" t="str">
        <f t="shared" si="367"/>
        <v>Goal-Wrist</v>
      </c>
      <c r="BG252" t="str">
        <f t="shared" si="22"/>
        <v>s</v>
      </c>
      <c r="BH252" cm="1">
        <f t="array" aca="1" ref="BH252" ca="1">IFERROR(_xlfn._xlws.FILTER(shifts!A:A,(shifts!B:B=events!Z252)*(shifts!AG:AG&gt;=events!BJ252)*(shifts!AH:AH&lt;=events!BK252)),BH251)</f>
        <v>8</v>
      </c>
      <c r="BI252" s="15">
        <f t="shared" si="368"/>
        <v>0</v>
      </c>
      <c r="BJ252">
        <f t="shared" si="369"/>
        <v>869</v>
      </c>
      <c r="BK252">
        <f t="shared" si="370"/>
        <v>869</v>
      </c>
      <c r="BL252" s="15">
        <f>SUMIFS(BI$2:BI252,K$2:K252,"=Intermission")+SUMIFS(BI$2:BI252,K$2:K252,"=Timeout")</f>
        <v>0</v>
      </c>
      <c r="BM252">
        <f t="shared" si="371"/>
        <v>0</v>
      </c>
      <c r="BN252" s="19">
        <f t="shared" si="372"/>
        <v>211</v>
      </c>
      <c r="BO252">
        <f t="shared" si="373"/>
        <v>206</v>
      </c>
      <c r="BP252" s="17">
        <f t="shared" si="374"/>
        <v>211</v>
      </c>
      <c r="BQ252" t="str">
        <f t="shared" si="375"/>
        <v>opp_team_player_3</v>
      </c>
      <c r="BR252">
        <f>COUNTIFS(S$3:S252,"="&amp;S252,AH$3:AH252,"="&amp;AH252)</f>
        <v>3</v>
      </c>
      <c r="BS252" t="str">
        <f>IFERROR(VLOOKUP(BA252&amp;BT252&amp;X252,game_rosters!U:W,3,FALSE),"")</f>
        <v>P100089</v>
      </c>
      <c r="BT252" t="str">
        <f t="shared" si="376"/>
        <v>Triple J</v>
      </c>
    </row>
    <row r="253" spans="1:72" x14ac:dyDescent="0.2">
      <c r="A253">
        <f t="shared" si="351"/>
        <v>1</v>
      </c>
      <c r="D253" s="26" t="s">
        <v>729</v>
      </c>
      <c r="E253" s="4"/>
      <c r="F253" s="45"/>
      <c r="G253" s="4"/>
      <c r="H253" s="47"/>
      <c r="I253" s="26">
        <v>70</v>
      </c>
      <c r="J253" s="26" t="str">
        <f t="shared" si="377"/>
        <v>o</v>
      </c>
      <c r="K253" t="s">
        <v>11</v>
      </c>
      <c r="L253" t="s">
        <v>187</v>
      </c>
      <c r="M253" t="s">
        <v>40</v>
      </c>
      <c r="N253" t="str">
        <f t="shared" si="395"/>
        <v/>
      </c>
      <c r="Q253" t="str">
        <f t="shared" si="389"/>
        <v/>
      </c>
      <c r="S253">
        <f>IF(A253=1,MAX($S$2:$S252)+1,IF(OR($I253&lt;&gt;"",A253="x"),$S252,""))</f>
        <v>127</v>
      </c>
      <c r="T253">
        <f>IF(D253=1,MAX($T$2:$T252)+1,IF(S253=S252,$T252,IF(D253="x",T252,IF(D252="x","",""))))</f>
        <v>18</v>
      </c>
      <c r="U253" t="str">
        <f>IF(B253=1,MAX($U$2:$U252)+1,IF(AND($T253&lt;&gt;"",$T253=$T252),$U252,IF(B253="x",U252,"")))</f>
        <v/>
      </c>
      <c r="V253" t="str">
        <f>IF(C253=1,MAX($V$2:$V252)+1,IF(AND($T253&lt;&gt;"",$T253=$T252),$U252,IF(C253="x",V252,"")))</f>
        <v/>
      </c>
      <c r="W253" t="str" cm="1">
        <f t="array" ref="W253">IFERROR(_xlfn._xlws.FILTER(game_rosters!AC:AC,(game_rosters!J:J=events!X253)*(K253&lt;&gt;"")),"")</f>
        <v>a</v>
      </c>
      <c r="X253" cm="1">
        <f t="array" ref="X253">IF($I253&lt;&gt;"",$I253,INDEX($I$1:$I253,ROW()-COUNTIFS($T$1:$T253,"="&amp;$T253,$S$1:$S253,"&lt;"&amp;$S253)))</f>
        <v>70</v>
      </c>
      <c r="Y253" cm="1">
        <f t="array" ref="Y253">IFERROR(IF(_xlfn._xlws.FILTER(game_rosters!$J:$J,(game_rosters!$G:$G=events!$AM253)*(game_rosters!$J:$J=events!$X253))&gt;0,1,""),"")</f>
        <v>1</v>
      </c>
      <c r="Z253" s="6">
        <f t="shared" si="352"/>
        <v>1</v>
      </c>
      <c r="AA253">
        <f t="shared" si="353"/>
        <v>1127</v>
      </c>
      <c r="AB253">
        <f t="shared" si="354"/>
        <v>9018</v>
      </c>
      <c r="AC253">
        <f t="shared" si="355"/>
        <v>9018</v>
      </c>
      <c r="AD253" t="str">
        <f t="shared" si="356"/>
        <v>14</v>
      </c>
      <c r="AE253" t="str">
        <f t="shared" si="357"/>
        <v>29</v>
      </c>
      <c r="AF253" t="str">
        <f t="shared" si="358"/>
        <v/>
      </c>
      <c r="AG253" t="str">
        <f t="shared" si="359"/>
        <v/>
      </c>
      <c r="AH253" t="str">
        <f t="shared" si="402"/>
        <v>e</v>
      </c>
      <c r="AI253" t="str">
        <f t="shared" si="463"/>
        <v>o</v>
      </c>
      <c r="AJ253" t="str">
        <f t="shared" si="463"/>
        <v>o</v>
      </c>
      <c r="AK253" t="str">
        <f t="shared" si="404"/>
        <v>d</v>
      </c>
      <c r="AL253" t="str">
        <f t="shared" si="405"/>
        <v>o</v>
      </c>
      <c r="AM253" t="str">
        <f t="shared" si="360"/>
        <v>Away</v>
      </c>
      <c r="AN253" t="str">
        <f t="shared" si="406"/>
        <v>a</v>
      </c>
      <c r="AO253" t="str">
        <f t="shared" si="407"/>
        <v>d</v>
      </c>
      <c r="AP253" t="str">
        <f t="shared" si="408"/>
        <v>o</v>
      </c>
      <c r="AQ253" t="str">
        <f>IF(AM253&lt;&gt;"",AM253,IF($AC253=#REF!,#REF!,""))</f>
        <v>Away</v>
      </c>
      <c r="AR253" t="str">
        <f t="shared" si="409"/>
        <v>a</v>
      </c>
      <c r="AS253" t="str">
        <f t="shared" si="410"/>
        <v/>
      </c>
      <c r="AT253" t="str">
        <f t="shared" si="361"/>
        <v/>
      </c>
      <c r="AU253" t="str">
        <f t="shared" si="362"/>
        <v/>
      </c>
      <c r="AV253" t="str" cm="1">
        <f t="array" ref="AV253">IFERROR(IF(O253&lt;&gt;"",O253,IF(OR($S253="",$T253=""),"",IF(O253&lt;&gt;"",O253,IF($T253&lt;&gt;"",_xlfn._xlws.FILTER(O:O,($BT:$BT=$BT253)*($I:$I=$I253)*($T:$T=$T253)*($S:$S=_xlfn.MINIFS($S:$S,$T:$T,"="&amp;$T253)),"")))))&amp;"",IF(O253="","",""))&amp;""</f>
        <v/>
      </c>
      <c r="AW253" t="str" cm="1">
        <f t="array" ref="AW253">IFERROR(IF(P253&lt;&gt;"",P253,IF(OR($S253="",$T253=""),"",IF($T253&lt;&gt;"",_xlfn._xlws.FILTER(P:P,($BT:$BT=$BT253)*($I:$I=$I253)*($T:$T=$T253)*($S:$S=_xlfn.MINIFS($S:$S,$T:$T,"="&amp;$T253)),""))))&amp;"",IF(P253="","",""))&amp;""</f>
        <v/>
      </c>
      <c r="AX253" t="str" cm="1">
        <f t="array" ref="AX253">IFERROR(IF(Q253&lt;&gt;"",Q253,IF(OR($S253="",$T253=""),"",IF($T253&lt;&gt;"",_xlfn._xlws.FILTER(Q:Q,($BT:$BT=$BT253)*($I:$I=$I253)*($T:$T=$T253)*($S:$S=_xlfn.MINIFS($S:$S,$T:$T,"="&amp;$T253)),""))))&amp;"",IF(Q253="","",""))&amp;""</f>
        <v/>
      </c>
      <c r="AY253" t="str" cm="1">
        <f t="array" ref="AY253">IFERROR(IF(R253&lt;&gt;"",R253,IF(OR($S253="",$T253=""),"",IF($T253&lt;&gt;"",_xlfn._xlws.FILTER(R:R,($BT:$BT=$BT253)*($I:$I=$I253)*($T:$T=$T253)*($S:$S=_xlfn.MINIFS($S:$S,$T:$T,"="&amp;$T253)),""))))&amp;"",IF(R253="","",""))&amp;""</f>
        <v>1</v>
      </c>
      <c r="AZ253" s="6">
        <f t="shared" si="363"/>
        <v>22</v>
      </c>
      <c r="BA253">
        <f t="shared" ref="BA253:BC253" si="466">BA252</f>
        <v>18991</v>
      </c>
      <c r="BB253" t="str">
        <f t="shared" si="466"/>
        <v>Triple J</v>
      </c>
      <c r="BC253" t="str">
        <f t="shared" si="466"/>
        <v>Velodrome</v>
      </c>
      <c r="BD253" t="str">
        <f t="shared" si="365"/>
        <v>Stoppage</v>
      </c>
      <c r="BE253" t="str">
        <f t="shared" si="366"/>
        <v>Stoppage_Play</v>
      </c>
      <c r="BF253" t="str">
        <f t="shared" si="367"/>
        <v>Stoppage-Goal</v>
      </c>
      <c r="BG253" t="str">
        <f t="shared" si="22"/>
        <v/>
      </c>
      <c r="BH253" cm="1">
        <f t="array" aca="1" ref="BH253" ca="1">IFERROR(_xlfn._xlws.FILTER(shifts!A:A,(shifts!B:B=events!Z253)*(shifts!AG:AG&gt;=events!BJ253)*(shifts!AH:AH&lt;=events!BK253)),BH252)</f>
        <v>8</v>
      </c>
      <c r="BI253" s="15">
        <f t="shared" si="368"/>
        <v>0</v>
      </c>
      <c r="BJ253">
        <f t="shared" si="369"/>
        <v>869</v>
      </c>
      <c r="BK253">
        <f t="shared" si="370"/>
        <v>869</v>
      </c>
      <c r="BL253" s="15">
        <f>SUMIFS(BI$2:BI253,K$2:K253,"=Intermission")+SUMIFS(BI$2:BI253,K$2:K253,"=Timeout")</f>
        <v>0</v>
      </c>
      <c r="BM253">
        <f t="shared" si="371"/>
        <v>0</v>
      </c>
      <c r="BN253" s="19">
        <f t="shared" si="372"/>
        <v>211</v>
      </c>
      <c r="BO253">
        <f t="shared" si="373"/>
        <v>206</v>
      </c>
      <c r="BP253" s="17">
        <f t="shared" si="374"/>
        <v>211</v>
      </c>
      <c r="BQ253" t="str">
        <f t="shared" si="375"/>
        <v>event_team_player_1</v>
      </c>
      <c r="BR253">
        <f>COUNTIFS(S$3:S253,"="&amp;S253,AH$3:AH253,"="&amp;AH253)</f>
        <v>1</v>
      </c>
      <c r="BS253" t="str">
        <f>IFERROR(VLOOKUP(BA253&amp;BT253&amp;X253,game_rosters!U:W,3,FALSE),"")</f>
        <v>P100001</v>
      </c>
      <c r="BT253" t="str">
        <f t="shared" si="376"/>
        <v>Velodrome</v>
      </c>
    </row>
    <row r="254" spans="1:72" x14ac:dyDescent="0.2">
      <c r="A254">
        <f t="shared" si="351"/>
        <v>1</v>
      </c>
      <c r="D254" s="26" t="s">
        <v>729</v>
      </c>
      <c r="E254" s="4"/>
      <c r="F254" s="45"/>
      <c r="G254" s="4"/>
      <c r="H254" s="47" t="s">
        <v>1042</v>
      </c>
      <c r="I254" s="26">
        <v>70</v>
      </c>
      <c r="J254" s="26" t="str">
        <f t="shared" si="377"/>
        <v>o</v>
      </c>
      <c r="K254" t="s">
        <v>241</v>
      </c>
      <c r="N254" t="str">
        <f t="shared" si="395"/>
        <v/>
      </c>
      <c r="Q254" t="str">
        <f t="shared" si="389"/>
        <v/>
      </c>
      <c r="S254">
        <f>IF(A254=1,MAX($S$2:$S253)+1,IF(OR($I254&lt;&gt;"",A254="x"),$S253,""))</f>
        <v>128</v>
      </c>
      <c r="T254">
        <f>IF(D254=1,MAX($T$2:$T253)+1,IF(S254=S253,$T253,IF(D254="x",T253,IF(D253="x","",""))))</f>
        <v>18</v>
      </c>
      <c r="U254" t="str">
        <f>IF(B254=1,MAX($U$2:$U253)+1,IF(AND($T254&lt;&gt;"",$T254=$T253),$U253,IF(B254="x",U253,"")))</f>
        <v/>
      </c>
      <c r="V254" t="str">
        <f>IF(C254=1,MAX($V$2:$V253)+1,IF(AND($T254&lt;&gt;"",$T254=$T253),$U253,IF(C254="x",V253,"")))</f>
        <v/>
      </c>
      <c r="W254" t="str" cm="1">
        <f t="array" ref="W254">IFERROR(_xlfn._xlws.FILTER(game_rosters!AC:AC,(game_rosters!J:J=events!X254)*(K254&lt;&gt;"")),"")</f>
        <v>a</v>
      </c>
      <c r="X254" cm="1">
        <f t="array" ref="X254">IF($I254&lt;&gt;"",$I254,INDEX($I$1:$I254,ROW()-COUNTIFS($T$1:$T254,"="&amp;$T254,$S$1:$S254,"&lt;"&amp;$S254)))</f>
        <v>70</v>
      </c>
      <c r="Y254" cm="1">
        <f t="array" ref="Y254">IFERROR(IF(_xlfn._xlws.FILTER(game_rosters!$J:$J,(game_rosters!$G:$G=events!$AM254)*(game_rosters!$J:$J=events!$X254))&gt;0,1,""),"")</f>
        <v>1</v>
      </c>
      <c r="Z254" s="6">
        <f t="shared" si="352"/>
        <v>1</v>
      </c>
      <c r="AA254">
        <f t="shared" si="353"/>
        <v>1128</v>
      </c>
      <c r="AB254">
        <f t="shared" si="354"/>
        <v>9018</v>
      </c>
      <c r="AC254">
        <f t="shared" si="355"/>
        <v>9018</v>
      </c>
      <c r="AD254" t="str">
        <f t="shared" si="356"/>
        <v>14</v>
      </c>
      <c r="AE254" t="str">
        <f t="shared" si="357"/>
        <v>29</v>
      </c>
      <c r="AF254">
        <v>14</v>
      </c>
      <c r="AG254" t="str">
        <f t="shared" si="359"/>
        <v>06</v>
      </c>
      <c r="AH254" t="str">
        <f t="shared" si="402"/>
        <v>e</v>
      </c>
      <c r="AI254" t="str">
        <f t="shared" si="463"/>
        <v>o</v>
      </c>
      <c r="AJ254" t="str">
        <f t="shared" si="463"/>
        <v>o</v>
      </c>
      <c r="AK254" t="str">
        <f t="shared" si="404"/>
        <v>d</v>
      </c>
      <c r="AL254" t="str">
        <f t="shared" si="405"/>
        <v>o</v>
      </c>
      <c r="AM254" t="str">
        <f t="shared" si="360"/>
        <v>Away</v>
      </c>
      <c r="AN254" t="str">
        <f t="shared" si="406"/>
        <v>a</v>
      </c>
      <c r="AO254" t="str">
        <f t="shared" si="407"/>
        <v>d</v>
      </c>
      <c r="AP254" t="str">
        <f t="shared" si="408"/>
        <v>o</v>
      </c>
      <c r="AQ254" t="str">
        <f>IF(AM254&lt;&gt;"",AM254,IF($AC254=#REF!,#REF!,""))</f>
        <v>Away</v>
      </c>
      <c r="AR254" t="str">
        <f t="shared" si="409"/>
        <v>a</v>
      </c>
      <c r="AS254" t="str">
        <f t="shared" si="410"/>
        <v/>
      </c>
      <c r="AT254" t="str">
        <f t="shared" si="361"/>
        <v/>
      </c>
      <c r="AU254" t="str">
        <f t="shared" si="362"/>
        <v/>
      </c>
      <c r="AV254" t="str" cm="1">
        <f t="array" ref="AV254">IFERROR(IF(O254&lt;&gt;"",O254,IF(OR($S254="",$T254=""),"",IF(O254&lt;&gt;"",O254,IF($T254&lt;&gt;"",_xlfn._xlws.FILTER(O:O,($BT:$BT=$BT254)*($I:$I=$I254)*($T:$T=$T254)*($S:$S=_xlfn.MINIFS($S:$S,$T:$T,"="&amp;$T254)),"")))))&amp;"",IF(O254="","",""))&amp;""</f>
        <v/>
      </c>
      <c r="AW254" t="str" cm="1">
        <f t="array" ref="AW254">IFERROR(IF(P254&lt;&gt;"",P254,IF(OR($S254="",$T254=""),"",IF($T254&lt;&gt;"",_xlfn._xlws.FILTER(P:P,($BT:$BT=$BT254)*($I:$I=$I254)*($T:$T=$T254)*($S:$S=_xlfn.MINIFS($S:$S,$T:$T,"="&amp;$T254)),""))))&amp;"",IF(P254="","",""))&amp;""</f>
        <v/>
      </c>
      <c r="AX254" t="str" cm="1">
        <f t="array" ref="AX254">IFERROR(IF(Q254&lt;&gt;"",Q254,IF(OR($S254="",$T254=""),"",IF($T254&lt;&gt;"",_xlfn._xlws.FILTER(Q:Q,($BT:$BT=$BT254)*($I:$I=$I254)*($T:$T=$T254)*($S:$S=_xlfn.MINIFS($S:$S,$T:$T,"="&amp;$T254)),""))))&amp;"",IF(Q254="","",""))&amp;""</f>
        <v/>
      </c>
      <c r="AY254" t="str" cm="1">
        <f t="array" ref="AY254">IFERROR(IF(R254&lt;&gt;"",R254,IF(OR($S254="",$T254=""),"",IF($T254&lt;&gt;"",_xlfn._xlws.FILTER(R:R,($BT:$BT=$BT254)*($I:$I=$I254)*($T:$T=$T254)*($S:$S=_xlfn.MINIFS($S:$S,$T:$T,"="&amp;$T254)),""))))&amp;"",IF(R254="","",""))&amp;""</f>
        <v>1</v>
      </c>
      <c r="AZ254" s="6">
        <f t="shared" si="363"/>
        <v>22</v>
      </c>
      <c r="BA254">
        <f t="shared" ref="BA254:BC254" si="467">BA253</f>
        <v>18991</v>
      </c>
      <c r="BB254" t="str">
        <f t="shared" si="467"/>
        <v>Triple J</v>
      </c>
      <c r="BC254" t="str">
        <f t="shared" si="467"/>
        <v>Velodrome</v>
      </c>
      <c r="BD254" t="str">
        <f t="shared" si="365"/>
        <v>DeadIce</v>
      </c>
      <c r="BE254" t="str">
        <f t="shared" si="366"/>
        <v/>
      </c>
      <c r="BF254" t="str">
        <f t="shared" si="367"/>
        <v/>
      </c>
      <c r="BG254" t="str">
        <f t="shared" si="22"/>
        <v/>
      </c>
      <c r="BH254" cm="1">
        <f t="array" aca="1" ref="BH254" ca="1">IFERROR(_xlfn._xlws.FILTER(shifts!A:A,(shifts!B:B=events!Z254)*(shifts!AG:AG&gt;=events!BJ254)*(shifts!AH:AH&lt;=events!BK254)),BH253)</f>
        <v>8</v>
      </c>
      <c r="BI254" s="15">
        <f t="shared" si="368"/>
        <v>23</v>
      </c>
      <c r="BJ254">
        <f t="shared" si="369"/>
        <v>869</v>
      </c>
      <c r="BK254">
        <f t="shared" si="370"/>
        <v>846</v>
      </c>
      <c r="BL254" s="15">
        <f>SUMIFS(BI$2:BI254,K$2:K254,"=Intermission")+SUMIFS(BI$2:BI254,K$2:K254,"=Timeout")</f>
        <v>0</v>
      </c>
      <c r="BM254">
        <f t="shared" si="371"/>
        <v>0</v>
      </c>
      <c r="BN254" s="19">
        <f t="shared" si="372"/>
        <v>211</v>
      </c>
      <c r="BO254">
        <f t="shared" si="373"/>
        <v>206</v>
      </c>
      <c r="BP254" s="17">
        <f t="shared" si="374"/>
        <v>234</v>
      </c>
      <c r="BQ254" t="str">
        <f t="shared" si="375"/>
        <v>event_team_player_1</v>
      </c>
      <c r="BR254">
        <f>COUNTIFS(S$3:S254,"="&amp;S254,AH$3:AH254,"="&amp;AH254)</f>
        <v>1</v>
      </c>
      <c r="BS254" t="str">
        <f>IFERROR(VLOOKUP(BA254&amp;BT254&amp;X254,game_rosters!U:W,3,FALSE),"")</f>
        <v>P100001</v>
      </c>
      <c r="BT254" t="str">
        <f t="shared" si="376"/>
        <v>Velodrome</v>
      </c>
    </row>
    <row r="255" spans="1:72" x14ac:dyDescent="0.2">
      <c r="A255">
        <f t="shared" si="351"/>
        <v>1</v>
      </c>
      <c r="E255" s="4"/>
      <c r="F255" s="45"/>
      <c r="G255" s="4"/>
      <c r="H255" s="47"/>
      <c r="I255" s="26">
        <v>70</v>
      </c>
      <c r="J255" s="26" t="s">
        <v>734</v>
      </c>
      <c r="K255" t="s">
        <v>5</v>
      </c>
      <c r="L255" t="s">
        <v>190</v>
      </c>
      <c r="N255" t="str">
        <f t="shared" si="395"/>
        <v/>
      </c>
      <c r="Q255" t="str">
        <f t="shared" si="389"/>
        <v/>
      </c>
      <c r="S255">
        <f>IF(A255=1,MAX($S$2:$S254)+1,IF(OR($I255&lt;&gt;"",A255="x"),$S254,""))</f>
        <v>129</v>
      </c>
      <c r="T255" t="str">
        <f>IF(D255=1,MAX($T$2:$T254)+1,IF(S255=S254,$T254,IF(D255="x",T254,IF(D254="x","",""))))</f>
        <v/>
      </c>
      <c r="U255" t="str">
        <f>IF(B255=1,MAX($U$2:$U254)+1,IF(AND($T255&lt;&gt;"",$T255=$T254),$U254,IF(B255="x",U254,"")))</f>
        <v/>
      </c>
      <c r="V255" t="str">
        <f>IF(C255=1,MAX($V$2:$V254)+1,IF(AND($T255&lt;&gt;"",$T255=$T254),$U254,IF(C255="x",V254,"")))</f>
        <v/>
      </c>
      <c r="W255" t="str" cm="1">
        <f t="array" ref="W255">IFERROR(_xlfn._xlws.FILTER(game_rosters!AC:AC,(game_rosters!J:J=events!X255)*(K255&lt;&gt;"")),"")</f>
        <v>a</v>
      </c>
      <c r="X255" cm="1">
        <f t="array" ref="X255">IF($I255&lt;&gt;"",$I255,INDEX($I$1:$I255,ROW()-COUNTIFS($T$1:$T255,"="&amp;$T255,$S$1:$S255,"&lt;"&amp;$S255)))</f>
        <v>70</v>
      </c>
      <c r="Y255" cm="1">
        <f t="array" ref="Y255">IFERROR(IF(_xlfn._xlws.FILTER(game_rosters!$J:$J,(game_rosters!$G:$G=events!$AM255)*(game_rosters!$J:$J=events!$X255))&gt;0,1,""),"")</f>
        <v>1</v>
      </c>
      <c r="Z255" s="6">
        <f t="shared" si="352"/>
        <v>1</v>
      </c>
      <c r="AA255">
        <f t="shared" si="353"/>
        <v>1129</v>
      </c>
      <c r="AB255" t="str">
        <f t="shared" si="354"/>
        <v/>
      </c>
      <c r="AC255">
        <f t="shared" si="355"/>
        <v>1129</v>
      </c>
      <c r="AD255">
        <f t="shared" si="356"/>
        <v>14</v>
      </c>
      <c r="AE255" t="str">
        <f t="shared" si="357"/>
        <v>06</v>
      </c>
      <c r="AF255" t="str">
        <f t="shared" si="358"/>
        <v/>
      </c>
      <c r="AG255" t="str">
        <f t="shared" si="359"/>
        <v/>
      </c>
      <c r="AH255" t="str">
        <f t="shared" si="402"/>
        <v>e</v>
      </c>
      <c r="AI255" t="str">
        <f t="shared" si="463"/>
        <v>n</v>
      </c>
      <c r="AJ255" t="str">
        <f t="shared" si="463"/>
        <v>n</v>
      </c>
      <c r="AK255" t="str">
        <f t="shared" si="404"/>
        <v>n</v>
      </c>
      <c r="AL255" t="str">
        <f t="shared" si="405"/>
        <v>n</v>
      </c>
      <c r="AM255" t="str">
        <f t="shared" si="360"/>
        <v>Away</v>
      </c>
      <c r="AN255" t="str">
        <f t="shared" si="406"/>
        <v>a</v>
      </c>
      <c r="AO255" t="str">
        <f t="shared" si="407"/>
        <v>n</v>
      </c>
      <c r="AP255" t="str">
        <f t="shared" si="408"/>
        <v>n</v>
      </c>
      <c r="AQ255" t="str">
        <f>IF(AM255&lt;&gt;"",AM255,IF($AC255=#REF!,#REF!,""))</f>
        <v>Away</v>
      </c>
      <c r="AR255" t="str">
        <f t="shared" si="409"/>
        <v>a</v>
      </c>
      <c r="AS255" t="str">
        <f t="shared" si="410"/>
        <v>Offensive</v>
      </c>
      <c r="AT255" t="str">
        <f t="shared" si="361"/>
        <v/>
      </c>
      <c r="AU255" t="str">
        <f t="shared" si="362"/>
        <v/>
      </c>
      <c r="AV255" t="str" cm="1">
        <f t="array" ref="AV255">IFERROR(IF(O255&lt;&gt;"",O255,IF(OR($S255="",$T255=""),"",IF(O255&lt;&gt;"",O255,IF($T255&lt;&gt;"",_xlfn._xlws.FILTER(O:O,($BT:$BT=$BT255)*($I:$I=$I255)*($T:$T=$T255)*($S:$S=_xlfn.MINIFS($S:$S,$T:$T,"="&amp;$T255)),"")))))&amp;"",IF(O255="","",""))&amp;""</f>
        <v/>
      </c>
      <c r="AW255" t="str" cm="1">
        <f t="array" ref="AW255">IFERROR(IF(P255&lt;&gt;"",P255,IF(OR($S255="",$T255=""),"",IF($T255&lt;&gt;"",_xlfn._xlws.FILTER(P:P,($BT:$BT=$BT255)*($I:$I=$I255)*($T:$T=$T255)*($S:$S=_xlfn.MINIFS($S:$S,$T:$T,"="&amp;$T255)),""))))&amp;"",IF(P255="","",""))&amp;""</f>
        <v/>
      </c>
      <c r="AX255" t="str" cm="1">
        <f t="array" ref="AX255">IFERROR(IF(Q255&lt;&gt;"",Q255,IF(OR($S255="",$T255=""),"",IF($T255&lt;&gt;"",_xlfn._xlws.FILTER(Q:Q,($BT:$BT=$BT255)*($I:$I=$I255)*($T:$T=$T255)*($S:$S=_xlfn.MINIFS($S:$S,$T:$T,"="&amp;$T255)),""))))&amp;"",IF(Q255="","",""))&amp;""</f>
        <v/>
      </c>
      <c r="AY255" t="str" cm="1">
        <f t="array" ref="AY255">IFERROR(IF(R255&lt;&gt;"",R255,IF(OR($S255="",$T255=""),"",IF($T255&lt;&gt;"",_xlfn._xlws.FILTER(R:R,($BT:$BT=$BT255)*($I:$I=$I255)*($T:$T=$T255)*($S:$S=_xlfn.MINIFS($S:$S,$T:$T,"="&amp;$T255)),""))))&amp;"",IF(R255="","",""))&amp;""</f>
        <v/>
      </c>
      <c r="AZ255" s="6">
        <f t="shared" si="363"/>
        <v>22</v>
      </c>
      <c r="BA255">
        <f t="shared" ref="BA255:BC255" si="468">BA254</f>
        <v>18991</v>
      </c>
      <c r="BB255" t="str">
        <f t="shared" si="468"/>
        <v>Triple J</v>
      </c>
      <c r="BC255" t="str">
        <f t="shared" si="468"/>
        <v>Velodrome</v>
      </c>
      <c r="BD255" t="str">
        <f t="shared" si="365"/>
        <v>Faceoff</v>
      </c>
      <c r="BE255" t="str">
        <f t="shared" si="366"/>
        <v>Faceoff_AfterGoal</v>
      </c>
      <c r="BF255" t="str">
        <f t="shared" si="367"/>
        <v/>
      </c>
      <c r="BG255" t="str">
        <f t="shared" si="22"/>
        <v/>
      </c>
      <c r="BH255" cm="1">
        <f t="array" aca="1" ref="BH255" ca="1">IFERROR(_xlfn._xlws.FILTER(shifts!A:A,(shifts!B:B=events!Z255)*(shifts!AG:AG&gt;=events!BJ255)*(shifts!AH:AH&lt;=events!BK255)),BH254)</f>
        <v>9</v>
      </c>
      <c r="BI255" s="15">
        <f t="shared" si="368"/>
        <v>0</v>
      </c>
      <c r="BJ255">
        <f t="shared" si="369"/>
        <v>846</v>
      </c>
      <c r="BK255">
        <f t="shared" si="370"/>
        <v>846</v>
      </c>
      <c r="BL255" s="15">
        <f>SUMIFS(BI$2:BI255,K$2:K255,"=Intermission")+SUMIFS(BI$2:BI255,K$2:K255,"=Timeout")</f>
        <v>0</v>
      </c>
      <c r="BM255">
        <f t="shared" si="371"/>
        <v>0</v>
      </c>
      <c r="BN255" s="19">
        <f t="shared" si="372"/>
        <v>234</v>
      </c>
      <c r="BO255">
        <f t="shared" si="373"/>
        <v>229</v>
      </c>
      <c r="BP255" s="17">
        <f t="shared" si="374"/>
        <v>234</v>
      </c>
      <c r="BQ255" t="str">
        <f t="shared" si="375"/>
        <v>event_team_player_1</v>
      </c>
      <c r="BR255">
        <f>COUNTIFS(S$3:S255,"="&amp;S255,AH$3:AH255,"="&amp;AH255)</f>
        <v>1</v>
      </c>
      <c r="BS255" t="str">
        <f>IFERROR(VLOOKUP(BA255&amp;BT255&amp;X255,game_rosters!U:W,3,FALSE),"")</f>
        <v>P100001</v>
      </c>
      <c r="BT255" t="str">
        <f t="shared" si="376"/>
        <v>Velodrome</v>
      </c>
    </row>
    <row r="256" spans="1:72" x14ac:dyDescent="0.2">
      <c r="A256" t="str">
        <f t="shared" si="351"/>
        <v/>
      </c>
      <c r="E256" s="4"/>
      <c r="F256" s="45"/>
      <c r="G256" s="4"/>
      <c r="H256" s="47"/>
      <c r="I256" s="26">
        <v>73</v>
      </c>
      <c r="J256" s="26" t="str">
        <f t="shared" si="377"/>
        <v/>
      </c>
      <c r="N256" t="str">
        <f t="shared" si="395"/>
        <v/>
      </c>
      <c r="Q256" t="str">
        <f t="shared" si="389"/>
        <v/>
      </c>
      <c r="S256">
        <f>IF(A256=1,MAX($S$2:$S255)+1,IF(OR($I256&lt;&gt;"",A256="x"),$S255,""))</f>
        <v>129</v>
      </c>
      <c r="T256" t="str">
        <f>IF(D256=1,MAX($T$2:$T255)+1,IF(S256=S255,$T255,IF(D256="x",T255,IF(D255="x","",""))))</f>
        <v/>
      </c>
      <c r="U256" t="str">
        <f>IF(B256=1,MAX($U$2:$U255)+1,IF(AND($T256&lt;&gt;"",$T256=$T255),$U255,IF(B256="x",U255,"")))</f>
        <v/>
      </c>
      <c r="V256" t="str">
        <f>IF(C256=1,MAX($V$2:$V255)+1,IF(AND($T256&lt;&gt;"",$T256=$T255),$U255,IF(C256="x",V255,"")))</f>
        <v/>
      </c>
      <c r="W256" t="str" cm="1">
        <f t="array" ref="W256">IFERROR(_xlfn._xlws.FILTER(game_rosters!AC:AC,(game_rosters!J:J=events!X256)*(K256&lt;&gt;"")),"")</f>
        <v/>
      </c>
      <c r="X256" cm="1">
        <f t="array" ref="X256">IF($I256&lt;&gt;"",$I256,INDEX($I$1:$I256,ROW()-COUNTIFS($T$1:$T256,"="&amp;$T256,$S$1:$S256,"&lt;"&amp;$S256)))</f>
        <v>73</v>
      </c>
      <c r="Y256" t="str" cm="1">
        <f t="array" ref="Y256">IFERROR(IF(_xlfn._xlws.FILTER(game_rosters!$J:$J,(game_rosters!$G:$G=events!$AM256)*(game_rosters!$J:$J=events!$X256))&gt;0,1,""),"")</f>
        <v/>
      </c>
      <c r="Z256" s="6">
        <f t="shared" si="352"/>
        <v>1</v>
      </c>
      <c r="AA256">
        <f t="shared" si="353"/>
        <v>1129</v>
      </c>
      <c r="AB256" t="str">
        <f t="shared" si="354"/>
        <v/>
      </c>
      <c r="AC256">
        <f t="shared" si="355"/>
        <v>1129</v>
      </c>
      <c r="AD256">
        <f t="shared" si="356"/>
        <v>14</v>
      </c>
      <c r="AE256" t="str">
        <f t="shared" si="357"/>
        <v>06</v>
      </c>
      <c r="AF256" t="str">
        <f t="shared" si="358"/>
        <v/>
      </c>
      <c r="AG256" t="str">
        <f t="shared" si="359"/>
        <v/>
      </c>
      <c r="AH256" t="str">
        <f t="shared" si="402"/>
        <v>o</v>
      </c>
      <c r="AI256" t="str">
        <f t="shared" si="463"/>
        <v>n</v>
      </c>
      <c r="AJ256" t="str">
        <f t="shared" si="463"/>
        <v>n</v>
      </c>
      <c r="AK256" t="str">
        <f t="shared" si="404"/>
        <v/>
      </c>
      <c r="AL256" t="str">
        <f t="shared" si="405"/>
        <v/>
      </c>
      <c r="AM256" t="str">
        <f t="shared" si="360"/>
        <v>Away</v>
      </c>
      <c r="AN256" t="str">
        <f t="shared" si="406"/>
        <v>a</v>
      </c>
      <c r="AO256" t="str">
        <f t="shared" si="407"/>
        <v>n</v>
      </c>
      <c r="AP256" t="str">
        <f t="shared" si="408"/>
        <v>n</v>
      </c>
      <c r="AQ256" t="str">
        <f>IF(AM256&lt;&gt;"",AM256,IF($AC256=#REF!,#REF!,""))</f>
        <v>Away</v>
      </c>
      <c r="AR256" t="str">
        <f t="shared" si="409"/>
        <v>a</v>
      </c>
      <c r="AS256" t="str">
        <f t="shared" si="410"/>
        <v>Defensive</v>
      </c>
      <c r="AT256" t="str">
        <f t="shared" si="361"/>
        <v/>
      </c>
      <c r="AU256" t="str">
        <f t="shared" si="362"/>
        <v/>
      </c>
      <c r="AV256" t="str" cm="1">
        <f t="array" ref="AV256">IFERROR(IF(O256&lt;&gt;"",O256,IF(OR($S256="",$T256=""),"",IF(O256&lt;&gt;"",O256,IF($T256&lt;&gt;"",_xlfn._xlws.FILTER(O:O,($BT:$BT=$BT256)*($I:$I=$I256)*($T:$T=$T256)*($S:$S=_xlfn.MINIFS($S:$S,$T:$T,"="&amp;$T256)),"")))))&amp;"",IF(O256="","",""))&amp;""</f>
        <v/>
      </c>
      <c r="AW256" t="str" cm="1">
        <f t="array" ref="AW256">IFERROR(IF(P256&lt;&gt;"",P256,IF(OR($S256="",$T256=""),"",IF($T256&lt;&gt;"",_xlfn._xlws.FILTER(P:P,($BT:$BT=$BT256)*($I:$I=$I256)*($T:$T=$T256)*($S:$S=_xlfn.MINIFS($S:$S,$T:$T,"="&amp;$T256)),""))))&amp;"",IF(P256="","",""))&amp;""</f>
        <v/>
      </c>
      <c r="AX256" t="str" cm="1">
        <f t="array" ref="AX256">IFERROR(IF(Q256&lt;&gt;"",Q256,IF(OR($S256="",$T256=""),"",IF($T256&lt;&gt;"",_xlfn._xlws.FILTER(Q:Q,($BT:$BT=$BT256)*($I:$I=$I256)*($T:$T=$T256)*($S:$S=_xlfn.MINIFS($S:$S,$T:$T,"="&amp;$T256)),""))))&amp;"",IF(Q256="","",""))&amp;""</f>
        <v/>
      </c>
      <c r="AY256" t="str" cm="1">
        <f t="array" ref="AY256">IFERROR(IF(R256&lt;&gt;"",R256,IF(OR($S256="",$T256=""),"",IF($T256&lt;&gt;"",_xlfn._xlws.FILTER(R:R,($BT:$BT=$BT256)*($I:$I=$I256)*($T:$T=$T256)*($S:$S=_xlfn.MINIFS($S:$S,$T:$T,"="&amp;$T256)),""))))&amp;"",IF(R256="","",""))&amp;""</f>
        <v/>
      </c>
      <c r="AZ256" s="6">
        <f t="shared" si="363"/>
        <v>22</v>
      </c>
      <c r="BA256">
        <f t="shared" ref="BA256:BC256" si="469">BA255</f>
        <v>18991</v>
      </c>
      <c r="BB256" t="str">
        <f t="shared" si="469"/>
        <v>Triple J</v>
      </c>
      <c r="BC256" t="str">
        <f t="shared" si="469"/>
        <v>Velodrome</v>
      </c>
      <c r="BD256" t="str">
        <f t="shared" si="365"/>
        <v>Faceoff</v>
      </c>
      <c r="BE256" t="str">
        <f t="shared" si="366"/>
        <v>Faceoff_AfterGoal</v>
      </c>
      <c r="BF256" t="str">
        <f t="shared" si="367"/>
        <v/>
      </c>
      <c r="BG256" t="str">
        <f t="shared" si="22"/>
        <v/>
      </c>
      <c r="BH256" cm="1">
        <f t="array" aca="1" ref="BH256" ca="1">IFERROR(_xlfn._xlws.FILTER(shifts!A:A,(shifts!B:B=events!Z256)*(shifts!AG:AG&gt;=events!BJ256)*(shifts!AH:AH&lt;=events!BK256)),BH255)</f>
        <v>9</v>
      </c>
      <c r="BI256" s="15">
        <f t="shared" si="368"/>
        <v>0</v>
      </c>
      <c r="BJ256">
        <f t="shared" si="369"/>
        <v>846</v>
      </c>
      <c r="BK256">
        <f t="shared" si="370"/>
        <v>846</v>
      </c>
      <c r="BL256" s="15">
        <f>SUMIFS(BI$2:BI256,K$2:K256,"=Intermission")+SUMIFS(BI$2:BI256,K$2:K256,"=Timeout")</f>
        <v>0</v>
      </c>
      <c r="BM256">
        <f t="shared" si="371"/>
        <v>0</v>
      </c>
      <c r="BN256" s="19">
        <f t="shared" si="372"/>
        <v>234</v>
      </c>
      <c r="BO256">
        <f t="shared" si="373"/>
        <v>229</v>
      </c>
      <c r="BP256" s="17">
        <f t="shared" si="374"/>
        <v>234</v>
      </c>
      <c r="BQ256" t="str">
        <f t="shared" si="375"/>
        <v>opp_team_player_1</v>
      </c>
      <c r="BR256">
        <f>COUNTIFS(S$3:S256,"="&amp;S256,AH$3:AH256,"="&amp;AH256)</f>
        <v>1</v>
      </c>
      <c r="BS256" t="str">
        <f>IFERROR(VLOOKUP(BA256&amp;BT256&amp;X256,game_rosters!U:W,3,FALSE),"")</f>
        <v>P100021</v>
      </c>
      <c r="BT256" t="str">
        <f t="shared" si="376"/>
        <v>Triple J</v>
      </c>
    </row>
    <row r="257" spans="1:72" x14ac:dyDescent="0.2">
      <c r="A257">
        <f t="shared" si="351"/>
        <v>1</v>
      </c>
      <c r="E257" s="4"/>
      <c r="F257" s="45"/>
      <c r="G257" s="4"/>
      <c r="H257" s="47" t="s">
        <v>1051</v>
      </c>
      <c r="I257" s="26">
        <v>70</v>
      </c>
      <c r="J257" s="26" t="s">
        <v>734</v>
      </c>
      <c r="K257" t="s">
        <v>13</v>
      </c>
      <c r="N257" t="str">
        <f t="shared" si="395"/>
        <v/>
      </c>
      <c r="Q257" t="str">
        <f t="shared" si="389"/>
        <v/>
      </c>
      <c r="S257">
        <f>IF(A257=1,MAX($S$2:$S256)+1,IF(OR($I257&lt;&gt;"",A257="x"),$S256,""))</f>
        <v>130</v>
      </c>
      <c r="T257" t="str">
        <f>IF(D257=1,MAX($T$2:$T256)+1,IF(S257=S256,$T256,IF(D257="x",T256,IF(D256="x","",""))))</f>
        <v/>
      </c>
      <c r="U257" t="str">
        <f>IF(B257=1,MAX($U$2:$U256)+1,IF(AND($T257&lt;&gt;"",$T257=$T256),$U256,IF(B257="x",U256,"")))</f>
        <v/>
      </c>
      <c r="V257" t="str">
        <f>IF(C257=1,MAX($V$2:$V256)+1,IF(AND($T257&lt;&gt;"",$T257=$T256),$U256,IF(C257="x",V256,"")))</f>
        <v/>
      </c>
      <c r="W257" t="str" cm="1">
        <f t="array" ref="W257">IFERROR(_xlfn._xlws.FILTER(game_rosters!AC:AC,(game_rosters!J:J=events!X257)*(K257&lt;&gt;"")),"")</f>
        <v>a</v>
      </c>
      <c r="X257" cm="1">
        <f t="array" ref="X257">IF($I257&lt;&gt;"",$I257,INDEX($I$1:$I257,ROW()-COUNTIFS($T$1:$T257,"="&amp;$T257,$S$1:$S257,"&lt;"&amp;$S257)))</f>
        <v>70</v>
      </c>
      <c r="Y257" cm="1">
        <f t="array" ref="Y257">IFERROR(IF(_xlfn._xlws.FILTER(game_rosters!$J:$J,(game_rosters!$G:$G=events!$AM257)*(game_rosters!$J:$J=events!$X257))&gt;0,1,""),"")</f>
        <v>1</v>
      </c>
      <c r="Z257" s="6">
        <f t="shared" si="352"/>
        <v>1</v>
      </c>
      <c r="AA257">
        <f t="shared" si="353"/>
        <v>1130</v>
      </c>
      <c r="AB257" t="str">
        <f t="shared" si="354"/>
        <v/>
      </c>
      <c r="AC257">
        <f t="shared" si="355"/>
        <v>1130</v>
      </c>
      <c r="AD257">
        <f t="shared" si="356"/>
        <v>14</v>
      </c>
      <c r="AE257" t="str">
        <f t="shared" si="357"/>
        <v>06</v>
      </c>
      <c r="AF257">
        <f t="shared" si="358"/>
        <v>14</v>
      </c>
      <c r="AG257" t="str">
        <f t="shared" si="359"/>
        <v>04</v>
      </c>
      <c r="AH257" t="str">
        <f t="shared" si="402"/>
        <v>e</v>
      </c>
      <c r="AI257" t="str">
        <f t="shared" si="463"/>
        <v>n</v>
      </c>
      <c r="AJ257" t="str">
        <f t="shared" si="463"/>
        <v>n</v>
      </c>
      <c r="AK257" t="str">
        <f t="shared" si="404"/>
        <v>n</v>
      </c>
      <c r="AL257" t="str">
        <f t="shared" si="405"/>
        <v>n</v>
      </c>
      <c r="AM257" t="str">
        <f t="shared" si="360"/>
        <v>Away</v>
      </c>
      <c r="AN257" t="str">
        <f t="shared" si="406"/>
        <v>a</v>
      </c>
      <c r="AO257" t="str">
        <f t="shared" si="407"/>
        <v>n</v>
      </c>
      <c r="AP257" t="str">
        <f t="shared" si="408"/>
        <v>n</v>
      </c>
      <c r="AQ257" t="str">
        <f>IF(AM257&lt;&gt;"",AM257,IF($AC257=#REF!,#REF!,""))</f>
        <v>Away</v>
      </c>
      <c r="AR257" t="str">
        <f t="shared" si="409"/>
        <v>a</v>
      </c>
      <c r="AS257" t="str">
        <f t="shared" si="410"/>
        <v>Offensive</v>
      </c>
      <c r="AT257" t="str">
        <f t="shared" si="361"/>
        <v/>
      </c>
      <c r="AU257" t="str">
        <f t="shared" si="362"/>
        <v/>
      </c>
      <c r="AV257" t="str" cm="1">
        <f t="array" ref="AV257">IFERROR(IF(O257&lt;&gt;"",O257,IF(OR($S257="",$T257=""),"",IF(O257&lt;&gt;"",O257,IF($T257&lt;&gt;"",_xlfn._xlws.FILTER(O:O,($BT:$BT=$BT257)*($I:$I=$I257)*($T:$T=$T257)*($S:$S=_xlfn.MINIFS($S:$S,$T:$T,"="&amp;$T257)),"")))))&amp;"",IF(O257="","",""))&amp;""</f>
        <v/>
      </c>
      <c r="AW257" t="str" cm="1">
        <f t="array" ref="AW257">IFERROR(IF(P257&lt;&gt;"",P257,IF(OR($S257="",$T257=""),"",IF($T257&lt;&gt;"",_xlfn._xlws.FILTER(P:P,($BT:$BT=$BT257)*($I:$I=$I257)*($T:$T=$T257)*($S:$S=_xlfn.MINIFS($S:$S,$T:$T,"="&amp;$T257)),""))))&amp;"",IF(P257="","",""))&amp;""</f>
        <v/>
      </c>
      <c r="AX257" t="str" cm="1">
        <f t="array" ref="AX257">IFERROR(IF(Q257&lt;&gt;"",Q257,IF(OR($S257="",$T257=""),"",IF($T257&lt;&gt;"",_xlfn._xlws.FILTER(Q:Q,($BT:$BT=$BT257)*($I:$I=$I257)*($T:$T=$T257)*($S:$S=_xlfn.MINIFS($S:$S,$T:$T,"="&amp;$T257)),""))))&amp;"",IF(Q257="","",""))&amp;""</f>
        <v/>
      </c>
      <c r="AY257" t="str" cm="1">
        <f t="array" ref="AY257">IFERROR(IF(R257&lt;&gt;"",R257,IF(OR($S257="",$T257=""),"",IF($T257&lt;&gt;"",_xlfn._xlws.FILTER(R:R,($BT:$BT=$BT257)*($I:$I=$I257)*($T:$T=$T257)*($S:$S=_xlfn.MINIFS($S:$S,$T:$T,"="&amp;$T257)),""))))&amp;"",IF(R257="","",""))&amp;""</f>
        <v/>
      </c>
      <c r="AZ257" s="6">
        <f t="shared" si="363"/>
        <v>22</v>
      </c>
      <c r="BA257">
        <f t="shared" ref="BA257:BC257" si="470">BA256</f>
        <v>18991</v>
      </c>
      <c r="BB257" t="str">
        <f t="shared" si="470"/>
        <v>Triple J</v>
      </c>
      <c r="BC257" t="str">
        <f t="shared" si="470"/>
        <v>Velodrome</v>
      </c>
      <c r="BD257" t="str">
        <f t="shared" si="365"/>
        <v>Possession</v>
      </c>
      <c r="BE257" t="str">
        <f t="shared" si="366"/>
        <v/>
      </c>
      <c r="BF257" t="str">
        <f t="shared" si="367"/>
        <v/>
      </c>
      <c r="BG257" t="str">
        <f t="shared" si="22"/>
        <v/>
      </c>
      <c r="BH257" cm="1">
        <f t="array" aca="1" ref="BH257" ca="1">IFERROR(_xlfn._xlws.FILTER(shifts!A:A,(shifts!B:B=events!Z257)*(shifts!AG:AG&gt;=events!BJ257)*(shifts!AH:AH&lt;=events!BK257)),BH256)</f>
        <v>9</v>
      </c>
      <c r="BI257" s="15">
        <f t="shared" si="368"/>
        <v>2</v>
      </c>
      <c r="BJ257">
        <f t="shared" si="369"/>
        <v>846</v>
      </c>
      <c r="BK257">
        <f t="shared" si="370"/>
        <v>844</v>
      </c>
      <c r="BL257" s="15">
        <f>SUMIFS(BI$2:BI257,K$2:K257,"=Intermission")+SUMIFS(BI$2:BI257,K$2:K257,"=Timeout")</f>
        <v>0</v>
      </c>
      <c r="BM257">
        <f t="shared" si="371"/>
        <v>0</v>
      </c>
      <c r="BN257" s="19">
        <f t="shared" si="372"/>
        <v>234</v>
      </c>
      <c r="BO257">
        <f t="shared" si="373"/>
        <v>229</v>
      </c>
      <c r="BP257" s="17">
        <f t="shared" si="374"/>
        <v>236</v>
      </c>
      <c r="BQ257" t="str">
        <f t="shared" si="375"/>
        <v>event_team_player_1</v>
      </c>
      <c r="BR257">
        <f>COUNTIFS(S$3:S257,"="&amp;S257,AH$3:AH257,"="&amp;AH257)</f>
        <v>1</v>
      </c>
      <c r="BS257" t="str">
        <f>IFERROR(VLOOKUP(BA257&amp;BT257&amp;X257,game_rosters!U:W,3,FALSE),"")</f>
        <v>P100001</v>
      </c>
      <c r="BT257" t="str">
        <f t="shared" si="376"/>
        <v>Velodrome</v>
      </c>
    </row>
    <row r="258" spans="1:72" x14ac:dyDescent="0.2">
      <c r="A258">
        <f t="shared" si="351"/>
        <v>1</v>
      </c>
      <c r="E258" s="4"/>
      <c r="F258" s="45"/>
      <c r="G258" s="4"/>
      <c r="H258" s="47"/>
      <c r="I258" s="26">
        <v>70</v>
      </c>
      <c r="J258" s="26" t="s">
        <v>734</v>
      </c>
      <c r="K258" t="s">
        <v>7</v>
      </c>
      <c r="L258" t="s">
        <v>172</v>
      </c>
      <c r="M258" t="s">
        <v>68</v>
      </c>
      <c r="N258" t="str">
        <f t="shared" si="395"/>
        <v>s</v>
      </c>
      <c r="Q258" t="str">
        <f t="shared" si="389"/>
        <v/>
      </c>
      <c r="R258" s="26">
        <v>1</v>
      </c>
      <c r="S258">
        <f>IF(A258=1,MAX($S$2:$S257)+1,IF(OR($I258&lt;&gt;"",A258="x"),$S257,""))</f>
        <v>131</v>
      </c>
      <c r="T258" t="str">
        <f>IF(D258=1,MAX($T$2:$T257)+1,IF(S258=S257,$T257,IF(D258="x",T257,IF(D257="x","",""))))</f>
        <v/>
      </c>
      <c r="U258" t="str">
        <f>IF(B258=1,MAX($U$2:$U257)+1,IF(AND($T258&lt;&gt;"",$T258=$T257),$U257,IF(B258="x",U257,"")))</f>
        <v/>
      </c>
      <c r="V258" t="str">
        <f>IF(C258=1,MAX($V$2:$V257)+1,IF(AND($T258&lt;&gt;"",$T258=$T257),$U257,IF(C258="x",V257,"")))</f>
        <v/>
      </c>
      <c r="W258" t="str" cm="1">
        <f t="array" ref="W258">IFERROR(_xlfn._xlws.FILTER(game_rosters!AC:AC,(game_rosters!J:J=events!X258)*(K258&lt;&gt;"")),"")</f>
        <v>a</v>
      </c>
      <c r="X258" cm="1">
        <f t="array" ref="X258">IF($I258&lt;&gt;"",$I258,INDEX($I$1:$I258,ROW()-COUNTIFS($T$1:$T258,"="&amp;$T258,$S$1:$S258,"&lt;"&amp;$S258)))</f>
        <v>70</v>
      </c>
      <c r="Y258" cm="1">
        <f t="array" ref="Y258">IFERROR(IF(_xlfn._xlws.FILTER(game_rosters!$J:$J,(game_rosters!$G:$G=events!$AM258)*(game_rosters!$J:$J=events!$X258))&gt;0,1,""),"")</f>
        <v>1</v>
      </c>
      <c r="Z258" s="6">
        <f t="shared" si="352"/>
        <v>1</v>
      </c>
      <c r="AA258">
        <f t="shared" si="353"/>
        <v>1131</v>
      </c>
      <c r="AB258" t="str">
        <f t="shared" si="354"/>
        <v/>
      </c>
      <c r="AC258">
        <f t="shared" si="355"/>
        <v>1131</v>
      </c>
      <c r="AD258">
        <f t="shared" si="356"/>
        <v>14</v>
      </c>
      <c r="AE258" t="str">
        <f t="shared" si="357"/>
        <v>04</v>
      </c>
      <c r="AF258" t="str">
        <f t="shared" si="358"/>
        <v/>
      </c>
      <c r="AG258" t="str">
        <f t="shared" si="359"/>
        <v/>
      </c>
      <c r="AH258" t="str">
        <f t="shared" si="402"/>
        <v>e</v>
      </c>
      <c r="AI258" t="str">
        <f t="shared" si="463"/>
        <v>n</v>
      </c>
      <c r="AJ258" t="str">
        <f t="shared" si="463"/>
        <v>n</v>
      </c>
      <c r="AK258" t="str">
        <f t="shared" si="404"/>
        <v>n</v>
      </c>
      <c r="AL258" t="str">
        <f t="shared" si="405"/>
        <v>n</v>
      </c>
      <c r="AM258" t="str">
        <f t="shared" si="360"/>
        <v>Away</v>
      </c>
      <c r="AN258" t="str">
        <f t="shared" si="406"/>
        <v>a</v>
      </c>
      <c r="AO258" t="str">
        <f t="shared" si="407"/>
        <v>n</v>
      </c>
      <c r="AP258" t="str">
        <f t="shared" si="408"/>
        <v>n</v>
      </c>
      <c r="AQ258" t="str">
        <f>IF(AM258&lt;&gt;"",AM258,IF($AC258=#REF!,#REF!,""))</f>
        <v>Away</v>
      </c>
      <c r="AR258" t="str">
        <f t="shared" si="409"/>
        <v>a</v>
      </c>
      <c r="AS258" t="str">
        <f t="shared" si="410"/>
        <v>Offensive</v>
      </c>
      <c r="AT258" t="str">
        <f t="shared" si="361"/>
        <v/>
      </c>
      <c r="AU258" t="str">
        <f t="shared" si="362"/>
        <v/>
      </c>
      <c r="AV258" t="str" cm="1">
        <f t="array" ref="AV258">IFERROR(IF(O258&lt;&gt;"",O258,IF(OR($S258="",$T258=""),"",IF(O258&lt;&gt;"",O258,IF($T258&lt;&gt;"",_xlfn._xlws.FILTER(O:O,($BT:$BT=$BT258)*($I:$I=$I258)*($T:$T=$T258)*($S:$S=_xlfn.MINIFS($S:$S,$T:$T,"="&amp;$T258)),"")))))&amp;"",IF(O258="","",""))&amp;""</f>
        <v/>
      </c>
      <c r="AW258" t="str" cm="1">
        <f t="array" ref="AW258">IFERROR(IF(P258&lt;&gt;"",P258,IF(OR($S258="",$T258=""),"",IF($T258&lt;&gt;"",_xlfn._xlws.FILTER(P:P,($BT:$BT=$BT258)*($I:$I=$I258)*($T:$T=$T258)*($S:$S=_xlfn.MINIFS($S:$S,$T:$T,"="&amp;$T258)),""))))&amp;"",IF(P258="","",""))&amp;""</f>
        <v/>
      </c>
      <c r="AX258" t="str" cm="1">
        <f t="array" ref="AX258">IFERROR(IF(Q258&lt;&gt;"",Q258,IF(OR($S258="",$T258=""),"",IF($T258&lt;&gt;"",_xlfn._xlws.FILTER(Q:Q,($BT:$BT=$BT258)*($I:$I=$I258)*($T:$T=$T258)*($S:$S=_xlfn.MINIFS($S:$S,$T:$T,"="&amp;$T258)),""))))&amp;"",IF(Q258="","",""))&amp;""</f>
        <v/>
      </c>
      <c r="AY258" t="str" cm="1">
        <f t="array" ref="AY258">IFERROR(IF(R258&lt;&gt;"",R258,IF(OR($S258="",$T258=""),"",IF($T258&lt;&gt;"",_xlfn._xlws.FILTER(R:R,($BT:$BT=$BT258)*($I:$I=$I258)*($T:$T=$T258)*($S:$S=_xlfn.MINIFS($S:$S,$T:$T,"="&amp;$T258)),""))))&amp;"",IF(R258="","",""))&amp;""</f>
        <v>1</v>
      </c>
      <c r="AZ258" s="6">
        <f t="shared" si="363"/>
        <v>22</v>
      </c>
      <c r="BA258">
        <f t="shared" ref="BA258:BC258" si="471">BA257</f>
        <v>18991</v>
      </c>
      <c r="BB258" t="str">
        <f t="shared" si="471"/>
        <v>Triple J</v>
      </c>
      <c r="BC258" t="str">
        <f t="shared" si="471"/>
        <v>Velodrome</v>
      </c>
      <c r="BD258" t="str">
        <f t="shared" si="365"/>
        <v>Pass</v>
      </c>
      <c r="BE258" t="str">
        <f t="shared" si="366"/>
        <v>Pass_Completed</v>
      </c>
      <c r="BF258" t="str">
        <f t="shared" si="367"/>
        <v>Pass-Forehand</v>
      </c>
      <c r="BG258" t="str">
        <f t="shared" si="22"/>
        <v>s</v>
      </c>
      <c r="BH258" cm="1">
        <f t="array" aca="1" ref="BH258" ca="1">IFERROR(_xlfn._xlws.FILTER(shifts!A:A,(shifts!B:B=events!Z258)*(shifts!AG:AG&gt;=events!BJ258)*(shifts!AH:AH&lt;=events!BK258)),BH257)</f>
        <v>9</v>
      </c>
      <c r="BI258" s="15">
        <f t="shared" si="368"/>
        <v>0</v>
      </c>
      <c r="BJ258">
        <f t="shared" si="369"/>
        <v>844</v>
      </c>
      <c r="BK258">
        <f t="shared" si="370"/>
        <v>844</v>
      </c>
      <c r="BL258" s="15">
        <f>SUMIFS(BI$2:BI258,K$2:K258,"=Intermission")+SUMIFS(BI$2:BI258,K$2:K258,"=Timeout")</f>
        <v>0</v>
      </c>
      <c r="BM258">
        <f t="shared" si="371"/>
        <v>0</v>
      </c>
      <c r="BN258" s="19">
        <f t="shared" si="372"/>
        <v>236</v>
      </c>
      <c r="BO258">
        <f t="shared" si="373"/>
        <v>231</v>
      </c>
      <c r="BP258" s="17">
        <f t="shared" si="374"/>
        <v>236</v>
      </c>
      <c r="BQ258" t="str">
        <f t="shared" si="375"/>
        <v>event_team_player_1</v>
      </c>
      <c r="BR258">
        <f>COUNTIFS(S$3:S258,"="&amp;S258,AH$3:AH258,"="&amp;AH258)</f>
        <v>1</v>
      </c>
      <c r="BS258" t="str">
        <f>IFERROR(VLOOKUP(BA258&amp;BT258&amp;X258,game_rosters!U:W,3,FALSE),"")</f>
        <v>P100001</v>
      </c>
      <c r="BT258" t="str">
        <f t="shared" si="376"/>
        <v>Velodrome</v>
      </c>
    </row>
    <row r="259" spans="1:72" x14ac:dyDescent="0.2">
      <c r="A259" t="str">
        <f t="shared" si="351"/>
        <v/>
      </c>
      <c r="E259" s="4"/>
      <c r="F259" s="45"/>
      <c r="G259" s="4"/>
      <c r="H259" s="47"/>
      <c r="I259" s="26">
        <v>61</v>
      </c>
      <c r="J259" s="26" t="str">
        <f t="shared" si="377"/>
        <v/>
      </c>
      <c r="N259" t="str">
        <f t="shared" si="395"/>
        <v/>
      </c>
      <c r="Q259" t="str">
        <f t="shared" si="389"/>
        <v/>
      </c>
      <c r="S259">
        <f>IF(A259=1,MAX($S$2:$S258)+1,IF(OR($I259&lt;&gt;"",A259="x"),$S258,""))</f>
        <v>131</v>
      </c>
      <c r="T259" t="str">
        <f>IF(D259=1,MAX($T$2:$T258)+1,IF(S259=S258,$T258,IF(D259="x",T258,IF(D258="x","",""))))</f>
        <v/>
      </c>
      <c r="U259" t="str">
        <f>IF(B259=1,MAX($U$2:$U258)+1,IF(AND($T259&lt;&gt;"",$T259=$T258),$U258,IF(B259="x",U258,"")))</f>
        <v/>
      </c>
      <c r="V259" t="str">
        <f>IF(C259=1,MAX($V$2:$V258)+1,IF(AND($T259&lt;&gt;"",$T259=$T258),$U258,IF(C259="x",V258,"")))</f>
        <v/>
      </c>
      <c r="W259" t="str" cm="1">
        <f t="array" ref="W259">IFERROR(_xlfn._xlws.FILTER(game_rosters!AC:AC,(game_rosters!J:J=events!X259)*(K259&lt;&gt;"")),"")</f>
        <v/>
      </c>
      <c r="X259" cm="1">
        <f t="array" ref="X259">IF($I259&lt;&gt;"",$I259,INDEX($I$1:$I259,ROW()-COUNTIFS($T$1:$T259,"="&amp;$T259,$S$1:$S259,"&lt;"&amp;$S259)))</f>
        <v>61</v>
      </c>
      <c r="Y259" cm="1">
        <f t="array" ref="Y259">IFERROR(IF(_xlfn._xlws.FILTER(game_rosters!$J:$J,(game_rosters!$G:$G=events!$AM259)*(game_rosters!$J:$J=events!$X259))&gt;0,1,""),"")</f>
        <v>1</v>
      </c>
      <c r="Z259" s="6">
        <f t="shared" si="352"/>
        <v>1</v>
      </c>
      <c r="AA259">
        <f t="shared" si="353"/>
        <v>1131</v>
      </c>
      <c r="AB259" t="str">
        <f t="shared" si="354"/>
        <v/>
      </c>
      <c r="AC259">
        <f t="shared" si="355"/>
        <v>1131</v>
      </c>
      <c r="AD259">
        <f t="shared" si="356"/>
        <v>14</v>
      </c>
      <c r="AE259" t="str">
        <f t="shared" si="357"/>
        <v>04</v>
      </c>
      <c r="AF259" t="str">
        <f t="shared" si="358"/>
        <v/>
      </c>
      <c r="AG259" t="str">
        <f t="shared" si="359"/>
        <v/>
      </c>
      <c r="AH259" t="str">
        <f t="shared" si="402"/>
        <v>e</v>
      </c>
      <c r="AI259" t="str">
        <f t="shared" si="463"/>
        <v>n</v>
      </c>
      <c r="AJ259" t="str">
        <f t="shared" si="463"/>
        <v>n</v>
      </c>
      <c r="AK259" t="str">
        <f t="shared" si="404"/>
        <v/>
      </c>
      <c r="AL259" t="str">
        <f t="shared" si="405"/>
        <v/>
      </c>
      <c r="AM259" t="str">
        <f t="shared" si="360"/>
        <v>Away</v>
      </c>
      <c r="AN259" t="str">
        <f t="shared" si="406"/>
        <v>a</v>
      </c>
      <c r="AO259" t="str">
        <f t="shared" si="407"/>
        <v>n</v>
      </c>
      <c r="AP259" t="str">
        <f t="shared" si="408"/>
        <v>n</v>
      </c>
      <c r="AQ259" t="str">
        <f>IF(AM259&lt;&gt;"",AM259,IF($AC259=#REF!,#REF!,""))</f>
        <v>Away</v>
      </c>
      <c r="AR259" t="str">
        <f t="shared" si="409"/>
        <v>a</v>
      </c>
      <c r="AS259" t="str">
        <f t="shared" si="410"/>
        <v>Offensive</v>
      </c>
      <c r="AT259" t="str">
        <f t="shared" si="361"/>
        <v/>
      </c>
      <c r="AU259" t="str">
        <f t="shared" si="362"/>
        <v/>
      </c>
      <c r="AV259" t="str" cm="1">
        <f t="array" ref="AV259">IFERROR(IF(O259&lt;&gt;"",O259,IF(OR($S259="",$T259=""),"",IF(O259&lt;&gt;"",O259,IF($T259&lt;&gt;"",_xlfn._xlws.FILTER(O:O,($BT:$BT=$BT259)*($I:$I=$I259)*($T:$T=$T259)*($S:$S=_xlfn.MINIFS($S:$S,$T:$T,"="&amp;$T259)),"")))))&amp;"",IF(O259="","",""))&amp;""</f>
        <v/>
      </c>
      <c r="AW259" t="str" cm="1">
        <f t="array" ref="AW259">IFERROR(IF(P259&lt;&gt;"",P259,IF(OR($S259="",$T259=""),"",IF($T259&lt;&gt;"",_xlfn._xlws.FILTER(P:P,($BT:$BT=$BT259)*($I:$I=$I259)*($T:$T=$T259)*($S:$S=_xlfn.MINIFS($S:$S,$T:$T,"="&amp;$T259)),""))))&amp;"",IF(P259="","",""))&amp;""</f>
        <v/>
      </c>
      <c r="AX259" t="str" cm="1">
        <f t="array" ref="AX259">IFERROR(IF(Q259&lt;&gt;"",Q259,IF(OR($S259="",$T259=""),"",IF($T259&lt;&gt;"",_xlfn._xlws.FILTER(Q:Q,($BT:$BT=$BT259)*($I:$I=$I259)*($T:$T=$T259)*($S:$S=_xlfn.MINIFS($S:$S,$T:$T,"="&amp;$T259)),""))))&amp;"",IF(Q259="","",""))&amp;""</f>
        <v/>
      </c>
      <c r="AY259" t="str" cm="1">
        <f t="array" ref="AY259">IFERROR(IF(R259&lt;&gt;"",R259,IF(OR($S259="",$T259=""),"",IF($T259&lt;&gt;"",_xlfn._xlws.FILTER(R:R,($BT:$BT=$BT259)*($I:$I=$I259)*($T:$T=$T259)*($S:$S=_xlfn.MINIFS($S:$S,$T:$T,"="&amp;$T259)),""))))&amp;"",IF(R259="","",""))&amp;""</f>
        <v/>
      </c>
      <c r="AZ259" s="6">
        <f t="shared" si="363"/>
        <v>22</v>
      </c>
      <c r="BA259">
        <f t="shared" ref="BA259:BC259" si="472">BA258</f>
        <v>18991</v>
      </c>
      <c r="BB259" t="str">
        <f t="shared" si="472"/>
        <v>Triple J</v>
      </c>
      <c r="BC259" t="str">
        <f t="shared" si="472"/>
        <v>Velodrome</v>
      </c>
      <c r="BD259" t="str">
        <f t="shared" si="365"/>
        <v>Pass</v>
      </c>
      <c r="BE259" t="str">
        <f t="shared" si="366"/>
        <v>Pass_Completed</v>
      </c>
      <c r="BF259" t="str">
        <f t="shared" si="367"/>
        <v>Pass-Forehand</v>
      </c>
      <c r="BG259" t="str">
        <f t="shared" ref="BG259:BG322" si="473">IF($N259&lt;&gt;"",$N259,IF($S259=$S258,BG258,""))</f>
        <v>s</v>
      </c>
      <c r="BH259" cm="1">
        <f t="array" aca="1" ref="BH259" ca="1">IFERROR(_xlfn._xlws.FILTER(shifts!A:A,(shifts!B:B=events!Z259)*(shifts!AG:AG&gt;=events!BJ259)*(shifts!AH:AH&lt;=events!BK259)),BH258)</f>
        <v>9</v>
      </c>
      <c r="BI259" s="15">
        <f t="shared" si="368"/>
        <v>0</v>
      </c>
      <c r="BJ259">
        <f t="shared" si="369"/>
        <v>844</v>
      </c>
      <c r="BK259">
        <f t="shared" si="370"/>
        <v>844</v>
      </c>
      <c r="BL259" s="15">
        <f>SUMIFS(BI$2:BI259,K$2:K259,"=Intermission")+SUMIFS(BI$2:BI259,K$2:K259,"=Timeout")</f>
        <v>0</v>
      </c>
      <c r="BM259">
        <f t="shared" si="371"/>
        <v>0</v>
      </c>
      <c r="BN259" s="19">
        <f t="shared" si="372"/>
        <v>236</v>
      </c>
      <c r="BO259">
        <f t="shared" si="373"/>
        <v>231</v>
      </c>
      <c r="BP259" s="17">
        <f t="shared" si="374"/>
        <v>236</v>
      </c>
      <c r="BQ259" t="str">
        <f t="shared" si="375"/>
        <v>event_team_player_2</v>
      </c>
      <c r="BR259">
        <f>COUNTIFS(S$3:S259,"="&amp;S259,AH$3:AH259,"="&amp;AH259)</f>
        <v>2</v>
      </c>
      <c r="BS259" t="str">
        <f>IFERROR(VLOOKUP(BA259&amp;BT259&amp;X259,game_rosters!U:W,3,FALSE),"")</f>
        <v>P100224</v>
      </c>
      <c r="BT259" t="str">
        <f t="shared" si="376"/>
        <v>Velodrome</v>
      </c>
    </row>
    <row r="260" spans="1:72" x14ac:dyDescent="0.2">
      <c r="A260" t="str">
        <f t="shared" si="351"/>
        <v/>
      </c>
      <c r="E260" s="4"/>
      <c r="F260" s="45"/>
      <c r="G260" s="4"/>
      <c r="H260" s="47"/>
      <c r="I260" s="26">
        <v>71</v>
      </c>
      <c r="J260" s="26" t="str">
        <f t="shared" si="377"/>
        <v/>
      </c>
      <c r="N260" t="str">
        <f t="shared" si="395"/>
        <v/>
      </c>
      <c r="Q260" t="str">
        <f t="shared" si="389"/>
        <v/>
      </c>
      <c r="R260" s="26">
        <v>1</v>
      </c>
      <c r="S260">
        <f>IF(A260=1,MAX($S$2:$S259)+1,IF(OR($I260&lt;&gt;"",A260="x"),$S259,""))</f>
        <v>131</v>
      </c>
      <c r="T260" t="str">
        <f>IF(D260=1,MAX($T$2:$T259)+1,IF(S260=S259,$T259,IF(D260="x",T259,IF(D259="x","",""))))</f>
        <v/>
      </c>
      <c r="U260" t="str">
        <f>IF(B260=1,MAX($U$2:$U259)+1,IF(AND($T260&lt;&gt;"",$T260=$T259),$U259,IF(B260="x",U259,"")))</f>
        <v/>
      </c>
      <c r="V260" t="str">
        <f>IF(C260=1,MAX($V$2:$V259)+1,IF(AND($T260&lt;&gt;"",$T260=$T259),$U259,IF(C260="x",V259,"")))</f>
        <v/>
      </c>
      <c r="W260" t="str" cm="1">
        <f t="array" ref="W260">IFERROR(_xlfn._xlws.FILTER(game_rosters!AC:AC,(game_rosters!J:J=events!X260)*(K260&lt;&gt;"")),"")</f>
        <v/>
      </c>
      <c r="X260" cm="1">
        <f t="array" ref="X260">IF($I260&lt;&gt;"",$I260,INDEX($I$1:$I260,ROW()-COUNTIFS($T$1:$T260,"="&amp;$T260,$S$1:$S260,"&lt;"&amp;$S260)))</f>
        <v>71</v>
      </c>
      <c r="Y260" t="str" cm="1">
        <f t="array" ref="Y260">IFERROR(IF(_xlfn._xlws.FILTER(game_rosters!$J:$J,(game_rosters!$G:$G=events!$AM260)*(game_rosters!$J:$J=events!$X260))&gt;0,1,""),"")</f>
        <v/>
      </c>
      <c r="Z260" s="6">
        <f t="shared" si="352"/>
        <v>1</v>
      </c>
      <c r="AA260">
        <f t="shared" si="353"/>
        <v>1131</v>
      </c>
      <c r="AB260" t="str">
        <f t="shared" si="354"/>
        <v/>
      </c>
      <c r="AC260">
        <f t="shared" si="355"/>
        <v>1131</v>
      </c>
      <c r="AD260">
        <f t="shared" si="356"/>
        <v>14</v>
      </c>
      <c r="AE260" t="str">
        <f t="shared" si="357"/>
        <v>04</v>
      </c>
      <c r="AF260" t="str">
        <f t="shared" si="358"/>
        <v/>
      </c>
      <c r="AG260" t="str">
        <f t="shared" si="359"/>
        <v/>
      </c>
      <c r="AH260" t="str">
        <f t="shared" si="402"/>
        <v>o</v>
      </c>
      <c r="AI260" t="str">
        <f t="shared" si="463"/>
        <v>n</v>
      </c>
      <c r="AJ260" t="str">
        <f t="shared" si="463"/>
        <v>n</v>
      </c>
      <c r="AK260" t="str">
        <f t="shared" si="404"/>
        <v/>
      </c>
      <c r="AL260" t="str">
        <f t="shared" si="405"/>
        <v/>
      </c>
      <c r="AM260" t="str">
        <f t="shared" si="360"/>
        <v>Away</v>
      </c>
      <c r="AN260" t="str">
        <f t="shared" si="406"/>
        <v>a</v>
      </c>
      <c r="AO260" t="str">
        <f t="shared" si="407"/>
        <v>n</v>
      </c>
      <c r="AP260" t="str">
        <f t="shared" si="408"/>
        <v>n</v>
      </c>
      <c r="AQ260" t="str">
        <f>IF(AM260&lt;&gt;"",AM260,IF($AC260=#REF!,#REF!,""))</f>
        <v>Away</v>
      </c>
      <c r="AR260" t="str">
        <f t="shared" si="409"/>
        <v>a</v>
      </c>
      <c r="AS260" t="str">
        <f t="shared" si="410"/>
        <v>Defensive</v>
      </c>
      <c r="AT260" t="str">
        <f t="shared" si="361"/>
        <v/>
      </c>
      <c r="AU260" t="str">
        <f t="shared" si="362"/>
        <v/>
      </c>
      <c r="AV260" t="str" cm="1">
        <f t="array" ref="AV260">IFERROR(IF(O260&lt;&gt;"",O260,IF(OR($S260="",$T260=""),"",IF(O260&lt;&gt;"",O260,IF($T260&lt;&gt;"",_xlfn._xlws.FILTER(O:O,($BT:$BT=$BT260)*($I:$I=$I260)*($T:$T=$T260)*($S:$S=_xlfn.MINIFS($S:$S,$T:$T,"="&amp;$T260)),"")))))&amp;"",IF(O260="","",""))&amp;""</f>
        <v/>
      </c>
      <c r="AW260" t="str" cm="1">
        <f t="array" ref="AW260">IFERROR(IF(P260&lt;&gt;"",P260,IF(OR($S260="",$T260=""),"",IF($T260&lt;&gt;"",_xlfn._xlws.FILTER(P:P,($BT:$BT=$BT260)*($I:$I=$I260)*($T:$T=$T260)*($S:$S=_xlfn.MINIFS($S:$S,$T:$T,"="&amp;$T260)),""))))&amp;"",IF(P260="","",""))&amp;""</f>
        <v/>
      </c>
      <c r="AX260" t="str" cm="1">
        <f t="array" ref="AX260">IFERROR(IF(Q260&lt;&gt;"",Q260,IF(OR($S260="",$T260=""),"",IF($T260&lt;&gt;"",_xlfn._xlws.FILTER(Q:Q,($BT:$BT=$BT260)*($I:$I=$I260)*($T:$T=$T260)*($S:$S=_xlfn.MINIFS($S:$S,$T:$T,"="&amp;$T260)),""))))&amp;"",IF(Q260="","",""))&amp;""</f>
        <v/>
      </c>
      <c r="AY260" t="str" cm="1">
        <f t="array" ref="AY260">IFERROR(IF(R260&lt;&gt;"",R260,IF(OR($S260="",$T260=""),"",IF($T260&lt;&gt;"",_xlfn._xlws.FILTER(R:R,($BT:$BT=$BT260)*($I:$I=$I260)*($T:$T=$T260)*($S:$S=_xlfn.MINIFS($S:$S,$T:$T,"="&amp;$T260)),""))))&amp;"",IF(R260="","",""))&amp;""</f>
        <v>1</v>
      </c>
      <c r="AZ260" s="6">
        <f t="shared" si="363"/>
        <v>22</v>
      </c>
      <c r="BA260">
        <f t="shared" ref="BA260:BC260" si="474">BA259</f>
        <v>18991</v>
      </c>
      <c r="BB260" t="str">
        <f t="shared" si="474"/>
        <v>Triple J</v>
      </c>
      <c r="BC260" t="str">
        <f t="shared" si="474"/>
        <v>Velodrome</v>
      </c>
      <c r="BD260" t="str">
        <f t="shared" si="365"/>
        <v>Pass</v>
      </c>
      <c r="BE260" t="str">
        <f t="shared" si="366"/>
        <v>Pass_Completed</v>
      </c>
      <c r="BF260" t="str">
        <f t="shared" si="367"/>
        <v>Pass-Forehand</v>
      </c>
      <c r="BG260" t="str">
        <f t="shared" si="473"/>
        <v>s</v>
      </c>
      <c r="BH260" cm="1">
        <f t="array" aca="1" ref="BH260" ca="1">IFERROR(_xlfn._xlws.FILTER(shifts!A:A,(shifts!B:B=events!Z260)*(shifts!AG:AG&gt;=events!BJ260)*(shifts!AH:AH&lt;=events!BK260)),BH259)</f>
        <v>9</v>
      </c>
      <c r="BI260" s="15">
        <f t="shared" si="368"/>
        <v>0</v>
      </c>
      <c r="BJ260">
        <f t="shared" si="369"/>
        <v>844</v>
      </c>
      <c r="BK260">
        <f t="shared" si="370"/>
        <v>844</v>
      </c>
      <c r="BL260" s="15">
        <f>SUMIFS(BI$2:BI260,K$2:K260,"=Intermission")+SUMIFS(BI$2:BI260,K$2:K260,"=Timeout")</f>
        <v>0</v>
      </c>
      <c r="BM260">
        <f t="shared" si="371"/>
        <v>0</v>
      </c>
      <c r="BN260" s="19">
        <f t="shared" si="372"/>
        <v>236</v>
      </c>
      <c r="BO260">
        <f t="shared" si="373"/>
        <v>231</v>
      </c>
      <c r="BP260" s="17">
        <f t="shared" si="374"/>
        <v>236</v>
      </c>
      <c r="BQ260" t="str">
        <f t="shared" si="375"/>
        <v>opp_team_player_1</v>
      </c>
      <c r="BR260">
        <f>COUNTIFS(S$3:S260,"="&amp;S260,AH$3:AH260,"="&amp;AH260)</f>
        <v>1</v>
      </c>
      <c r="BS260" t="str">
        <f>IFERROR(VLOOKUP(BA260&amp;BT260&amp;X260,game_rosters!U:W,3,FALSE),"")</f>
        <v>P100008</v>
      </c>
      <c r="BT260" t="str">
        <f t="shared" si="376"/>
        <v>Triple J</v>
      </c>
    </row>
    <row r="261" spans="1:72" x14ac:dyDescent="0.2">
      <c r="A261">
        <f t="shared" ref="A261:A324" si="475">IF(K261&lt;&gt;"",1,IF(D261="x","x",""))</f>
        <v>1</v>
      </c>
      <c r="E261" s="4"/>
      <c r="F261" s="45"/>
      <c r="G261" s="4"/>
      <c r="H261" s="47" t="s">
        <v>1040</v>
      </c>
      <c r="I261" s="26">
        <v>61</v>
      </c>
      <c r="J261" s="26" t="s">
        <v>734</v>
      </c>
      <c r="K261" t="s">
        <v>13</v>
      </c>
      <c r="N261" t="str">
        <f t="shared" si="395"/>
        <v/>
      </c>
      <c r="Q261" t="str">
        <f t="shared" si="389"/>
        <v/>
      </c>
      <c r="S261">
        <f>IF(A261=1,MAX($S$2:$S260)+1,IF(OR($I261&lt;&gt;"",A261="x"),$S260,""))</f>
        <v>132</v>
      </c>
      <c r="T261" t="str">
        <f>IF(D261=1,MAX($T$2:$T260)+1,IF(S261=S260,$T260,IF(D261="x",T260,IF(D260="x","",""))))</f>
        <v/>
      </c>
      <c r="U261" t="str">
        <f>IF(B261=1,MAX($U$2:$U260)+1,IF(AND($T261&lt;&gt;"",$T261=$T260),$U260,IF(B261="x",U260,"")))</f>
        <v/>
      </c>
      <c r="V261" t="str">
        <f>IF(C261=1,MAX($V$2:$V260)+1,IF(AND($T261&lt;&gt;"",$T261=$T260),$U260,IF(C261="x",V260,"")))</f>
        <v/>
      </c>
      <c r="W261" t="str" cm="1">
        <f t="array" ref="W261">IFERROR(_xlfn._xlws.FILTER(game_rosters!AC:AC,(game_rosters!J:J=events!X261)*(K261&lt;&gt;"")),"")</f>
        <v>a</v>
      </c>
      <c r="X261" cm="1">
        <f t="array" ref="X261">IF($I261&lt;&gt;"",$I261,INDEX($I$1:$I261,ROW()-COUNTIFS($T$1:$T261,"="&amp;$T261,$S$1:$S261,"&lt;"&amp;$S261)))</f>
        <v>61</v>
      </c>
      <c r="Y261" cm="1">
        <f t="array" ref="Y261">IFERROR(IF(_xlfn._xlws.FILTER(game_rosters!$J:$J,(game_rosters!$G:$G=events!$AM261)*(game_rosters!$J:$J=events!$X261))&gt;0,1,""),"")</f>
        <v>1</v>
      </c>
      <c r="Z261" s="6">
        <f t="shared" ref="Z261:Z324" si="476">IF(K261="Intermission",Z260+1,Z260)</f>
        <v>1</v>
      </c>
      <c r="AA261">
        <f t="shared" ref="AA261:AA324" si="477">S261+1000</f>
        <v>1132</v>
      </c>
      <c r="AB261" t="str">
        <f t="shared" ref="AB261:AB324" si="478">IF(T261&lt;&gt;"",9000+T261,"")</f>
        <v/>
      </c>
      <c r="AC261">
        <f t="shared" ref="AC261:AC324" si="479">IF(AB261&lt;&gt;"",AB261,S261+1000)</f>
        <v>1132</v>
      </c>
      <c r="AD261">
        <f t="shared" ref="AD261:AD324" si="480">IF(E261&lt;&gt;"",E261,IF($AC261=$AC260,AD260,IF(AF260&lt;&gt;"",AF260,IF(AD260&lt;&gt;"",AD260,""))))</f>
        <v>14</v>
      </c>
      <c r="AE261" t="str">
        <f t="shared" ref="AE261:AE324" si="481">IF(F261&lt;&gt;"",F261,IF($AC261=$AC260,AE260,IF(AG260&lt;&gt;"",AG260,IF(AE260&lt;&gt;"",AE260,""))))</f>
        <v>04</v>
      </c>
      <c r="AF261">
        <f t="shared" ref="AF261:AF324" si="482">IF(G261&lt;&gt;"",G261,IF($AC261=$AC260,AF260,IF(H261="","",AD261)))</f>
        <v>14</v>
      </c>
      <c r="AG261" t="str">
        <f t="shared" ref="AG261:AG324" si="483">IF(H261&lt;&gt;"",H261,IF($S261=$S260,AG260,""))</f>
        <v>02</v>
      </c>
      <c r="AH261" t="str">
        <f t="shared" si="402"/>
        <v>e</v>
      </c>
      <c r="AI261" t="str">
        <f t="shared" si="463"/>
        <v>n</v>
      </c>
      <c r="AJ261" t="str">
        <f t="shared" si="463"/>
        <v>n</v>
      </c>
      <c r="AK261" t="str">
        <f t="shared" si="404"/>
        <v>n</v>
      </c>
      <c r="AL261" t="str">
        <f t="shared" si="405"/>
        <v>n</v>
      </c>
      <c r="AM261" t="str">
        <f t="shared" ref="AM261:AM324" si="484">IF(AN261="H","Home",IF(AN261="A","Away",""))</f>
        <v>Away</v>
      </c>
      <c r="AN261" t="str">
        <f t="shared" si="406"/>
        <v>a</v>
      </c>
      <c r="AO261" t="str">
        <f t="shared" si="407"/>
        <v>n</v>
      </c>
      <c r="AP261" t="str">
        <f t="shared" si="408"/>
        <v>n</v>
      </c>
      <c r="AQ261" t="str">
        <f>IF(AM261&lt;&gt;"",AM261,IF($AC261=#REF!,#REF!,""))</f>
        <v>Away</v>
      </c>
      <c r="AR261" t="str">
        <f t="shared" si="409"/>
        <v>a</v>
      </c>
      <c r="AS261" t="str">
        <f t="shared" si="410"/>
        <v>Offensive</v>
      </c>
      <c r="AT261" t="str">
        <f t="shared" ref="AT261:AT324" si="485">IF(U261&lt;&gt;"",U261+5000,"")</f>
        <v/>
      </c>
      <c r="AU261" t="str">
        <f t="shared" ref="AU261:AU324" si="486">IF(V261&lt;&gt;"",V261+6000,"")</f>
        <v/>
      </c>
      <c r="AV261" t="str" cm="1">
        <f t="array" ref="AV261">IFERROR(IF(O261&lt;&gt;"",O261,IF(OR($S261="",$T261=""),"",IF(O261&lt;&gt;"",O261,IF($T261&lt;&gt;"",_xlfn._xlws.FILTER(O:O,($BT:$BT=$BT261)*($I:$I=$I261)*($T:$T=$T261)*($S:$S=_xlfn.MINIFS($S:$S,$T:$T,"="&amp;$T261)),"")))))&amp;"",IF(O261="","",""))&amp;""</f>
        <v/>
      </c>
      <c r="AW261" t="str" cm="1">
        <f t="array" ref="AW261">IFERROR(IF(P261&lt;&gt;"",P261,IF(OR($S261="",$T261=""),"",IF($T261&lt;&gt;"",_xlfn._xlws.FILTER(P:P,($BT:$BT=$BT261)*($I:$I=$I261)*($T:$T=$T261)*($S:$S=_xlfn.MINIFS($S:$S,$T:$T,"="&amp;$T261)),""))))&amp;"",IF(P261="","",""))&amp;""</f>
        <v/>
      </c>
      <c r="AX261" t="str" cm="1">
        <f t="array" ref="AX261">IFERROR(IF(Q261&lt;&gt;"",Q261,IF(OR($S261="",$T261=""),"",IF($T261&lt;&gt;"",_xlfn._xlws.FILTER(Q:Q,($BT:$BT=$BT261)*($I:$I=$I261)*($T:$T=$T261)*($S:$S=_xlfn.MINIFS($S:$S,$T:$T,"="&amp;$T261)),""))))&amp;"",IF(Q261="","",""))&amp;""</f>
        <v/>
      </c>
      <c r="AY261" t="str" cm="1">
        <f t="array" ref="AY261">IFERROR(IF(R261&lt;&gt;"",R261,IF(OR($S261="",$T261=""),"",IF($T261&lt;&gt;"",_xlfn._xlws.FILTER(R:R,($BT:$BT=$BT261)*($I:$I=$I261)*($T:$T=$T261)*($S:$S=_xlfn.MINIFS($S:$S,$T:$T,"="&amp;$T261)),""))))&amp;"",IF(R261="","",""))&amp;""</f>
        <v/>
      </c>
      <c r="AZ261" s="6">
        <f t="shared" ref="AZ261:AZ324" si="487">IF(OR(L261="Zone_Entry",L261="Zone_Exit"),AZ260+1,AZ260)</f>
        <v>22</v>
      </c>
      <c r="BA261">
        <f t="shared" ref="BA261:BC261" si="488">BA260</f>
        <v>18991</v>
      </c>
      <c r="BB261" t="str">
        <f t="shared" si="488"/>
        <v>Triple J</v>
      </c>
      <c r="BC261" t="str">
        <f t="shared" si="488"/>
        <v>Velodrome</v>
      </c>
      <c r="BD261" t="str">
        <f t="shared" ref="BD261:BD324" si="489">IF($K261&lt;&gt;"",$K261,IF($S261=$S260,BD260,""))</f>
        <v>Possession</v>
      </c>
      <c r="BE261" t="str">
        <f t="shared" ref="BE261:BE324" si="490">IF(L261&lt;&gt;"",L261,IF($S261=$S260,BE260,""))</f>
        <v/>
      </c>
      <c r="BF261" t="str">
        <f t="shared" ref="BF261:BF324" si="491">IF(M261&lt;&gt;"",M261,IF($S261=$S260,BF260,""))</f>
        <v/>
      </c>
      <c r="BG261" t="str">
        <f t="shared" si="473"/>
        <v/>
      </c>
      <c r="BH261" cm="1">
        <f t="array" aca="1" ref="BH261" ca="1">IFERROR(_xlfn._xlws.FILTER(shifts!A:A,(shifts!B:B=events!Z261)*(shifts!AG:AG&gt;=events!BJ261)*(shifts!AH:AH&lt;=events!BK261)),BH260)</f>
        <v>9</v>
      </c>
      <c r="BI261" s="15">
        <f t="shared" ref="BI261:BI324" si="492">IF(AND(AF261="",AG261=""),0,((AD261*60)+AE261)-((AF261*60)+AG261))</f>
        <v>2</v>
      </c>
      <c r="BJ261">
        <f t="shared" ref="BJ261:BJ324" si="493">(AD261*60)+AE261</f>
        <v>844</v>
      </c>
      <c r="BK261">
        <f t="shared" ref="BK261:BK324" si="494">IF(AND(AF261="",AG261=""),BJ261,((AF261*60)+AG261))</f>
        <v>842</v>
      </c>
      <c r="BL261" s="15">
        <f>SUMIFS(BI$2:BI261,K$2:K261,"=Intermission")+SUMIFS(BI$2:BI261,K$2:K261,"=Timeout")</f>
        <v>0</v>
      </c>
      <c r="BM261">
        <f t="shared" ref="BM261:BM324" si="495">IF(Z261=1,0,IF(Z261=2,1080+BL261,IF(Z261=3,(1080*2)+BL261,0)))</f>
        <v>0</v>
      </c>
      <c r="BN261" s="19">
        <f t="shared" ref="BN261:BN324" si="496">IF(K261="Intermission",BN260,((1080)-((AD261*60)+AE261))+BM261)</f>
        <v>236</v>
      </c>
      <c r="BO261">
        <f t="shared" ref="BO261:BO324" si="497">IF(BN261&lt;5,0,BN261-5)</f>
        <v>231</v>
      </c>
      <c r="BP261" s="17">
        <f t="shared" ref="BP261:BP324" si="498">BO261+BI261+5</f>
        <v>238</v>
      </c>
      <c r="BQ261" t="str">
        <f t="shared" ref="BQ261:BQ324" si="499">IF(AH261="e","event_team_player_"&amp;BR261,IF(AH261="o","opp_team_player_"&amp;BR261,""))</f>
        <v>event_team_player_1</v>
      </c>
      <c r="BR261">
        <f>COUNTIFS(S$3:S261,"="&amp;S261,AH$3:AH261,"="&amp;AH261)</f>
        <v>1</v>
      </c>
      <c r="BS261" t="str">
        <f>IFERROR(VLOOKUP(BA261&amp;BT261&amp;X261,game_rosters!U:W,3,FALSE),"")</f>
        <v>P100224</v>
      </c>
      <c r="BT261" t="str">
        <f t="shared" ref="BT261:BT324" si="500">IF(AQ261="","",IF(AND(AQ261="Away",AH261="e"),BC261,IF(AND(AQ261="Home",AH261="e"),BB261,IF(AND(AQ261="Away",AH261="o"),BB261,IF(AND(AQ261="Home",AH261="o"),BC261)))))</f>
        <v>Velodrome</v>
      </c>
    </row>
    <row r="262" spans="1:72" x14ac:dyDescent="0.2">
      <c r="A262">
        <f t="shared" si="475"/>
        <v>1</v>
      </c>
      <c r="E262" s="4"/>
      <c r="F262" s="45"/>
      <c r="G262" s="4" t="s">
        <v>1064</v>
      </c>
      <c r="H262" s="47" t="s">
        <v>1028</v>
      </c>
      <c r="I262" s="26">
        <v>61</v>
      </c>
      <c r="J262" s="26" t="str">
        <f t="shared" ref="J262:J325" si="501">IF(OR(K262="Goal",K262="Shot",L262="Zone_Entry",M262="Stoppage-Goal",M261="Stoppage-Goal"),"o",IF(OR(K262="Save",K262="Rebound",L262="Zone_Exit",M262="Stoppage-GoalieStoppage",M261="Stoppage-GoalieStoppage"),"d",IF(OR(L262="Faceoff_AfterGoal",L262="Faceoff_PeriodStart",698="Faceoff_GameStart",M261="Stoppage-Goal"),"n","")))</f>
        <v>o</v>
      </c>
      <c r="K262" t="s">
        <v>238</v>
      </c>
      <c r="L262" t="s">
        <v>174</v>
      </c>
      <c r="M262" t="s">
        <v>85</v>
      </c>
      <c r="N262" t="str">
        <f t="shared" si="395"/>
        <v>s</v>
      </c>
      <c r="O262" t="s">
        <v>144</v>
      </c>
      <c r="Q262" t="str">
        <f t="shared" si="389"/>
        <v>s</v>
      </c>
      <c r="R262" s="26">
        <v>1</v>
      </c>
      <c r="S262">
        <f>IF(A262=1,MAX($S$2:$S261)+1,IF(OR($I262&lt;&gt;"",A262="x"),$S261,""))</f>
        <v>133</v>
      </c>
      <c r="T262" t="str">
        <f>IF(D262=1,MAX($T$2:$T261)+1,IF(S262=S261,$T261,IF(D262="x",T261,IF(D261="x","",""))))</f>
        <v/>
      </c>
      <c r="U262" t="str">
        <f>IF(B262=1,MAX($U$2:$U261)+1,IF(AND($T262&lt;&gt;"",$T262=$T261),$U261,IF(B262="x",U261,"")))</f>
        <v/>
      </c>
      <c r="V262" t="str">
        <f>IF(C262=1,MAX($V$2:$V261)+1,IF(AND($T262&lt;&gt;"",$T262=$T261),$U261,IF(C262="x",V261,"")))</f>
        <v/>
      </c>
      <c r="W262" t="str" cm="1">
        <f t="array" ref="W262">IFERROR(_xlfn._xlws.FILTER(game_rosters!AC:AC,(game_rosters!J:J=events!X262)*(K262&lt;&gt;"")),"")</f>
        <v>a</v>
      </c>
      <c r="X262" cm="1">
        <f t="array" ref="X262">IF($I262&lt;&gt;"",$I262,INDEX($I$1:$I262,ROW()-COUNTIFS($T$1:$T262,"="&amp;$T262,$S$1:$S262,"&lt;"&amp;$S262)))</f>
        <v>61</v>
      </c>
      <c r="Y262" cm="1">
        <f t="array" ref="Y262">IFERROR(IF(_xlfn._xlws.FILTER(game_rosters!$J:$J,(game_rosters!$G:$G=events!$AM262)*(game_rosters!$J:$J=events!$X262))&gt;0,1,""),"")</f>
        <v>1</v>
      </c>
      <c r="Z262" s="6">
        <f t="shared" si="476"/>
        <v>1</v>
      </c>
      <c r="AA262">
        <f t="shared" si="477"/>
        <v>1133</v>
      </c>
      <c r="AB262" t="str">
        <f t="shared" si="478"/>
        <v/>
      </c>
      <c r="AC262">
        <f t="shared" si="479"/>
        <v>1133</v>
      </c>
      <c r="AD262">
        <f t="shared" si="480"/>
        <v>14</v>
      </c>
      <c r="AE262" t="str">
        <f t="shared" si="481"/>
        <v>02</v>
      </c>
      <c r="AF262" t="str">
        <f t="shared" si="482"/>
        <v>13</v>
      </c>
      <c r="AG262" t="str">
        <f t="shared" si="483"/>
        <v>58</v>
      </c>
      <c r="AH262" t="str">
        <f t="shared" si="402"/>
        <v>e</v>
      </c>
      <c r="AI262" t="str">
        <f t="shared" si="463"/>
        <v>o</v>
      </c>
      <c r="AJ262" t="str">
        <f t="shared" si="463"/>
        <v>o</v>
      </c>
      <c r="AK262" t="str">
        <f t="shared" si="404"/>
        <v>d</v>
      </c>
      <c r="AL262" t="str">
        <f t="shared" si="405"/>
        <v>o</v>
      </c>
      <c r="AM262" t="str">
        <f t="shared" si="484"/>
        <v>Away</v>
      </c>
      <c r="AN262" t="str">
        <f t="shared" si="406"/>
        <v>a</v>
      </c>
      <c r="AO262" t="str">
        <f t="shared" si="407"/>
        <v>d</v>
      </c>
      <c r="AP262" t="str">
        <f t="shared" si="408"/>
        <v>o</v>
      </c>
      <c r="AQ262" t="str">
        <f>IF(AM262&lt;&gt;"",AM262,IF($AC262=#REF!,#REF!,""))</f>
        <v>Away</v>
      </c>
      <c r="AR262" t="str">
        <f t="shared" si="409"/>
        <v>a</v>
      </c>
      <c r="AS262" t="str">
        <f t="shared" si="410"/>
        <v>Offensive</v>
      </c>
      <c r="AT262" t="str">
        <f t="shared" si="485"/>
        <v/>
      </c>
      <c r="AU262" t="str">
        <f t="shared" si="486"/>
        <v/>
      </c>
      <c r="AV262" t="str" cm="1">
        <f t="array" ref="AV262">IFERROR(IF(O262&lt;&gt;"",O262,IF(OR($S262="",$T262=""),"",IF(O262&lt;&gt;"",O262,IF($T262&lt;&gt;"",_xlfn._xlws.FILTER(O:O,($BT:$BT=$BT262)*($I:$I=$I262)*($T:$T=$T262)*($S:$S=_xlfn.MINIFS($S:$S,$T:$T,"="&amp;$T262)),"")))))&amp;"",IF(O262="","",""))&amp;""</f>
        <v>DriveWide</v>
      </c>
      <c r="AW262" t="str" cm="1">
        <f t="array" ref="AW262">IFERROR(IF(P262&lt;&gt;"",P262,IF(OR($S262="",$T262=""),"",IF($T262&lt;&gt;"",_xlfn._xlws.FILTER(P:P,($BT:$BT=$BT262)*($I:$I=$I262)*($T:$T=$T262)*($S:$S=_xlfn.MINIFS($S:$S,$T:$T,"="&amp;$T262)),""))))&amp;"",IF(P262="","",""))&amp;""</f>
        <v/>
      </c>
      <c r="AX262" t="str" cm="1">
        <f t="array" ref="AX262">IFERROR(IF(Q262&lt;&gt;"",Q262,IF(OR($S262="",$T262=""),"",IF($T262&lt;&gt;"",_xlfn._xlws.FILTER(Q:Q,($BT:$BT=$BT262)*($I:$I=$I262)*($T:$T=$T262)*($S:$S=_xlfn.MINIFS($S:$S,$T:$T,"="&amp;$T262)),""))))&amp;"",IF(Q262="","",""))&amp;""</f>
        <v>s</v>
      </c>
      <c r="AY262" t="str" cm="1">
        <f t="array" ref="AY262">IFERROR(IF(R262&lt;&gt;"",R262,IF(OR($S262="",$T262=""),"",IF($T262&lt;&gt;"",_xlfn._xlws.FILTER(R:R,($BT:$BT=$BT262)*($I:$I=$I262)*($T:$T=$T262)*($S:$S=_xlfn.MINIFS($S:$S,$T:$T,"="&amp;$T262)),""))))&amp;"",IF(R262="","",""))&amp;""</f>
        <v>1</v>
      </c>
      <c r="AZ262" s="6">
        <f t="shared" si="487"/>
        <v>23</v>
      </c>
      <c r="BA262">
        <f t="shared" ref="BA262:BC262" si="502">BA261</f>
        <v>18991</v>
      </c>
      <c r="BB262" t="str">
        <f t="shared" si="502"/>
        <v>Triple J</v>
      </c>
      <c r="BC262" t="str">
        <f t="shared" si="502"/>
        <v>Velodrome</v>
      </c>
      <c r="BD262" t="str">
        <f t="shared" si="489"/>
        <v>Zone_Entry_Exit</v>
      </c>
      <c r="BE262" t="str">
        <f t="shared" si="490"/>
        <v>Zone_Entry</v>
      </c>
      <c r="BF262" t="str">
        <f t="shared" si="491"/>
        <v>ZoneEntry-Rush</v>
      </c>
      <c r="BG262" t="str">
        <f t="shared" si="473"/>
        <v>s</v>
      </c>
      <c r="BH262" cm="1">
        <f t="array" aca="1" ref="BH262" ca="1">IFERROR(_xlfn._xlws.FILTER(shifts!A:A,(shifts!B:B=events!Z262)*(shifts!AG:AG&gt;=events!BJ262)*(shifts!AH:AH&lt;=events!BK262)),BH261)</f>
        <v>9</v>
      </c>
      <c r="BI262" s="15">
        <f t="shared" si="492"/>
        <v>4</v>
      </c>
      <c r="BJ262">
        <f t="shared" si="493"/>
        <v>842</v>
      </c>
      <c r="BK262">
        <f t="shared" si="494"/>
        <v>838</v>
      </c>
      <c r="BL262" s="15">
        <f>SUMIFS(BI$2:BI262,K$2:K262,"=Intermission")+SUMIFS(BI$2:BI262,K$2:K262,"=Timeout")</f>
        <v>0</v>
      </c>
      <c r="BM262">
        <f t="shared" si="495"/>
        <v>0</v>
      </c>
      <c r="BN262" s="19">
        <f t="shared" si="496"/>
        <v>238</v>
      </c>
      <c r="BO262">
        <f t="shared" si="497"/>
        <v>233</v>
      </c>
      <c r="BP262" s="17">
        <f t="shared" si="498"/>
        <v>242</v>
      </c>
      <c r="BQ262" t="str">
        <f t="shared" si="499"/>
        <v>event_team_player_1</v>
      </c>
      <c r="BR262">
        <f>COUNTIFS(S$3:S262,"="&amp;S262,AH$3:AH262,"="&amp;AH262)</f>
        <v>1</v>
      </c>
      <c r="BS262" t="str">
        <f>IFERROR(VLOOKUP(BA262&amp;BT262&amp;X262,game_rosters!U:W,3,FALSE),"")</f>
        <v>P100224</v>
      </c>
      <c r="BT262" t="str">
        <f t="shared" si="500"/>
        <v>Velodrome</v>
      </c>
    </row>
    <row r="263" spans="1:72" x14ac:dyDescent="0.2">
      <c r="A263" t="str">
        <f t="shared" si="475"/>
        <v/>
      </c>
      <c r="E263" s="4"/>
      <c r="F263" s="45"/>
      <c r="G263" s="4"/>
      <c r="H263" s="47"/>
      <c r="I263" s="26">
        <v>10</v>
      </c>
      <c r="J263" s="26" t="str">
        <f t="shared" si="501"/>
        <v/>
      </c>
      <c r="N263" t="str">
        <f t="shared" si="395"/>
        <v/>
      </c>
      <c r="Q263" t="str">
        <f t="shared" si="389"/>
        <v/>
      </c>
      <c r="R263" s="26">
        <v>1</v>
      </c>
      <c r="S263">
        <f>IF(A263=1,MAX($S$2:$S262)+1,IF(OR($I263&lt;&gt;"",A263="x"),$S262,""))</f>
        <v>133</v>
      </c>
      <c r="T263" t="str">
        <f>IF(D263=1,MAX($T$2:$T262)+1,IF(S263=S262,$T262,IF(D263="x",T262,IF(D262="x","",""))))</f>
        <v/>
      </c>
      <c r="U263" t="str">
        <f>IF(B263=1,MAX($U$2:$U262)+1,IF(AND($T263&lt;&gt;"",$T263=$T262),$U262,IF(B263="x",U262,"")))</f>
        <v/>
      </c>
      <c r="V263" t="str">
        <f>IF(C263=1,MAX($V$2:$V262)+1,IF(AND($T263&lt;&gt;"",$T263=$T262),$U262,IF(C263="x",V262,"")))</f>
        <v/>
      </c>
      <c r="W263" t="str" cm="1">
        <f t="array" ref="W263">IFERROR(_xlfn._xlws.FILTER(game_rosters!AC:AC,(game_rosters!J:J=events!X263)*(K263&lt;&gt;"")),"")</f>
        <v/>
      </c>
      <c r="X263" cm="1">
        <f t="array" ref="X263">IF($I263&lt;&gt;"",$I263,INDEX($I$1:$I263,ROW()-COUNTIFS($T$1:$T263,"="&amp;$T263,$S$1:$S263,"&lt;"&amp;$S263)))</f>
        <v>10</v>
      </c>
      <c r="Y263" t="str" cm="1">
        <f t="array" ref="Y263">IFERROR(IF(_xlfn._xlws.FILTER(game_rosters!$J:$J,(game_rosters!$G:$G=events!$AM263)*(game_rosters!$J:$J=events!$X263))&gt;0,1,""),"")</f>
        <v/>
      </c>
      <c r="Z263" s="6">
        <f t="shared" si="476"/>
        <v>1</v>
      </c>
      <c r="AA263">
        <f t="shared" si="477"/>
        <v>1133</v>
      </c>
      <c r="AB263" t="str">
        <f t="shared" si="478"/>
        <v/>
      </c>
      <c r="AC263">
        <f t="shared" si="479"/>
        <v>1133</v>
      </c>
      <c r="AD263">
        <f t="shared" si="480"/>
        <v>14</v>
      </c>
      <c r="AE263" t="str">
        <f t="shared" si="481"/>
        <v>02</v>
      </c>
      <c r="AF263" t="str">
        <f t="shared" si="482"/>
        <v>13</v>
      </c>
      <c r="AG263" t="str">
        <f t="shared" si="483"/>
        <v>58</v>
      </c>
      <c r="AH263" t="str">
        <f t="shared" si="402"/>
        <v>o</v>
      </c>
      <c r="AI263" t="str">
        <f t="shared" si="463"/>
        <v>o</v>
      </c>
      <c r="AJ263" t="str">
        <f t="shared" si="463"/>
        <v>o</v>
      </c>
      <c r="AK263" t="str">
        <f t="shared" si="404"/>
        <v/>
      </c>
      <c r="AL263" t="str">
        <f t="shared" si="405"/>
        <v/>
      </c>
      <c r="AM263" t="str">
        <f t="shared" si="484"/>
        <v>Away</v>
      </c>
      <c r="AN263" t="str">
        <f t="shared" si="406"/>
        <v>a</v>
      </c>
      <c r="AO263" t="str">
        <f t="shared" si="407"/>
        <v>d</v>
      </c>
      <c r="AP263" t="str">
        <f t="shared" si="408"/>
        <v>o</v>
      </c>
      <c r="AQ263" t="str">
        <f>IF(AM263&lt;&gt;"",AM263,IF($AC263=#REF!,#REF!,""))</f>
        <v>Away</v>
      </c>
      <c r="AR263" t="str">
        <f t="shared" si="409"/>
        <v>a</v>
      </c>
      <c r="AS263" t="str">
        <f t="shared" si="410"/>
        <v>Defensive</v>
      </c>
      <c r="AT263" t="str">
        <f t="shared" si="485"/>
        <v/>
      </c>
      <c r="AU263" t="str">
        <f t="shared" si="486"/>
        <v/>
      </c>
      <c r="AV263" t="str" cm="1">
        <f t="array" ref="AV263">IFERROR(IF(O263&lt;&gt;"",O263,IF(OR($S263="",$T263=""),"",IF(O263&lt;&gt;"",O263,IF($T263&lt;&gt;"",_xlfn._xlws.FILTER(O:O,($BT:$BT=$BT263)*($I:$I=$I263)*($T:$T=$T263)*($S:$S=_xlfn.MINIFS($S:$S,$T:$T,"="&amp;$T263)),"")))))&amp;"",IF(O263="","",""))&amp;""</f>
        <v/>
      </c>
      <c r="AW263" t="str" cm="1">
        <f t="array" ref="AW263">IFERROR(IF(P263&lt;&gt;"",P263,IF(OR($S263="",$T263=""),"",IF($T263&lt;&gt;"",_xlfn._xlws.FILTER(P:P,($BT:$BT=$BT263)*($I:$I=$I263)*($T:$T=$T263)*($S:$S=_xlfn.MINIFS($S:$S,$T:$T,"="&amp;$T263)),""))))&amp;"",IF(P263="","",""))&amp;""</f>
        <v/>
      </c>
      <c r="AX263" t="str" cm="1">
        <f t="array" ref="AX263">IFERROR(IF(Q263&lt;&gt;"",Q263,IF(OR($S263="",$T263=""),"",IF($T263&lt;&gt;"",_xlfn._xlws.FILTER(Q:Q,($BT:$BT=$BT263)*($I:$I=$I263)*($T:$T=$T263)*($S:$S=_xlfn.MINIFS($S:$S,$T:$T,"="&amp;$T263)),""))))&amp;"",IF(Q263="","",""))&amp;""</f>
        <v/>
      </c>
      <c r="AY263" t="str" cm="1">
        <f t="array" ref="AY263">IFERROR(IF(R263&lt;&gt;"",R263,IF(OR($S263="",$T263=""),"",IF($T263&lt;&gt;"",_xlfn._xlws.FILTER(R:R,($BT:$BT=$BT263)*($I:$I=$I263)*($T:$T=$T263)*($S:$S=_xlfn.MINIFS($S:$S,$T:$T,"="&amp;$T263)),""))))&amp;"",IF(R263="","",""))&amp;""</f>
        <v>1</v>
      </c>
      <c r="AZ263" s="6">
        <f t="shared" si="487"/>
        <v>23</v>
      </c>
      <c r="BA263">
        <f t="shared" ref="BA263:BC263" si="503">BA262</f>
        <v>18991</v>
      </c>
      <c r="BB263" t="str">
        <f t="shared" si="503"/>
        <v>Triple J</v>
      </c>
      <c r="BC263" t="str">
        <f t="shared" si="503"/>
        <v>Velodrome</v>
      </c>
      <c r="BD263" t="str">
        <f t="shared" si="489"/>
        <v>Zone_Entry_Exit</v>
      </c>
      <c r="BE263" t="str">
        <f t="shared" si="490"/>
        <v>Zone_Entry</v>
      </c>
      <c r="BF263" t="str">
        <f t="shared" si="491"/>
        <v>ZoneEntry-Rush</v>
      </c>
      <c r="BG263" t="str">
        <f t="shared" si="473"/>
        <v>s</v>
      </c>
      <c r="BH263" cm="1">
        <f t="array" aca="1" ref="BH263" ca="1">IFERROR(_xlfn._xlws.FILTER(shifts!A:A,(shifts!B:B=events!Z263)*(shifts!AG:AG&gt;=events!BJ263)*(shifts!AH:AH&lt;=events!BK263)),BH262)</f>
        <v>9</v>
      </c>
      <c r="BI263" s="15">
        <f t="shared" si="492"/>
        <v>4</v>
      </c>
      <c r="BJ263">
        <f t="shared" si="493"/>
        <v>842</v>
      </c>
      <c r="BK263">
        <f t="shared" si="494"/>
        <v>838</v>
      </c>
      <c r="BL263" s="15">
        <f>SUMIFS(BI$2:BI263,K$2:K263,"=Intermission")+SUMIFS(BI$2:BI263,K$2:K263,"=Timeout")</f>
        <v>0</v>
      </c>
      <c r="BM263">
        <f t="shared" si="495"/>
        <v>0</v>
      </c>
      <c r="BN263" s="19">
        <f t="shared" si="496"/>
        <v>238</v>
      </c>
      <c r="BO263">
        <f t="shared" si="497"/>
        <v>233</v>
      </c>
      <c r="BP263" s="17">
        <f t="shared" si="498"/>
        <v>242</v>
      </c>
      <c r="BQ263" t="str">
        <f t="shared" si="499"/>
        <v>opp_team_player_1</v>
      </c>
      <c r="BR263">
        <f>COUNTIFS(S$3:S263,"="&amp;S263,AH$3:AH263,"="&amp;AH263)</f>
        <v>1</v>
      </c>
      <c r="BS263" t="str">
        <f>IFERROR(VLOOKUP(BA263&amp;BT263&amp;X263,game_rosters!U:W,3,FALSE),"")</f>
        <v>P100183</v>
      </c>
      <c r="BT263" t="str">
        <f t="shared" si="500"/>
        <v>Triple J</v>
      </c>
    </row>
    <row r="264" spans="1:72" x14ac:dyDescent="0.2">
      <c r="A264">
        <f t="shared" si="475"/>
        <v>1</v>
      </c>
      <c r="E264" s="4"/>
      <c r="F264" s="45"/>
      <c r="G264" s="4"/>
      <c r="H264" s="47"/>
      <c r="I264" s="26">
        <v>61</v>
      </c>
      <c r="J264" s="26" t="s">
        <v>734</v>
      </c>
      <c r="K264" t="s">
        <v>7</v>
      </c>
      <c r="L264" t="s">
        <v>172</v>
      </c>
      <c r="M264" t="s">
        <v>68</v>
      </c>
      <c r="N264" t="str">
        <f t="shared" si="395"/>
        <v>s</v>
      </c>
      <c r="Q264" t="str">
        <f t="shared" si="389"/>
        <v/>
      </c>
      <c r="R264" s="26">
        <v>1</v>
      </c>
      <c r="S264">
        <f>IF(A264=1,MAX($S$2:$S263)+1,IF(OR($I264&lt;&gt;"",A264="x"),$S263,""))</f>
        <v>134</v>
      </c>
      <c r="T264" t="str">
        <f>IF(D264=1,MAX($T$2:$T263)+1,IF(S264=S263,$T263,IF(D264="x",T263,IF(D263="x","",""))))</f>
        <v/>
      </c>
      <c r="U264" t="str">
        <f>IF(B264=1,MAX($U$2:$U263)+1,IF(AND($T264&lt;&gt;"",$T264=$T263),$U263,IF(B264="x",U263,"")))</f>
        <v/>
      </c>
      <c r="V264" t="str">
        <f>IF(C264=1,MAX($V$2:$V263)+1,IF(AND($T264&lt;&gt;"",$T264=$T263),$U263,IF(C264="x",V263,"")))</f>
        <v/>
      </c>
      <c r="W264" t="str" cm="1">
        <f t="array" ref="W264">IFERROR(_xlfn._xlws.FILTER(game_rosters!AC:AC,(game_rosters!J:J=events!X264)*(K264&lt;&gt;"")),"")</f>
        <v>a</v>
      </c>
      <c r="X264" cm="1">
        <f t="array" ref="X264">IF($I264&lt;&gt;"",$I264,INDEX($I$1:$I264,ROW()-COUNTIFS($T$1:$T264,"="&amp;$T264,$S$1:$S264,"&lt;"&amp;$S264)))</f>
        <v>61</v>
      </c>
      <c r="Y264" cm="1">
        <f t="array" ref="Y264">IFERROR(IF(_xlfn._xlws.FILTER(game_rosters!$J:$J,(game_rosters!$G:$G=events!$AM264)*(game_rosters!$J:$J=events!$X264))&gt;0,1,""),"")</f>
        <v>1</v>
      </c>
      <c r="Z264" s="6">
        <f t="shared" si="476"/>
        <v>1</v>
      </c>
      <c r="AA264">
        <f t="shared" si="477"/>
        <v>1134</v>
      </c>
      <c r="AB264" t="str">
        <f t="shared" si="478"/>
        <v/>
      </c>
      <c r="AC264">
        <f t="shared" si="479"/>
        <v>1134</v>
      </c>
      <c r="AD264" t="str">
        <f t="shared" si="480"/>
        <v>13</v>
      </c>
      <c r="AE264" t="str">
        <f t="shared" si="481"/>
        <v>58</v>
      </c>
      <c r="AF264" t="str">
        <f t="shared" si="482"/>
        <v/>
      </c>
      <c r="AG264" t="str">
        <f t="shared" si="483"/>
        <v/>
      </c>
      <c r="AH264" t="str">
        <f t="shared" si="402"/>
        <v>e</v>
      </c>
      <c r="AI264" t="str">
        <f t="shared" si="463"/>
        <v>n</v>
      </c>
      <c r="AJ264" t="str">
        <f t="shared" si="463"/>
        <v>n</v>
      </c>
      <c r="AK264" t="str">
        <f t="shared" si="404"/>
        <v>n</v>
      </c>
      <c r="AL264" t="str">
        <f t="shared" si="405"/>
        <v>n</v>
      </c>
      <c r="AM264" t="str">
        <f t="shared" si="484"/>
        <v>Away</v>
      </c>
      <c r="AN264" t="str">
        <f t="shared" si="406"/>
        <v>a</v>
      </c>
      <c r="AO264" t="str">
        <f t="shared" si="407"/>
        <v>n</v>
      </c>
      <c r="AP264" t="str">
        <f t="shared" si="408"/>
        <v>n</v>
      </c>
      <c r="AQ264" t="str">
        <f>IF(AM264&lt;&gt;"",AM264,IF($AC264=#REF!,#REF!,""))</f>
        <v>Away</v>
      </c>
      <c r="AR264" t="str">
        <f t="shared" si="409"/>
        <v>a</v>
      </c>
      <c r="AS264" t="str">
        <f t="shared" si="410"/>
        <v>Offensive</v>
      </c>
      <c r="AT264" t="str">
        <f t="shared" si="485"/>
        <v/>
      </c>
      <c r="AU264" t="str">
        <f t="shared" si="486"/>
        <v/>
      </c>
      <c r="AV264" t="str" cm="1">
        <f t="array" ref="AV264">IFERROR(IF(O264&lt;&gt;"",O264,IF(OR($S264="",$T264=""),"",IF(O264&lt;&gt;"",O264,IF($T264&lt;&gt;"",_xlfn._xlws.FILTER(O:O,($BT:$BT=$BT264)*($I:$I=$I264)*($T:$T=$T264)*($S:$S=_xlfn.MINIFS($S:$S,$T:$T,"="&amp;$T264)),"")))))&amp;"",IF(O264="","",""))&amp;""</f>
        <v/>
      </c>
      <c r="AW264" t="str" cm="1">
        <f t="array" ref="AW264">IFERROR(IF(P264&lt;&gt;"",P264,IF(OR($S264="",$T264=""),"",IF($T264&lt;&gt;"",_xlfn._xlws.FILTER(P:P,($BT:$BT=$BT264)*($I:$I=$I264)*($T:$T=$T264)*($S:$S=_xlfn.MINIFS($S:$S,$T:$T,"="&amp;$T264)),""))))&amp;"",IF(P264="","",""))&amp;""</f>
        <v/>
      </c>
      <c r="AX264" t="str" cm="1">
        <f t="array" ref="AX264">IFERROR(IF(Q264&lt;&gt;"",Q264,IF(OR($S264="",$T264=""),"",IF($T264&lt;&gt;"",_xlfn._xlws.FILTER(Q:Q,($BT:$BT=$BT264)*($I:$I=$I264)*($T:$T=$T264)*($S:$S=_xlfn.MINIFS($S:$S,$T:$T,"="&amp;$T264)),""))))&amp;"",IF(Q264="","",""))&amp;""</f>
        <v/>
      </c>
      <c r="AY264" t="str" cm="1">
        <f t="array" ref="AY264">IFERROR(IF(R264&lt;&gt;"",R264,IF(OR($S264="",$T264=""),"",IF($T264&lt;&gt;"",_xlfn._xlws.FILTER(R:R,($BT:$BT=$BT264)*($I:$I=$I264)*($T:$T=$T264)*($S:$S=_xlfn.MINIFS($S:$S,$T:$T,"="&amp;$T264)),""))))&amp;"",IF(R264="","",""))&amp;""</f>
        <v>1</v>
      </c>
      <c r="AZ264" s="6">
        <f t="shared" si="487"/>
        <v>23</v>
      </c>
      <c r="BA264">
        <f t="shared" ref="BA264:BC264" si="504">BA263</f>
        <v>18991</v>
      </c>
      <c r="BB264" t="str">
        <f t="shared" si="504"/>
        <v>Triple J</v>
      </c>
      <c r="BC264" t="str">
        <f t="shared" si="504"/>
        <v>Velodrome</v>
      </c>
      <c r="BD264" t="str">
        <f t="shared" si="489"/>
        <v>Pass</v>
      </c>
      <c r="BE264" t="str">
        <f t="shared" si="490"/>
        <v>Pass_Completed</v>
      </c>
      <c r="BF264" t="str">
        <f t="shared" si="491"/>
        <v>Pass-Forehand</v>
      </c>
      <c r="BG264" t="str">
        <f t="shared" si="473"/>
        <v>s</v>
      </c>
      <c r="BH264" cm="1">
        <f t="array" aca="1" ref="BH264" ca="1">IFERROR(_xlfn._xlws.FILTER(shifts!A:A,(shifts!B:B=events!Z264)*(shifts!AG:AG&gt;=events!BJ264)*(shifts!AH:AH&lt;=events!BK264)),BH263)</f>
        <v>9</v>
      </c>
      <c r="BI264" s="15">
        <f t="shared" si="492"/>
        <v>0</v>
      </c>
      <c r="BJ264">
        <f t="shared" si="493"/>
        <v>838</v>
      </c>
      <c r="BK264">
        <f t="shared" si="494"/>
        <v>838</v>
      </c>
      <c r="BL264" s="15">
        <f>SUMIFS(BI$2:BI264,K$2:K264,"=Intermission")+SUMIFS(BI$2:BI264,K$2:K264,"=Timeout")</f>
        <v>0</v>
      </c>
      <c r="BM264">
        <f t="shared" si="495"/>
        <v>0</v>
      </c>
      <c r="BN264" s="19">
        <f t="shared" si="496"/>
        <v>242</v>
      </c>
      <c r="BO264">
        <f t="shared" si="497"/>
        <v>237</v>
      </c>
      <c r="BP264" s="17">
        <f t="shared" si="498"/>
        <v>242</v>
      </c>
      <c r="BQ264" t="str">
        <f t="shared" si="499"/>
        <v>event_team_player_1</v>
      </c>
      <c r="BR264">
        <f>COUNTIFS(S$3:S264,"="&amp;S264,AH$3:AH264,"="&amp;AH264)</f>
        <v>1</v>
      </c>
      <c r="BS264" t="str">
        <f>IFERROR(VLOOKUP(BA264&amp;BT264&amp;X264,game_rosters!U:W,3,FALSE),"")</f>
        <v>P100224</v>
      </c>
      <c r="BT264" t="str">
        <f t="shared" si="500"/>
        <v>Velodrome</v>
      </c>
    </row>
    <row r="265" spans="1:72" x14ac:dyDescent="0.2">
      <c r="A265" t="str">
        <f t="shared" si="475"/>
        <v/>
      </c>
      <c r="E265" s="4"/>
      <c r="F265" s="45"/>
      <c r="G265" s="4"/>
      <c r="H265" s="47"/>
      <c r="I265" s="26">
        <v>22</v>
      </c>
      <c r="J265" s="26" t="str">
        <f t="shared" si="501"/>
        <v/>
      </c>
      <c r="N265" t="str">
        <f t="shared" si="395"/>
        <v/>
      </c>
      <c r="Q265" t="str">
        <f t="shared" si="389"/>
        <v/>
      </c>
      <c r="S265">
        <f>IF(A265=1,MAX($S$2:$S264)+1,IF(OR($I265&lt;&gt;"",A265="x"),$S264,""))</f>
        <v>134</v>
      </c>
      <c r="T265" t="str">
        <f>IF(D265=1,MAX($T$2:$T264)+1,IF(S265=S264,$T264,IF(D265="x",T264,IF(D264="x","",""))))</f>
        <v/>
      </c>
      <c r="U265" t="str">
        <f>IF(B265=1,MAX($U$2:$U264)+1,IF(AND($T265&lt;&gt;"",$T265=$T264),$U264,IF(B265="x",U264,"")))</f>
        <v/>
      </c>
      <c r="V265" t="str">
        <f>IF(C265=1,MAX($V$2:$V264)+1,IF(AND($T265&lt;&gt;"",$T265=$T264),$U264,IF(C265="x",V264,"")))</f>
        <v/>
      </c>
      <c r="W265" t="str" cm="1">
        <f t="array" ref="W265">IFERROR(_xlfn._xlws.FILTER(game_rosters!AC:AC,(game_rosters!J:J=events!X265)*(K265&lt;&gt;"")),"")</f>
        <v/>
      </c>
      <c r="X265" cm="1">
        <f t="array" ref="X265">IF($I265&lt;&gt;"",$I265,INDEX($I$1:$I265,ROW()-COUNTIFS($T$1:$T265,"="&amp;$T265,$S$1:$S265,"&lt;"&amp;$S265)))</f>
        <v>22</v>
      </c>
      <c r="Y265" cm="1">
        <f t="array" ref="Y265">IFERROR(IF(_xlfn._xlws.FILTER(game_rosters!$J:$J,(game_rosters!$G:$G=events!$AM265)*(game_rosters!$J:$J=events!$X265))&gt;0,1,""),"")</f>
        <v>1</v>
      </c>
      <c r="Z265" s="6">
        <f t="shared" si="476"/>
        <v>1</v>
      </c>
      <c r="AA265">
        <f t="shared" si="477"/>
        <v>1134</v>
      </c>
      <c r="AB265" t="str">
        <f t="shared" si="478"/>
        <v/>
      </c>
      <c r="AC265">
        <f t="shared" si="479"/>
        <v>1134</v>
      </c>
      <c r="AD265" t="str">
        <f t="shared" si="480"/>
        <v>13</v>
      </c>
      <c r="AE265" t="str">
        <f t="shared" si="481"/>
        <v>58</v>
      </c>
      <c r="AF265" t="str">
        <f t="shared" si="482"/>
        <v/>
      </c>
      <c r="AG265" t="str">
        <f t="shared" si="483"/>
        <v/>
      </c>
      <c r="AH265" t="str">
        <f t="shared" si="402"/>
        <v>e</v>
      </c>
      <c r="AI265" t="str">
        <f t="shared" si="463"/>
        <v>n</v>
      </c>
      <c r="AJ265" t="str">
        <f t="shared" si="463"/>
        <v>n</v>
      </c>
      <c r="AK265" t="str">
        <f t="shared" si="404"/>
        <v/>
      </c>
      <c r="AL265" t="str">
        <f t="shared" si="405"/>
        <v/>
      </c>
      <c r="AM265" t="str">
        <f t="shared" si="484"/>
        <v>Away</v>
      </c>
      <c r="AN265" t="str">
        <f t="shared" si="406"/>
        <v>a</v>
      </c>
      <c r="AO265" t="str">
        <f t="shared" si="407"/>
        <v>n</v>
      </c>
      <c r="AP265" t="str">
        <f t="shared" si="408"/>
        <v>n</v>
      </c>
      <c r="AQ265" t="str">
        <f>IF(AM265&lt;&gt;"",AM265,IF($AC265=#REF!,#REF!,""))</f>
        <v>Away</v>
      </c>
      <c r="AR265" t="str">
        <f t="shared" si="409"/>
        <v>a</v>
      </c>
      <c r="AS265" t="str">
        <f t="shared" si="410"/>
        <v>Offensive</v>
      </c>
      <c r="AT265" t="str">
        <f t="shared" si="485"/>
        <v/>
      </c>
      <c r="AU265" t="str">
        <f t="shared" si="486"/>
        <v/>
      </c>
      <c r="AV265" t="str" cm="1">
        <f t="array" ref="AV265">IFERROR(IF(O265&lt;&gt;"",O265,IF(OR($S265="",$T265=""),"",IF(O265&lt;&gt;"",O265,IF($T265&lt;&gt;"",_xlfn._xlws.FILTER(O:O,($BT:$BT=$BT265)*($I:$I=$I265)*($T:$T=$T265)*($S:$S=_xlfn.MINIFS($S:$S,$T:$T,"="&amp;$T265)),"")))))&amp;"",IF(O265="","",""))&amp;""</f>
        <v/>
      </c>
      <c r="AW265" t="str" cm="1">
        <f t="array" ref="AW265">IFERROR(IF(P265&lt;&gt;"",P265,IF(OR($S265="",$T265=""),"",IF($T265&lt;&gt;"",_xlfn._xlws.FILTER(P:P,($BT:$BT=$BT265)*($I:$I=$I265)*($T:$T=$T265)*($S:$S=_xlfn.MINIFS($S:$S,$T:$T,"="&amp;$T265)),""))))&amp;"",IF(P265="","",""))&amp;""</f>
        <v/>
      </c>
      <c r="AX265" t="str" cm="1">
        <f t="array" ref="AX265">IFERROR(IF(Q265&lt;&gt;"",Q265,IF(OR($S265="",$T265=""),"",IF($T265&lt;&gt;"",_xlfn._xlws.FILTER(Q:Q,($BT:$BT=$BT265)*($I:$I=$I265)*($T:$T=$T265)*($S:$S=_xlfn.MINIFS($S:$S,$T:$T,"="&amp;$T265)),""))))&amp;"",IF(Q265="","",""))&amp;""</f>
        <v/>
      </c>
      <c r="AY265" t="str" cm="1">
        <f t="array" ref="AY265">IFERROR(IF(R265&lt;&gt;"",R265,IF(OR($S265="",$T265=""),"",IF($T265&lt;&gt;"",_xlfn._xlws.FILTER(R:R,($BT:$BT=$BT265)*($I:$I=$I265)*($T:$T=$T265)*($S:$S=_xlfn.MINIFS($S:$S,$T:$T,"="&amp;$T265)),""))))&amp;"",IF(R265="","",""))&amp;""</f>
        <v/>
      </c>
      <c r="AZ265" s="6">
        <f t="shared" si="487"/>
        <v>23</v>
      </c>
      <c r="BA265">
        <f t="shared" ref="BA265:BC265" si="505">BA264</f>
        <v>18991</v>
      </c>
      <c r="BB265" t="str">
        <f t="shared" si="505"/>
        <v>Triple J</v>
      </c>
      <c r="BC265" t="str">
        <f t="shared" si="505"/>
        <v>Velodrome</v>
      </c>
      <c r="BD265" t="str">
        <f t="shared" si="489"/>
        <v>Pass</v>
      </c>
      <c r="BE265" t="str">
        <f t="shared" si="490"/>
        <v>Pass_Completed</v>
      </c>
      <c r="BF265" t="str">
        <f t="shared" si="491"/>
        <v>Pass-Forehand</v>
      </c>
      <c r="BG265" t="str">
        <f t="shared" si="473"/>
        <v>s</v>
      </c>
      <c r="BH265" cm="1">
        <f t="array" aca="1" ref="BH265" ca="1">IFERROR(_xlfn._xlws.FILTER(shifts!A:A,(shifts!B:B=events!Z265)*(shifts!AG:AG&gt;=events!BJ265)*(shifts!AH:AH&lt;=events!BK265)),BH264)</f>
        <v>9</v>
      </c>
      <c r="BI265" s="15">
        <f t="shared" si="492"/>
        <v>0</v>
      </c>
      <c r="BJ265">
        <f t="shared" si="493"/>
        <v>838</v>
      </c>
      <c r="BK265">
        <f t="shared" si="494"/>
        <v>838</v>
      </c>
      <c r="BL265" s="15">
        <f>SUMIFS(BI$2:BI265,K$2:K265,"=Intermission")+SUMIFS(BI$2:BI265,K$2:K265,"=Timeout")</f>
        <v>0</v>
      </c>
      <c r="BM265">
        <f t="shared" si="495"/>
        <v>0</v>
      </c>
      <c r="BN265" s="19">
        <f t="shared" si="496"/>
        <v>242</v>
      </c>
      <c r="BO265">
        <f t="shared" si="497"/>
        <v>237</v>
      </c>
      <c r="BP265" s="17">
        <f t="shared" si="498"/>
        <v>242</v>
      </c>
      <c r="BQ265" t="str">
        <f t="shared" si="499"/>
        <v>event_team_player_2</v>
      </c>
      <c r="BR265">
        <f>COUNTIFS(S$3:S265,"="&amp;S265,AH$3:AH265,"="&amp;AH265)</f>
        <v>2</v>
      </c>
      <c r="BS265" t="str">
        <f>IFERROR(VLOOKUP(BA265&amp;BT265&amp;X265,game_rosters!U:W,3,FALSE),"")</f>
        <v>P100108</v>
      </c>
      <c r="BT265" t="str">
        <f t="shared" si="500"/>
        <v>Velodrome</v>
      </c>
    </row>
    <row r="266" spans="1:72" x14ac:dyDescent="0.2">
      <c r="A266" t="str">
        <f t="shared" si="475"/>
        <v/>
      </c>
      <c r="E266" s="4"/>
      <c r="F266" s="45"/>
      <c r="G266" s="4"/>
      <c r="H266" s="47"/>
      <c r="I266" s="26">
        <v>10</v>
      </c>
      <c r="J266" s="26" t="str">
        <f t="shared" si="501"/>
        <v/>
      </c>
      <c r="N266" t="str">
        <f t="shared" si="395"/>
        <v/>
      </c>
      <c r="O266" t="s">
        <v>566</v>
      </c>
      <c r="Q266" t="str">
        <f t="shared" si="389"/>
        <v/>
      </c>
      <c r="R266" s="26">
        <v>1</v>
      </c>
      <c r="S266">
        <f>IF(A266=1,MAX($S$2:$S265)+1,IF(OR($I266&lt;&gt;"",A266="x"),$S265,""))</f>
        <v>134</v>
      </c>
      <c r="T266" t="str">
        <f>IF(D266=1,MAX($T$2:$T265)+1,IF(S266=S265,$T265,IF(D266="x",T265,IF(D265="x","",""))))</f>
        <v/>
      </c>
      <c r="U266" t="str">
        <f>IF(B266=1,MAX($U$2:$U265)+1,IF(AND($T266&lt;&gt;"",$T266=$T265),$U265,IF(B266="x",U265,"")))</f>
        <v/>
      </c>
      <c r="V266" t="str">
        <f>IF(C266=1,MAX($V$2:$V265)+1,IF(AND($T266&lt;&gt;"",$T266=$T265),$U265,IF(C266="x",V265,"")))</f>
        <v/>
      </c>
      <c r="W266" t="str" cm="1">
        <f t="array" ref="W266">IFERROR(_xlfn._xlws.FILTER(game_rosters!AC:AC,(game_rosters!J:J=events!X266)*(K266&lt;&gt;"")),"")</f>
        <v/>
      </c>
      <c r="X266" cm="1">
        <f t="array" ref="X266">IF($I266&lt;&gt;"",$I266,INDEX($I$1:$I266,ROW()-COUNTIFS($T$1:$T266,"="&amp;$T266,$S$1:$S266,"&lt;"&amp;$S266)))</f>
        <v>10</v>
      </c>
      <c r="Y266" t="str" cm="1">
        <f t="array" ref="Y266">IFERROR(IF(_xlfn._xlws.FILTER(game_rosters!$J:$J,(game_rosters!$G:$G=events!$AM266)*(game_rosters!$J:$J=events!$X266))&gt;0,1,""),"")</f>
        <v/>
      </c>
      <c r="Z266" s="6">
        <f t="shared" si="476"/>
        <v>1</v>
      </c>
      <c r="AA266">
        <f t="shared" si="477"/>
        <v>1134</v>
      </c>
      <c r="AB266" t="str">
        <f t="shared" si="478"/>
        <v/>
      </c>
      <c r="AC266">
        <f t="shared" si="479"/>
        <v>1134</v>
      </c>
      <c r="AD266" t="str">
        <f t="shared" si="480"/>
        <v>13</v>
      </c>
      <c r="AE266" t="str">
        <f t="shared" si="481"/>
        <v>58</v>
      </c>
      <c r="AF266" t="str">
        <f t="shared" si="482"/>
        <v/>
      </c>
      <c r="AG266" t="str">
        <f t="shared" si="483"/>
        <v/>
      </c>
      <c r="AH266" t="str">
        <f t="shared" si="402"/>
        <v>o</v>
      </c>
      <c r="AI266" t="str">
        <f t="shared" si="463"/>
        <v>n</v>
      </c>
      <c r="AJ266" t="str">
        <f t="shared" si="463"/>
        <v>n</v>
      </c>
      <c r="AK266" t="str">
        <f t="shared" si="404"/>
        <v/>
      </c>
      <c r="AL266" t="str">
        <f t="shared" si="405"/>
        <v/>
      </c>
      <c r="AM266" t="str">
        <f t="shared" si="484"/>
        <v>Away</v>
      </c>
      <c r="AN266" t="str">
        <f t="shared" si="406"/>
        <v>a</v>
      </c>
      <c r="AO266" t="str">
        <f t="shared" si="407"/>
        <v>n</v>
      </c>
      <c r="AP266" t="str">
        <f t="shared" si="408"/>
        <v>n</v>
      </c>
      <c r="AQ266" t="str">
        <f>IF(AM266&lt;&gt;"",AM266,IF($AC266=#REF!,#REF!,""))</f>
        <v>Away</v>
      </c>
      <c r="AR266" t="str">
        <f t="shared" si="409"/>
        <v>a</v>
      </c>
      <c r="AS266" t="str">
        <f t="shared" si="410"/>
        <v>Defensive</v>
      </c>
      <c r="AT266" t="str">
        <f t="shared" si="485"/>
        <v/>
      </c>
      <c r="AU266" t="str">
        <f t="shared" si="486"/>
        <v/>
      </c>
      <c r="AV266" t="str" cm="1">
        <f t="array" ref="AV266">IFERROR(IF(O266&lt;&gt;"",O266,IF(OR($S266="",$T266=""),"",IF(O266&lt;&gt;"",O266,IF($T266&lt;&gt;"",_xlfn._xlws.FILTER(O:O,($BT:$BT=$BT266)*($I:$I=$I266)*($T:$T=$T266)*($S:$S=_xlfn.MINIFS($S:$S,$T:$T,"="&amp;$T266)),"")))))&amp;"",IF(O266="","",""))&amp;""</f>
        <v>InShotPassLane</v>
      </c>
      <c r="AW266" t="str" cm="1">
        <f t="array" ref="AW266">IFERROR(IF(P266&lt;&gt;"",P266,IF(OR($S266="",$T266=""),"",IF($T266&lt;&gt;"",_xlfn._xlws.FILTER(P:P,($BT:$BT=$BT266)*($I:$I=$I266)*($T:$T=$T266)*($S:$S=_xlfn.MINIFS($S:$S,$T:$T,"="&amp;$T266)),""))))&amp;"",IF(P266="","",""))&amp;""</f>
        <v/>
      </c>
      <c r="AX266" t="str" cm="1">
        <f t="array" ref="AX266">IFERROR(IF(Q266&lt;&gt;"",Q266,IF(OR($S266="",$T266=""),"",IF($T266&lt;&gt;"",_xlfn._xlws.FILTER(Q:Q,($BT:$BT=$BT266)*($I:$I=$I266)*($T:$T=$T266)*($S:$S=_xlfn.MINIFS($S:$S,$T:$T,"="&amp;$T266)),""))))&amp;"",IF(Q266="","",""))&amp;""</f>
        <v/>
      </c>
      <c r="AY266" t="str" cm="1">
        <f t="array" ref="AY266">IFERROR(IF(R266&lt;&gt;"",R266,IF(OR($S266="",$T266=""),"",IF($T266&lt;&gt;"",_xlfn._xlws.FILTER(R:R,($BT:$BT=$BT266)*($I:$I=$I266)*($T:$T=$T266)*($S:$S=_xlfn.MINIFS($S:$S,$T:$T,"="&amp;$T266)),""))))&amp;"",IF(R266="","",""))&amp;""</f>
        <v>1</v>
      </c>
      <c r="AZ266" s="6">
        <f t="shared" si="487"/>
        <v>23</v>
      </c>
      <c r="BA266">
        <f t="shared" ref="BA266:BC266" si="506">BA265</f>
        <v>18991</v>
      </c>
      <c r="BB266" t="str">
        <f t="shared" si="506"/>
        <v>Triple J</v>
      </c>
      <c r="BC266" t="str">
        <f t="shared" si="506"/>
        <v>Velodrome</v>
      </c>
      <c r="BD266" t="str">
        <f t="shared" si="489"/>
        <v>Pass</v>
      </c>
      <c r="BE266" t="str">
        <f t="shared" si="490"/>
        <v>Pass_Completed</v>
      </c>
      <c r="BF266" t="str">
        <f t="shared" si="491"/>
        <v>Pass-Forehand</v>
      </c>
      <c r="BG266" t="str">
        <f t="shared" si="473"/>
        <v>s</v>
      </c>
      <c r="BH266" cm="1">
        <f t="array" aca="1" ref="BH266" ca="1">IFERROR(_xlfn._xlws.FILTER(shifts!A:A,(shifts!B:B=events!Z266)*(shifts!AG:AG&gt;=events!BJ266)*(shifts!AH:AH&lt;=events!BK266)),BH265)</f>
        <v>9</v>
      </c>
      <c r="BI266" s="15">
        <f t="shared" si="492"/>
        <v>0</v>
      </c>
      <c r="BJ266">
        <f t="shared" si="493"/>
        <v>838</v>
      </c>
      <c r="BK266">
        <f t="shared" si="494"/>
        <v>838</v>
      </c>
      <c r="BL266" s="15">
        <f>SUMIFS(BI$2:BI266,K$2:K266,"=Intermission")+SUMIFS(BI$2:BI266,K$2:K266,"=Timeout")</f>
        <v>0</v>
      </c>
      <c r="BM266">
        <f t="shared" si="495"/>
        <v>0</v>
      </c>
      <c r="BN266" s="19">
        <f t="shared" si="496"/>
        <v>242</v>
      </c>
      <c r="BO266">
        <f t="shared" si="497"/>
        <v>237</v>
      </c>
      <c r="BP266" s="17">
        <f t="shared" si="498"/>
        <v>242</v>
      </c>
      <c r="BQ266" t="str">
        <f t="shared" si="499"/>
        <v>opp_team_player_1</v>
      </c>
      <c r="BR266">
        <f>COUNTIFS(S$3:S266,"="&amp;S266,AH$3:AH266,"="&amp;AH266)</f>
        <v>1</v>
      </c>
      <c r="BS266" t="str">
        <f>IFERROR(VLOOKUP(BA266&amp;BT266&amp;X266,game_rosters!U:W,3,FALSE),"")</f>
        <v>P100183</v>
      </c>
      <c r="BT266" t="str">
        <f t="shared" si="500"/>
        <v>Triple J</v>
      </c>
    </row>
    <row r="267" spans="1:72" x14ac:dyDescent="0.2">
      <c r="A267">
        <f t="shared" si="475"/>
        <v>1</v>
      </c>
      <c r="E267" s="4"/>
      <c r="F267" s="45"/>
      <c r="G267" s="4"/>
      <c r="H267" s="47"/>
      <c r="I267" s="26">
        <v>22</v>
      </c>
      <c r="J267" s="26" t="s">
        <v>368</v>
      </c>
      <c r="K267" t="s">
        <v>9</v>
      </c>
      <c r="L267" t="s">
        <v>173</v>
      </c>
      <c r="M267" t="s">
        <v>71</v>
      </c>
      <c r="N267" t="str">
        <f t="shared" si="395"/>
        <v>u</v>
      </c>
      <c r="Q267" t="str">
        <f t="shared" si="389"/>
        <v/>
      </c>
      <c r="S267">
        <f>IF(A267=1,MAX($S$2:$S266)+1,IF(OR($I267&lt;&gt;"",A267="x"),$S266,""))</f>
        <v>135</v>
      </c>
      <c r="T267" t="str">
        <f>IF(D267=1,MAX($T$2:$T266)+1,IF(S267=S266,$T266,IF(D267="x",T266,IF(D266="x","",""))))</f>
        <v/>
      </c>
      <c r="U267" t="str">
        <f>IF(B267=1,MAX($U$2:$U266)+1,IF(AND($T267&lt;&gt;"",$T267=$T266),$U266,IF(B267="x",U266,"")))</f>
        <v/>
      </c>
      <c r="V267" t="str">
        <f>IF(C267=1,MAX($V$2:$V266)+1,IF(AND($T267&lt;&gt;"",$T267=$T266),$U266,IF(C267="x",V266,"")))</f>
        <v/>
      </c>
      <c r="W267" t="str" cm="1">
        <f t="array" ref="W267">IFERROR(_xlfn._xlws.FILTER(game_rosters!AC:AC,(game_rosters!J:J=events!X267)*(K267&lt;&gt;"")),"")</f>
        <v>a</v>
      </c>
      <c r="X267" cm="1">
        <f t="array" ref="X267">IF($I267&lt;&gt;"",$I267,INDEX($I$1:$I267,ROW()-COUNTIFS($T$1:$T267,"="&amp;$T267,$S$1:$S267,"&lt;"&amp;$S267)))</f>
        <v>22</v>
      </c>
      <c r="Y267" cm="1">
        <f t="array" ref="Y267">IFERROR(IF(_xlfn._xlws.FILTER(game_rosters!$J:$J,(game_rosters!$G:$G=events!$AM267)*(game_rosters!$J:$J=events!$X267))&gt;0,1,""),"")</f>
        <v>1</v>
      </c>
      <c r="Z267" s="6">
        <f t="shared" si="476"/>
        <v>1</v>
      </c>
      <c r="AA267">
        <f t="shared" si="477"/>
        <v>1135</v>
      </c>
      <c r="AB267" t="str">
        <f t="shared" si="478"/>
        <v/>
      </c>
      <c r="AC267">
        <f t="shared" si="479"/>
        <v>1135</v>
      </c>
      <c r="AD267" t="str">
        <f t="shared" si="480"/>
        <v>13</v>
      </c>
      <c r="AE267" t="str">
        <f t="shared" si="481"/>
        <v>58</v>
      </c>
      <c r="AF267" t="str">
        <f t="shared" si="482"/>
        <v/>
      </c>
      <c r="AG267" t="str">
        <f t="shared" si="483"/>
        <v/>
      </c>
      <c r="AH267" t="str">
        <f t="shared" si="402"/>
        <v>e</v>
      </c>
      <c r="AI267" t="str">
        <f t="shared" ref="AI267:AJ282" si="507">IF($J267&lt;&gt;"",$J267,IF($AC267=$AC266,AI266,""))</f>
        <v>o</v>
      </c>
      <c r="AJ267" t="str">
        <f t="shared" si="507"/>
        <v>o</v>
      </c>
      <c r="AK267" t="str">
        <f t="shared" si="404"/>
        <v>d</v>
      </c>
      <c r="AL267" t="str">
        <f t="shared" si="405"/>
        <v>o</v>
      </c>
      <c r="AM267" t="str">
        <f t="shared" si="484"/>
        <v>Away</v>
      </c>
      <c r="AN267" t="str">
        <f t="shared" si="406"/>
        <v>a</v>
      </c>
      <c r="AO267" t="str">
        <f t="shared" si="407"/>
        <v>d</v>
      </c>
      <c r="AP267" t="str">
        <f t="shared" si="408"/>
        <v>o</v>
      </c>
      <c r="AQ267" t="str">
        <f>IF(AM267&lt;&gt;"",AM267,IF($AC267=#REF!,#REF!,""))</f>
        <v>Away</v>
      </c>
      <c r="AR267" t="str">
        <f t="shared" si="409"/>
        <v>a</v>
      </c>
      <c r="AS267" t="str">
        <f t="shared" si="410"/>
        <v>Offensive</v>
      </c>
      <c r="AT267" t="str">
        <f t="shared" si="485"/>
        <v/>
      </c>
      <c r="AU267" t="str">
        <f t="shared" si="486"/>
        <v/>
      </c>
      <c r="AV267" t="str" cm="1">
        <f t="array" ref="AV267">IFERROR(IF(O267&lt;&gt;"",O267,IF(OR($S267="",$T267=""),"",IF(O267&lt;&gt;"",O267,IF($T267&lt;&gt;"",_xlfn._xlws.FILTER(O:O,($BT:$BT=$BT267)*($I:$I=$I267)*($T:$T=$T267)*($S:$S=_xlfn.MINIFS($S:$S,$T:$T,"="&amp;$T267)),"")))))&amp;"",IF(O267="","",""))&amp;""</f>
        <v/>
      </c>
      <c r="AW267" t="str" cm="1">
        <f t="array" ref="AW267">IFERROR(IF(P267&lt;&gt;"",P267,IF(OR($S267="",$T267=""),"",IF($T267&lt;&gt;"",_xlfn._xlws.FILTER(P:P,($BT:$BT=$BT267)*($I:$I=$I267)*($T:$T=$T267)*($S:$S=_xlfn.MINIFS($S:$S,$T:$T,"="&amp;$T267)),""))))&amp;"",IF(P267="","",""))&amp;""</f>
        <v/>
      </c>
      <c r="AX267" t="str" cm="1">
        <f t="array" ref="AX267">IFERROR(IF(Q267&lt;&gt;"",Q267,IF(OR($S267="",$T267=""),"",IF($T267&lt;&gt;"",_xlfn._xlws.FILTER(Q:Q,($BT:$BT=$BT267)*($I:$I=$I267)*($T:$T=$T267)*($S:$S=_xlfn.MINIFS($S:$S,$T:$T,"="&amp;$T267)),""))))&amp;"",IF(Q267="","",""))&amp;""</f>
        <v/>
      </c>
      <c r="AY267" t="str" cm="1">
        <f t="array" ref="AY267">IFERROR(IF(R267&lt;&gt;"",R267,IF(OR($S267="",$T267=""),"",IF($T267&lt;&gt;"",_xlfn._xlws.FILTER(R:R,($BT:$BT=$BT267)*($I:$I=$I267)*($T:$T=$T267)*($S:$S=_xlfn.MINIFS($S:$S,$T:$T,"="&amp;$T267)),""))))&amp;"",IF(R267="","",""))&amp;""</f>
        <v/>
      </c>
      <c r="AZ267" s="6">
        <f t="shared" si="487"/>
        <v>23</v>
      </c>
      <c r="BA267">
        <f t="shared" ref="BA267:BC267" si="508">BA266</f>
        <v>18991</v>
      </c>
      <c r="BB267" t="str">
        <f t="shared" si="508"/>
        <v>Triple J</v>
      </c>
      <c r="BC267" t="str">
        <f t="shared" si="508"/>
        <v>Velodrome</v>
      </c>
      <c r="BD267" t="str">
        <f t="shared" si="489"/>
        <v>Turnover</v>
      </c>
      <c r="BE267" t="str">
        <f t="shared" si="490"/>
        <v>Turnover_Giveaway</v>
      </c>
      <c r="BF267" t="str">
        <f t="shared" si="491"/>
        <v>Giveaway-Misplayed</v>
      </c>
      <c r="BG267" t="str">
        <f t="shared" si="473"/>
        <v>u</v>
      </c>
      <c r="BH267" cm="1">
        <f t="array" aca="1" ref="BH267" ca="1">IFERROR(_xlfn._xlws.FILTER(shifts!A:A,(shifts!B:B=events!Z267)*(shifts!AG:AG&gt;=events!BJ267)*(shifts!AH:AH&lt;=events!BK267)),BH266)</f>
        <v>9</v>
      </c>
      <c r="BI267" s="15">
        <f t="shared" si="492"/>
        <v>0</v>
      </c>
      <c r="BJ267">
        <f t="shared" si="493"/>
        <v>838</v>
      </c>
      <c r="BK267">
        <f t="shared" si="494"/>
        <v>838</v>
      </c>
      <c r="BL267" s="15">
        <f>SUMIFS(BI$2:BI267,K$2:K267,"=Intermission")+SUMIFS(BI$2:BI267,K$2:K267,"=Timeout")</f>
        <v>0</v>
      </c>
      <c r="BM267">
        <f t="shared" si="495"/>
        <v>0</v>
      </c>
      <c r="BN267" s="19">
        <f t="shared" si="496"/>
        <v>242</v>
      </c>
      <c r="BO267">
        <f t="shared" si="497"/>
        <v>237</v>
      </c>
      <c r="BP267" s="17">
        <f t="shared" si="498"/>
        <v>242</v>
      </c>
      <c r="BQ267" t="str">
        <f t="shared" si="499"/>
        <v>event_team_player_1</v>
      </c>
      <c r="BR267">
        <f>COUNTIFS(S$3:S267,"="&amp;S267,AH$3:AH267,"="&amp;AH267)</f>
        <v>1</v>
      </c>
      <c r="BS267" t="str">
        <f>IFERROR(VLOOKUP(BA267&amp;BT267&amp;X267,game_rosters!U:W,3,FALSE),"")</f>
        <v>P100108</v>
      </c>
      <c r="BT267" t="str">
        <f t="shared" si="500"/>
        <v>Velodrome</v>
      </c>
    </row>
    <row r="268" spans="1:72" x14ac:dyDescent="0.2">
      <c r="A268">
        <f t="shared" si="475"/>
        <v>1</v>
      </c>
      <c r="E268" s="4" t="s">
        <v>1064</v>
      </c>
      <c r="F268" s="45" t="s">
        <v>1059</v>
      </c>
      <c r="G268" s="4"/>
      <c r="H268" s="47" t="s">
        <v>1060</v>
      </c>
      <c r="I268" s="26">
        <v>57</v>
      </c>
      <c r="J268" s="26" t="str">
        <f>IF(OR(K268="Goal",K268="Shot",L268="Zone_Entry",M268="Stoppage-Goal",M267="Stoppage-Goal"),"o",IF(OR(K268="Save",K268="Rebound",L268="Zone_Exit",M268="Stoppage-GoalieStoppage",M267="Stoppage-GoalieStoppage"),"d",IF(OR(L268="Faceoff_AfterGoal",L268="Faceoff_PeriodStart",698="Faceoff_GameStart",M267="Stoppage-Goal"),"n","")))</f>
        <v/>
      </c>
      <c r="K268" t="s">
        <v>13</v>
      </c>
      <c r="L268" t="s">
        <v>586</v>
      </c>
      <c r="N268" t="s">
        <v>595</v>
      </c>
      <c r="O268" t="s">
        <v>809</v>
      </c>
      <c r="Q268" t="str">
        <f t="shared" si="389"/>
        <v>s</v>
      </c>
      <c r="S268">
        <f>IF(A268=1,MAX($S$2:$S267)+1,IF(OR($I268&lt;&gt;"",A268="x"),$S267,""))</f>
        <v>136</v>
      </c>
      <c r="T268" t="str">
        <f>IF(D268=1,MAX($T$2:$T267)+1,IF(S268=S267,$T267,IF(D268="x",T267,IF(D267="x","",""))))</f>
        <v/>
      </c>
      <c r="U268" t="str">
        <f>IF(B268=1,MAX($U$2:$U267)+1,IF(AND($T268&lt;&gt;"",$T268=$T267),$U267,IF(B268="x",U267,"")))</f>
        <v/>
      </c>
      <c r="V268" t="str">
        <f>IF(C268=1,MAX($V$2:$V267)+1,IF(AND($T268&lt;&gt;"",$T268=$T267),$U267,IF(C268="x",V267,"")))</f>
        <v/>
      </c>
      <c r="W268" t="str" cm="1">
        <f t="array" ref="W268">IFERROR(_xlfn._xlws.FILTER(game_rosters!AC:AC,(game_rosters!J:J=events!X268)*(K268&lt;&gt;"")),"")</f>
        <v>h</v>
      </c>
      <c r="X268" cm="1">
        <f t="array" ref="X268">IF($I268&lt;&gt;"",$I268,INDEX($I$1:$I268,ROW()-COUNTIFS($T$1:$T268,"="&amp;$T268,$S$1:$S268,"&lt;"&amp;$S268)))</f>
        <v>57</v>
      </c>
      <c r="Y268" cm="1">
        <f t="array" ref="Y268">IFERROR(IF(_xlfn._xlws.FILTER(game_rosters!$J:$J,(game_rosters!$G:$G=events!$AM268)*(game_rosters!$J:$J=events!$X268))&gt;0,1,""),"")</f>
        <v>1</v>
      </c>
      <c r="Z268" s="6">
        <f t="shared" si="476"/>
        <v>1</v>
      </c>
      <c r="AA268">
        <f t="shared" si="477"/>
        <v>1136</v>
      </c>
      <c r="AB268" t="str">
        <f t="shared" si="478"/>
        <v/>
      </c>
      <c r="AC268">
        <f t="shared" si="479"/>
        <v>1136</v>
      </c>
      <c r="AD268" t="str">
        <f t="shared" si="480"/>
        <v>13</v>
      </c>
      <c r="AE268" t="str">
        <f t="shared" si="481"/>
        <v>54</v>
      </c>
      <c r="AF268" t="str">
        <f t="shared" si="482"/>
        <v>13</v>
      </c>
      <c r="AG268" t="str">
        <f t="shared" si="483"/>
        <v>51</v>
      </c>
      <c r="AH268" t="str">
        <f t="shared" si="402"/>
        <v>e</v>
      </c>
      <c r="AI268" t="str">
        <f t="shared" si="507"/>
        <v/>
      </c>
      <c r="AJ268" t="str">
        <f t="shared" si="507"/>
        <v/>
      </c>
      <c r="AK268" t="str">
        <f t="shared" si="404"/>
        <v/>
      </c>
      <c r="AL268" t="str">
        <f t="shared" si="405"/>
        <v/>
      </c>
      <c r="AM268" t="str">
        <f t="shared" si="484"/>
        <v>Home</v>
      </c>
      <c r="AN268" t="str">
        <f t="shared" si="406"/>
        <v>h</v>
      </c>
      <c r="AO268" t="str">
        <f t="shared" si="407"/>
        <v/>
      </c>
      <c r="AP268" t="str">
        <f t="shared" si="408"/>
        <v/>
      </c>
      <c r="AQ268" t="str">
        <f>IF(AM268&lt;&gt;"",AM268,IF($AC268=#REF!,#REF!,""))</f>
        <v>Home</v>
      </c>
      <c r="AR268" t="str">
        <f t="shared" si="409"/>
        <v>h</v>
      </c>
      <c r="AS268" t="str">
        <f t="shared" si="410"/>
        <v>Offensive</v>
      </c>
      <c r="AT268" t="str">
        <f t="shared" si="485"/>
        <v/>
      </c>
      <c r="AU268" t="str">
        <f t="shared" si="486"/>
        <v/>
      </c>
      <c r="AV268" t="str" cm="1">
        <f t="array" ref="AV268">IFERROR(IF(O268&lt;&gt;"",O268,IF(OR($S268="",$T268=""),"",IF(O268&lt;&gt;"",O268,IF($T268&lt;&gt;"",_xlfn._xlws.FILTER(O:O,($BT:$BT=$BT268)*($I:$I=$I268)*($T:$T=$T268)*($S:$S=_xlfn.MINIFS($S:$S,$T:$T,"="&amp;$T268)),"")))))&amp;"",IF(O268="","",""))&amp;""</f>
        <v>DeflectedShot</v>
      </c>
      <c r="AW268" t="str" cm="1">
        <f t="array" ref="AW268">IFERROR(IF(P268&lt;&gt;"",P268,IF(OR($S268="",$T268=""),"",IF($T268&lt;&gt;"",_xlfn._xlws.FILTER(P:P,($BT:$BT=$BT268)*($I:$I=$I268)*($T:$T=$T268)*($S:$S=_xlfn.MINIFS($S:$S,$T:$T,"="&amp;$T268)),""))))&amp;"",IF(P268="","",""))&amp;""</f>
        <v/>
      </c>
      <c r="AX268" t="str" cm="1">
        <f t="array" ref="AX268">IFERROR(IF(Q268&lt;&gt;"",Q268,IF(OR($S268="",$T268=""),"",IF($T268&lt;&gt;"",_xlfn._xlws.FILTER(Q:Q,($BT:$BT=$BT268)*($I:$I=$I268)*($T:$T=$T268)*($S:$S=_xlfn.MINIFS($S:$S,$T:$T,"="&amp;$T268)),""))))&amp;"",IF(Q268="","",""))&amp;""</f>
        <v>s</v>
      </c>
      <c r="AY268" t="str" cm="1">
        <f t="array" ref="AY268">IFERROR(IF(R268&lt;&gt;"",R268,IF(OR($S268="",$T268=""),"",IF($T268&lt;&gt;"",_xlfn._xlws.FILTER(R:R,($BT:$BT=$BT268)*($I:$I=$I268)*($T:$T=$T268)*($S:$S=_xlfn.MINIFS($S:$S,$T:$T,"="&amp;$T268)),""))))&amp;"",IF(R268="","",""))&amp;""</f>
        <v/>
      </c>
      <c r="AZ268" s="6">
        <f t="shared" si="487"/>
        <v>23</v>
      </c>
      <c r="BA268">
        <f t="shared" ref="BA268:BC268" si="509">BA267</f>
        <v>18991</v>
      </c>
      <c r="BB268" t="str">
        <f t="shared" si="509"/>
        <v>Triple J</v>
      </c>
      <c r="BC268" t="str">
        <f t="shared" si="509"/>
        <v>Velodrome</v>
      </c>
      <c r="BD268" t="str">
        <f t="shared" si="489"/>
        <v>Possession</v>
      </c>
      <c r="BE268" t="str">
        <f t="shared" si="490"/>
        <v>PuckRetrieval</v>
      </c>
      <c r="BF268" t="str">
        <f t="shared" si="491"/>
        <v/>
      </c>
      <c r="BG268" t="str">
        <f t="shared" si="473"/>
        <v>s</v>
      </c>
      <c r="BH268" cm="1">
        <f t="array" aca="1" ref="BH268" ca="1">IFERROR(_xlfn._xlws.FILTER(shifts!A:A,(shifts!B:B=events!Z268)*(shifts!AG:AG&gt;=events!BJ268)*(shifts!AH:AH&lt;=events!BK268)),BH267)</f>
        <v>9</v>
      </c>
      <c r="BI268" s="15">
        <f t="shared" si="492"/>
        <v>3</v>
      </c>
      <c r="BJ268">
        <f t="shared" si="493"/>
        <v>834</v>
      </c>
      <c r="BK268">
        <f t="shared" si="494"/>
        <v>831</v>
      </c>
      <c r="BL268" s="15">
        <f>SUMIFS(BI$2:BI268,K$2:K268,"=Intermission")+SUMIFS(BI$2:BI268,K$2:K268,"=Timeout")</f>
        <v>0</v>
      </c>
      <c r="BM268">
        <f t="shared" si="495"/>
        <v>0</v>
      </c>
      <c r="BN268" s="19">
        <f t="shared" si="496"/>
        <v>246</v>
      </c>
      <c r="BO268">
        <f t="shared" si="497"/>
        <v>241</v>
      </c>
      <c r="BP268" s="17">
        <f t="shared" si="498"/>
        <v>249</v>
      </c>
      <c r="BQ268" t="str">
        <f t="shared" si="499"/>
        <v>event_team_player_1</v>
      </c>
      <c r="BR268">
        <f>COUNTIFS(S$3:S268,"="&amp;S268,AH$3:AH268,"="&amp;AH268)</f>
        <v>1</v>
      </c>
      <c r="BS268" t="str">
        <f>IFERROR(VLOOKUP(BA268&amp;BT268&amp;X268,game_rosters!U:W,3,FALSE),"")</f>
        <v>P100007</v>
      </c>
      <c r="BT268" t="str">
        <f t="shared" si="500"/>
        <v>Triple J</v>
      </c>
    </row>
    <row r="269" spans="1:72" x14ac:dyDescent="0.2">
      <c r="A269">
        <f t="shared" si="475"/>
        <v>1</v>
      </c>
      <c r="E269" s="4"/>
      <c r="F269" s="45"/>
      <c r="G269" s="4"/>
      <c r="H269" s="47" t="s">
        <v>1045</v>
      </c>
      <c r="I269" s="26">
        <v>57</v>
      </c>
      <c r="J269" s="26" t="str">
        <f t="shared" si="501"/>
        <v>d</v>
      </c>
      <c r="K269" t="s">
        <v>238</v>
      </c>
      <c r="L269" t="s">
        <v>184</v>
      </c>
      <c r="M269" t="s">
        <v>88</v>
      </c>
      <c r="N269" t="str">
        <f t="shared" si="395"/>
        <v>s</v>
      </c>
      <c r="Q269" t="str">
        <f t="shared" si="389"/>
        <v/>
      </c>
      <c r="S269">
        <f>IF(A269=1,MAX($S$2:$S268)+1,IF(OR($I269&lt;&gt;"",A269="x"),$S268,""))</f>
        <v>137</v>
      </c>
      <c r="T269" t="str">
        <f>IF(D269=1,MAX($T$2:$T268)+1,IF(S269=S268,$T268,IF(D269="x",T268,IF(D268="x","",""))))</f>
        <v/>
      </c>
      <c r="U269" t="str">
        <f>IF(B269=1,MAX($U$2:$U268)+1,IF(AND($T269&lt;&gt;"",$T269=$T268),$U268,IF(B269="x",U268,"")))</f>
        <v/>
      </c>
      <c r="V269" t="str">
        <f>IF(C269=1,MAX($V$2:$V268)+1,IF(AND($T269&lt;&gt;"",$T269=$T268),$U268,IF(C269="x",V268,"")))</f>
        <v/>
      </c>
      <c r="W269" t="str" cm="1">
        <f t="array" ref="W269">IFERROR(_xlfn._xlws.FILTER(game_rosters!AC:AC,(game_rosters!J:J=events!X269)*(K269&lt;&gt;"")),"")</f>
        <v>h</v>
      </c>
      <c r="X269" cm="1">
        <f t="array" ref="X269">IF($I269&lt;&gt;"",$I269,INDEX($I$1:$I269,ROW()-COUNTIFS($T$1:$T269,"="&amp;$T269,$S$1:$S269,"&lt;"&amp;$S269)))</f>
        <v>57</v>
      </c>
      <c r="Y269" cm="1">
        <f t="array" ref="Y269">IFERROR(IF(_xlfn._xlws.FILTER(game_rosters!$J:$J,(game_rosters!$G:$G=events!$AM269)*(game_rosters!$J:$J=events!$X269))&gt;0,1,""),"")</f>
        <v>1</v>
      </c>
      <c r="Z269" s="6">
        <f t="shared" si="476"/>
        <v>1</v>
      </c>
      <c r="AA269">
        <f t="shared" si="477"/>
        <v>1137</v>
      </c>
      <c r="AB269" t="str">
        <f t="shared" si="478"/>
        <v/>
      </c>
      <c r="AC269">
        <f t="shared" si="479"/>
        <v>1137</v>
      </c>
      <c r="AD269" t="str">
        <f t="shared" si="480"/>
        <v>13</v>
      </c>
      <c r="AE269" t="str">
        <f t="shared" si="481"/>
        <v>51</v>
      </c>
      <c r="AF269" t="str">
        <f t="shared" si="482"/>
        <v>13</v>
      </c>
      <c r="AG269" t="str">
        <f t="shared" si="483"/>
        <v>50</v>
      </c>
      <c r="AH269" t="str">
        <f t="shared" si="402"/>
        <v>e</v>
      </c>
      <c r="AI269" t="str">
        <f t="shared" si="507"/>
        <v>d</v>
      </c>
      <c r="AJ269" t="str">
        <f t="shared" si="507"/>
        <v>d</v>
      </c>
      <c r="AK269" t="str">
        <f t="shared" si="404"/>
        <v>d</v>
      </c>
      <c r="AL269" t="str">
        <f t="shared" si="405"/>
        <v>o</v>
      </c>
      <c r="AM269" t="str">
        <f t="shared" si="484"/>
        <v>Home</v>
      </c>
      <c r="AN269" t="str">
        <f t="shared" si="406"/>
        <v>h</v>
      </c>
      <c r="AO269" t="str">
        <f t="shared" si="407"/>
        <v>d</v>
      </c>
      <c r="AP269" t="str">
        <f t="shared" si="408"/>
        <v>o</v>
      </c>
      <c r="AQ269" t="str">
        <f>IF(AM269&lt;&gt;"",AM269,IF($AC269=#REF!,#REF!,""))</f>
        <v>Home</v>
      </c>
      <c r="AR269" t="str">
        <f t="shared" si="409"/>
        <v>h</v>
      </c>
      <c r="AS269" t="str">
        <f t="shared" si="410"/>
        <v>Offensive</v>
      </c>
      <c r="AT269" t="str">
        <f t="shared" si="485"/>
        <v/>
      </c>
      <c r="AU269" t="str">
        <f t="shared" si="486"/>
        <v/>
      </c>
      <c r="AV269" t="str" cm="1">
        <f t="array" ref="AV269">IFERROR(IF(O269&lt;&gt;"",O269,IF(OR($S269="",$T269=""),"",IF(O269&lt;&gt;"",O269,IF($T269&lt;&gt;"",_xlfn._xlws.FILTER(O:O,($BT:$BT=$BT269)*($I:$I=$I269)*($T:$T=$T269)*($S:$S=_xlfn.MINIFS($S:$S,$T:$T,"="&amp;$T269)),"")))))&amp;"",IF(O269="","",""))&amp;""</f>
        <v/>
      </c>
      <c r="AW269" t="str" cm="1">
        <f t="array" ref="AW269">IFERROR(IF(P269&lt;&gt;"",P269,IF(OR($S269="",$T269=""),"",IF($T269&lt;&gt;"",_xlfn._xlws.FILTER(P:P,($BT:$BT=$BT269)*($I:$I=$I269)*($T:$T=$T269)*($S:$S=_xlfn.MINIFS($S:$S,$T:$T,"="&amp;$T269)),""))))&amp;"",IF(P269="","",""))&amp;""</f>
        <v/>
      </c>
      <c r="AX269" t="str" cm="1">
        <f t="array" ref="AX269">IFERROR(IF(Q269&lt;&gt;"",Q269,IF(OR($S269="",$T269=""),"",IF($T269&lt;&gt;"",_xlfn._xlws.FILTER(Q:Q,($BT:$BT=$BT269)*($I:$I=$I269)*($T:$T=$T269)*($S:$S=_xlfn.MINIFS($S:$S,$T:$T,"="&amp;$T269)),""))))&amp;"",IF(Q269="","",""))&amp;""</f>
        <v/>
      </c>
      <c r="AY269" t="str" cm="1">
        <f t="array" ref="AY269">IFERROR(IF(R269&lt;&gt;"",R269,IF(OR($S269="",$T269=""),"",IF($T269&lt;&gt;"",_xlfn._xlws.FILTER(R:R,($BT:$BT=$BT269)*($I:$I=$I269)*($T:$T=$T269)*($S:$S=_xlfn.MINIFS($S:$S,$T:$T,"="&amp;$T269)),""))))&amp;"",IF(R269="","",""))&amp;""</f>
        <v/>
      </c>
      <c r="AZ269" s="6">
        <f t="shared" si="487"/>
        <v>24</v>
      </c>
      <c r="BA269">
        <f t="shared" ref="BA269:BC269" si="510">BA268</f>
        <v>18991</v>
      </c>
      <c r="BB269" t="str">
        <f t="shared" si="510"/>
        <v>Triple J</v>
      </c>
      <c r="BC269" t="str">
        <f t="shared" si="510"/>
        <v>Velodrome</v>
      </c>
      <c r="BD269" t="str">
        <f t="shared" si="489"/>
        <v>Zone_Entry_Exit</v>
      </c>
      <c r="BE269" t="str">
        <f t="shared" si="490"/>
        <v>Zone_Exit</v>
      </c>
      <c r="BF269" t="str">
        <f t="shared" si="491"/>
        <v>ZoneExit-Rush</v>
      </c>
      <c r="BG269" t="str">
        <f t="shared" si="473"/>
        <v>s</v>
      </c>
      <c r="BH269" cm="1">
        <f t="array" aca="1" ref="BH269" ca="1">IFERROR(_xlfn._xlws.FILTER(shifts!A:A,(shifts!B:B=events!Z269)*(shifts!AG:AG&gt;=events!BJ269)*(shifts!AH:AH&lt;=events!BK269)),BH268)</f>
        <v>9</v>
      </c>
      <c r="BI269" s="15">
        <f t="shared" si="492"/>
        <v>1</v>
      </c>
      <c r="BJ269">
        <f t="shared" si="493"/>
        <v>831</v>
      </c>
      <c r="BK269">
        <f t="shared" si="494"/>
        <v>830</v>
      </c>
      <c r="BL269" s="15">
        <f>SUMIFS(BI$2:BI269,K$2:K269,"=Intermission")+SUMIFS(BI$2:BI269,K$2:K269,"=Timeout")</f>
        <v>0</v>
      </c>
      <c r="BM269">
        <f t="shared" si="495"/>
        <v>0</v>
      </c>
      <c r="BN269" s="19">
        <f t="shared" si="496"/>
        <v>249</v>
      </c>
      <c r="BO269">
        <f t="shared" si="497"/>
        <v>244</v>
      </c>
      <c r="BP269" s="17">
        <f t="shared" si="498"/>
        <v>250</v>
      </c>
      <c r="BQ269" t="str">
        <f t="shared" si="499"/>
        <v>event_team_player_1</v>
      </c>
      <c r="BR269">
        <f>COUNTIFS(S$3:S269,"="&amp;S269,AH$3:AH269,"="&amp;AH269)</f>
        <v>1</v>
      </c>
      <c r="BS269" t="str">
        <f>IFERROR(VLOOKUP(BA269&amp;BT269&amp;X269,game_rosters!U:W,3,FALSE),"")</f>
        <v>P100007</v>
      </c>
      <c r="BT269" t="str">
        <f t="shared" si="500"/>
        <v>Triple J</v>
      </c>
    </row>
    <row r="270" spans="1:72" x14ac:dyDescent="0.2">
      <c r="A270">
        <f t="shared" si="475"/>
        <v>1</v>
      </c>
      <c r="E270" s="4"/>
      <c r="F270" s="45"/>
      <c r="G270" s="4"/>
      <c r="H270" s="47" t="s">
        <v>751</v>
      </c>
      <c r="I270" s="26">
        <v>57</v>
      </c>
      <c r="J270" s="26" t="s">
        <v>734</v>
      </c>
      <c r="K270" t="s">
        <v>13</v>
      </c>
      <c r="N270" t="str">
        <f t="shared" si="395"/>
        <v/>
      </c>
      <c r="Q270" t="str">
        <f t="shared" si="389"/>
        <v/>
      </c>
      <c r="S270">
        <f>IF(A270=1,MAX($S$2:$S269)+1,IF(OR($I270&lt;&gt;"",A270="x"),$S269,""))</f>
        <v>138</v>
      </c>
      <c r="T270" t="str">
        <f>IF(D270=1,MAX($T$2:$T269)+1,IF(S270=S269,$T269,IF(D270="x",T269,IF(D269="x","",""))))</f>
        <v/>
      </c>
      <c r="U270" t="str">
        <f>IF(B270=1,MAX($U$2:$U269)+1,IF(AND($T270&lt;&gt;"",$T270=$T269),$U269,IF(B270="x",U269,"")))</f>
        <v/>
      </c>
      <c r="V270" t="str">
        <f>IF(C270=1,MAX($V$2:$V269)+1,IF(AND($T270&lt;&gt;"",$T270=$T269),$U269,IF(C270="x",V269,"")))</f>
        <v/>
      </c>
      <c r="W270" t="str" cm="1">
        <f t="array" ref="W270">IFERROR(_xlfn._xlws.FILTER(game_rosters!AC:AC,(game_rosters!J:J=events!X270)*(K270&lt;&gt;"")),"")</f>
        <v>h</v>
      </c>
      <c r="X270" cm="1">
        <f t="array" ref="X270">IF($I270&lt;&gt;"",$I270,INDEX($I$1:$I270,ROW()-COUNTIFS($T$1:$T270,"="&amp;$T270,$S$1:$S270,"&lt;"&amp;$S270)))</f>
        <v>57</v>
      </c>
      <c r="Y270" cm="1">
        <f t="array" ref="Y270">IFERROR(IF(_xlfn._xlws.FILTER(game_rosters!$J:$J,(game_rosters!$G:$G=events!$AM270)*(game_rosters!$J:$J=events!$X270))&gt;0,1,""),"")</f>
        <v>1</v>
      </c>
      <c r="Z270" s="6">
        <f t="shared" si="476"/>
        <v>1</v>
      </c>
      <c r="AA270">
        <f t="shared" si="477"/>
        <v>1138</v>
      </c>
      <c r="AB270" t="str">
        <f t="shared" si="478"/>
        <v/>
      </c>
      <c r="AC270">
        <f t="shared" si="479"/>
        <v>1138</v>
      </c>
      <c r="AD270" t="str">
        <f t="shared" si="480"/>
        <v>13</v>
      </c>
      <c r="AE270" t="str">
        <f t="shared" si="481"/>
        <v>50</v>
      </c>
      <c r="AF270" t="str">
        <f t="shared" si="482"/>
        <v>13</v>
      </c>
      <c r="AG270" t="str">
        <f t="shared" si="483"/>
        <v>49</v>
      </c>
      <c r="AH270" t="str">
        <f t="shared" si="402"/>
        <v>e</v>
      </c>
      <c r="AI270" t="str">
        <f t="shared" si="507"/>
        <v>n</v>
      </c>
      <c r="AJ270" t="str">
        <f t="shared" si="507"/>
        <v>n</v>
      </c>
      <c r="AK270" t="str">
        <f t="shared" si="404"/>
        <v>n</v>
      </c>
      <c r="AL270" t="str">
        <f t="shared" si="405"/>
        <v>n</v>
      </c>
      <c r="AM270" t="str">
        <f t="shared" si="484"/>
        <v>Home</v>
      </c>
      <c r="AN270" t="str">
        <f t="shared" si="406"/>
        <v>h</v>
      </c>
      <c r="AO270" t="str">
        <f t="shared" si="407"/>
        <v>n</v>
      </c>
      <c r="AP270" t="str">
        <f t="shared" si="408"/>
        <v>n</v>
      </c>
      <c r="AQ270" t="str">
        <f>IF(AM270&lt;&gt;"",AM270,IF($AC270=#REF!,#REF!,""))</f>
        <v>Home</v>
      </c>
      <c r="AR270" t="str">
        <f t="shared" si="409"/>
        <v>h</v>
      </c>
      <c r="AS270" t="str">
        <f t="shared" si="410"/>
        <v>Offensive</v>
      </c>
      <c r="AT270" t="str">
        <f t="shared" si="485"/>
        <v/>
      </c>
      <c r="AU270" t="str">
        <f t="shared" si="486"/>
        <v/>
      </c>
      <c r="AV270" t="str" cm="1">
        <f t="array" ref="AV270">IFERROR(IF(O270&lt;&gt;"",O270,IF(OR($S270="",$T270=""),"",IF(O270&lt;&gt;"",O270,IF($T270&lt;&gt;"",_xlfn._xlws.FILTER(O:O,($BT:$BT=$BT270)*($I:$I=$I270)*($T:$T=$T270)*($S:$S=_xlfn.MINIFS($S:$S,$T:$T,"="&amp;$T270)),"")))))&amp;"",IF(O270="","",""))&amp;""</f>
        <v/>
      </c>
      <c r="AW270" t="str" cm="1">
        <f t="array" ref="AW270">IFERROR(IF(P270&lt;&gt;"",P270,IF(OR($S270="",$T270=""),"",IF($T270&lt;&gt;"",_xlfn._xlws.FILTER(P:P,($BT:$BT=$BT270)*($I:$I=$I270)*($T:$T=$T270)*($S:$S=_xlfn.MINIFS($S:$S,$T:$T,"="&amp;$T270)),""))))&amp;"",IF(P270="","",""))&amp;""</f>
        <v/>
      </c>
      <c r="AX270" t="str" cm="1">
        <f t="array" ref="AX270">IFERROR(IF(Q270&lt;&gt;"",Q270,IF(OR($S270="",$T270=""),"",IF($T270&lt;&gt;"",_xlfn._xlws.FILTER(Q:Q,($BT:$BT=$BT270)*($I:$I=$I270)*($T:$T=$T270)*($S:$S=_xlfn.MINIFS($S:$S,$T:$T,"="&amp;$T270)),""))))&amp;"",IF(Q270="","",""))&amp;""</f>
        <v/>
      </c>
      <c r="AY270" t="str" cm="1">
        <f t="array" ref="AY270">IFERROR(IF(R270&lt;&gt;"",R270,IF(OR($S270="",$T270=""),"",IF($T270&lt;&gt;"",_xlfn._xlws.FILTER(R:R,($BT:$BT=$BT270)*($I:$I=$I270)*($T:$T=$T270)*($S:$S=_xlfn.MINIFS($S:$S,$T:$T,"="&amp;$T270)),""))))&amp;"",IF(R270="","",""))&amp;""</f>
        <v/>
      </c>
      <c r="AZ270" s="6">
        <f t="shared" si="487"/>
        <v>24</v>
      </c>
      <c r="BA270">
        <f t="shared" ref="BA270:BC270" si="511">BA269</f>
        <v>18991</v>
      </c>
      <c r="BB270" t="str">
        <f t="shared" si="511"/>
        <v>Triple J</v>
      </c>
      <c r="BC270" t="str">
        <f t="shared" si="511"/>
        <v>Velodrome</v>
      </c>
      <c r="BD270" t="str">
        <f t="shared" si="489"/>
        <v>Possession</v>
      </c>
      <c r="BE270" t="str">
        <f t="shared" si="490"/>
        <v/>
      </c>
      <c r="BF270" t="str">
        <f t="shared" si="491"/>
        <v/>
      </c>
      <c r="BG270" t="str">
        <f t="shared" si="473"/>
        <v/>
      </c>
      <c r="BH270" cm="1">
        <f t="array" aca="1" ref="BH270" ca="1">IFERROR(_xlfn._xlws.FILTER(shifts!A:A,(shifts!B:B=events!Z270)*(shifts!AG:AG&gt;=events!BJ270)*(shifts!AH:AH&lt;=events!BK270)),BH269)</f>
        <v>9</v>
      </c>
      <c r="BI270" s="15">
        <f t="shared" si="492"/>
        <v>1</v>
      </c>
      <c r="BJ270">
        <f t="shared" si="493"/>
        <v>830</v>
      </c>
      <c r="BK270">
        <f t="shared" si="494"/>
        <v>829</v>
      </c>
      <c r="BL270" s="15">
        <f>SUMIFS(BI$2:BI270,K$2:K270,"=Intermission")+SUMIFS(BI$2:BI270,K$2:K270,"=Timeout")</f>
        <v>0</v>
      </c>
      <c r="BM270">
        <f t="shared" si="495"/>
        <v>0</v>
      </c>
      <c r="BN270" s="19">
        <f t="shared" si="496"/>
        <v>250</v>
      </c>
      <c r="BO270">
        <f t="shared" si="497"/>
        <v>245</v>
      </c>
      <c r="BP270" s="17">
        <f t="shared" si="498"/>
        <v>251</v>
      </c>
      <c r="BQ270" t="str">
        <f t="shared" si="499"/>
        <v>event_team_player_1</v>
      </c>
      <c r="BR270">
        <f>COUNTIFS(S$3:S270,"="&amp;S270,AH$3:AH270,"="&amp;AH270)</f>
        <v>1</v>
      </c>
      <c r="BS270" t="str">
        <f>IFERROR(VLOOKUP(BA270&amp;BT270&amp;X270,game_rosters!U:W,3,FALSE),"")</f>
        <v>P100007</v>
      </c>
      <c r="BT270" t="str">
        <f t="shared" si="500"/>
        <v>Triple J</v>
      </c>
    </row>
    <row r="271" spans="1:72" x14ac:dyDescent="0.2">
      <c r="A271">
        <f t="shared" si="475"/>
        <v>1</v>
      </c>
      <c r="E271" s="4"/>
      <c r="F271" s="45"/>
      <c r="G271" s="4"/>
      <c r="H271" s="47" t="s">
        <v>1066</v>
      </c>
      <c r="I271" s="26">
        <v>57</v>
      </c>
      <c r="J271" s="26" t="str">
        <f t="shared" si="501"/>
        <v>o</v>
      </c>
      <c r="K271" t="s">
        <v>238</v>
      </c>
      <c r="L271" t="s">
        <v>174</v>
      </c>
      <c r="M271" t="s">
        <v>85</v>
      </c>
      <c r="N271" t="s">
        <v>594</v>
      </c>
      <c r="Q271" t="str">
        <f t="shared" si="389"/>
        <v/>
      </c>
      <c r="S271">
        <f>IF(A271=1,MAX($S$2:$S270)+1,IF(OR($I271&lt;&gt;"",A271="x"),$S270,""))</f>
        <v>139</v>
      </c>
      <c r="T271" t="str">
        <f>IF(D271=1,MAX($T$2:$T270)+1,IF(S271=S270,$T270,IF(D271="x",T270,IF(D270="x","",""))))</f>
        <v/>
      </c>
      <c r="U271" t="str">
        <f>IF(B271=1,MAX($U$2:$U270)+1,IF(AND($T271&lt;&gt;"",$T271=$T270),$U270,IF(B271="x",U270,"")))</f>
        <v/>
      </c>
      <c r="V271" t="str">
        <f>IF(C271=1,MAX($V$2:$V270)+1,IF(AND($T271&lt;&gt;"",$T271=$T270),$U270,IF(C271="x",V270,"")))</f>
        <v/>
      </c>
      <c r="W271" t="str" cm="1">
        <f t="array" ref="W271">IFERROR(_xlfn._xlws.FILTER(game_rosters!AC:AC,(game_rosters!J:J=events!X271)*(K271&lt;&gt;"")),"")</f>
        <v>h</v>
      </c>
      <c r="X271" cm="1">
        <f t="array" ref="X271">IF($I271&lt;&gt;"",$I271,INDEX($I$1:$I271,ROW()-COUNTIFS($T$1:$T271,"="&amp;$T271,$S$1:$S271,"&lt;"&amp;$S271)))</f>
        <v>57</v>
      </c>
      <c r="Y271" cm="1">
        <f t="array" ref="Y271">IFERROR(IF(_xlfn._xlws.FILTER(game_rosters!$J:$J,(game_rosters!$G:$G=events!$AM271)*(game_rosters!$J:$J=events!$X271))&gt;0,1,""),"")</f>
        <v>1</v>
      </c>
      <c r="Z271" s="6">
        <f t="shared" si="476"/>
        <v>1</v>
      </c>
      <c r="AA271">
        <f t="shared" si="477"/>
        <v>1139</v>
      </c>
      <c r="AB271" t="str">
        <f t="shared" si="478"/>
        <v/>
      </c>
      <c r="AC271">
        <f t="shared" si="479"/>
        <v>1139</v>
      </c>
      <c r="AD271" t="str">
        <f t="shared" si="480"/>
        <v>13</v>
      </c>
      <c r="AE271" t="str">
        <f t="shared" si="481"/>
        <v>49</v>
      </c>
      <c r="AF271" t="str">
        <f t="shared" si="482"/>
        <v>13</v>
      </c>
      <c r="AG271" t="str">
        <f t="shared" si="483"/>
        <v>48</v>
      </c>
      <c r="AH271" t="str">
        <f t="shared" si="402"/>
        <v>e</v>
      </c>
      <c r="AI271" t="str">
        <f t="shared" si="507"/>
        <v>o</v>
      </c>
      <c r="AJ271" t="str">
        <f t="shared" si="507"/>
        <v>o</v>
      </c>
      <c r="AK271" t="str">
        <f t="shared" si="404"/>
        <v>o</v>
      </c>
      <c r="AL271" t="str">
        <f t="shared" si="405"/>
        <v>d</v>
      </c>
      <c r="AM271" t="str">
        <f t="shared" si="484"/>
        <v>Home</v>
      </c>
      <c r="AN271" t="str">
        <f t="shared" si="406"/>
        <v>h</v>
      </c>
      <c r="AO271" t="str">
        <f t="shared" si="407"/>
        <v>o</v>
      </c>
      <c r="AP271" t="str">
        <f t="shared" si="408"/>
        <v>d</v>
      </c>
      <c r="AQ271" t="str">
        <f>IF(AM271&lt;&gt;"",AM271,IF($AC271=#REF!,#REF!,""))</f>
        <v>Home</v>
      </c>
      <c r="AR271" t="str">
        <f t="shared" si="409"/>
        <v>h</v>
      </c>
      <c r="AS271" t="str">
        <f t="shared" si="410"/>
        <v>Offensive</v>
      </c>
      <c r="AT271" t="str">
        <f t="shared" si="485"/>
        <v/>
      </c>
      <c r="AU271" t="str">
        <f t="shared" si="486"/>
        <v/>
      </c>
      <c r="AV271" t="str" cm="1">
        <f t="array" ref="AV271">IFERROR(IF(O271&lt;&gt;"",O271,IF(OR($S271="",$T271=""),"",IF(O271&lt;&gt;"",O271,IF($T271&lt;&gt;"",_xlfn._xlws.FILTER(O:O,($BT:$BT=$BT271)*($I:$I=$I271)*($T:$T=$T271)*($S:$S=_xlfn.MINIFS($S:$S,$T:$T,"="&amp;$T271)),"")))))&amp;"",IF(O271="","",""))&amp;""</f>
        <v/>
      </c>
      <c r="AW271" t="str" cm="1">
        <f t="array" ref="AW271">IFERROR(IF(P271&lt;&gt;"",P271,IF(OR($S271="",$T271=""),"",IF($T271&lt;&gt;"",_xlfn._xlws.FILTER(P:P,($BT:$BT=$BT271)*($I:$I=$I271)*($T:$T=$T271)*($S:$S=_xlfn.MINIFS($S:$S,$T:$T,"="&amp;$T271)),""))))&amp;"",IF(P271="","",""))&amp;""</f>
        <v/>
      </c>
      <c r="AX271" t="str" cm="1">
        <f t="array" ref="AX271">IFERROR(IF(Q271&lt;&gt;"",Q271,IF(OR($S271="",$T271=""),"",IF($T271&lt;&gt;"",_xlfn._xlws.FILTER(Q:Q,($BT:$BT=$BT271)*($I:$I=$I271)*($T:$T=$T271)*($S:$S=_xlfn.MINIFS($S:$S,$T:$T,"="&amp;$T271)),""))))&amp;"",IF(Q271="","",""))&amp;""</f>
        <v/>
      </c>
      <c r="AY271" t="str" cm="1">
        <f t="array" ref="AY271">IFERROR(IF(R271&lt;&gt;"",R271,IF(OR($S271="",$T271=""),"",IF($T271&lt;&gt;"",_xlfn._xlws.FILTER(R:R,($BT:$BT=$BT271)*($I:$I=$I271)*($T:$T=$T271)*($S:$S=_xlfn.MINIFS($S:$S,$T:$T,"="&amp;$T271)),""))))&amp;"",IF(R271="","",""))&amp;""</f>
        <v/>
      </c>
      <c r="AZ271" s="6">
        <f t="shared" si="487"/>
        <v>25</v>
      </c>
      <c r="BA271">
        <f t="shared" ref="BA271:BC271" si="512">BA270</f>
        <v>18991</v>
      </c>
      <c r="BB271" t="str">
        <f t="shared" si="512"/>
        <v>Triple J</v>
      </c>
      <c r="BC271" t="str">
        <f t="shared" si="512"/>
        <v>Velodrome</v>
      </c>
      <c r="BD271" t="str">
        <f t="shared" si="489"/>
        <v>Zone_Entry_Exit</v>
      </c>
      <c r="BE271" t="str">
        <f t="shared" si="490"/>
        <v>Zone_Entry</v>
      </c>
      <c r="BF271" t="str">
        <f t="shared" si="491"/>
        <v>ZoneEntry-Rush</v>
      </c>
      <c r="BG271" t="str">
        <f t="shared" si="473"/>
        <v>u</v>
      </c>
      <c r="BH271" cm="1">
        <f t="array" aca="1" ref="BH271" ca="1">IFERROR(_xlfn._xlws.FILTER(shifts!A:A,(shifts!B:B=events!Z271)*(shifts!AG:AG&gt;=events!BJ271)*(shifts!AH:AH&lt;=events!BK271)),BH270)</f>
        <v>9</v>
      </c>
      <c r="BI271" s="15">
        <f t="shared" si="492"/>
        <v>1</v>
      </c>
      <c r="BJ271">
        <f t="shared" si="493"/>
        <v>829</v>
      </c>
      <c r="BK271">
        <f t="shared" si="494"/>
        <v>828</v>
      </c>
      <c r="BL271" s="15">
        <f>SUMIFS(BI$2:BI271,K$2:K271,"=Intermission")+SUMIFS(BI$2:BI271,K$2:K271,"=Timeout")</f>
        <v>0</v>
      </c>
      <c r="BM271">
        <f t="shared" si="495"/>
        <v>0</v>
      </c>
      <c r="BN271" s="19">
        <f t="shared" si="496"/>
        <v>251</v>
      </c>
      <c r="BO271">
        <f t="shared" si="497"/>
        <v>246</v>
      </c>
      <c r="BP271" s="17">
        <f t="shared" si="498"/>
        <v>252</v>
      </c>
      <c r="BQ271" t="str">
        <f t="shared" si="499"/>
        <v>event_team_player_1</v>
      </c>
      <c r="BR271">
        <f>COUNTIFS(S$3:S271,"="&amp;S271,AH$3:AH271,"="&amp;AH271)</f>
        <v>1</v>
      </c>
      <c r="BS271" t="str">
        <f>IFERROR(VLOOKUP(BA271&amp;BT271&amp;X271,game_rosters!U:W,3,FALSE),"")</f>
        <v>P100007</v>
      </c>
      <c r="BT271" t="str">
        <f t="shared" si="500"/>
        <v>Triple J</v>
      </c>
    </row>
    <row r="272" spans="1:72" x14ac:dyDescent="0.2">
      <c r="A272" t="str">
        <f t="shared" si="475"/>
        <v/>
      </c>
      <c r="E272" s="4"/>
      <c r="F272" s="45"/>
      <c r="G272" s="4"/>
      <c r="H272" s="47"/>
      <c r="I272" s="26">
        <v>70</v>
      </c>
      <c r="J272" s="26" t="str">
        <f t="shared" si="501"/>
        <v/>
      </c>
      <c r="N272" t="str">
        <f t="shared" si="395"/>
        <v/>
      </c>
      <c r="Q272" t="str">
        <f t="shared" ref="Q272:Q335" si="513">IF(O272="","",IF(AND(N272&lt;&gt;"",OR(O272&lt;&gt;"",P272&lt;&gt;"")),N272,IF(OR(ISNUMBER(SEARCH("attemp",O272)),ISNUMBER(SEARCH("beat",O272)),ISNUMBER(SEARCH("mis",O272)),ISNUMBER(SEARCH("fail",O272)),ISNUMBER(SEARCH("loss",O272)),ISNUMBER(SEARCH("lost",O272)),ISNUMBER(SEARCH("attemp",P272)),ISNUMBER(SEARCH("mis",P272)),ISNUMBER(SEARCH("fail",P272)),ISNUMBER(SEARCH("loss",P272)),ISNUMBER(SEARCH("beat",P272)),ISNUMBER(SEARCH("lost",P272))),"u","")))</f>
        <v/>
      </c>
      <c r="S272">
        <f>IF(A272=1,MAX($S$2:$S271)+1,IF(OR($I272&lt;&gt;"",A272="x"),$S271,""))</f>
        <v>139</v>
      </c>
      <c r="T272" t="str">
        <f>IF(D272=1,MAX($T$2:$T271)+1,IF(S272=S271,$T271,IF(D272="x",T271,IF(D271="x","",""))))</f>
        <v/>
      </c>
      <c r="U272" t="str">
        <f>IF(B272=1,MAX($U$2:$U271)+1,IF(AND($T272&lt;&gt;"",$T272=$T271),$U271,IF(B272="x",U271,"")))</f>
        <v/>
      </c>
      <c r="V272" t="str">
        <f>IF(C272=1,MAX($V$2:$V271)+1,IF(AND($T272&lt;&gt;"",$T272=$T271),$U271,IF(C272="x",V271,"")))</f>
        <v/>
      </c>
      <c r="W272" t="str" cm="1">
        <f t="array" ref="W272">IFERROR(_xlfn._xlws.FILTER(game_rosters!AC:AC,(game_rosters!J:J=events!X272)*(K272&lt;&gt;"")),"")</f>
        <v/>
      </c>
      <c r="X272" cm="1">
        <f t="array" ref="X272">IF($I272&lt;&gt;"",$I272,INDEX($I$1:$I272,ROW()-COUNTIFS($T$1:$T272,"="&amp;$T272,$S$1:$S272,"&lt;"&amp;$S272)))</f>
        <v>70</v>
      </c>
      <c r="Y272" t="str" cm="1">
        <f t="array" ref="Y272">IFERROR(IF(_xlfn._xlws.FILTER(game_rosters!$J:$J,(game_rosters!$G:$G=events!$AM272)*(game_rosters!$J:$J=events!$X272))&gt;0,1,""),"")</f>
        <v/>
      </c>
      <c r="Z272" s="6">
        <f t="shared" si="476"/>
        <v>1</v>
      </c>
      <c r="AA272">
        <f t="shared" si="477"/>
        <v>1139</v>
      </c>
      <c r="AB272" t="str">
        <f t="shared" si="478"/>
        <v/>
      </c>
      <c r="AC272">
        <f t="shared" si="479"/>
        <v>1139</v>
      </c>
      <c r="AD272" t="str">
        <f t="shared" si="480"/>
        <v>13</v>
      </c>
      <c r="AE272" t="str">
        <f t="shared" si="481"/>
        <v>49</v>
      </c>
      <c r="AF272" t="str">
        <f t="shared" si="482"/>
        <v>13</v>
      </c>
      <c r="AG272" t="str">
        <f t="shared" si="483"/>
        <v>48</v>
      </c>
      <c r="AH272" t="str">
        <f t="shared" si="402"/>
        <v>o</v>
      </c>
      <c r="AI272" t="str">
        <f t="shared" si="507"/>
        <v>o</v>
      </c>
      <c r="AJ272" t="str">
        <f t="shared" si="507"/>
        <v>o</v>
      </c>
      <c r="AK272" t="str">
        <f t="shared" si="404"/>
        <v/>
      </c>
      <c r="AL272" t="str">
        <f t="shared" si="405"/>
        <v/>
      </c>
      <c r="AM272" t="str">
        <f t="shared" si="484"/>
        <v>Home</v>
      </c>
      <c r="AN272" t="str">
        <f t="shared" si="406"/>
        <v>h</v>
      </c>
      <c r="AO272" t="str">
        <f t="shared" si="407"/>
        <v>o</v>
      </c>
      <c r="AP272" t="str">
        <f t="shared" si="408"/>
        <v>d</v>
      </c>
      <c r="AQ272" t="str">
        <f>IF(AM272&lt;&gt;"",AM272,IF($AC272=#REF!,#REF!,""))</f>
        <v>Home</v>
      </c>
      <c r="AR272" t="str">
        <f t="shared" si="409"/>
        <v>h</v>
      </c>
      <c r="AS272" t="str">
        <f t="shared" si="410"/>
        <v>Defensive</v>
      </c>
      <c r="AT272" t="str">
        <f t="shared" si="485"/>
        <v/>
      </c>
      <c r="AU272" t="str">
        <f t="shared" si="486"/>
        <v/>
      </c>
      <c r="AV272" t="str" cm="1">
        <f t="array" ref="AV272">IFERROR(IF(O272&lt;&gt;"",O272,IF(OR($S272="",$T272=""),"",IF(O272&lt;&gt;"",O272,IF($T272&lt;&gt;"",_xlfn._xlws.FILTER(O:O,($BT:$BT=$BT272)*($I:$I=$I272)*($T:$T=$T272)*($S:$S=_xlfn.MINIFS($S:$S,$T:$T,"="&amp;$T272)),"")))))&amp;"",IF(O272="","",""))&amp;""</f>
        <v/>
      </c>
      <c r="AW272" t="str" cm="1">
        <f t="array" ref="AW272">IFERROR(IF(P272&lt;&gt;"",P272,IF(OR($S272="",$T272=""),"",IF($T272&lt;&gt;"",_xlfn._xlws.FILTER(P:P,($BT:$BT=$BT272)*($I:$I=$I272)*($T:$T=$T272)*($S:$S=_xlfn.MINIFS($S:$S,$T:$T,"="&amp;$T272)),""))))&amp;"",IF(P272="","",""))&amp;""</f>
        <v/>
      </c>
      <c r="AX272" t="str" cm="1">
        <f t="array" ref="AX272">IFERROR(IF(Q272&lt;&gt;"",Q272,IF(OR($S272="",$T272=""),"",IF($T272&lt;&gt;"",_xlfn._xlws.FILTER(Q:Q,($BT:$BT=$BT272)*($I:$I=$I272)*($T:$T=$T272)*($S:$S=_xlfn.MINIFS($S:$S,$T:$T,"="&amp;$T272)),""))))&amp;"",IF(Q272="","",""))&amp;""</f>
        <v/>
      </c>
      <c r="AY272" t="str" cm="1">
        <f t="array" ref="AY272">IFERROR(IF(R272&lt;&gt;"",R272,IF(OR($S272="",$T272=""),"",IF($T272&lt;&gt;"",_xlfn._xlws.FILTER(R:R,($BT:$BT=$BT272)*($I:$I=$I272)*($T:$T=$T272)*($S:$S=_xlfn.MINIFS($S:$S,$T:$T,"="&amp;$T272)),""))))&amp;"",IF(R272="","",""))&amp;""</f>
        <v/>
      </c>
      <c r="AZ272" s="6">
        <f t="shared" si="487"/>
        <v>25</v>
      </c>
      <c r="BA272">
        <f t="shared" ref="BA272:BC272" si="514">BA271</f>
        <v>18991</v>
      </c>
      <c r="BB272" t="str">
        <f t="shared" si="514"/>
        <v>Triple J</v>
      </c>
      <c r="BC272" t="str">
        <f t="shared" si="514"/>
        <v>Velodrome</v>
      </c>
      <c r="BD272" t="str">
        <f t="shared" si="489"/>
        <v>Zone_Entry_Exit</v>
      </c>
      <c r="BE272" t="str">
        <f t="shared" si="490"/>
        <v>Zone_Entry</v>
      </c>
      <c r="BF272" t="str">
        <f t="shared" si="491"/>
        <v>ZoneEntry-Rush</v>
      </c>
      <c r="BG272" t="str">
        <f t="shared" si="473"/>
        <v>u</v>
      </c>
      <c r="BH272" cm="1">
        <f t="array" aca="1" ref="BH272" ca="1">IFERROR(_xlfn._xlws.FILTER(shifts!A:A,(shifts!B:B=events!Z272)*(shifts!AG:AG&gt;=events!BJ272)*(shifts!AH:AH&lt;=events!BK272)),BH271)</f>
        <v>9</v>
      </c>
      <c r="BI272" s="15">
        <f t="shared" si="492"/>
        <v>1</v>
      </c>
      <c r="BJ272">
        <f t="shared" si="493"/>
        <v>829</v>
      </c>
      <c r="BK272">
        <f t="shared" si="494"/>
        <v>828</v>
      </c>
      <c r="BL272" s="15">
        <f>SUMIFS(BI$2:BI272,K$2:K272,"=Intermission")+SUMIFS(BI$2:BI272,K$2:K272,"=Timeout")</f>
        <v>0</v>
      </c>
      <c r="BM272">
        <f t="shared" si="495"/>
        <v>0</v>
      </c>
      <c r="BN272" s="19">
        <f t="shared" si="496"/>
        <v>251</v>
      </c>
      <c r="BO272">
        <f t="shared" si="497"/>
        <v>246</v>
      </c>
      <c r="BP272" s="17">
        <f t="shared" si="498"/>
        <v>252</v>
      </c>
      <c r="BQ272" t="str">
        <f t="shared" si="499"/>
        <v>opp_team_player_1</v>
      </c>
      <c r="BR272">
        <f>COUNTIFS(S$3:S272,"="&amp;S272,AH$3:AH272,"="&amp;AH272)</f>
        <v>1</v>
      </c>
      <c r="BS272" t="str">
        <f>IFERROR(VLOOKUP(BA272&amp;BT272&amp;X272,game_rosters!U:W,3,FALSE),"")</f>
        <v>P100001</v>
      </c>
      <c r="BT272" t="str">
        <f t="shared" si="500"/>
        <v>Velodrome</v>
      </c>
    </row>
    <row r="273" spans="1:72" x14ac:dyDescent="0.2">
      <c r="A273">
        <f t="shared" si="475"/>
        <v>1</v>
      </c>
      <c r="E273" s="4"/>
      <c r="F273" s="45"/>
      <c r="G273" s="4"/>
      <c r="H273" s="47"/>
      <c r="I273" s="26">
        <v>57</v>
      </c>
      <c r="J273" s="26" t="s">
        <v>368</v>
      </c>
      <c r="K273" t="s">
        <v>7</v>
      </c>
      <c r="L273" t="s">
        <v>182</v>
      </c>
      <c r="M273" t="s">
        <v>68</v>
      </c>
      <c r="N273" t="str">
        <f t="shared" si="395"/>
        <v>u</v>
      </c>
      <c r="Q273" t="str">
        <f t="shared" si="513"/>
        <v/>
      </c>
      <c r="S273">
        <f>IF(A273=1,MAX($S$2:$S272)+1,IF(OR($I273&lt;&gt;"",A273="x"),$S272,""))</f>
        <v>140</v>
      </c>
      <c r="T273" t="str">
        <f>IF(D273=1,MAX($T$2:$T272)+1,IF(S273=S272,$T272,IF(D273="x",T272,IF(D272="x","",""))))</f>
        <v/>
      </c>
      <c r="U273" t="str">
        <f>IF(B273=1,MAX($U$2:$U272)+1,IF(AND($T273&lt;&gt;"",$T273=$T272),$U272,IF(B273="x",U272,"")))</f>
        <v/>
      </c>
      <c r="V273" t="str">
        <f>IF(C273=1,MAX($V$2:$V272)+1,IF(AND($T273&lt;&gt;"",$T273=$T272),$U272,IF(C273="x",V272,"")))</f>
        <v/>
      </c>
      <c r="W273" t="str" cm="1">
        <f t="array" ref="W273">IFERROR(_xlfn._xlws.FILTER(game_rosters!AC:AC,(game_rosters!J:J=events!X273)*(K273&lt;&gt;"")),"")</f>
        <v>h</v>
      </c>
      <c r="X273" cm="1">
        <f t="array" ref="X273">IF($I273&lt;&gt;"",$I273,INDEX($I$1:$I273,ROW()-COUNTIFS($T$1:$T273,"="&amp;$T273,$S$1:$S273,"&lt;"&amp;$S273)))</f>
        <v>57</v>
      </c>
      <c r="Y273" cm="1">
        <f t="array" ref="Y273">IFERROR(IF(_xlfn._xlws.FILTER(game_rosters!$J:$J,(game_rosters!$G:$G=events!$AM273)*(game_rosters!$J:$J=events!$X273))&gt;0,1,""),"")</f>
        <v>1</v>
      </c>
      <c r="Z273" s="6">
        <f t="shared" si="476"/>
        <v>1</v>
      </c>
      <c r="AA273">
        <f t="shared" si="477"/>
        <v>1140</v>
      </c>
      <c r="AB273" t="str">
        <f t="shared" si="478"/>
        <v/>
      </c>
      <c r="AC273">
        <f t="shared" si="479"/>
        <v>1140</v>
      </c>
      <c r="AD273" t="str">
        <f t="shared" si="480"/>
        <v>13</v>
      </c>
      <c r="AE273" t="str">
        <f t="shared" si="481"/>
        <v>48</v>
      </c>
      <c r="AF273" t="str">
        <f t="shared" si="482"/>
        <v/>
      </c>
      <c r="AG273" t="str">
        <f t="shared" si="483"/>
        <v/>
      </c>
      <c r="AH273" t="str">
        <f t="shared" si="402"/>
        <v>e</v>
      </c>
      <c r="AI273" t="str">
        <f t="shared" si="507"/>
        <v>o</v>
      </c>
      <c r="AJ273" t="str">
        <f t="shared" si="507"/>
        <v>o</v>
      </c>
      <c r="AK273" t="str">
        <f t="shared" si="404"/>
        <v>o</v>
      </c>
      <c r="AL273" t="str">
        <f t="shared" si="405"/>
        <v>d</v>
      </c>
      <c r="AM273" t="str">
        <f t="shared" si="484"/>
        <v>Home</v>
      </c>
      <c r="AN273" t="str">
        <f t="shared" si="406"/>
        <v>h</v>
      </c>
      <c r="AO273" t="str">
        <f t="shared" si="407"/>
        <v>o</v>
      </c>
      <c r="AP273" t="str">
        <f t="shared" si="408"/>
        <v>d</v>
      </c>
      <c r="AQ273" t="str">
        <f>IF(AM273&lt;&gt;"",AM273,IF($AC273=#REF!,#REF!,""))</f>
        <v>Home</v>
      </c>
      <c r="AR273" t="str">
        <f t="shared" si="409"/>
        <v>h</v>
      </c>
      <c r="AS273" t="str">
        <f t="shared" si="410"/>
        <v>Offensive</v>
      </c>
      <c r="AT273" t="str">
        <f t="shared" si="485"/>
        <v/>
      </c>
      <c r="AU273" t="str">
        <f t="shared" si="486"/>
        <v/>
      </c>
      <c r="AV273" t="str" cm="1">
        <f t="array" ref="AV273">IFERROR(IF(O273&lt;&gt;"",O273,IF(OR($S273="",$T273=""),"",IF(O273&lt;&gt;"",O273,IF($T273&lt;&gt;"",_xlfn._xlws.FILTER(O:O,($BT:$BT=$BT273)*($I:$I=$I273)*($T:$T=$T273)*($S:$S=_xlfn.MINIFS($S:$S,$T:$T,"="&amp;$T273)),"")))))&amp;"",IF(O273="","",""))&amp;""</f>
        <v/>
      </c>
      <c r="AW273" t="str" cm="1">
        <f t="array" ref="AW273">IFERROR(IF(P273&lt;&gt;"",P273,IF(OR($S273="",$T273=""),"",IF($T273&lt;&gt;"",_xlfn._xlws.FILTER(P:P,($BT:$BT=$BT273)*($I:$I=$I273)*($T:$T=$T273)*($S:$S=_xlfn.MINIFS($S:$S,$T:$T,"="&amp;$T273)),""))))&amp;"",IF(P273="","",""))&amp;""</f>
        <v/>
      </c>
      <c r="AX273" t="str" cm="1">
        <f t="array" ref="AX273">IFERROR(IF(Q273&lt;&gt;"",Q273,IF(OR($S273="",$T273=""),"",IF($T273&lt;&gt;"",_xlfn._xlws.FILTER(Q:Q,($BT:$BT=$BT273)*($I:$I=$I273)*($T:$T=$T273)*($S:$S=_xlfn.MINIFS($S:$S,$T:$T,"="&amp;$T273)),""))))&amp;"",IF(Q273="","",""))&amp;""</f>
        <v/>
      </c>
      <c r="AY273" t="str" cm="1">
        <f t="array" ref="AY273">IFERROR(IF(R273&lt;&gt;"",R273,IF(OR($S273="",$T273=""),"",IF($T273&lt;&gt;"",_xlfn._xlws.FILTER(R:R,($BT:$BT=$BT273)*($I:$I=$I273)*($T:$T=$T273)*($S:$S=_xlfn.MINIFS($S:$S,$T:$T,"="&amp;$T273)),""))))&amp;"",IF(R273="","",""))&amp;""</f>
        <v/>
      </c>
      <c r="AZ273" s="6">
        <f t="shared" si="487"/>
        <v>25</v>
      </c>
      <c r="BA273">
        <f t="shared" ref="BA273:BC273" si="515">BA272</f>
        <v>18991</v>
      </c>
      <c r="BB273" t="str">
        <f t="shared" si="515"/>
        <v>Triple J</v>
      </c>
      <c r="BC273" t="str">
        <f t="shared" si="515"/>
        <v>Velodrome</v>
      </c>
      <c r="BD273" t="str">
        <f t="shared" si="489"/>
        <v>Pass</v>
      </c>
      <c r="BE273" t="str">
        <f t="shared" si="490"/>
        <v>Pass_Missed</v>
      </c>
      <c r="BF273" t="str">
        <f t="shared" si="491"/>
        <v>Pass-Forehand</v>
      </c>
      <c r="BG273" t="str">
        <f t="shared" si="473"/>
        <v>u</v>
      </c>
      <c r="BH273" cm="1">
        <f t="array" aca="1" ref="BH273" ca="1">IFERROR(_xlfn._xlws.FILTER(shifts!A:A,(shifts!B:B=events!Z273)*(shifts!AG:AG&gt;=events!BJ273)*(shifts!AH:AH&lt;=events!BK273)),BH272)</f>
        <v>9</v>
      </c>
      <c r="BI273" s="15">
        <f t="shared" si="492"/>
        <v>0</v>
      </c>
      <c r="BJ273">
        <f t="shared" si="493"/>
        <v>828</v>
      </c>
      <c r="BK273">
        <f t="shared" si="494"/>
        <v>828</v>
      </c>
      <c r="BL273" s="15">
        <f>SUMIFS(BI$2:BI273,K$2:K273,"=Intermission")+SUMIFS(BI$2:BI273,K$2:K273,"=Timeout")</f>
        <v>0</v>
      </c>
      <c r="BM273">
        <f t="shared" si="495"/>
        <v>0</v>
      </c>
      <c r="BN273" s="19">
        <f t="shared" si="496"/>
        <v>252</v>
      </c>
      <c r="BO273">
        <f t="shared" si="497"/>
        <v>247</v>
      </c>
      <c r="BP273" s="17">
        <f t="shared" si="498"/>
        <v>252</v>
      </c>
      <c r="BQ273" t="str">
        <f t="shared" si="499"/>
        <v>event_team_player_1</v>
      </c>
      <c r="BR273">
        <f>COUNTIFS(S$3:S273,"="&amp;S273,AH$3:AH273,"="&amp;AH273)</f>
        <v>1</v>
      </c>
      <c r="BS273" t="str">
        <f>IFERROR(VLOOKUP(BA273&amp;BT273&amp;X273,game_rosters!U:W,3,FALSE),"")</f>
        <v>P100007</v>
      </c>
      <c r="BT273" t="str">
        <f t="shared" si="500"/>
        <v>Triple J</v>
      </c>
    </row>
    <row r="274" spans="1:72" x14ac:dyDescent="0.2">
      <c r="A274" t="str">
        <f t="shared" si="475"/>
        <v/>
      </c>
      <c r="E274" s="4"/>
      <c r="F274" s="45"/>
      <c r="G274" s="4"/>
      <c r="H274" s="47"/>
      <c r="I274" s="26">
        <v>73</v>
      </c>
      <c r="J274" s="26" t="str">
        <f t="shared" si="501"/>
        <v/>
      </c>
      <c r="N274" t="str">
        <f t="shared" si="395"/>
        <v/>
      </c>
      <c r="Q274" t="str">
        <f t="shared" si="513"/>
        <v/>
      </c>
      <c r="S274">
        <f>IF(A274=1,MAX($S$2:$S273)+1,IF(OR($I274&lt;&gt;"",A274="x"),$S273,""))</f>
        <v>140</v>
      </c>
      <c r="T274" t="str">
        <f>IF(D274=1,MAX($T$2:$T273)+1,IF(S274=S273,$T273,IF(D274="x",T273,IF(D273="x","",""))))</f>
        <v/>
      </c>
      <c r="U274" t="str">
        <f>IF(B274=1,MAX($U$2:$U273)+1,IF(AND($T274&lt;&gt;"",$T274=$T273),$U273,IF(B274="x",U273,"")))</f>
        <v/>
      </c>
      <c r="V274" t="str">
        <f>IF(C274=1,MAX($V$2:$V273)+1,IF(AND($T274&lt;&gt;"",$T274=$T273),$U273,IF(C274="x",V273,"")))</f>
        <v/>
      </c>
      <c r="W274" t="str" cm="1">
        <f t="array" ref="W274">IFERROR(_xlfn._xlws.FILTER(game_rosters!AC:AC,(game_rosters!J:J=events!X274)*(K274&lt;&gt;"")),"")</f>
        <v/>
      </c>
      <c r="X274" cm="1">
        <f t="array" ref="X274">IF($I274&lt;&gt;"",$I274,INDEX($I$1:$I274,ROW()-COUNTIFS($T$1:$T274,"="&amp;$T274,$S$1:$S274,"&lt;"&amp;$S274)))</f>
        <v>73</v>
      </c>
      <c r="Y274" cm="1">
        <f t="array" ref="Y274">IFERROR(IF(_xlfn._xlws.FILTER(game_rosters!$J:$J,(game_rosters!$G:$G=events!$AM274)*(game_rosters!$J:$J=events!$X274))&gt;0,1,""),"")</f>
        <v>1</v>
      </c>
      <c r="Z274" s="6">
        <f t="shared" si="476"/>
        <v>1</v>
      </c>
      <c r="AA274">
        <f t="shared" si="477"/>
        <v>1140</v>
      </c>
      <c r="AB274" t="str">
        <f t="shared" si="478"/>
        <v/>
      </c>
      <c r="AC274">
        <f t="shared" si="479"/>
        <v>1140</v>
      </c>
      <c r="AD274" t="str">
        <f t="shared" si="480"/>
        <v>13</v>
      </c>
      <c r="AE274" t="str">
        <f t="shared" si="481"/>
        <v>48</v>
      </c>
      <c r="AF274" t="str">
        <f t="shared" si="482"/>
        <v/>
      </c>
      <c r="AG274" t="str">
        <f t="shared" si="483"/>
        <v/>
      </c>
      <c r="AH274" t="str">
        <f t="shared" si="402"/>
        <v>e</v>
      </c>
      <c r="AI274" t="str">
        <f t="shared" si="507"/>
        <v>o</v>
      </c>
      <c r="AJ274" t="str">
        <f t="shared" si="507"/>
        <v>o</v>
      </c>
      <c r="AK274" t="str">
        <f t="shared" si="404"/>
        <v/>
      </c>
      <c r="AL274" t="str">
        <f t="shared" si="405"/>
        <v/>
      </c>
      <c r="AM274" t="str">
        <f t="shared" si="484"/>
        <v>Home</v>
      </c>
      <c r="AN274" t="str">
        <f t="shared" si="406"/>
        <v>h</v>
      </c>
      <c r="AO274" t="str">
        <f t="shared" si="407"/>
        <v>o</v>
      </c>
      <c r="AP274" t="str">
        <f t="shared" si="408"/>
        <v>d</v>
      </c>
      <c r="AQ274" t="str">
        <f>IF(AM274&lt;&gt;"",AM274,IF($AC274=#REF!,#REF!,""))</f>
        <v>Home</v>
      </c>
      <c r="AR274" t="str">
        <f t="shared" si="409"/>
        <v>h</v>
      </c>
      <c r="AS274" t="str">
        <f t="shared" si="410"/>
        <v>Offensive</v>
      </c>
      <c r="AT274" t="str">
        <f t="shared" si="485"/>
        <v/>
      </c>
      <c r="AU274" t="str">
        <f t="shared" si="486"/>
        <v/>
      </c>
      <c r="AV274" t="str" cm="1">
        <f t="array" ref="AV274">IFERROR(IF(O274&lt;&gt;"",O274,IF(OR($S274="",$T274=""),"",IF(O274&lt;&gt;"",O274,IF($T274&lt;&gt;"",_xlfn._xlws.FILTER(O:O,($BT:$BT=$BT274)*($I:$I=$I274)*($T:$T=$T274)*($S:$S=_xlfn.MINIFS($S:$S,$T:$T,"="&amp;$T274)),"")))))&amp;"",IF(O274="","",""))&amp;""</f>
        <v/>
      </c>
      <c r="AW274" t="str" cm="1">
        <f t="array" ref="AW274">IFERROR(IF(P274&lt;&gt;"",P274,IF(OR($S274="",$T274=""),"",IF($T274&lt;&gt;"",_xlfn._xlws.FILTER(P:P,($BT:$BT=$BT274)*($I:$I=$I274)*($T:$T=$T274)*($S:$S=_xlfn.MINIFS($S:$S,$T:$T,"="&amp;$T274)),""))))&amp;"",IF(P274="","",""))&amp;""</f>
        <v/>
      </c>
      <c r="AX274" t="str" cm="1">
        <f t="array" ref="AX274">IFERROR(IF(Q274&lt;&gt;"",Q274,IF(OR($S274="",$T274=""),"",IF($T274&lt;&gt;"",_xlfn._xlws.FILTER(Q:Q,($BT:$BT=$BT274)*($I:$I=$I274)*($T:$T=$T274)*($S:$S=_xlfn.MINIFS($S:$S,$T:$T,"="&amp;$T274)),""))))&amp;"",IF(Q274="","",""))&amp;""</f>
        <v/>
      </c>
      <c r="AY274" t="str" cm="1">
        <f t="array" ref="AY274">IFERROR(IF(R274&lt;&gt;"",R274,IF(OR($S274="",$T274=""),"",IF($T274&lt;&gt;"",_xlfn._xlws.FILTER(R:R,($BT:$BT=$BT274)*($I:$I=$I274)*($T:$T=$T274)*($S:$S=_xlfn.MINIFS($S:$S,$T:$T,"="&amp;$T274)),""))))&amp;"",IF(R274="","",""))&amp;""</f>
        <v/>
      </c>
      <c r="AZ274" s="6">
        <f t="shared" si="487"/>
        <v>25</v>
      </c>
      <c r="BA274">
        <f t="shared" ref="BA274:BC274" si="516">BA273</f>
        <v>18991</v>
      </c>
      <c r="BB274" t="str">
        <f t="shared" si="516"/>
        <v>Triple J</v>
      </c>
      <c r="BC274" t="str">
        <f t="shared" si="516"/>
        <v>Velodrome</v>
      </c>
      <c r="BD274" t="str">
        <f t="shared" si="489"/>
        <v>Pass</v>
      </c>
      <c r="BE274" t="str">
        <f t="shared" si="490"/>
        <v>Pass_Missed</v>
      </c>
      <c r="BF274" t="str">
        <f t="shared" si="491"/>
        <v>Pass-Forehand</v>
      </c>
      <c r="BG274" t="str">
        <f t="shared" si="473"/>
        <v>u</v>
      </c>
      <c r="BH274" cm="1">
        <f t="array" aca="1" ref="BH274" ca="1">IFERROR(_xlfn._xlws.FILTER(shifts!A:A,(shifts!B:B=events!Z274)*(shifts!AG:AG&gt;=events!BJ274)*(shifts!AH:AH&lt;=events!BK274)),BH273)</f>
        <v>9</v>
      </c>
      <c r="BI274" s="15">
        <f t="shared" si="492"/>
        <v>0</v>
      </c>
      <c r="BJ274">
        <f t="shared" si="493"/>
        <v>828</v>
      </c>
      <c r="BK274">
        <f t="shared" si="494"/>
        <v>828</v>
      </c>
      <c r="BL274" s="15">
        <f>SUMIFS(BI$2:BI274,K$2:K274,"=Intermission")+SUMIFS(BI$2:BI274,K$2:K274,"=Timeout")</f>
        <v>0</v>
      </c>
      <c r="BM274">
        <f t="shared" si="495"/>
        <v>0</v>
      </c>
      <c r="BN274" s="19">
        <f t="shared" si="496"/>
        <v>252</v>
      </c>
      <c r="BO274">
        <f t="shared" si="497"/>
        <v>247</v>
      </c>
      <c r="BP274" s="17">
        <f t="shared" si="498"/>
        <v>252</v>
      </c>
      <c r="BQ274" t="str">
        <f t="shared" si="499"/>
        <v>event_team_player_2</v>
      </c>
      <c r="BR274">
        <f>COUNTIFS(S$3:S274,"="&amp;S274,AH$3:AH274,"="&amp;AH274)</f>
        <v>2</v>
      </c>
      <c r="BS274" t="str">
        <f>IFERROR(VLOOKUP(BA274&amp;BT274&amp;X274,game_rosters!U:W,3,FALSE),"")</f>
        <v>P100021</v>
      </c>
      <c r="BT274" t="str">
        <f t="shared" si="500"/>
        <v>Triple J</v>
      </c>
    </row>
    <row r="275" spans="1:72" x14ac:dyDescent="0.2">
      <c r="A275" t="str">
        <f t="shared" si="475"/>
        <v/>
      </c>
      <c r="E275" s="4"/>
      <c r="F275" s="45"/>
      <c r="G275" s="4"/>
      <c r="H275" s="47"/>
      <c r="I275" s="26">
        <v>70</v>
      </c>
      <c r="J275" s="26" t="str">
        <f t="shared" si="501"/>
        <v/>
      </c>
      <c r="N275" t="str">
        <f t="shared" si="395"/>
        <v/>
      </c>
      <c r="O275" t="s">
        <v>566</v>
      </c>
      <c r="Q275" t="str">
        <f t="shared" si="513"/>
        <v/>
      </c>
      <c r="S275">
        <f>IF(A275=1,MAX($S$2:$S274)+1,IF(OR($I275&lt;&gt;"",A275="x"),$S274,""))</f>
        <v>140</v>
      </c>
      <c r="T275" t="str">
        <f>IF(D275=1,MAX($T$2:$T274)+1,IF(S275=S274,$T274,IF(D275="x",T274,IF(D274="x","",""))))</f>
        <v/>
      </c>
      <c r="U275" t="str">
        <f>IF(B275=1,MAX($U$2:$U274)+1,IF(AND($T275&lt;&gt;"",$T275=$T274),$U274,IF(B275="x",U274,"")))</f>
        <v/>
      </c>
      <c r="V275" t="str">
        <f>IF(C275=1,MAX($V$2:$V274)+1,IF(AND($T275&lt;&gt;"",$T275=$T274),$U274,IF(C275="x",V274,"")))</f>
        <v/>
      </c>
      <c r="W275" t="str" cm="1">
        <f t="array" ref="W275">IFERROR(_xlfn._xlws.FILTER(game_rosters!AC:AC,(game_rosters!J:J=events!X275)*(K275&lt;&gt;"")),"")</f>
        <v/>
      </c>
      <c r="X275" cm="1">
        <f t="array" ref="X275">IF($I275&lt;&gt;"",$I275,INDEX($I$1:$I275,ROW()-COUNTIFS($T$1:$T275,"="&amp;$T275,$S$1:$S275,"&lt;"&amp;$S275)))</f>
        <v>70</v>
      </c>
      <c r="Y275" t="str" cm="1">
        <f t="array" ref="Y275">IFERROR(IF(_xlfn._xlws.FILTER(game_rosters!$J:$J,(game_rosters!$G:$G=events!$AM275)*(game_rosters!$J:$J=events!$X275))&gt;0,1,""),"")</f>
        <v/>
      </c>
      <c r="Z275" s="6">
        <f t="shared" si="476"/>
        <v>1</v>
      </c>
      <c r="AA275">
        <f t="shared" si="477"/>
        <v>1140</v>
      </c>
      <c r="AB275" t="str">
        <f t="shared" si="478"/>
        <v/>
      </c>
      <c r="AC275">
        <f t="shared" si="479"/>
        <v>1140</v>
      </c>
      <c r="AD275" t="str">
        <f t="shared" si="480"/>
        <v>13</v>
      </c>
      <c r="AE275" t="str">
        <f t="shared" si="481"/>
        <v>48</v>
      </c>
      <c r="AF275" t="str">
        <f t="shared" si="482"/>
        <v/>
      </c>
      <c r="AG275" t="str">
        <f t="shared" si="483"/>
        <v/>
      </c>
      <c r="AH275" t="str">
        <f t="shared" si="402"/>
        <v>o</v>
      </c>
      <c r="AI275" t="str">
        <f t="shared" si="507"/>
        <v>o</v>
      </c>
      <c r="AJ275" t="str">
        <f t="shared" si="507"/>
        <v>o</v>
      </c>
      <c r="AK275" t="str">
        <f t="shared" si="404"/>
        <v/>
      </c>
      <c r="AL275" t="str">
        <f t="shared" si="405"/>
        <v/>
      </c>
      <c r="AM275" t="str">
        <f t="shared" si="484"/>
        <v>Home</v>
      </c>
      <c r="AN275" t="str">
        <f t="shared" si="406"/>
        <v>h</v>
      </c>
      <c r="AO275" t="str">
        <f t="shared" si="407"/>
        <v>o</v>
      </c>
      <c r="AP275" t="str">
        <f t="shared" si="408"/>
        <v>d</v>
      </c>
      <c r="AQ275" t="str">
        <f>IF(AM275&lt;&gt;"",AM275,IF($AC275=#REF!,#REF!,""))</f>
        <v>Home</v>
      </c>
      <c r="AR275" t="str">
        <f t="shared" si="409"/>
        <v>h</v>
      </c>
      <c r="AS275" t="str">
        <f t="shared" si="410"/>
        <v>Defensive</v>
      </c>
      <c r="AT275" t="str">
        <f t="shared" si="485"/>
        <v/>
      </c>
      <c r="AU275" t="str">
        <f t="shared" si="486"/>
        <v/>
      </c>
      <c r="AV275" t="str" cm="1">
        <f t="array" ref="AV275">IFERROR(IF(O275&lt;&gt;"",O275,IF(OR($S275="",$T275=""),"",IF(O275&lt;&gt;"",O275,IF($T275&lt;&gt;"",_xlfn._xlws.FILTER(O:O,($BT:$BT=$BT275)*($I:$I=$I275)*($T:$T=$T275)*($S:$S=_xlfn.MINIFS($S:$S,$T:$T,"="&amp;$T275)),"")))))&amp;"",IF(O275="","",""))&amp;""</f>
        <v>InShotPassLane</v>
      </c>
      <c r="AW275" t="str" cm="1">
        <f t="array" ref="AW275">IFERROR(IF(P275&lt;&gt;"",P275,IF(OR($S275="",$T275=""),"",IF($T275&lt;&gt;"",_xlfn._xlws.FILTER(P:P,($BT:$BT=$BT275)*($I:$I=$I275)*($T:$T=$T275)*($S:$S=_xlfn.MINIFS($S:$S,$T:$T,"="&amp;$T275)),""))))&amp;"",IF(P275="","",""))&amp;""</f>
        <v/>
      </c>
      <c r="AX275" t="str" cm="1">
        <f t="array" ref="AX275">IFERROR(IF(Q275&lt;&gt;"",Q275,IF(OR($S275="",$T275=""),"",IF($T275&lt;&gt;"",_xlfn._xlws.FILTER(Q:Q,($BT:$BT=$BT275)*($I:$I=$I275)*($T:$T=$T275)*($S:$S=_xlfn.MINIFS($S:$S,$T:$T,"="&amp;$T275)),""))))&amp;"",IF(Q275="","",""))&amp;""</f>
        <v/>
      </c>
      <c r="AY275" t="str" cm="1">
        <f t="array" ref="AY275">IFERROR(IF(R275&lt;&gt;"",R275,IF(OR($S275="",$T275=""),"",IF($T275&lt;&gt;"",_xlfn._xlws.FILTER(R:R,($BT:$BT=$BT275)*($I:$I=$I275)*($T:$T=$T275)*($S:$S=_xlfn.MINIFS($S:$S,$T:$T,"="&amp;$T275)),""))))&amp;"",IF(R275="","",""))&amp;""</f>
        <v/>
      </c>
      <c r="AZ275" s="6">
        <f t="shared" si="487"/>
        <v>25</v>
      </c>
      <c r="BA275">
        <f t="shared" ref="BA275:BC275" si="517">BA274</f>
        <v>18991</v>
      </c>
      <c r="BB275" t="str">
        <f t="shared" si="517"/>
        <v>Triple J</v>
      </c>
      <c r="BC275" t="str">
        <f t="shared" si="517"/>
        <v>Velodrome</v>
      </c>
      <c r="BD275" t="str">
        <f t="shared" si="489"/>
        <v>Pass</v>
      </c>
      <c r="BE275" t="str">
        <f t="shared" si="490"/>
        <v>Pass_Missed</v>
      </c>
      <c r="BF275" t="str">
        <f t="shared" si="491"/>
        <v>Pass-Forehand</v>
      </c>
      <c r="BG275" t="str">
        <f t="shared" si="473"/>
        <v>u</v>
      </c>
      <c r="BH275" cm="1">
        <f t="array" aca="1" ref="BH275" ca="1">IFERROR(_xlfn._xlws.FILTER(shifts!A:A,(shifts!B:B=events!Z275)*(shifts!AG:AG&gt;=events!BJ275)*(shifts!AH:AH&lt;=events!BK275)),BH274)</f>
        <v>9</v>
      </c>
      <c r="BI275" s="15">
        <f t="shared" si="492"/>
        <v>0</v>
      </c>
      <c r="BJ275">
        <f t="shared" si="493"/>
        <v>828</v>
      </c>
      <c r="BK275">
        <f t="shared" si="494"/>
        <v>828</v>
      </c>
      <c r="BL275" s="15">
        <f>SUMIFS(BI$2:BI275,K$2:K275,"=Intermission")+SUMIFS(BI$2:BI275,K$2:K275,"=Timeout")</f>
        <v>0</v>
      </c>
      <c r="BM275">
        <f t="shared" si="495"/>
        <v>0</v>
      </c>
      <c r="BN275" s="19">
        <f t="shared" si="496"/>
        <v>252</v>
      </c>
      <c r="BO275">
        <f t="shared" si="497"/>
        <v>247</v>
      </c>
      <c r="BP275" s="17">
        <f t="shared" si="498"/>
        <v>252</v>
      </c>
      <c r="BQ275" t="str">
        <f t="shared" si="499"/>
        <v>opp_team_player_1</v>
      </c>
      <c r="BR275">
        <f>COUNTIFS(S$3:S275,"="&amp;S275,AH$3:AH275,"="&amp;AH275)</f>
        <v>1</v>
      </c>
      <c r="BS275" t="str">
        <f>IFERROR(VLOOKUP(BA275&amp;BT275&amp;X275,game_rosters!U:W,3,FALSE),"")</f>
        <v>P100001</v>
      </c>
      <c r="BT275" t="str">
        <f t="shared" si="500"/>
        <v>Velodrome</v>
      </c>
    </row>
    <row r="276" spans="1:72" x14ac:dyDescent="0.2">
      <c r="A276">
        <f t="shared" si="475"/>
        <v>1</v>
      </c>
      <c r="E276" s="4"/>
      <c r="F276" s="45" t="s">
        <v>1031</v>
      </c>
      <c r="G276" s="4"/>
      <c r="H276" s="47" t="s">
        <v>737</v>
      </c>
      <c r="I276" s="26">
        <v>73</v>
      </c>
      <c r="J276" s="26" t="s">
        <v>368</v>
      </c>
      <c r="K276" t="s">
        <v>13</v>
      </c>
      <c r="L276" t="s">
        <v>587</v>
      </c>
      <c r="N276" t="s">
        <v>594</v>
      </c>
      <c r="O276" t="s">
        <v>907</v>
      </c>
      <c r="Q276" t="str">
        <f t="shared" si="513"/>
        <v>u</v>
      </c>
      <c r="S276">
        <f>IF(A276=1,MAX($S$2:$S275)+1,IF(OR($I276&lt;&gt;"",A276="x"),$S275,""))</f>
        <v>141</v>
      </c>
      <c r="T276" t="str">
        <f>IF(D276=1,MAX($T$2:$T275)+1,IF(S276=S275,$T275,IF(D276="x",T275,IF(D275="x","",""))))</f>
        <v/>
      </c>
      <c r="U276" t="str">
        <f>IF(B276=1,MAX($U$2:$U275)+1,IF(AND($T276&lt;&gt;"",$T276=$T275),$U275,IF(B276="x",U275,"")))</f>
        <v/>
      </c>
      <c r="V276" t="str">
        <f>IF(C276=1,MAX($V$2:$V275)+1,IF(AND($T276&lt;&gt;"",$T276=$T275),$U275,IF(C276="x",V275,"")))</f>
        <v/>
      </c>
      <c r="W276" t="str" cm="1">
        <f t="array" ref="W276">IFERROR(_xlfn._xlws.FILTER(game_rosters!AC:AC,(game_rosters!J:J=events!X276)*(K276&lt;&gt;"")),"")</f>
        <v>h</v>
      </c>
      <c r="X276" cm="1">
        <f t="array" ref="X276">IF($I276&lt;&gt;"",$I276,INDEX($I$1:$I276,ROW()-COUNTIFS($T$1:$T276,"="&amp;$T276,$S$1:$S276,"&lt;"&amp;$S276)))</f>
        <v>73</v>
      </c>
      <c r="Y276" cm="1">
        <f t="array" ref="Y276">IFERROR(IF(_xlfn._xlws.FILTER(game_rosters!$J:$J,(game_rosters!$G:$G=events!$AM276)*(game_rosters!$J:$J=events!$X276))&gt;0,1,""),"")</f>
        <v>1</v>
      </c>
      <c r="Z276" s="6">
        <f t="shared" si="476"/>
        <v>1</v>
      </c>
      <c r="AA276">
        <f t="shared" si="477"/>
        <v>1141</v>
      </c>
      <c r="AB276" t="str">
        <f t="shared" si="478"/>
        <v/>
      </c>
      <c r="AC276">
        <f t="shared" si="479"/>
        <v>1141</v>
      </c>
      <c r="AD276" t="str">
        <f t="shared" si="480"/>
        <v>13</v>
      </c>
      <c r="AE276" t="str">
        <f t="shared" si="481"/>
        <v>47</v>
      </c>
      <c r="AF276" t="str">
        <f t="shared" si="482"/>
        <v>13</v>
      </c>
      <c r="AG276" t="str">
        <f t="shared" si="483"/>
        <v>46</v>
      </c>
      <c r="AH276" t="str">
        <f t="shared" si="402"/>
        <v>e</v>
      </c>
      <c r="AI276" t="str">
        <f t="shared" si="507"/>
        <v>o</v>
      </c>
      <c r="AJ276" t="str">
        <f t="shared" si="507"/>
        <v>o</v>
      </c>
      <c r="AK276" t="str">
        <f t="shared" si="404"/>
        <v>o</v>
      </c>
      <c r="AL276" t="str">
        <f t="shared" si="405"/>
        <v>d</v>
      </c>
      <c r="AM276" t="str">
        <f t="shared" si="484"/>
        <v>Home</v>
      </c>
      <c r="AN276" t="str">
        <f t="shared" si="406"/>
        <v>h</v>
      </c>
      <c r="AO276" t="str">
        <f t="shared" si="407"/>
        <v>o</v>
      </c>
      <c r="AP276" t="str">
        <f t="shared" si="408"/>
        <v>d</v>
      </c>
      <c r="AQ276" t="str">
        <f>IF(AM276&lt;&gt;"",AM276,IF($AC276=#REF!,#REF!,""))</f>
        <v>Home</v>
      </c>
      <c r="AR276" t="str">
        <f t="shared" si="409"/>
        <v>h</v>
      </c>
      <c r="AS276" t="str">
        <f t="shared" si="410"/>
        <v>Offensive</v>
      </c>
      <c r="AT276" t="str">
        <f t="shared" si="485"/>
        <v/>
      </c>
      <c r="AU276" t="str">
        <f t="shared" si="486"/>
        <v/>
      </c>
      <c r="AV276" t="str" cm="1">
        <f t="array" ref="AV276">IFERROR(IF(O276&lt;&gt;"",O276,IF(OR($S276="",$T276=""),"",IF(O276&lt;&gt;"",O276,IF($T276&lt;&gt;"",_xlfn._xlws.FILTER(O:O,($BT:$BT=$BT276)*($I:$I=$I276)*($T:$T=$T276)*($S:$S=_xlfn.MINIFS($S:$S,$T:$T,"="&amp;$T276)),"")))))&amp;"",IF(O276="","",""))&amp;""</f>
        <v>PuckRecoveryRetreivalPass</v>
      </c>
      <c r="AW276" t="str" cm="1">
        <f t="array" ref="AW276">IFERROR(IF(P276&lt;&gt;"",P276,IF(OR($S276="",$T276=""),"",IF($T276&lt;&gt;"",_xlfn._xlws.FILTER(P:P,($BT:$BT=$BT276)*($I:$I=$I276)*($T:$T=$T276)*($S:$S=_xlfn.MINIFS($S:$S,$T:$T,"="&amp;$T276)),""))))&amp;"",IF(P276="","",""))&amp;""</f>
        <v/>
      </c>
      <c r="AX276" t="str" cm="1">
        <f t="array" ref="AX276">IFERROR(IF(Q276&lt;&gt;"",Q276,IF(OR($S276="",$T276=""),"",IF($T276&lt;&gt;"",_xlfn._xlws.FILTER(Q:Q,($BT:$BT=$BT276)*($I:$I=$I276)*($T:$T=$T276)*($S:$S=_xlfn.MINIFS($S:$S,$T:$T,"="&amp;$T276)),""))))&amp;"",IF(Q276="","",""))&amp;""</f>
        <v>u</v>
      </c>
      <c r="AY276" t="str" cm="1">
        <f t="array" ref="AY276">IFERROR(IF(R276&lt;&gt;"",R276,IF(OR($S276="",$T276=""),"",IF($T276&lt;&gt;"",_xlfn._xlws.FILTER(R:R,($BT:$BT=$BT276)*($I:$I=$I276)*($T:$T=$T276)*($S:$S=_xlfn.MINIFS($S:$S,$T:$T,"="&amp;$T276)),""))))&amp;"",IF(R276="","",""))&amp;""</f>
        <v/>
      </c>
      <c r="AZ276" s="6">
        <f t="shared" si="487"/>
        <v>25</v>
      </c>
      <c r="BA276">
        <f t="shared" ref="BA276:BC276" si="518">BA275</f>
        <v>18991</v>
      </c>
      <c r="BB276" t="str">
        <f t="shared" si="518"/>
        <v>Triple J</v>
      </c>
      <c r="BC276" t="str">
        <f t="shared" si="518"/>
        <v>Velodrome</v>
      </c>
      <c r="BD276" t="str">
        <f t="shared" si="489"/>
        <v>Possession</v>
      </c>
      <c r="BE276" t="str">
        <f t="shared" si="490"/>
        <v>PuckRecovery</v>
      </c>
      <c r="BF276" t="str">
        <f t="shared" si="491"/>
        <v/>
      </c>
      <c r="BG276" t="str">
        <f t="shared" si="473"/>
        <v>u</v>
      </c>
      <c r="BH276" cm="1">
        <f t="array" aca="1" ref="BH276" ca="1">IFERROR(_xlfn._xlws.FILTER(shifts!A:A,(shifts!B:B=events!Z276)*(shifts!AG:AG&gt;=events!BJ276)*(shifts!AH:AH&lt;=events!BK276)),BH275)</f>
        <v>9</v>
      </c>
      <c r="BI276" s="15">
        <f t="shared" si="492"/>
        <v>1</v>
      </c>
      <c r="BJ276">
        <f t="shared" si="493"/>
        <v>827</v>
      </c>
      <c r="BK276">
        <f t="shared" si="494"/>
        <v>826</v>
      </c>
      <c r="BL276" s="15">
        <f>SUMIFS(BI$2:BI276,K$2:K276,"=Intermission")+SUMIFS(BI$2:BI276,K$2:K276,"=Timeout")</f>
        <v>0</v>
      </c>
      <c r="BM276">
        <f t="shared" si="495"/>
        <v>0</v>
      </c>
      <c r="BN276" s="19">
        <f t="shared" si="496"/>
        <v>253</v>
      </c>
      <c r="BO276">
        <f t="shared" si="497"/>
        <v>248</v>
      </c>
      <c r="BP276" s="17">
        <f t="shared" si="498"/>
        <v>254</v>
      </c>
      <c r="BQ276" t="str">
        <f t="shared" si="499"/>
        <v>event_team_player_1</v>
      </c>
      <c r="BR276">
        <f>COUNTIFS(S$3:S276,"="&amp;S276,AH$3:AH276,"="&amp;AH276)</f>
        <v>1</v>
      </c>
      <c r="BS276" t="str">
        <f>IFERROR(VLOOKUP(BA276&amp;BT276&amp;X276,game_rosters!U:W,3,FALSE),"")</f>
        <v>P100021</v>
      </c>
      <c r="BT276" t="str">
        <f t="shared" si="500"/>
        <v>Triple J</v>
      </c>
    </row>
    <row r="277" spans="1:72" x14ac:dyDescent="0.2">
      <c r="A277">
        <f t="shared" si="475"/>
        <v>1</v>
      </c>
      <c r="E277" s="4"/>
      <c r="F277" s="45"/>
      <c r="G277" s="4"/>
      <c r="H277" s="47"/>
      <c r="I277" s="26">
        <v>84</v>
      </c>
      <c r="J277" s="26" t="s">
        <v>736</v>
      </c>
      <c r="K277" t="s">
        <v>9</v>
      </c>
      <c r="L277" t="s">
        <v>183</v>
      </c>
      <c r="M277" t="s">
        <v>80</v>
      </c>
      <c r="N277" t="s">
        <v>595</v>
      </c>
      <c r="O277" t="s">
        <v>156</v>
      </c>
      <c r="Q277" t="str">
        <f t="shared" si="513"/>
        <v>s</v>
      </c>
      <c r="R277" s="26">
        <v>1</v>
      </c>
      <c r="S277">
        <f>IF(A277=1,MAX($S$2:$S276)+1,IF(OR($I277&lt;&gt;"",A277="x"),$S276,""))</f>
        <v>142</v>
      </c>
      <c r="T277" t="str">
        <f>IF(D277=1,MAX($T$2:$T276)+1,IF(S277=S276,$T276,IF(D277="x",T276,IF(D276="x","",""))))</f>
        <v/>
      </c>
      <c r="U277" t="str">
        <f>IF(B277=1,MAX($U$2:$U276)+1,IF(AND($T277&lt;&gt;"",$T277=$T276),$U276,IF(B277="x",U276,"")))</f>
        <v/>
      </c>
      <c r="V277" t="str">
        <f>IF(C277=1,MAX($V$2:$V276)+1,IF(AND($T277&lt;&gt;"",$T277=$T276),$U276,IF(C277="x",V276,"")))</f>
        <v/>
      </c>
      <c r="W277" t="str" cm="1">
        <f t="array" ref="W277">IFERROR(_xlfn._xlws.FILTER(game_rosters!AC:AC,(game_rosters!J:J=events!X277)*(K277&lt;&gt;"")),"")</f>
        <v>a</v>
      </c>
      <c r="X277" cm="1">
        <f t="array" ref="X277">IF($I277&lt;&gt;"",$I277,INDEX($I$1:$I277,ROW()-COUNTIFS($T$1:$T277,"="&amp;$T277,$S$1:$S277,"&lt;"&amp;$S277)))</f>
        <v>84</v>
      </c>
      <c r="Y277" cm="1">
        <f t="array" ref="Y277">IFERROR(IF(_xlfn._xlws.FILTER(game_rosters!$J:$J,(game_rosters!$G:$G=events!$AM277)*(game_rosters!$J:$J=events!$X277))&gt;0,1,""),"")</f>
        <v>1</v>
      </c>
      <c r="Z277" s="6">
        <f t="shared" si="476"/>
        <v>1</v>
      </c>
      <c r="AA277">
        <f t="shared" si="477"/>
        <v>1142</v>
      </c>
      <c r="AB277" t="str">
        <f t="shared" si="478"/>
        <v/>
      </c>
      <c r="AC277">
        <f t="shared" si="479"/>
        <v>1142</v>
      </c>
      <c r="AD277" t="str">
        <f t="shared" si="480"/>
        <v>13</v>
      </c>
      <c r="AE277" t="str">
        <f t="shared" si="481"/>
        <v>46</v>
      </c>
      <c r="AF277" t="str">
        <f t="shared" si="482"/>
        <v/>
      </c>
      <c r="AG277" t="str">
        <f t="shared" si="483"/>
        <v/>
      </c>
      <c r="AH277" t="str">
        <f t="shared" si="402"/>
        <v>e</v>
      </c>
      <c r="AI277" t="str">
        <f t="shared" si="507"/>
        <v>d</v>
      </c>
      <c r="AJ277" t="str">
        <f t="shared" si="507"/>
        <v>d</v>
      </c>
      <c r="AK277" t="str">
        <f t="shared" si="404"/>
        <v>o</v>
      </c>
      <c r="AL277" t="str">
        <f t="shared" si="405"/>
        <v>d</v>
      </c>
      <c r="AM277" t="str">
        <f t="shared" si="484"/>
        <v>Away</v>
      </c>
      <c r="AN277" t="str">
        <f t="shared" si="406"/>
        <v>a</v>
      </c>
      <c r="AO277" t="str">
        <f t="shared" si="407"/>
        <v>o</v>
      </c>
      <c r="AP277" t="str">
        <f t="shared" si="408"/>
        <v>d</v>
      </c>
      <c r="AQ277" t="str">
        <f>IF(AM277&lt;&gt;"",AM277,IF($AC277=#REF!,#REF!,""))</f>
        <v>Away</v>
      </c>
      <c r="AR277" t="str">
        <f t="shared" si="409"/>
        <v>a</v>
      </c>
      <c r="AS277" t="str">
        <f t="shared" si="410"/>
        <v>Defensive</v>
      </c>
      <c r="AT277" t="str">
        <f t="shared" si="485"/>
        <v/>
      </c>
      <c r="AU277" t="str">
        <f t="shared" si="486"/>
        <v/>
      </c>
      <c r="AV277" t="str" cm="1">
        <f t="array" ref="AV277">IFERROR(IF(O277&lt;&gt;"",O277,IF(OR($S277="",$T277=""),"",IF(O277&lt;&gt;"",O277,IF($T277&lt;&gt;"",_xlfn._xlws.FILTER(O:O,($BT:$BT=$BT277)*($I:$I=$I277)*($T:$T=$T277)*($S:$S=_xlfn.MINIFS($S:$S,$T:$T,"="&amp;$T277)),"")))))&amp;"",IF(O277="","",""))&amp;""</f>
        <v>PokeCheck</v>
      </c>
      <c r="AW277" t="str" cm="1">
        <f t="array" ref="AW277">IFERROR(IF(P277&lt;&gt;"",P277,IF(OR($S277="",$T277=""),"",IF($T277&lt;&gt;"",_xlfn._xlws.FILTER(P:P,($BT:$BT=$BT277)*($I:$I=$I277)*($T:$T=$T277)*($S:$S=_xlfn.MINIFS($S:$S,$T:$T,"="&amp;$T277)),""))))&amp;"",IF(P277="","",""))&amp;""</f>
        <v/>
      </c>
      <c r="AX277" t="str" cm="1">
        <f t="array" ref="AX277">IFERROR(IF(Q277&lt;&gt;"",Q277,IF(OR($S277="",$T277=""),"",IF($T277&lt;&gt;"",_xlfn._xlws.FILTER(Q:Q,($BT:$BT=$BT277)*($I:$I=$I277)*($T:$T=$T277)*($S:$S=_xlfn.MINIFS($S:$S,$T:$T,"="&amp;$T277)),""))))&amp;"",IF(Q277="","",""))&amp;""</f>
        <v>s</v>
      </c>
      <c r="AY277" t="str" cm="1">
        <f t="array" ref="AY277">IFERROR(IF(R277&lt;&gt;"",R277,IF(OR($S277="",$T277=""),"",IF($T277&lt;&gt;"",_xlfn._xlws.FILTER(R:R,($BT:$BT=$BT277)*($I:$I=$I277)*($T:$T=$T277)*($S:$S=_xlfn.MINIFS($S:$S,$T:$T,"="&amp;$T277)),""))))&amp;"",IF(R277="","",""))&amp;""</f>
        <v>1</v>
      </c>
      <c r="AZ277" s="6">
        <f t="shared" si="487"/>
        <v>25</v>
      </c>
      <c r="BA277">
        <f t="shared" ref="BA277:BC277" si="519">BA276</f>
        <v>18991</v>
      </c>
      <c r="BB277" t="str">
        <f t="shared" si="519"/>
        <v>Triple J</v>
      </c>
      <c r="BC277" t="str">
        <f t="shared" si="519"/>
        <v>Velodrome</v>
      </c>
      <c r="BD277" t="str">
        <f t="shared" si="489"/>
        <v>Turnover</v>
      </c>
      <c r="BE277" t="str">
        <f t="shared" si="490"/>
        <v>Turnover_Takeaway</v>
      </c>
      <c r="BF277" t="str">
        <f t="shared" si="491"/>
        <v>Takeaway-PokeCheck</v>
      </c>
      <c r="BG277" t="str">
        <f t="shared" si="473"/>
        <v>s</v>
      </c>
      <c r="BH277" cm="1">
        <f t="array" aca="1" ref="BH277" ca="1">IFERROR(_xlfn._xlws.FILTER(shifts!A:A,(shifts!B:B=events!Z277)*(shifts!AG:AG&gt;=events!BJ277)*(shifts!AH:AH&lt;=events!BK277)),BH276)</f>
        <v>9</v>
      </c>
      <c r="BI277" s="15">
        <f t="shared" si="492"/>
        <v>0</v>
      </c>
      <c r="BJ277">
        <f t="shared" si="493"/>
        <v>826</v>
      </c>
      <c r="BK277">
        <f t="shared" si="494"/>
        <v>826</v>
      </c>
      <c r="BL277" s="15">
        <f>SUMIFS(BI$2:BI277,K$2:K277,"=Intermission")+SUMIFS(BI$2:BI277,K$2:K277,"=Timeout")</f>
        <v>0</v>
      </c>
      <c r="BM277">
        <f t="shared" si="495"/>
        <v>0</v>
      </c>
      <c r="BN277" s="19">
        <f t="shared" si="496"/>
        <v>254</v>
      </c>
      <c r="BO277">
        <f t="shared" si="497"/>
        <v>249</v>
      </c>
      <c r="BP277" s="17">
        <f t="shared" si="498"/>
        <v>254</v>
      </c>
      <c r="BQ277" t="str">
        <f t="shared" si="499"/>
        <v>event_team_player_1</v>
      </c>
      <c r="BR277">
        <f>COUNTIFS(S$3:S277,"="&amp;S277,AH$3:AH277,"="&amp;AH277)</f>
        <v>1</v>
      </c>
      <c r="BS277" t="str">
        <f>IFERROR(VLOOKUP(BA277&amp;BT277&amp;X277,game_rosters!U:W,3,FALSE),"")</f>
        <v>P100198</v>
      </c>
      <c r="BT277" t="str">
        <f t="shared" si="500"/>
        <v>Velodrome</v>
      </c>
    </row>
    <row r="278" spans="1:72" x14ac:dyDescent="0.2">
      <c r="A278" t="str">
        <f t="shared" si="475"/>
        <v/>
      </c>
      <c r="E278" s="4"/>
      <c r="F278" s="45"/>
      <c r="G278" s="4"/>
      <c r="H278" s="47"/>
      <c r="I278" s="26">
        <v>73</v>
      </c>
      <c r="J278" s="26" t="str">
        <f t="shared" si="501"/>
        <v/>
      </c>
      <c r="N278" t="str">
        <f t="shared" ref="N278:N340" si="520">IF(K278="","",IF(K278="Goal","s",IF(AND(K278="Zone_Entry_Exit",OR(ISNUMBER(SEARCH("fail",L278)),ISNUMBER(SEARCH("FromExitClear",M278)),ISNUMBER(SEARCH("miss",M278)))),"u",IF(AND(K278="Zone_Entry_Exit",OR(NOT(ISNUMBER(SEARCH("fail",L278))),NOT(ISNUMBER(SEARCH("FromExitClear",M278))),NOT(ISNUMBER(SEARCH("miss",M278))))),"s",IF(AND(OR(K278="Shot",K278="Pass"),OR(ISNUMBER(SEARCH("complete",L278)),ISNUMBER(SEARCH("goal",L278)),ISNUMBER(SEARCH("OnNet",L278)))),"s",IF(L278="Turnover_Giveaway","u",IF(AND(OR(K278="Shot",K278="Pass"),OR(ISNUMBER(SEARCH("fail",L278)),NOT(ISNUMBER(SEARCH("complete",L278))),NOT(ISNUMBER(SEARCH("OnNet",L278))))),"u","")))))))</f>
        <v/>
      </c>
      <c r="O278" t="s">
        <v>785</v>
      </c>
      <c r="Q278" t="str">
        <f t="shared" si="513"/>
        <v>u</v>
      </c>
      <c r="R278" s="26">
        <v>1</v>
      </c>
      <c r="S278">
        <f>IF(A278=1,MAX($S$2:$S277)+1,IF(OR($I278&lt;&gt;"",A278="x"),$S277,""))</f>
        <v>142</v>
      </c>
      <c r="T278" t="str">
        <f>IF(D278=1,MAX($T$2:$T277)+1,IF(S278=S277,$T277,IF(D278="x",T277,IF(D277="x","",""))))</f>
        <v/>
      </c>
      <c r="U278" t="str">
        <f>IF(B278=1,MAX($U$2:$U277)+1,IF(AND($T278&lt;&gt;"",$T278=$T277),$U277,IF(B278="x",U277,"")))</f>
        <v/>
      </c>
      <c r="V278" t="str">
        <f>IF(C278=1,MAX($V$2:$V277)+1,IF(AND($T278&lt;&gt;"",$T278=$T277),$U277,IF(C278="x",V277,"")))</f>
        <v/>
      </c>
      <c r="W278" t="str" cm="1">
        <f t="array" ref="W278">IFERROR(_xlfn._xlws.FILTER(game_rosters!AC:AC,(game_rosters!J:J=events!X278)*(K278&lt;&gt;"")),"")</f>
        <v/>
      </c>
      <c r="X278" cm="1">
        <f t="array" ref="X278">IF($I278&lt;&gt;"",$I278,INDEX($I$1:$I278,ROW()-COUNTIFS($T$1:$T278,"="&amp;$T278,$S$1:$S278,"&lt;"&amp;$S278)))</f>
        <v>73</v>
      </c>
      <c r="Y278" t="str" cm="1">
        <f t="array" ref="Y278">IFERROR(IF(_xlfn._xlws.FILTER(game_rosters!$J:$J,(game_rosters!$G:$G=events!$AM278)*(game_rosters!$J:$J=events!$X278))&gt;0,1,""),"")</f>
        <v/>
      </c>
      <c r="Z278" s="6">
        <f t="shared" si="476"/>
        <v>1</v>
      </c>
      <c r="AA278">
        <f t="shared" si="477"/>
        <v>1142</v>
      </c>
      <c r="AB278" t="str">
        <f t="shared" si="478"/>
        <v/>
      </c>
      <c r="AC278">
        <f t="shared" si="479"/>
        <v>1142</v>
      </c>
      <c r="AD278" t="str">
        <f t="shared" si="480"/>
        <v>13</v>
      </c>
      <c r="AE278" t="str">
        <f t="shared" si="481"/>
        <v>46</v>
      </c>
      <c r="AF278" t="str">
        <f t="shared" si="482"/>
        <v/>
      </c>
      <c r="AG278" t="str">
        <f t="shared" si="483"/>
        <v/>
      </c>
      <c r="AH278" t="str">
        <f t="shared" si="402"/>
        <v>o</v>
      </c>
      <c r="AI278" t="str">
        <f t="shared" si="507"/>
        <v>d</v>
      </c>
      <c r="AJ278" t="str">
        <f t="shared" si="507"/>
        <v>d</v>
      </c>
      <c r="AK278" t="str">
        <f t="shared" si="404"/>
        <v/>
      </c>
      <c r="AL278" t="str">
        <f t="shared" si="405"/>
        <v/>
      </c>
      <c r="AM278" t="str">
        <f t="shared" si="484"/>
        <v>Away</v>
      </c>
      <c r="AN278" t="str">
        <f t="shared" si="406"/>
        <v>a</v>
      </c>
      <c r="AO278" t="str">
        <f t="shared" si="407"/>
        <v>o</v>
      </c>
      <c r="AP278" t="str">
        <f t="shared" si="408"/>
        <v>d</v>
      </c>
      <c r="AQ278" t="str">
        <f>IF(AM278&lt;&gt;"",AM278,IF($AC278=#REF!,#REF!,""))</f>
        <v>Away</v>
      </c>
      <c r="AR278" t="str">
        <f t="shared" si="409"/>
        <v>a</v>
      </c>
      <c r="AS278" t="str">
        <f t="shared" si="410"/>
        <v>Offensive</v>
      </c>
      <c r="AT278" t="str">
        <f t="shared" si="485"/>
        <v/>
      </c>
      <c r="AU278" t="str">
        <f t="shared" si="486"/>
        <v/>
      </c>
      <c r="AV278" t="str" cm="1">
        <f t="array" ref="AV278">IFERROR(IF(O278&lt;&gt;"",O278,IF(OR($S278="",$T278=""),"",IF(O278&lt;&gt;"",O278,IF($T278&lt;&gt;"",_xlfn._xlws.FILTER(O:O,($BT:$BT=$BT278)*($I:$I=$I278)*($T:$T=$T278)*($S:$S=_xlfn.MINIFS($S:$S,$T:$T,"="&amp;$T278)),"")))))&amp;"",IF(O278="","",""))&amp;""</f>
        <v>LostPuck</v>
      </c>
      <c r="AW278" t="str" cm="1">
        <f t="array" ref="AW278">IFERROR(IF(P278&lt;&gt;"",P278,IF(OR($S278="",$T278=""),"",IF($T278&lt;&gt;"",_xlfn._xlws.FILTER(P:P,($BT:$BT=$BT278)*($I:$I=$I278)*($T:$T=$T278)*($S:$S=_xlfn.MINIFS($S:$S,$T:$T,"="&amp;$T278)),""))))&amp;"",IF(P278="","",""))&amp;""</f>
        <v/>
      </c>
      <c r="AX278" t="str" cm="1">
        <f t="array" ref="AX278">IFERROR(IF(Q278&lt;&gt;"",Q278,IF(OR($S278="",$T278=""),"",IF($T278&lt;&gt;"",_xlfn._xlws.FILTER(Q:Q,($BT:$BT=$BT278)*($I:$I=$I278)*($T:$T=$T278)*($S:$S=_xlfn.MINIFS($S:$S,$T:$T,"="&amp;$T278)),""))))&amp;"",IF(Q278="","",""))&amp;""</f>
        <v>u</v>
      </c>
      <c r="AY278" t="str" cm="1">
        <f t="array" ref="AY278">IFERROR(IF(R278&lt;&gt;"",R278,IF(OR($S278="",$T278=""),"",IF($T278&lt;&gt;"",_xlfn._xlws.FILTER(R:R,($BT:$BT=$BT278)*($I:$I=$I278)*($T:$T=$T278)*($S:$S=_xlfn.MINIFS($S:$S,$T:$T,"="&amp;$T278)),""))))&amp;"",IF(R278="","",""))&amp;""</f>
        <v>1</v>
      </c>
      <c r="AZ278" s="6">
        <f t="shared" si="487"/>
        <v>25</v>
      </c>
      <c r="BA278">
        <f t="shared" ref="BA278:BC278" si="521">BA277</f>
        <v>18991</v>
      </c>
      <c r="BB278" t="str">
        <f t="shared" si="521"/>
        <v>Triple J</v>
      </c>
      <c r="BC278" t="str">
        <f t="shared" si="521"/>
        <v>Velodrome</v>
      </c>
      <c r="BD278" t="str">
        <f t="shared" si="489"/>
        <v>Turnover</v>
      </c>
      <c r="BE278" t="str">
        <f t="shared" si="490"/>
        <v>Turnover_Takeaway</v>
      </c>
      <c r="BF278" t="str">
        <f t="shared" si="491"/>
        <v>Takeaway-PokeCheck</v>
      </c>
      <c r="BG278" t="str">
        <f t="shared" si="473"/>
        <v>s</v>
      </c>
      <c r="BH278" cm="1">
        <f t="array" aca="1" ref="BH278" ca="1">IFERROR(_xlfn._xlws.FILTER(shifts!A:A,(shifts!B:B=events!Z278)*(shifts!AG:AG&gt;=events!BJ278)*(shifts!AH:AH&lt;=events!BK278)),BH277)</f>
        <v>9</v>
      </c>
      <c r="BI278" s="15">
        <f t="shared" si="492"/>
        <v>0</v>
      </c>
      <c r="BJ278">
        <f t="shared" si="493"/>
        <v>826</v>
      </c>
      <c r="BK278">
        <f t="shared" si="494"/>
        <v>826</v>
      </c>
      <c r="BL278" s="15">
        <f>SUMIFS(BI$2:BI278,K$2:K278,"=Intermission")+SUMIFS(BI$2:BI278,K$2:K278,"=Timeout")</f>
        <v>0</v>
      </c>
      <c r="BM278">
        <f t="shared" si="495"/>
        <v>0</v>
      </c>
      <c r="BN278" s="19">
        <f t="shared" si="496"/>
        <v>254</v>
      </c>
      <c r="BO278">
        <f t="shared" si="497"/>
        <v>249</v>
      </c>
      <c r="BP278" s="17">
        <f t="shared" si="498"/>
        <v>254</v>
      </c>
      <c r="BQ278" t="str">
        <f t="shared" si="499"/>
        <v>opp_team_player_1</v>
      </c>
      <c r="BR278">
        <f>COUNTIFS(S$3:S278,"="&amp;S278,AH$3:AH278,"="&amp;AH278)</f>
        <v>1</v>
      </c>
      <c r="BS278" t="str">
        <f>IFERROR(VLOOKUP(BA278&amp;BT278&amp;X278,game_rosters!U:W,3,FALSE),"")</f>
        <v>P100021</v>
      </c>
      <c r="BT278" t="str">
        <f t="shared" si="500"/>
        <v>Triple J</v>
      </c>
    </row>
    <row r="279" spans="1:72" x14ac:dyDescent="0.2">
      <c r="A279">
        <f t="shared" si="475"/>
        <v>1</v>
      </c>
      <c r="E279" s="4"/>
      <c r="F279" s="45" t="s">
        <v>1049</v>
      </c>
      <c r="G279" s="4"/>
      <c r="H279" s="47" t="s">
        <v>1029</v>
      </c>
      <c r="I279" s="26">
        <v>84</v>
      </c>
      <c r="J279" s="26" t="s">
        <v>736</v>
      </c>
      <c r="K279" t="s">
        <v>13</v>
      </c>
      <c r="N279" t="str">
        <f t="shared" si="520"/>
        <v/>
      </c>
      <c r="Q279" t="str">
        <f t="shared" si="513"/>
        <v/>
      </c>
      <c r="S279">
        <f>IF(A279=1,MAX($S$2:$S278)+1,IF(OR($I279&lt;&gt;"",A279="x"),$S278,""))</f>
        <v>143</v>
      </c>
      <c r="T279" t="str">
        <f>IF(D279=1,MAX($T$2:$T278)+1,IF(S279=S278,$T278,IF(D279="x",T278,IF(D278="x","",""))))</f>
        <v/>
      </c>
      <c r="U279" t="str">
        <f>IF(B279=1,MAX($U$2:$U278)+1,IF(AND($T279&lt;&gt;"",$T279=$T278),$U278,IF(B279="x",U278,"")))</f>
        <v/>
      </c>
      <c r="V279" t="str">
        <f>IF(C279=1,MAX($V$2:$V278)+1,IF(AND($T279&lt;&gt;"",$T279=$T278),$U278,IF(C279="x",V278,"")))</f>
        <v/>
      </c>
      <c r="W279" t="str" cm="1">
        <f t="array" ref="W279">IFERROR(_xlfn._xlws.FILTER(game_rosters!AC:AC,(game_rosters!J:J=events!X279)*(K279&lt;&gt;"")),"")</f>
        <v>a</v>
      </c>
      <c r="X279" cm="1">
        <f t="array" ref="X279">IF($I279&lt;&gt;"",$I279,INDEX($I$1:$I279,ROW()-COUNTIFS($T$1:$T279,"="&amp;$T279,$S$1:$S279,"&lt;"&amp;$S279)))</f>
        <v>84</v>
      </c>
      <c r="Y279" cm="1">
        <f t="array" ref="Y279">IFERROR(IF(_xlfn._xlws.FILTER(game_rosters!$J:$J,(game_rosters!$G:$G=events!$AM279)*(game_rosters!$J:$J=events!$X279))&gt;0,1,""),"")</f>
        <v>1</v>
      </c>
      <c r="Z279" s="6">
        <f t="shared" si="476"/>
        <v>1</v>
      </c>
      <c r="AA279">
        <f t="shared" si="477"/>
        <v>1143</v>
      </c>
      <c r="AB279" t="str">
        <f t="shared" si="478"/>
        <v/>
      </c>
      <c r="AC279">
        <f t="shared" si="479"/>
        <v>1143</v>
      </c>
      <c r="AD279" t="str">
        <f t="shared" si="480"/>
        <v>13</v>
      </c>
      <c r="AE279" t="str">
        <f t="shared" si="481"/>
        <v>45</v>
      </c>
      <c r="AF279" t="str">
        <f t="shared" si="482"/>
        <v>13</v>
      </c>
      <c r="AG279" t="str">
        <f t="shared" si="483"/>
        <v>44</v>
      </c>
      <c r="AH279" t="str">
        <f t="shared" si="402"/>
        <v>e</v>
      </c>
      <c r="AI279" t="str">
        <f t="shared" si="507"/>
        <v>d</v>
      </c>
      <c r="AJ279" t="str">
        <f t="shared" si="507"/>
        <v>d</v>
      </c>
      <c r="AK279" t="str">
        <f t="shared" si="404"/>
        <v>o</v>
      </c>
      <c r="AL279" t="str">
        <f t="shared" si="405"/>
        <v>d</v>
      </c>
      <c r="AM279" t="str">
        <f t="shared" si="484"/>
        <v>Away</v>
      </c>
      <c r="AN279" t="str">
        <f t="shared" si="406"/>
        <v>a</v>
      </c>
      <c r="AO279" t="str">
        <f t="shared" si="407"/>
        <v>o</v>
      </c>
      <c r="AP279" t="str">
        <f t="shared" si="408"/>
        <v>d</v>
      </c>
      <c r="AQ279" t="str">
        <f>IF(AM279&lt;&gt;"",AM279,IF($AC279=#REF!,#REF!,""))</f>
        <v>Away</v>
      </c>
      <c r="AR279" t="str">
        <f t="shared" si="409"/>
        <v>a</v>
      </c>
      <c r="AS279" t="str">
        <f t="shared" si="410"/>
        <v>Offensive</v>
      </c>
      <c r="AT279" t="str">
        <f t="shared" si="485"/>
        <v/>
      </c>
      <c r="AU279" t="str">
        <f t="shared" si="486"/>
        <v/>
      </c>
      <c r="AV279" t="str" cm="1">
        <f t="array" ref="AV279">IFERROR(IF(O279&lt;&gt;"",O279,IF(OR($S279="",$T279=""),"",IF(O279&lt;&gt;"",O279,IF($T279&lt;&gt;"",_xlfn._xlws.FILTER(O:O,($BT:$BT=$BT279)*($I:$I=$I279)*($T:$T=$T279)*($S:$S=_xlfn.MINIFS($S:$S,$T:$T,"="&amp;$T279)),"")))))&amp;"",IF(O279="","",""))&amp;""</f>
        <v/>
      </c>
      <c r="AW279" t="str" cm="1">
        <f t="array" ref="AW279">IFERROR(IF(P279&lt;&gt;"",P279,IF(OR($S279="",$T279=""),"",IF($T279&lt;&gt;"",_xlfn._xlws.FILTER(P:P,($BT:$BT=$BT279)*($I:$I=$I279)*($T:$T=$T279)*($S:$S=_xlfn.MINIFS($S:$S,$T:$T,"="&amp;$T279)),""))))&amp;"",IF(P279="","",""))&amp;""</f>
        <v/>
      </c>
      <c r="AX279" t="str" cm="1">
        <f t="array" ref="AX279">IFERROR(IF(Q279&lt;&gt;"",Q279,IF(OR($S279="",$T279=""),"",IF($T279&lt;&gt;"",_xlfn._xlws.FILTER(Q:Q,($BT:$BT=$BT279)*($I:$I=$I279)*($T:$T=$T279)*($S:$S=_xlfn.MINIFS($S:$S,$T:$T,"="&amp;$T279)),""))))&amp;"",IF(Q279="","",""))&amp;""</f>
        <v/>
      </c>
      <c r="AY279" t="str" cm="1">
        <f t="array" ref="AY279">IFERROR(IF(R279&lt;&gt;"",R279,IF(OR($S279="",$T279=""),"",IF($T279&lt;&gt;"",_xlfn._xlws.FILTER(R:R,($BT:$BT=$BT279)*($I:$I=$I279)*($T:$T=$T279)*($S:$S=_xlfn.MINIFS($S:$S,$T:$T,"="&amp;$T279)),""))))&amp;"",IF(R279="","",""))&amp;""</f>
        <v/>
      </c>
      <c r="AZ279" s="6">
        <f t="shared" si="487"/>
        <v>25</v>
      </c>
      <c r="BA279">
        <f t="shared" ref="BA279:BC279" si="522">BA278</f>
        <v>18991</v>
      </c>
      <c r="BB279" t="str">
        <f t="shared" si="522"/>
        <v>Triple J</v>
      </c>
      <c r="BC279" t="str">
        <f t="shared" si="522"/>
        <v>Velodrome</v>
      </c>
      <c r="BD279" t="str">
        <f t="shared" si="489"/>
        <v>Possession</v>
      </c>
      <c r="BE279" t="str">
        <f t="shared" si="490"/>
        <v/>
      </c>
      <c r="BF279" t="str">
        <f t="shared" si="491"/>
        <v/>
      </c>
      <c r="BG279" t="str">
        <f t="shared" si="473"/>
        <v/>
      </c>
      <c r="BH279" cm="1">
        <f t="array" aca="1" ref="BH279" ca="1">IFERROR(_xlfn._xlws.FILTER(shifts!A:A,(shifts!B:B=events!Z279)*(shifts!AG:AG&gt;=events!BJ279)*(shifts!AH:AH&lt;=events!BK279)),BH278)</f>
        <v>9</v>
      </c>
      <c r="BI279" s="15">
        <f t="shared" si="492"/>
        <v>1</v>
      </c>
      <c r="BJ279">
        <f t="shared" si="493"/>
        <v>825</v>
      </c>
      <c r="BK279">
        <f t="shared" si="494"/>
        <v>824</v>
      </c>
      <c r="BL279" s="15">
        <f>SUMIFS(BI$2:BI279,K$2:K279,"=Intermission")+SUMIFS(BI$2:BI279,K$2:K279,"=Timeout")</f>
        <v>0</v>
      </c>
      <c r="BM279">
        <f t="shared" si="495"/>
        <v>0</v>
      </c>
      <c r="BN279" s="19">
        <f t="shared" si="496"/>
        <v>255</v>
      </c>
      <c r="BO279">
        <f t="shared" si="497"/>
        <v>250</v>
      </c>
      <c r="BP279" s="17">
        <f t="shared" si="498"/>
        <v>256</v>
      </c>
      <c r="BQ279" t="str">
        <f t="shared" si="499"/>
        <v>event_team_player_1</v>
      </c>
      <c r="BR279">
        <f>COUNTIFS(S$3:S279,"="&amp;S279,AH$3:AH279,"="&amp;AH279)</f>
        <v>1</v>
      </c>
      <c r="BS279" t="str">
        <f>IFERROR(VLOOKUP(BA279&amp;BT279&amp;X279,game_rosters!U:W,3,FALSE),"")</f>
        <v>P100198</v>
      </c>
      <c r="BT279" t="str">
        <f t="shared" si="500"/>
        <v>Velodrome</v>
      </c>
    </row>
    <row r="280" spans="1:72" x14ac:dyDescent="0.2">
      <c r="A280">
        <f t="shared" si="475"/>
        <v>1</v>
      </c>
      <c r="E280" s="4"/>
      <c r="F280" s="45"/>
      <c r="G280" s="4"/>
      <c r="H280" s="47"/>
      <c r="I280" s="26">
        <v>84</v>
      </c>
      <c r="J280" s="26" t="s">
        <v>736</v>
      </c>
      <c r="K280" t="s">
        <v>7</v>
      </c>
      <c r="L280" t="s">
        <v>172</v>
      </c>
      <c r="M280" t="s">
        <v>68</v>
      </c>
      <c r="N280" t="str">
        <f t="shared" si="520"/>
        <v>s</v>
      </c>
      <c r="Q280" t="str">
        <f t="shared" si="513"/>
        <v/>
      </c>
      <c r="S280">
        <f>IF(A280=1,MAX($S$2:$S279)+1,IF(OR($I280&lt;&gt;"",A280="x"),$S279,""))</f>
        <v>144</v>
      </c>
      <c r="T280" t="str">
        <f>IF(D280=1,MAX($T$2:$T279)+1,IF(S280=S279,$T279,IF(D280="x",T279,IF(D279="x","",""))))</f>
        <v/>
      </c>
      <c r="U280" t="str">
        <f>IF(B280=1,MAX($U$2:$U279)+1,IF(AND($T280&lt;&gt;"",$T280=$T279),$U279,IF(B280="x",U279,"")))</f>
        <v/>
      </c>
      <c r="V280" t="str">
        <f>IF(C280=1,MAX($V$2:$V279)+1,IF(AND($T280&lt;&gt;"",$T280=$T279),$U279,IF(C280="x",V279,"")))</f>
        <v/>
      </c>
      <c r="W280" t="str" cm="1">
        <f t="array" ref="W280">IFERROR(_xlfn._xlws.FILTER(game_rosters!AC:AC,(game_rosters!J:J=events!X280)*(K280&lt;&gt;"")),"")</f>
        <v>a</v>
      </c>
      <c r="X280" cm="1">
        <f t="array" ref="X280">IF($I280&lt;&gt;"",$I280,INDEX($I$1:$I280,ROW()-COUNTIFS($T$1:$T280,"="&amp;$T280,$S$1:$S280,"&lt;"&amp;$S280)))</f>
        <v>84</v>
      </c>
      <c r="Y280" cm="1">
        <f t="array" ref="Y280">IFERROR(IF(_xlfn._xlws.FILTER(game_rosters!$J:$J,(game_rosters!$G:$G=events!$AM280)*(game_rosters!$J:$J=events!$X280))&gt;0,1,""),"")</f>
        <v>1</v>
      </c>
      <c r="Z280" s="6">
        <f t="shared" si="476"/>
        <v>1</v>
      </c>
      <c r="AA280">
        <f t="shared" si="477"/>
        <v>1144</v>
      </c>
      <c r="AB280" t="str">
        <f t="shared" si="478"/>
        <v/>
      </c>
      <c r="AC280">
        <f t="shared" si="479"/>
        <v>1144</v>
      </c>
      <c r="AD280" t="str">
        <f t="shared" si="480"/>
        <v>13</v>
      </c>
      <c r="AE280" t="str">
        <f t="shared" si="481"/>
        <v>44</v>
      </c>
      <c r="AF280" t="str">
        <f t="shared" si="482"/>
        <v/>
      </c>
      <c r="AG280" t="str">
        <f t="shared" si="483"/>
        <v/>
      </c>
      <c r="AH280" t="str">
        <f t="shared" si="402"/>
        <v>e</v>
      </c>
      <c r="AI280" t="str">
        <f t="shared" si="507"/>
        <v>d</v>
      </c>
      <c r="AJ280" t="str">
        <f t="shared" si="507"/>
        <v>d</v>
      </c>
      <c r="AK280" t="str">
        <f t="shared" si="404"/>
        <v>o</v>
      </c>
      <c r="AL280" t="str">
        <f t="shared" si="405"/>
        <v>d</v>
      </c>
      <c r="AM280" t="str">
        <f t="shared" si="484"/>
        <v>Away</v>
      </c>
      <c r="AN280" t="str">
        <f t="shared" si="406"/>
        <v>a</v>
      </c>
      <c r="AO280" t="str">
        <f t="shared" si="407"/>
        <v>o</v>
      </c>
      <c r="AP280" t="str">
        <f t="shared" si="408"/>
        <v>d</v>
      </c>
      <c r="AQ280" t="str">
        <f>IF(AM280&lt;&gt;"",AM280,IF($AC280=#REF!,#REF!,""))</f>
        <v>Away</v>
      </c>
      <c r="AR280" t="str">
        <f t="shared" si="409"/>
        <v>a</v>
      </c>
      <c r="AS280" t="str">
        <f t="shared" si="410"/>
        <v>Offensive</v>
      </c>
      <c r="AT280" t="str">
        <f t="shared" si="485"/>
        <v/>
      </c>
      <c r="AU280" t="str">
        <f t="shared" si="486"/>
        <v/>
      </c>
      <c r="AV280" t="str" cm="1">
        <f t="array" ref="AV280">IFERROR(IF(O280&lt;&gt;"",O280,IF(OR($S280="",$T280=""),"",IF(O280&lt;&gt;"",O280,IF($T280&lt;&gt;"",_xlfn._xlws.FILTER(O:O,($BT:$BT=$BT280)*($I:$I=$I280)*($T:$T=$T280)*($S:$S=_xlfn.MINIFS($S:$S,$T:$T,"="&amp;$T280)),"")))))&amp;"",IF(O280="","",""))&amp;""</f>
        <v/>
      </c>
      <c r="AW280" t="str" cm="1">
        <f t="array" ref="AW280">IFERROR(IF(P280&lt;&gt;"",P280,IF(OR($S280="",$T280=""),"",IF($T280&lt;&gt;"",_xlfn._xlws.FILTER(P:P,($BT:$BT=$BT280)*($I:$I=$I280)*($T:$T=$T280)*($S:$S=_xlfn.MINIFS($S:$S,$T:$T,"="&amp;$T280)),""))))&amp;"",IF(P280="","",""))&amp;""</f>
        <v/>
      </c>
      <c r="AX280" t="str" cm="1">
        <f t="array" ref="AX280">IFERROR(IF(Q280&lt;&gt;"",Q280,IF(OR($S280="",$T280=""),"",IF($T280&lt;&gt;"",_xlfn._xlws.FILTER(Q:Q,($BT:$BT=$BT280)*($I:$I=$I280)*($T:$T=$T280)*($S:$S=_xlfn.MINIFS($S:$S,$T:$T,"="&amp;$T280)),""))))&amp;"",IF(Q280="","",""))&amp;""</f>
        <v/>
      </c>
      <c r="AY280" t="str" cm="1">
        <f t="array" ref="AY280">IFERROR(IF(R280&lt;&gt;"",R280,IF(OR($S280="",$T280=""),"",IF($T280&lt;&gt;"",_xlfn._xlws.FILTER(R:R,($BT:$BT=$BT280)*($I:$I=$I280)*($T:$T=$T280)*($S:$S=_xlfn.MINIFS($S:$S,$T:$T,"="&amp;$T280)),""))))&amp;"",IF(R280="","",""))&amp;""</f>
        <v/>
      </c>
      <c r="AZ280" s="6">
        <f t="shared" si="487"/>
        <v>25</v>
      </c>
      <c r="BA280">
        <f t="shared" ref="BA280:BC280" si="523">BA279</f>
        <v>18991</v>
      </c>
      <c r="BB280" t="str">
        <f t="shared" si="523"/>
        <v>Triple J</v>
      </c>
      <c r="BC280" t="str">
        <f t="shared" si="523"/>
        <v>Velodrome</v>
      </c>
      <c r="BD280" t="str">
        <f t="shared" si="489"/>
        <v>Pass</v>
      </c>
      <c r="BE280" t="str">
        <f t="shared" si="490"/>
        <v>Pass_Completed</v>
      </c>
      <c r="BF280" t="str">
        <f t="shared" si="491"/>
        <v>Pass-Forehand</v>
      </c>
      <c r="BG280" t="str">
        <f t="shared" si="473"/>
        <v>s</v>
      </c>
      <c r="BH280" cm="1">
        <f t="array" aca="1" ref="BH280" ca="1">IFERROR(_xlfn._xlws.FILTER(shifts!A:A,(shifts!B:B=events!Z280)*(shifts!AG:AG&gt;=events!BJ280)*(shifts!AH:AH&lt;=events!BK280)),BH279)</f>
        <v>9</v>
      </c>
      <c r="BI280" s="15">
        <f t="shared" si="492"/>
        <v>0</v>
      </c>
      <c r="BJ280">
        <f t="shared" si="493"/>
        <v>824</v>
      </c>
      <c r="BK280">
        <f t="shared" si="494"/>
        <v>824</v>
      </c>
      <c r="BL280" s="15">
        <f>SUMIFS(BI$2:BI280,K$2:K280,"=Intermission")+SUMIFS(BI$2:BI280,K$2:K280,"=Timeout")</f>
        <v>0</v>
      </c>
      <c r="BM280">
        <f t="shared" si="495"/>
        <v>0</v>
      </c>
      <c r="BN280" s="19">
        <f t="shared" si="496"/>
        <v>256</v>
      </c>
      <c r="BO280">
        <f t="shared" si="497"/>
        <v>251</v>
      </c>
      <c r="BP280" s="17">
        <f t="shared" si="498"/>
        <v>256</v>
      </c>
      <c r="BQ280" t="str">
        <f t="shared" si="499"/>
        <v>event_team_player_1</v>
      </c>
      <c r="BR280">
        <f>COUNTIFS(S$3:S280,"="&amp;S280,AH$3:AH280,"="&amp;AH280)</f>
        <v>1</v>
      </c>
      <c r="BS280" t="str">
        <f>IFERROR(VLOOKUP(BA280&amp;BT280&amp;X280,game_rosters!U:W,3,FALSE),"")</f>
        <v>P100198</v>
      </c>
      <c r="BT280" t="str">
        <f t="shared" si="500"/>
        <v>Velodrome</v>
      </c>
    </row>
    <row r="281" spans="1:72" x14ac:dyDescent="0.2">
      <c r="A281" t="str">
        <f t="shared" si="475"/>
        <v/>
      </c>
      <c r="E281" s="4"/>
      <c r="F281" s="45"/>
      <c r="G281" s="4"/>
      <c r="H281" s="47"/>
      <c r="I281" s="26">
        <v>55</v>
      </c>
      <c r="J281" s="26" t="str">
        <f t="shared" si="501"/>
        <v/>
      </c>
      <c r="N281" t="str">
        <f t="shared" si="520"/>
        <v/>
      </c>
      <c r="Q281" t="str">
        <f t="shared" si="513"/>
        <v/>
      </c>
      <c r="S281">
        <f>IF(A281=1,MAX($S$2:$S280)+1,IF(OR($I281&lt;&gt;"",A281="x"),$S280,""))</f>
        <v>144</v>
      </c>
      <c r="T281" t="str">
        <f>IF(D281=1,MAX($T$2:$T280)+1,IF(S281=S280,$T280,IF(D281="x",T280,IF(D280="x","",""))))</f>
        <v/>
      </c>
      <c r="U281" t="str">
        <f>IF(B281=1,MAX($U$2:$U280)+1,IF(AND($T281&lt;&gt;"",$T281=$T280),$U280,IF(B281="x",U280,"")))</f>
        <v/>
      </c>
      <c r="V281" t="str">
        <f>IF(C281=1,MAX($V$2:$V280)+1,IF(AND($T281&lt;&gt;"",$T281=$T280),$U280,IF(C281="x",V280,"")))</f>
        <v/>
      </c>
      <c r="W281" t="str" cm="1">
        <f t="array" ref="W281">IFERROR(_xlfn._xlws.FILTER(game_rosters!AC:AC,(game_rosters!J:J=events!X281)*(K281&lt;&gt;"")),"")</f>
        <v/>
      </c>
      <c r="X281" cm="1">
        <f t="array" ref="X281">IF($I281&lt;&gt;"",$I281,INDEX($I$1:$I281,ROW()-COUNTIFS($T$1:$T281,"="&amp;$T281,$S$1:$S281,"&lt;"&amp;$S281)))</f>
        <v>55</v>
      </c>
      <c r="Y281" cm="1">
        <f t="array" ref="Y281">IFERROR(IF(_xlfn._xlws.FILTER(game_rosters!$J:$J,(game_rosters!$G:$G=events!$AM281)*(game_rosters!$J:$J=events!$X281))&gt;0,1,""),"")</f>
        <v>1</v>
      </c>
      <c r="Z281" s="6">
        <f t="shared" si="476"/>
        <v>1</v>
      </c>
      <c r="AA281">
        <f t="shared" si="477"/>
        <v>1144</v>
      </c>
      <c r="AB281" t="str">
        <f t="shared" si="478"/>
        <v/>
      </c>
      <c r="AC281">
        <f t="shared" si="479"/>
        <v>1144</v>
      </c>
      <c r="AD281" t="str">
        <f t="shared" si="480"/>
        <v>13</v>
      </c>
      <c r="AE281" t="str">
        <f t="shared" si="481"/>
        <v>44</v>
      </c>
      <c r="AF281" t="str">
        <f t="shared" si="482"/>
        <v/>
      </c>
      <c r="AG281" t="str">
        <f t="shared" si="483"/>
        <v/>
      </c>
      <c r="AH281" t="str">
        <f t="shared" si="402"/>
        <v>e</v>
      </c>
      <c r="AI281" t="str">
        <f t="shared" si="507"/>
        <v>d</v>
      </c>
      <c r="AJ281" t="str">
        <f t="shared" si="507"/>
        <v>d</v>
      </c>
      <c r="AK281" t="str">
        <f t="shared" si="404"/>
        <v/>
      </c>
      <c r="AL281" t="str">
        <f t="shared" si="405"/>
        <v/>
      </c>
      <c r="AM281" t="str">
        <f t="shared" si="484"/>
        <v>Away</v>
      </c>
      <c r="AN281" t="str">
        <f t="shared" si="406"/>
        <v>a</v>
      </c>
      <c r="AO281" t="str">
        <f t="shared" si="407"/>
        <v>o</v>
      </c>
      <c r="AP281" t="str">
        <f t="shared" si="408"/>
        <v>d</v>
      </c>
      <c r="AQ281" t="str">
        <f>IF(AM281&lt;&gt;"",AM281,IF($AC281=#REF!,#REF!,""))</f>
        <v>Away</v>
      </c>
      <c r="AR281" t="str">
        <f t="shared" si="409"/>
        <v>a</v>
      </c>
      <c r="AS281" t="str">
        <f t="shared" si="410"/>
        <v>Offensive</v>
      </c>
      <c r="AT281" t="str">
        <f t="shared" si="485"/>
        <v/>
      </c>
      <c r="AU281" t="str">
        <f t="shared" si="486"/>
        <v/>
      </c>
      <c r="AV281" t="str" cm="1">
        <f t="array" ref="AV281">IFERROR(IF(O281&lt;&gt;"",O281,IF(OR($S281="",$T281=""),"",IF(O281&lt;&gt;"",O281,IF($T281&lt;&gt;"",_xlfn._xlws.FILTER(O:O,($BT:$BT=$BT281)*($I:$I=$I281)*($T:$T=$T281)*($S:$S=_xlfn.MINIFS($S:$S,$T:$T,"="&amp;$T281)),"")))))&amp;"",IF(O281="","",""))&amp;""</f>
        <v/>
      </c>
      <c r="AW281" t="str" cm="1">
        <f t="array" ref="AW281">IFERROR(IF(P281&lt;&gt;"",P281,IF(OR($S281="",$T281=""),"",IF($T281&lt;&gt;"",_xlfn._xlws.FILTER(P:P,($BT:$BT=$BT281)*($I:$I=$I281)*($T:$T=$T281)*($S:$S=_xlfn.MINIFS($S:$S,$T:$T,"="&amp;$T281)),""))))&amp;"",IF(P281="","",""))&amp;""</f>
        <v/>
      </c>
      <c r="AX281" t="str" cm="1">
        <f t="array" ref="AX281">IFERROR(IF(Q281&lt;&gt;"",Q281,IF(OR($S281="",$T281=""),"",IF($T281&lt;&gt;"",_xlfn._xlws.FILTER(Q:Q,($BT:$BT=$BT281)*($I:$I=$I281)*($T:$T=$T281)*($S:$S=_xlfn.MINIFS($S:$S,$T:$T,"="&amp;$T281)),""))))&amp;"",IF(Q281="","",""))&amp;""</f>
        <v/>
      </c>
      <c r="AY281" t="str" cm="1">
        <f t="array" ref="AY281">IFERROR(IF(R281&lt;&gt;"",R281,IF(OR($S281="",$T281=""),"",IF($T281&lt;&gt;"",_xlfn._xlws.FILTER(R:R,($BT:$BT=$BT281)*($I:$I=$I281)*($T:$T=$T281)*($S:$S=_xlfn.MINIFS($S:$S,$T:$T,"="&amp;$T281)),""))))&amp;"",IF(R281="","",""))&amp;""</f>
        <v/>
      </c>
      <c r="AZ281" s="6">
        <f t="shared" si="487"/>
        <v>25</v>
      </c>
      <c r="BA281">
        <f t="shared" ref="BA281:BC281" si="524">BA280</f>
        <v>18991</v>
      </c>
      <c r="BB281" t="str">
        <f t="shared" si="524"/>
        <v>Triple J</v>
      </c>
      <c r="BC281" t="str">
        <f t="shared" si="524"/>
        <v>Velodrome</v>
      </c>
      <c r="BD281" t="str">
        <f t="shared" si="489"/>
        <v>Pass</v>
      </c>
      <c r="BE281" t="str">
        <f t="shared" si="490"/>
        <v>Pass_Completed</v>
      </c>
      <c r="BF281" t="str">
        <f t="shared" si="491"/>
        <v>Pass-Forehand</v>
      </c>
      <c r="BG281" t="str">
        <f t="shared" si="473"/>
        <v>s</v>
      </c>
      <c r="BH281" cm="1">
        <f t="array" aca="1" ref="BH281" ca="1">IFERROR(_xlfn._xlws.FILTER(shifts!A:A,(shifts!B:B=events!Z281)*(shifts!AG:AG&gt;=events!BJ281)*(shifts!AH:AH&lt;=events!BK281)),BH280)</f>
        <v>9</v>
      </c>
      <c r="BI281" s="15">
        <f t="shared" si="492"/>
        <v>0</v>
      </c>
      <c r="BJ281">
        <f t="shared" si="493"/>
        <v>824</v>
      </c>
      <c r="BK281">
        <f t="shared" si="494"/>
        <v>824</v>
      </c>
      <c r="BL281" s="15">
        <f>SUMIFS(BI$2:BI281,K$2:K281,"=Intermission")+SUMIFS(BI$2:BI281,K$2:K281,"=Timeout")</f>
        <v>0</v>
      </c>
      <c r="BM281">
        <f t="shared" si="495"/>
        <v>0</v>
      </c>
      <c r="BN281" s="19">
        <f t="shared" si="496"/>
        <v>256</v>
      </c>
      <c r="BO281">
        <f t="shared" si="497"/>
        <v>251</v>
      </c>
      <c r="BP281" s="17">
        <f t="shared" si="498"/>
        <v>256</v>
      </c>
      <c r="BQ281" t="str">
        <f t="shared" si="499"/>
        <v>event_team_player_2</v>
      </c>
      <c r="BR281">
        <f>COUNTIFS(S$3:S281,"="&amp;S281,AH$3:AH281,"="&amp;AH281)</f>
        <v>2</v>
      </c>
      <c r="BS281" t="str">
        <f>IFERROR(VLOOKUP(BA281&amp;BT281&amp;X281,game_rosters!U:W,3,FALSE),"")</f>
        <v>P100064</v>
      </c>
      <c r="BT281" t="str">
        <f t="shared" si="500"/>
        <v>Velodrome</v>
      </c>
    </row>
    <row r="282" spans="1:72" x14ac:dyDescent="0.2">
      <c r="A282">
        <f t="shared" si="475"/>
        <v>1</v>
      </c>
      <c r="E282" s="4"/>
      <c r="F282" s="45" t="s">
        <v>1041</v>
      </c>
      <c r="G282" s="4"/>
      <c r="H282" s="47"/>
      <c r="I282" s="26">
        <v>55</v>
      </c>
      <c r="J282" s="26" t="s">
        <v>736</v>
      </c>
      <c r="K282" t="s">
        <v>7</v>
      </c>
      <c r="L282" t="s">
        <v>172</v>
      </c>
      <c r="M282" t="s">
        <v>68</v>
      </c>
      <c r="N282" t="str">
        <f t="shared" si="520"/>
        <v>s</v>
      </c>
      <c r="Q282" t="str">
        <f t="shared" si="513"/>
        <v/>
      </c>
      <c r="R282" s="26">
        <v>1</v>
      </c>
      <c r="S282">
        <f>IF(A282=1,MAX($S$2:$S281)+1,IF(OR($I282&lt;&gt;"",A282="x"),$S281,""))</f>
        <v>145</v>
      </c>
      <c r="T282" t="str">
        <f>IF(D282=1,MAX($T$2:$T281)+1,IF(S282=S281,$T281,IF(D282="x",T281,IF(D281="x","",""))))</f>
        <v/>
      </c>
      <c r="U282" t="str">
        <f>IF(B282=1,MAX($U$2:$U281)+1,IF(AND($T282&lt;&gt;"",$T282=$T281),$U281,IF(B282="x",U281,"")))</f>
        <v/>
      </c>
      <c r="V282" t="str">
        <f>IF(C282=1,MAX($V$2:$V281)+1,IF(AND($T282&lt;&gt;"",$T282=$T281),$U281,IF(C282="x",V281,"")))</f>
        <v/>
      </c>
      <c r="W282" t="str" cm="1">
        <f t="array" ref="W282">IFERROR(_xlfn._xlws.FILTER(game_rosters!AC:AC,(game_rosters!J:J=events!X282)*(K282&lt;&gt;"")),"")</f>
        <v>a</v>
      </c>
      <c r="X282" cm="1">
        <f t="array" ref="X282">IF($I282&lt;&gt;"",$I282,INDEX($I$1:$I282,ROW()-COUNTIFS($T$1:$T282,"="&amp;$T282,$S$1:$S282,"&lt;"&amp;$S282)))</f>
        <v>55</v>
      </c>
      <c r="Y282" cm="1">
        <f t="array" ref="Y282">IFERROR(IF(_xlfn._xlws.FILTER(game_rosters!$J:$J,(game_rosters!$G:$G=events!$AM282)*(game_rosters!$J:$J=events!$X282))&gt;0,1,""),"")</f>
        <v>1</v>
      </c>
      <c r="Z282" s="6">
        <f t="shared" si="476"/>
        <v>1</v>
      </c>
      <c r="AA282">
        <f t="shared" si="477"/>
        <v>1145</v>
      </c>
      <c r="AB282" t="str">
        <f t="shared" si="478"/>
        <v/>
      </c>
      <c r="AC282">
        <f t="shared" si="479"/>
        <v>1145</v>
      </c>
      <c r="AD282" t="str">
        <f t="shared" si="480"/>
        <v>13</v>
      </c>
      <c r="AE282" t="str">
        <f t="shared" si="481"/>
        <v>43</v>
      </c>
      <c r="AF282" t="str">
        <f t="shared" si="482"/>
        <v/>
      </c>
      <c r="AG282" t="str">
        <f t="shared" si="483"/>
        <v/>
      </c>
      <c r="AH282" t="str">
        <f t="shared" si="402"/>
        <v>e</v>
      </c>
      <c r="AI282" t="str">
        <f t="shared" si="507"/>
        <v>d</v>
      </c>
      <c r="AJ282" t="str">
        <f t="shared" si="507"/>
        <v>d</v>
      </c>
      <c r="AK282" t="str">
        <f t="shared" si="404"/>
        <v>o</v>
      </c>
      <c r="AL282" t="str">
        <f t="shared" si="405"/>
        <v>d</v>
      </c>
      <c r="AM282" t="str">
        <f t="shared" si="484"/>
        <v>Away</v>
      </c>
      <c r="AN282" t="str">
        <f t="shared" si="406"/>
        <v>a</v>
      </c>
      <c r="AO282" t="str">
        <f t="shared" si="407"/>
        <v>o</v>
      </c>
      <c r="AP282" t="str">
        <f t="shared" si="408"/>
        <v>d</v>
      </c>
      <c r="AQ282" t="str">
        <f>IF(AM282&lt;&gt;"",AM282,IF($AC282=#REF!,#REF!,""))</f>
        <v>Away</v>
      </c>
      <c r="AR282" t="str">
        <f t="shared" si="409"/>
        <v>a</v>
      </c>
      <c r="AS282" t="str">
        <f t="shared" si="410"/>
        <v>Offensive</v>
      </c>
      <c r="AT282" t="str">
        <f t="shared" si="485"/>
        <v/>
      </c>
      <c r="AU282" t="str">
        <f t="shared" si="486"/>
        <v/>
      </c>
      <c r="AV282" t="str" cm="1">
        <f t="array" ref="AV282">IFERROR(IF(O282&lt;&gt;"",O282,IF(OR($S282="",$T282=""),"",IF(O282&lt;&gt;"",O282,IF($T282&lt;&gt;"",_xlfn._xlws.FILTER(O:O,($BT:$BT=$BT282)*($I:$I=$I282)*($T:$T=$T282)*($S:$S=_xlfn.MINIFS($S:$S,$T:$T,"="&amp;$T282)),"")))))&amp;"",IF(O282="","",""))&amp;""</f>
        <v/>
      </c>
      <c r="AW282" t="str" cm="1">
        <f t="array" ref="AW282">IFERROR(IF(P282&lt;&gt;"",P282,IF(OR($S282="",$T282=""),"",IF($T282&lt;&gt;"",_xlfn._xlws.FILTER(P:P,($BT:$BT=$BT282)*($I:$I=$I282)*($T:$T=$T282)*($S:$S=_xlfn.MINIFS($S:$S,$T:$T,"="&amp;$T282)),""))))&amp;"",IF(P282="","",""))&amp;""</f>
        <v/>
      </c>
      <c r="AX282" t="str" cm="1">
        <f t="array" ref="AX282">IFERROR(IF(Q282&lt;&gt;"",Q282,IF(OR($S282="",$T282=""),"",IF($T282&lt;&gt;"",_xlfn._xlws.FILTER(Q:Q,($BT:$BT=$BT282)*($I:$I=$I282)*($T:$T=$T282)*($S:$S=_xlfn.MINIFS($S:$S,$T:$T,"="&amp;$T282)),""))))&amp;"",IF(Q282="","",""))&amp;""</f>
        <v/>
      </c>
      <c r="AY282" t="str" cm="1">
        <f t="array" ref="AY282">IFERROR(IF(R282&lt;&gt;"",R282,IF(OR($S282="",$T282=""),"",IF($T282&lt;&gt;"",_xlfn._xlws.FILTER(R:R,($BT:$BT=$BT282)*($I:$I=$I282)*($T:$T=$T282)*($S:$S=_xlfn.MINIFS($S:$S,$T:$T,"="&amp;$T282)),""))))&amp;"",IF(R282="","",""))&amp;""</f>
        <v>1</v>
      </c>
      <c r="AZ282" s="6">
        <f t="shared" si="487"/>
        <v>25</v>
      </c>
      <c r="BA282">
        <f t="shared" ref="BA282:BC282" si="525">BA281</f>
        <v>18991</v>
      </c>
      <c r="BB282" t="str">
        <f t="shared" si="525"/>
        <v>Triple J</v>
      </c>
      <c r="BC282" t="str">
        <f t="shared" si="525"/>
        <v>Velodrome</v>
      </c>
      <c r="BD282" t="str">
        <f t="shared" si="489"/>
        <v>Pass</v>
      </c>
      <c r="BE282" t="str">
        <f t="shared" si="490"/>
        <v>Pass_Completed</v>
      </c>
      <c r="BF282" t="str">
        <f t="shared" si="491"/>
        <v>Pass-Forehand</v>
      </c>
      <c r="BG282" t="str">
        <f t="shared" si="473"/>
        <v>s</v>
      </c>
      <c r="BH282" cm="1">
        <f t="array" aca="1" ref="BH282" ca="1">IFERROR(_xlfn._xlws.FILTER(shifts!A:A,(shifts!B:B=events!Z282)*(shifts!AG:AG&gt;=events!BJ282)*(shifts!AH:AH&lt;=events!BK282)),BH281)</f>
        <v>9</v>
      </c>
      <c r="BI282" s="15">
        <f t="shared" si="492"/>
        <v>0</v>
      </c>
      <c r="BJ282">
        <f t="shared" si="493"/>
        <v>823</v>
      </c>
      <c r="BK282">
        <f t="shared" si="494"/>
        <v>823</v>
      </c>
      <c r="BL282" s="15">
        <f>SUMIFS(BI$2:BI282,K$2:K282,"=Intermission")+SUMIFS(BI$2:BI282,K$2:K282,"=Timeout")</f>
        <v>0</v>
      </c>
      <c r="BM282">
        <f t="shared" si="495"/>
        <v>0</v>
      </c>
      <c r="BN282" s="19">
        <f t="shared" si="496"/>
        <v>257</v>
      </c>
      <c r="BO282">
        <f t="shared" si="497"/>
        <v>252</v>
      </c>
      <c r="BP282" s="17">
        <f t="shared" si="498"/>
        <v>257</v>
      </c>
      <c r="BQ282" t="str">
        <f t="shared" si="499"/>
        <v>event_team_player_1</v>
      </c>
      <c r="BR282">
        <f>COUNTIFS(S$3:S282,"="&amp;S282,AH$3:AH282,"="&amp;AH282)</f>
        <v>1</v>
      </c>
      <c r="BS282" t="str">
        <f>IFERROR(VLOOKUP(BA282&amp;BT282&amp;X282,game_rosters!U:W,3,FALSE),"")</f>
        <v>P100064</v>
      </c>
      <c r="BT282" t="str">
        <f t="shared" si="500"/>
        <v>Velodrome</v>
      </c>
    </row>
    <row r="283" spans="1:72" x14ac:dyDescent="0.2">
      <c r="A283" t="str">
        <f t="shared" si="475"/>
        <v/>
      </c>
      <c r="E283" s="4"/>
      <c r="F283" s="45"/>
      <c r="G283" s="4"/>
      <c r="H283" s="47"/>
      <c r="I283" s="26">
        <v>70</v>
      </c>
      <c r="J283" s="26" t="str">
        <f t="shared" si="501"/>
        <v/>
      </c>
      <c r="N283" t="str">
        <f t="shared" si="520"/>
        <v/>
      </c>
      <c r="Q283" t="str">
        <f t="shared" si="513"/>
        <v/>
      </c>
      <c r="S283">
        <f>IF(A283=1,MAX($S$2:$S282)+1,IF(OR($I283&lt;&gt;"",A283="x"),$S282,""))</f>
        <v>145</v>
      </c>
      <c r="T283" t="str">
        <f>IF(D283=1,MAX($T$2:$T282)+1,IF(S283=S282,$T282,IF(D283="x",T282,IF(D282="x","",""))))</f>
        <v/>
      </c>
      <c r="U283" t="str">
        <f>IF(B283=1,MAX($U$2:$U282)+1,IF(AND($T283&lt;&gt;"",$T283=$T282),$U282,IF(B283="x",U282,"")))</f>
        <v/>
      </c>
      <c r="V283" t="str">
        <f>IF(C283=1,MAX($V$2:$V282)+1,IF(AND($T283&lt;&gt;"",$T283=$T282),$U282,IF(C283="x",V282,"")))</f>
        <v/>
      </c>
      <c r="W283" t="str" cm="1">
        <f t="array" ref="W283">IFERROR(_xlfn._xlws.FILTER(game_rosters!AC:AC,(game_rosters!J:J=events!X283)*(K283&lt;&gt;"")),"")</f>
        <v/>
      </c>
      <c r="X283" cm="1">
        <f t="array" ref="X283">IF($I283&lt;&gt;"",$I283,INDEX($I$1:$I283,ROW()-COUNTIFS($T$1:$T283,"="&amp;$T283,$S$1:$S283,"&lt;"&amp;$S283)))</f>
        <v>70</v>
      </c>
      <c r="Y283" cm="1">
        <f t="array" ref="Y283">IFERROR(IF(_xlfn._xlws.FILTER(game_rosters!$J:$J,(game_rosters!$G:$G=events!$AM283)*(game_rosters!$J:$J=events!$X283))&gt;0,1,""),"")</f>
        <v>1</v>
      </c>
      <c r="Z283" s="6">
        <f t="shared" si="476"/>
        <v>1</v>
      </c>
      <c r="AA283">
        <f t="shared" si="477"/>
        <v>1145</v>
      </c>
      <c r="AB283" t="str">
        <f t="shared" si="478"/>
        <v/>
      </c>
      <c r="AC283">
        <f t="shared" si="479"/>
        <v>1145</v>
      </c>
      <c r="AD283" t="str">
        <f t="shared" si="480"/>
        <v>13</v>
      </c>
      <c r="AE283" t="str">
        <f t="shared" si="481"/>
        <v>43</v>
      </c>
      <c r="AF283" t="str">
        <f t="shared" si="482"/>
        <v/>
      </c>
      <c r="AG283" t="str">
        <f t="shared" si="483"/>
        <v/>
      </c>
      <c r="AH283" t="str">
        <f t="shared" ref="AH283:AH346" si="526">IF(Y283="x","",IF(Y283=1,"e","o"))</f>
        <v>e</v>
      </c>
      <c r="AI283" t="str">
        <f t="shared" ref="AI283:AJ298" si="527">IF($J283&lt;&gt;"",$J283,IF($AC283=$AC282,AI282,""))</f>
        <v>d</v>
      </c>
      <c r="AJ283" t="str">
        <f t="shared" si="527"/>
        <v>d</v>
      </c>
      <c r="AK283" t="str">
        <f t="shared" ref="AK283:AK346" si="528">IF($W283="","",IF($AI283="","",IF($W283="h",$AI283,IF($AI283="n","n",IF(AND($W283="a",$AI283="d"),"o",IF(AND($W283="a",$AI283="o"),"d"))))))</f>
        <v/>
      </c>
      <c r="AL283" t="str">
        <f t="shared" ref="AL283:AL346" si="529">IF($W283="","",IF(J283="","",IF(AK283="n","n",IF(AK283="d","o",IF(AK283="o","d","")))))</f>
        <v/>
      </c>
      <c r="AM283" t="str">
        <f t="shared" si="484"/>
        <v>Away</v>
      </c>
      <c r="AN283" t="str">
        <f t="shared" ref="AN283:AN346" si="530">IF($W283&lt;&gt;"",$W283,IF($AC283=AC282,AN282,""))</f>
        <v>a</v>
      </c>
      <c r="AO283" t="str">
        <f t="shared" ref="AO283:AO346" si="531">IF(AK283&lt;&gt;"",AK283,IF($AC283=AC282,AO282,""))</f>
        <v>o</v>
      </c>
      <c r="AP283" t="str">
        <f t="shared" ref="AP283:AP346" si="532">IF(AL283&lt;&gt;"",AL283,IF($AC283=AC282,AP282,""))</f>
        <v>d</v>
      </c>
      <c r="AQ283" t="str">
        <f>IF(AM283&lt;&gt;"",AM283,IF($AC283=#REF!,#REF!,""))</f>
        <v>Away</v>
      </c>
      <c r="AR283" t="str">
        <f t="shared" ref="AR283:AR346" si="533">IF(AN283&lt;&gt;"",AN283,IF($AC283=AC282,AQ282,""))</f>
        <v>a</v>
      </c>
      <c r="AS283" t="str">
        <f t="shared" ref="AS283:AS346" si="534">IF(AND(AH283="e",OR(BD283="Save",BE283="Turnover_Takeaway",BE283="Play_Defensive")),"Defensive",IF(AND(AH283="o",OR(BD283="Save",BE283="Turnover_Takeaway",BE283="Play_Defensive")),"Offensive",IF(OR(BD283="Deadice",BD283="Stoppage",BD283="Intermission"),"",IF(AH283="e","Offensive",IF(AH283="o","Defensive","")))))</f>
        <v>Offensive</v>
      </c>
      <c r="AT283" t="str">
        <f t="shared" si="485"/>
        <v/>
      </c>
      <c r="AU283" t="str">
        <f t="shared" si="486"/>
        <v/>
      </c>
      <c r="AV283" t="str" cm="1">
        <f t="array" ref="AV283">IFERROR(IF(O283&lt;&gt;"",O283,IF(OR($S283="",$T283=""),"",IF(O283&lt;&gt;"",O283,IF($T283&lt;&gt;"",_xlfn._xlws.FILTER(O:O,($BT:$BT=$BT283)*($I:$I=$I283)*($T:$T=$T283)*($S:$S=_xlfn.MINIFS($S:$S,$T:$T,"="&amp;$T283)),"")))))&amp;"",IF(O283="","",""))&amp;""</f>
        <v/>
      </c>
      <c r="AW283" t="str" cm="1">
        <f t="array" ref="AW283">IFERROR(IF(P283&lt;&gt;"",P283,IF(OR($S283="",$T283=""),"",IF($T283&lt;&gt;"",_xlfn._xlws.FILTER(P:P,($BT:$BT=$BT283)*($I:$I=$I283)*($T:$T=$T283)*($S:$S=_xlfn.MINIFS($S:$S,$T:$T,"="&amp;$T283)),""))))&amp;"",IF(P283="","",""))&amp;""</f>
        <v/>
      </c>
      <c r="AX283" t="str" cm="1">
        <f t="array" ref="AX283">IFERROR(IF(Q283&lt;&gt;"",Q283,IF(OR($S283="",$T283=""),"",IF($T283&lt;&gt;"",_xlfn._xlws.FILTER(Q:Q,($BT:$BT=$BT283)*($I:$I=$I283)*($T:$T=$T283)*($S:$S=_xlfn.MINIFS($S:$S,$T:$T,"="&amp;$T283)),""))))&amp;"",IF(Q283="","",""))&amp;""</f>
        <v/>
      </c>
      <c r="AY283" t="str" cm="1">
        <f t="array" ref="AY283">IFERROR(IF(R283&lt;&gt;"",R283,IF(OR($S283="",$T283=""),"",IF($T283&lt;&gt;"",_xlfn._xlws.FILTER(R:R,($BT:$BT=$BT283)*($I:$I=$I283)*($T:$T=$T283)*($S:$S=_xlfn.MINIFS($S:$S,$T:$T,"="&amp;$T283)),""))))&amp;"",IF(R283="","",""))&amp;""</f>
        <v/>
      </c>
      <c r="AZ283" s="6">
        <f t="shared" si="487"/>
        <v>25</v>
      </c>
      <c r="BA283">
        <f t="shared" ref="BA283:BC283" si="535">BA282</f>
        <v>18991</v>
      </c>
      <c r="BB283" t="str">
        <f t="shared" si="535"/>
        <v>Triple J</v>
      </c>
      <c r="BC283" t="str">
        <f t="shared" si="535"/>
        <v>Velodrome</v>
      </c>
      <c r="BD283" t="str">
        <f t="shared" si="489"/>
        <v>Pass</v>
      </c>
      <c r="BE283" t="str">
        <f t="shared" si="490"/>
        <v>Pass_Completed</v>
      </c>
      <c r="BF283" t="str">
        <f t="shared" si="491"/>
        <v>Pass-Forehand</v>
      </c>
      <c r="BG283" t="str">
        <f t="shared" si="473"/>
        <v>s</v>
      </c>
      <c r="BH283" cm="1">
        <f t="array" aca="1" ref="BH283" ca="1">IFERROR(_xlfn._xlws.FILTER(shifts!A:A,(shifts!B:B=events!Z283)*(shifts!AG:AG&gt;=events!BJ283)*(shifts!AH:AH&lt;=events!BK283)),BH282)</f>
        <v>9</v>
      </c>
      <c r="BI283" s="15">
        <f t="shared" si="492"/>
        <v>0</v>
      </c>
      <c r="BJ283">
        <f t="shared" si="493"/>
        <v>823</v>
      </c>
      <c r="BK283">
        <f t="shared" si="494"/>
        <v>823</v>
      </c>
      <c r="BL283" s="15">
        <f>SUMIFS(BI$2:BI283,K$2:K283,"=Intermission")+SUMIFS(BI$2:BI283,K$2:K283,"=Timeout")</f>
        <v>0</v>
      </c>
      <c r="BM283">
        <f t="shared" si="495"/>
        <v>0</v>
      </c>
      <c r="BN283" s="19">
        <f t="shared" si="496"/>
        <v>257</v>
      </c>
      <c r="BO283">
        <f t="shared" si="497"/>
        <v>252</v>
      </c>
      <c r="BP283" s="17">
        <f t="shared" si="498"/>
        <v>257</v>
      </c>
      <c r="BQ283" t="str">
        <f t="shared" si="499"/>
        <v>event_team_player_2</v>
      </c>
      <c r="BR283">
        <f>COUNTIFS(S$3:S283,"="&amp;S283,AH$3:AH283,"="&amp;AH283)</f>
        <v>2</v>
      </c>
      <c r="BS283" t="str">
        <f>IFERROR(VLOOKUP(BA283&amp;BT283&amp;X283,game_rosters!U:W,3,FALSE),"")</f>
        <v>P100001</v>
      </c>
      <c r="BT283" t="str">
        <f t="shared" si="500"/>
        <v>Velodrome</v>
      </c>
    </row>
    <row r="284" spans="1:72" x14ac:dyDescent="0.2">
      <c r="A284" t="str">
        <f t="shared" si="475"/>
        <v/>
      </c>
      <c r="E284" s="4"/>
      <c r="F284" s="45"/>
      <c r="G284" s="4"/>
      <c r="H284" s="47"/>
      <c r="I284" s="26">
        <v>71</v>
      </c>
      <c r="J284" s="26" t="str">
        <f t="shared" si="501"/>
        <v/>
      </c>
      <c r="N284" t="str">
        <f t="shared" si="520"/>
        <v/>
      </c>
      <c r="Q284" t="str">
        <f t="shared" si="513"/>
        <v/>
      </c>
      <c r="R284" s="26">
        <v>1</v>
      </c>
      <c r="S284">
        <f>IF(A284=1,MAX($S$2:$S283)+1,IF(OR($I284&lt;&gt;"",A284="x"),$S283,""))</f>
        <v>145</v>
      </c>
      <c r="T284" t="str">
        <f>IF(D284=1,MAX($T$2:$T283)+1,IF(S284=S283,$T283,IF(D284="x",T283,IF(D283="x","",""))))</f>
        <v/>
      </c>
      <c r="U284" t="str">
        <f>IF(B284=1,MAX($U$2:$U283)+1,IF(AND($T284&lt;&gt;"",$T284=$T283),$U283,IF(B284="x",U283,"")))</f>
        <v/>
      </c>
      <c r="V284" t="str">
        <f>IF(C284=1,MAX($V$2:$V283)+1,IF(AND($T284&lt;&gt;"",$T284=$T283),$U283,IF(C284="x",V283,"")))</f>
        <v/>
      </c>
      <c r="W284" t="str" cm="1">
        <f t="array" ref="W284">IFERROR(_xlfn._xlws.FILTER(game_rosters!AC:AC,(game_rosters!J:J=events!X284)*(K284&lt;&gt;"")),"")</f>
        <v/>
      </c>
      <c r="X284" cm="1">
        <f t="array" ref="X284">IF($I284&lt;&gt;"",$I284,INDEX($I$1:$I284,ROW()-COUNTIFS($T$1:$T284,"="&amp;$T284,$S$1:$S284,"&lt;"&amp;$S284)))</f>
        <v>71</v>
      </c>
      <c r="Y284" t="str" cm="1">
        <f t="array" ref="Y284">IFERROR(IF(_xlfn._xlws.FILTER(game_rosters!$J:$J,(game_rosters!$G:$G=events!$AM284)*(game_rosters!$J:$J=events!$X284))&gt;0,1,""),"")</f>
        <v/>
      </c>
      <c r="Z284" s="6">
        <f t="shared" si="476"/>
        <v>1</v>
      </c>
      <c r="AA284">
        <f t="shared" si="477"/>
        <v>1145</v>
      </c>
      <c r="AB284" t="str">
        <f t="shared" si="478"/>
        <v/>
      </c>
      <c r="AC284">
        <f t="shared" si="479"/>
        <v>1145</v>
      </c>
      <c r="AD284" t="str">
        <f t="shared" si="480"/>
        <v>13</v>
      </c>
      <c r="AE284" t="str">
        <f t="shared" si="481"/>
        <v>43</v>
      </c>
      <c r="AF284" t="str">
        <f t="shared" si="482"/>
        <v/>
      </c>
      <c r="AG284" t="str">
        <f t="shared" si="483"/>
        <v/>
      </c>
      <c r="AH284" t="str">
        <f t="shared" si="526"/>
        <v>o</v>
      </c>
      <c r="AI284" t="str">
        <f t="shared" si="527"/>
        <v>d</v>
      </c>
      <c r="AJ284" t="str">
        <f t="shared" si="527"/>
        <v>d</v>
      </c>
      <c r="AK284" t="str">
        <f t="shared" si="528"/>
        <v/>
      </c>
      <c r="AL284" t="str">
        <f t="shared" si="529"/>
        <v/>
      </c>
      <c r="AM284" t="str">
        <f t="shared" si="484"/>
        <v>Away</v>
      </c>
      <c r="AN284" t="str">
        <f t="shared" si="530"/>
        <v>a</v>
      </c>
      <c r="AO284" t="str">
        <f t="shared" si="531"/>
        <v>o</v>
      </c>
      <c r="AP284" t="str">
        <f t="shared" si="532"/>
        <v>d</v>
      </c>
      <c r="AQ284" t="str">
        <f>IF(AM284&lt;&gt;"",AM284,IF($AC284=#REF!,#REF!,""))</f>
        <v>Away</v>
      </c>
      <c r="AR284" t="str">
        <f t="shared" si="533"/>
        <v>a</v>
      </c>
      <c r="AS284" t="str">
        <f t="shared" si="534"/>
        <v>Defensive</v>
      </c>
      <c r="AT284" t="str">
        <f t="shared" si="485"/>
        <v/>
      </c>
      <c r="AU284" t="str">
        <f t="shared" si="486"/>
        <v/>
      </c>
      <c r="AV284" t="str" cm="1">
        <f t="array" ref="AV284">IFERROR(IF(O284&lt;&gt;"",O284,IF(OR($S284="",$T284=""),"",IF(O284&lt;&gt;"",O284,IF($T284&lt;&gt;"",_xlfn._xlws.FILTER(O:O,($BT:$BT=$BT284)*($I:$I=$I284)*($T:$T=$T284)*($S:$S=_xlfn.MINIFS($S:$S,$T:$T,"="&amp;$T284)),"")))))&amp;"",IF(O284="","",""))&amp;""</f>
        <v/>
      </c>
      <c r="AW284" t="str" cm="1">
        <f t="array" ref="AW284">IFERROR(IF(P284&lt;&gt;"",P284,IF(OR($S284="",$T284=""),"",IF($T284&lt;&gt;"",_xlfn._xlws.FILTER(P:P,($BT:$BT=$BT284)*($I:$I=$I284)*($T:$T=$T284)*($S:$S=_xlfn.MINIFS($S:$S,$T:$T,"="&amp;$T284)),""))))&amp;"",IF(P284="","",""))&amp;""</f>
        <v/>
      </c>
      <c r="AX284" t="str" cm="1">
        <f t="array" ref="AX284">IFERROR(IF(Q284&lt;&gt;"",Q284,IF(OR($S284="",$T284=""),"",IF($T284&lt;&gt;"",_xlfn._xlws.FILTER(Q:Q,($BT:$BT=$BT284)*($I:$I=$I284)*($T:$T=$T284)*($S:$S=_xlfn.MINIFS($S:$S,$T:$T,"="&amp;$T284)),""))))&amp;"",IF(Q284="","",""))&amp;""</f>
        <v/>
      </c>
      <c r="AY284" t="str" cm="1">
        <f t="array" ref="AY284">IFERROR(IF(R284&lt;&gt;"",R284,IF(OR($S284="",$T284=""),"",IF($T284&lt;&gt;"",_xlfn._xlws.FILTER(R:R,($BT:$BT=$BT284)*($I:$I=$I284)*($T:$T=$T284)*($S:$S=_xlfn.MINIFS($S:$S,$T:$T,"="&amp;$T284)),""))))&amp;"",IF(R284="","",""))&amp;""</f>
        <v>1</v>
      </c>
      <c r="AZ284" s="6">
        <f t="shared" si="487"/>
        <v>25</v>
      </c>
      <c r="BA284">
        <f t="shared" ref="BA284:BC284" si="536">BA283</f>
        <v>18991</v>
      </c>
      <c r="BB284" t="str">
        <f t="shared" si="536"/>
        <v>Triple J</v>
      </c>
      <c r="BC284" t="str">
        <f t="shared" si="536"/>
        <v>Velodrome</v>
      </c>
      <c r="BD284" t="str">
        <f t="shared" si="489"/>
        <v>Pass</v>
      </c>
      <c r="BE284" t="str">
        <f t="shared" si="490"/>
        <v>Pass_Completed</v>
      </c>
      <c r="BF284" t="str">
        <f t="shared" si="491"/>
        <v>Pass-Forehand</v>
      </c>
      <c r="BG284" t="str">
        <f t="shared" si="473"/>
        <v>s</v>
      </c>
      <c r="BH284" cm="1">
        <f t="array" aca="1" ref="BH284" ca="1">IFERROR(_xlfn._xlws.FILTER(shifts!A:A,(shifts!B:B=events!Z284)*(shifts!AG:AG&gt;=events!BJ284)*(shifts!AH:AH&lt;=events!BK284)),BH283)</f>
        <v>9</v>
      </c>
      <c r="BI284" s="15">
        <f t="shared" si="492"/>
        <v>0</v>
      </c>
      <c r="BJ284">
        <f t="shared" si="493"/>
        <v>823</v>
      </c>
      <c r="BK284">
        <f t="shared" si="494"/>
        <v>823</v>
      </c>
      <c r="BL284" s="15">
        <f>SUMIFS(BI$2:BI284,K$2:K284,"=Intermission")+SUMIFS(BI$2:BI284,K$2:K284,"=Timeout")</f>
        <v>0</v>
      </c>
      <c r="BM284">
        <f t="shared" si="495"/>
        <v>0</v>
      </c>
      <c r="BN284" s="19">
        <f t="shared" si="496"/>
        <v>257</v>
      </c>
      <c r="BO284">
        <f t="shared" si="497"/>
        <v>252</v>
      </c>
      <c r="BP284" s="17">
        <f t="shared" si="498"/>
        <v>257</v>
      </c>
      <c r="BQ284" t="str">
        <f t="shared" si="499"/>
        <v>opp_team_player_1</v>
      </c>
      <c r="BR284">
        <f>COUNTIFS(S$3:S284,"="&amp;S284,AH$3:AH284,"="&amp;AH284)</f>
        <v>1</v>
      </c>
      <c r="BS284" t="str">
        <f>IFERROR(VLOOKUP(BA284&amp;BT284&amp;X284,game_rosters!U:W,3,FALSE),"")</f>
        <v>P100008</v>
      </c>
      <c r="BT284" t="str">
        <f t="shared" si="500"/>
        <v>Triple J</v>
      </c>
    </row>
    <row r="285" spans="1:72" x14ac:dyDescent="0.2">
      <c r="A285">
        <f t="shared" si="475"/>
        <v>1</v>
      </c>
      <c r="E285" s="4"/>
      <c r="F285" s="45" t="s">
        <v>1032</v>
      </c>
      <c r="G285" s="4"/>
      <c r="H285" s="47" t="s">
        <v>1037</v>
      </c>
      <c r="I285" s="26">
        <v>70</v>
      </c>
      <c r="J285" s="26" t="str">
        <f t="shared" si="501"/>
        <v>d</v>
      </c>
      <c r="K285" t="s">
        <v>238</v>
      </c>
      <c r="L285" t="s">
        <v>184</v>
      </c>
      <c r="M285" t="s">
        <v>88</v>
      </c>
      <c r="N285" t="str">
        <f t="shared" si="520"/>
        <v>s</v>
      </c>
      <c r="Q285" t="str">
        <f t="shared" si="513"/>
        <v/>
      </c>
      <c r="S285">
        <f>IF(A285=1,MAX($S$2:$S284)+1,IF(OR($I285&lt;&gt;"",A285="x"),$S284,""))</f>
        <v>146</v>
      </c>
      <c r="T285" t="str">
        <f>IF(D285=1,MAX($T$2:$T284)+1,IF(S285=S284,$T284,IF(D285="x",T284,IF(D284="x","",""))))</f>
        <v/>
      </c>
      <c r="U285" t="str">
        <f>IF(B285=1,MAX($U$2:$U284)+1,IF(AND($T285&lt;&gt;"",$T285=$T284),$U284,IF(B285="x",U284,"")))</f>
        <v/>
      </c>
      <c r="V285" t="str">
        <f>IF(C285=1,MAX($V$2:$V284)+1,IF(AND($T285&lt;&gt;"",$T285=$T284),$U284,IF(C285="x",V284,"")))</f>
        <v/>
      </c>
      <c r="W285" t="str" cm="1">
        <f t="array" ref="W285">IFERROR(_xlfn._xlws.FILTER(game_rosters!AC:AC,(game_rosters!J:J=events!X285)*(K285&lt;&gt;"")),"")</f>
        <v>a</v>
      </c>
      <c r="X285" cm="1">
        <f t="array" ref="X285">IF($I285&lt;&gt;"",$I285,INDEX($I$1:$I285,ROW()-COUNTIFS($T$1:$T285,"="&amp;$T285,$S$1:$S285,"&lt;"&amp;$S285)))</f>
        <v>70</v>
      </c>
      <c r="Y285" cm="1">
        <f t="array" ref="Y285">IFERROR(IF(_xlfn._xlws.FILTER(game_rosters!$J:$J,(game_rosters!$G:$G=events!$AM285)*(game_rosters!$J:$J=events!$X285))&gt;0,1,""),"")</f>
        <v>1</v>
      </c>
      <c r="Z285" s="6">
        <f t="shared" si="476"/>
        <v>1</v>
      </c>
      <c r="AA285">
        <f t="shared" si="477"/>
        <v>1146</v>
      </c>
      <c r="AB285" t="str">
        <f t="shared" si="478"/>
        <v/>
      </c>
      <c r="AC285">
        <f t="shared" si="479"/>
        <v>1146</v>
      </c>
      <c r="AD285" t="str">
        <f t="shared" si="480"/>
        <v>13</v>
      </c>
      <c r="AE285" t="str">
        <f t="shared" si="481"/>
        <v>42</v>
      </c>
      <c r="AF285" t="str">
        <f t="shared" si="482"/>
        <v>13</v>
      </c>
      <c r="AG285" t="str">
        <f t="shared" si="483"/>
        <v>41</v>
      </c>
      <c r="AH285" t="str">
        <f t="shared" si="526"/>
        <v>e</v>
      </c>
      <c r="AI285" t="str">
        <f t="shared" si="527"/>
        <v>d</v>
      </c>
      <c r="AJ285" t="str">
        <f t="shared" si="527"/>
        <v>d</v>
      </c>
      <c r="AK285" t="str">
        <f t="shared" si="528"/>
        <v>o</v>
      </c>
      <c r="AL285" t="str">
        <f t="shared" si="529"/>
        <v>d</v>
      </c>
      <c r="AM285" t="str">
        <f t="shared" si="484"/>
        <v>Away</v>
      </c>
      <c r="AN285" t="str">
        <f t="shared" si="530"/>
        <v>a</v>
      </c>
      <c r="AO285" t="str">
        <f t="shared" si="531"/>
        <v>o</v>
      </c>
      <c r="AP285" t="str">
        <f t="shared" si="532"/>
        <v>d</v>
      </c>
      <c r="AQ285" t="str">
        <f>IF(AM285&lt;&gt;"",AM285,IF($AC285=#REF!,#REF!,""))</f>
        <v>Away</v>
      </c>
      <c r="AR285" t="str">
        <f t="shared" si="533"/>
        <v>a</v>
      </c>
      <c r="AS285" t="str">
        <f t="shared" si="534"/>
        <v>Offensive</v>
      </c>
      <c r="AT285" t="str">
        <f t="shared" si="485"/>
        <v/>
      </c>
      <c r="AU285" t="str">
        <f t="shared" si="486"/>
        <v/>
      </c>
      <c r="AV285" t="str" cm="1">
        <f t="array" ref="AV285">IFERROR(IF(O285&lt;&gt;"",O285,IF(OR($S285="",$T285=""),"",IF(O285&lt;&gt;"",O285,IF($T285&lt;&gt;"",_xlfn._xlws.FILTER(O:O,($BT:$BT=$BT285)*($I:$I=$I285)*($T:$T=$T285)*($S:$S=_xlfn.MINIFS($S:$S,$T:$T,"="&amp;$T285)),"")))))&amp;"",IF(O285="","",""))&amp;""</f>
        <v/>
      </c>
      <c r="AW285" t="str" cm="1">
        <f t="array" ref="AW285">IFERROR(IF(P285&lt;&gt;"",P285,IF(OR($S285="",$T285=""),"",IF($T285&lt;&gt;"",_xlfn._xlws.FILTER(P:P,($BT:$BT=$BT285)*($I:$I=$I285)*($T:$T=$T285)*($S:$S=_xlfn.MINIFS($S:$S,$T:$T,"="&amp;$T285)),""))))&amp;"",IF(P285="","",""))&amp;""</f>
        <v/>
      </c>
      <c r="AX285" t="str" cm="1">
        <f t="array" ref="AX285">IFERROR(IF(Q285&lt;&gt;"",Q285,IF(OR($S285="",$T285=""),"",IF($T285&lt;&gt;"",_xlfn._xlws.FILTER(Q:Q,($BT:$BT=$BT285)*($I:$I=$I285)*($T:$T=$T285)*($S:$S=_xlfn.MINIFS($S:$S,$T:$T,"="&amp;$T285)),""))))&amp;"",IF(Q285="","",""))&amp;""</f>
        <v/>
      </c>
      <c r="AY285" t="str" cm="1">
        <f t="array" ref="AY285">IFERROR(IF(R285&lt;&gt;"",R285,IF(OR($S285="",$T285=""),"",IF($T285&lt;&gt;"",_xlfn._xlws.FILTER(R:R,($BT:$BT=$BT285)*($I:$I=$I285)*($T:$T=$T285)*($S:$S=_xlfn.MINIFS($S:$S,$T:$T,"="&amp;$T285)),""))))&amp;"",IF(R285="","",""))&amp;""</f>
        <v/>
      </c>
      <c r="AZ285" s="6">
        <f t="shared" si="487"/>
        <v>26</v>
      </c>
      <c r="BA285">
        <f t="shared" ref="BA285:BC285" si="537">BA284</f>
        <v>18991</v>
      </c>
      <c r="BB285" t="str">
        <f t="shared" si="537"/>
        <v>Triple J</v>
      </c>
      <c r="BC285" t="str">
        <f t="shared" si="537"/>
        <v>Velodrome</v>
      </c>
      <c r="BD285" t="str">
        <f t="shared" si="489"/>
        <v>Zone_Entry_Exit</v>
      </c>
      <c r="BE285" t="str">
        <f t="shared" si="490"/>
        <v>Zone_Exit</v>
      </c>
      <c r="BF285" t="str">
        <f t="shared" si="491"/>
        <v>ZoneExit-Rush</v>
      </c>
      <c r="BG285" t="str">
        <f t="shared" si="473"/>
        <v>s</v>
      </c>
      <c r="BH285" cm="1">
        <f t="array" aca="1" ref="BH285" ca="1">IFERROR(_xlfn._xlws.FILTER(shifts!A:A,(shifts!B:B=events!Z285)*(shifts!AG:AG&gt;=events!BJ285)*(shifts!AH:AH&lt;=events!BK285)),BH284)</f>
        <v>9</v>
      </c>
      <c r="BI285" s="15">
        <f t="shared" si="492"/>
        <v>1</v>
      </c>
      <c r="BJ285">
        <f t="shared" si="493"/>
        <v>822</v>
      </c>
      <c r="BK285">
        <f t="shared" si="494"/>
        <v>821</v>
      </c>
      <c r="BL285" s="15">
        <f>SUMIFS(BI$2:BI285,K$2:K285,"=Intermission")+SUMIFS(BI$2:BI285,K$2:K285,"=Timeout")</f>
        <v>0</v>
      </c>
      <c r="BM285">
        <f t="shared" si="495"/>
        <v>0</v>
      </c>
      <c r="BN285" s="19">
        <f t="shared" si="496"/>
        <v>258</v>
      </c>
      <c r="BO285">
        <f t="shared" si="497"/>
        <v>253</v>
      </c>
      <c r="BP285" s="17">
        <f t="shared" si="498"/>
        <v>259</v>
      </c>
      <c r="BQ285" t="str">
        <f t="shared" si="499"/>
        <v>event_team_player_1</v>
      </c>
      <c r="BR285">
        <f>COUNTIFS(S$3:S285,"="&amp;S285,AH$3:AH285,"="&amp;AH285)</f>
        <v>1</v>
      </c>
      <c r="BS285" t="str">
        <f>IFERROR(VLOOKUP(BA285&amp;BT285&amp;X285,game_rosters!U:W,3,FALSE),"")</f>
        <v>P100001</v>
      </c>
      <c r="BT285" t="str">
        <f t="shared" si="500"/>
        <v>Velodrome</v>
      </c>
    </row>
    <row r="286" spans="1:72" x14ac:dyDescent="0.2">
      <c r="A286">
        <f t="shared" si="475"/>
        <v>1</v>
      </c>
      <c r="E286" s="4"/>
      <c r="F286" s="45"/>
      <c r="G286" s="4"/>
      <c r="H286" s="47" t="s">
        <v>749</v>
      </c>
      <c r="I286" s="26">
        <v>70</v>
      </c>
      <c r="J286" s="26" t="s">
        <v>734</v>
      </c>
      <c r="K286" t="s">
        <v>13</v>
      </c>
      <c r="N286" t="str">
        <f t="shared" si="520"/>
        <v/>
      </c>
      <c r="Q286" t="str">
        <f t="shared" si="513"/>
        <v/>
      </c>
      <c r="S286">
        <f>IF(A286=1,MAX($S$2:$S285)+1,IF(OR($I286&lt;&gt;"",A286="x"),$S285,""))</f>
        <v>147</v>
      </c>
      <c r="T286" t="str">
        <f>IF(D286=1,MAX($T$2:$T285)+1,IF(S286=S285,$T285,IF(D286="x",T285,IF(D285="x","",""))))</f>
        <v/>
      </c>
      <c r="U286" t="str">
        <f>IF(B286=1,MAX($U$2:$U285)+1,IF(AND($T286&lt;&gt;"",$T286=$T285),$U285,IF(B286="x",U285,"")))</f>
        <v/>
      </c>
      <c r="V286" t="str">
        <f>IF(C286=1,MAX($V$2:$V285)+1,IF(AND($T286&lt;&gt;"",$T286=$T285),$U285,IF(C286="x",V285,"")))</f>
        <v/>
      </c>
      <c r="W286" t="str" cm="1">
        <f t="array" ref="W286">IFERROR(_xlfn._xlws.FILTER(game_rosters!AC:AC,(game_rosters!J:J=events!X286)*(K286&lt;&gt;"")),"")</f>
        <v>a</v>
      </c>
      <c r="X286" cm="1">
        <f t="array" ref="X286">IF($I286&lt;&gt;"",$I286,INDEX($I$1:$I286,ROW()-COUNTIFS($T$1:$T286,"="&amp;$T286,$S$1:$S286,"&lt;"&amp;$S286)))</f>
        <v>70</v>
      </c>
      <c r="Y286" cm="1">
        <f t="array" ref="Y286">IFERROR(IF(_xlfn._xlws.FILTER(game_rosters!$J:$J,(game_rosters!$G:$G=events!$AM286)*(game_rosters!$J:$J=events!$X286))&gt;0,1,""),"")</f>
        <v>1</v>
      </c>
      <c r="Z286" s="6">
        <f t="shared" si="476"/>
        <v>1</v>
      </c>
      <c r="AA286">
        <f t="shared" si="477"/>
        <v>1147</v>
      </c>
      <c r="AB286" t="str">
        <f t="shared" si="478"/>
        <v/>
      </c>
      <c r="AC286">
        <f t="shared" si="479"/>
        <v>1147</v>
      </c>
      <c r="AD286" t="str">
        <f t="shared" si="480"/>
        <v>13</v>
      </c>
      <c r="AE286" t="str">
        <f t="shared" si="481"/>
        <v>41</v>
      </c>
      <c r="AF286" t="str">
        <f t="shared" si="482"/>
        <v>13</v>
      </c>
      <c r="AG286" t="str">
        <f t="shared" si="483"/>
        <v>39</v>
      </c>
      <c r="AH286" t="str">
        <f t="shared" si="526"/>
        <v>e</v>
      </c>
      <c r="AI286" t="str">
        <f t="shared" si="527"/>
        <v>n</v>
      </c>
      <c r="AJ286" t="str">
        <f t="shared" si="527"/>
        <v>n</v>
      </c>
      <c r="AK286" t="str">
        <f t="shared" si="528"/>
        <v>n</v>
      </c>
      <c r="AL286" t="str">
        <f t="shared" si="529"/>
        <v>n</v>
      </c>
      <c r="AM286" t="str">
        <f t="shared" si="484"/>
        <v>Away</v>
      </c>
      <c r="AN286" t="str">
        <f t="shared" si="530"/>
        <v>a</v>
      </c>
      <c r="AO286" t="str">
        <f t="shared" si="531"/>
        <v>n</v>
      </c>
      <c r="AP286" t="str">
        <f t="shared" si="532"/>
        <v>n</v>
      </c>
      <c r="AQ286" t="str">
        <f>IF(AM286&lt;&gt;"",AM286,IF($AC286=#REF!,#REF!,""))</f>
        <v>Away</v>
      </c>
      <c r="AR286" t="str">
        <f t="shared" si="533"/>
        <v>a</v>
      </c>
      <c r="AS286" t="str">
        <f t="shared" si="534"/>
        <v>Offensive</v>
      </c>
      <c r="AT286" t="str">
        <f t="shared" si="485"/>
        <v/>
      </c>
      <c r="AU286" t="str">
        <f t="shared" si="486"/>
        <v/>
      </c>
      <c r="AV286" t="str" cm="1">
        <f t="array" ref="AV286">IFERROR(IF(O286&lt;&gt;"",O286,IF(OR($S286="",$T286=""),"",IF(O286&lt;&gt;"",O286,IF($T286&lt;&gt;"",_xlfn._xlws.FILTER(O:O,($BT:$BT=$BT286)*($I:$I=$I286)*($T:$T=$T286)*($S:$S=_xlfn.MINIFS($S:$S,$T:$T,"="&amp;$T286)),"")))))&amp;"",IF(O286="","",""))&amp;""</f>
        <v/>
      </c>
      <c r="AW286" t="str" cm="1">
        <f t="array" ref="AW286">IFERROR(IF(P286&lt;&gt;"",P286,IF(OR($S286="",$T286=""),"",IF($T286&lt;&gt;"",_xlfn._xlws.FILTER(P:P,($BT:$BT=$BT286)*($I:$I=$I286)*($T:$T=$T286)*($S:$S=_xlfn.MINIFS($S:$S,$T:$T,"="&amp;$T286)),""))))&amp;"",IF(P286="","",""))&amp;""</f>
        <v/>
      </c>
      <c r="AX286" t="str" cm="1">
        <f t="array" ref="AX286">IFERROR(IF(Q286&lt;&gt;"",Q286,IF(OR($S286="",$T286=""),"",IF($T286&lt;&gt;"",_xlfn._xlws.FILTER(Q:Q,($BT:$BT=$BT286)*($I:$I=$I286)*($T:$T=$T286)*($S:$S=_xlfn.MINIFS($S:$S,$T:$T,"="&amp;$T286)),""))))&amp;"",IF(Q286="","",""))&amp;""</f>
        <v/>
      </c>
      <c r="AY286" t="str" cm="1">
        <f t="array" ref="AY286">IFERROR(IF(R286&lt;&gt;"",R286,IF(OR($S286="",$T286=""),"",IF($T286&lt;&gt;"",_xlfn._xlws.FILTER(R:R,($BT:$BT=$BT286)*($I:$I=$I286)*($T:$T=$T286)*($S:$S=_xlfn.MINIFS($S:$S,$T:$T,"="&amp;$T286)),""))))&amp;"",IF(R286="","",""))&amp;""</f>
        <v/>
      </c>
      <c r="AZ286" s="6">
        <f t="shared" si="487"/>
        <v>26</v>
      </c>
      <c r="BA286">
        <f t="shared" ref="BA286:BC286" si="538">BA285</f>
        <v>18991</v>
      </c>
      <c r="BB286" t="str">
        <f t="shared" si="538"/>
        <v>Triple J</v>
      </c>
      <c r="BC286" t="str">
        <f t="shared" si="538"/>
        <v>Velodrome</v>
      </c>
      <c r="BD286" t="str">
        <f t="shared" si="489"/>
        <v>Possession</v>
      </c>
      <c r="BE286" t="str">
        <f t="shared" si="490"/>
        <v/>
      </c>
      <c r="BF286" t="str">
        <f t="shared" si="491"/>
        <v/>
      </c>
      <c r="BG286" t="str">
        <f t="shared" si="473"/>
        <v/>
      </c>
      <c r="BH286" cm="1">
        <f t="array" aca="1" ref="BH286" ca="1">IFERROR(_xlfn._xlws.FILTER(shifts!A:A,(shifts!B:B=events!Z286)*(shifts!AG:AG&gt;=events!BJ286)*(shifts!AH:AH&lt;=events!BK286)),BH285)</f>
        <v>9</v>
      </c>
      <c r="BI286" s="15">
        <f t="shared" si="492"/>
        <v>2</v>
      </c>
      <c r="BJ286">
        <f t="shared" si="493"/>
        <v>821</v>
      </c>
      <c r="BK286">
        <f t="shared" si="494"/>
        <v>819</v>
      </c>
      <c r="BL286" s="15">
        <f>SUMIFS(BI$2:BI286,K$2:K286,"=Intermission")+SUMIFS(BI$2:BI286,K$2:K286,"=Timeout")</f>
        <v>0</v>
      </c>
      <c r="BM286">
        <f t="shared" si="495"/>
        <v>0</v>
      </c>
      <c r="BN286" s="19">
        <f t="shared" si="496"/>
        <v>259</v>
      </c>
      <c r="BO286">
        <f t="shared" si="497"/>
        <v>254</v>
      </c>
      <c r="BP286" s="17">
        <f t="shared" si="498"/>
        <v>261</v>
      </c>
      <c r="BQ286" t="str">
        <f t="shared" si="499"/>
        <v>event_team_player_1</v>
      </c>
      <c r="BR286">
        <f>COUNTIFS(S$3:S286,"="&amp;S286,AH$3:AH286,"="&amp;AH286)</f>
        <v>1</v>
      </c>
      <c r="BS286" t="str">
        <f>IFERROR(VLOOKUP(BA286&amp;BT286&amp;X286,game_rosters!U:W,3,FALSE),"")</f>
        <v>P100001</v>
      </c>
      <c r="BT286" t="str">
        <f t="shared" si="500"/>
        <v>Velodrome</v>
      </c>
    </row>
    <row r="287" spans="1:72" x14ac:dyDescent="0.2">
      <c r="A287">
        <f t="shared" si="475"/>
        <v>1</v>
      </c>
      <c r="E287" s="4"/>
      <c r="F287" s="45"/>
      <c r="G287" s="4"/>
      <c r="H287" s="47" t="s">
        <v>1035</v>
      </c>
      <c r="I287" s="26">
        <v>70</v>
      </c>
      <c r="J287" s="26" t="str">
        <f t="shared" si="501"/>
        <v>o</v>
      </c>
      <c r="K287" t="s">
        <v>238</v>
      </c>
      <c r="L287" t="s">
        <v>174</v>
      </c>
      <c r="M287" t="s">
        <v>85</v>
      </c>
      <c r="N287" t="str">
        <f t="shared" si="520"/>
        <v>s</v>
      </c>
      <c r="Q287" t="str">
        <f t="shared" si="513"/>
        <v/>
      </c>
      <c r="S287">
        <f>IF(A287=1,MAX($S$2:$S286)+1,IF(OR($I287&lt;&gt;"",A287="x"),$S286,""))</f>
        <v>148</v>
      </c>
      <c r="T287" t="str">
        <f>IF(D287=1,MAX($T$2:$T286)+1,IF(S287=S286,$T286,IF(D287="x",T286,IF(D286="x","",""))))</f>
        <v/>
      </c>
      <c r="U287" t="str">
        <f>IF(B287=1,MAX($U$2:$U286)+1,IF(AND($T287&lt;&gt;"",$T287=$T286),$U286,IF(B287="x",U286,"")))</f>
        <v/>
      </c>
      <c r="V287" t="str">
        <f>IF(C287=1,MAX($V$2:$V286)+1,IF(AND($T287&lt;&gt;"",$T287=$T286),$U286,IF(C287="x",V286,"")))</f>
        <v/>
      </c>
      <c r="W287" t="str" cm="1">
        <f t="array" ref="W287">IFERROR(_xlfn._xlws.FILTER(game_rosters!AC:AC,(game_rosters!J:J=events!X287)*(K287&lt;&gt;"")),"")</f>
        <v>a</v>
      </c>
      <c r="X287" cm="1">
        <f t="array" ref="X287">IF($I287&lt;&gt;"",$I287,INDEX($I$1:$I287,ROW()-COUNTIFS($T$1:$T287,"="&amp;$T287,$S$1:$S287,"&lt;"&amp;$S287)))</f>
        <v>70</v>
      </c>
      <c r="Y287" cm="1">
        <f t="array" ref="Y287">IFERROR(IF(_xlfn._xlws.FILTER(game_rosters!$J:$J,(game_rosters!$G:$G=events!$AM287)*(game_rosters!$J:$J=events!$X287))&gt;0,1,""),"")</f>
        <v>1</v>
      </c>
      <c r="Z287" s="6">
        <f t="shared" si="476"/>
        <v>1</v>
      </c>
      <c r="AA287">
        <f t="shared" si="477"/>
        <v>1148</v>
      </c>
      <c r="AB287" t="str">
        <f t="shared" si="478"/>
        <v/>
      </c>
      <c r="AC287">
        <f t="shared" si="479"/>
        <v>1148</v>
      </c>
      <c r="AD287" t="str">
        <f t="shared" si="480"/>
        <v>13</v>
      </c>
      <c r="AE287" t="str">
        <f t="shared" si="481"/>
        <v>39</v>
      </c>
      <c r="AF287" t="str">
        <f t="shared" si="482"/>
        <v>13</v>
      </c>
      <c r="AG287" t="str">
        <f t="shared" si="483"/>
        <v>38</v>
      </c>
      <c r="AH287" t="str">
        <f t="shared" si="526"/>
        <v>e</v>
      </c>
      <c r="AI287" t="str">
        <f t="shared" si="527"/>
        <v>o</v>
      </c>
      <c r="AJ287" t="str">
        <f t="shared" si="527"/>
        <v>o</v>
      </c>
      <c r="AK287" t="str">
        <f t="shared" si="528"/>
        <v>d</v>
      </c>
      <c r="AL287" t="str">
        <f t="shared" si="529"/>
        <v>o</v>
      </c>
      <c r="AM287" t="str">
        <f t="shared" si="484"/>
        <v>Away</v>
      </c>
      <c r="AN287" t="str">
        <f t="shared" si="530"/>
        <v>a</v>
      </c>
      <c r="AO287" t="str">
        <f t="shared" si="531"/>
        <v>d</v>
      </c>
      <c r="AP287" t="str">
        <f t="shared" si="532"/>
        <v>o</v>
      </c>
      <c r="AQ287" t="str">
        <f>IF(AM287&lt;&gt;"",AM287,IF($AC287=#REF!,#REF!,""))</f>
        <v>Away</v>
      </c>
      <c r="AR287" t="str">
        <f t="shared" si="533"/>
        <v>a</v>
      </c>
      <c r="AS287" t="str">
        <f t="shared" si="534"/>
        <v>Offensive</v>
      </c>
      <c r="AT287" t="str">
        <f t="shared" si="485"/>
        <v/>
      </c>
      <c r="AU287" t="str">
        <f t="shared" si="486"/>
        <v/>
      </c>
      <c r="AV287" t="str" cm="1">
        <f t="array" ref="AV287">IFERROR(IF(O287&lt;&gt;"",O287,IF(OR($S287="",$T287=""),"",IF(O287&lt;&gt;"",O287,IF($T287&lt;&gt;"",_xlfn._xlws.FILTER(O:O,($BT:$BT=$BT287)*($I:$I=$I287)*($T:$T=$T287)*($S:$S=_xlfn.MINIFS($S:$S,$T:$T,"="&amp;$T287)),"")))))&amp;"",IF(O287="","",""))&amp;""</f>
        <v/>
      </c>
      <c r="AW287" t="str" cm="1">
        <f t="array" ref="AW287">IFERROR(IF(P287&lt;&gt;"",P287,IF(OR($S287="",$T287=""),"",IF($T287&lt;&gt;"",_xlfn._xlws.FILTER(P:P,($BT:$BT=$BT287)*($I:$I=$I287)*($T:$T=$T287)*($S:$S=_xlfn.MINIFS($S:$S,$T:$T,"="&amp;$T287)),""))))&amp;"",IF(P287="","",""))&amp;""</f>
        <v/>
      </c>
      <c r="AX287" t="str" cm="1">
        <f t="array" ref="AX287">IFERROR(IF(Q287&lt;&gt;"",Q287,IF(OR($S287="",$T287=""),"",IF($T287&lt;&gt;"",_xlfn._xlws.FILTER(Q:Q,($BT:$BT=$BT287)*($I:$I=$I287)*($T:$T=$T287)*($S:$S=_xlfn.MINIFS($S:$S,$T:$T,"="&amp;$T287)),""))))&amp;"",IF(Q287="","",""))&amp;""</f>
        <v/>
      </c>
      <c r="AY287" t="str" cm="1">
        <f t="array" ref="AY287">IFERROR(IF(R287&lt;&gt;"",R287,IF(OR($S287="",$T287=""),"",IF($T287&lt;&gt;"",_xlfn._xlws.FILTER(R:R,($BT:$BT=$BT287)*($I:$I=$I287)*($T:$T=$T287)*($S:$S=_xlfn.MINIFS($S:$S,$T:$T,"="&amp;$T287)),""))))&amp;"",IF(R287="","",""))&amp;""</f>
        <v/>
      </c>
      <c r="AZ287" s="6">
        <f t="shared" si="487"/>
        <v>27</v>
      </c>
      <c r="BA287">
        <f t="shared" ref="BA287:BC287" si="539">BA286</f>
        <v>18991</v>
      </c>
      <c r="BB287" t="str">
        <f t="shared" si="539"/>
        <v>Triple J</v>
      </c>
      <c r="BC287" t="str">
        <f t="shared" si="539"/>
        <v>Velodrome</v>
      </c>
      <c r="BD287" t="str">
        <f t="shared" si="489"/>
        <v>Zone_Entry_Exit</v>
      </c>
      <c r="BE287" t="str">
        <f t="shared" si="490"/>
        <v>Zone_Entry</v>
      </c>
      <c r="BF287" t="str">
        <f t="shared" si="491"/>
        <v>ZoneEntry-Rush</v>
      </c>
      <c r="BG287" t="str">
        <f t="shared" si="473"/>
        <v>s</v>
      </c>
      <c r="BH287" cm="1">
        <f t="array" aca="1" ref="BH287" ca="1">IFERROR(_xlfn._xlws.FILTER(shifts!A:A,(shifts!B:B=events!Z287)*(shifts!AG:AG&gt;=events!BJ287)*(shifts!AH:AH&lt;=events!BK287)),BH286)</f>
        <v>9</v>
      </c>
      <c r="BI287" s="15">
        <f t="shared" si="492"/>
        <v>1</v>
      </c>
      <c r="BJ287">
        <f t="shared" si="493"/>
        <v>819</v>
      </c>
      <c r="BK287">
        <f t="shared" si="494"/>
        <v>818</v>
      </c>
      <c r="BL287" s="15">
        <f>SUMIFS(BI$2:BI287,K$2:K287,"=Intermission")+SUMIFS(BI$2:BI287,K$2:K287,"=Timeout")</f>
        <v>0</v>
      </c>
      <c r="BM287">
        <f t="shared" si="495"/>
        <v>0</v>
      </c>
      <c r="BN287" s="19">
        <f t="shared" si="496"/>
        <v>261</v>
      </c>
      <c r="BO287">
        <f t="shared" si="497"/>
        <v>256</v>
      </c>
      <c r="BP287" s="17">
        <f t="shared" si="498"/>
        <v>262</v>
      </c>
      <c r="BQ287" t="str">
        <f t="shared" si="499"/>
        <v>event_team_player_1</v>
      </c>
      <c r="BR287">
        <f>COUNTIFS(S$3:S287,"="&amp;S287,AH$3:AH287,"="&amp;AH287)</f>
        <v>1</v>
      </c>
      <c r="BS287" t="str">
        <f>IFERROR(VLOOKUP(BA287&amp;BT287&amp;X287,game_rosters!U:W,3,FALSE),"")</f>
        <v>P100001</v>
      </c>
      <c r="BT287" t="str">
        <f t="shared" si="500"/>
        <v>Velodrome</v>
      </c>
    </row>
    <row r="288" spans="1:72" x14ac:dyDescent="0.2">
      <c r="A288" t="str">
        <f t="shared" si="475"/>
        <v/>
      </c>
      <c r="E288" s="4"/>
      <c r="F288" s="45"/>
      <c r="G288" s="4"/>
      <c r="H288" s="47"/>
      <c r="I288" s="26">
        <v>61</v>
      </c>
      <c r="J288" s="26" t="str">
        <f t="shared" si="501"/>
        <v/>
      </c>
      <c r="N288" t="str">
        <f t="shared" si="520"/>
        <v/>
      </c>
      <c r="Q288" t="str">
        <f t="shared" si="513"/>
        <v/>
      </c>
      <c r="S288">
        <f>IF(A288=1,MAX($S$2:$S287)+1,IF(OR($I288&lt;&gt;"",A288="x"),$S287,""))</f>
        <v>148</v>
      </c>
      <c r="T288" t="str">
        <f>IF(D288=1,MAX($T$2:$T287)+1,IF(S288=S287,$T287,IF(D288="x",T287,IF(D287="x","",""))))</f>
        <v/>
      </c>
      <c r="U288" t="str">
        <f>IF(B288=1,MAX($U$2:$U287)+1,IF(AND($T288&lt;&gt;"",$T288=$T287),$U287,IF(B288="x",U287,"")))</f>
        <v/>
      </c>
      <c r="V288" t="str">
        <f>IF(C288=1,MAX($V$2:$V287)+1,IF(AND($T288&lt;&gt;"",$T288=$T287),$U287,IF(C288="x",V287,"")))</f>
        <v/>
      </c>
      <c r="W288" t="str" cm="1">
        <f t="array" ref="W288">IFERROR(_xlfn._xlws.FILTER(game_rosters!AC:AC,(game_rosters!J:J=events!X288)*(K288&lt;&gt;"")),"")</f>
        <v/>
      </c>
      <c r="X288" cm="1">
        <f t="array" ref="X288">IF($I288&lt;&gt;"",$I288,INDEX($I$1:$I288,ROW()-COUNTIFS($T$1:$T288,"="&amp;$T288,$S$1:$S288,"&lt;"&amp;$S288)))</f>
        <v>61</v>
      </c>
      <c r="Y288" cm="1">
        <f t="array" ref="Y288">IFERROR(IF(_xlfn._xlws.FILTER(game_rosters!$J:$J,(game_rosters!$G:$G=events!$AM288)*(game_rosters!$J:$J=events!$X288))&gt;0,1,""),"")</f>
        <v>1</v>
      </c>
      <c r="Z288" s="6">
        <f t="shared" si="476"/>
        <v>1</v>
      </c>
      <c r="AA288">
        <f t="shared" si="477"/>
        <v>1148</v>
      </c>
      <c r="AB288" t="str">
        <f t="shared" si="478"/>
        <v/>
      </c>
      <c r="AC288">
        <f t="shared" si="479"/>
        <v>1148</v>
      </c>
      <c r="AD288" t="str">
        <f t="shared" si="480"/>
        <v>13</v>
      </c>
      <c r="AE288" t="str">
        <f t="shared" si="481"/>
        <v>39</v>
      </c>
      <c r="AF288" t="str">
        <f t="shared" si="482"/>
        <v>13</v>
      </c>
      <c r="AG288" t="str">
        <f t="shared" si="483"/>
        <v>38</v>
      </c>
      <c r="AH288" t="str">
        <f t="shared" si="526"/>
        <v>e</v>
      </c>
      <c r="AI288" t="str">
        <f t="shared" si="527"/>
        <v>o</v>
      </c>
      <c r="AJ288" t="str">
        <f t="shared" si="527"/>
        <v>o</v>
      </c>
      <c r="AK288" t="str">
        <f t="shared" si="528"/>
        <v/>
      </c>
      <c r="AL288" t="str">
        <f t="shared" si="529"/>
        <v/>
      </c>
      <c r="AM288" t="str">
        <f t="shared" si="484"/>
        <v>Away</v>
      </c>
      <c r="AN288" t="str">
        <f t="shared" si="530"/>
        <v>a</v>
      </c>
      <c r="AO288" t="str">
        <f t="shared" si="531"/>
        <v>d</v>
      </c>
      <c r="AP288" t="str">
        <f t="shared" si="532"/>
        <v>o</v>
      </c>
      <c r="AQ288" t="str">
        <f>IF(AM288&lt;&gt;"",AM288,IF($AC288=#REF!,#REF!,""))</f>
        <v>Away</v>
      </c>
      <c r="AR288" t="str">
        <f t="shared" si="533"/>
        <v>a</v>
      </c>
      <c r="AS288" t="str">
        <f t="shared" si="534"/>
        <v>Offensive</v>
      </c>
      <c r="AT288" t="str">
        <f t="shared" si="485"/>
        <v/>
      </c>
      <c r="AU288" t="str">
        <f t="shared" si="486"/>
        <v/>
      </c>
      <c r="AV288" t="str" cm="1">
        <f t="array" ref="AV288">IFERROR(IF(O288&lt;&gt;"",O288,IF(OR($S288="",$T288=""),"",IF(O288&lt;&gt;"",O288,IF($T288&lt;&gt;"",_xlfn._xlws.FILTER(O:O,($BT:$BT=$BT288)*($I:$I=$I288)*($T:$T=$T288)*($S:$S=_xlfn.MINIFS($S:$S,$T:$T,"="&amp;$T288)),"")))))&amp;"",IF(O288="","",""))&amp;""</f>
        <v/>
      </c>
      <c r="AW288" t="str" cm="1">
        <f t="array" ref="AW288">IFERROR(IF(P288&lt;&gt;"",P288,IF(OR($S288="",$T288=""),"",IF($T288&lt;&gt;"",_xlfn._xlws.FILTER(P:P,($BT:$BT=$BT288)*($I:$I=$I288)*($T:$T=$T288)*($S:$S=_xlfn.MINIFS($S:$S,$T:$T,"="&amp;$T288)),""))))&amp;"",IF(P288="","",""))&amp;""</f>
        <v/>
      </c>
      <c r="AX288" t="str" cm="1">
        <f t="array" ref="AX288">IFERROR(IF(Q288&lt;&gt;"",Q288,IF(OR($S288="",$T288=""),"",IF($T288&lt;&gt;"",_xlfn._xlws.FILTER(Q:Q,($BT:$BT=$BT288)*($I:$I=$I288)*($T:$T=$T288)*($S:$S=_xlfn.MINIFS($S:$S,$T:$T,"="&amp;$T288)),""))))&amp;"",IF(Q288="","",""))&amp;""</f>
        <v/>
      </c>
      <c r="AY288" t="str" cm="1">
        <f t="array" ref="AY288">IFERROR(IF(R288&lt;&gt;"",R288,IF(OR($S288="",$T288=""),"",IF($T288&lt;&gt;"",_xlfn._xlws.FILTER(R:R,($BT:$BT=$BT288)*($I:$I=$I288)*($T:$T=$T288)*($S:$S=_xlfn.MINIFS($S:$S,$T:$T,"="&amp;$T288)),""))))&amp;"",IF(R288="","",""))&amp;""</f>
        <v/>
      </c>
      <c r="AZ288" s="6">
        <f t="shared" si="487"/>
        <v>27</v>
      </c>
      <c r="BA288">
        <f t="shared" ref="BA288:BC288" si="540">BA287</f>
        <v>18991</v>
      </c>
      <c r="BB288" t="str">
        <f t="shared" si="540"/>
        <v>Triple J</v>
      </c>
      <c r="BC288" t="str">
        <f t="shared" si="540"/>
        <v>Velodrome</v>
      </c>
      <c r="BD288" t="str">
        <f t="shared" si="489"/>
        <v>Zone_Entry_Exit</v>
      </c>
      <c r="BE288" t="str">
        <f t="shared" si="490"/>
        <v>Zone_Entry</v>
      </c>
      <c r="BF288" t="str">
        <f t="shared" si="491"/>
        <v>ZoneEntry-Rush</v>
      </c>
      <c r="BG288" t="str">
        <f t="shared" si="473"/>
        <v>s</v>
      </c>
      <c r="BH288" cm="1">
        <f t="array" aca="1" ref="BH288" ca="1">IFERROR(_xlfn._xlws.FILTER(shifts!A:A,(shifts!B:B=events!Z288)*(shifts!AG:AG&gt;=events!BJ288)*(shifts!AH:AH&lt;=events!BK288)),BH287)</f>
        <v>9</v>
      </c>
      <c r="BI288" s="15">
        <f t="shared" si="492"/>
        <v>1</v>
      </c>
      <c r="BJ288">
        <f t="shared" si="493"/>
        <v>819</v>
      </c>
      <c r="BK288">
        <f t="shared" si="494"/>
        <v>818</v>
      </c>
      <c r="BL288" s="15">
        <f>SUMIFS(BI$2:BI288,K$2:K288,"=Intermission")+SUMIFS(BI$2:BI288,K$2:K288,"=Timeout")</f>
        <v>0</v>
      </c>
      <c r="BM288">
        <f t="shared" si="495"/>
        <v>0</v>
      </c>
      <c r="BN288" s="19">
        <f t="shared" si="496"/>
        <v>261</v>
      </c>
      <c r="BO288">
        <f t="shared" si="497"/>
        <v>256</v>
      </c>
      <c r="BP288" s="17">
        <f t="shared" si="498"/>
        <v>262</v>
      </c>
      <c r="BQ288" t="str">
        <f t="shared" si="499"/>
        <v>event_team_player_2</v>
      </c>
      <c r="BR288">
        <f>COUNTIFS(S$3:S288,"="&amp;S288,AH$3:AH288,"="&amp;AH288)</f>
        <v>2</v>
      </c>
      <c r="BS288" t="str">
        <f>IFERROR(VLOOKUP(BA288&amp;BT288&amp;X288,game_rosters!U:W,3,FALSE),"")</f>
        <v>P100224</v>
      </c>
      <c r="BT288" t="str">
        <f t="shared" si="500"/>
        <v>Velodrome</v>
      </c>
    </row>
    <row r="289" spans="1:72" x14ac:dyDescent="0.2">
      <c r="A289" t="str">
        <f t="shared" si="475"/>
        <v/>
      </c>
      <c r="E289" s="4"/>
      <c r="F289" s="45"/>
      <c r="G289" s="4"/>
      <c r="H289" s="47"/>
      <c r="I289" s="26">
        <v>10</v>
      </c>
      <c r="J289" s="26" t="str">
        <f t="shared" si="501"/>
        <v/>
      </c>
      <c r="N289" t="str">
        <f t="shared" si="520"/>
        <v/>
      </c>
      <c r="Q289" t="str">
        <f t="shared" si="513"/>
        <v/>
      </c>
      <c r="S289">
        <f>IF(A289=1,MAX($S$2:$S288)+1,IF(OR($I289&lt;&gt;"",A289="x"),$S288,""))</f>
        <v>148</v>
      </c>
      <c r="T289" t="str">
        <f>IF(D289=1,MAX($T$2:$T288)+1,IF(S289=S288,$T288,IF(D289="x",T288,IF(D288="x","",""))))</f>
        <v/>
      </c>
      <c r="U289" t="str">
        <f>IF(B289=1,MAX($U$2:$U288)+1,IF(AND($T289&lt;&gt;"",$T289=$T288),$U288,IF(B289="x",U288,"")))</f>
        <v/>
      </c>
      <c r="V289" t="str">
        <f>IF(C289=1,MAX($V$2:$V288)+1,IF(AND($T289&lt;&gt;"",$T289=$T288),$U288,IF(C289="x",V288,"")))</f>
        <v/>
      </c>
      <c r="W289" t="str" cm="1">
        <f t="array" ref="W289">IFERROR(_xlfn._xlws.FILTER(game_rosters!AC:AC,(game_rosters!J:J=events!X289)*(K289&lt;&gt;"")),"")</f>
        <v/>
      </c>
      <c r="X289" cm="1">
        <f t="array" ref="X289">IF($I289&lt;&gt;"",$I289,INDEX($I$1:$I289,ROW()-COUNTIFS($T$1:$T289,"="&amp;$T289,$S$1:$S289,"&lt;"&amp;$S289)))</f>
        <v>10</v>
      </c>
      <c r="Y289" t="str" cm="1">
        <f t="array" ref="Y289">IFERROR(IF(_xlfn._xlws.FILTER(game_rosters!$J:$J,(game_rosters!$G:$G=events!$AM289)*(game_rosters!$J:$J=events!$X289))&gt;0,1,""),"")</f>
        <v/>
      </c>
      <c r="Z289" s="6">
        <f t="shared" si="476"/>
        <v>1</v>
      </c>
      <c r="AA289">
        <f t="shared" si="477"/>
        <v>1148</v>
      </c>
      <c r="AB289" t="str">
        <f t="shared" si="478"/>
        <v/>
      </c>
      <c r="AC289">
        <f t="shared" si="479"/>
        <v>1148</v>
      </c>
      <c r="AD289" t="str">
        <f t="shared" si="480"/>
        <v>13</v>
      </c>
      <c r="AE289" t="str">
        <f t="shared" si="481"/>
        <v>39</v>
      </c>
      <c r="AF289" t="str">
        <f t="shared" si="482"/>
        <v>13</v>
      </c>
      <c r="AG289" t="str">
        <f t="shared" si="483"/>
        <v>38</v>
      </c>
      <c r="AH289" t="str">
        <f t="shared" si="526"/>
        <v>o</v>
      </c>
      <c r="AI289" t="str">
        <f t="shared" si="527"/>
        <v>o</v>
      </c>
      <c r="AJ289" t="str">
        <f t="shared" si="527"/>
        <v>o</v>
      </c>
      <c r="AK289" t="str">
        <f t="shared" si="528"/>
        <v/>
      </c>
      <c r="AL289" t="str">
        <f t="shared" si="529"/>
        <v/>
      </c>
      <c r="AM289" t="str">
        <f t="shared" si="484"/>
        <v>Away</v>
      </c>
      <c r="AN289" t="str">
        <f t="shared" si="530"/>
        <v>a</v>
      </c>
      <c r="AO289" t="str">
        <f t="shared" si="531"/>
        <v>d</v>
      </c>
      <c r="AP289" t="str">
        <f t="shared" si="532"/>
        <v>o</v>
      </c>
      <c r="AQ289" t="str">
        <f>IF(AM289&lt;&gt;"",AM289,IF($AC289=#REF!,#REF!,""))</f>
        <v>Away</v>
      </c>
      <c r="AR289" t="str">
        <f t="shared" si="533"/>
        <v>a</v>
      </c>
      <c r="AS289" t="str">
        <f t="shared" si="534"/>
        <v>Defensive</v>
      </c>
      <c r="AT289" t="str">
        <f t="shared" si="485"/>
        <v/>
      </c>
      <c r="AU289" t="str">
        <f t="shared" si="486"/>
        <v/>
      </c>
      <c r="AV289" t="str" cm="1">
        <f t="array" ref="AV289">IFERROR(IF(O289&lt;&gt;"",O289,IF(OR($S289="",$T289=""),"",IF(O289&lt;&gt;"",O289,IF($T289&lt;&gt;"",_xlfn._xlws.FILTER(O:O,($BT:$BT=$BT289)*($I:$I=$I289)*($T:$T=$T289)*($S:$S=_xlfn.MINIFS($S:$S,$T:$T,"="&amp;$T289)),"")))))&amp;"",IF(O289="","",""))&amp;""</f>
        <v/>
      </c>
      <c r="AW289" t="str" cm="1">
        <f t="array" ref="AW289">IFERROR(IF(P289&lt;&gt;"",P289,IF(OR($S289="",$T289=""),"",IF($T289&lt;&gt;"",_xlfn._xlws.FILTER(P:P,($BT:$BT=$BT289)*($I:$I=$I289)*($T:$T=$T289)*($S:$S=_xlfn.MINIFS($S:$S,$T:$T,"="&amp;$T289)),""))))&amp;"",IF(P289="","",""))&amp;""</f>
        <v/>
      </c>
      <c r="AX289" t="str" cm="1">
        <f t="array" ref="AX289">IFERROR(IF(Q289&lt;&gt;"",Q289,IF(OR($S289="",$T289=""),"",IF($T289&lt;&gt;"",_xlfn._xlws.FILTER(Q:Q,($BT:$BT=$BT289)*($I:$I=$I289)*($T:$T=$T289)*($S:$S=_xlfn.MINIFS($S:$S,$T:$T,"="&amp;$T289)),""))))&amp;"",IF(Q289="","",""))&amp;""</f>
        <v/>
      </c>
      <c r="AY289" t="str" cm="1">
        <f t="array" ref="AY289">IFERROR(IF(R289&lt;&gt;"",R289,IF(OR($S289="",$T289=""),"",IF($T289&lt;&gt;"",_xlfn._xlws.FILTER(R:R,($BT:$BT=$BT289)*($I:$I=$I289)*($T:$T=$T289)*($S:$S=_xlfn.MINIFS($S:$S,$T:$T,"="&amp;$T289)),""))))&amp;"",IF(R289="","",""))&amp;""</f>
        <v/>
      </c>
      <c r="AZ289" s="6">
        <f t="shared" si="487"/>
        <v>27</v>
      </c>
      <c r="BA289">
        <f t="shared" ref="BA289:BC289" si="541">BA288</f>
        <v>18991</v>
      </c>
      <c r="BB289" t="str">
        <f t="shared" si="541"/>
        <v>Triple J</v>
      </c>
      <c r="BC289" t="str">
        <f t="shared" si="541"/>
        <v>Velodrome</v>
      </c>
      <c r="BD289" t="str">
        <f t="shared" si="489"/>
        <v>Zone_Entry_Exit</v>
      </c>
      <c r="BE289" t="str">
        <f t="shared" si="490"/>
        <v>Zone_Entry</v>
      </c>
      <c r="BF289" t="str">
        <f t="shared" si="491"/>
        <v>ZoneEntry-Rush</v>
      </c>
      <c r="BG289" t="str">
        <f t="shared" si="473"/>
        <v>s</v>
      </c>
      <c r="BH289" cm="1">
        <f t="array" aca="1" ref="BH289" ca="1">IFERROR(_xlfn._xlws.FILTER(shifts!A:A,(shifts!B:B=events!Z289)*(shifts!AG:AG&gt;=events!BJ289)*(shifts!AH:AH&lt;=events!BK289)),BH288)</f>
        <v>9</v>
      </c>
      <c r="BI289" s="15">
        <f t="shared" si="492"/>
        <v>1</v>
      </c>
      <c r="BJ289">
        <f t="shared" si="493"/>
        <v>819</v>
      </c>
      <c r="BK289">
        <f t="shared" si="494"/>
        <v>818</v>
      </c>
      <c r="BL289" s="15">
        <f>SUMIFS(BI$2:BI289,K$2:K289,"=Intermission")+SUMIFS(BI$2:BI289,K$2:K289,"=Timeout")</f>
        <v>0</v>
      </c>
      <c r="BM289">
        <f t="shared" si="495"/>
        <v>0</v>
      </c>
      <c r="BN289" s="19">
        <f t="shared" si="496"/>
        <v>261</v>
      </c>
      <c r="BO289">
        <f t="shared" si="497"/>
        <v>256</v>
      </c>
      <c r="BP289" s="17">
        <f t="shared" si="498"/>
        <v>262</v>
      </c>
      <c r="BQ289" t="str">
        <f t="shared" si="499"/>
        <v>opp_team_player_1</v>
      </c>
      <c r="BR289">
        <f>COUNTIFS(S$3:S289,"="&amp;S289,AH$3:AH289,"="&amp;AH289)</f>
        <v>1</v>
      </c>
      <c r="BS289" t="str">
        <f>IFERROR(VLOOKUP(BA289&amp;BT289&amp;X289,game_rosters!U:W,3,FALSE),"")</f>
        <v>P100183</v>
      </c>
      <c r="BT289" t="str">
        <f t="shared" si="500"/>
        <v>Triple J</v>
      </c>
    </row>
    <row r="290" spans="1:72" x14ac:dyDescent="0.2">
      <c r="A290">
        <f t="shared" si="475"/>
        <v>1</v>
      </c>
      <c r="E290" s="4"/>
      <c r="F290" s="45"/>
      <c r="G290" s="4"/>
      <c r="H290" s="47"/>
      <c r="I290" s="26">
        <v>70</v>
      </c>
      <c r="J290" s="26" t="s">
        <v>368</v>
      </c>
      <c r="K290" t="s">
        <v>7</v>
      </c>
      <c r="L290" t="s">
        <v>172</v>
      </c>
      <c r="M290" t="s">
        <v>68</v>
      </c>
      <c r="N290" t="str">
        <f t="shared" si="520"/>
        <v>s</v>
      </c>
      <c r="Q290" t="str">
        <f t="shared" si="513"/>
        <v/>
      </c>
      <c r="S290">
        <f>IF(A290=1,MAX($S$2:$S289)+1,IF(OR($I290&lt;&gt;"",A290="x"),$S289,""))</f>
        <v>149</v>
      </c>
      <c r="T290" t="str">
        <f>IF(D290=1,MAX($T$2:$T289)+1,IF(S290=S289,$T289,IF(D290="x",T289,IF(D289="x","",""))))</f>
        <v/>
      </c>
      <c r="U290" t="str">
        <f>IF(B290=1,MAX($U$2:$U289)+1,IF(AND($T290&lt;&gt;"",$T290=$T289),$U289,IF(B290="x",U289,"")))</f>
        <v/>
      </c>
      <c r="V290" t="str">
        <f>IF(C290=1,MAX($V$2:$V289)+1,IF(AND($T290&lt;&gt;"",$T290=$T289),$U289,IF(C290="x",V289,"")))</f>
        <v/>
      </c>
      <c r="W290" t="str" cm="1">
        <f t="array" ref="W290">IFERROR(_xlfn._xlws.FILTER(game_rosters!AC:AC,(game_rosters!J:J=events!X290)*(K290&lt;&gt;"")),"")</f>
        <v>a</v>
      </c>
      <c r="X290" cm="1">
        <f t="array" ref="X290">IF($I290&lt;&gt;"",$I290,INDEX($I$1:$I290,ROW()-COUNTIFS($T$1:$T290,"="&amp;$T290,$S$1:$S290,"&lt;"&amp;$S290)))</f>
        <v>70</v>
      </c>
      <c r="Y290" cm="1">
        <f t="array" ref="Y290">IFERROR(IF(_xlfn._xlws.FILTER(game_rosters!$J:$J,(game_rosters!$G:$G=events!$AM290)*(game_rosters!$J:$J=events!$X290))&gt;0,1,""),"")</f>
        <v>1</v>
      </c>
      <c r="Z290" s="6">
        <f t="shared" si="476"/>
        <v>1</v>
      </c>
      <c r="AA290">
        <f t="shared" si="477"/>
        <v>1149</v>
      </c>
      <c r="AB290" t="str">
        <f t="shared" si="478"/>
        <v/>
      </c>
      <c r="AC290">
        <f t="shared" si="479"/>
        <v>1149</v>
      </c>
      <c r="AD290" t="str">
        <f t="shared" si="480"/>
        <v>13</v>
      </c>
      <c r="AE290" t="str">
        <f t="shared" si="481"/>
        <v>38</v>
      </c>
      <c r="AF290" t="str">
        <f t="shared" si="482"/>
        <v/>
      </c>
      <c r="AG290" t="str">
        <f t="shared" si="483"/>
        <v/>
      </c>
      <c r="AH290" t="str">
        <f t="shared" si="526"/>
        <v>e</v>
      </c>
      <c r="AI290" t="str">
        <f t="shared" si="527"/>
        <v>o</v>
      </c>
      <c r="AJ290" t="str">
        <f t="shared" si="527"/>
        <v>o</v>
      </c>
      <c r="AK290" t="str">
        <f t="shared" si="528"/>
        <v>d</v>
      </c>
      <c r="AL290" t="str">
        <f t="shared" si="529"/>
        <v>o</v>
      </c>
      <c r="AM290" t="str">
        <f t="shared" si="484"/>
        <v>Away</v>
      </c>
      <c r="AN290" t="str">
        <f t="shared" si="530"/>
        <v>a</v>
      </c>
      <c r="AO290" t="str">
        <f t="shared" si="531"/>
        <v>d</v>
      </c>
      <c r="AP290" t="str">
        <f t="shared" si="532"/>
        <v>o</v>
      </c>
      <c r="AQ290" t="str">
        <f>IF(AM290&lt;&gt;"",AM290,IF($AC290=#REF!,#REF!,""))</f>
        <v>Away</v>
      </c>
      <c r="AR290" t="str">
        <f t="shared" si="533"/>
        <v>a</v>
      </c>
      <c r="AS290" t="str">
        <f t="shared" si="534"/>
        <v>Offensive</v>
      </c>
      <c r="AT290" t="str">
        <f t="shared" si="485"/>
        <v/>
      </c>
      <c r="AU290" t="str">
        <f t="shared" si="486"/>
        <v/>
      </c>
      <c r="AV290" t="str" cm="1">
        <f t="array" ref="AV290">IFERROR(IF(O290&lt;&gt;"",O290,IF(OR($S290="",$T290=""),"",IF(O290&lt;&gt;"",O290,IF($T290&lt;&gt;"",_xlfn._xlws.FILTER(O:O,($BT:$BT=$BT290)*($I:$I=$I290)*($T:$T=$T290)*($S:$S=_xlfn.MINIFS($S:$S,$T:$T,"="&amp;$T290)),"")))))&amp;"",IF(O290="","",""))&amp;""</f>
        <v/>
      </c>
      <c r="AW290" t="str" cm="1">
        <f t="array" ref="AW290">IFERROR(IF(P290&lt;&gt;"",P290,IF(OR($S290="",$T290=""),"",IF($T290&lt;&gt;"",_xlfn._xlws.FILTER(P:P,($BT:$BT=$BT290)*($I:$I=$I290)*($T:$T=$T290)*($S:$S=_xlfn.MINIFS($S:$S,$T:$T,"="&amp;$T290)),""))))&amp;"",IF(P290="","",""))&amp;""</f>
        <v/>
      </c>
      <c r="AX290" t="str" cm="1">
        <f t="array" ref="AX290">IFERROR(IF(Q290&lt;&gt;"",Q290,IF(OR($S290="",$T290=""),"",IF($T290&lt;&gt;"",_xlfn._xlws.FILTER(Q:Q,($BT:$BT=$BT290)*($I:$I=$I290)*($T:$T=$T290)*($S:$S=_xlfn.MINIFS($S:$S,$T:$T,"="&amp;$T290)),""))))&amp;"",IF(Q290="","",""))&amp;""</f>
        <v/>
      </c>
      <c r="AY290" t="str" cm="1">
        <f t="array" ref="AY290">IFERROR(IF(R290&lt;&gt;"",R290,IF(OR($S290="",$T290=""),"",IF($T290&lt;&gt;"",_xlfn._xlws.FILTER(R:R,($BT:$BT=$BT290)*($I:$I=$I290)*($T:$T=$T290)*($S:$S=_xlfn.MINIFS($S:$S,$T:$T,"="&amp;$T290)),""))))&amp;"",IF(R290="","",""))&amp;""</f>
        <v/>
      </c>
      <c r="AZ290" s="6">
        <f t="shared" si="487"/>
        <v>27</v>
      </c>
      <c r="BA290">
        <f t="shared" ref="BA290:BC290" si="542">BA289</f>
        <v>18991</v>
      </c>
      <c r="BB290" t="str">
        <f t="shared" si="542"/>
        <v>Triple J</v>
      </c>
      <c r="BC290" t="str">
        <f t="shared" si="542"/>
        <v>Velodrome</v>
      </c>
      <c r="BD290" t="str">
        <f t="shared" si="489"/>
        <v>Pass</v>
      </c>
      <c r="BE290" t="str">
        <f t="shared" si="490"/>
        <v>Pass_Completed</v>
      </c>
      <c r="BF290" t="str">
        <f t="shared" si="491"/>
        <v>Pass-Forehand</v>
      </c>
      <c r="BG290" t="str">
        <f t="shared" si="473"/>
        <v>s</v>
      </c>
      <c r="BH290" t="e" cm="1" vm="1">
        <f t="array" aca="1" ref="BH290" ca="1">IFERROR(_xlfn._xlws.FILTER(shifts!A:A,(shifts!B:B=events!Z290)*(shifts!AG:AG&gt;=events!BJ290)*(shifts!AH:AH&lt;=events!BK290)),BH289)</f>
        <v>#VALUE!</v>
      </c>
      <c r="BI290" s="15">
        <f t="shared" si="492"/>
        <v>0</v>
      </c>
      <c r="BJ290">
        <f t="shared" si="493"/>
        <v>818</v>
      </c>
      <c r="BK290">
        <f t="shared" si="494"/>
        <v>818</v>
      </c>
      <c r="BL290" s="15">
        <f>SUMIFS(BI$2:BI290,K$2:K290,"=Intermission")+SUMIFS(BI$2:BI290,K$2:K290,"=Timeout")</f>
        <v>0</v>
      </c>
      <c r="BM290">
        <f t="shared" si="495"/>
        <v>0</v>
      </c>
      <c r="BN290" s="19">
        <f t="shared" si="496"/>
        <v>262</v>
      </c>
      <c r="BO290">
        <f t="shared" si="497"/>
        <v>257</v>
      </c>
      <c r="BP290" s="17">
        <f t="shared" si="498"/>
        <v>262</v>
      </c>
      <c r="BQ290" t="str">
        <f t="shared" si="499"/>
        <v>event_team_player_1</v>
      </c>
      <c r="BR290">
        <f>COUNTIFS(S$3:S290,"="&amp;S290,AH$3:AH290,"="&amp;AH290)</f>
        <v>1</v>
      </c>
      <c r="BS290" t="str">
        <f>IFERROR(VLOOKUP(BA290&amp;BT290&amp;X290,game_rosters!U:W,3,FALSE),"")</f>
        <v>P100001</v>
      </c>
      <c r="BT290" t="str">
        <f t="shared" si="500"/>
        <v>Velodrome</v>
      </c>
    </row>
    <row r="291" spans="1:72" x14ac:dyDescent="0.2">
      <c r="A291" t="str">
        <f t="shared" si="475"/>
        <v/>
      </c>
      <c r="E291" s="4"/>
      <c r="F291" s="45"/>
      <c r="G291" s="4"/>
      <c r="H291" s="47"/>
      <c r="I291" s="26">
        <v>61</v>
      </c>
      <c r="J291" s="26" t="str">
        <f t="shared" si="501"/>
        <v/>
      </c>
      <c r="N291" t="str">
        <f t="shared" si="520"/>
        <v/>
      </c>
      <c r="Q291" t="str">
        <f t="shared" si="513"/>
        <v/>
      </c>
      <c r="S291">
        <f>IF(A291=1,MAX($S$2:$S290)+1,IF(OR($I291&lt;&gt;"",A291="x"),$S290,""))</f>
        <v>149</v>
      </c>
      <c r="T291" t="str">
        <f>IF(D291=1,MAX($T$2:$T290)+1,IF(S291=S290,$T290,IF(D291="x",T290,IF(D290="x","",""))))</f>
        <v/>
      </c>
      <c r="U291" t="str">
        <f>IF(B291=1,MAX($U$2:$U290)+1,IF(AND($T291&lt;&gt;"",$T291=$T290),$U290,IF(B291="x",U290,"")))</f>
        <v/>
      </c>
      <c r="V291" t="str">
        <f>IF(C291=1,MAX($V$2:$V290)+1,IF(AND($T291&lt;&gt;"",$T291=$T290),$U290,IF(C291="x",V290,"")))</f>
        <v/>
      </c>
      <c r="W291" t="str" cm="1">
        <f t="array" ref="W291">IFERROR(_xlfn._xlws.FILTER(game_rosters!AC:AC,(game_rosters!J:J=events!X291)*(K291&lt;&gt;"")),"")</f>
        <v/>
      </c>
      <c r="X291" cm="1">
        <f t="array" ref="X291">IF($I291&lt;&gt;"",$I291,INDEX($I$1:$I291,ROW()-COUNTIFS($T$1:$T291,"="&amp;$T291,$S$1:$S291,"&lt;"&amp;$S291)))</f>
        <v>61</v>
      </c>
      <c r="Y291" cm="1">
        <f t="array" ref="Y291">IFERROR(IF(_xlfn._xlws.FILTER(game_rosters!$J:$J,(game_rosters!$G:$G=events!$AM291)*(game_rosters!$J:$J=events!$X291))&gt;0,1,""),"")</f>
        <v>1</v>
      </c>
      <c r="Z291" s="6">
        <f t="shared" si="476"/>
        <v>1</v>
      </c>
      <c r="AA291">
        <f t="shared" si="477"/>
        <v>1149</v>
      </c>
      <c r="AB291" t="str">
        <f t="shared" si="478"/>
        <v/>
      </c>
      <c r="AC291">
        <f t="shared" si="479"/>
        <v>1149</v>
      </c>
      <c r="AD291" t="str">
        <f t="shared" si="480"/>
        <v>13</v>
      </c>
      <c r="AE291" t="str">
        <f t="shared" si="481"/>
        <v>38</v>
      </c>
      <c r="AF291" t="str">
        <f t="shared" si="482"/>
        <v/>
      </c>
      <c r="AG291" t="str">
        <f t="shared" si="483"/>
        <v/>
      </c>
      <c r="AH291" t="str">
        <f t="shared" si="526"/>
        <v>e</v>
      </c>
      <c r="AI291" t="str">
        <f t="shared" si="527"/>
        <v>o</v>
      </c>
      <c r="AJ291" t="str">
        <f t="shared" si="527"/>
        <v>o</v>
      </c>
      <c r="AK291" t="str">
        <f t="shared" si="528"/>
        <v/>
      </c>
      <c r="AL291" t="str">
        <f t="shared" si="529"/>
        <v/>
      </c>
      <c r="AM291" t="str">
        <f t="shared" si="484"/>
        <v>Away</v>
      </c>
      <c r="AN291" t="str">
        <f t="shared" si="530"/>
        <v>a</v>
      </c>
      <c r="AO291" t="str">
        <f t="shared" si="531"/>
        <v>d</v>
      </c>
      <c r="AP291" t="str">
        <f t="shared" si="532"/>
        <v>o</v>
      </c>
      <c r="AQ291" t="str">
        <f>IF(AM291&lt;&gt;"",AM291,IF($AC291=#REF!,#REF!,""))</f>
        <v>Away</v>
      </c>
      <c r="AR291" t="str">
        <f t="shared" si="533"/>
        <v>a</v>
      </c>
      <c r="AS291" t="str">
        <f t="shared" si="534"/>
        <v>Offensive</v>
      </c>
      <c r="AT291" t="str">
        <f t="shared" si="485"/>
        <v/>
      </c>
      <c r="AU291" t="str">
        <f t="shared" si="486"/>
        <v/>
      </c>
      <c r="AV291" t="str" cm="1">
        <f t="array" ref="AV291">IFERROR(IF(O291&lt;&gt;"",O291,IF(OR($S291="",$T291=""),"",IF(O291&lt;&gt;"",O291,IF($T291&lt;&gt;"",_xlfn._xlws.FILTER(O:O,($BT:$BT=$BT291)*($I:$I=$I291)*($T:$T=$T291)*($S:$S=_xlfn.MINIFS($S:$S,$T:$T,"="&amp;$T291)),"")))))&amp;"",IF(O291="","",""))&amp;""</f>
        <v/>
      </c>
      <c r="AW291" t="str" cm="1">
        <f t="array" ref="AW291">IFERROR(IF(P291&lt;&gt;"",P291,IF(OR($S291="",$T291=""),"",IF($T291&lt;&gt;"",_xlfn._xlws.FILTER(P:P,($BT:$BT=$BT291)*($I:$I=$I291)*($T:$T=$T291)*($S:$S=_xlfn.MINIFS($S:$S,$T:$T,"="&amp;$T291)),""))))&amp;"",IF(P291="","",""))&amp;""</f>
        <v/>
      </c>
      <c r="AX291" t="str" cm="1">
        <f t="array" ref="AX291">IFERROR(IF(Q291&lt;&gt;"",Q291,IF(OR($S291="",$T291=""),"",IF($T291&lt;&gt;"",_xlfn._xlws.FILTER(Q:Q,($BT:$BT=$BT291)*($I:$I=$I291)*($T:$T=$T291)*($S:$S=_xlfn.MINIFS($S:$S,$T:$T,"="&amp;$T291)),""))))&amp;"",IF(Q291="","",""))&amp;""</f>
        <v/>
      </c>
      <c r="AY291" t="str" cm="1">
        <f t="array" ref="AY291">IFERROR(IF(R291&lt;&gt;"",R291,IF(OR($S291="",$T291=""),"",IF($T291&lt;&gt;"",_xlfn._xlws.FILTER(R:R,($BT:$BT=$BT291)*($I:$I=$I291)*($T:$T=$T291)*($S:$S=_xlfn.MINIFS($S:$S,$T:$T,"="&amp;$T291)),""))))&amp;"",IF(R291="","",""))&amp;""</f>
        <v/>
      </c>
      <c r="AZ291" s="6">
        <f t="shared" si="487"/>
        <v>27</v>
      </c>
      <c r="BA291">
        <f t="shared" ref="BA291:BC291" si="543">BA290</f>
        <v>18991</v>
      </c>
      <c r="BB291" t="str">
        <f t="shared" si="543"/>
        <v>Triple J</v>
      </c>
      <c r="BC291" t="str">
        <f t="shared" si="543"/>
        <v>Velodrome</v>
      </c>
      <c r="BD291" t="str">
        <f t="shared" si="489"/>
        <v>Pass</v>
      </c>
      <c r="BE291" t="str">
        <f t="shared" si="490"/>
        <v>Pass_Completed</v>
      </c>
      <c r="BF291" t="str">
        <f t="shared" si="491"/>
        <v>Pass-Forehand</v>
      </c>
      <c r="BG291" t="str">
        <f t="shared" si="473"/>
        <v>s</v>
      </c>
      <c r="BH291" t="e" cm="1" vm="1">
        <f t="array" aca="1" ref="BH291" ca="1">IFERROR(_xlfn._xlws.FILTER(shifts!A:A,(shifts!B:B=events!Z291)*(shifts!AG:AG&gt;=events!BJ291)*(shifts!AH:AH&lt;=events!BK291)),BH290)</f>
        <v>#VALUE!</v>
      </c>
      <c r="BI291" s="15">
        <f t="shared" si="492"/>
        <v>0</v>
      </c>
      <c r="BJ291">
        <f t="shared" si="493"/>
        <v>818</v>
      </c>
      <c r="BK291">
        <f t="shared" si="494"/>
        <v>818</v>
      </c>
      <c r="BL291" s="15">
        <f>SUMIFS(BI$2:BI291,K$2:K291,"=Intermission")+SUMIFS(BI$2:BI291,K$2:K291,"=Timeout")</f>
        <v>0</v>
      </c>
      <c r="BM291">
        <f t="shared" si="495"/>
        <v>0</v>
      </c>
      <c r="BN291" s="19">
        <f t="shared" si="496"/>
        <v>262</v>
      </c>
      <c r="BO291">
        <f t="shared" si="497"/>
        <v>257</v>
      </c>
      <c r="BP291" s="17">
        <f t="shared" si="498"/>
        <v>262</v>
      </c>
      <c r="BQ291" t="str">
        <f t="shared" si="499"/>
        <v>event_team_player_2</v>
      </c>
      <c r="BR291">
        <f>COUNTIFS(S$3:S291,"="&amp;S291,AH$3:AH291,"="&amp;AH291)</f>
        <v>2</v>
      </c>
      <c r="BS291" t="str">
        <f>IFERROR(VLOOKUP(BA291&amp;BT291&amp;X291,game_rosters!U:W,3,FALSE),"")</f>
        <v>P100224</v>
      </c>
      <c r="BT291" t="str">
        <f t="shared" si="500"/>
        <v>Velodrome</v>
      </c>
    </row>
    <row r="292" spans="1:72" x14ac:dyDescent="0.2">
      <c r="A292">
        <f t="shared" si="475"/>
        <v>1</v>
      </c>
      <c r="E292" s="4"/>
      <c r="F292" s="45"/>
      <c r="G292" s="4"/>
      <c r="H292" s="47" t="s">
        <v>1062</v>
      </c>
      <c r="I292" s="26">
        <v>61</v>
      </c>
      <c r="J292" s="26" t="s">
        <v>368</v>
      </c>
      <c r="K292" t="s">
        <v>13</v>
      </c>
      <c r="N292" t="str">
        <f t="shared" si="520"/>
        <v/>
      </c>
      <c r="Q292" t="str">
        <f t="shared" si="513"/>
        <v/>
      </c>
      <c r="S292">
        <f>IF(A292=1,MAX($S$2:$S291)+1,IF(OR($I292&lt;&gt;"",A292="x"),$S291,""))</f>
        <v>150</v>
      </c>
      <c r="T292" t="str">
        <f>IF(D292=1,MAX($T$2:$T291)+1,IF(S292=S291,$T291,IF(D292="x",T291,IF(D291="x","",""))))</f>
        <v/>
      </c>
      <c r="U292" t="str">
        <f>IF(B292=1,MAX($U$2:$U291)+1,IF(AND($T292&lt;&gt;"",$T292=$T291),$U291,IF(B292="x",U291,"")))</f>
        <v/>
      </c>
      <c r="V292" t="str">
        <f>IF(C292=1,MAX($V$2:$V291)+1,IF(AND($T292&lt;&gt;"",$T292=$T291),$U291,IF(C292="x",V291,"")))</f>
        <v/>
      </c>
      <c r="W292" t="str" cm="1">
        <f t="array" ref="W292">IFERROR(_xlfn._xlws.FILTER(game_rosters!AC:AC,(game_rosters!J:J=events!X292)*(K292&lt;&gt;"")),"")</f>
        <v>a</v>
      </c>
      <c r="X292" cm="1">
        <f t="array" ref="X292">IF($I292&lt;&gt;"",$I292,INDEX($I$1:$I292,ROW()-COUNTIFS($T$1:$T292,"="&amp;$T292,$S$1:$S292,"&lt;"&amp;$S292)))</f>
        <v>61</v>
      </c>
      <c r="Y292" cm="1">
        <f t="array" ref="Y292">IFERROR(IF(_xlfn._xlws.FILTER(game_rosters!$J:$J,(game_rosters!$G:$G=events!$AM292)*(game_rosters!$J:$J=events!$X292))&gt;0,1,""),"")</f>
        <v>1</v>
      </c>
      <c r="Z292" s="6">
        <f t="shared" si="476"/>
        <v>1</v>
      </c>
      <c r="AA292">
        <f t="shared" si="477"/>
        <v>1150</v>
      </c>
      <c r="AB292" t="str">
        <f t="shared" si="478"/>
        <v/>
      </c>
      <c r="AC292">
        <f t="shared" si="479"/>
        <v>1150</v>
      </c>
      <c r="AD292" t="str">
        <f t="shared" si="480"/>
        <v>13</v>
      </c>
      <c r="AE292" t="str">
        <f t="shared" si="481"/>
        <v>38</v>
      </c>
      <c r="AF292" t="str">
        <f t="shared" si="482"/>
        <v>13</v>
      </c>
      <c r="AG292" t="str">
        <f t="shared" si="483"/>
        <v>36</v>
      </c>
      <c r="AH292" t="str">
        <f t="shared" si="526"/>
        <v>e</v>
      </c>
      <c r="AI292" t="str">
        <f t="shared" si="527"/>
        <v>o</v>
      </c>
      <c r="AJ292" t="str">
        <f t="shared" si="527"/>
        <v>o</v>
      </c>
      <c r="AK292" t="str">
        <f t="shared" si="528"/>
        <v>d</v>
      </c>
      <c r="AL292" t="str">
        <f t="shared" si="529"/>
        <v>o</v>
      </c>
      <c r="AM292" t="str">
        <f t="shared" si="484"/>
        <v>Away</v>
      </c>
      <c r="AN292" t="str">
        <f t="shared" si="530"/>
        <v>a</v>
      </c>
      <c r="AO292" t="str">
        <f t="shared" si="531"/>
        <v>d</v>
      </c>
      <c r="AP292" t="str">
        <f t="shared" si="532"/>
        <v>o</v>
      </c>
      <c r="AQ292" t="str">
        <f>IF(AM292&lt;&gt;"",AM292,IF($AC292=#REF!,#REF!,""))</f>
        <v>Away</v>
      </c>
      <c r="AR292" t="str">
        <f t="shared" si="533"/>
        <v>a</v>
      </c>
      <c r="AS292" t="str">
        <f t="shared" si="534"/>
        <v>Offensive</v>
      </c>
      <c r="AT292" t="str">
        <f t="shared" si="485"/>
        <v/>
      </c>
      <c r="AU292" t="str">
        <f t="shared" si="486"/>
        <v/>
      </c>
      <c r="AV292" t="str" cm="1">
        <f t="array" ref="AV292">IFERROR(IF(O292&lt;&gt;"",O292,IF(OR($S292="",$T292=""),"",IF(O292&lt;&gt;"",O292,IF($T292&lt;&gt;"",_xlfn._xlws.FILTER(O:O,($BT:$BT=$BT292)*($I:$I=$I292)*($T:$T=$T292)*($S:$S=_xlfn.MINIFS($S:$S,$T:$T,"="&amp;$T292)),"")))))&amp;"",IF(O292="","",""))&amp;""</f>
        <v/>
      </c>
      <c r="AW292" t="str" cm="1">
        <f t="array" ref="AW292">IFERROR(IF(P292&lt;&gt;"",P292,IF(OR($S292="",$T292=""),"",IF($T292&lt;&gt;"",_xlfn._xlws.FILTER(P:P,($BT:$BT=$BT292)*($I:$I=$I292)*($T:$T=$T292)*($S:$S=_xlfn.MINIFS($S:$S,$T:$T,"="&amp;$T292)),""))))&amp;"",IF(P292="","",""))&amp;""</f>
        <v/>
      </c>
      <c r="AX292" t="str" cm="1">
        <f t="array" ref="AX292">IFERROR(IF(Q292&lt;&gt;"",Q292,IF(OR($S292="",$T292=""),"",IF($T292&lt;&gt;"",_xlfn._xlws.FILTER(Q:Q,($BT:$BT=$BT292)*($I:$I=$I292)*($T:$T=$T292)*($S:$S=_xlfn.MINIFS($S:$S,$T:$T,"="&amp;$T292)),""))))&amp;"",IF(Q292="","",""))&amp;""</f>
        <v/>
      </c>
      <c r="AY292" t="str" cm="1">
        <f t="array" ref="AY292">IFERROR(IF(R292&lt;&gt;"",R292,IF(OR($S292="",$T292=""),"",IF($T292&lt;&gt;"",_xlfn._xlws.FILTER(R:R,($BT:$BT=$BT292)*($I:$I=$I292)*($T:$T=$T292)*($S:$S=_xlfn.MINIFS($S:$S,$T:$T,"="&amp;$T292)),""))))&amp;"",IF(R292="","",""))&amp;""</f>
        <v/>
      </c>
      <c r="AZ292" s="6">
        <f t="shared" si="487"/>
        <v>27</v>
      </c>
      <c r="BA292">
        <f t="shared" ref="BA292:BC292" si="544">BA291</f>
        <v>18991</v>
      </c>
      <c r="BB292" t="str">
        <f t="shared" si="544"/>
        <v>Triple J</v>
      </c>
      <c r="BC292" t="str">
        <f t="shared" si="544"/>
        <v>Velodrome</v>
      </c>
      <c r="BD292" t="str">
        <f t="shared" si="489"/>
        <v>Possession</v>
      </c>
      <c r="BE292" t="str">
        <f t="shared" si="490"/>
        <v/>
      </c>
      <c r="BF292" t="str">
        <f t="shared" si="491"/>
        <v/>
      </c>
      <c r="BG292" t="str">
        <f t="shared" si="473"/>
        <v/>
      </c>
      <c r="BH292" cm="1">
        <f t="array" aca="1" ref="BH292" ca="1">IFERROR(_xlfn._xlws.FILTER(shifts!A:A,(shifts!B:B=events!Z292)*(shifts!AG:AG&gt;=events!BJ292)*(shifts!AH:AH&lt;=events!BK292)),BH291)</f>
        <v>10</v>
      </c>
      <c r="BI292" s="15">
        <f t="shared" si="492"/>
        <v>2</v>
      </c>
      <c r="BJ292">
        <f t="shared" si="493"/>
        <v>818</v>
      </c>
      <c r="BK292">
        <f t="shared" si="494"/>
        <v>816</v>
      </c>
      <c r="BL292" s="15">
        <f>SUMIFS(BI$2:BI292,K$2:K292,"=Intermission")+SUMIFS(BI$2:BI292,K$2:K292,"=Timeout")</f>
        <v>0</v>
      </c>
      <c r="BM292">
        <f t="shared" si="495"/>
        <v>0</v>
      </c>
      <c r="BN292" s="19">
        <f t="shared" si="496"/>
        <v>262</v>
      </c>
      <c r="BO292">
        <f t="shared" si="497"/>
        <v>257</v>
      </c>
      <c r="BP292" s="17">
        <f t="shared" si="498"/>
        <v>264</v>
      </c>
      <c r="BQ292" t="str">
        <f t="shared" si="499"/>
        <v>event_team_player_1</v>
      </c>
      <c r="BR292">
        <f>COUNTIFS(S$3:S292,"="&amp;S292,AH$3:AH292,"="&amp;AH292)</f>
        <v>1</v>
      </c>
      <c r="BS292" t="str">
        <f>IFERROR(VLOOKUP(BA292&amp;BT292&amp;X292,game_rosters!U:W,3,FALSE),"")</f>
        <v>P100224</v>
      </c>
      <c r="BT292" t="str">
        <f t="shared" si="500"/>
        <v>Velodrome</v>
      </c>
    </row>
    <row r="293" spans="1:72" x14ac:dyDescent="0.2">
      <c r="A293">
        <f t="shared" si="475"/>
        <v>1</v>
      </c>
      <c r="D293" s="26">
        <v>1</v>
      </c>
      <c r="E293" s="4"/>
      <c r="F293" s="45"/>
      <c r="G293" s="4"/>
      <c r="H293" s="47"/>
      <c r="I293" s="26">
        <v>61</v>
      </c>
      <c r="J293" s="26" t="str">
        <f t="shared" si="501"/>
        <v>o</v>
      </c>
      <c r="K293" t="s">
        <v>6</v>
      </c>
      <c r="L293" t="s">
        <v>205</v>
      </c>
      <c r="M293" t="s">
        <v>51</v>
      </c>
      <c r="N293" t="str">
        <f t="shared" si="520"/>
        <v>s</v>
      </c>
      <c r="Q293" t="str">
        <f t="shared" si="513"/>
        <v/>
      </c>
      <c r="S293">
        <f>IF(A293=1,MAX($S$2:$S292)+1,IF(OR($I293&lt;&gt;"",A293="x"),$S292,""))</f>
        <v>151</v>
      </c>
      <c r="T293">
        <f>IF(D293=1,MAX($T$2:$T292)+1,IF(S293=S292,$T292,IF(D293="x",T292,IF(D292="x","",""))))</f>
        <v>19</v>
      </c>
      <c r="U293" t="str">
        <f>IF(B293=1,MAX($U$2:$U292)+1,IF(AND($T293&lt;&gt;"",$T293=$T292),$U292,IF(B293="x",U292,"")))</f>
        <v/>
      </c>
      <c r="V293" t="str">
        <f>IF(C293=1,MAX($V$2:$V292)+1,IF(AND($T293&lt;&gt;"",$T293=$T292),$U292,IF(C293="x",V292,"")))</f>
        <v/>
      </c>
      <c r="W293" t="str" cm="1">
        <f t="array" ref="W293">IFERROR(_xlfn._xlws.FILTER(game_rosters!AC:AC,(game_rosters!J:J=events!X293)*(K293&lt;&gt;"")),"")</f>
        <v>a</v>
      </c>
      <c r="X293" cm="1">
        <f t="array" ref="X293">IF($I293&lt;&gt;"",$I293,INDEX($I$1:$I293,ROW()-COUNTIFS($T$1:$T293,"="&amp;$T293,$S$1:$S293,"&lt;"&amp;$S293)))</f>
        <v>61</v>
      </c>
      <c r="Y293" cm="1">
        <f t="array" ref="Y293">IFERROR(IF(_xlfn._xlws.FILTER(game_rosters!$J:$J,(game_rosters!$G:$G=events!$AM293)*(game_rosters!$J:$J=events!$X293))&gt;0,1,""),"")</f>
        <v>1</v>
      </c>
      <c r="Z293" s="6">
        <f t="shared" si="476"/>
        <v>1</v>
      </c>
      <c r="AA293">
        <f t="shared" si="477"/>
        <v>1151</v>
      </c>
      <c r="AB293">
        <f t="shared" si="478"/>
        <v>9019</v>
      </c>
      <c r="AC293">
        <f t="shared" si="479"/>
        <v>9019</v>
      </c>
      <c r="AD293" t="str">
        <f t="shared" si="480"/>
        <v>13</v>
      </c>
      <c r="AE293" t="str">
        <f t="shared" si="481"/>
        <v>36</v>
      </c>
      <c r="AF293" t="str">
        <f t="shared" si="482"/>
        <v/>
      </c>
      <c r="AG293" t="str">
        <f t="shared" si="483"/>
        <v/>
      </c>
      <c r="AH293" t="str">
        <f t="shared" si="526"/>
        <v>e</v>
      </c>
      <c r="AI293" t="str">
        <f t="shared" si="527"/>
        <v>o</v>
      </c>
      <c r="AJ293" t="str">
        <f t="shared" si="527"/>
        <v>o</v>
      </c>
      <c r="AK293" t="str">
        <f t="shared" si="528"/>
        <v>d</v>
      </c>
      <c r="AL293" t="str">
        <f t="shared" si="529"/>
        <v>o</v>
      </c>
      <c r="AM293" t="str">
        <f t="shared" si="484"/>
        <v>Away</v>
      </c>
      <c r="AN293" t="str">
        <f t="shared" si="530"/>
        <v>a</v>
      </c>
      <c r="AO293" t="str">
        <f t="shared" si="531"/>
        <v>d</v>
      </c>
      <c r="AP293" t="str">
        <f t="shared" si="532"/>
        <v>o</v>
      </c>
      <c r="AQ293" t="str">
        <f>IF(AM293&lt;&gt;"",AM293,IF($AC293=#REF!,#REF!,""))</f>
        <v>Away</v>
      </c>
      <c r="AR293" t="str">
        <f t="shared" si="533"/>
        <v>a</v>
      </c>
      <c r="AS293" t="str">
        <f t="shared" si="534"/>
        <v>Offensive</v>
      </c>
      <c r="AT293" t="str">
        <f t="shared" si="485"/>
        <v/>
      </c>
      <c r="AU293" t="str">
        <f t="shared" si="486"/>
        <v/>
      </c>
      <c r="AV293" t="str" cm="1">
        <f t="array" ref="AV293">IFERROR(IF(O293&lt;&gt;"",O293,IF(OR($S293="",$T293=""),"",IF(O293&lt;&gt;"",O293,IF($T293&lt;&gt;"",_xlfn._xlws.FILTER(O:O,($BT:$BT=$BT293)*($I:$I=$I293)*($T:$T=$T293)*($S:$S=_xlfn.MINIFS($S:$S,$T:$T,"="&amp;$T293)),"")))))&amp;"",IF(O293="","",""))&amp;""</f>
        <v/>
      </c>
      <c r="AW293" t="str" cm="1">
        <f t="array" ref="AW293">IFERROR(IF(P293&lt;&gt;"",P293,IF(OR($S293="",$T293=""),"",IF($T293&lt;&gt;"",_xlfn._xlws.FILTER(P:P,($BT:$BT=$BT293)*($I:$I=$I293)*($T:$T=$T293)*($S:$S=_xlfn.MINIFS($S:$S,$T:$T,"="&amp;$T293)),""))))&amp;"",IF(P293="","",""))&amp;""</f>
        <v/>
      </c>
      <c r="AX293" t="str" cm="1">
        <f t="array" ref="AX293">IFERROR(IF(Q293&lt;&gt;"",Q293,IF(OR($S293="",$T293=""),"",IF($T293&lt;&gt;"",_xlfn._xlws.FILTER(Q:Q,($BT:$BT=$BT293)*($I:$I=$I293)*($T:$T=$T293)*($S:$S=_xlfn.MINIFS($S:$S,$T:$T,"="&amp;$T293)),""))))&amp;"",IF(Q293="","",""))&amp;""</f>
        <v/>
      </c>
      <c r="AY293" t="str" cm="1">
        <f t="array" ref="AY293">IFERROR(IF(R293&lt;&gt;"",R293,IF(OR($S293="",$T293=""),"",IF($T293&lt;&gt;"",_xlfn._xlws.FILTER(R:R,($BT:$BT=$BT293)*($I:$I=$I293)*($T:$T=$T293)*($S:$S=_xlfn.MINIFS($S:$S,$T:$T,"="&amp;$T293)),""))))&amp;"",IF(R293="","",""))&amp;""</f>
        <v/>
      </c>
      <c r="AZ293" s="6">
        <f t="shared" si="487"/>
        <v>27</v>
      </c>
      <c r="BA293">
        <f t="shared" ref="BA293:BC293" si="545">BA292</f>
        <v>18991</v>
      </c>
      <c r="BB293" t="str">
        <f t="shared" si="545"/>
        <v>Triple J</v>
      </c>
      <c r="BC293" t="str">
        <f t="shared" si="545"/>
        <v>Velodrome</v>
      </c>
      <c r="BD293" t="str">
        <f t="shared" si="489"/>
        <v>Shot</v>
      </c>
      <c r="BE293" t="str">
        <f t="shared" si="490"/>
        <v>Shot_OnNetSaved</v>
      </c>
      <c r="BF293" t="str">
        <f t="shared" si="491"/>
        <v>Shot-Wrist</v>
      </c>
      <c r="BG293" t="str">
        <f t="shared" si="473"/>
        <v>s</v>
      </c>
      <c r="BH293" cm="1">
        <f t="array" aca="1" ref="BH293" ca="1">IFERROR(_xlfn._xlws.FILTER(shifts!A:A,(shifts!B:B=events!Z293)*(shifts!AG:AG&gt;=events!BJ293)*(shifts!AH:AH&lt;=events!BK293)),BH292)</f>
        <v>10</v>
      </c>
      <c r="BI293" s="15">
        <f t="shared" si="492"/>
        <v>0</v>
      </c>
      <c r="BJ293">
        <f t="shared" si="493"/>
        <v>816</v>
      </c>
      <c r="BK293">
        <f t="shared" si="494"/>
        <v>816</v>
      </c>
      <c r="BL293" s="15">
        <f>SUMIFS(BI$2:BI293,K$2:K293,"=Intermission")+SUMIFS(BI$2:BI293,K$2:K293,"=Timeout")</f>
        <v>0</v>
      </c>
      <c r="BM293">
        <f t="shared" si="495"/>
        <v>0</v>
      </c>
      <c r="BN293" s="19">
        <f t="shared" si="496"/>
        <v>264</v>
      </c>
      <c r="BO293">
        <f t="shared" si="497"/>
        <v>259</v>
      </c>
      <c r="BP293" s="17">
        <f t="shared" si="498"/>
        <v>264</v>
      </c>
      <c r="BQ293" t="str">
        <f t="shared" si="499"/>
        <v>event_team_player_1</v>
      </c>
      <c r="BR293">
        <f>COUNTIFS(S$3:S293,"="&amp;S293,AH$3:AH293,"="&amp;AH293)</f>
        <v>1</v>
      </c>
      <c r="BS293" t="str">
        <f>IFERROR(VLOOKUP(BA293&amp;BT293&amp;X293,game_rosters!U:W,3,FALSE),"")</f>
        <v>P100224</v>
      </c>
      <c r="BT293" t="str">
        <f t="shared" si="500"/>
        <v>Velodrome</v>
      </c>
    </row>
    <row r="294" spans="1:72" x14ac:dyDescent="0.2">
      <c r="A294" t="str">
        <f t="shared" si="475"/>
        <v>x</v>
      </c>
      <c r="D294" s="26" t="s">
        <v>729</v>
      </c>
      <c r="E294" s="4"/>
      <c r="F294" s="45"/>
      <c r="G294" s="4"/>
      <c r="H294" s="47"/>
      <c r="I294" s="26">
        <v>1</v>
      </c>
      <c r="J294" s="26" t="str">
        <f t="shared" si="501"/>
        <v/>
      </c>
      <c r="N294" t="str">
        <f t="shared" si="520"/>
        <v/>
      </c>
      <c r="Q294" t="str">
        <f t="shared" si="513"/>
        <v/>
      </c>
      <c r="S294">
        <f>IF(A294=1,MAX($S$2:$S293)+1,IF(OR($I294&lt;&gt;"",A294="x"),$S293,""))</f>
        <v>151</v>
      </c>
      <c r="T294">
        <f>IF(D294=1,MAX($T$2:$T293)+1,IF(S294=S293,$T293,IF(D294="x",T293,IF(D293="x","",""))))</f>
        <v>19</v>
      </c>
      <c r="U294" t="str">
        <f>IF(B294=1,MAX($U$2:$U293)+1,IF(AND($T294&lt;&gt;"",$T294=$T293),$U293,IF(B294="x",U293,"")))</f>
        <v/>
      </c>
      <c r="V294" t="str">
        <f>IF(C294=1,MAX($V$2:$V293)+1,IF(AND($T294&lt;&gt;"",$T294=$T293),$U293,IF(C294="x",V293,"")))</f>
        <v/>
      </c>
      <c r="W294" t="str" cm="1">
        <f t="array" ref="W294">IFERROR(_xlfn._xlws.FILTER(game_rosters!AC:AC,(game_rosters!J:J=events!X294)*(K294&lt;&gt;"")),"")</f>
        <v/>
      </c>
      <c r="X294" cm="1">
        <f t="array" ref="X294">IF($I294&lt;&gt;"",$I294,INDEX($I$1:$I294,ROW()-COUNTIFS($T$1:$T294,"="&amp;$T294,$S$1:$S294,"&lt;"&amp;$S294)))</f>
        <v>1</v>
      </c>
      <c r="Y294" t="str" cm="1">
        <f t="array" ref="Y294">IFERROR(IF(_xlfn._xlws.FILTER(game_rosters!$J:$J,(game_rosters!$G:$G=events!$AM294)*(game_rosters!$J:$J=events!$X294))&gt;0,1,""),"")</f>
        <v/>
      </c>
      <c r="Z294" s="6">
        <f t="shared" si="476"/>
        <v>1</v>
      </c>
      <c r="AA294">
        <f t="shared" si="477"/>
        <v>1151</v>
      </c>
      <c r="AB294">
        <f t="shared" si="478"/>
        <v>9019</v>
      </c>
      <c r="AC294">
        <f t="shared" si="479"/>
        <v>9019</v>
      </c>
      <c r="AD294" t="str">
        <f t="shared" si="480"/>
        <v>13</v>
      </c>
      <c r="AE294" t="str">
        <f t="shared" si="481"/>
        <v>36</v>
      </c>
      <c r="AF294" t="str">
        <f t="shared" si="482"/>
        <v/>
      </c>
      <c r="AG294" t="str">
        <f t="shared" si="483"/>
        <v/>
      </c>
      <c r="AH294" t="str">
        <f t="shared" si="526"/>
        <v>o</v>
      </c>
      <c r="AI294" t="str">
        <f t="shared" si="527"/>
        <v>o</v>
      </c>
      <c r="AJ294" t="str">
        <f t="shared" si="527"/>
        <v>o</v>
      </c>
      <c r="AK294" t="str">
        <f t="shared" si="528"/>
        <v/>
      </c>
      <c r="AL294" t="str">
        <f t="shared" si="529"/>
        <v/>
      </c>
      <c r="AM294" t="str">
        <f t="shared" si="484"/>
        <v>Away</v>
      </c>
      <c r="AN294" t="str">
        <f t="shared" si="530"/>
        <v>a</v>
      </c>
      <c r="AO294" t="str">
        <f t="shared" si="531"/>
        <v>d</v>
      </c>
      <c r="AP294" t="str">
        <f t="shared" si="532"/>
        <v>o</v>
      </c>
      <c r="AQ294" t="str">
        <f>IF(AM294&lt;&gt;"",AM294,IF($AC294=#REF!,#REF!,""))</f>
        <v>Away</v>
      </c>
      <c r="AR294" t="str">
        <f t="shared" si="533"/>
        <v>a</v>
      </c>
      <c r="AS294" t="str">
        <f t="shared" si="534"/>
        <v>Defensive</v>
      </c>
      <c r="AT294" t="str">
        <f t="shared" si="485"/>
        <v/>
      </c>
      <c r="AU294" t="str">
        <f t="shared" si="486"/>
        <v/>
      </c>
      <c r="AV294" t="str" cm="1">
        <f t="array" ref="AV294">IFERROR(IF(O294&lt;&gt;"",O294,IF(OR($S294="",$T294=""),"",IF(O294&lt;&gt;"",O294,IF($T294&lt;&gt;"",_xlfn._xlws.FILTER(O:O,($BT:$BT=$BT294)*($I:$I=$I294)*($T:$T=$T294)*($S:$S=_xlfn.MINIFS($S:$S,$T:$T,"="&amp;$T294)),"")))))&amp;"",IF(O294="","",""))&amp;""</f>
        <v/>
      </c>
      <c r="AW294" t="str" cm="1">
        <f t="array" ref="AW294">IFERROR(IF(P294&lt;&gt;"",P294,IF(OR($S294="",$T294=""),"",IF($T294&lt;&gt;"",_xlfn._xlws.FILTER(P:P,($BT:$BT=$BT294)*($I:$I=$I294)*($T:$T=$T294)*($S:$S=_xlfn.MINIFS($S:$S,$T:$T,"="&amp;$T294)),""))))&amp;"",IF(P294="","",""))&amp;""</f>
        <v/>
      </c>
      <c r="AX294" t="str" cm="1">
        <f t="array" ref="AX294">IFERROR(IF(Q294&lt;&gt;"",Q294,IF(OR($S294="",$T294=""),"",IF($T294&lt;&gt;"",_xlfn._xlws.FILTER(Q:Q,($BT:$BT=$BT294)*($I:$I=$I294)*($T:$T=$T294)*($S:$S=_xlfn.MINIFS($S:$S,$T:$T,"="&amp;$T294)),""))))&amp;"",IF(Q294="","",""))&amp;""</f>
        <v/>
      </c>
      <c r="AY294" t="str" cm="1">
        <f t="array" ref="AY294">IFERROR(IF(R294&lt;&gt;"",R294,IF(OR($S294="",$T294=""),"",IF($T294&lt;&gt;"",_xlfn._xlws.FILTER(R:R,($BT:$BT=$BT294)*($I:$I=$I294)*($T:$T=$T294)*($S:$S=_xlfn.MINIFS($S:$S,$T:$T,"="&amp;$T294)),""))))&amp;"",IF(R294="","",""))&amp;""</f>
        <v/>
      </c>
      <c r="AZ294" s="6">
        <f t="shared" si="487"/>
        <v>27</v>
      </c>
      <c r="BA294">
        <f t="shared" ref="BA294:BC294" si="546">BA293</f>
        <v>18991</v>
      </c>
      <c r="BB294" t="str">
        <f t="shared" si="546"/>
        <v>Triple J</v>
      </c>
      <c r="BC294" t="str">
        <f t="shared" si="546"/>
        <v>Velodrome</v>
      </c>
      <c r="BD294" t="str">
        <f t="shared" si="489"/>
        <v>Shot</v>
      </c>
      <c r="BE294" t="str">
        <f t="shared" si="490"/>
        <v>Shot_OnNetSaved</v>
      </c>
      <c r="BF294" t="str">
        <f t="shared" si="491"/>
        <v>Shot-Wrist</v>
      </c>
      <c r="BG294" t="str">
        <f t="shared" si="473"/>
        <v>s</v>
      </c>
      <c r="BH294" cm="1">
        <f t="array" aca="1" ref="BH294" ca="1">IFERROR(_xlfn._xlws.FILTER(shifts!A:A,(shifts!B:B=events!Z294)*(shifts!AG:AG&gt;=events!BJ294)*(shifts!AH:AH&lt;=events!BK294)),BH293)</f>
        <v>10</v>
      </c>
      <c r="BI294" s="15">
        <f t="shared" si="492"/>
        <v>0</v>
      </c>
      <c r="BJ294">
        <f t="shared" si="493"/>
        <v>816</v>
      </c>
      <c r="BK294">
        <f t="shared" si="494"/>
        <v>816</v>
      </c>
      <c r="BL294" s="15">
        <f>SUMIFS(BI$2:BI294,K$2:K294,"=Intermission")+SUMIFS(BI$2:BI294,K$2:K294,"=Timeout")</f>
        <v>0</v>
      </c>
      <c r="BM294">
        <f t="shared" si="495"/>
        <v>0</v>
      </c>
      <c r="BN294" s="19">
        <f t="shared" si="496"/>
        <v>264</v>
      </c>
      <c r="BO294">
        <f t="shared" si="497"/>
        <v>259</v>
      </c>
      <c r="BP294" s="17">
        <f t="shared" si="498"/>
        <v>264</v>
      </c>
      <c r="BQ294" t="str">
        <f t="shared" si="499"/>
        <v>opp_team_player_1</v>
      </c>
      <c r="BR294">
        <f>COUNTIFS(S$3:S294,"="&amp;S294,AH$3:AH294,"="&amp;AH294)</f>
        <v>1</v>
      </c>
      <c r="BS294" t="str">
        <f>IFERROR(VLOOKUP(BA294&amp;BT294&amp;X294,game_rosters!U:W,3,FALSE),"")</f>
        <v>P100020</v>
      </c>
      <c r="BT294" t="str">
        <f t="shared" si="500"/>
        <v>Triple J</v>
      </c>
    </row>
    <row r="295" spans="1:72" x14ac:dyDescent="0.2">
      <c r="A295">
        <f t="shared" si="475"/>
        <v>1</v>
      </c>
      <c r="D295" s="26" t="s">
        <v>729</v>
      </c>
      <c r="E295" s="4"/>
      <c r="F295" s="45"/>
      <c r="G295" s="4"/>
      <c r="H295" s="47"/>
      <c r="I295" s="26">
        <v>1</v>
      </c>
      <c r="J295" s="26" t="str">
        <f t="shared" si="501"/>
        <v>d</v>
      </c>
      <c r="K295" t="s">
        <v>15</v>
      </c>
      <c r="L295" t="s">
        <v>179</v>
      </c>
      <c r="M295" t="s">
        <v>96</v>
      </c>
      <c r="N295" t="str">
        <f t="shared" si="520"/>
        <v/>
      </c>
      <c r="Q295" t="str">
        <f t="shared" si="513"/>
        <v/>
      </c>
      <c r="S295">
        <f>IF(A295=1,MAX($S$2:$S294)+1,IF(OR($I295&lt;&gt;"",A295="x"),$S294,""))</f>
        <v>152</v>
      </c>
      <c r="T295">
        <f>IF(D295=1,MAX($T$2:$T294)+1,IF(S295=S294,$T294,IF(D295="x",T294,IF(D294="x","",""))))</f>
        <v>19</v>
      </c>
      <c r="U295" t="str">
        <f>IF(B295=1,MAX($U$2:$U294)+1,IF(AND($T295&lt;&gt;"",$T295=$T294),$U294,IF(B295="x",U294,"")))</f>
        <v/>
      </c>
      <c r="V295" t="str">
        <f>IF(C295=1,MAX($V$2:$V294)+1,IF(AND($T295&lt;&gt;"",$T295=$T294),$U294,IF(C295="x",V294,"")))</f>
        <v/>
      </c>
      <c r="W295" t="str" cm="1">
        <f t="array" ref="W295">IFERROR(_xlfn._xlws.FILTER(game_rosters!AC:AC,(game_rosters!J:J=events!X295)*(K295&lt;&gt;"")),"")</f>
        <v>h</v>
      </c>
      <c r="X295" cm="1">
        <f t="array" ref="X295">IF($I295&lt;&gt;"",$I295,INDEX($I$1:$I295,ROW()-COUNTIFS($T$1:$T295,"="&amp;$T295,$S$1:$S295,"&lt;"&amp;$S295)))</f>
        <v>1</v>
      </c>
      <c r="Y295" cm="1">
        <f t="array" ref="Y295">IFERROR(IF(_xlfn._xlws.FILTER(game_rosters!$J:$J,(game_rosters!$G:$G=events!$AM295)*(game_rosters!$J:$J=events!$X295))&gt;0,1,""),"")</f>
        <v>1</v>
      </c>
      <c r="Z295" s="6">
        <f t="shared" si="476"/>
        <v>1</v>
      </c>
      <c r="AA295">
        <f t="shared" si="477"/>
        <v>1152</v>
      </c>
      <c r="AB295">
        <f t="shared" si="478"/>
        <v>9019</v>
      </c>
      <c r="AC295">
        <f t="shared" si="479"/>
        <v>9019</v>
      </c>
      <c r="AD295" t="str">
        <f t="shared" si="480"/>
        <v>13</v>
      </c>
      <c r="AE295" t="str">
        <f t="shared" si="481"/>
        <v>36</v>
      </c>
      <c r="AF295" t="str">
        <f t="shared" si="482"/>
        <v/>
      </c>
      <c r="AG295" t="str">
        <f t="shared" si="483"/>
        <v/>
      </c>
      <c r="AH295" t="str">
        <f t="shared" si="526"/>
        <v>e</v>
      </c>
      <c r="AI295" t="str">
        <f t="shared" si="527"/>
        <v>d</v>
      </c>
      <c r="AJ295" t="str">
        <f t="shared" si="527"/>
        <v>d</v>
      </c>
      <c r="AK295" t="str">
        <f t="shared" si="528"/>
        <v>d</v>
      </c>
      <c r="AL295" t="str">
        <f t="shared" si="529"/>
        <v>o</v>
      </c>
      <c r="AM295" t="str">
        <f t="shared" si="484"/>
        <v>Home</v>
      </c>
      <c r="AN295" t="str">
        <f t="shared" si="530"/>
        <v>h</v>
      </c>
      <c r="AO295" t="str">
        <f t="shared" si="531"/>
        <v>d</v>
      </c>
      <c r="AP295" t="str">
        <f t="shared" si="532"/>
        <v>o</v>
      </c>
      <c r="AQ295" t="str">
        <f>IF(AM295&lt;&gt;"",AM295,IF($AC295=#REF!,#REF!,""))</f>
        <v>Home</v>
      </c>
      <c r="AR295" t="str">
        <f t="shared" si="533"/>
        <v>h</v>
      </c>
      <c r="AS295" t="str">
        <f t="shared" si="534"/>
        <v>Defensive</v>
      </c>
      <c r="AT295" t="str">
        <f t="shared" si="485"/>
        <v/>
      </c>
      <c r="AU295" t="str">
        <f t="shared" si="486"/>
        <v/>
      </c>
      <c r="AV295" t="str" cm="1">
        <f t="array" ref="AV295">IFERROR(IF(O295&lt;&gt;"",O295,IF(OR($S295="",$T295=""),"",IF(O295&lt;&gt;"",O295,IF($T295&lt;&gt;"",_xlfn._xlws.FILTER(O:O,($BT:$BT=$BT295)*($I:$I=$I295)*($T:$T=$T295)*($S:$S=_xlfn.MINIFS($S:$S,$T:$T,"="&amp;$T295)),"")))))&amp;"",IF(O295="","",""))&amp;""</f>
        <v/>
      </c>
      <c r="AW295" t="str" cm="1">
        <f t="array" ref="AW295">IFERROR(IF(P295&lt;&gt;"",P295,IF(OR($S295="",$T295=""),"",IF($T295&lt;&gt;"",_xlfn._xlws.FILTER(P:P,($BT:$BT=$BT295)*($I:$I=$I295)*($T:$T=$T295)*($S:$S=_xlfn.MINIFS($S:$S,$T:$T,"="&amp;$T295)),""))))&amp;"",IF(P295="","",""))&amp;""</f>
        <v/>
      </c>
      <c r="AX295" t="str" cm="1">
        <f t="array" ref="AX295">IFERROR(IF(Q295&lt;&gt;"",Q295,IF(OR($S295="",$T295=""),"",IF($T295&lt;&gt;"",_xlfn._xlws.FILTER(Q:Q,($BT:$BT=$BT295)*($I:$I=$I295)*($T:$T=$T295)*($S:$S=_xlfn.MINIFS($S:$S,$T:$T,"="&amp;$T295)),""))))&amp;"",IF(Q295="","",""))&amp;""</f>
        <v/>
      </c>
      <c r="AY295" t="str" cm="1">
        <f t="array" ref="AY295">IFERROR(IF(R295&lt;&gt;"",R295,IF(OR($S295="",$T295=""),"",IF($T295&lt;&gt;"",_xlfn._xlws.FILTER(R:R,($BT:$BT=$BT295)*($I:$I=$I295)*($T:$T=$T295)*($S:$S=_xlfn.MINIFS($S:$S,$T:$T,"="&amp;$T295)),""))))&amp;"",IF(R295="","",""))&amp;""</f>
        <v/>
      </c>
      <c r="AZ295" s="6">
        <f t="shared" si="487"/>
        <v>27</v>
      </c>
      <c r="BA295">
        <f t="shared" ref="BA295:BC295" si="547">BA294</f>
        <v>18991</v>
      </c>
      <c r="BB295" t="str">
        <f t="shared" si="547"/>
        <v>Triple J</v>
      </c>
      <c r="BC295" t="str">
        <f t="shared" si="547"/>
        <v>Velodrome</v>
      </c>
      <c r="BD295" t="str">
        <f t="shared" si="489"/>
        <v>Save</v>
      </c>
      <c r="BE295" t="str">
        <f t="shared" si="490"/>
        <v>Save_Rebound</v>
      </c>
      <c r="BF295" t="str">
        <f t="shared" si="491"/>
        <v>Save-LeftPad</v>
      </c>
      <c r="BG295" t="str">
        <f t="shared" si="473"/>
        <v/>
      </c>
      <c r="BH295" cm="1">
        <f t="array" aca="1" ref="BH295" ca="1">IFERROR(_xlfn._xlws.FILTER(shifts!A:A,(shifts!B:B=events!Z295)*(shifts!AG:AG&gt;=events!BJ295)*(shifts!AH:AH&lt;=events!BK295)),BH294)</f>
        <v>10</v>
      </c>
      <c r="BI295" s="15">
        <f t="shared" si="492"/>
        <v>0</v>
      </c>
      <c r="BJ295">
        <f t="shared" si="493"/>
        <v>816</v>
      </c>
      <c r="BK295">
        <f t="shared" si="494"/>
        <v>816</v>
      </c>
      <c r="BL295" s="15">
        <f>SUMIFS(BI$2:BI295,K$2:K295,"=Intermission")+SUMIFS(BI$2:BI295,K$2:K295,"=Timeout")</f>
        <v>0</v>
      </c>
      <c r="BM295">
        <f t="shared" si="495"/>
        <v>0</v>
      </c>
      <c r="BN295" s="19">
        <f t="shared" si="496"/>
        <v>264</v>
      </c>
      <c r="BO295">
        <f t="shared" si="497"/>
        <v>259</v>
      </c>
      <c r="BP295" s="17">
        <f t="shared" si="498"/>
        <v>264</v>
      </c>
      <c r="BQ295" t="str">
        <f t="shared" si="499"/>
        <v>event_team_player_1</v>
      </c>
      <c r="BR295">
        <f>COUNTIFS(S$3:S295,"="&amp;S295,AH$3:AH295,"="&amp;AH295)</f>
        <v>1</v>
      </c>
      <c r="BS295" t="str">
        <f>IFERROR(VLOOKUP(BA295&amp;BT295&amp;X295,game_rosters!U:W,3,FALSE),"")</f>
        <v>P100020</v>
      </c>
      <c r="BT295" t="str">
        <f t="shared" si="500"/>
        <v>Triple J</v>
      </c>
    </row>
    <row r="296" spans="1:72" x14ac:dyDescent="0.2">
      <c r="A296" t="str">
        <f t="shared" si="475"/>
        <v>x</v>
      </c>
      <c r="D296" s="26" t="s">
        <v>729</v>
      </c>
      <c r="E296" s="4"/>
      <c r="F296" s="45"/>
      <c r="G296" s="4"/>
      <c r="H296" s="47"/>
      <c r="I296" s="26">
        <v>61</v>
      </c>
      <c r="J296" s="26" t="str">
        <f t="shared" si="501"/>
        <v/>
      </c>
      <c r="N296" t="str">
        <f t="shared" si="520"/>
        <v/>
      </c>
      <c r="Q296" t="str">
        <f t="shared" si="513"/>
        <v/>
      </c>
      <c r="S296">
        <f>IF(A296=1,MAX($S$2:$S295)+1,IF(OR($I296&lt;&gt;"",A296="x"),$S295,""))</f>
        <v>152</v>
      </c>
      <c r="T296">
        <f>IF(D296=1,MAX($T$2:$T295)+1,IF(S296=S295,$T295,IF(D296="x",T295,IF(D295="x","",""))))</f>
        <v>19</v>
      </c>
      <c r="U296" t="str">
        <f>IF(B296=1,MAX($U$2:$U295)+1,IF(AND($T296&lt;&gt;"",$T296=$T295),$U295,IF(B296="x",U295,"")))</f>
        <v/>
      </c>
      <c r="V296" t="str">
        <f>IF(C296=1,MAX($V$2:$V295)+1,IF(AND($T296&lt;&gt;"",$T296=$T295),$U295,IF(C296="x",V295,"")))</f>
        <v/>
      </c>
      <c r="W296" t="str" cm="1">
        <f t="array" ref="W296">IFERROR(_xlfn._xlws.FILTER(game_rosters!AC:AC,(game_rosters!J:J=events!X296)*(K296&lt;&gt;"")),"")</f>
        <v/>
      </c>
      <c r="X296" cm="1">
        <f t="array" ref="X296">IF($I296&lt;&gt;"",$I296,INDEX($I$1:$I296,ROW()-COUNTIFS($T$1:$T296,"="&amp;$T296,$S$1:$S296,"&lt;"&amp;$S296)))</f>
        <v>61</v>
      </c>
      <c r="Y296" t="str" cm="1">
        <f t="array" ref="Y296">IFERROR(IF(_xlfn._xlws.FILTER(game_rosters!$J:$J,(game_rosters!$G:$G=events!$AM296)*(game_rosters!$J:$J=events!$X296))&gt;0,1,""),"")</f>
        <v/>
      </c>
      <c r="Z296" s="6">
        <f t="shared" si="476"/>
        <v>1</v>
      </c>
      <c r="AA296">
        <f t="shared" si="477"/>
        <v>1152</v>
      </c>
      <c r="AB296">
        <f t="shared" si="478"/>
        <v>9019</v>
      </c>
      <c r="AC296">
        <f t="shared" si="479"/>
        <v>9019</v>
      </c>
      <c r="AD296" t="str">
        <f t="shared" si="480"/>
        <v>13</v>
      </c>
      <c r="AE296" t="str">
        <f t="shared" si="481"/>
        <v>36</v>
      </c>
      <c r="AF296" t="str">
        <f t="shared" si="482"/>
        <v/>
      </c>
      <c r="AG296" t="str">
        <f t="shared" si="483"/>
        <v/>
      </c>
      <c r="AH296" t="str">
        <f t="shared" si="526"/>
        <v>o</v>
      </c>
      <c r="AI296" t="str">
        <f t="shared" si="527"/>
        <v>d</v>
      </c>
      <c r="AJ296" t="str">
        <f t="shared" si="527"/>
        <v>d</v>
      </c>
      <c r="AK296" t="str">
        <f t="shared" si="528"/>
        <v/>
      </c>
      <c r="AL296" t="str">
        <f t="shared" si="529"/>
        <v/>
      </c>
      <c r="AM296" t="str">
        <f t="shared" si="484"/>
        <v>Home</v>
      </c>
      <c r="AN296" t="str">
        <f t="shared" si="530"/>
        <v>h</v>
      </c>
      <c r="AO296" t="str">
        <f t="shared" si="531"/>
        <v>d</v>
      </c>
      <c r="AP296" t="str">
        <f t="shared" si="532"/>
        <v>o</v>
      </c>
      <c r="AQ296" t="str">
        <f>IF(AM296&lt;&gt;"",AM296,IF($AC296=#REF!,#REF!,""))</f>
        <v>Home</v>
      </c>
      <c r="AR296" t="str">
        <f t="shared" si="533"/>
        <v>h</v>
      </c>
      <c r="AS296" t="str">
        <f t="shared" si="534"/>
        <v>Offensive</v>
      </c>
      <c r="AT296" t="str">
        <f t="shared" si="485"/>
        <v/>
      </c>
      <c r="AU296" t="str">
        <f t="shared" si="486"/>
        <v/>
      </c>
      <c r="AV296" t="str" cm="1">
        <f t="array" ref="AV296">IFERROR(IF(O296&lt;&gt;"",O296,IF(OR($S296="",$T296=""),"",IF(O296&lt;&gt;"",O296,IF($T296&lt;&gt;"",_xlfn._xlws.FILTER(O:O,($BT:$BT=$BT296)*($I:$I=$I296)*($T:$T=$T296)*($S:$S=_xlfn.MINIFS($S:$S,$T:$T,"="&amp;$T296)),"")))))&amp;"",IF(O296="","",""))&amp;""</f>
        <v/>
      </c>
      <c r="AW296" t="str" cm="1">
        <f t="array" ref="AW296">IFERROR(IF(P296&lt;&gt;"",P296,IF(OR($S296="",$T296=""),"",IF($T296&lt;&gt;"",_xlfn._xlws.FILTER(P:P,($BT:$BT=$BT296)*($I:$I=$I296)*($T:$T=$T296)*($S:$S=_xlfn.MINIFS($S:$S,$T:$T,"="&amp;$T296)),""))))&amp;"",IF(P296="","",""))&amp;""</f>
        <v/>
      </c>
      <c r="AX296" t="str" cm="1">
        <f t="array" ref="AX296">IFERROR(IF(Q296&lt;&gt;"",Q296,IF(OR($S296="",$T296=""),"",IF($T296&lt;&gt;"",_xlfn._xlws.FILTER(Q:Q,($BT:$BT=$BT296)*($I:$I=$I296)*($T:$T=$T296)*($S:$S=_xlfn.MINIFS($S:$S,$T:$T,"="&amp;$T296)),""))))&amp;"",IF(Q296="","",""))&amp;""</f>
        <v/>
      </c>
      <c r="AY296" t="str" cm="1">
        <f t="array" ref="AY296">IFERROR(IF(R296&lt;&gt;"",R296,IF(OR($S296="",$T296=""),"",IF($T296&lt;&gt;"",_xlfn._xlws.FILTER(R:R,($BT:$BT=$BT296)*($I:$I=$I296)*($T:$T=$T296)*($S:$S=_xlfn.MINIFS($S:$S,$T:$T,"="&amp;$T296)),""))))&amp;"",IF(R296="","",""))&amp;""</f>
        <v/>
      </c>
      <c r="AZ296" s="6">
        <f t="shared" si="487"/>
        <v>27</v>
      </c>
      <c r="BA296">
        <f t="shared" ref="BA296:BC296" si="548">BA295</f>
        <v>18991</v>
      </c>
      <c r="BB296" t="str">
        <f t="shared" si="548"/>
        <v>Triple J</v>
      </c>
      <c r="BC296" t="str">
        <f t="shared" si="548"/>
        <v>Velodrome</v>
      </c>
      <c r="BD296" t="str">
        <f t="shared" si="489"/>
        <v>Save</v>
      </c>
      <c r="BE296" t="str">
        <f t="shared" si="490"/>
        <v>Save_Rebound</v>
      </c>
      <c r="BF296" t="str">
        <f t="shared" si="491"/>
        <v>Save-LeftPad</v>
      </c>
      <c r="BG296" t="str">
        <f t="shared" si="473"/>
        <v/>
      </c>
      <c r="BH296" cm="1">
        <f t="array" aca="1" ref="BH296" ca="1">IFERROR(_xlfn._xlws.FILTER(shifts!A:A,(shifts!B:B=events!Z296)*(shifts!AG:AG&gt;=events!BJ296)*(shifts!AH:AH&lt;=events!BK296)),BH295)</f>
        <v>10</v>
      </c>
      <c r="BI296" s="15">
        <f t="shared" si="492"/>
        <v>0</v>
      </c>
      <c r="BJ296">
        <f t="shared" si="493"/>
        <v>816</v>
      </c>
      <c r="BK296">
        <f t="shared" si="494"/>
        <v>816</v>
      </c>
      <c r="BL296" s="15">
        <f>SUMIFS(BI$2:BI296,K$2:K296,"=Intermission")+SUMIFS(BI$2:BI296,K$2:K296,"=Timeout")</f>
        <v>0</v>
      </c>
      <c r="BM296">
        <f t="shared" si="495"/>
        <v>0</v>
      </c>
      <c r="BN296" s="19">
        <f t="shared" si="496"/>
        <v>264</v>
      </c>
      <c r="BO296">
        <f t="shared" si="497"/>
        <v>259</v>
      </c>
      <c r="BP296" s="17">
        <f t="shared" si="498"/>
        <v>264</v>
      </c>
      <c r="BQ296" t="str">
        <f t="shared" si="499"/>
        <v>opp_team_player_1</v>
      </c>
      <c r="BR296">
        <f>COUNTIFS(S$3:S296,"="&amp;S296,AH$3:AH296,"="&amp;AH296)</f>
        <v>1</v>
      </c>
      <c r="BS296" t="str">
        <f>IFERROR(VLOOKUP(BA296&amp;BT296&amp;X296,game_rosters!U:W,3,FALSE),"")</f>
        <v>P100224</v>
      </c>
      <c r="BT296" t="str">
        <f t="shared" si="500"/>
        <v>Velodrome</v>
      </c>
    </row>
    <row r="297" spans="1:72" x14ac:dyDescent="0.2">
      <c r="A297">
        <f t="shared" si="475"/>
        <v>1</v>
      </c>
      <c r="D297" s="26" t="s">
        <v>729</v>
      </c>
      <c r="E297" s="4"/>
      <c r="F297" s="45"/>
      <c r="G297" s="4"/>
      <c r="H297" s="47"/>
      <c r="I297" s="26">
        <v>1</v>
      </c>
      <c r="J297" s="26" t="str">
        <f t="shared" si="501"/>
        <v>d</v>
      </c>
      <c r="K297" t="s">
        <v>231</v>
      </c>
      <c r="L297" t="s">
        <v>232</v>
      </c>
      <c r="N297" t="str">
        <f t="shared" si="520"/>
        <v/>
      </c>
      <c r="Q297" t="str">
        <f t="shared" si="513"/>
        <v/>
      </c>
      <c r="S297">
        <f>IF(A297=1,MAX($S$2:$S296)+1,IF(OR($I297&lt;&gt;"",A297="x"),$S296,""))</f>
        <v>153</v>
      </c>
      <c r="T297">
        <f>IF(D297=1,MAX($T$2:$T296)+1,IF(S297=S296,$T296,IF(D297="x",T296,IF(D296="x","",""))))</f>
        <v>19</v>
      </c>
      <c r="U297" t="str">
        <f>IF(B297=1,MAX($U$2:$U296)+1,IF(AND($T297&lt;&gt;"",$T297=$T296),$U296,IF(B297="x",U296,"")))</f>
        <v/>
      </c>
      <c r="V297" t="str">
        <f>IF(C297=1,MAX($V$2:$V296)+1,IF(AND($T297&lt;&gt;"",$T297=$T296),$U296,IF(C297="x",V296,"")))</f>
        <v/>
      </c>
      <c r="W297" t="str" cm="1">
        <f t="array" ref="W297">IFERROR(_xlfn._xlws.FILTER(game_rosters!AC:AC,(game_rosters!J:J=events!X297)*(K297&lt;&gt;"")),"")</f>
        <v>h</v>
      </c>
      <c r="X297" cm="1">
        <f t="array" ref="X297">IF($I297&lt;&gt;"",$I297,INDEX($I$1:$I297,ROW()-COUNTIFS($T$1:$T297,"="&amp;$T297,$S$1:$S297,"&lt;"&amp;$S297)))</f>
        <v>1</v>
      </c>
      <c r="Y297" cm="1">
        <f t="array" ref="Y297">IFERROR(IF(_xlfn._xlws.FILTER(game_rosters!$J:$J,(game_rosters!$G:$G=events!$AM297)*(game_rosters!$J:$J=events!$X297))&gt;0,1,""),"")</f>
        <v>1</v>
      </c>
      <c r="Z297" s="6">
        <f t="shared" si="476"/>
        <v>1</v>
      </c>
      <c r="AA297">
        <f t="shared" si="477"/>
        <v>1153</v>
      </c>
      <c r="AB297">
        <f t="shared" si="478"/>
        <v>9019</v>
      </c>
      <c r="AC297">
        <f t="shared" si="479"/>
        <v>9019</v>
      </c>
      <c r="AD297" t="str">
        <f t="shared" si="480"/>
        <v>13</v>
      </c>
      <c r="AE297" t="str">
        <f t="shared" si="481"/>
        <v>36</v>
      </c>
      <c r="AF297" t="str">
        <f t="shared" si="482"/>
        <v/>
      </c>
      <c r="AG297" t="str">
        <f t="shared" si="483"/>
        <v/>
      </c>
      <c r="AH297" t="str">
        <f t="shared" si="526"/>
        <v>e</v>
      </c>
      <c r="AI297" t="str">
        <f t="shared" si="527"/>
        <v>d</v>
      </c>
      <c r="AJ297" t="str">
        <f t="shared" si="527"/>
        <v>d</v>
      </c>
      <c r="AK297" t="str">
        <f t="shared" si="528"/>
        <v>d</v>
      </c>
      <c r="AL297" t="str">
        <f t="shared" si="529"/>
        <v>o</v>
      </c>
      <c r="AM297" t="str">
        <f t="shared" si="484"/>
        <v>Home</v>
      </c>
      <c r="AN297" t="str">
        <f t="shared" si="530"/>
        <v>h</v>
      </c>
      <c r="AO297" t="str">
        <f t="shared" si="531"/>
        <v>d</v>
      </c>
      <c r="AP297" t="str">
        <f t="shared" si="532"/>
        <v>o</v>
      </c>
      <c r="AQ297" t="str">
        <f>IF(AM297&lt;&gt;"",AM297,IF($AC297=#REF!,#REF!,""))</f>
        <v>Home</v>
      </c>
      <c r="AR297" t="str">
        <f t="shared" si="533"/>
        <v>h</v>
      </c>
      <c r="AS297" t="str">
        <f t="shared" si="534"/>
        <v>Offensive</v>
      </c>
      <c r="AT297" t="str">
        <f t="shared" si="485"/>
        <v/>
      </c>
      <c r="AU297" t="str">
        <f t="shared" si="486"/>
        <v/>
      </c>
      <c r="AV297" t="str" cm="1">
        <f t="array" ref="AV297">IFERROR(IF(O297&lt;&gt;"",O297,IF(OR($S297="",$T297=""),"",IF(O297&lt;&gt;"",O297,IF($T297&lt;&gt;"",_xlfn._xlws.FILTER(O:O,($BT:$BT=$BT297)*($I:$I=$I297)*($T:$T=$T297)*($S:$S=_xlfn.MINIFS($S:$S,$T:$T,"="&amp;$T297)),"")))))&amp;"",IF(O297="","",""))&amp;""</f>
        <v/>
      </c>
      <c r="AW297" t="str" cm="1">
        <f t="array" ref="AW297">IFERROR(IF(P297&lt;&gt;"",P297,IF(OR($S297="",$T297=""),"",IF($T297&lt;&gt;"",_xlfn._xlws.FILTER(P:P,($BT:$BT=$BT297)*($I:$I=$I297)*($T:$T=$T297)*($S:$S=_xlfn.MINIFS($S:$S,$T:$T,"="&amp;$T297)),""))))&amp;"",IF(P297="","",""))&amp;""</f>
        <v/>
      </c>
      <c r="AX297" t="str" cm="1">
        <f t="array" ref="AX297">IFERROR(IF(Q297&lt;&gt;"",Q297,IF(OR($S297="",$T297=""),"",IF($T297&lt;&gt;"",_xlfn._xlws.FILTER(Q:Q,($BT:$BT=$BT297)*($I:$I=$I297)*($T:$T=$T297)*($S:$S=_xlfn.MINIFS($S:$S,$T:$T,"="&amp;$T297)),""))))&amp;"",IF(Q297="","",""))&amp;""</f>
        <v/>
      </c>
      <c r="AY297" t="str" cm="1">
        <f t="array" ref="AY297">IFERROR(IF(R297&lt;&gt;"",R297,IF(OR($S297="",$T297=""),"",IF($T297&lt;&gt;"",_xlfn._xlws.FILTER(R:R,($BT:$BT=$BT297)*($I:$I=$I297)*($T:$T=$T297)*($S:$S=_xlfn.MINIFS($S:$S,$T:$T,"="&amp;$T297)),""))))&amp;"",IF(R297="","",""))&amp;""</f>
        <v/>
      </c>
      <c r="AZ297" s="6">
        <f t="shared" si="487"/>
        <v>27</v>
      </c>
      <c r="BA297">
        <f t="shared" ref="BA297:BC297" si="549">BA296</f>
        <v>18991</v>
      </c>
      <c r="BB297" t="str">
        <f t="shared" si="549"/>
        <v>Triple J</v>
      </c>
      <c r="BC297" t="str">
        <f t="shared" si="549"/>
        <v>Velodrome</v>
      </c>
      <c r="BD297" t="str">
        <f t="shared" si="489"/>
        <v>Rebound</v>
      </c>
      <c r="BE297" t="str">
        <f t="shared" si="490"/>
        <v>Rebound_TeamRecovered</v>
      </c>
      <c r="BF297" t="str">
        <f t="shared" si="491"/>
        <v/>
      </c>
      <c r="BG297" t="str">
        <f t="shared" si="473"/>
        <v/>
      </c>
      <c r="BH297" cm="1">
        <f t="array" aca="1" ref="BH297" ca="1">IFERROR(_xlfn._xlws.FILTER(shifts!A:A,(shifts!B:B=events!Z297)*(shifts!AG:AG&gt;=events!BJ297)*(shifts!AH:AH&lt;=events!BK297)),BH296)</f>
        <v>10</v>
      </c>
      <c r="BI297" s="15">
        <f t="shared" si="492"/>
        <v>0</v>
      </c>
      <c r="BJ297">
        <f t="shared" si="493"/>
        <v>816</v>
      </c>
      <c r="BK297">
        <f t="shared" si="494"/>
        <v>816</v>
      </c>
      <c r="BL297" s="15">
        <f>SUMIFS(BI$2:BI297,K$2:K297,"=Intermission")+SUMIFS(BI$2:BI297,K$2:K297,"=Timeout")</f>
        <v>0</v>
      </c>
      <c r="BM297">
        <f t="shared" si="495"/>
        <v>0</v>
      </c>
      <c r="BN297" s="19">
        <f t="shared" si="496"/>
        <v>264</v>
      </c>
      <c r="BO297">
        <f t="shared" si="497"/>
        <v>259</v>
      </c>
      <c r="BP297" s="17">
        <f t="shared" si="498"/>
        <v>264</v>
      </c>
      <c r="BQ297" t="str">
        <f t="shared" si="499"/>
        <v>event_team_player_1</v>
      </c>
      <c r="BR297">
        <f>COUNTIFS(S$3:S297,"="&amp;S297,AH$3:AH297,"="&amp;AH297)</f>
        <v>1</v>
      </c>
      <c r="BS297" t="str">
        <f>IFERROR(VLOOKUP(BA297&amp;BT297&amp;X297,game_rosters!U:W,3,FALSE),"")</f>
        <v>P100020</v>
      </c>
      <c r="BT297" t="str">
        <f t="shared" si="500"/>
        <v>Triple J</v>
      </c>
    </row>
    <row r="298" spans="1:72" x14ac:dyDescent="0.2">
      <c r="A298">
        <f t="shared" si="475"/>
        <v>1</v>
      </c>
      <c r="E298" s="4"/>
      <c r="F298" s="45" t="s">
        <v>1043</v>
      </c>
      <c r="G298" s="4"/>
      <c r="H298" s="47"/>
      <c r="I298" s="26">
        <v>57</v>
      </c>
      <c r="J298" s="26" t="s">
        <v>736</v>
      </c>
      <c r="K298" t="s">
        <v>13</v>
      </c>
      <c r="L298" t="s">
        <v>586</v>
      </c>
      <c r="N298" t="s">
        <v>595</v>
      </c>
      <c r="O298" t="s">
        <v>908</v>
      </c>
      <c r="Q298" t="str">
        <f t="shared" si="513"/>
        <v>s</v>
      </c>
      <c r="R298" s="26">
        <v>1</v>
      </c>
      <c r="S298">
        <f>IF(A298=1,MAX($S$2:$S297)+1,IF(OR($I298&lt;&gt;"",A298="x"),$S297,""))</f>
        <v>154</v>
      </c>
      <c r="T298" t="str">
        <f>IF(D298=1,MAX($T$2:$T297)+1,IF(S298=S297,$T297,IF(D298="x",T297,IF(D297="x","",""))))</f>
        <v/>
      </c>
      <c r="U298" t="str">
        <f>IF(B298=1,MAX($U$2:$U297)+1,IF(AND($T298&lt;&gt;"",$T298=$T297),$U297,IF(B298="x",U297,"")))</f>
        <v/>
      </c>
      <c r="V298" t="str">
        <f>IF(C298=1,MAX($V$2:$V297)+1,IF(AND($T298&lt;&gt;"",$T298=$T297),$U297,IF(C298="x",V297,"")))</f>
        <v/>
      </c>
      <c r="W298" t="str" cm="1">
        <f t="array" ref="W298">IFERROR(_xlfn._xlws.FILTER(game_rosters!AC:AC,(game_rosters!J:J=events!X298)*(K298&lt;&gt;"")),"")</f>
        <v>h</v>
      </c>
      <c r="X298" cm="1">
        <f t="array" ref="X298">IF($I298&lt;&gt;"",$I298,INDEX($I$1:$I298,ROW()-COUNTIFS($T$1:$T298,"="&amp;$T298,$S$1:$S298,"&lt;"&amp;$S298)))</f>
        <v>57</v>
      </c>
      <c r="Y298" cm="1">
        <f t="array" ref="Y298">IFERROR(IF(_xlfn._xlws.FILTER(game_rosters!$J:$J,(game_rosters!$G:$G=events!$AM298)*(game_rosters!$J:$J=events!$X298))&gt;0,1,""),"")</f>
        <v>1</v>
      </c>
      <c r="Z298" s="6">
        <f t="shared" si="476"/>
        <v>1</v>
      </c>
      <c r="AA298">
        <f t="shared" si="477"/>
        <v>1154</v>
      </c>
      <c r="AB298" t="str">
        <f t="shared" si="478"/>
        <v/>
      </c>
      <c r="AC298">
        <f t="shared" si="479"/>
        <v>1154</v>
      </c>
      <c r="AD298" t="str">
        <f t="shared" si="480"/>
        <v>13</v>
      </c>
      <c r="AE298" t="str">
        <f t="shared" si="481"/>
        <v>33</v>
      </c>
      <c r="AF298" t="str">
        <f t="shared" si="482"/>
        <v/>
      </c>
      <c r="AG298" t="str">
        <f t="shared" si="483"/>
        <v/>
      </c>
      <c r="AH298" t="str">
        <f t="shared" si="526"/>
        <v>e</v>
      </c>
      <c r="AI298" t="str">
        <f t="shared" si="527"/>
        <v>d</v>
      </c>
      <c r="AJ298" t="str">
        <f t="shared" si="527"/>
        <v>d</v>
      </c>
      <c r="AK298" t="str">
        <f t="shared" si="528"/>
        <v>d</v>
      </c>
      <c r="AL298" t="str">
        <f t="shared" si="529"/>
        <v>o</v>
      </c>
      <c r="AM298" t="str">
        <f t="shared" si="484"/>
        <v>Home</v>
      </c>
      <c r="AN298" t="str">
        <f t="shared" si="530"/>
        <v>h</v>
      </c>
      <c r="AO298" t="str">
        <f t="shared" si="531"/>
        <v>d</v>
      </c>
      <c r="AP298" t="str">
        <f t="shared" si="532"/>
        <v>o</v>
      </c>
      <c r="AQ298" t="str">
        <f>IF(AM298&lt;&gt;"",AM298,IF($AC298=#REF!,#REF!,""))</f>
        <v>Home</v>
      </c>
      <c r="AR298" t="str">
        <f t="shared" si="533"/>
        <v>h</v>
      </c>
      <c r="AS298" t="str">
        <f t="shared" si="534"/>
        <v>Offensive</v>
      </c>
      <c r="AT298" t="str">
        <f t="shared" si="485"/>
        <v/>
      </c>
      <c r="AU298" t="str">
        <f t="shared" si="486"/>
        <v/>
      </c>
      <c r="AV298" t="str" cm="1">
        <f t="array" ref="AV298">IFERROR(IF(O298&lt;&gt;"",O298,IF(OR($S298="",$T298=""),"",IF(O298&lt;&gt;"",O298,IF($T298&lt;&gt;"",_xlfn._xlws.FILTER(O:O,($BT:$BT=$BT298)*($I:$I=$I298)*($T:$T=$T298)*($S:$S=_xlfn.MINIFS($S:$S,$T:$T,"="&amp;$T298)),"")))))&amp;"",IF(O298="","",""))&amp;""</f>
        <v>PuckRecoveryRetreivalRebound</v>
      </c>
      <c r="AW298" t="str" cm="1">
        <f t="array" ref="AW298">IFERROR(IF(P298&lt;&gt;"",P298,IF(OR($S298="",$T298=""),"",IF($T298&lt;&gt;"",_xlfn._xlws.FILTER(P:P,($BT:$BT=$BT298)*($I:$I=$I298)*($T:$T=$T298)*($S:$S=_xlfn.MINIFS($S:$S,$T:$T,"="&amp;$T298)),""))))&amp;"",IF(P298="","",""))&amp;""</f>
        <v/>
      </c>
      <c r="AX298" t="str" cm="1">
        <f t="array" ref="AX298">IFERROR(IF(Q298&lt;&gt;"",Q298,IF(OR($S298="",$T298=""),"",IF($T298&lt;&gt;"",_xlfn._xlws.FILTER(Q:Q,($BT:$BT=$BT298)*($I:$I=$I298)*($T:$T=$T298)*($S:$S=_xlfn.MINIFS($S:$S,$T:$T,"="&amp;$T298)),""))))&amp;"",IF(Q298="","",""))&amp;""</f>
        <v>s</v>
      </c>
      <c r="AY298" t="str" cm="1">
        <f t="array" ref="AY298">IFERROR(IF(R298&lt;&gt;"",R298,IF(OR($S298="",$T298=""),"",IF($T298&lt;&gt;"",_xlfn._xlws.FILTER(R:R,($BT:$BT=$BT298)*($I:$I=$I298)*($T:$T=$T298)*($S:$S=_xlfn.MINIFS($S:$S,$T:$T,"="&amp;$T298)),""))))&amp;"",IF(R298="","",""))&amp;""</f>
        <v>1</v>
      </c>
      <c r="AZ298" s="6">
        <f t="shared" si="487"/>
        <v>27</v>
      </c>
      <c r="BA298">
        <f t="shared" ref="BA298:BC298" si="550">BA297</f>
        <v>18991</v>
      </c>
      <c r="BB298" t="str">
        <f t="shared" si="550"/>
        <v>Triple J</v>
      </c>
      <c r="BC298" t="str">
        <f t="shared" si="550"/>
        <v>Velodrome</v>
      </c>
      <c r="BD298" t="str">
        <f t="shared" si="489"/>
        <v>Possession</v>
      </c>
      <c r="BE298" t="str">
        <f t="shared" si="490"/>
        <v>PuckRetrieval</v>
      </c>
      <c r="BF298" t="str">
        <f t="shared" si="491"/>
        <v/>
      </c>
      <c r="BG298" t="str">
        <f t="shared" si="473"/>
        <v>s</v>
      </c>
      <c r="BH298" cm="1">
        <f t="array" aca="1" ref="BH298" ca="1">IFERROR(_xlfn._xlws.FILTER(shifts!A:A,(shifts!B:B=events!Z298)*(shifts!AG:AG&gt;=events!BJ298)*(shifts!AH:AH&lt;=events!BK298)),BH297)</f>
        <v>10</v>
      </c>
      <c r="BI298" s="15">
        <f t="shared" si="492"/>
        <v>0</v>
      </c>
      <c r="BJ298">
        <f t="shared" si="493"/>
        <v>813</v>
      </c>
      <c r="BK298">
        <f t="shared" si="494"/>
        <v>813</v>
      </c>
      <c r="BL298" s="15">
        <f>SUMIFS(BI$2:BI298,K$2:K298,"=Intermission")+SUMIFS(BI$2:BI298,K$2:K298,"=Timeout")</f>
        <v>0</v>
      </c>
      <c r="BM298">
        <f t="shared" si="495"/>
        <v>0</v>
      </c>
      <c r="BN298" s="19">
        <f t="shared" si="496"/>
        <v>267</v>
      </c>
      <c r="BO298">
        <f t="shared" si="497"/>
        <v>262</v>
      </c>
      <c r="BP298" s="17">
        <f t="shared" si="498"/>
        <v>267</v>
      </c>
      <c r="BQ298" t="str">
        <f t="shared" si="499"/>
        <v>event_team_player_1</v>
      </c>
      <c r="BR298">
        <f>COUNTIFS(S$3:S298,"="&amp;S298,AH$3:AH298,"="&amp;AH298)</f>
        <v>1</v>
      </c>
      <c r="BS298" t="str">
        <f>IFERROR(VLOOKUP(BA298&amp;BT298&amp;X298,game_rosters!U:W,3,FALSE),"")</f>
        <v>P100007</v>
      </c>
      <c r="BT298" t="str">
        <f t="shared" si="500"/>
        <v>Triple J</v>
      </c>
    </row>
    <row r="299" spans="1:72" x14ac:dyDescent="0.2">
      <c r="A299" t="str">
        <f t="shared" si="475"/>
        <v/>
      </c>
      <c r="E299" s="4"/>
      <c r="F299" s="45"/>
      <c r="G299" s="4"/>
      <c r="H299" s="47"/>
      <c r="I299" s="26">
        <v>84</v>
      </c>
      <c r="J299" s="26" t="str">
        <f t="shared" si="501"/>
        <v/>
      </c>
      <c r="N299" t="str">
        <f t="shared" si="520"/>
        <v/>
      </c>
      <c r="Q299" t="str">
        <f t="shared" si="513"/>
        <v/>
      </c>
      <c r="R299" s="26">
        <v>1</v>
      </c>
      <c r="S299">
        <f>IF(A299=1,MAX($S$2:$S298)+1,IF(OR($I299&lt;&gt;"",A299="x"),$S298,""))</f>
        <v>154</v>
      </c>
      <c r="T299" t="str">
        <f>IF(D299=1,MAX($T$2:$T298)+1,IF(S299=S298,$T298,IF(D299="x",T298,IF(D298="x","",""))))</f>
        <v/>
      </c>
      <c r="U299" t="str">
        <f>IF(B299=1,MAX($U$2:$U298)+1,IF(AND($T299&lt;&gt;"",$T299=$T298),$U298,IF(B299="x",U298,"")))</f>
        <v/>
      </c>
      <c r="V299" t="str">
        <f>IF(C299=1,MAX($V$2:$V298)+1,IF(AND($T299&lt;&gt;"",$T299=$T298),$U298,IF(C299="x",V298,"")))</f>
        <v/>
      </c>
      <c r="W299" t="str" cm="1">
        <f t="array" ref="W299">IFERROR(_xlfn._xlws.FILTER(game_rosters!AC:AC,(game_rosters!J:J=events!X299)*(K299&lt;&gt;"")),"")</f>
        <v/>
      </c>
      <c r="X299" cm="1">
        <f t="array" ref="X299">IF($I299&lt;&gt;"",$I299,INDEX($I$1:$I299,ROW()-COUNTIFS($T$1:$T299,"="&amp;$T299,$S$1:$S299,"&lt;"&amp;$S299)))</f>
        <v>84</v>
      </c>
      <c r="Y299" t="str" cm="1">
        <f t="array" ref="Y299">IFERROR(IF(_xlfn._xlws.FILTER(game_rosters!$J:$J,(game_rosters!$G:$G=events!$AM299)*(game_rosters!$J:$J=events!$X299))&gt;0,1,""),"")</f>
        <v/>
      </c>
      <c r="Z299" s="6">
        <f t="shared" si="476"/>
        <v>1</v>
      </c>
      <c r="AA299">
        <f t="shared" si="477"/>
        <v>1154</v>
      </c>
      <c r="AB299" t="str">
        <f t="shared" si="478"/>
        <v/>
      </c>
      <c r="AC299">
        <f t="shared" si="479"/>
        <v>1154</v>
      </c>
      <c r="AD299" t="str">
        <f t="shared" si="480"/>
        <v>13</v>
      </c>
      <c r="AE299" t="str">
        <f t="shared" si="481"/>
        <v>33</v>
      </c>
      <c r="AF299" t="str">
        <f t="shared" si="482"/>
        <v/>
      </c>
      <c r="AG299" t="str">
        <f t="shared" si="483"/>
        <v/>
      </c>
      <c r="AH299" t="str">
        <f t="shared" si="526"/>
        <v>o</v>
      </c>
      <c r="AI299" t="str">
        <f t="shared" ref="AI299:AJ314" si="551">IF($J299&lt;&gt;"",$J299,IF($AC299=$AC298,AI298,""))</f>
        <v>d</v>
      </c>
      <c r="AJ299" t="str">
        <f t="shared" si="551"/>
        <v>d</v>
      </c>
      <c r="AK299" t="str">
        <f t="shared" si="528"/>
        <v/>
      </c>
      <c r="AL299" t="str">
        <f t="shared" si="529"/>
        <v/>
      </c>
      <c r="AM299" t="str">
        <f t="shared" si="484"/>
        <v>Home</v>
      </c>
      <c r="AN299" t="str">
        <f t="shared" si="530"/>
        <v>h</v>
      </c>
      <c r="AO299" t="str">
        <f t="shared" si="531"/>
        <v>d</v>
      </c>
      <c r="AP299" t="str">
        <f t="shared" si="532"/>
        <v>o</v>
      </c>
      <c r="AQ299" t="str">
        <f>IF(AM299&lt;&gt;"",AM299,IF($AC299=#REF!,#REF!,""))</f>
        <v>Home</v>
      </c>
      <c r="AR299" t="str">
        <f t="shared" si="533"/>
        <v>h</v>
      </c>
      <c r="AS299" t="str">
        <f t="shared" si="534"/>
        <v>Defensive</v>
      </c>
      <c r="AT299" t="str">
        <f t="shared" si="485"/>
        <v/>
      </c>
      <c r="AU299" t="str">
        <f t="shared" si="486"/>
        <v/>
      </c>
      <c r="AV299" t="str" cm="1">
        <f t="array" ref="AV299">IFERROR(IF(O299&lt;&gt;"",O299,IF(OR($S299="",$T299=""),"",IF(O299&lt;&gt;"",O299,IF($T299&lt;&gt;"",_xlfn._xlws.FILTER(O:O,($BT:$BT=$BT299)*($I:$I=$I299)*($T:$T=$T299)*($S:$S=_xlfn.MINIFS($S:$S,$T:$T,"="&amp;$T299)),"")))))&amp;"",IF(O299="","",""))&amp;""</f>
        <v/>
      </c>
      <c r="AW299" t="str" cm="1">
        <f t="array" ref="AW299">IFERROR(IF(P299&lt;&gt;"",P299,IF(OR($S299="",$T299=""),"",IF($T299&lt;&gt;"",_xlfn._xlws.FILTER(P:P,($BT:$BT=$BT299)*($I:$I=$I299)*($T:$T=$T299)*($S:$S=_xlfn.MINIFS($S:$S,$T:$T,"="&amp;$T299)),""))))&amp;"",IF(P299="","",""))&amp;""</f>
        <v/>
      </c>
      <c r="AX299" t="str" cm="1">
        <f t="array" ref="AX299">IFERROR(IF(Q299&lt;&gt;"",Q299,IF(OR($S299="",$T299=""),"",IF($T299&lt;&gt;"",_xlfn._xlws.FILTER(Q:Q,($BT:$BT=$BT299)*($I:$I=$I299)*($T:$T=$T299)*($S:$S=_xlfn.MINIFS($S:$S,$T:$T,"="&amp;$T299)),""))))&amp;"",IF(Q299="","",""))&amp;""</f>
        <v/>
      </c>
      <c r="AY299" t="str" cm="1">
        <f t="array" ref="AY299">IFERROR(IF(R299&lt;&gt;"",R299,IF(OR($S299="",$T299=""),"",IF($T299&lt;&gt;"",_xlfn._xlws.FILTER(R:R,($BT:$BT=$BT299)*($I:$I=$I299)*($T:$T=$T299)*($S:$S=_xlfn.MINIFS($S:$S,$T:$T,"="&amp;$T299)),""))))&amp;"",IF(R299="","",""))&amp;""</f>
        <v>1</v>
      </c>
      <c r="AZ299" s="6">
        <f t="shared" si="487"/>
        <v>27</v>
      </c>
      <c r="BA299">
        <f t="shared" ref="BA299:BC299" si="552">BA298</f>
        <v>18991</v>
      </c>
      <c r="BB299" t="str">
        <f t="shared" si="552"/>
        <v>Triple J</v>
      </c>
      <c r="BC299" t="str">
        <f t="shared" si="552"/>
        <v>Velodrome</v>
      </c>
      <c r="BD299" t="str">
        <f t="shared" si="489"/>
        <v>Possession</v>
      </c>
      <c r="BE299" t="str">
        <f t="shared" si="490"/>
        <v>PuckRetrieval</v>
      </c>
      <c r="BF299" t="str">
        <f t="shared" si="491"/>
        <v/>
      </c>
      <c r="BG299" t="str">
        <f t="shared" si="473"/>
        <v>s</v>
      </c>
      <c r="BH299" cm="1">
        <f t="array" aca="1" ref="BH299" ca="1">IFERROR(_xlfn._xlws.FILTER(shifts!A:A,(shifts!B:B=events!Z299)*(shifts!AG:AG&gt;=events!BJ299)*(shifts!AH:AH&lt;=events!BK299)),BH298)</f>
        <v>10</v>
      </c>
      <c r="BI299" s="15">
        <f t="shared" si="492"/>
        <v>0</v>
      </c>
      <c r="BJ299">
        <f t="shared" si="493"/>
        <v>813</v>
      </c>
      <c r="BK299">
        <f t="shared" si="494"/>
        <v>813</v>
      </c>
      <c r="BL299" s="15">
        <f>SUMIFS(BI$2:BI299,K$2:K299,"=Intermission")+SUMIFS(BI$2:BI299,K$2:K299,"=Timeout")</f>
        <v>0</v>
      </c>
      <c r="BM299">
        <f t="shared" si="495"/>
        <v>0</v>
      </c>
      <c r="BN299" s="19">
        <f t="shared" si="496"/>
        <v>267</v>
      </c>
      <c r="BO299">
        <f t="shared" si="497"/>
        <v>262</v>
      </c>
      <c r="BP299" s="17">
        <f t="shared" si="498"/>
        <v>267</v>
      </c>
      <c r="BQ299" t="str">
        <f t="shared" si="499"/>
        <v>opp_team_player_1</v>
      </c>
      <c r="BR299">
        <f>COUNTIFS(S$3:S299,"="&amp;S299,AH$3:AH299,"="&amp;AH299)</f>
        <v>1</v>
      </c>
      <c r="BS299" t="str">
        <f>IFERROR(VLOOKUP(BA299&amp;BT299&amp;X299,game_rosters!U:W,3,FALSE),"")</f>
        <v>P100198</v>
      </c>
      <c r="BT299" t="str">
        <f t="shared" si="500"/>
        <v>Velodrome</v>
      </c>
    </row>
    <row r="300" spans="1:72" x14ac:dyDescent="0.2">
      <c r="A300">
        <f t="shared" si="475"/>
        <v>1</v>
      </c>
      <c r="E300" s="4"/>
      <c r="F300" s="45"/>
      <c r="G300" s="4"/>
      <c r="H300" s="47"/>
      <c r="I300" s="26">
        <v>57</v>
      </c>
      <c r="J300" s="26" t="s">
        <v>736</v>
      </c>
      <c r="K300" t="s">
        <v>7</v>
      </c>
      <c r="L300" t="s">
        <v>172</v>
      </c>
      <c r="M300" t="s">
        <v>68</v>
      </c>
      <c r="N300" t="str">
        <f t="shared" si="520"/>
        <v>s</v>
      </c>
      <c r="O300" t="s">
        <v>576</v>
      </c>
      <c r="Q300" t="str">
        <f t="shared" si="513"/>
        <v>s</v>
      </c>
      <c r="S300">
        <f>IF(A300=1,MAX($S$2:$S299)+1,IF(OR($I300&lt;&gt;"",A300="x"),$S299,""))</f>
        <v>155</v>
      </c>
      <c r="T300" t="str">
        <f>IF(D300=1,MAX($T$2:$T299)+1,IF(S300=S299,$T299,IF(D300="x",T299,IF(D299="x","",""))))</f>
        <v/>
      </c>
      <c r="U300" t="str">
        <f>IF(B300=1,MAX($U$2:$U299)+1,IF(AND($T300&lt;&gt;"",$T300=$T299),$U299,IF(B300="x",U299,"")))</f>
        <v/>
      </c>
      <c r="V300" t="str">
        <f>IF(C300=1,MAX($V$2:$V299)+1,IF(AND($T300&lt;&gt;"",$T300=$T299),$U299,IF(C300="x",V299,"")))</f>
        <v/>
      </c>
      <c r="W300" t="str" cm="1">
        <f t="array" ref="W300">IFERROR(_xlfn._xlws.FILTER(game_rosters!AC:AC,(game_rosters!J:J=events!X300)*(K300&lt;&gt;"")),"")</f>
        <v>h</v>
      </c>
      <c r="X300" cm="1">
        <f t="array" ref="X300">IF($I300&lt;&gt;"",$I300,INDEX($I$1:$I300,ROW()-COUNTIFS($T$1:$T300,"="&amp;$T300,$S$1:$S300,"&lt;"&amp;$S300)))</f>
        <v>57</v>
      </c>
      <c r="Y300" cm="1">
        <f t="array" ref="Y300">IFERROR(IF(_xlfn._xlws.FILTER(game_rosters!$J:$J,(game_rosters!$G:$G=events!$AM300)*(game_rosters!$J:$J=events!$X300))&gt;0,1,""),"")</f>
        <v>1</v>
      </c>
      <c r="Z300" s="6">
        <f t="shared" si="476"/>
        <v>1</v>
      </c>
      <c r="AA300">
        <f t="shared" si="477"/>
        <v>1155</v>
      </c>
      <c r="AB300" t="str">
        <f t="shared" si="478"/>
        <v/>
      </c>
      <c r="AC300">
        <f t="shared" si="479"/>
        <v>1155</v>
      </c>
      <c r="AD300" t="str">
        <f t="shared" si="480"/>
        <v>13</v>
      </c>
      <c r="AE300" t="str">
        <f t="shared" si="481"/>
        <v>33</v>
      </c>
      <c r="AF300" t="str">
        <f t="shared" si="482"/>
        <v/>
      </c>
      <c r="AG300" t="str">
        <f t="shared" si="483"/>
        <v/>
      </c>
      <c r="AH300" t="str">
        <f t="shared" si="526"/>
        <v>e</v>
      </c>
      <c r="AI300" t="str">
        <f t="shared" si="551"/>
        <v>d</v>
      </c>
      <c r="AJ300" t="str">
        <f t="shared" si="551"/>
        <v>d</v>
      </c>
      <c r="AK300" t="str">
        <f t="shared" si="528"/>
        <v>d</v>
      </c>
      <c r="AL300" t="str">
        <f t="shared" si="529"/>
        <v>o</v>
      </c>
      <c r="AM300" t="str">
        <f t="shared" si="484"/>
        <v>Home</v>
      </c>
      <c r="AN300" t="str">
        <f t="shared" si="530"/>
        <v>h</v>
      </c>
      <c r="AO300" t="str">
        <f t="shared" si="531"/>
        <v>d</v>
      </c>
      <c r="AP300" t="str">
        <f t="shared" si="532"/>
        <v>o</v>
      </c>
      <c r="AQ300" t="str">
        <f>IF(AM300&lt;&gt;"",AM300,IF($AC300=#REF!,#REF!,""))</f>
        <v>Home</v>
      </c>
      <c r="AR300" t="str">
        <f t="shared" si="533"/>
        <v>h</v>
      </c>
      <c r="AS300" t="str">
        <f t="shared" si="534"/>
        <v>Offensive</v>
      </c>
      <c r="AT300" t="str">
        <f t="shared" si="485"/>
        <v/>
      </c>
      <c r="AU300" t="str">
        <f t="shared" si="486"/>
        <v/>
      </c>
      <c r="AV300" t="str" cm="1">
        <f t="array" ref="AV300">IFERROR(IF(O300&lt;&gt;"",O300,IF(OR($S300="",$T300=""),"",IF(O300&lt;&gt;"",O300,IF($T300&lt;&gt;"",_xlfn._xlws.FILTER(O:O,($BT:$BT=$BT300)*($I:$I=$I300)*($T:$T=$T300)*($S:$S=_xlfn.MINIFS($S:$S,$T:$T,"="&amp;$T300)),"")))))&amp;"",IF(O300="","",""))&amp;""</f>
        <v>SecondTouch</v>
      </c>
      <c r="AW300" t="str" cm="1">
        <f t="array" ref="AW300">IFERROR(IF(P300&lt;&gt;"",P300,IF(OR($S300="",$T300=""),"",IF($T300&lt;&gt;"",_xlfn._xlws.FILTER(P:P,($BT:$BT=$BT300)*($I:$I=$I300)*($T:$T=$T300)*($S:$S=_xlfn.MINIFS($S:$S,$T:$T,"="&amp;$T300)),""))))&amp;"",IF(P300="","",""))&amp;""</f>
        <v/>
      </c>
      <c r="AX300" t="str" cm="1">
        <f t="array" ref="AX300">IFERROR(IF(Q300&lt;&gt;"",Q300,IF(OR($S300="",$T300=""),"",IF($T300&lt;&gt;"",_xlfn._xlws.FILTER(Q:Q,($BT:$BT=$BT300)*($I:$I=$I300)*($T:$T=$T300)*($S:$S=_xlfn.MINIFS($S:$S,$T:$T,"="&amp;$T300)),""))))&amp;"",IF(Q300="","",""))&amp;""</f>
        <v>s</v>
      </c>
      <c r="AY300" t="str" cm="1">
        <f t="array" ref="AY300">IFERROR(IF(R300&lt;&gt;"",R300,IF(OR($S300="",$T300=""),"",IF($T300&lt;&gt;"",_xlfn._xlws.FILTER(R:R,($BT:$BT=$BT300)*($I:$I=$I300)*($T:$T=$T300)*($S:$S=_xlfn.MINIFS($S:$S,$T:$T,"="&amp;$T300)),""))))&amp;"",IF(R300="","",""))&amp;""</f>
        <v/>
      </c>
      <c r="AZ300" s="6">
        <f t="shared" si="487"/>
        <v>27</v>
      </c>
      <c r="BA300">
        <f t="shared" ref="BA300:BC300" si="553">BA299</f>
        <v>18991</v>
      </c>
      <c r="BB300" t="str">
        <f t="shared" si="553"/>
        <v>Triple J</v>
      </c>
      <c r="BC300" t="str">
        <f t="shared" si="553"/>
        <v>Velodrome</v>
      </c>
      <c r="BD300" t="str">
        <f t="shared" si="489"/>
        <v>Pass</v>
      </c>
      <c r="BE300" t="str">
        <f t="shared" si="490"/>
        <v>Pass_Completed</v>
      </c>
      <c r="BF300" t="str">
        <f t="shared" si="491"/>
        <v>Pass-Forehand</v>
      </c>
      <c r="BG300" t="str">
        <f t="shared" si="473"/>
        <v>s</v>
      </c>
      <c r="BH300" cm="1">
        <f t="array" aca="1" ref="BH300" ca="1">IFERROR(_xlfn._xlws.FILTER(shifts!A:A,(shifts!B:B=events!Z300)*(shifts!AG:AG&gt;=events!BJ300)*(shifts!AH:AH&lt;=events!BK300)),BH299)</f>
        <v>10</v>
      </c>
      <c r="BI300" s="15">
        <f t="shared" si="492"/>
        <v>0</v>
      </c>
      <c r="BJ300">
        <f t="shared" si="493"/>
        <v>813</v>
      </c>
      <c r="BK300">
        <f t="shared" si="494"/>
        <v>813</v>
      </c>
      <c r="BL300" s="15">
        <f>SUMIFS(BI$2:BI300,K$2:K300,"=Intermission")+SUMIFS(BI$2:BI300,K$2:K300,"=Timeout")</f>
        <v>0</v>
      </c>
      <c r="BM300">
        <f t="shared" si="495"/>
        <v>0</v>
      </c>
      <c r="BN300" s="19">
        <f t="shared" si="496"/>
        <v>267</v>
      </c>
      <c r="BO300">
        <f t="shared" si="497"/>
        <v>262</v>
      </c>
      <c r="BP300" s="17">
        <f t="shared" si="498"/>
        <v>267</v>
      </c>
      <c r="BQ300" t="str">
        <f t="shared" si="499"/>
        <v>event_team_player_1</v>
      </c>
      <c r="BR300">
        <f>COUNTIFS(S$3:S300,"="&amp;S300,AH$3:AH300,"="&amp;AH300)</f>
        <v>1</v>
      </c>
      <c r="BS300" t="str">
        <f>IFERROR(VLOOKUP(BA300&amp;BT300&amp;X300,game_rosters!U:W,3,FALSE),"")</f>
        <v>P100007</v>
      </c>
      <c r="BT300" t="str">
        <f t="shared" si="500"/>
        <v>Triple J</v>
      </c>
    </row>
    <row r="301" spans="1:72" x14ac:dyDescent="0.2">
      <c r="A301" t="str">
        <f t="shared" si="475"/>
        <v/>
      </c>
      <c r="E301" s="4"/>
      <c r="F301" s="45"/>
      <c r="G301" s="4"/>
      <c r="H301" s="47"/>
      <c r="I301" s="26">
        <v>71</v>
      </c>
      <c r="J301" s="26" t="str">
        <f t="shared" si="501"/>
        <v/>
      </c>
      <c r="N301" t="str">
        <f t="shared" si="520"/>
        <v/>
      </c>
      <c r="Q301" t="str">
        <f t="shared" si="513"/>
        <v/>
      </c>
      <c r="S301">
        <f>IF(A301=1,MAX($S$2:$S300)+1,IF(OR($I301&lt;&gt;"",A301="x"),$S300,""))</f>
        <v>155</v>
      </c>
      <c r="T301" t="str">
        <f>IF(D301=1,MAX($T$2:$T300)+1,IF(S301=S300,$T300,IF(D301="x",T300,IF(D300="x","",""))))</f>
        <v/>
      </c>
      <c r="U301" t="str">
        <f>IF(B301=1,MAX($U$2:$U300)+1,IF(AND($T301&lt;&gt;"",$T301=$T300),$U300,IF(B301="x",U300,"")))</f>
        <v/>
      </c>
      <c r="V301" t="str">
        <f>IF(C301=1,MAX($V$2:$V300)+1,IF(AND($T301&lt;&gt;"",$T301=$T300),$U300,IF(C301="x",V300,"")))</f>
        <v/>
      </c>
      <c r="W301" t="str" cm="1">
        <f t="array" ref="W301">IFERROR(_xlfn._xlws.FILTER(game_rosters!AC:AC,(game_rosters!J:J=events!X301)*(K301&lt;&gt;"")),"")</f>
        <v/>
      </c>
      <c r="X301" cm="1">
        <f t="array" ref="X301">IF($I301&lt;&gt;"",$I301,INDEX($I$1:$I301,ROW()-COUNTIFS($T$1:$T301,"="&amp;$T301,$S$1:$S301,"&lt;"&amp;$S301)))</f>
        <v>71</v>
      </c>
      <c r="Y301" cm="1">
        <f t="array" ref="Y301">IFERROR(IF(_xlfn._xlws.FILTER(game_rosters!$J:$J,(game_rosters!$G:$G=events!$AM301)*(game_rosters!$J:$J=events!$X301))&gt;0,1,""),"")</f>
        <v>1</v>
      </c>
      <c r="Z301" s="6">
        <f t="shared" si="476"/>
        <v>1</v>
      </c>
      <c r="AA301">
        <f t="shared" si="477"/>
        <v>1155</v>
      </c>
      <c r="AB301" t="str">
        <f t="shared" si="478"/>
        <v/>
      </c>
      <c r="AC301">
        <f t="shared" si="479"/>
        <v>1155</v>
      </c>
      <c r="AD301" t="str">
        <f t="shared" si="480"/>
        <v>13</v>
      </c>
      <c r="AE301" t="str">
        <f t="shared" si="481"/>
        <v>33</v>
      </c>
      <c r="AF301" t="str">
        <f t="shared" si="482"/>
        <v/>
      </c>
      <c r="AG301" t="str">
        <f t="shared" si="483"/>
        <v/>
      </c>
      <c r="AH301" t="str">
        <f t="shared" si="526"/>
        <v>e</v>
      </c>
      <c r="AI301" t="str">
        <f t="shared" si="551"/>
        <v>d</v>
      </c>
      <c r="AJ301" t="str">
        <f t="shared" si="551"/>
        <v>d</v>
      </c>
      <c r="AK301" t="str">
        <f t="shared" si="528"/>
        <v/>
      </c>
      <c r="AL301" t="str">
        <f t="shared" si="529"/>
        <v/>
      </c>
      <c r="AM301" t="str">
        <f t="shared" si="484"/>
        <v>Home</v>
      </c>
      <c r="AN301" t="str">
        <f t="shared" si="530"/>
        <v>h</v>
      </c>
      <c r="AO301" t="str">
        <f t="shared" si="531"/>
        <v>d</v>
      </c>
      <c r="AP301" t="str">
        <f t="shared" si="532"/>
        <v>o</v>
      </c>
      <c r="AQ301" t="str">
        <f>IF(AM301&lt;&gt;"",AM301,IF($AC301=#REF!,#REF!,""))</f>
        <v>Home</v>
      </c>
      <c r="AR301" t="str">
        <f t="shared" si="533"/>
        <v>h</v>
      </c>
      <c r="AS301" t="str">
        <f t="shared" si="534"/>
        <v>Offensive</v>
      </c>
      <c r="AT301" t="str">
        <f t="shared" si="485"/>
        <v/>
      </c>
      <c r="AU301" t="str">
        <f t="shared" si="486"/>
        <v/>
      </c>
      <c r="AV301" t="str" cm="1">
        <f t="array" ref="AV301">IFERROR(IF(O301&lt;&gt;"",O301,IF(OR($S301="",$T301=""),"",IF(O301&lt;&gt;"",O301,IF($T301&lt;&gt;"",_xlfn._xlws.FILTER(O:O,($BT:$BT=$BT301)*($I:$I=$I301)*($T:$T=$T301)*($S:$S=_xlfn.MINIFS($S:$S,$T:$T,"="&amp;$T301)),"")))))&amp;"",IF(O301="","",""))&amp;""</f>
        <v/>
      </c>
      <c r="AW301" t="str" cm="1">
        <f t="array" ref="AW301">IFERROR(IF(P301&lt;&gt;"",P301,IF(OR($S301="",$T301=""),"",IF($T301&lt;&gt;"",_xlfn._xlws.FILTER(P:P,($BT:$BT=$BT301)*($I:$I=$I301)*($T:$T=$T301)*($S:$S=_xlfn.MINIFS($S:$S,$T:$T,"="&amp;$T301)),""))))&amp;"",IF(P301="","",""))&amp;""</f>
        <v/>
      </c>
      <c r="AX301" t="str" cm="1">
        <f t="array" ref="AX301">IFERROR(IF(Q301&lt;&gt;"",Q301,IF(OR($S301="",$T301=""),"",IF($T301&lt;&gt;"",_xlfn._xlws.FILTER(Q:Q,($BT:$BT=$BT301)*($I:$I=$I301)*($T:$T=$T301)*($S:$S=_xlfn.MINIFS($S:$S,$T:$T,"="&amp;$T301)),""))))&amp;"",IF(Q301="","",""))&amp;""</f>
        <v/>
      </c>
      <c r="AY301" t="str" cm="1">
        <f t="array" ref="AY301">IFERROR(IF(R301&lt;&gt;"",R301,IF(OR($S301="",$T301=""),"",IF($T301&lt;&gt;"",_xlfn._xlws.FILTER(R:R,($BT:$BT=$BT301)*($I:$I=$I301)*($T:$T=$T301)*($S:$S=_xlfn.MINIFS($S:$S,$T:$T,"="&amp;$T301)),""))))&amp;"",IF(R301="","",""))&amp;""</f>
        <v/>
      </c>
      <c r="AZ301" s="6">
        <f t="shared" si="487"/>
        <v>27</v>
      </c>
      <c r="BA301">
        <f t="shared" ref="BA301:BC301" si="554">BA300</f>
        <v>18991</v>
      </c>
      <c r="BB301" t="str">
        <f t="shared" si="554"/>
        <v>Triple J</v>
      </c>
      <c r="BC301" t="str">
        <f t="shared" si="554"/>
        <v>Velodrome</v>
      </c>
      <c r="BD301" t="str">
        <f t="shared" si="489"/>
        <v>Pass</v>
      </c>
      <c r="BE301" t="str">
        <f t="shared" si="490"/>
        <v>Pass_Completed</v>
      </c>
      <c r="BF301" t="str">
        <f t="shared" si="491"/>
        <v>Pass-Forehand</v>
      </c>
      <c r="BG301" t="str">
        <f t="shared" si="473"/>
        <v>s</v>
      </c>
      <c r="BH301" cm="1">
        <f t="array" aca="1" ref="BH301" ca="1">IFERROR(_xlfn._xlws.FILTER(shifts!A:A,(shifts!B:B=events!Z301)*(shifts!AG:AG&gt;=events!BJ301)*(shifts!AH:AH&lt;=events!BK301)),BH300)</f>
        <v>10</v>
      </c>
      <c r="BI301" s="15">
        <f t="shared" si="492"/>
        <v>0</v>
      </c>
      <c r="BJ301">
        <f t="shared" si="493"/>
        <v>813</v>
      </c>
      <c r="BK301">
        <f t="shared" si="494"/>
        <v>813</v>
      </c>
      <c r="BL301" s="15">
        <f>SUMIFS(BI$2:BI301,K$2:K301,"=Intermission")+SUMIFS(BI$2:BI301,K$2:K301,"=Timeout")</f>
        <v>0</v>
      </c>
      <c r="BM301">
        <f t="shared" si="495"/>
        <v>0</v>
      </c>
      <c r="BN301" s="19">
        <f t="shared" si="496"/>
        <v>267</v>
      </c>
      <c r="BO301">
        <f t="shared" si="497"/>
        <v>262</v>
      </c>
      <c r="BP301" s="17">
        <f t="shared" si="498"/>
        <v>267</v>
      </c>
      <c r="BQ301" t="str">
        <f t="shared" si="499"/>
        <v>event_team_player_2</v>
      </c>
      <c r="BR301">
        <f>COUNTIFS(S$3:S301,"="&amp;S301,AH$3:AH301,"="&amp;AH301)</f>
        <v>2</v>
      </c>
      <c r="BS301" t="str">
        <f>IFERROR(VLOOKUP(BA301&amp;BT301&amp;X301,game_rosters!U:W,3,FALSE),"")</f>
        <v>P100008</v>
      </c>
      <c r="BT301" t="str">
        <f t="shared" si="500"/>
        <v>Triple J</v>
      </c>
    </row>
    <row r="302" spans="1:72" x14ac:dyDescent="0.2">
      <c r="A302">
        <f t="shared" si="475"/>
        <v>1</v>
      </c>
      <c r="E302" s="4"/>
      <c r="F302" s="45"/>
      <c r="G302" s="4"/>
      <c r="H302" s="47" t="s">
        <v>1046</v>
      </c>
      <c r="I302" s="26">
        <v>71</v>
      </c>
      <c r="J302" s="26" t="s">
        <v>736</v>
      </c>
      <c r="K302" t="s">
        <v>13</v>
      </c>
      <c r="N302" t="str">
        <f t="shared" si="520"/>
        <v/>
      </c>
      <c r="Q302" t="str">
        <f t="shared" si="513"/>
        <v/>
      </c>
      <c r="S302">
        <f>IF(A302=1,MAX($S$2:$S301)+1,IF(OR($I302&lt;&gt;"",A302="x"),$S301,""))</f>
        <v>156</v>
      </c>
      <c r="T302" t="str">
        <f>IF(D302=1,MAX($T$2:$T301)+1,IF(S302=S301,$T301,IF(D302="x",T301,IF(D301="x","",""))))</f>
        <v/>
      </c>
      <c r="U302" t="str">
        <f>IF(B302=1,MAX($U$2:$U301)+1,IF(AND($T302&lt;&gt;"",$T302=$T301),$U301,IF(B302="x",U301,"")))</f>
        <v/>
      </c>
      <c r="V302" t="str">
        <f>IF(C302=1,MAX($V$2:$V301)+1,IF(AND($T302&lt;&gt;"",$T302=$T301),$U301,IF(C302="x",V301,"")))</f>
        <v/>
      </c>
      <c r="W302" t="str" cm="1">
        <f t="array" ref="W302">IFERROR(_xlfn._xlws.FILTER(game_rosters!AC:AC,(game_rosters!J:J=events!X302)*(K302&lt;&gt;"")),"")</f>
        <v>h</v>
      </c>
      <c r="X302" cm="1">
        <f t="array" ref="X302">IF($I302&lt;&gt;"",$I302,INDEX($I$1:$I302,ROW()-COUNTIFS($T$1:$T302,"="&amp;$T302,$S$1:$S302,"&lt;"&amp;$S302)))</f>
        <v>71</v>
      </c>
      <c r="Y302" cm="1">
        <f t="array" ref="Y302">IFERROR(IF(_xlfn._xlws.FILTER(game_rosters!$J:$J,(game_rosters!$G:$G=events!$AM302)*(game_rosters!$J:$J=events!$X302))&gt;0,1,""),"")</f>
        <v>1</v>
      </c>
      <c r="Z302" s="6">
        <f t="shared" si="476"/>
        <v>1</v>
      </c>
      <c r="AA302">
        <f t="shared" si="477"/>
        <v>1156</v>
      </c>
      <c r="AB302" t="str">
        <f t="shared" si="478"/>
        <v/>
      </c>
      <c r="AC302">
        <f t="shared" si="479"/>
        <v>1156</v>
      </c>
      <c r="AD302" t="str">
        <f t="shared" si="480"/>
        <v>13</v>
      </c>
      <c r="AE302" t="str">
        <f t="shared" si="481"/>
        <v>33</v>
      </c>
      <c r="AF302" t="str">
        <f t="shared" si="482"/>
        <v>13</v>
      </c>
      <c r="AG302" t="str">
        <f t="shared" si="483"/>
        <v>30</v>
      </c>
      <c r="AH302" t="str">
        <f t="shared" si="526"/>
        <v>e</v>
      </c>
      <c r="AI302" t="str">
        <f t="shared" si="551"/>
        <v>d</v>
      </c>
      <c r="AJ302" t="str">
        <f t="shared" si="551"/>
        <v>d</v>
      </c>
      <c r="AK302" t="str">
        <f t="shared" si="528"/>
        <v>d</v>
      </c>
      <c r="AL302" t="str">
        <f t="shared" si="529"/>
        <v>o</v>
      </c>
      <c r="AM302" t="str">
        <f t="shared" si="484"/>
        <v>Home</v>
      </c>
      <c r="AN302" t="str">
        <f t="shared" si="530"/>
        <v>h</v>
      </c>
      <c r="AO302" t="str">
        <f t="shared" si="531"/>
        <v>d</v>
      </c>
      <c r="AP302" t="str">
        <f t="shared" si="532"/>
        <v>o</v>
      </c>
      <c r="AQ302" t="str">
        <f>IF(AM302&lt;&gt;"",AM302,IF($AC302=#REF!,#REF!,""))</f>
        <v>Home</v>
      </c>
      <c r="AR302" t="str">
        <f t="shared" si="533"/>
        <v>h</v>
      </c>
      <c r="AS302" t="str">
        <f t="shared" si="534"/>
        <v>Offensive</v>
      </c>
      <c r="AT302" t="str">
        <f t="shared" si="485"/>
        <v/>
      </c>
      <c r="AU302" t="str">
        <f t="shared" si="486"/>
        <v/>
      </c>
      <c r="AV302" t="str" cm="1">
        <f t="array" ref="AV302">IFERROR(IF(O302&lt;&gt;"",O302,IF(OR($S302="",$T302=""),"",IF(O302&lt;&gt;"",O302,IF($T302&lt;&gt;"",_xlfn._xlws.FILTER(O:O,($BT:$BT=$BT302)*($I:$I=$I302)*($T:$T=$T302)*($S:$S=_xlfn.MINIFS($S:$S,$T:$T,"="&amp;$T302)),"")))))&amp;"",IF(O302="","",""))&amp;""</f>
        <v/>
      </c>
      <c r="AW302" t="str" cm="1">
        <f t="array" ref="AW302">IFERROR(IF(P302&lt;&gt;"",P302,IF(OR($S302="",$T302=""),"",IF($T302&lt;&gt;"",_xlfn._xlws.FILTER(P:P,($BT:$BT=$BT302)*($I:$I=$I302)*($T:$T=$T302)*($S:$S=_xlfn.MINIFS($S:$S,$T:$T,"="&amp;$T302)),""))))&amp;"",IF(P302="","",""))&amp;""</f>
        <v/>
      </c>
      <c r="AX302" t="str" cm="1">
        <f t="array" ref="AX302">IFERROR(IF(Q302&lt;&gt;"",Q302,IF(OR($S302="",$T302=""),"",IF($T302&lt;&gt;"",_xlfn._xlws.FILTER(Q:Q,($BT:$BT=$BT302)*($I:$I=$I302)*($T:$T=$T302)*($S:$S=_xlfn.MINIFS($S:$S,$T:$T,"="&amp;$T302)),""))))&amp;"",IF(Q302="","",""))&amp;""</f>
        <v/>
      </c>
      <c r="AY302" t="str" cm="1">
        <f t="array" ref="AY302">IFERROR(IF(R302&lt;&gt;"",R302,IF(OR($S302="",$T302=""),"",IF($T302&lt;&gt;"",_xlfn._xlws.FILTER(R:R,($BT:$BT=$BT302)*($I:$I=$I302)*($T:$T=$T302)*($S:$S=_xlfn.MINIFS($S:$S,$T:$T,"="&amp;$T302)),""))))&amp;"",IF(R302="","",""))&amp;""</f>
        <v/>
      </c>
      <c r="AZ302" s="6">
        <f t="shared" si="487"/>
        <v>27</v>
      </c>
      <c r="BA302">
        <f t="shared" ref="BA302:BC302" si="555">BA301</f>
        <v>18991</v>
      </c>
      <c r="BB302" t="str">
        <f t="shared" si="555"/>
        <v>Triple J</v>
      </c>
      <c r="BC302" t="str">
        <f t="shared" si="555"/>
        <v>Velodrome</v>
      </c>
      <c r="BD302" t="str">
        <f t="shared" si="489"/>
        <v>Possession</v>
      </c>
      <c r="BE302" t="str">
        <f t="shared" si="490"/>
        <v/>
      </c>
      <c r="BF302" t="str">
        <f t="shared" si="491"/>
        <v/>
      </c>
      <c r="BG302" t="str">
        <f t="shared" si="473"/>
        <v/>
      </c>
      <c r="BH302" cm="1">
        <f t="array" aca="1" ref="BH302" ca="1">IFERROR(_xlfn._xlws.FILTER(shifts!A:A,(shifts!B:B=events!Z302)*(shifts!AG:AG&gt;=events!BJ302)*(shifts!AH:AH&lt;=events!BK302)),BH301)</f>
        <v>10</v>
      </c>
      <c r="BI302" s="15">
        <f t="shared" si="492"/>
        <v>3</v>
      </c>
      <c r="BJ302">
        <f t="shared" si="493"/>
        <v>813</v>
      </c>
      <c r="BK302">
        <f t="shared" si="494"/>
        <v>810</v>
      </c>
      <c r="BL302" s="15">
        <f>SUMIFS(BI$2:BI302,K$2:K302,"=Intermission")+SUMIFS(BI$2:BI302,K$2:K302,"=Timeout")</f>
        <v>0</v>
      </c>
      <c r="BM302">
        <f t="shared" si="495"/>
        <v>0</v>
      </c>
      <c r="BN302" s="19">
        <f t="shared" si="496"/>
        <v>267</v>
      </c>
      <c r="BO302">
        <f t="shared" si="497"/>
        <v>262</v>
      </c>
      <c r="BP302" s="17">
        <f t="shared" si="498"/>
        <v>270</v>
      </c>
      <c r="BQ302" t="str">
        <f t="shared" si="499"/>
        <v>event_team_player_1</v>
      </c>
      <c r="BR302">
        <f>COUNTIFS(S$3:S302,"="&amp;S302,AH$3:AH302,"="&amp;AH302)</f>
        <v>1</v>
      </c>
      <c r="BS302" t="str">
        <f>IFERROR(VLOOKUP(BA302&amp;BT302&amp;X302,game_rosters!U:W,3,FALSE),"")</f>
        <v>P100008</v>
      </c>
      <c r="BT302" t="str">
        <f t="shared" si="500"/>
        <v>Triple J</v>
      </c>
    </row>
    <row r="303" spans="1:72" x14ac:dyDescent="0.2">
      <c r="A303">
        <f t="shared" si="475"/>
        <v>1</v>
      </c>
      <c r="E303" s="4"/>
      <c r="F303" s="45"/>
      <c r="G303" s="4"/>
      <c r="H303" s="47" t="s">
        <v>1063</v>
      </c>
      <c r="I303" s="26">
        <v>71</v>
      </c>
      <c r="J303" s="26" t="str">
        <f t="shared" si="501"/>
        <v>d</v>
      </c>
      <c r="K303" t="s">
        <v>238</v>
      </c>
      <c r="L303" t="s">
        <v>184</v>
      </c>
      <c r="M303" t="s">
        <v>88</v>
      </c>
      <c r="N303" t="str">
        <f t="shared" si="520"/>
        <v>s</v>
      </c>
      <c r="Q303" t="str">
        <f t="shared" si="513"/>
        <v/>
      </c>
      <c r="S303">
        <f>IF(A303=1,MAX($S$2:$S302)+1,IF(OR($I303&lt;&gt;"",A303="x"),$S302,""))</f>
        <v>157</v>
      </c>
      <c r="T303" t="str">
        <f>IF(D303=1,MAX($T$2:$T302)+1,IF(S303=S302,$T302,IF(D303="x",T302,IF(D302="x","",""))))</f>
        <v/>
      </c>
      <c r="U303" t="str">
        <f>IF(B303=1,MAX($U$2:$U302)+1,IF(AND($T303&lt;&gt;"",$T303=$T302),$U302,IF(B303="x",U302,"")))</f>
        <v/>
      </c>
      <c r="V303" t="str">
        <f>IF(C303=1,MAX($V$2:$V302)+1,IF(AND($T303&lt;&gt;"",$T303=$T302),$U302,IF(C303="x",V302,"")))</f>
        <v/>
      </c>
      <c r="W303" t="str" cm="1">
        <f t="array" ref="W303">IFERROR(_xlfn._xlws.FILTER(game_rosters!AC:AC,(game_rosters!J:J=events!X303)*(K303&lt;&gt;"")),"")</f>
        <v>h</v>
      </c>
      <c r="X303" cm="1">
        <f t="array" ref="X303">IF($I303&lt;&gt;"",$I303,INDEX($I$1:$I303,ROW()-COUNTIFS($T$1:$T303,"="&amp;$T303,$S$1:$S303,"&lt;"&amp;$S303)))</f>
        <v>71</v>
      </c>
      <c r="Y303" cm="1">
        <f t="array" ref="Y303">IFERROR(IF(_xlfn._xlws.FILTER(game_rosters!$J:$J,(game_rosters!$G:$G=events!$AM303)*(game_rosters!$J:$J=events!$X303))&gt;0,1,""),"")</f>
        <v>1</v>
      </c>
      <c r="Z303" s="6">
        <f t="shared" si="476"/>
        <v>1</v>
      </c>
      <c r="AA303">
        <f t="shared" si="477"/>
        <v>1157</v>
      </c>
      <c r="AB303" t="str">
        <f t="shared" si="478"/>
        <v/>
      </c>
      <c r="AC303">
        <f t="shared" si="479"/>
        <v>1157</v>
      </c>
      <c r="AD303" t="str">
        <f t="shared" si="480"/>
        <v>13</v>
      </c>
      <c r="AE303" t="str">
        <f t="shared" si="481"/>
        <v>30</v>
      </c>
      <c r="AF303" t="str">
        <f t="shared" si="482"/>
        <v>13</v>
      </c>
      <c r="AG303" t="str">
        <f t="shared" si="483"/>
        <v>29</v>
      </c>
      <c r="AH303" t="str">
        <f t="shared" si="526"/>
        <v>e</v>
      </c>
      <c r="AI303" t="str">
        <f t="shared" si="551"/>
        <v>d</v>
      </c>
      <c r="AJ303" t="str">
        <f t="shared" si="551"/>
        <v>d</v>
      </c>
      <c r="AK303" t="str">
        <f t="shared" si="528"/>
        <v>d</v>
      </c>
      <c r="AL303" t="str">
        <f t="shared" si="529"/>
        <v>o</v>
      </c>
      <c r="AM303" t="str">
        <f t="shared" si="484"/>
        <v>Home</v>
      </c>
      <c r="AN303" t="str">
        <f t="shared" si="530"/>
        <v>h</v>
      </c>
      <c r="AO303" t="str">
        <f t="shared" si="531"/>
        <v>d</v>
      </c>
      <c r="AP303" t="str">
        <f t="shared" si="532"/>
        <v>o</v>
      </c>
      <c r="AQ303" t="str">
        <f>IF(AM303&lt;&gt;"",AM303,IF($AC303=#REF!,#REF!,""))</f>
        <v>Home</v>
      </c>
      <c r="AR303" t="str">
        <f t="shared" si="533"/>
        <v>h</v>
      </c>
      <c r="AS303" t="str">
        <f t="shared" si="534"/>
        <v>Offensive</v>
      </c>
      <c r="AT303" t="str">
        <f t="shared" si="485"/>
        <v/>
      </c>
      <c r="AU303" t="str">
        <f t="shared" si="486"/>
        <v/>
      </c>
      <c r="AV303" t="str" cm="1">
        <f t="array" ref="AV303">IFERROR(IF(O303&lt;&gt;"",O303,IF(OR($S303="",$T303=""),"",IF(O303&lt;&gt;"",O303,IF($T303&lt;&gt;"",_xlfn._xlws.FILTER(O:O,($BT:$BT=$BT303)*($I:$I=$I303)*($T:$T=$T303)*($S:$S=_xlfn.MINIFS($S:$S,$T:$T,"="&amp;$T303)),"")))))&amp;"",IF(O303="","",""))&amp;""</f>
        <v/>
      </c>
      <c r="AW303" t="str" cm="1">
        <f t="array" ref="AW303">IFERROR(IF(P303&lt;&gt;"",P303,IF(OR($S303="",$T303=""),"",IF($T303&lt;&gt;"",_xlfn._xlws.FILTER(P:P,($BT:$BT=$BT303)*($I:$I=$I303)*($T:$T=$T303)*($S:$S=_xlfn.MINIFS($S:$S,$T:$T,"="&amp;$T303)),""))))&amp;"",IF(P303="","",""))&amp;""</f>
        <v/>
      </c>
      <c r="AX303" t="str" cm="1">
        <f t="array" ref="AX303">IFERROR(IF(Q303&lt;&gt;"",Q303,IF(OR($S303="",$T303=""),"",IF($T303&lt;&gt;"",_xlfn._xlws.FILTER(Q:Q,($BT:$BT=$BT303)*($I:$I=$I303)*($T:$T=$T303)*($S:$S=_xlfn.MINIFS($S:$S,$T:$T,"="&amp;$T303)),""))))&amp;"",IF(Q303="","",""))&amp;""</f>
        <v/>
      </c>
      <c r="AY303" t="str" cm="1">
        <f t="array" ref="AY303">IFERROR(IF(R303&lt;&gt;"",R303,IF(OR($S303="",$T303=""),"",IF($T303&lt;&gt;"",_xlfn._xlws.FILTER(R:R,($BT:$BT=$BT303)*($I:$I=$I303)*($T:$T=$T303)*($S:$S=_xlfn.MINIFS($S:$S,$T:$T,"="&amp;$T303)),""))))&amp;"",IF(R303="","",""))&amp;""</f>
        <v/>
      </c>
      <c r="AZ303" s="6">
        <f t="shared" si="487"/>
        <v>28</v>
      </c>
      <c r="BA303">
        <f t="shared" ref="BA303:BC303" si="556">BA302</f>
        <v>18991</v>
      </c>
      <c r="BB303" t="str">
        <f t="shared" si="556"/>
        <v>Triple J</v>
      </c>
      <c r="BC303" t="str">
        <f t="shared" si="556"/>
        <v>Velodrome</v>
      </c>
      <c r="BD303" t="str">
        <f t="shared" si="489"/>
        <v>Zone_Entry_Exit</v>
      </c>
      <c r="BE303" t="str">
        <f t="shared" si="490"/>
        <v>Zone_Exit</v>
      </c>
      <c r="BF303" t="str">
        <f t="shared" si="491"/>
        <v>ZoneExit-Rush</v>
      </c>
      <c r="BG303" t="str">
        <f t="shared" si="473"/>
        <v>s</v>
      </c>
      <c r="BH303" cm="1">
        <f t="array" aca="1" ref="BH303" ca="1">IFERROR(_xlfn._xlws.FILTER(shifts!A:A,(shifts!B:B=events!Z303)*(shifts!AG:AG&gt;=events!BJ303)*(shifts!AH:AH&lt;=events!BK303)),BH302)</f>
        <v>10</v>
      </c>
      <c r="BI303" s="15">
        <f t="shared" si="492"/>
        <v>1</v>
      </c>
      <c r="BJ303">
        <f t="shared" si="493"/>
        <v>810</v>
      </c>
      <c r="BK303">
        <f t="shared" si="494"/>
        <v>809</v>
      </c>
      <c r="BL303" s="15">
        <f>SUMIFS(BI$2:BI303,K$2:K303,"=Intermission")+SUMIFS(BI$2:BI303,K$2:K303,"=Timeout")</f>
        <v>0</v>
      </c>
      <c r="BM303">
        <f t="shared" si="495"/>
        <v>0</v>
      </c>
      <c r="BN303" s="19">
        <f t="shared" si="496"/>
        <v>270</v>
      </c>
      <c r="BO303">
        <f t="shared" si="497"/>
        <v>265</v>
      </c>
      <c r="BP303" s="17">
        <f t="shared" si="498"/>
        <v>271</v>
      </c>
      <c r="BQ303" t="str">
        <f t="shared" si="499"/>
        <v>event_team_player_1</v>
      </c>
      <c r="BR303">
        <f>COUNTIFS(S$3:S303,"="&amp;S303,AH$3:AH303,"="&amp;AH303)</f>
        <v>1</v>
      </c>
      <c r="BS303" t="str">
        <f>IFERROR(VLOOKUP(BA303&amp;BT303&amp;X303,game_rosters!U:W,3,FALSE),"")</f>
        <v>P100008</v>
      </c>
      <c r="BT303" t="str">
        <f t="shared" si="500"/>
        <v>Triple J</v>
      </c>
    </row>
    <row r="304" spans="1:72" x14ac:dyDescent="0.2">
      <c r="A304">
        <f t="shared" si="475"/>
        <v>1</v>
      </c>
      <c r="E304" s="4"/>
      <c r="F304" s="45"/>
      <c r="G304" s="4"/>
      <c r="H304" s="47" t="s">
        <v>1039</v>
      </c>
      <c r="I304" s="26">
        <v>71</v>
      </c>
      <c r="J304" s="26" t="s">
        <v>734</v>
      </c>
      <c r="K304" t="s">
        <v>13</v>
      </c>
      <c r="N304" t="str">
        <f t="shared" si="520"/>
        <v/>
      </c>
      <c r="Q304" t="str">
        <f t="shared" si="513"/>
        <v/>
      </c>
      <c r="S304">
        <f>IF(A304=1,MAX($S$2:$S303)+1,IF(OR($I304&lt;&gt;"",A304="x"),$S303,""))</f>
        <v>158</v>
      </c>
      <c r="T304" t="str">
        <f>IF(D304=1,MAX($T$2:$T303)+1,IF(S304=S303,$T303,IF(D304="x",T303,IF(D303="x","",""))))</f>
        <v/>
      </c>
      <c r="U304" t="str">
        <f>IF(B304=1,MAX($U$2:$U303)+1,IF(AND($T304&lt;&gt;"",$T304=$T303),$U303,IF(B304="x",U303,"")))</f>
        <v/>
      </c>
      <c r="V304" t="str">
        <f>IF(C304=1,MAX($V$2:$V303)+1,IF(AND($T304&lt;&gt;"",$T304=$T303),$U303,IF(C304="x",V303,"")))</f>
        <v/>
      </c>
      <c r="W304" t="str" cm="1">
        <f t="array" ref="W304">IFERROR(_xlfn._xlws.FILTER(game_rosters!AC:AC,(game_rosters!J:J=events!X304)*(K304&lt;&gt;"")),"")</f>
        <v>h</v>
      </c>
      <c r="X304" cm="1">
        <f t="array" ref="X304">IF($I304&lt;&gt;"",$I304,INDEX($I$1:$I304,ROW()-COUNTIFS($T$1:$T304,"="&amp;$T304,$S$1:$S304,"&lt;"&amp;$S304)))</f>
        <v>71</v>
      </c>
      <c r="Y304" cm="1">
        <f t="array" ref="Y304">IFERROR(IF(_xlfn._xlws.FILTER(game_rosters!$J:$J,(game_rosters!$G:$G=events!$AM304)*(game_rosters!$J:$J=events!$X304))&gt;0,1,""),"")</f>
        <v>1</v>
      </c>
      <c r="Z304" s="6">
        <f t="shared" si="476"/>
        <v>1</v>
      </c>
      <c r="AA304">
        <f t="shared" si="477"/>
        <v>1158</v>
      </c>
      <c r="AB304" t="str">
        <f t="shared" si="478"/>
        <v/>
      </c>
      <c r="AC304">
        <f t="shared" si="479"/>
        <v>1158</v>
      </c>
      <c r="AD304" t="str">
        <f t="shared" si="480"/>
        <v>13</v>
      </c>
      <c r="AE304" t="str">
        <f t="shared" si="481"/>
        <v>29</v>
      </c>
      <c r="AF304" t="str">
        <f t="shared" si="482"/>
        <v>13</v>
      </c>
      <c r="AG304" t="str">
        <f t="shared" si="483"/>
        <v>27</v>
      </c>
      <c r="AH304" t="str">
        <f t="shared" si="526"/>
        <v>e</v>
      </c>
      <c r="AI304" t="str">
        <f t="shared" si="551"/>
        <v>n</v>
      </c>
      <c r="AJ304" t="str">
        <f t="shared" si="551"/>
        <v>n</v>
      </c>
      <c r="AK304" t="str">
        <f t="shared" si="528"/>
        <v>n</v>
      </c>
      <c r="AL304" t="str">
        <f t="shared" si="529"/>
        <v>n</v>
      </c>
      <c r="AM304" t="str">
        <f t="shared" si="484"/>
        <v>Home</v>
      </c>
      <c r="AN304" t="str">
        <f t="shared" si="530"/>
        <v>h</v>
      </c>
      <c r="AO304" t="str">
        <f t="shared" si="531"/>
        <v>n</v>
      </c>
      <c r="AP304" t="str">
        <f t="shared" si="532"/>
        <v>n</v>
      </c>
      <c r="AQ304" t="str">
        <f>IF(AM304&lt;&gt;"",AM304,IF($AC304=#REF!,#REF!,""))</f>
        <v>Home</v>
      </c>
      <c r="AR304" t="str">
        <f t="shared" si="533"/>
        <v>h</v>
      </c>
      <c r="AS304" t="str">
        <f t="shared" si="534"/>
        <v>Offensive</v>
      </c>
      <c r="AT304" t="str">
        <f t="shared" si="485"/>
        <v/>
      </c>
      <c r="AU304" t="str">
        <f t="shared" si="486"/>
        <v/>
      </c>
      <c r="AV304" t="str" cm="1">
        <f t="array" ref="AV304">IFERROR(IF(O304&lt;&gt;"",O304,IF(OR($S304="",$T304=""),"",IF(O304&lt;&gt;"",O304,IF($T304&lt;&gt;"",_xlfn._xlws.FILTER(O:O,($BT:$BT=$BT304)*($I:$I=$I304)*($T:$T=$T304)*($S:$S=_xlfn.MINIFS($S:$S,$T:$T,"="&amp;$T304)),"")))))&amp;"",IF(O304="","",""))&amp;""</f>
        <v/>
      </c>
      <c r="AW304" t="str" cm="1">
        <f t="array" ref="AW304">IFERROR(IF(P304&lt;&gt;"",P304,IF(OR($S304="",$T304=""),"",IF($T304&lt;&gt;"",_xlfn._xlws.FILTER(P:P,($BT:$BT=$BT304)*($I:$I=$I304)*($T:$T=$T304)*($S:$S=_xlfn.MINIFS($S:$S,$T:$T,"="&amp;$T304)),""))))&amp;"",IF(P304="","",""))&amp;""</f>
        <v/>
      </c>
      <c r="AX304" t="str" cm="1">
        <f t="array" ref="AX304">IFERROR(IF(Q304&lt;&gt;"",Q304,IF(OR($S304="",$T304=""),"",IF($T304&lt;&gt;"",_xlfn._xlws.FILTER(Q:Q,($BT:$BT=$BT304)*($I:$I=$I304)*($T:$T=$T304)*($S:$S=_xlfn.MINIFS($S:$S,$T:$T,"="&amp;$T304)),""))))&amp;"",IF(Q304="","",""))&amp;""</f>
        <v/>
      </c>
      <c r="AY304" t="str" cm="1">
        <f t="array" ref="AY304">IFERROR(IF(R304&lt;&gt;"",R304,IF(OR($S304="",$T304=""),"",IF($T304&lt;&gt;"",_xlfn._xlws.FILTER(R:R,($BT:$BT=$BT304)*($I:$I=$I304)*($T:$T=$T304)*($S:$S=_xlfn.MINIFS($S:$S,$T:$T,"="&amp;$T304)),""))))&amp;"",IF(R304="","",""))&amp;""</f>
        <v/>
      </c>
      <c r="AZ304" s="6">
        <f t="shared" si="487"/>
        <v>28</v>
      </c>
      <c r="BA304">
        <f t="shared" ref="BA304:BC304" si="557">BA303</f>
        <v>18991</v>
      </c>
      <c r="BB304" t="str">
        <f t="shared" si="557"/>
        <v>Triple J</v>
      </c>
      <c r="BC304" t="str">
        <f t="shared" si="557"/>
        <v>Velodrome</v>
      </c>
      <c r="BD304" t="str">
        <f t="shared" si="489"/>
        <v>Possession</v>
      </c>
      <c r="BE304" t="str">
        <f t="shared" si="490"/>
        <v/>
      </c>
      <c r="BF304" t="str">
        <f t="shared" si="491"/>
        <v/>
      </c>
      <c r="BG304" t="str">
        <f t="shared" si="473"/>
        <v/>
      </c>
      <c r="BH304" cm="1">
        <f t="array" aca="1" ref="BH304" ca="1">IFERROR(_xlfn._xlws.FILTER(shifts!A:A,(shifts!B:B=events!Z304)*(shifts!AG:AG&gt;=events!BJ304)*(shifts!AH:AH&lt;=events!BK304)),BH303)</f>
        <v>10</v>
      </c>
      <c r="BI304" s="15">
        <f t="shared" si="492"/>
        <v>2</v>
      </c>
      <c r="BJ304">
        <f t="shared" si="493"/>
        <v>809</v>
      </c>
      <c r="BK304">
        <f t="shared" si="494"/>
        <v>807</v>
      </c>
      <c r="BL304" s="15">
        <f>SUMIFS(BI$2:BI304,K$2:K304,"=Intermission")+SUMIFS(BI$2:BI304,K$2:K304,"=Timeout")</f>
        <v>0</v>
      </c>
      <c r="BM304">
        <f t="shared" si="495"/>
        <v>0</v>
      </c>
      <c r="BN304" s="19">
        <f t="shared" si="496"/>
        <v>271</v>
      </c>
      <c r="BO304">
        <f t="shared" si="497"/>
        <v>266</v>
      </c>
      <c r="BP304" s="17">
        <f t="shared" si="498"/>
        <v>273</v>
      </c>
      <c r="BQ304" t="str">
        <f t="shared" si="499"/>
        <v>event_team_player_1</v>
      </c>
      <c r="BR304">
        <f>COUNTIFS(S$3:S304,"="&amp;S304,AH$3:AH304,"="&amp;AH304)</f>
        <v>1</v>
      </c>
      <c r="BS304" t="str">
        <f>IFERROR(VLOOKUP(BA304&amp;BT304&amp;X304,game_rosters!U:W,3,FALSE),"")</f>
        <v>P100008</v>
      </c>
      <c r="BT304" t="str">
        <f t="shared" si="500"/>
        <v>Triple J</v>
      </c>
    </row>
    <row r="305" spans="1:72" x14ac:dyDescent="0.2">
      <c r="A305">
        <f t="shared" si="475"/>
        <v>1</v>
      </c>
      <c r="E305" s="4"/>
      <c r="F305" s="45"/>
      <c r="G305" s="4"/>
      <c r="H305" s="47" t="s">
        <v>739</v>
      </c>
      <c r="I305" s="26">
        <v>71</v>
      </c>
      <c r="J305" s="26" t="str">
        <f t="shared" si="501"/>
        <v>o</v>
      </c>
      <c r="K305" t="s">
        <v>238</v>
      </c>
      <c r="L305" t="s">
        <v>174</v>
      </c>
      <c r="M305" t="s">
        <v>85</v>
      </c>
      <c r="N305" t="s">
        <v>594</v>
      </c>
      <c r="Q305" t="str">
        <f t="shared" si="513"/>
        <v/>
      </c>
      <c r="R305" s="26">
        <v>1</v>
      </c>
      <c r="S305">
        <f>IF(A305=1,MAX($S$2:$S304)+1,IF(OR($I305&lt;&gt;"",A305="x"),$S304,""))</f>
        <v>159</v>
      </c>
      <c r="T305" t="str">
        <f>IF(D305=1,MAX($T$2:$T304)+1,IF(S305=S304,$T304,IF(D305="x",T304,IF(D304="x","",""))))</f>
        <v/>
      </c>
      <c r="U305" t="str">
        <f>IF(B305=1,MAX($U$2:$U304)+1,IF(AND($T305&lt;&gt;"",$T305=$T304),$U304,IF(B305="x",U304,"")))</f>
        <v/>
      </c>
      <c r="V305" t="str">
        <f>IF(C305=1,MAX($V$2:$V304)+1,IF(AND($T305&lt;&gt;"",$T305=$T304),$U304,IF(C305="x",V304,"")))</f>
        <v/>
      </c>
      <c r="W305" t="str" cm="1">
        <f t="array" ref="W305">IFERROR(_xlfn._xlws.FILTER(game_rosters!AC:AC,(game_rosters!J:J=events!X305)*(K305&lt;&gt;"")),"")</f>
        <v>h</v>
      </c>
      <c r="X305" cm="1">
        <f t="array" ref="X305">IF($I305&lt;&gt;"",$I305,INDEX($I$1:$I305,ROW()-COUNTIFS($T$1:$T305,"="&amp;$T305,$S$1:$S305,"&lt;"&amp;$S305)))</f>
        <v>71</v>
      </c>
      <c r="Y305" cm="1">
        <f t="array" ref="Y305">IFERROR(IF(_xlfn._xlws.FILTER(game_rosters!$J:$J,(game_rosters!$G:$G=events!$AM305)*(game_rosters!$J:$J=events!$X305))&gt;0,1,""),"")</f>
        <v>1</v>
      </c>
      <c r="Z305" s="6">
        <f t="shared" si="476"/>
        <v>1</v>
      </c>
      <c r="AA305">
        <f t="shared" si="477"/>
        <v>1159</v>
      </c>
      <c r="AB305" t="str">
        <f t="shared" si="478"/>
        <v/>
      </c>
      <c r="AC305">
        <f t="shared" si="479"/>
        <v>1159</v>
      </c>
      <c r="AD305" t="str">
        <f t="shared" si="480"/>
        <v>13</v>
      </c>
      <c r="AE305" t="str">
        <f t="shared" si="481"/>
        <v>27</v>
      </c>
      <c r="AF305" t="str">
        <f t="shared" si="482"/>
        <v>13</v>
      </c>
      <c r="AG305" t="str">
        <f t="shared" si="483"/>
        <v>26</v>
      </c>
      <c r="AH305" t="str">
        <f t="shared" si="526"/>
        <v>e</v>
      </c>
      <c r="AI305" t="str">
        <f t="shared" si="551"/>
        <v>o</v>
      </c>
      <c r="AJ305" t="str">
        <f t="shared" si="551"/>
        <v>o</v>
      </c>
      <c r="AK305" t="str">
        <f t="shared" si="528"/>
        <v>o</v>
      </c>
      <c r="AL305" t="str">
        <f t="shared" si="529"/>
        <v>d</v>
      </c>
      <c r="AM305" t="str">
        <f t="shared" si="484"/>
        <v>Home</v>
      </c>
      <c r="AN305" t="str">
        <f t="shared" si="530"/>
        <v>h</v>
      </c>
      <c r="AO305" t="str">
        <f t="shared" si="531"/>
        <v>o</v>
      </c>
      <c r="AP305" t="str">
        <f t="shared" si="532"/>
        <v>d</v>
      </c>
      <c r="AQ305" t="str">
        <f>IF(AM305&lt;&gt;"",AM305,IF($AC305=#REF!,#REF!,""))</f>
        <v>Home</v>
      </c>
      <c r="AR305" t="str">
        <f t="shared" si="533"/>
        <v>h</v>
      </c>
      <c r="AS305" t="str">
        <f t="shared" si="534"/>
        <v>Offensive</v>
      </c>
      <c r="AT305" t="str">
        <f t="shared" si="485"/>
        <v/>
      </c>
      <c r="AU305" t="str">
        <f t="shared" si="486"/>
        <v/>
      </c>
      <c r="AV305" t="str" cm="1">
        <f t="array" ref="AV305">IFERROR(IF(O305&lt;&gt;"",O305,IF(OR($S305="",$T305=""),"",IF(O305&lt;&gt;"",O305,IF($T305&lt;&gt;"",_xlfn._xlws.FILTER(O:O,($BT:$BT=$BT305)*($I:$I=$I305)*($T:$T=$T305)*($S:$S=_xlfn.MINIFS($S:$S,$T:$T,"="&amp;$T305)),"")))))&amp;"",IF(O305="","",""))&amp;""</f>
        <v/>
      </c>
      <c r="AW305" t="str" cm="1">
        <f t="array" ref="AW305">IFERROR(IF(P305&lt;&gt;"",P305,IF(OR($S305="",$T305=""),"",IF($T305&lt;&gt;"",_xlfn._xlws.FILTER(P:P,($BT:$BT=$BT305)*($I:$I=$I305)*($T:$T=$T305)*($S:$S=_xlfn.MINIFS($S:$S,$T:$T,"="&amp;$T305)),""))))&amp;"",IF(P305="","",""))&amp;""</f>
        <v/>
      </c>
      <c r="AX305" t="str" cm="1">
        <f t="array" ref="AX305">IFERROR(IF(Q305&lt;&gt;"",Q305,IF(OR($S305="",$T305=""),"",IF($T305&lt;&gt;"",_xlfn._xlws.FILTER(Q:Q,($BT:$BT=$BT305)*($I:$I=$I305)*($T:$T=$T305)*($S:$S=_xlfn.MINIFS($S:$S,$T:$T,"="&amp;$T305)),""))))&amp;"",IF(Q305="","",""))&amp;""</f>
        <v/>
      </c>
      <c r="AY305" t="str" cm="1">
        <f t="array" ref="AY305">IFERROR(IF(R305&lt;&gt;"",R305,IF(OR($S305="",$T305=""),"",IF($T305&lt;&gt;"",_xlfn._xlws.FILTER(R:R,($BT:$BT=$BT305)*($I:$I=$I305)*($T:$T=$T305)*($S:$S=_xlfn.MINIFS($S:$S,$T:$T,"="&amp;$T305)),""))))&amp;"",IF(R305="","",""))&amp;""</f>
        <v>1</v>
      </c>
      <c r="AZ305" s="6">
        <f t="shared" si="487"/>
        <v>29</v>
      </c>
      <c r="BA305">
        <f t="shared" ref="BA305:BC305" si="558">BA304</f>
        <v>18991</v>
      </c>
      <c r="BB305" t="str">
        <f t="shared" si="558"/>
        <v>Triple J</v>
      </c>
      <c r="BC305" t="str">
        <f t="shared" si="558"/>
        <v>Velodrome</v>
      </c>
      <c r="BD305" t="str">
        <f t="shared" si="489"/>
        <v>Zone_Entry_Exit</v>
      </c>
      <c r="BE305" t="str">
        <f t="shared" si="490"/>
        <v>Zone_Entry</v>
      </c>
      <c r="BF305" t="str">
        <f t="shared" si="491"/>
        <v>ZoneEntry-Rush</v>
      </c>
      <c r="BG305" t="str">
        <f t="shared" si="473"/>
        <v>u</v>
      </c>
      <c r="BH305" cm="1">
        <f t="array" aca="1" ref="BH305" ca="1">IFERROR(_xlfn._xlws.FILTER(shifts!A:A,(shifts!B:B=events!Z305)*(shifts!AG:AG&gt;=events!BJ305)*(shifts!AH:AH&lt;=events!BK305)),BH304)</f>
        <v>10</v>
      </c>
      <c r="BI305" s="15">
        <f t="shared" si="492"/>
        <v>1</v>
      </c>
      <c r="BJ305">
        <f t="shared" si="493"/>
        <v>807</v>
      </c>
      <c r="BK305">
        <f t="shared" si="494"/>
        <v>806</v>
      </c>
      <c r="BL305" s="15">
        <f>SUMIFS(BI$2:BI305,K$2:K305,"=Intermission")+SUMIFS(BI$2:BI305,K$2:K305,"=Timeout")</f>
        <v>0</v>
      </c>
      <c r="BM305">
        <f t="shared" si="495"/>
        <v>0</v>
      </c>
      <c r="BN305" s="19">
        <f t="shared" si="496"/>
        <v>273</v>
      </c>
      <c r="BO305">
        <f t="shared" si="497"/>
        <v>268</v>
      </c>
      <c r="BP305" s="17">
        <f t="shared" si="498"/>
        <v>274</v>
      </c>
      <c r="BQ305" t="str">
        <f t="shared" si="499"/>
        <v>event_team_player_1</v>
      </c>
      <c r="BR305">
        <f>COUNTIFS(S$3:S305,"="&amp;S305,AH$3:AH305,"="&amp;AH305)</f>
        <v>1</v>
      </c>
      <c r="BS305" t="str">
        <f>IFERROR(VLOOKUP(BA305&amp;BT305&amp;X305,game_rosters!U:W,3,FALSE),"")</f>
        <v>P100008</v>
      </c>
      <c r="BT305" t="str">
        <f t="shared" si="500"/>
        <v>Triple J</v>
      </c>
    </row>
    <row r="306" spans="1:72" x14ac:dyDescent="0.2">
      <c r="A306" t="str">
        <f t="shared" si="475"/>
        <v/>
      </c>
      <c r="E306" s="4"/>
      <c r="F306" s="45"/>
      <c r="G306" s="4"/>
      <c r="H306" s="47"/>
      <c r="I306" s="26">
        <v>9</v>
      </c>
      <c r="J306" s="26" t="str">
        <f t="shared" si="501"/>
        <v/>
      </c>
      <c r="N306" t="str">
        <f t="shared" si="520"/>
        <v/>
      </c>
      <c r="Q306" t="str">
        <f t="shared" si="513"/>
        <v/>
      </c>
      <c r="R306" s="26">
        <v>1</v>
      </c>
      <c r="S306">
        <f>IF(A306=1,MAX($S$2:$S305)+1,IF(OR($I306&lt;&gt;"",A306="x"),$S305,""))</f>
        <v>159</v>
      </c>
      <c r="T306" t="str">
        <f>IF(D306=1,MAX($T$2:$T305)+1,IF(S306=S305,$T305,IF(D306="x",T305,IF(D305="x","",""))))</f>
        <v/>
      </c>
      <c r="U306" t="str">
        <f>IF(B306=1,MAX($U$2:$U305)+1,IF(AND($T306&lt;&gt;"",$T306=$T305),$U305,IF(B306="x",U305,"")))</f>
        <v/>
      </c>
      <c r="V306" t="str">
        <f>IF(C306=1,MAX($V$2:$V305)+1,IF(AND($T306&lt;&gt;"",$T306=$T305),$U305,IF(C306="x",V305,"")))</f>
        <v/>
      </c>
      <c r="W306" t="str" cm="1">
        <f t="array" ref="W306">IFERROR(_xlfn._xlws.FILTER(game_rosters!AC:AC,(game_rosters!J:J=events!X306)*(K306&lt;&gt;"")),"")</f>
        <v/>
      </c>
      <c r="X306" cm="1">
        <f t="array" ref="X306">IF($I306&lt;&gt;"",$I306,INDEX($I$1:$I306,ROW()-COUNTIFS($T$1:$T306,"="&amp;$T306,$S$1:$S306,"&lt;"&amp;$S306)))</f>
        <v>9</v>
      </c>
      <c r="Y306" t="str" cm="1">
        <f t="array" ref="Y306">IFERROR(IF(_xlfn._xlws.FILTER(game_rosters!$J:$J,(game_rosters!$G:$G=events!$AM306)*(game_rosters!$J:$J=events!$X306))&gt;0,1,""),"")</f>
        <v/>
      </c>
      <c r="Z306" s="6">
        <f t="shared" si="476"/>
        <v>1</v>
      </c>
      <c r="AA306">
        <f t="shared" si="477"/>
        <v>1159</v>
      </c>
      <c r="AB306" t="str">
        <f t="shared" si="478"/>
        <v/>
      </c>
      <c r="AC306">
        <f t="shared" si="479"/>
        <v>1159</v>
      </c>
      <c r="AD306" t="str">
        <f t="shared" si="480"/>
        <v>13</v>
      </c>
      <c r="AE306" t="str">
        <f t="shared" si="481"/>
        <v>27</v>
      </c>
      <c r="AF306" t="str">
        <f t="shared" si="482"/>
        <v>13</v>
      </c>
      <c r="AG306" t="str">
        <f t="shared" si="483"/>
        <v>26</v>
      </c>
      <c r="AH306" t="str">
        <f t="shared" si="526"/>
        <v>o</v>
      </c>
      <c r="AI306" t="str">
        <f t="shared" si="551"/>
        <v>o</v>
      </c>
      <c r="AJ306" t="str">
        <f t="shared" si="551"/>
        <v>o</v>
      </c>
      <c r="AK306" t="str">
        <f t="shared" si="528"/>
        <v/>
      </c>
      <c r="AL306" t="str">
        <f t="shared" si="529"/>
        <v/>
      </c>
      <c r="AM306" t="str">
        <f t="shared" si="484"/>
        <v>Home</v>
      </c>
      <c r="AN306" t="str">
        <f t="shared" si="530"/>
        <v>h</v>
      </c>
      <c r="AO306" t="str">
        <f t="shared" si="531"/>
        <v>o</v>
      </c>
      <c r="AP306" t="str">
        <f t="shared" si="532"/>
        <v>d</v>
      </c>
      <c r="AQ306" t="str">
        <f>IF(AM306&lt;&gt;"",AM306,IF($AC306=#REF!,#REF!,""))</f>
        <v>Home</v>
      </c>
      <c r="AR306" t="str">
        <f t="shared" si="533"/>
        <v>h</v>
      </c>
      <c r="AS306" t="str">
        <f t="shared" si="534"/>
        <v>Defensive</v>
      </c>
      <c r="AT306" t="str">
        <f t="shared" si="485"/>
        <v/>
      </c>
      <c r="AU306" t="str">
        <f t="shared" si="486"/>
        <v/>
      </c>
      <c r="AV306" t="str" cm="1">
        <f t="array" ref="AV306">IFERROR(IF(O306&lt;&gt;"",O306,IF(OR($S306="",$T306=""),"",IF(O306&lt;&gt;"",O306,IF($T306&lt;&gt;"",_xlfn._xlws.FILTER(O:O,($BT:$BT=$BT306)*($I:$I=$I306)*($T:$T=$T306)*($S:$S=_xlfn.MINIFS($S:$S,$T:$T,"="&amp;$T306)),"")))))&amp;"",IF(O306="","",""))&amp;""</f>
        <v/>
      </c>
      <c r="AW306" t="str" cm="1">
        <f t="array" ref="AW306">IFERROR(IF(P306&lt;&gt;"",P306,IF(OR($S306="",$T306=""),"",IF($T306&lt;&gt;"",_xlfn._xlws.FILTER(P:P,($BT:$BT=$BT306)*($I:$I=$I306)*($T:$T=$T306)*($S:$S=_xlfn.MINIFS($S:$S,$T:$T,"="&amp;$T306)),""))))&amp;"",IF(P306="","",""))&amp;""</f>
        <v/>
      </c>
      <c r="AX306" t="str" cm="1">
        <f t="array" ref="AX306">IFERROR(IF(Q306&lt;&gt;"",Q306,IF(OR($S306="",$T306=""),"",IF($T306&lt;&gt;"",_xlfn._xlws.FILTER(Q:Q,($BT:$BT=$BT306)*($I:$I=$I306)*($T:$T=$T306)*($S:$S=_xlfn.MINIFS($S:$S,$T:$T,"="&amp;$T306)),""))))&amp;"",IF(Q306="","",""))&amp;""</f>
        <v/>
      </c>
      <c r="AY306" t="str" cm="1">
        <f t="array" ref="AY306">IFERROR(IF(R306&lt;&gt;"",R306,IF(OR($S306="",$T306=""),"",IF($T306&lt;&gt;"",_xlfn._xlws.FILTER(R:R,($BT:$BT=$BT306)*($I:$I=$I306)*($T:$T=$T306)*($S:$S=_xlfn.MINIFS($S:$S,$T:$T,"="&amp;$T306)),""))))&amp;"",IF(R306="","",""))&amp;""</f>
        <v>1</v>
      </c>
      <c r="AZ306" s="6">
        <f t="shared" si="487"/>
        <v>29</v>
      </c>
      <c r="BA306">
        <f t="shared" ref="BA306:BC306" si="559">BA305</f>
        <v>18991</v>
      </c>
      <c r="BB306" t="str">
        <f t="shared" si="559"/>
        <v>Triple J</v>
      </c>
      <c r="BC306" t="str">
        <f t="shared" si="559"/>
        <v>Velodrome</v>
      </c>
      <c r="BD306" t="str">
        <f t="shared" si="489"/>
        <v>Zone_Entry_Exit</v>
      </c>
      <c r="BE306" t="str">
        <f t="shared" si="490"/>
        <v>Zone_Entry</v>
      </c>
      <c r="BF306" t="str">
        <f t="shared" si="491"/>
        <v>ZoneEntry-Rush</v>
      </c>
      <c r="BG306" t="str">
        <f t="shared" si="473"/>
        <v>u</v>
      </c>
      <c r="BH306" cm="1">
        <f t="array" aca="1" ref="BH306" ca="1">IFERROR(_xlfn._xlws.FILTER(shifts!A:A,(shifts!B:B=events!Z306)*(shifts!AG:AG&gt;=events!BJ306)*(shifts!AH:AH&lt;=events!BK306)),BH305)</f>
        <v>10</v>
      </c>
      <c r="BI306" s="15">
        <f t="shared" si="492"/>
        <v>1</v>
      </c>
      <c r="BJ306">
        <f t="shared" si="493"/>
        <v>807</v>
      </c>
      <c r="BK306">
        <f t="shared" si="494"/>
        <v>806</v>
      </c>
      <c r="BL306" s="15">
        <f>SUMIFS(BI$2:BI306,K$2:K306,"=Intermission")+SUMIFS(BI$2:BI306,K$2:K306,"=Timeout")</f>
        <v>0</v>
      </c>
      <c r="BM306">
        <f t="shared" si="495"/>
        <v>0</v>
      </c>
      <c r="BN306" s="19">
        <f t="shared" si="496"/>
        <v>273</v>
      </c>
      <c r="BO306">
        <f t="shared" si="497"/>
        <v>268</v>
      </c>
      <c r="BP306" s="17">
        <f t="shared" si="498"/>
        <v>274</v>
      </c>
      <c r="BQ306" t="str">
        <f t="shared" si="499"/>
        <v>opp_team_player_1</v>
      </c>
      <c r="BR306">
        <f>COUNTIFS(S$3:S306,"="&amp;S306,AH$3:AH306,"="&amp;AH306)</f>
        <v>1</v>
      </c>
      <c r="BS306" t="str">
        <f>IFERROR(VLOOKUP(BA306&amp;BT306&amp;X306,game_rosters!U:W,3,FALSE),"")</f>
        <v>P100105</v>
      </c>
      <c r="BT306" t="str">
        <f t="shared" si="500"/>
        <v>Velodrome</v>
      </c>
    </row>
    <row r="307" spans="1:72" x14ac:dyDescent="0.2">
      <c r="A307">
        <f t="shared" si="475"/>
        <v>1</v>
      </c>
      <c r="D307" s="26">
        <v>1</v>
      </c>
      <c r="E307" s="4"/>
      <c r="F307" s="45"/>
      <c r="G307" s="4"/>
      <c r="H307" s="47"/>
      <c r="I307" s="26">
        <v>9</v>
      </c>
      <c r="J307" s="26" t="s">
        <v>736</v>
      </c>
      <c r="K307" t="s">
        <v>9</v>
      </c>
      <c r="L307" t="s">
        <v>183</v>
      </c>
      <c r="M307" t="s">
        <v>79</v>
      </c>
      <c r="N307" t="s">
        <v>595</v>
      </c>
      <c r="O307" t="s">
        <v>158</v>
      </c>
      <c r="Q307" t="str">
        <f t="shared" si="513"/>
        <v>s</v>
      </c>
      <c r="R307" s="26">
        <v>1</v>
      </c>
      <c r="S307">
        <f>IF(A307=1,MAX($S$2:$S306)+1,IF(OR($I307&lt;&gt;"",A307="x"),$S306,""))</f>
        <v>160</v>
      </c>
      <c r="T307">
        <f>IF(D307=1,MAX($T$2:$T306)+1,IF(S307=S306,$T306,IF(D307="x",T306,IF(D306="x","",""))))</f>
        <v>20</v>
      </c>
      <c r="U307" t="str">
        <f>IF(B307=1,MAX($U$2:$U306)+1,IF(AND($T307&lt;&gt;"",$T307=$T306),$U306,IF(B307="x",U306,"")))</f>
        <v/>
      </c>
      <c r="V307" t="str">
        <f>IF(C307=1,MAX($V$2:$V306)+1,IF(AND($T307&lt;&gt;"",$T307=$T306),$U306,IF(C307="x",V306,"")))</f>
        <v/>
      </c>
      <c r="W307" t="str" cm="1">
        <f t="array" ref="W307">IFERROR(_xlfn._xlws.FILTER(game_rosters!AC:AC,(game_rosters!J:J=events!X307)*(K307&lt;&gt;"")),"")</f>
        <v>a</v>
      </c>
      <c r="X307" cm="1">
        <f t="array" ref="X307">IF($I307&lt;&gt;"",$I307,INDEX($I$1:$I307,ROW()-COUNTIFS($T$1:$T307,"="&amp;$T307,$S$1:$S307,"&lt;"&amp;$S307)))</f>
        <v>9</v>
      </c>
      <c r="Y307" cm="1">
        <f t="array" ref="Y307">IFERROR(IF(_xlfn._xlws.FILTER(game_rosters!$J:$J,(game_rosters!$G:$G=events!$AM307)*(game_rosters!$J:$J=events!$X307))&gt;0,1,""),"")</f>
        <v>1</v>
      </c>
      <c r="Z307" s="6">
        <f t="shared" si="476"/>
        <v>1</v>
      </c>
      <c r="AA307">
        <f t="shared" si="477"/>
        <v>1160</v>
      </c>
      <c r="AB307">
        <f t="shared" si="478"/>
        <v>9020</v>
      </c>
      <c r="AC307">
        <f t="shared" si="479"/>
        <v>9020</v>
      </c>
      <c r="AD307" t="str">
        <f t="shared" si="480"/>
        <v>13</v>
      </c>
      <c r="AE307" t="str">
        <f t="shared" si="481"/>
        <v>26</v>
      </c>
      <c r="AF307" t="str">
        <f t="shared" si="482"/>
        <v/>
      </c>
      <c r="AG307" t="str">
        <f t="shared" si="483"/>
        <v/>
      </c>
      <c r="AH307" t="str">
        <f t="shared" si="526"/>
        <v>e</v>
      </c>
      <c r="AI307" t="str">
        <f t="shared" si="551"/>
        <v>d</v>
      </c>
      <c r="AJ307" t="str">
        <f t="shared" si="551"/>
        <v>d</v>
      </c>
      <c r="AK307" t="str">
        <f t="shared" si="528"/>
        <v>o</v>
      </c>
      <c r="AL307" t="str">
        <f t="shared" si="529"/>
        <v>d</v>
      </c>
      <c r="AM307" t="str">
        <f t="shared" si="484"/>
        <v>Away</v>
      </c>
      <c r="AN307" t="str">
        <f t="shared" si="530"/>
        <v>a</v>
      </c>
      <c r="AO307" t="str">
        <f t="shared" si="531"/>
        <v>o</v>
      </c>
      <c r="AP307" t="str">
        <f t="shared" si="532"/>
        <v>d</v>
      </c>
      <c r="AQ307" t="str">
        <f>IF(AM307&lt;&gt;"",AM307,IF($AC307=#REF!,#REF!,""))</f>
        <v>Away</v>
      </c>
      <c r="AR307" t="str">
        <f t="shared" si="533"/>
        <v>a</v>
      </c>
      <c r="AS307" t="str">
        <f t="shared" si="534"/>
        <v>Defensive</v>
      </c>
      <c r="AT307" t="str">
        <f t="shared" si="485"/>
        <v/>
      </c>
      <c r="AU307" t="str">
        <f t="shared" si="486"/>
        <v/>
      </c>
      <c r="AV307" t="str" cm="1">
        <f t="array" ref="AV307">IFERROR(IF(O307&lt;&gt;"",O307,IF(OR($S307="",$T307=""),"",IF(O307&lt;&gt;"",O307,IF($T307&lt;&gt;"",_xlfn._xlws.FILTER(O:O,($BT:$BT=$BT307)*($I:$I=$I307)*($T:$T=$T307)*($S:$S=_xlfn.MINIFS($S:$S,$T:$T,"="&amp;$T307)),"")))))&amp;"",IF(O307="","",""))&amp;""</f>
        <v>SeperateFromPuck</v>
      </c>
      <c r="AW307" t="str" cm="1">
        <f t="array" ref="AW307">IFERROR(IF(P307&lt;&gt;"",P307,IF(OR($S307="",$T307=""),"",IF($T307&lt;&gt;"",_xlfn._xlws.FILTER(P:P,($BT:$BT=$BT307)*($I:$I=$I307)*($T:$T=$T307)*($S:$S=_xlfn.MINIFS($S:$S,$T:$T,"="&amp;$T307)),""))))&amp;"",IF(P307="","",""))&amp;""</f>
        <v/>
      </c>
      <c r="AX307" t="str" cm="1">
        <f t="array" ref="AX307">IFERROR(IF(Q307&lt;&gt;"",Q307,IF(OR($S307="",$T307=""),"",IF($T307&lt;&gt;"",_xlfn._xlws.FILTER(Q:Q,($BT:$BT=$BT307)*($I:$I=$I307)*($T:$T=$T307)*($S:$S=_xlfn.MINIFS($S:$S,$T:$T,"="&amp;$T307)),""))))&amp;"",IF(Q307="","",""))&amp;""</f>
        <v>s</v>
      </c>
      <c r="AY307" t="str" cm="1">
        <f t="array" ref="AY307">IFERROR(IF(R307&lt;&gt;"",R307,IF(OR($S307="",$T307=""),"",IF($T307&lt;&gt;"",_xlfn._xlws.FILTER(R:R,($BT:$BT=$BT307)*($I:$I=$I307)*($T:$T=$T307)*($S:$S=_xlfn.MINIFS($S:$S,$T:$T,"="&amp;$T307)),""))))&amp;"",IF(R307="","",""))&amp;""</f>
        <v>1</v>
      </c>
      <c r="AZ307" s="6">
        <f t="shared" si="487"/>
        <v>29</v>
      </c>
      <c r="BA307">
        <f t="shared" ref="BA307:BC307" si="560">BA306</f>
        <v>18991</v>
      </c>
      <c r="BB307" t="str">
        <f t="shared" si="560"/>
        <v>Triple J</v>
      </c>
      <c r="BC307" t="str">
        <f t="shared" si="560"/>
        <v>Velodrome</v>
      </c>
      <c r="BD307" t="str">
        <f t="shared" si="489"/>
        <v>Turnover</v>
      </c>
      <c r="BE307" t="str">
        <f t="shared" si="490"/>
        <v>Turnover_Takeaway</v>
      </c>
      <c r="BF307" t="str">
        <f t="shared" si="491"/>
        <v>Takeaway-BattleWon</v>
      </c>
      <c r="BG307" t="str">
        <f t="shared" si="473"/>
        <v>s</v>
      </c>
      <c r="BH307" cm="1">
        <f t="array" aca="1" ref="BH307" ca="1">IFERROR(_xlfn._xlws.FILTER(shifts!A:A,(shifts!B:B=events!Z307)*(shifts!AG:AG&gt;=events!BJ307)*(shifts!AH:AH&lt;=events!BK307)),BH306)</f>
        <v>10</v>
      </c>
      <c r="BI307" s="15">
        <f t="shared" si="492"/>
        <v>0</v>
      </c>
      <c r="BJ307">
        <f t="shared" si="493"/>
        <v>806</v>
      </c>
      <c r="BK307">
        <f t="shared" si="494"/>
        <v>806</v>
      </c>
      <c r="BL307" s="15">
        <f>SUMIFS(BI$2:BI307,K$2:K307,"=Intermission")+SUMIFS(BI$2:BI307,K$2:K307,"=Timeout")</f>
        <v>0</v>
      </c>
      <c r="BM307">
        <f t="shared" si="495"/>
        <v>0</v>
      </c>
      <c r="BN307" s="19">
        <f t="shared" si="496"/>
        <v>274</v>
      </c>
      <c r="BO307">
        <f t="shared" si="497"/>
        <v>269</v>
      </c>
      <c r="BP307" s="17">
        <f t="shared" si="498"/>
        <v>274</v>
      </c>
      <c r="BQ307" t="str">
        <f t="shared" si="499"/>
        <v>event_team_player_1</v>
      </c>
      <c r="BR307">
        <f>COUNTIFS(S$3:S307,"="&amp;S307,AH$3:AH307,"="&amp;AH307)</f>
        <v>1</v>
      </c>
      <c r="BS307" t="str">
        <f>IFERROR(VLOOKUP(BA307&amp;BT307&amp;X307,game_rosters!U:W,3,FALSE),"")</f>
        <v>P100105</v>
      </c>
      <c r="BT307" t="str">
        <f t="shared" si="500"/>
        <v>Velodrome</v>
      </c>
    </row>
    <row r="308" spans="1:72" x14ac:dyDescent="0.2">
      <c r="A308" t="str">
        <f t="shared" si="475"/>
        <v>x</v>
      </c>
      <c r="D308" s="26" t="s">
        <v>729</v>
      </c>
      <c r="E308" s="4"/>
      <c r="F308" s="45"/>
      <c r="G308" s="4"/>
      <c r="H308" s="47"/>
      <c r="I308" s="26">
        <v>71</v>
      </c>
      <c r="J308" s="26" t="str">
        <f t="shared" si="501"/>
        <v/>
      </c>
      <c r="N308" t="str">
        <f t="shared" si="520"/>
        <v/>
      </c>
      <c r="O308" t="s">
        <v>785</v>
      </c>
      <c r="Q308" t="str">
        <f t="shared" si="513"/>
        <v>u</v>
      </c>
      <c r="R308" s="26">
        <v>1</v>
      </c>
      <c r="S308">
        <f>IF(A308=1,MAX($S$2:$S307)+1,IF(OR($I308&lt;&gt;"",A308="x"),$S307,""))</f>
        <v>160</v>
      </c>
      <c r="T308">
        <f>IF(D308=1,MAX($T$2:$T307)+1,IF(S308=S307,$T307,IF(D308="x",T307,IF(D307="x","",""))))</f>
        <v>20</v>
      </c>
      <c r="U308" t="str">
        <f>IF(B308=1,MAX($U$2:$U307)+1,IF(AND($T308&lt;&gt;"",$T308=$T307),$U307,IF(B308="x",U307,"")))</f>
        <v/>
      </c>
      <c r="V308" t="str">
        <f>IF(C308=1,MAX($V$2:$V307)+1,IF(AND($T308&lt;&gt;"",$T308=$T307),$U307,IF(C308="x",V307,"")))</f>
        <v/>
      </c>
      <c r="W308" t="str" cm="1">
        <f t="array" ref="W308">IFERROR(_xlfn._xlws.FILTER(game_rosters!AC:AC,(game_rosters!J:J=events!X308)*(K308&lt;&gt;"")),"")</f>
        <v/>
      </c>
      <c r="X308" cm="1">
        <f t="array" ref="X308">IF($I308&lt;&gt;"",$I308,INDEX($I$1:$I308,ROW()-COUNTIFS($T$1:$T308,"="&amp;$T308,$S$1:$S308,"&lt;"&amp;$S308)))</f>
        <v>71</v>
      </c>
      <c r="Y308" t="str" cm="1">
        <f t="array" ref="Y308">IFERROR(IF(_xlfn._xlws.FILTER(game_rosters!$J:$J,(game_rosters!$G:$G=events!$AM308)*(game_rosters!$J:$J=events!$X308))&gt;0,1,""),"")</f>
        <v/>
      </c>
      <c r="Z308" s="6">
        <f t="shared" si="476"/>
        <v>1</v>
      </c>
      <c r="AA308">
        <f t="shared" si="477"/>
        <v>1160</v>
      </c>
      <c r="AB308">
        <f t="shared" si="478"/>
        <v>9020</v>
      </c>
      <c r="AC308">
        <f t="shared" si="479"/>
        <v>9020</v>
      </c>
      <c r="AD308" t="str">
        <f t="shared" si="480"/>
        <v>13</v>
      </c>
      <c r="AE308" t="str">
        <f t="shared" si="481"/>
        <v>26</v>
      </c>
      <c r="AF308" t="str">
        <f t="shared" si="482"/>
        <v/>
      </c>
      <c r="AG308" t="str">
        <f t="shared" si="483"/>
        <v/>
      </c>
      <c r="AH308" t="str">
        <f t="shared" si="526"/>
        <v>o</v>
      </c>
      <c r="AI308" t="str">
        <f t="shared" si="551"/>
        <v>d</v>
      </c>
      <c r="AJ308" t="str">
        <f t="shared" si="551"/>
        <v>d</v>
      </c>
      <c r="AK308" t="str">
        <f t="shared" si="528"/>
        <v/>
      </c>
      <c r="AL308" t="str">
        <f t="shared" si="529"/>
        <v/>
      </c>
      <c r="AM308" t="str">
        <f t="shared" si="484"/>
        <v>Away</v>
      </c>
      <c r="AN308" t="str">
        <f t="shared" si="530"/>
        <v>a</v>
      </c>
      <c r="AO308" t="str">
        <f t="shared" si="531"/>
        <v>o</v>
      </c>
      <c r="AP308" t="str">
        <f t="shared" si="532"/>
        <v>d</v>
      </c>
      <c r="AQ308" t="str">
        <f>IF(AM308&lt;&gt;"",AM308,IF($AC308=#REF!,#REF!,""))</f>
        <v>Away</v>
      </c>
      <c r="AR308" t="str">
        <f t="shared" si="533"/>
        <v>a</v>
      </c>
      <c r="AS308" t="str">
        <f t="shared" si="534"/>
        <v>Offensive</v>
      </c>
      <c r="AT308" t="str">
        <f t="shared" si="485"/>
        <v/>
      </c>
      <c r="AU308" t="str">
        <f t="shared" si="486"/>
        <v/>
      </c>
      <c r="AV308" t="str" cm="1">
        <f t="array" ref="AV308">IFERROR(IF(O308&lt;&gt;"",O308,IF(OR($S308="",$T308=""),"",IF(O308&lt;&gt;"",O308,IF($T308&lt;&gt;"",_xlfn._xlws.FILTER(O:O,($BT:$BT=$BT308)*($I:$I=$I308)*($T:$T=$T308)*($S:$S=_xlfn.MINIFS($S:$S,$T:$T,"="&amp;$T308)),"")))))&amp;"",IF(O308="","",""))&amp;""</f>
        <v>LostPuck</v>
      </c>
      <c r="AW308" t="str" cm="1">
        <f t="array" ref="AW308">IFERROR(IF(P308&lt;&gt;"",P308,IF(OR($S308="",$T308=""),"",IF($T308&lt;&gt;"",_xlfn._xlws.FILTER(P:P,($BT:$BT=$BT308)*($I:$I=$I308)*($T:$T=$T308)*($S:$S=_xlfn.MINIFS($S:$S,$T:$T,"="&amp;$T308)),""))))&amp;"",IF(P308="","",""))&amp;""</f>
        <v/>
      </c>
      <c r="AX308" t="str" cm="1">
        <f t="array" ref="AX308">IFERROR(IF(Q308&lt;&gt;"",Q308,IF(OR($S308="",$T308=""),"",IF($T308&lt;&gt;"",_xlfn._xlws.FILTER(Q:Q,($BT:$BT=$BT308)*($I:$I=$I308)*($T:$T=$T308)*($S:$S=_xlfn.MINIFS($S:$S,$T:$T,"="&amp;$T308)),""))))&amp;"",IF(Q308="","",""))&amp;""</f>
        <v>u</v>
      </c>
      <c r="AY308" t="str" cm="1">
        <f t="array" ref="AY308">IFERROR(IF(R308&lt;&gt;"",R308,IF(OR($S308="",$T308=""),"",IF($T308&lt;&gt;"",_xlfn._xlws.FILTER(R:R,($BT:$BT=$BT308)*($I:$I=$I308)*($T:$T=$T308)*($S:$S=_xlfn.MINIFS($S:$S,$T:$T,"="&amp;$T308)),""))))&amp;"",IF(R308="","",""))&amp;""</f>
        <v>1</v>
      </c>
      <c r="AZ308" s="6">
        <f t="shared" si="487"/>
        <v>29</v>
      </c>
      <c r="BA308">
        <f t="shared" ref="BA308:BC308" si="561">BA307</f>
        <v>18991</v>
      </c>
      <c r="BB308" t="str">
        <f t="shared" si="561"/>
        <v>Triple J</v>
      </c>
      <c r="BC308" t="str">
        <f t="shared" si="561"/>
        <v>Velodrome</v>
      </c>
      <c r="BD308" t="str">
        <f t="shared" si="489"/>
        <v>Turnover</v>
      </c>
      <c r="BE308" t="str">
        <f t="shared" si="490"/>
        <v>Turnover_Takeaway</v>
      </c>
      <c r="BF308" t="str">
        <f t="shared" si="491"/>
        <v>Takeaway-BattleWon</v>
      </c>
      <c r="BG308" t="str">
        <f t="shared" si="473"/>
        <v>s</v>
      </c>
      <c r="BH308" cm="1">
        <f t="array" aca="1" ref="BH308" ca="1">IFERROR(_xlfn._xlws.FILTER(shifts!A:A,(shifts!B:B=events!Z308)*(shifts!AG:AG&gt;=events!BJ308)*(shifts!AH:AH&lt;=events!BK308)),BH307)</f>
        <v>10</v>
      </c>
      <c r="BI308" s="15">
        <f t="shared" si="492"/>
        <v>0</v>
      </c>
      <c r="BJ308">
        <f t="shared" si="493"/>
        <v>806</v>
      </c>
      <c r="BK308">
        <f t="shared" si="494"/>
        <v>806</v>
      </c>
      <c r="BL308" s="15">
        <f>SUMIFS(BI$2:BI308,K$2:K308,"=Intermission")+SUMIFS(BI$2:BI308,K$2:K308,"=Timeout")</f>
        <v>0</v>
      </c>
      <c r="BM308">
        <f t="shared" si="495"/>
        <v>0</v>
      </c>
      <c r="BN308" s="19">
        <f t="shared" si="496"/>
        <v>274</v>
      </c>
      <c r="BO308">
        <f t="shared" si="497"/>
        <v>269</v>
      </c>
      <c r="BP308" s="17">
        <f t="shared" si="498"/>
        <v>274</v>
      </c>
      <c r="BQ308" t="str">
        <f t="shared" si="499"/>
        <v>opp_team_player_1</v>
      </c>
      <c r="BR308">
        <f>COUNTIFS(S$3:S308,"="&amp;S308,AH$3:AH308,"="&amp;AH308)</f>
        <v>1</v>
      </c>
      <c r="BS308" t="str">
        <f>IFERROR(VLOOKUP(BA308&amp;BT308&amp;X308,game_rosters!U:W,3,FALSE),"")</f>
        <v>P100008</v>
      </c>
      <c r="BT308" t="str">
        <f t="shared" si="500"/>
        <v>Triple J</v>
      </c>
    </row>
    <row r="309" spans="1:72" x14ac:dyDescent="0.2">
      <c r="A309">
        <f t="shared" si="475"/>
        <v>1</v>
      </c>
      <c r="D309" s="26" t="s">
        <v>729</v>
      </c>
      <c r="E309" s="4"/>
      <c r="F309" s="45"/>
      <c r="G309" s="4"/>
      <c r="H309" s="47"/>
      <c r="I309" s="26">
        <v>9</v>
      </c>
      <c r="J309" s="26" t="str">
        <f t="shared" si="501"/>
        <v>d</v>
      </c>
      <c r="K309" t="s">
        <v>238</v>
      </c>
      <c r="L309" t="s">
        <v>184</v>
      </c>
      <c r="M309" t="s">
        <v>415</v>
      </c>
      <c r="N309" t="str">
        <f t="shared" si="520"/>
        <v>s</v>
      </c>
      <c r="Q309" t="str">
        <f t="shared" si="513"/>
        <v/>
      </c>
      <c r="R309" s="26">
        <v>1</v>
      </c>
      <c r="S309">
        <f>IF(A309=1,MAX($S$2:$S308)+1,IF(OR($I309&lt;&gt;"",A309="x"),$S308,""))</f>
        <v>161</v>
      </c>
      <c r="T309">
        <f>IF(D309=1,MAX($T$2:$T308)+1,IF(S309=S308,$T308,IF(D309="x",T308,IF(D308="x","",""))))</f>
        <v>20</v>
      </c>
      <c r="U309" t="str">
        <f>IF(B309=1,MAX($U$2:$U308)+1,IF(AND($T309&lt;&gt;"",$T309=$T308),$U308,IF(B309="x",U308,"")))</f>
        <v/>
      </c>
      <c r="V309" t="str">
        <f>IF(C309=1,MAX($V$2:$V308)+1,IF(AND($T309&lt;&gt;"",$T309=$T308),$U308,IF(C309="x",V308,"")))</f>
        <v/>
      </c>
      <c r="W309" t="str" cm="1">
        <f t="array" ref="W309">IFERROR(_xlfn._xlws.FILTER(game_rosters!AC:AC,(game_rosters!J:J=events!X309)*(K309&lt;&gt;"")),"")</f>
        <v>a</v>
      </c>
      <c r="X309" cm="1">
        <f t="array" ref="X309">IF($I309&lt;&gt;"",$I309,INDEX($I$1:$I309,ROW()-COUNTIFS($T$1:$T309,"="&amp;$T309,$S$1:$S309,"&lt;"&amp;$S309)))</f>
        <v>9</v>
      </c>
      <c r="Y309" cm="1">
        <f t="array" ref="Y309">IFERROR(IF(_xlfn._xlws.FILTER(game_rosters!$J:$J,(game_rosters!$G:$G=events!$AM309)*(game_rosters!$J:$J=events!$X309))&gt;0,1,""),"")</f>
        <v>1</v>
      </c>
      <c r="Z309" s="6">
        <f t="shared" si="476"/>
        <v>1</v>
      </c>
      <c r="AA309">
        <f t="shared" si="477"/>
        <v>1161</v>
      </c>
      <c r="AB309">
        <f t="shared" si="478"/>
        <v>9020</v>
      </c>
      <c r="AC309">
        <f t="shared" si="479"/>
        <v>9020</v>
      </c>
      <c r="AD309" t="str">
        <f t="shared" si="480"/>
        <v>13</v>
      </c>
      <c r="AE309" t="str">
        <f t="shared" si="481"/>
        <v>26</v>
      </c>
      <c r="AF309" t="str">
        <f t="shared" si="482"/>
        <v/>
      </c>
      <c r="AG309" t="str">
        <f t="shared" si="483"/>
        <v/>
      </c>
      <c r="AH309" t="str">
        <f t="shared" si="526"/>
        <v>e</v>
      </c>
      <c r="AI309" t="str">
        <f t="shared" si="551"/>
        <v>d</v>
      </c>
      <c r="AJ309" t="str">
        <f t="shared" si="551"/>
        <v>d</v>
      </c>
      <c r="AK309" t="str">
        <f t="shared" si="528"/>
        <v>o</v>
      </c>
      <c r="AL309" t="str">
        <f t="shared" si="529"/>
        <v>d</v>
      </c>
      <c r="AM309" t="str">
        <f t="shared" si="484"/>
        <v>Away</v>
      </c>
      <c r="AN309" t="str">
        <f t="shared" si="530"/>
        <v>a</v>
      </c>
      <c r="AO309" t="str">
        <f t="shared" si="531"/>
        <v>o</v>
      </c>
      <c r="AP309" t="str">
        <f t="shared" si="532"/>
        <v>d</v>
      </c>
      <c r="AQ309" t="str">
        <f>IF(AM309&lt;&gt;"",AM309,IF($AC309=#REF!,#REF!,""))</f>
        <v>Away</v>
      </c>
      <c r="AR309" t="str">
        <f t="shared" si="533"/>
        <v>a</v>
      </c>
      <c r="AS309" t="str">
        <f t="shared" si="534"/>
        <v>Offensive</v>
      </c>
      <c r="AT309" t="str">
        <f t="shared" si="485"/>
        <v/>
      </c>
      <c r="AU309" t="str">
        <f t="shared" si="486"/>
        <v/>
      </c>
      <c r="AV309" t="str" cm="1">
        <f t="array" ref="AV309">IFERROR(IF(O309&lt;&gt;"",O309,IF(OR($S309="",$T309=""),"",IF(O309&lt;&gt;"",O309,IF($T309&lt;&gt;"",_xlfn._xlws.FILTER(O:O,($BT:$BT=$BT309)*($I:$I=$I309)*($T:$T=$T309)*($S:$S=_xlfn.MINIFS($S:$S,$T:$T,"="&amp;$T309)),"")))))&amp;"",IF(O309="","",""))&amp;""</f>
        <v>SeperateFromPuck</v>
      </c>
      <c r="AW309" t="str" cm="1">
        <f t="array" ref="AW309">IFERROR(IF(P309&lt;&gt;"",P309,IF(OR($S309="",$T309=""),"",IF($T309&lt;&gt;"",_xlfn._xlws.FILTER(P:P,($BT:$BT=$BT309)*($I:$I=$I309)*($T:$T=$T309)*($S:$S=_xlfn.MINIFS($S:$S,$T:$T,"="&amp;$T309)),""))))&amp;"",IF(P309="","",""))&amp;""</f>
        <v/>
      </c>
      <c r="AX309" t="str" cm="1">
        <f t="array" ref="AX309">IFERROR(IF(Q309&lt;&gt;"",Q309,IF(OR($S309="",$T309=""),"",IF($T309&lt;&gt;"",_xlfn._xlws.FILTER(Q:Q,($BT:$BT=$BT309)*($I:$I=$I309)*($T:$T=$T309)*($S:$S=_xlfn.MINIFS($S:$S,$T:$T,"="&amp;$T309)),""))))&amp;"",IF(Q309="","",""))&amp;""</f>
        <v>s</v>
      </c>
      <c r="AY309" t="str" cm="1">
        <f t="array" ref="AY309">IFERROR(IF(R309&lt;&gt;"",R309,IF(OR($S309="",$T309=""),"",IF($T309&lt;&gt;"",_xlfn._xlws.FILTER(R:R,($BT:$BT=$BT309)*($I:$I=$I309)*($T:$T=$T309)*($S:$S=_xlfn.MINIFS($S:$S,$T:$T,"="&amp;$T309)),""))))&amp;"",IF(R309="","",""))&amp;""</f>
        <v>1</v>
      </c>
      <c r="AZ309" s="6">
        <f t="shared" si="487"/>
        <v>30</v>
      </c>
      <c r="BA309">
        <f t="shared" ref="BA309:BC309" si="562">BA308</f>
        <v>18991</v>
      </c>
      <c r="BB309" t="str">
        <f t="shared" si="562"/>
        <v>Triple J</v>
      </c>
      <c r="BC309" t="str">
        <f t="shared" si="562"/>
        <v>Velodrome</v>
      </c>
      <c r="BD309" t="str">
        <f t="shared" si="489"/>
        <v>Zone_Entry_Exit</v>
      </c>
      <c r="BE309" t="str">
        <f t="shared" si="490"/>
        <v>Zone_Exit</v>
      </c>
      <c r="BF309" t="str">
        <f t="shared" si="491"/>
        <v>ZoneExit-CausedTurnover</v>
      </c>
      <c r="BG309" t="str">
        <f t="shared" si="473"/>
        <v>s</v>
      </c>
      <c r="BH309" cm="1">
        <f t="array" aca="1" ref="BH309" ca="1">IFERROR(_xlfn._xlws.FILTER(shifts!A:A,(shifts!B:B=events!Z309)*(shifts!AG:AG&gt;=events!BJ309)*(shifts!AH:AH&lt;=events!BK309)),BH308)</f>
        <v>10</v>
      </c>
      <c r="BI309" s="15">
        <f t="shared" si="492"/>
        <v>0</v>
      </c>
      <c r="BJ309">
        <f t="shared" si="493"/>
        <v>806</v>
      </c>
      <c r="BK309">
        <f t="shared" si="494"/>
        <v>806</v>
      </c>
      <c r="BL309" s="15">
        <f>SUMIFS(BI$2:BI309,K$2:K309,"=Intermission")+SUMIFS(BI$2:BI309,K$2:K309,"=Timeout")</f>
        <v>0</v>
      </c>
      <c r="BM309">
        <f t="shared" si="495"/>
        <v>0</v>
      </c>
      <c r="BN309" s="19">
        <f t="shared" si="496"/>
        <v>274</v>
      </c>
      <c r="BO309">
        <f t="shared" si="497"/>
        <v>269</v>
      </c>
      <c r="BP309" s="17">
        <f t="shared" si="498"/>
        <v>274</v>
      </c>
      <c r="BQ309" t="str">
        <f t="shared" si="499"/>
        <v>event_team_player_1</v>
      </c>
      <c r="BR309">
        <f>COUNTIFS(S$3:S309,"="&amp;S309,AH$3:AH309,"="&amp;AH309)</f>
        <v>1</v>
      </c>
      <c r="BS309" t="str">
        <f>IFERROR(VLOOKUP(BA309&amp;BT309&amp;X309,game_rosters!U:W,3,FALSE),"")</f>
        <v>P100105</v>
      </c>
      <c r="BT309" t="str">
        <f t="shared" si="500"/>
        <v>Velodrome</v>
      </c>
    </row>
    <row r="310" spans="1:72" x14ac:dyDescent="0.2">
      <c r="A310" t="str">
        <f t="shared" si="475"/>
        <v>x</v>
      </c>
      <c r="D310" s="26" t="s">
        <v>729</v>
      </c>
      <c r="E310" s="4"/>
      <c r="F310" s="45"/>
      <c r="G310" s="4"/>
      <c r="H310" s="47"/>
      <c r="I310" s="26">
        <v>71</v>
      </c>
      <c r="J310" s="26" t="str">
        <f t="shared" si="501"/>
        <v/>
      </c>
      <c r="N310" t="str">
        <f t="shared" si="520"/>
        <v/>
      </c>
      <c r="Q310" t="str">
        <f t="shared" si="513"/>
        <v/>
      </c>
      <c r="R310" s="26">
        <v>1</v>
      </c>
      <c r="S310">
        <f>IF(A310=1,MAX($S$2:$S309)+1,IF(OR($I310&lt;&gt;"",A310="x"),$S309,""))</f>
        <v>161</v>
      </c>
      <c r="T310">
        <f>IF(D310=1,MAX($T$2:$T309)+1,IF(S310=S309,$T309,IF(D310="x",T309,IF(D309="x","",""))))</f>
        <v>20</v>
      </c>
      <c r="U310" t="str">
        <f>IF(B310=1,MAX($U$2:$U309)+1,IF(AND($T310&lt;&gt;"",$T310=$T309),$U309,IF(B310="x",U309,"")))</f>
        <v/>
      </c>
      <c r="V310" t="str">
        <f>IF(C310=1,MAX($V$2:$V309)+1,IF(AND($T310&lt;&gt;"",$T310=$T309),$U309,IF(C310="x",V309,"")))</f>
        <v/>
      </c>
      <c r="W310" t="str" cm="1">
        <f t="array" ref="W310">IFERROR(_xlfn._xlws.FILTER(game_rosters!AC:AC,(game_rosters!J:J=events!X310)*(K310&lt;&gt;"")),"")</f>
        <v/>
      </c>
      <c r="X310" cm="1">
        <f t="array" ref="X310">IF($I310&lt;&gt;"",$I310,INDEX($I$1:$I310,ROW()-COUNTIFS($T$1:$T310,"="&amp;$T310,$S$1:$S310,"&lt;"&amp;$S310)))</f>
        <v>71</v>
      </c>
      <c r="Y310" t="str" cm="1">
        <f t="array" ref="Y310">IFERROR(IF(_xlfn._xlws.FILTER(game_rosters!$J:$J,(game_rosters!$G:$G=events!$AM310)*(game_rosters!$J:$J=events!$X310))&gt;0,1,""),"")</f>
        <v/>
      </c>
      <c r="Z310" s="6">
        <f t="shared" si="476"/>
        <v>1</v>
      </c>
      <c r="AA310">
        <f t="shared" si="477"/>
        <v>1161</v>
      </c>
      <c r="AB310">
        <f t="shared" si="478"/>
        <v>9020</v>
      </c>
      <c r="AC310">
        <f t="shared" si="479"/>
        <v>9020</v>
      </c>
      <c r="AD310" t="str">
        <f t="shared" si="480"/>
        <v>13</v>
      </c>
      <c r="AE310" t="str">
        <f t="shared" si="481"/>
        <v>26</v>
      </c>
      <c r="AF310" t="str">
        <f t="shared" si="482"/>
        <v/>
      </c>
      <c r="AG310" t="str">
        <f t="shared" si="483"/>
        <v/>
      </c>
      <c r="AH310" t="str">
        <f t="shared" si="526"/>
        <v>o</v>
      </c>
      <c r="AI310" t="str">
        <f t="shared" si="551"/>
        <v>d</v>
      </c>
      <c r="AJ310" t="str">
        <f t="shared" si="551"/>
        <v>d</v>
      </c>
      <c r="AK310" t="str">
        <f t="shared" si="528"/>
        <v/>
      </c>
      <c r="AL310" t="str">
        <f t="shared" si="529"/>
        <v/>
      </c>
      <c r="AM310" t="str">
        <f t="shared" si="484"/>
        <v>Away</v>
      </c>
      <c r="AN310" t="str">
        <f t="shared" si="530"/>
        <v>a</v>
      </c>
      <c r="AO310" t="str">
        <f t="shared" si="531"/>
        <v>o</v>
      </c>
      <c r="AP310" t="str">
        <f t="shared" si="532"/>
        <v>d</v>
      </c>
      <c r="AQ310" t="str">
        <f>IF(AM310&lt;&gt;"",AM310,IF($AC310=#REF!,#REF!,""))</f>
        <v>Away</v>
      </c>
      <c r="AR310" t="str">
        <f t="shared" si="533"/>
        <v>a</v>
      </c>
      <c r="AS310" t="str">
        <f t="shared" si="534"/>
        <v>Defensive</v>
      </c>
      <c r="AT310" t="str">
        <f t="shared" si="485"/>
        <v/>
      </c>
      <c r="AU310" t="str">
        <f t="shared" si="486"/>
        <v/>
      </c>
      <c r="AV310" t="str" cm="1">
        <f t="array" ref="AV310">IFERROR(IF(O310&lt;&gt;"",O310,IF(OR($S310="",$T310=""),"",IF(O310&lt;&gt;"",O310,IF($T310&lt;&gt;"",_xlfn._xlws.FILTER(O:O,($BT:$BT=$BT310)*($I:$I=$I310)*($T:$T=$T310)*($S:$S=_xlfn.MINIFS($S:$S,$T:$T,"="&amp;$T310)),"")))))&amp;"",IF(O310="","",""))&amp;""</f>
        <v>LostPuck</v>
      </c>
      <c r="AW310" t="str" cm="1">
        <f t="array" ref="AW310">IFERROR(IF(P310&lt;&gt;"",P310,IF(OR($S310="",$T310=""),"",IF($T310&lt;&gt;"",_xlfn._xlws.FILTER(P:P,($BT:$BT=$BT310)*($I:$I=$I310)*($T:$T=$T310)*($S:$S=_xlfn.MINIFS($S:$S,$T:$T,"="&amp;$T310)),""))))&amp;"",IF(P310="","",""))&amp;""</f>
        <v/>
      </c>
      <c r="AX310" t="str" cm="1">
        <f t="array" ref="AX310">IFERROR(IF(Q310&lt;&gt;"",Q310,IF(OR($S310="",$T310=""),"",IF($T310&lt;&gt;"",_xlfn._xlws.FILTER(Q:Q,($BT:$BT=$BT310)*($I:$I=$I310)*($T:$T=$T310)*($S:$S=_xlfn.MINIFS($S:$S,$T:$T,"="&amp;$T310)),""))))&amp;"",IF(Q310="","",""))&amp;""</f>
        <v>u</v>
      </c>
      <c r="AY310" t="str" cm="1">
        <f t="array" ref="AY310">IFERROR(IF(R310&lt;&gt;"",R310,IF(OR($S310="",$T310=""),"",IF($T310&lt;&gt;"",_xlfn._xlws.FILTER(R:R,($BT:$BT=$BT310)*($I:$I=$I310)*($T:$T=$T310)*($S:$S=_xlfn.MINIFS($S:$S,$T:$T,"="&amp;$T310)),""))))&amp;"",IF(R310="","",""))&amp;""</f>
        <v>1</v>
      </c>
      <c r="AZ310" s="6">
        <f t="shared" si="487"/>
        <v>30</v>
      </c>
      <c r="BA310">
        <f t="shared" ref="BA310:BC310" si="563">BA309</f>
        <v>18991</v>
      </c>
      <c r="BB310" t="str">
        <f t="shared" si="563"/>
        <v>Triple J</v>
      </c>
      <c r="BC310" t="str">
        <f t="shared" si="563"/>
        <v>Velodrome</v>
      </c>
      <c r="BD310" t="str">
        <f t="shared" si="489"/>
        <v>Zone_Entry_Exit</v>
      </c>
      <c r="BE310" t="str">
        <f t="shared" si="490"/>
        <v>Zone_Exit</v>
      </c>
      <c r="BF310" t="str">
        <f t="shared" si="491"/>
        <v>ZoneExit-CausedTurnover</v>
      </c>
      <c r="BG310" t="str">
        <f t="shared" si="473"/>
        <v>s</v>
      </c>
      <c r="BH310" cm="1">
        <f t="array" aca="1" ref="BH310" ca="1">IFERROR(_xlfn._xlws.FILTER(shifts!A:A,(shifts!B:B=events!Z310)*(shifts!AG:AG&gt;=events!BJ310)*(shifts!AH:AH&lt;=events!BK310)),BH309)</f>
        <v>10</v>
      </c>
      <c r="BI310" s="15">
        <f t="shared" si="492"/>
        <v>0</v>
      </c>
      <c r="BJ310">
        <f t="shared" si="493"/>
        <v>806</v>
      </c>
      <c r="BK310">
        <f t="shared" si="494"/>
        <v>806</v>
      </c>
      <c r="BL310" s="15">
        <f>SUMIFS(BI$2:BI310,K$2:K310,"=Intermission")+SUMIFS(BI$2:BI310,K$2:K310,"=Timeout")</f>
        <v>0</v>
      </c>
      <c r="BM310">
        <f t="shared" si="495"/>
        <v>0</v>
      </c>
      <c r="BN310" s="19">
        <f t="shared" si="496"/>
        <v>274</v>
      </c>
      <c r="BO310">
        <f t="shared" si="497"/>
        <v>269</v>
      </c>
      <c r="BP310" s="17">
        <f t="shared" si="498"/>
        <v>274</v>
      </c>
      <c r="BQ310" t="str">
        <f t="shared" si="499"/>
        <v>opp_team_player_1</v>
      </c>
      <c r="BR310">
        <f>COUNTIFS(S$3:S310,"="&amp;S310,AH$3:AH310,"="&amp;AH310)</f>
        <v>1</v>
      </c>
      <c r="BS310" t="str">
        <f>IFERROR(VLOOKUP(BA310&amp;BT310&amp;X310,game_rosters!U:W,3,FALSE),"")</f>
        <v>P100008</v>
      </c>
      <c r="BT310" t="str">
        <f t="shared" si="500"/>
        <v>Triple J</v>
      </c>
    </row>
    <row r="311" spans="1:72" x14ac:dyDescent="0.2">
      <c r="A311">
        <f t="shared" si="475"/>
        <v>1</v>
      </c>
      <c r="E311" s="4"/>
      <c r="F311" s="45" t="s">
        <v>741</v>
      </c>
      <c r="G311" s="4"/>
      <c r="H311" s="47" t="s">
        <v>1036</v>
      </c>
      <c r="I311" s="26">
        <v>61</v>
      </c>
      <c r="J311" s="26" t="s">
        <v>734</v>
      </c>
      <c r="K311" t="s">
        <v>13</v>
      </c>
      <c r="N311" t="str">
        <f t="shared" si="520"/>
        <v/>
      </c>
      <c r="Q311" t="str">
        <f t="shared" si="513"/>
        <v/>
      </c>
      <c r="S311">
        <f>IF(A311=1,MAX($S$2:$S310)+1,IF(OR($I311&lt;&gt;"",A311="x"),$S310,""))</f>
        <v>162</v>
      </c>
      <c r="T311" t="str">
        <f>IF(D311=1,MAX($T$2:$T310)+1,IF(S311=S310,$T310,IF(D311="x",T310,IF(D310="x","",""))))</f>
        <v/>
      </c>
      <c r="U311" t="str">
        <f>IF(B311=1,MAX($U$2:$U310)+1,IF(AND($T311&lt;&gt;"",$T311=$T310),$U310,IF(B311="x",U310,"")))</f>
        <v/>
      </c>
      <c r="V311" t="str">
        <f>IF(C311=1,MAX($V$2:$V310)+1,IF(AND($T311&lt;&gt;"",$T311=$T310),$U310,IF(C311="x",V310,"")))</f>
        <v/>
      </c>
      <c r="W311" t="str" cm="1">
        <f t="array" ref="W311">IFERROR(_xlfn._xlws.FILTER(game_rosters!AC:AC,(game_rosters!J:J=events!X311)*(K311&lt;&gt;"")),"")</f>
        <v>a</v>
      </c>
      <c r="X311" cm="1">
        <f t="array" ref="X311">IF($I311&lt;&gt;"",$I311,INDEX($I$1:$I311,ROW()-COUNTIFS($T$1:$T311,"="&amp;$T311,$S$1:$S311,"&lt;"&amp;$S311)))</f>
        <v>61</v>
      </c>
      <c r="Y311" cm="1">
        <f t="array" ref="Y311">IFERROR(IF(_xlfn._xlws.FILTER(game_rosters!$J:$J,(game_rosters!$G:$G=events!$AM311)*(game_rosters!$J:$J=events!$X311))&gt;0,1,""),"")</f>
        <v>1</v>
      </c>
      <c r="Z311" s="6">
        <f t="shared" si="476"/>
        <v>1</v>
      </c>
      <c r="AA311">
        <f t="shared" si="477"/>
        <v>1162</v>
      </c>
      <c r="AB311" t="str">
        <f t="shared" si="478"/>
        <v/>
      </c>
      <c r="AC311">
        <f t="shared" si="479"/>
        <v>1162</v>
      </c>
      <c r="AD311" t="str">
        <f t="shared" si="480"/>
        <v>13</v>
      </c>
      <c r="AE311" t="str">
        <f t="shared" si="481"/>
        <v>21</v>
      </c>
      <c r="AF311" t="str">
        <f t="shared" si="482"/>
        <v>13</v>
      </c>
      <c r="AG311" t="str">
        <f t="shared" si="483"/>
        <v>20</v>
      </c>
      <c r="AH311" t="str">
        <f t="shared" si="526"/>
        <v>e</v>
      </c>
      <c r="AI311" t="str">
        <f t="shared" si="551"/>
        <v>n</v>
      </c>
      <c r="AJ311" t="str">
        <f t="shared" si="551"/>
        <v>n</v>
      </c>
      <c r="AK311" t="str">
        <f t="shared" si="528"/>
        <v>n</v>
      </c>
      <c r="AL311" t="str">
        <f t="shared" si="529"/>
        <v>n</v>
      </c>
      <c r="AM311" t="str">
        <f t="shared" si="484"/>
        <v>Away</v>
      </c>
      <c r="AN311" t="str">
        <f t="shared" si="530"/>
        <v>a</v>
      </c>
      <c r="AO311" t="str">
        <f t="shared" si="531"/>
        <v>n</v>
      </c>
      <c r="AP311" t="str">
        <f t="shared" si="532"/>
        <v>n</v>
      </c>
      <c r="AQ311" t="str">
        <f>IF(AM311&lt;&gt;"",AM311,IF($AC311=#REF!,#REF!,""))</f>
        <v>Away</v>
      </c>
      <c r="AR311" t="str">
        <f t="shared" si="533"/>
        <v>a</v>
      </c>
      <c r="AS311" t="str">
        <f t="shared" si="534"/>
        <v>Offensive</v>
      </c>
      <c r="AT311" t="str">
        <f t="shared" si="485"/>
        <v/>
      </c>
      <c r="AU311" t="str">
        <f t="shared" si="486"/>
        <v/>
      </c>
      <c r="AV311" t="str" cm="1">
        <f t="array" ref="AV311">IFERROR(IF(O311&lt;&gt;"",O311,IF(OR($S311="",$T311=""),"",IF(O311&lt;&gt;"",O311,IF($T311&lt;&gt;"",_xlfn._xlws.FILTER(O:O,($BT:$BT=$BT311)*($I:$I=$I311)*($T:$T=$T311)*($S:$S=_xlfn.MINIFS($S:$S,$T:$T,"="&amp;$T311)),"")))))&amp;"",IF(O311="","",""))&amp;""</f>
        <v/>
      </c>
      <c r="AW311" t="str" cm="1">
        <f t="array" ref="AW311">IFERROR(IF(P311&lt;&gt;"",P311,IF(OR($S311="",$T311=""),"",IF($T311&lt;&gt;"",_xlfn._xlws.FILTER(P:P,($BT:$BT=$BT311)*($I:$I=$I311)*($T:$T=$T311)*($S:$S=_xlfn.MINIFS($S:$S,$T:$T,"="&amp;$T311)),""))))&amp;"",IF(P311="","",""))&amp;""</f>
        <v/>
      </c>
      <c r="AX311" t="str" cm="1">
        <f t="array" ref="AX311">IFERROR(IF(Q311&lt;&gt;"",Q311,IF(OR($S311="",$T311=""),"",IF($T311&lt;&gt;"",_xlfn._xlws.FILTER(Q:Q,($BT:$BT=$BT311)*($I:$I=$I311)*($T:$T=$T311)*($S:$S=_xlfn.MINIFS($S:$S,$T:$T,"="&amp;$T311)),""))))&amp;"",IF(Q311="","",""))&amp;""</f>
        <v/>
      </c>
      <c r="AY311" t="str" cm="1">
        <f t="array" ref="AY311">IFERROR(IF(R311&lt;&gt;"",R311,IF(OR($S311="",$T311=""),"",IF($T311&lt;&gt;"",_xlfn._xlws.FILTER(R:R,($BT:$BT=$BT311)*($I:$I=$I311)*($T:$T=$T311)*($S:$S=_xlfn.MINIFS($S:$S,$T:$T,"="&amp;$T311)),""))))&amp;"",IF(R311="","",""))&amp;""</f>
        <v/>
      </c>
      <c r="AZ311" s="6">
        <f t="shared" si="487"/>
        <v>30</v>
      </c>
      <c r="BA311">
        <f t="shared" ref="BA311:BC311" si="564">BA310</f>
        <v>18991</v>
      </c>
      <c r="BB311" t="str">
        <f t="shared" si="564"/>
        <v>Triple J</v>
      </c>
      <c r="BC311" t="str">
        <f t="shared" si="564"/>
        <v>Velodrome</v>
      </c>
      <c r="BD311" t="str">
        <f t="shared" si="489"/>
        <v>Possession</v>
      </c>
      <c r="BE311" t="str">
        <f t="shared" si="490"/>
        <v/>
      </c>
      <c r="BF311" t="str">
        <f t="shared" si="491"/>
        <v/>
      </c>
      <c r="BG311" t="str">
        <f t="shared" si="473"/>
        <v/>
      </c>
      <c r="BH311" cm="1">
        <f t="array" aca="1" ref="BH311" ca="1">IFERROR(_xlfn._xlws.FILTER(shifts!A:A,(shifts!B:B=events!Z311)*(shifts!AG:AG&gt;=events!BJ311)*(shifts!AH:AH&lt;=events!BK311)),BH310)</f>
        <v>10</v>
      </c>
      <c r="BI311" s="15">
        <f t="shared" si="492"/>
        <v>1</v>
      </c>
      <c r="BJ311">
        <f t="shared" si="493"/>
        <v>801</v>
      </c>
      <c r="BK311">
        <f t="shared" si="494"/>
        <v>800</v>
      </c>
      <c r="BL311" s="15">
        <f>SUMIFS(BI$2:BI311,K$2:K311,"=Intermission")+SUMIFS(BI$2:BI311,K$2:K311,"=Timeout")</f>
        <v>0</v>
      </c>
      <c r="BM311">
        <f t="shared" si="495"/>
        <v>0</v>
      </c>
      <c r="BN311" s="19">
        <f t="shared" si="496"/>
        <v>279</v>
      </c>
      <c r="BO311">
        <f t="shared" si="497"/>
        <v>274</v>
      </c>
      <c r="BP311" s="17">
        <f t="shared" si="498"/>
        <v>280</v>
      </c>
      <c r="BQ311" t="str">
        <f t="shared" si="499"/>
        <v>event_team_player_1</v>
      </c>
      <c r="BR311">
        <f>COUNTIFS(S$3:S311,"="&amp;S311,AH$3:AH311,"="&amp;AH311)</f>
        <v>1</v>
      </c>
      <c r="BS311" t="str">
        <f>IFERROR(VLOOKUP(BA311&amp;BT311&amp;X311,game_rosters!U:W,3,FALSE),"")</f>
        <v>P100224</v>
      </c>
      <c r="BT311" t="str">
        <f t="shared" si="500"/>
        <v>Velodrome</v>
      </c>
    </row>
    <row r="312" spans="1:72" x14ac:dyDescent="0.2">
      <c r="A312">
        <f t="shared" si="475"/>
        <v>1</v>
      </c>
      <c r="E312" s="4"/>
      <c r="F312" s="45"/>
      <c r="G312" s="4"/>
      <c r="H312" s="47" t="s">
        <v>743</v>
      </c>
      <c r="I312" s="26">
        <v>61</v>
      </c>
      <c r="J312" s="26" t="str">
        <f t="shared" si="501"/>
        <v>o</v>
      </c>
      <c r="K312" t="s">
        <v>238</v>
      </c>
      <c r="L312" t="s">
        <v>174</v>
      </c>
      <c r="M312" t="s">
        <v>85</v>
      </c>
      <c r="N312" t="str">
        <f t="shared" si="520"/>
        <v>s</v>
      </c>
      <c r="Q312" t="str">
        <f t="shared" si="513"/>
        <v/>
      </c>
      <c r="R312" s="26">
        <v>1</v>
      </c>
      <c r="S312">
        <f>IF(A312=1,MAX($S$2:$S311)+1,IF(OR($I312&lt;&gt;"",A312="x"),$S311,""))</f>
        <v>163</v>
      </c>
      <c r="T312" t="str">
        <f>IF(D312=1,MAX($T$2:$T311)+1,IF(S312=S311,$T311,IF(D312="x",T311,IF(D311="x","",""))))</f>
        <v/>
      </c>
      <c r="U312" t="str">
        <f>IF(B312=1,MAX($U$2:$U311)+1,IF(AND($T312&lt;&gt;"",$T312=$T311),$U311,IF(B312="x",U311,"")))</f>
        <v/>
      </c>
      <c r="V312" t="str">
        <f>IF(C312=1,MAX($V$2:$V311)+1,IF(AND($T312&lt;&gt;"",$T312=$T311),$U311,IF(C312="x",V311,"")))</f>
        <v/>
      </c>
      <c r="W312" t="str" cm="1">
        <f t="array" ref="W312">IFERROR(_xlfn._xlws.FILTER(game_rosters!AC:AC,(game_rosters!J:J=events!X312)*(K312&lt;&gt;"")),"")</f>
        <v>a</v>
      </c>
      <c r="X312" cm="1">
        <f t="array" ref="X312">IF($I312&lt;&gt;"",$I312,INDEX($I$1:$I312,ROW()-COUNTIFS($T$1:$T312,"="&amp;$T312,$S$1:$S312,"&lt;"&amp;$S312)))</f>
        <v>61</v>
      </c>
      <c r="Y312" cm="1">
        <f t="array" ref="Y312">IFERROR(IF(_xlfn._xlws.FILTER(game_rosters!$J:$J,(game_rosters!$G:$G=events!$AM312)*(game_rosters!$J:$J=events!$X312))&gt;0,1,""),"")</f>
        <v>1</v>
      </c>
      <c r="Z312" s="6">
        <f t="shared" si="476"/>
        <v>1</v>
      </c>
      <c r="AA312">
        <f t="shared" si="477"/>
        <v>1163</v>
      </c>
      <c r="AB312" t="str">
        <f t="shared" si="478"/>
        <v/>
      </c>
      <c r="AC312">
        <f t="shared" si="479"/>
        <v>1163</v>
      </c>
      <c r="AD312" t="str">
        <f t="shared" si="480"/>
        <v>13</v>
      </c>
      <c r="AE312" t="str">
        <f t="shared" si="481"/>
        <v>20</v>
      </c>
      <c r="AF312" t="str">
        <f t="shared" si="482"/>
        <v>13</v>
      </c>
      <c r="AG312" t="str">
        <f t="shared" si="483"/>
        <v>18</v>
      </c>
      <c r="AH312" t="str">
        <f t="shared" si="526"/>
        <v>e</v>
      </c>
      <c r="AI312" t="str">
        <f t="shared" si="551"/>
        <v>o</v>
      </c>
      <c r="AJ312" t="str">
        <f t="shared" si="551"/>
        <v>o</v>
      </c>
      <c r="AK312" t="str">
        <f t="shared" si="528"/>
        <v>d</v>
      </c>
      <c r="AL312" t="str">
        <f t="shared" si="529"/>
        <v>o</v>
      </c>
      <c r="AM312" t="str">
        <f t="shared" si="484"/>
        <v>Away</v>
      </c>
      <c r="AN312" t="str">
        <f t="shared" si="530"/>
        <v>a</v>
      </c>
      <c r="AO312" t="str">
        <f t="shared" si="531"/>
        <v>d</v>
      </c>
      <c r="AP312" t="str">
        <f t="shared" si="532"/>
        <v>o</v>
      </c>
      <c r="AQ312" t="str">
        <f>IF(AM312&lt;&gt;"",AM312,IF($AC312=#REF!,#REF!,""))</f>
        <v>Away</v>
      </c>
      <c r="AR312" t="str">
        <f t="shared" si="533"/>
        <v>a</v>
      </c>
      <c r="AS312" t="str">
        <f t="shared" si="534"/>
        <v>Offensive</v>
      </c>
      <c r="AT312" t="str">
        <f t="shared" si="485"/>
        <v/>
      </c>
      <c r="AU312" t="str">
        <f t="shared" si="486"/>
        <v/>
      </c>
      <c r="AV312" t="str" cm="1">
        <f t="array" ref="AV312">IFERROR(IF(O312&lt;&gt;"",O312,IF(OR($S312="",$T312=""),"",IF(O312&lt;&gt;"",O312,IF($T312&lt;&gt;"",_xlfn._xlws.FILTER(O:O,($BT:$BT=$BT312)*($I:$I=$I312)*($T:$T=$T312)*($S:$S=_xlfn.MINIFS($S:$S,$T:$T,"="&amp;$T312)),"")))))&amp;"",IF(O312="","",""))&amp;""</f>
        <v/>
      </c>
      <c r="AW312" t="str" cm="1">
        <f t="array" ref="AW312">IFERROR(IF(P312&lt;&gt;"",P312,IF(OR($S312="",$T312=""),"",IF($T312&lt;&gt;"",_xlfn._xlws.FILTER(P:P,($BT:$BT=$BT312)*($I:$I=$I312)*($T:$T=$T312)*($S:$S=_xlfn.MINIFS($S:$S,$T:$T,"="&amp;$T312)),""))))&amp;"",IF(P312="","",""))&amp;""</f>
        <v/>
      </c>
      <c r="AX312" t="str" cm="1">
        <f t="array" ref="AX312">IFERROR(IF(Q312&lt;&gt;"",Q312,IF(OR($S312="",$T312=""),"",IF($T312&lt;&gt;"",_xlfn._xlws.FILTER(Q:Q,($BT:$BT=$BT312)*($I:$I=$I312)*($T:$T=$T312)*($S:$S=_xlfn.MINIFS($S:$S,$T:$T,"="&amp;$T312)),""))))&amp;"",IF(Q312="","",""))&amp;""</f>
        <v/>
      </c>
      <c r="AY312" t="str" cm="1">
        <f t="array" ref="AY312">IFERROR(IF(R312&lt;&gt;"",R312,IF(OR($S312="",$T312=""),"",IF($T312&lt;&gt;"",_xlfn._xlws.FILTER(R:R,($BT:$BT=$BT312)*($I:$I=$I312)*($T:$T=$T312)*($S:$S=_xlfn.MINIFS($S:$S,$T:$T,"="&amp;$T312)),""))))&amp;"",IF(R312="","",""))&amp;""</f>
        <v>1</v>
      </c>
      <c r="AZ312" s="6">
        <f t="shared" si="487"/>
        <v>31</v>
      </c>
      <c r="BA312">
        <f t="shared" ref="BA312:BC312" si="565">BA311</f>
        <v>18991</v>
      </c>
      <c r="BB312" t="str">
        <f t="shared" si="565"/>
        <v>Triple J</v>
      </c>
      <c r="BC312" t="str">
        <f t="shared" si="565"/>
        <v>Velodrome</v>
      </c>
      <c r="BD312" t="str">
        <f t="shared" si="489"/>
        <v>Zone_Entry_Exit</v>
      </c>
      <c r="BE312" t="str">
        <f t="shared" si="490"/>
        <v>Zone_Entry</v>
      </c>
      <c r="BF312" t="str">
        <f t="shared" si="491"/>
        <v>ZoneEntry-Rush</v>
      </c>
      <c r="BG312" t="str">
        <f t="shared" si="473"/>
        <v>s</v>
      </c>
      <c r="BH312" cm="1">
        <f t="array" aca="1" ref="BH312" ca="1">IFERROR(_xlfn._xlws.FILTER(shifts!A:A,(shifts!B:B=events!Z312)*(shifts!AG:AG&gt;=events!BJ312)*(shifts!AH:AH&lt;=events!BK312)),BH311)</f>
        <v>11</v>
      </c>
      <c r="BI312" s="15">
        <f t="shared" si="492"/>
        <v>2</v>
      </c>
      <c r="BJ312">
        <f t="shared" si="493"/>
        <v>800</v>
      </c>
      <c r="BK312">
        <f t="shared" si="494"/>
        <v>798</v>
      </c>
      <c r="BL312" s="15">
        <f>SUMIFS(BI$2:BI312,K$2:K312,"=Intermission")+SUMIFS(BI$2:BI312,K$2:K312,"=Timeout")</f>
        <v>0</v>
      </c>
      <c r="BM312">
        <f t="shared" si="495"/>
        <v>0</v>
      </c>
      <c r="BN312" s="19">
        <f t="shared" si="496"/>
        <v>280</v>
      </c>
      <c r="BO312">
        <f t="shared" si="497"/>
        <v>275</v>
      </c>
      <c r="BP312" s="17">
        <f t="shared" si="498"/>
        <v>282</v>
      </c>
      <c r="BQ312" t="str">
        <f t="shared" si="499"/>
        <v>event_team_player_1</v>
      </c>
      <c r="BR312">
        <f>COUNTIFS(S$3:S312,"="&amp;S312,AH$3:AH312,"="&amp;AH312)</f>
        <v>1</v>
      </c>
      <c r="BS312" t="str">
        <f>IFERROR(VLOOKUP(BA312&amp;BT312&amp;X312,game_rosters!U:W,3,FALSE),"")</f>
        <v>P100224</v>
      </c>
      <c r="BT312" t="str">
        <f t="shared" si="500"/>
        <v>Velodrome</v>
      </c>
    </row>
    <row r="313" spans="1:72" x14ac:dyDescent="0.2">
      <c r="A313" t="str">
        <f t="shared" si="475"/>
        <v/>
      </c>
      <c r="E313" s="4"/>
      <c r="F313" s="45"/>
      <c r="G313" s="4"/>
      <c r="H313" s="47"/>
      <c r="I313" s="26">
        <v>73</v>
      </c>
      <c r="J313" s="26" t="str">
        <f t="shared" si="501"/>
        <v/>
      </c>
      <c r="N313" t="str">
        <f t="shared" si="520"/>
        <v/>
      </c>
      <c r="Q313" t="str">
        <f t="shared" si="513"/>
        <v/>
      </c>
      <c r="R313" s="26">
        <v>1</v>
      </c>
      <c r="S313">
        <f>IF(A313=1,MAX($S$2:$S312)+1,IF(OR($I313&lt;&gt;"",A313="x"),$S312,""))</f>
        <v>163</v>
      </c>
      <c r="T313" t="str">
        <f>IF(D313=1,MAX($T$2:$T312)+1,IF(S313=S312,$T312,IF(D313="x",T312,IF(D312="x","",""))))</f>
        <v/>
      </c>
      <c r="U313" t="str">
        <f>IF(B313=1,MAX($U$2:$U312)+1,IF(AND($T313&lt;&gt;"",$T313=$T312),$U312,IF(B313="x",U312,"")))</f>
        <v/>
      </c>
      <c r="V313" t="str">
        <f>IF(C313=1,MAX($V$2:$V312)+1,IF(AND($T313&lt;&gt;"",$T313=$T312),$U312,IF(C313="x",V312,"")))</f>
        <v/>
      </c>
      <c r="W313" t="str" cm="1">
        <f t="array" ref="W313">IFERROR(_xlfn._xlws.FILTER(game_rosters!AC:AC,(game_rosters!J:J=events!X313)*(K313&lt;&gt;"")),"")</f>
        <v/>
      </c>
      <c r="X313" cm="1">
        <f t="array" ref="X313">IF($I313&lt;&gt;"",$I313,INDEX($I$1:$I313,ROW()-COUNTIFS($T$1:$T313,"="&amp;$T313,$S$1:$S313,"&lt;"&amp;$S313)))</f>
        <v>73</v>
      </c>
      <c r="Y313" t="str" cm="1">
        <f t="array" ref="Y313">IFERROR(IF(_xlfn._xlws.FILTER(game_rosters!$J:$J,(game_rosters!$G:$G=events!$AM313)*(game_rosters!$J:$J=events!$X313))&gt;0,1,""),"")</f>
        <v/>
      </c>
      <c r="Z313" s="6">
        <f t="shared" si="476"/>
        <v>1</v>
      </c>
      <c r="AA313">
        <f t="shared" si="477"/>
        <v>1163</v>
      </c>
      <c r="AB313" t="str">
        <f t="shared" si="478"/>
        <v/>
      </c>
      <c r="AC313">
        <f t="shared" si="479"/>
        <v>1163</v>
      </c>
      <c r="AD313" t="str">
        <f t="shared" si="480"/>
        <v>13</v>
      </c>
      <c r="AE313" t="str">
        <f t="shared" si="481"/>
        <v>20</v>
      </c>
      <c r="AF313" t="str">
        <f t="shared" si="482"/>
        <v>13</v>
      </c>
      <c r="AG313" t="str">
        <f t="shared" si="483"/>
        <v>18</v>
      </c>
      <c r="AH313" t="str">
        <f t="shared" si="526"/>
        <v>o</v>
      </c>
      <c r="AI313" t="str">
        <f t="shared" si="551"/>
        <v>o</v>
      </c>
      <c r="AJ313" t="str">
        <f t="shared" si="551"/>
        <v>o</v>
      </c>
      <c r="AK313" t="str">
        <f t="shared" si="528"/>
        <v/>
      </c>
      <c r="AL313" t="str">
        <f t="shared" si="529"/>
        <v/>
      </c>
      <c r="AM313" t="str">
        <f t="shared" si="484"/>
        <v>Away</v>
      </c>
      <c r="AN313" t="str">
        <f t="shared" si="530"/>
        <v>a</v>
      </c>
      <c r="AO313" t="str">
        <f t="shared" si="531"/>
        <v>d</v>
      </c>
      <c r="AP313" t="str">
        <f t="shared" si="532"/>
        <v>o</v>
      </c>
      <c r="AQ313" t="str">
        <f>IF(AM313&lt;&gt;"",AM313,IF($AC313=#REF!,#REF!,""))</f>
        <v>Away</v>
      </c>
      <c r="AR313" t="str">
        <f t="shared" si="533"/>
        <v>a</v>
      </c>
      <c r="AS313" t="str">
        <f t="shared" si="534"/>
        <v>Defensive</v>
      </c>
      <c r="AT313" t="str">
        <f t="shared" si="485"/>
        <v/>
      </c>
      <c r="AU313" t="str">
        <f t="shared" si="486"/>
        <v/>
      </c>
      <c r="AV313" t="str" cm="1">
        <f t="array" ref="AV313">IFERROR(IF(O313&lt;&gt;"",O313,IF(OR($S313="",$T313=""),"",IF(O313&lt;&gt;"",O313,IF($T313&lt;&gt;"",_xlfn._xlws.FILTER(O:O,($BT:$BT=$BT313)*($I:$I=$I313)*($T:$T=$T313)*($S:$S=_xlfn.MINIFS($S:$S,$T:$T,"="&amp;$T313)),"")))))&amp;"",IF(O313="","",""))&amp;""</f>
        <v/>
      </c>
      <c r="AW313" t="str" cm="1">
        <f t="array" ref="AW313">IFERROR(IF(P313&lt;&gt;"",P313,IF(OR($S313="",$T313=""),"",IF($T313&lt;&gt;"",_xlfn._xlws.FILTER(P:P,($BT:$BT=$BT313)*($I:$I=$I313)*($T:$T=$T313)*($S:$S=_xlfn.MINIFS($S:$S,$T:$T,"="&amp;$T313)),""))))&amp;"",IF(P313="","",""))&amp;""</f>
        <v/>
      </c>
      <c r="AX313" t="str" cm="1">
        <f t="array" ref="AX313">IFERROR(IF(Q313&lt;&gt;"",Q313,IF(OR($S313="",$T313=""),"",IF($T313&lt;&gt;"",_xlfn._xlws.FILTER(Q:Q,($BT:$BT=$BT313)*($I:$I=$I313)*($T:$T=$T313)*($S:$S=_xlfn.MINIFS($S:$S,$T:$T,"="&amp;$T313)),""))))&amp;"",IF(Q313="","",""))&amp;""</f>
        <v/>
      </c>
      <c r="AY313" t="str" cm="1">
        <f t="array" ref="AY313">IFERROR(IF(R313&lt;&gt;"",R313,IF(OR($S313="",$T313=""),"",IF($T313&lt;&gt;"",_xlfn._xlws.FILTER(R:R,($BT:$BT=$BT313)*($I:$I=$I313)*($T:$T=$T313)*($S:$S=_xlfn.MINIFS($S:$S,$T:$T,"="&amp;$T313)),""))))&amp;"",IF(R313="","",""))&amp;""</f>
        <v>1</v>
      </c>
      <c r="AZ313" s="6">
        <f t="shared" si="487"/>
        <v>31</v>
      </c>
      <c r="BA313">
        <f t="shared" ref="BA313:BC313" si="566">BA312</f>
        <v>18991</v>
      </c>
      <c r="BB313" t="str">
        <f t="shared" si="566"/>
        <v>Triple J</v>
      </c>
      <c r="BC313" t="str">
        <f t="shared" si="566"/>
        <v>Velodrome</v>
      </c>
      <c r="BD313" t="str">
        <f t="shared" si="489"/>
        <v>Zone_Entry_Exit</v>
      </c>
      <c r="BE313" t="str">
        <f t="shared" si="490"/>
        <v>Zone_Entry</v>
      </c>
      <c r="BF313" t="str">
        <f t="shared" si="491"/>
        <v>ZoneEntry-Rush</v>
      </c>
      <c r="BG313" t="str">
        <f t="shared" si="473"/>
        <v>s</v>
      </c>
      <c r="BH313" cm="1">
        <f t="array" aca="1" ref="BH313" ca="1">IFERROR(_xlfn._xlws.FILTER(shifts!A:A,(shifts!B:B=events!Z313)*(shifts!AG:AG&gt;=events!BJ313)*(shifts!AH:AH&lt;=events!BK313)),BH312)</f>
        <v>11</v>
      </c>
      <c r="BI313" s="15">
        <f t="shared" si="492"/>
        <v>2</v>
      </c>
      <c r="BJ313">
        <f t="shared" si="493"/>
        <v>800</v>
      </c>
      <c r="BK313">
        <f t="shared" si="494"/>
        <v>798</v>
      </c>
      <c r="BL313" s="15">
        <f>SUMIFS(BI$2:BI313,K$2:K313,"=Intermission")+SUMIFS(BI$2:BI313,K$2:K313,"=Timeout")</f>
        <v>0</v>
      </c>
      <c r="BM313">
        <f t="shared" si="495"/>
        <v>0</v>
      </c>
      <c r="BN313" s="19">
        <f t="shared" si="496"/>
        <v>280</v>
      </c>
      <c r="BO313">
        <f t="shared" si="497"/>
        <v>275</v>
      </c>
      <c r="BP313" s="17">
        <f t="shared" si="498"/>
        <v>282</v>
      </c>
      <c r="BQ313" t="str">
        <f t="shared" si="499"/>
        <v>opp_team_player_1</v>
      </c>
      <c r="BR313">
        <f>COUNTIFS(S$3:S313,"="&amp;S313,AH$3:AH313,"="&amp;AH313)</f>
        <v>1</v>
      </c>
      <c r="BS313" t="str">
        <f>IFERROR(VLOOKUP(BA313&amp;BT313&amp;X313,game_rosters!U:W,3,FALSE),"")</f>
        <v>P100021</v>
      </c>
      <c r="BT313" t="str">
        <f t="shared" si="500"/>
        <v>Triple J</v>
      </c>
    </row>
    <row r="314" spans="1:72" x14ac:dyDescent="0.2">
      <c r="A314" t="str">
        <f t="shared" si="475"/>
        <v/>
      </c>
      <c r="E314" s="4"/>
      <c r="F314" s="45"/>
      <c r="G314" s="4"/>
      <c r="H314" s="47"/>
      <c r="I314" s="26">
        <v>10</v>
      </c>
      <c r="J314" s="26" t="str">
        <f t="shared" si="501"/>
        <v/>
      </c>
      <c r="N314" t="str">
        <f t="shared" si="520"/>
        <v/>
      </c>
      <c r="Q314" t="str">
        <f t="shared" si="513"/>
        <v/>
      </c>
      <c r="S314">
        <f>IF(A314=1,MAX($S$2:$S313)+1,IF(OR($I314&lt;&gt;"",A314="x"),$S313,""))</f>
        <v>163</v>
      </c>
      <c r="T314" t="str">
        <f>IF(D314=1,MAX($T$2:$T313)+1,IF(S314=S313,$T313,IF(D314="x",T313,IF(D313="x","",""))))</f>
        <v/>
      </c>
      <c r="U314" t="str">
        <f>IF(B314=1,MAX($U$2:$U313)+1,IF(AND($T314&lt;&gt;"",$T314=$T313),$U313,IF(B314="x",U313,"")))</f>
        <v/>
      </c>
      <c r="V314" t="str">
        <f>IF(C314=1,MAX($V$2:$V313)+1,IF(AND($T314&lt;&gt;"",$T314=$T313),$U313,IF(C314="x",V313,"")))</f>
        <v/>
      </c>
      <c r="W314" t="str" cm="1">
        <f t="array" ref="W314">IFERROR(_xlfn._xlws.FILTER(game_rosters!AC:AC,(game_rosters!J:J=events!X314)*(K314&lt;&gt;"")),"")</f>
        <v/>
      </c>
      <c r="X314" cm="1">
        <f t="array" ref="X314">IF($I314&lt;&gt;"",$I314,INDEX($I$1:$I314,ROW()-COUNTIFS($T$1:$T314,"="&amp;$T314,$S$1:$S314,"&lt;"&amp;$S314)))</f>
        <v>10</v>
      </c>
      <c r="Y314" t="str" cm="1">
        <f t="array" ref="Y314">IFERROR(IF(_xlfn._xlws.FILTER(game_rosters!$J:$J,(game_rosters!$G:$G=events!$AM314)*(game_rosters!$J:$J=events!$X314))&gt;0,1,""),"")</f>
        <v/>
      </c>
      <c r="Z314" s="6">
        <f t="shared" si="476"/>
        <v>1</v>
      </c>
      <c r="AA314">
        <f t="shared" si="477"/>
        <v>1163</v>
      </c>
      <c r="AB314" t="str">
        <f t="shared" si="478"/>
        <v/>
      </c>
      <c r="AC314">
        <f t="shared" si="479"/>
        <v>1163</v>
      </c>
      <c r="AD314" t="str">
        <f t="shared" si="480"/>
        <v>13</v>
      </c>
      <c r="AE314" t="str">
        <f t="shared" si="481"/>
        <v>20</v>
      </c>
      <c r="AF314" t="str">
        <f t="shared" si="482"/>
        <v>13</v>
      </c>
      <c r="AG314" t="str">
        <f t="shared" si="483"/>
        <v>18</v>
      </c>
      <c r="AH314" t="str">
        <f t="shared" si="526"/>
        <v>o</v>
      </c>
      <c r="AI314" t="str">
        <f t="shared" si="551"/>
        <v>o</v>
      </c>
      <c r="AJ314" t="str">
        <f t="shared" si="551"/>
        <v>o</v>
      </c>
      <c r="AK314" t="str">
        <f t="shared" si="528"/>
        <v/>
      </c>
      <c r="AL314" t="str">
        <f t="shared" si="529"/>
        <v/>
      </c>
      <c r="AM314" t="str">
        <f t="shared" si="484"/>
        <v>Away</v>
      </c>
      <c r="AN314" t="str">
        <f t="shared" si="530"/>
        <v>a</v>
      </c>
      <c r="AO314" t="str">
        <f t="shared" si="531"/>
        <v>d</v>
      </c>
      <c r="AP314" t="str">
        <f t="shared" si="532"/>
        <v>o</v>
      </c>
      <c r="AQ314" t="str">
        <f>IF(AM314&lt;&gt;"",AM314,IF($AC314=#REF!,#REF!,""))</f>
        <v>Away</v>
      </c>
      <c r="AR314" t="str">
        <f t="shared" si="533"/>
        <v>a</v>
      </c>
      <c r="AS314" t="str">
        <f t="shared" si="534"/>
        <v>Defensive</v>
      </c>
      <c r="AT314" t="str">
        <f t="shared" si="485"/>
        <v/>
      </c>
      <c r="AU314" t="str">
        <f t="shared" si="486"/>
        <v/>
      </c>
      <c r="AV314" t="str" cm="1">
        <f t="array" ref="AV314">IFERROR(IF(O314&lt;&gt;"",O314,IF(OR($S314="",$T314=""),"",IF(O314&lt;&gt;"",O314,IF($T314&lt;&gt;"",_xlfn._xlws.FILTER(O:O,($BT:$BT=$BT314)*($I:$I=$I314)*($T:$T=$T314)*($S:$S=_xlfn.MINIFS($S:$S,$T:$T,"="&amp;$T314)),"")))))&amp;"",IF(O314="","",""))&amp;""</f>
        <v/>
      </c>
      <c r="AW314" t="str" cm="1">
        <f t="array" ref="AW314">IFERROR(IF(P314&lt;&gt;"",P314,IF(OR($S314="",$T314=""),"",IF($T314&lt;&gt;"",_xlfn._xlws.FILTER(P:P,($BT:$BT=$BT314)*($I:$I=$I314)*($T:$T=$T314)*($S:$S=_xlfn.MINIFS($S:$S,$T:$T,"="&amp;$T314)),""))))&amp;"",IF(P314="","",""))&amp;""</f>
        <v/>
      </c>
      <c r="AX314" t="str" cm="1">
        <f t="array" ref="AX314">IFERROR(IF(Q314&lt;&gt;"",Q314,IF(OR($S314="",$T314=""),"",IF($T314&lt;&gt;"",_xlfn._xlws.FILTER(Q:Q,($BT:$BT=$BT314)*($I:$I=$I314)*($T:$T=$T314)*($S:$S=_xlfn.MINIFS($S:$S,$T:$T,"="&amp;$T314)),""))))&amp;"",IF(Q314="","",""))&amp;""</f>
        <v/>
      </c>
      <c r="AY314" t="str" cm="1">
        <f t="array" ref="AY314">IFERROR(IF(R314&lt;&gt;"",R314,IF(OR($S314="",$T314=""),"",IF($T314&lt;&gt;"",_xlfn._xlws.FILTER(R:R,($BT:$BT=$BT314)*($I:$I=$I314)*($T:$T=$T314)*($S:$S=_xlfn.MINIFS($S:$S,$T:$T,"="&amp;$T314)),""))))&amp;"",IF(R314="","",""))&amp;""</f>
        <v/>
      </c>
      <c r="AZ314" s="6">
        <f t="shared" si="487"/>
        <v>31</v>
      </c>
      <c r="BA314">
        <f t="shared" ref="BA314:BC314" si="567">BA313</f>
        <v>18991</v>
      </c>
      <c r="BB314" t="str">
        <f t="shared" si="567"/>
        <v>Triple J</v>
      </c>
      <c r="BC314" t="str">
        <f t="shared" si="567"/>
        <v>Velodrome</v>
      </c>
      <c r="BD314" t="str">
        <f t="shared" si="489"/>
        <v>Zone_Entry_Exit</v>
      </c>
      <c r="BE314" t="str">
        <f t="shared" si="490"/>
        <v>Zone_Entry</v>
      </c>
      <c r="BF314" t="str">
        <f t="shared" si="491"/>
        <v>ZoneEntry-Rush</v>
      </c>
      <c r="BG314" t="str">
        <f t="shared" si="473"/>
        <v>s</v>
      </c>
      <c r="BH314" cm="1">
        <f t="array" aca="1" ref="BH314" ca="1">IFERROR(_xlfn._xlws.FILTER(shifts!A:A,(shifts!B:B=events!Z314)*(shifts!AG:AG&gt;=events!BJ314)*(shifts!AH:AH&lt;=events!BK314)),BH313)</f>
        <v>11</v>
      </c>
      <c r="BI314" s="15">
        <f t="shared" si="492"/>
        <v>2</v>
      </c>
      <c r="BJ314">
        <f t="shared" si="493"/>
        <v>800</v>
      </c>
      <c r="BK314">
        <f t="shared" si="494"/>
        <v>798</v>
      </c>
      <c r="BL314" s="15">
        <f>SUMIFS(BI$2:BI314,K$2:K314,"=Intermission")+SUMIFS(BI$2:BI314,K$2:K314,"=Timeout")</f>
        <v>0</v>
      </c>
      <c r="BM314">
        <f t="shared" si="495"/>
        <v>0</v>
      </c>
      <c r="BN314" s="19">
        <f t="shared" si="496"/>
        <v>280</v>
      </c>
      <c r="BO314">
        <f t="shared" si="497"/>
        <v>275</v>
      </c>
      <c r="BP314" s="17">
        <f t="shared" si="498"/>
        <v>282</v>
      </c>
      <c r="BQ314" t="str">
        <f t="shared" si="499"/>
        <v>opp_team_player_2</v>
      </c>
      <c r="BR314">
        <f>COUNTIFS(S$3:S314,"="&amp;S314,AH$3:AH314,"="&amp;AH314)</f>
        <v>2</v>
      </c>
      <c r="BS314" t="str">
        <f>IFERROR(VLOOKUP(BA314&amp;BT314&amp;X314,game_rosters!U:W,3,FALSE),"")</f>
        <v>P100183</v>
      </c>
      <c r="BT314" t="str">
        <f t="shared" si="500"/>
        <v>Triple J</v>
      </c>
    </row>
    <row r="315" spans="1:72" x14ac:dyDescent="0.2">
      <c r="A315">
        <f t="shared" si="475"/>
        <v>1</v>
      </c>
      <c r="D315" s="26">
        <v>1</v>
      </c>
      <c r="E315" s="4"/>
      <c r="F315" s="45"/>
      <c r="G315" s="4"/>
      <c r="H315" s="47"/>
      <c r="I315" s="26">
        <v>61</v>
      </c>
      <c r="J315" s="26" t="str">
        <f t="shared" si="501"/>
        <v>o</v>
      </c>
      <c r="K315" t="s">
        <v>6</v>
      </c>
      <c r="L315" t="s">
        <v>205</v>
      </c>
      <c r="M315" t="s">
        <v>51</v>
      </c>
      <c r="N315" t="str">
        <f t="shared" si="520"/>
        <v>s</v>
      </c>
      <c r="Q315" t="str">
        <f t="shared" si="513"/>
        <v/>
      </c>
      <c r="R315" s="26">
        <v>1</v>
      </c>
      <c r="S315">
        <f>IF(A315=1,MAX($S$2:$S314)+1,IF(OR($I315&lt;&gt;"",A315="x"),$S314,""))</f>
        <v>164</v>
      </c>
      <c r="T315">
        <f>IF(D315=1,MAX($T$2:$T314)+1,IF(S315=S314,$T314,IF(D315="x",T314,IF(D314="x","",""))))</f>
        <v>21</v>
      </c>
      <c r="U315" t="str">
        <f>IF(B315=1,MAX($U$2:$U314)+1,IF(AND($T315&lt;&gt;"",$T315=$T314),$U314,IF(B315="x",U314,"")))</f>
        <v/>
      </c>
      <c r="V315" t="str">
        <f>IF(C315=1,MAX($V$2:$V314)+1,IF(AND($T315&lt;&gt;"",$T315=$T314),$U314,IF(C315="x",V314,"")))</f>
        <v/>
      </c>
      <c r="W315" t="str" cm="1">
        <f t="array" ref="W315">IFERROR(_xlfn._xlws.FILTER(game_rosters!AC:AC,(game_rosters!J:J=events!X315)*(K315&lt;&gt;"")),"")</f>
        <v>a</v>
      </c>
      <c r="X315" cm="1">
        <f t="array" ref="X315">IF($I315&lt;&gt;"",$I315,INDEX($I$1:$I315,ROW()-COUNTIFS($T$1:$T315,"="&amp;$T315,$S$1:$S315,"&lt;"&amp;$S315)))</f>
        <v>61</v>
      </c>
      <c r="Y315" cm="1">
        <f t="array" ref="Y315">IFERROR(IF(_xlfn._xlws.FILTER(game_rosters!$J:$J,(game_rosters!$G:$G=events!$AM315)*(game_rosters!$J:$J=events!$X315))&gt;0,1,""),"")</f>
        <v>1</v>
      </c>
      <c r="Z315" s="6">
        <f t="shared" si="476"/>
        <v>1</v>
      </c>
      <c r="AA315">
        <f t="shared" si="477"/>
        <v>1164</v>
      </c>
      <c r="AB315">
        <f t="shared" si="478"/>
        <v>9021</v>
      </c>
      <c r="AC315">
        <f t="shared" si="479"/>
        <v>9021</v>
      </c>
      <c r="AD315" t="str">
        <f t="shared" si="480"/>
        <v>13</v>
      </c>
      <c r="AE315" t="str">
        <f t="shared" si="481"/>
        <v>18</v>
      </c>
      <c r="AF315" t="str">
        <f t="shared" si="482"/>
        <v/>
      </c>
      <c r="AG315" t="str">
        <f t="shared" si="483"/>
        <v/>
      </c>
      <c r="AH315" t="str">
        <f t="shared" si="526"/>
        <v>e</v>
      </c>
      <c r="AI315" t="str">
        <f t="shared" ref="AI315:AJ330" si="568">IF($J315&lt;&gt;"",$J315,IF($AC315=$AC314,AI314,""))</f>
        <v>o</v>
      </c>
      <c r="AJ315" t="str">
        <f t="shared" si="568"/>
        <v>o</v>
      </c>
      <c r="AK315" t="str">
        <f t="shared" si="528"/>
        <v>d</v>
      </c>
      <c r="AL315" t="str">
        <f t="shared" si="529"/>
        <v>o</v>
      </c>
      <c r="AM315" t="str">
        <f t="shared" si="484"/>
        <v>Away</v>
      </c>
      <c r="AN315" t="str">
        <f t="shared" si="530"/>
        <v>a</v>
      </c>
      <c r="AO315" t="str">
        <f t="shared" si="531"/>
        <v>d</v>
      </c>
      <c r="AP315" t="str">
        <f t="shared" si="532"/>
        <v>o</v>
      </c>
      <c r="AQ315" t="str">
        <f>IF(AM315&lt;&gt;"",AM315,IF($AC315=#REF!,#REF!,""))</f>
        <v>Away</v>
      </c>
      <c r="AR315" t="str">
        <f t="shared" si="533"/>
        <v>a</v>
      </c>
      <c r="AS315" t="str">
        <f t="shared" si="534"/>
        <v>Offensive</v>
      </c>
      <c r="AT315" t="str">
        <f t="shared" si="485"/>
        <v/>
      </c>
      <c r="AU315" t="str">
        <f t="shared" si="486"/>
        <v/>
      </c>
      <c r="AV315" t="str" cm="1">
        <f t="array" ref="AV315">IFERROR(IF(O315&lt;&gt;"",O315,IF(OR($S315="",$T315=""),"",IF(O315&lt;&gt;"",O315,IF($T315&lt;&gt;"",_xlfn._xlws.FILTER(O:O,($BT:$BT=$BT315)*($I:$I=$I315)*($T:$T=$T315)*($S:$S=_xlfn.MINIFS($S:$S,$T:$T,"="&amp;$T315)),"")))))&amp;"",IF(O315="","",""))&amp;""</f>
        <v/>
      </c>
      <c r="AW315" t="str" cm="1">
        <f t="array" ref="AW315">IFERROR(IF(P315&lt;&gt;"",P315,IF(OR($S315="",$T315=""),"",IF($T315&lt;&gt;"",_xlfn._xlws.FILTER(P:P,($BT:$BT=$BT315)*($I:$I=$I315)*($T:$T=$T315)*($S:$S=_xlfn.MINIFS($S:$S,$T:$T,"="&amp;$T315)),""))))&amp;"",IF(P315="","",""))&amp;""</f>
        <v/>
      </c>
      <c r="AX315" t="str" cm="1">
        <f t="array" ref="AX315">IFERROR(IF(Q315&lt;&gt;"",Q315,IF(OR($S315="",$T315=""),"",IF($T315&lt;&gt;"",_xlfn._xlws.FILTER(Q:Q,($BT:$BT=$BT315)*($I:$I=$I315)*($T:$T=$T315)*($S:$S=_xlfn.MINIFS($S:$S,$T:$T,"="&amp;$T315)),""))))&amp;"",IF(Q315="","",""))&amp;""</f>
        <v/>
      </c>
      <c r="AY315" t="str" cm="1">
        <f t="array" ref="AY315">IFERROR(IF(R315&lt;&gt;"",R315,IF(OR($S315="",$T315=""),"",IF($T315&lt;&gt;"",_xlfn._xlws.FILTER(R:R,($BT:$BT=$BT315)*($I:$I=$I315)*($T:$T=$T315)*($S:$S=_xlfn.MINIFS($S:$S,$T:$T,"="&amp;$T315)),""))))&amp;"",IF(R315="","",""))&amp;""</f>
        <v>1</v>
      </c>
      <c r="AZ315" s="6">
        <f t="shared" si="487"/>
        <v>31</v>
      </c>
      <c r="BA315">
        <f t="shared" ref="BA315:BC315" si="569">BA314</f>
        <v>18991</v>
      </c>
      <c r="BB315" t="str">
        <f t="shared" si="569"/>
        <v>Triple J</v>
      </c>
      <c r="BC315" t="str">
        <f t="shared" si="569"/>
        <v>Velodrome</v>
      </c>
      <c r="BD315" t="str">
        <f t="shared" si="489"/>
        <v>Shot</v>
      </c>
      <c r="BE315" t="str">
        <f t="shared" si="490"/>
        <v>Shot_OnNetSaved</v>
      </c>
      <c r="BF315" t="str">
        <f t="shared" si="491"/>
        <v>Shot-Wrist</v>
      </c>
      <c r="BG315" t="str">
        <f t="shared" si="473"/>
        <v>s</v>
      </c>
      <c r="BH315" cm="1">
        <f t="array" aca="1" ref="BH315" ca="1">IFERROR(_xlfn._xlws.FILTER(shifts!A:A,(shifts!B:B=events!Z315)*(shifts!AG:AG&gt;=events!BJ315)*(shifts!AH:AH&lt;=events!BK315)),BH314)</f>
        <v>11</v>
      </c>
      <c r="BI315" s="15">
        <f t="shared" si="492"/>
        <v>0</v>
      </c>
      <c r="BJ315">
        <f t="shared" si="493"/>
        <v>798</v>
      </c>
      <c r="BK315">
        <f t="shared" si="494"/>
        <v>798</v>
      </c>
      <c r="BL315" s="15">
        <f>SUMIFS(BI$2:BI315,K$2:K315,"=Intermission")+SUMIFS(BI$2:BI315,K$2:K315,"=Timeout")</f>
        <v>0</v>
      </c>
      <c r="BM315">
        <f t="shared" si="495"/>
        <v>0</v>
      </c>
      <c r="BN315" s="19">
        <f t="shared" si="496"/>
        <v>282</v>
      </c>
      <c r="BO315">
        <f t="shared" si="497"/>
        <v>277</v>
      </c>
      <c r="BP315" s="17">
        <f t="shared" si="498"/>
        <v>282</v>
      </c>
      <c r="BQ315" t="str">
        <f t="shared" si="499"/>
        <v>event_team_player_1</v>
      </c>
      <c r="BR315">
        <f>COUNTIFS(S$3:S315,"="&amp;S315,AH$3:AH315,"="&amp;AH315)</f>
        <v>1</v>
      </c>
      <c r="BS315" t="str">
        <f>IFERROR(VLOOKUP(BA315&amp;BT315&amp;X315,game_rosters!U:W,3,FALSE),"")</f>
        <v>P100224</v>
      </c>
      <c r="BT315" t="str">
        <f t="shared" si="500"/>
        <v>Velodrome</v>
      </c>
    </row>
    <row r="316" spans="1:72" x14ac:dyDescent="0.2">
      <c r="A316" t="str">
        <f t="shared" si="475"/>
        <v>x</v>
      </c>
      <c r="D316" s="26" t="s">
        <v>729</v>
      </c>
      <c r="E316" s="4"/>
      <c r="F316" s="45"/>
      <c r="G316" s="4"/>
      <c r="H316" s="47"/>
      <c r="I316" s="26">
        <v>1</v>
      </c>
      <c r="J316" s="26" t="str">
        <f t="shared" si="501"/>
        <v/>
      </c>
      <c r="N316" t="str">
        <f t="shared" si="520"/>
        <v/>
      </c>
      <c r="Q316" t="str">
        <f t="shared" si="513"/>
        <v/>
      </c>
      <c r="S316">
        <f>IF(A316=1,MAX($S$2:$S315)+1,IF(OR($I316&lt;&gt;"",A316="x"),$S315,""))</f>
        <v>164</v>
      </c>
      <c r="T316">
        <f>IF(D316=1,MAX($T$2:$T315)+1,IF(S316=S315,$T315,IF(D316="x",T315,IF(D315="x","",""))))</f>
        <v>21</v>
      </c>
      <c r="U316" t="str">
        <f>IF(B316=1,MAX($U$2:$U315)+1,IF(AND($T316&lt;&gt;"",$T316=$T315),$U315,IF(B316="x",U315,"")))</f>
        <v/>
      </c>
      <c r="V316" t="str">
        <f>IF(C316=1,MAX($V$2:$V315)+1,IF(AND($T316&lt;&gt;"",$T316=$T315),$U315,IF(C316="x",V315,"")))</f>
        <v/>
      </c>
      <c r="W316" t="str" cm="1">
        <f t="array" ref="W316">IFERROR(_xlfn._xlws.FILTER(game_rosters!AC:AC,(game_rosters!J:J=events!X316)*(K316&lt;&gt;"")),"")</f>
        <v/>
      </c>
      <c r="X316" cm="1">
        <f t="array" ref="X316">IF($I316&lt;&gt;"",$I316,INDEX($I$1:$I316,ROW()-COUNTIFS($T$1:$T316,"="&amp;$T316,$S$1:$S316,"&lt;"&amp;$S316)))</f>
        <v>1</v>
      </c>
      <c r="Y316" t="str" cm="1">
        <f t="array" ref="Y316">IFERROR(IF(_xlfn._xlws.FILTER(game_rosters!$J:$J,(game_rosters!$G:$G=events!$AM316)*(game_rosters!$J:$J=events!$X316))&gt;0,1,""),"")</f>
        <v/>
      </c>
      <c r="Z316" s="6">
        <f t="shared" si="476"/>
        <v>1</v>
      </c>
      <c r="AA316">
        <f t="shared" si="477"/>
        <v>1164</v>
      </c>
      <c r="AB316">
        <f t="shared" si="478"/>
        <v>9021</v>
      </c>
      <c r="AC316">
        <f t="shared" si="479"/>
        <v>9021</v>
      </c>
      <c r="AD316" t="str">
        <f t="shared" si="480"/>
        <v>13</v>
      </c>
      <c r="AE316" t="str">
        <f t="shared" si="481"/>
        <v>18</v>
      </c>
      <c r="AF316" t="str">
        <f t="shared" si="482"/>
        <v/>
      </c>
      <c r="AG316" t="str">
        <f t="shared" si="483"/>
        <v/>
      </c>
      <c r="AH316" t="str">
        <f t="shared" si="526"/>
        <v>o</v>
      </c>
      <c r="AI316" t="str">
        <f t="shared" si="568"/>
        <v>o</v>
      </c>
      <c r="AJ316" t="str">
        <f t="shared" si="568"/>
        <v>o</v>
      </c>
      <c r="AK316" t="str">
        <f t="shared" si="528"/>
        <v/>
      </c>
      <c r="AL316" t="str">
        <f t="shared" si="529"/>
        <v/>
      </c>
      <c r="AM316" t="str">
        <f t="shared" si="484"/>
        <v>Away</v>
      </c>
      <c r="AN316" t="str">
        <f t="shared" si="530"/>
        <v>a</v>
      </c>
      <c r="AO316" t="str">
        <f t="shared" si="531"/>
        <v>d</v>
      </c>
      <c r="AP316" t="str">
        <f t="shared" si="532"/>
        <v>o</v>
      </c>
      <c r="AQ316" t="str">
        <f>IF(AM316&lt;&gt;"",AM316,IF($AC316=#REF!,#REF!,""))</f>
        <v>Away</v>
      </c>
      <c r="AR316" t="str">
        <f t="shared" si="533"/>
        <v>a</v>
      </c>
      <c r="AS316" t="str">
        <f t="shared" si="534"/>
        <v>Defensive</v>
      </c>
      <c r="AT316" t="str">
        <f t="shared" si="485"/>
        <v/>
      </c>
      <c r="AU316" t="str">
        <f t="shared" si="486"/>
        <v/>
      </c>
      <c r="AV316" t="str" cm="1">
        <f t="array" ref="AV316">IFERROR(IF(O316&lt;&gt;"",O316,IF(OR($S316="",$T316=""),"",IF(O316&lt;&gt;"",O316,IF($T316&lt;&gt;"",_xlfn._xlws.FILTER(O:O,($BT:$BT=$BT316)*($I:$I=$I316)*($T:$T=$T316)*($S:$S=_xlfn.MINIFS($S:$S,$T:$T,"="&amp;$T316)),"")))))&amp;"",IF(O316="","",""))&amp;""</f>
        <v/>
      </c>
      <c r="AW316" t="str" cm="1">
        <f t="array" ref="AW316">IFERROR(IF(P316&lt;&gt;"",P316,IF(OR($S316="",$T316=""),"",IF($T316&lt;&gt;"",_xlfn._xlws.FILTER(P:P,($BT:$BT=$BT316)*($I:$I=$I316)*($T:$T=$T316)*($S:$S=_xlfn.MINIFS($S:$S,$T:$T,"="&amp;$T316)),""))))&amp;"",IF(P316="","",""))&amp;""</f>
        <v/>
      </c>
      <c r="AX316" t="str" cm="1">
        <f t="array" ref="AX316">IFERROR(IF(Q316&lt;&gt;"",Q316,IF(OR($S316="",$T316=""),"",IF($T316&lt;&gt;"",_xlfn._xlws.FILTER(Q:Q,($BT:$BT=$BT316)*($I:$I=$I316)*($T:$T=$T316)*($S:$S=_xlfn.MINIFS($S:$S,$T:$T,"="&amp;$T316)),""))))&amp;"",IF(Q316="","",""))&amp;""</f>
        <v/>
      </c>
      <c r="AY316" t="str" cm="1">
        <f t="array" ref="AY316">IFERROR(IF(R316&lt;&gt;"",R316,IF(OR($S316="",$T316=""),"",IF($T316&lt;&gt;"",_xlfn._xlws.FILTER(R:R,($BT:$BT=$BT316)*($I:$I=$I316)*($T:$T=$T316)*($S:$S=_xlfn.MINIFS($S:$S,$T:$T,"="&amp;$T316)),""))))&amp;"",IF(R316="","",""))&amp;""</f>
        <v/>
      </c>
      <c r="AZ316" s="6">
        <f t="shared" si="487"/>
        <v>31</v>
      </c>
      <c r="BA316">
        <f t="shared" ref="BA316:BC316" si="570">BA315</f>
        <v>18991</v>
      </c>
      <c r="BB316" t="str">
        <f t="shared" si="570"/>
        <v>Triple J</v>
      </c>
      <c r="BC316" t="str">
        <f t="shared" si="570"/>
        <v>Velodrome</v>
      </c>
      <c r="BD316" t="str">
        <f t="shared" si="489"/>
        <v>Shot</v>
      </c>
      <c r="BE316" t="str">
        <f t="shared" si="490"/>
        <v>Shot_OnNetSaved</v>
      </c>
      <c r="BF316" t="str">
        <f t="shared" si="491"/>
        <v>Shot-Wrist</v>
      </c>
      <c r="BG316" t="str">
        <f t="shared" si="473"/>
        <v>s</v>
      </c>
      <c r="BH316" cm="1">
        <f t="array" aca="1" ref="BH316" ca="1">IFERROR(_xlfn._xlws.FILTER(shifts!A:A,(shifts!B:B=events!Z316)*(shifts!AG:AG&gt;=events!BJ316)*(shifts!AH:AH&lt;=events!BK316)),BH315)</f>
        <v>11</v>
      </c>
      <c r="BI316" s="15">
        <f t="shared" si="492"/>
        <v>0</v>
      </c>
      <c r="BJ316">
        <f t="shared" si="493"/>
        <v>798</v>
      </c>
      <c r="BK316">
        <f t="shared" si="494"/>
        <v>798</v>
      </c>
      <c r="BL316" s="15">
        <f>SUMIFS(BI$2:BI316,K$2:K316,"=Intermission")+SUMIFS(BI$2:BI316,K$2:K316,"=Timeout")</f>
        <v>0</v>
      </c>
      <c r="BM316">
        <f t="shared" si="495"/>
        <v>0</v>
      </c>
      <c r="BN316" s="19">
        <f t="shared" si="496"/>
        <v>282</v>
      </c>
      <c r="BO316">
        <f t="shared" si="497"/>
        <v>277</v>
      </c>
      <c r="BP316" s="17">
        <f t="shared" si="498"/>
        <v>282</v>
      </c>
      <c r="BQ316" t="str">
        <f t="shared" si="499"/>
        <v>opp_team_player_1</v>
      </c>
      <c r="BR316">
        <f>COUNTIFS(S$3:S316,"="&amp;S316,AH$3:AH316,"="&amp;AH316)</f>
        <v>1</v>
      </c>
      <c r="BS316" t="str">
        <f>IFERROR(VLOOKUP(BA316&amp;BT316&amp;X316,game_rosters!U:W,3,FALSE),"")</f>
        <v>P100020</v>
      </c>
      <c r="BT316" t="str">
        <f t="shared" si="500"/>
        <v>Triple J</v>
      </c>
    </row>
    <row r="317" spans="1:72" x14ac:dyDescent="0.2">
      <c r="A317" t="str">
        <f t="shared" si="475"/>
        <v>x</v>
      </c>
      <c r="D317" s="26" t="s">
        <v>729</v>
      </c>
      <c r="E317" s="4"/>
      <c r="F317" s="45"/>
      <c r="G317" s="4"/>
      <c r="H317" s="47"/>
      <c r="I317" s="26">
        <v>73</v>
      </c>
      <c r="J317" s="26" t="str">
        <f t="shared" si="501"/>
        <v/>
      </c>
      <c r="N317" t="str">
        <f t="shared" si="520"/>
        <v/>
      </c>
      <c r="Q317" t="str">
        <f t="shared" si="513"/>
        <v/>
      </c>
      <c r="R317" s="26">
        <v>1</v>
      </c>
      <c r="S317">
        <f>IF(A317=1,MAX($S$2:$S316)+1,IF(OR($I317&lt;&gt;"",A317="x"),$S316,""))</f>
        <v>164</v>
      </c>
      <c r="T317">
        <f>IF(D317=1,MAX($T$2:$T316)+1,IF(S317=S316,$T316,IF(D317="x",T316,IF(D316="x","",""))))</f>
        <v>21</v>
      </c>
      <c r="U317" t="str">
        <f>IF(B317=1,MAX($U$2:$U316)+1,IF(AND($T317&lt;&gt;"",$T317=$T316),$U316,IF(B317="x",U316,"")))</f>
        <v/>
      </c>
      <c r="V317" t="str">
        <f>IF(C317=1,MAX($V$2:$V316)+1,IF(AND($T317&lt;&gt;"",$T317=$T316),$U316,IF(C317="x",V316,"")))</f>
        <v/>
      </c>
      <c r="W317" t="str" cm="1">
        <f t="array" ref="W317">IFERROR(_xlfn._xlws.FILTER(game_rosters!AC:AC,(game_rosters!J:J=events!X317)*(K317&lt;&gt;"")),"")</f>
        <v/>
      </c>
      <c r="X317" cm="1">
        <f t="array" ref="X317">IF($I317&lt;&gt;"",$I317,INDEX($I$1:$I317,ROW()-COUNTIFS($T$1:$T317,"="&amp;$T317,$S$1:$S317,"&lt;"&amp;$S317)))</f>
        <v>73</v>
      </c>
      <c r="Y317" t="str" cm="1">
        <f t="array" ref="Y317">IFERROR(IF(_xlfn._xlws.FILTER(game_rosters!$J:$J,(game_rosters!$G:$G=events!$AM317)*(game_rosters!$J:$J=events!$X317))&gt;0,1,""),"")</f>
        <v/>
      </c>
      <c r="Z317" s="6">
        <f t="shared" si="476"/>
        <v>1</v>
      </c>
      <c r="AA317">
        <f t="shared" si="477"/>
        <v>1164</v>
      </c>
      <c r="AB317">
        <f t="shared" si="478"/>
        <v>9021</v>
      </c>
      <c r="AC317">
        <f t="shared" si="479"/>
        <v>9021</v>
      </c>
      <c r="AD317" t="str">
        <f t="shared" si="480"/>
        <v>13</v>
      </c>
      <c r="AE317" t="str">
        <f t="shared" si="481"/>
        <v>18</v>
      </c>
      <c r="AF317" t="str">
        <f t="shared" si="482"/>
        <v/>
      </c>
      <c r="AG317" t="str">
        <f t="shared" si="483"/>
        <v/>
      </c>
      <c r="AH317" t="str">
        <f t="shared" si="526"/>
        <v>o</v>
      </c>
      <c r="AI317" t="str">
        <f t="shared" si="568"/>
        <v>o</v>
      </c>
      <c r="AJ317" t="str">
        <f t="shared" si="568"/>
        <v>o</v>
      </c>
      <c r="AK317" t="str">
        <f t="shared" si="528"/>
        <v/>
      </c>
      <c r="AL317" t="str">
        <f t="shared" si="529"/>
        <v/>
      </c>
      <c r="AM317" t="str">
        <f t="shared" si="484"/>
        <v>Away</v>
      </c>
      <c r="AN317" t="str">
        <f t="shared" si="530"/>
        <v>a</v>
      </c>
      <c r="AO317" t="str">
        <f t="shared" si="531"/>
        <v>d</v>
      </c>
      <c r="AP317" t="str">
        <f t="shared" si="532"/>
        <v>o</v>
      </c>
      <c r="AQ317" t="str">
        <f>IF(AM317&lt;&gt;"",AM317,IF($AC317=#REF!,#REF!,""))</f>
        <v>Away</v>
      </c>
      <c r="AR317" t="str">
        <f t="shared" si="533"/>
        <v>a</v>
      </c>
      <c r="AS317" t="str">
        <f t="shared" si="534"/>
        <v>Defensive</v>
      </c>
      <c r="AT317" t="str">
        <f t="shared" si="485"/>
        <v/>
      </c>
      <c r="AU317" t="str">
        <f t="shared" si="486"/>
        <v/>
      </c>
      <c r="AV317" t="str" cm="1">
        <f t="array" ref="AV317">IFERROR(IF(O317&lt;&gt;"",O317,IF(OR($S317="",$T317=""),"",IF(O317&lt;&gt;"",O317,IF($T317&lt;&gt;"",_xlfn._xlws.FILTER(O:O,($BT:$BT=$BT317)*($I:$I=$I317)*($T:$T=$T317)*($S:$S=_xlfn.MINIFS($S:$S,$T:$T,"="&amp;$T317)),"")))))&amp;"",IF(O317="","",""))&amp;""</f>
        <v/>
      </c>
      <c r="AW317" t="str" cm="1">
        <f t="array" ref="AW317">IFERROR(IF(P317&lt;&gt;"",P317,IF(OR($S317="",$T317=""),"",IF($T317&lt;&gt;"",_xlfn._xlws.FILTER(P:P,($BT:$BT=$BT317)*($I:$I=$I317)*($T:$T=$T317)*($S:$S=_xlfn.MINIFS($S:$S,$T:$T,"="&amp;$T317)),""))))&amp;"",IF(P317="","",""))&amp;""</f>
        <v/>
      </c>
      <c r="AX317" t="str" cm="1">
        <f t="array" ref="AX317">IFERROR(IF(Q317&lt;&gt;"",Q317,IF(OR($S317="",$T317=""),"",IF($T317&lt;&gt;"",_xlfn._xlws.FILTER(Q:Q,($BT:$BT=$BT317)*($I:$I=$I317)*($T:$T=$T317)*($S:$S=_xlfn.MINIFS($S:$S,$T:$T,"="&amp;$T317)),""))))&amp;"",IF(Q317="","",""))&amp;""</f>
        <v/>
      </c>
      <c r="AY317" t="str" cm="1">
        <f t="array" ref="AY317">IFERROR(IF(R317&lt;&gt;"",R317,IF(OR($S317="",$T317=""),"",IF($T317&lt;&gt;"",_xlfn._xlws.FILTER(R:R,($BT:$BT=$BT317)*($I:$I=$I317)*($T:$T=$T317)*($S:$S=_xlfn.MINIFS($S:$S,$T:$T,"="&amp;$T317)),""))))&amp;"",IF(R317="","",""))&amp;""</f>
        <v>1</v>
      </c>
      <c r="AZ317" s="6">
        <f t="shared" si="487"/>
        <v>31</v>
      </c>
      <c r="BA317">
        <f t="shared" ref="BA317:BC317" si="571">BA316</f>
        <v>18991</v>
      </c>
      <c r="BB317" t="str">
        <f t="shared" si="571"/>
        <v>Triple J</v>
      </c>
      <c r="BC317" t="str">
        <f t="shared" si="571"/>
        <v>Velodrome</v>
      </c>
      <c r="BD317" t="str">
        <f t="shared" si="489"/>
        <v>Shot</v>
      </c>
      <c r="BE317" t="str">
        <f t="shared" si="490"/>
        <v>Shot_OnNetSaved</v>
      </c>
      <c r="BF317" t="str">
        <f t="shared" si="491"/>
        <v>Shot-Wrist</v>
      </c>
      <c r="BG317" t="str">
        <f t="shared" si="473"/>
        <v>s</v>
      </c>
      <c r="BH317" cm="1">
        <f t="array" aca="1" ref="BH317" ca="1">IFERROR(_xlfn._xlws.FILTER(shifts!A:A,(shifts!B:B=events!Z317)*(shifts!AG:AG&gt;=events!BJ317)*(shifts!AH:AH&lt;=events!BK317)),BH316)</f>
        <v>11</v>
      </c>
      <c r="BI317" s="15">
        <f t="shared" si="492"/>
        <v>0</v>
      </c>
      <c r="BJ317">
        <f t="shared" si="493"/>
        <v>798</v>
      </c>
      <c r="BK317">
        <f t="shared" si="494"/>
        <v>798</v>
      </c>
      <c r="BL317" s="15">
        <f>SUMIFS(BI$2:BI317,K$2:K317,"=Intermission")+SUMIFS(BI$2:BI317,K$2:K317,"=Timeout")</f>
        <v>0</v>
      </c>
      <c r="BM317">
        <f t="shared" si="495"/>
        <v>0</v>
      </c>
      <c r="BN317" s="19">
        <f t="shared" si="496"/>
        <v>282</v>
      </c>
      <c r="BO317">
        <f t="shared" si="497"/>
        <v>277</v>
      </c>
      <c r="BP317" s="17">
        <f t="shared" si="498"/>
        <v>282</v>
      </c>
      <c r="BQ317" t="str">
        <f t="shared" si="499"/>
        <v>opp_team_player_2</v>
      </c>
      <c r="BR317">
        <f>COUNTIFS(S$3:S317,"="&amp;S317,AH$3:AH317,"="&amp;AH317)</f>
        <v>2</v>
      </c>
      <c r="BS317" t="str">
        <f>IFERROR(VLOOKUP(BA317&amp;BT317&amp;X317,game_rosters!U:W,3,FALSE),"")</f>
        <v>P100021</v>
      </c>
      <c r="BT317" t="str">
        <f t="shared" si="500"/>
        <v>Triple J</v>
      </c>
    </row>
    <row r="318" spans="1:72" x14ac:dyDescent="0.2">
      <c r="A318">
        <f t="shared" si="475"/>
        <v>1</v>
      </c>
      <c r="D318" s="26" t="s">
        <v>729</v>
      </c>
      <c r="E318" s="4"/>
      <c r="F318" s="45"/>
      <c r="G318" s="4"/>
      <c r="H318" s="47"/>
      <c r="I318" s="26">
        <v>1</v>
      </c>
      <c r="J318" s="26" t="str">
        <f t="shared" si="501"/>
        <v>d</v>
      </c>
      <c r="K318" t="s">
        <v>15</v>
      </c>
      <c r="L318" t="s">
        <v>179</v>
      </c>
      <c r="M318" t="s">
        <v>97</v>
      </c>
      <c r="N318" t="str">
        <f t="shared" si="520"/>
        <v/>
      </c>
      <c r="Q318" t="str">
        <f t="shared" si="513"/>
        <v/>
      </c>
      <c r="S318">
        <f>IF(A318=1,MAX($S$2:$S317)+1,IF(OR($I318&lt;&gt;"",A318="x"),$S317,""))</f>
        <v>165</v>
      </c>
      <c r="T318">
        <f>IF(D318=1,MAX($T$2:$T317)+1,IF(S318=S317,$T317,IF(D318="x",T317,IF(D317="x","",""))))</f>
        <v>21</v>
      </c>
      <c r="U318" t="str">
        <f>IF(B318=1,MAX($U$2:$U317)+1,IF(AND($T318&lt;&gt;"",$T318=$T317),$U317,IF(B318="x",U317,"")))</f>
        <v/>
      </c>
      <c r="V318" t="str">
        <f>IF(C318=1,MAX($V$2:$V317)+1,IF(AND($T318&lt;&gt;"",$T318=$T317),$U317,IF(C318="x",V317,"")))</f>
        <v/>
      </c>
      <c r="W318" t="str" cm="1">
        <f t="array" ref="W318">IFERROR(_xlfn._xlws.FILTER(game_rosters!AC:AC,(game_rosters!J:J=events!X318)*(K318&lt;&gt;"")),"")</f>
        <v>h</v>
      </c>
      <c r="X318" cm="1">
        <f t="array" ref="X318">IF($I318&lt;&gt;"",$I318,INDEX($I$1:$I318,ROW()-COUNTIFS($T$1:$T318,"="&amp;$T318,$S$1:$S318,"&lt;"&amp;$S318)))</f>
        <v>1</v>
      </c>
      <c r="Y318" cm="1">
        <f t="array" ref="Y318">IFERROR(IF(_xlfn._xlws.FILTER(game_rosters!$J:$J,(game_rosters!$G:$G=events!$AM318)*(game_rosters!$J:$J=events!$X318))&gt;0,1,""),"")</f>
        <v>1</v>
      </c>
      <c r="Z318" s="6">
        <f t="shared" si="476"/>
        <v>1</v>
      </c>
      <c r="AA318">
        <f t="shared" si="477"/>
        <v>1165</v>
      </c>
      <c r="AB318">
        <f t="shared" si="478"/>
        <v>9021</v>
      </c>
      <c r="AC318">
        <f t="shared" si="479"/>
        <v>9021</v>
      </c>
      <c r="AD318" t="str">
        <f t="shared" si="480"/>
        <v>13</v>
      </c>
      <c r="AE318" t="str">
        <f t="shared" si="481"/>
        <v>18</v>
      </c>
      <c r="AF318" t="str">
        <f t="shared" si="482"/>
        <v/>
      </c>
      <c r="AG318" t="str">
        <f t="shared" si="483"/>
        <v/>
      </c>
      <c r="AH318" t="str">
        <f t="shared" si="526"/>
        <v>e</v>
      </c>
      <c r="AI318" t="str">
        <f t="shared" si="568"/>
        <v>d</v>
      </c>
      <c r="AJ318" t="str">
        <f t="shared" si="568"/>
        <v>d</v>
      </c>
      <c r="AK318" t="str">
        <f t="shared" si="528"/>
        <v>d</v>
      </c>
      <c r="AL318" t="str">
        <f t="shared" si="529"/>
        <v>o</v>
      </c>
      <c r="AM318" t="str">
        <f t="shared" si="484"/>
        <v>Home</v>
      </c>
      <c r="AN318" t="str">
        <f t="shared" si="530"/>
        <v>h</v>
      </c>
      <c r="AO318" t="str">
        <f t="shared" si="531"/>
        <v>d</v>
      </c>
      <c r="AP318" t="str">
        <f t="shared" si="532"/>
        <v>o</v>
      </c>
      <c r="AQ318" t="str">
        <f>IF(AM318&lt;&gt;"",AM318,IF($AC318=#REF!,#REF!,""))</f>
        <v>Home</v>
      </c>
      <c r="AR318" t="str">
        <f t="shared" si="533"/>
        <v>h</v>
      </c>
      <c r="AS318" t="str">
        <f t="shared" si="534"/>
        <v>Defensive</v>
      </c>
      <c r="AT318" t="str">
        <f t="shared" si="485"/>
        <v/>
      </c>
      <c r="AU318" t="str">
        <f t="shared" si="486"/>
        <v/>
      </c>
      <c r="AV318" t="str" cm="1">
        <f t="array" ref="AV318">IFERROR(IF(O318&lt;&gt;"",O318,IF(OR($S318="",$T318=""),"",IF(O318&lt;&gt;"",O318,IF($T318&lt;&gt;"",_xlfn._xlws.FILTER(O:O,($BT:$BT=$BT318)*($I:$I=$I318)*($T:$T=$T318)*($S:$S=_xlfn.MINIFS($S:$S,$T:$T,"="&amp;$T318)),"")))))&amp;"",IF(O318="","",""))&amp;""</f>
        <v/>
      </c>
      <c r="AW318" t="str" cm="1">
        <f t="array" ref="AW318">IFERROR(IF(P318&lt;&gt;"",P318,IF(OR($S318="",$T318=""),"",IF($T318&lt;&gt;"",_xlfn._xlws.FILTER(P:P,($BT:$BT=$BT318)*($I:$I=$I318)*($T:$T=$T318)*($S:$S=_xlfn.MINIFS($S:$S,$T:$T,"="&amp;$T318)),""))))&amp;"",IF(P318="","",""))&amp;""</f>
        <v/>
      </c>
      <c r="AX318" t="str" cm="1">
        <f t="array" ref="AX318">IFERROR(IF(Q318&lt;&gt;"",Q318,IF(OR($S318="",$T318=""),"",IF($T318&lt;&gt;"",_xlfn._xlws.FILTER(Q:Q,($BT:$BT=$BT318)*($I:$I=$I318)*($T:$T=$T318)*($S:$S=_xlfn.MINIFS($S:$S,$T:$T,"="&amp;$T318)),""))))&amp;"",IF(Q318="","",""))&amp;""</f>
        <v/>
      </c>
      <c r="AY318" t="str" cm="1">
        <f t="array" ref="AY318">IFERROR(IF(R318&lt;&gt;"",R318,IF(OR($S318="",$T318=""),"",IF($T318&lt;&gt;"",_xlfn._xlws.FILTER(R:R,($BT:$BT=$BT318)*($I:$I=$I318)*($T:$T=$T318)*($S:$S=_xlfn.MINIFS($S:$S,$T:$T,"="&amp;$T318)),""))))&amp;"",IF(R318="","",""))&amp;""</f>
        <v/>
      </c>
      <c r="AZ318" s="6">
        <f t="shared" si="487"/>
        <v>31</v>
      </c>
      <c r="BA318">
        <f t="shared" ref="BA318:BC318" si="572">BA317</f>
        <v>18991</v>
      </c>
      <c r="BB318" t="str">
        <f t="shared" si="572"/>
        <v>Triple J</v>
      </c>
      <c r="BC318" t="str">
        <f t="shared" si="572"/>
        <v>Velodrome</v>
      </c>
      <c r="BD318" t="str">
        <f t="shared" si="489"/>
        <v>Save</v>
      </c>
      <c r="BE318" t="str">
        <f t="shared" si="490"/>
        <v>Save_Rebound</v>
      </c>
      <c r="BF318" t="str">
        <f t="shared" si="491"/>
        <v>Save-RightPad</v>
      </c>
      <c r="BG318" t="str">
        <f t="shared" si="473"/>
        <v/>
      </c>
      <c r="BH318" cm="1">
        <f t="array" aca="1" ref="BH318" ca="1">IFERROR(_xlfn._xlws.FILTER(shifts!A:A,(shifts!B:B=events!Z318)*(shifts!AG:AG&gt;=events!BJ318)*(shifts!AH:AH&lt;=events!BK318)),BH317)</f>
        <v>11</v>
      </c>
      <c r="BI318" s="15">
        <f t="shared" si="492"/>
        <v>0</v>
      </c>
      <c r="BJ318">
        <f t="shared" si="493"/>
        <v>798</v>
      </c>
      <c r="BK318">
        <f t="shared" si="494"/>
        <v>798</v>
      </c>
      <c r="BL318" s="15">
        <f>SUMIFS(BI$2:BI318,K$2:K318,"=Intermission")+SUMIFS(BI$2:BI318,K$2:K318,"=Timeout")</f>
        <v>0</v>
      </c>
      <c r="BM318">
        <f t="shared" si="495"/>
        <v>0</v>
      </c>
      <c r="BN318" s="19">
        <f t="shared" si="496"/>
        <v>282</v>
      </c>
      <c r="BO318">
        <f t="shared" si="497"/>
        <v>277</v>
      </c>
      <c r="BP318" s="17">
        <f t="shared" si="498"/>
        <v>282</v>
      </c>
      <c r="BQ318" t="str">
        <f t="shared" si="499"/>
        <v>event_team_player_1</v>
      </c>
      <c r="BR318">
        <f>COUNTIFS(S$3:S318,"="&amp;S318,AH$3:AH318,"="&amp;AH318)</f>
        <v>1</v>
      </c>
      <c r="BS318" t="str">
        <f>IFERROR(VLOOKUP(BA318&amp;BT318&amp;X318,game_rosters!U:W,3,FALSE),"")</f>
        <v>P100020</v>
      </c>
      <c r="BT318" t="str">
        <f t="shared" si="500"/>
        <v>Triple J</v>
      </c>
    </row>
    <row r="319" spans="1:72" x14ac:dyDescent="0.2">
      <c r="A319" t="str">
        <f t="shared" si="475"/>
        <v>x</v>
      </c>
      <c r="D319" s="26" t="s">
        <v>729</v>
      </c>
      <c r="E319" s="4"/>
      <c r="F319" s="45"/>
      <c r="G319" s="4"/>
      <c r="H319" s="47"/>
      <c r="I319" s="26">
        <v>73</v>
      </c>
      <c r="J319" s="26" t="str">
        <f t="shared" si="501"/>
        <v/>
      </c>
      <c r="N319" t="str">
        <f t="shared" si="520"/>
        <v/>
      </c>
      <c r="Q319" t="str">
        <f t="shared" si="513"/>
        <v/>
      </c>
      <c r="S319">
        <f>IF(A319=1,MAX($S$2:$S318)+1,IF(OR($I319&lt;&gt;"",A319="x"),$S318,""))</f>
        <v>165</v>
      </c>
      <c r="T319">
        <f>IF(D319=1,MAX($T$2:$T318)+1,IF(S319=S318,$T318,IF(D319="x",T318,IF(D318="x","",""))))</f>
        <v>21</v>
      </c>
      <c r="U319" t="str">
        <f>IF(B319=1,MAX($U$2:$U318)+1,IF(AND($T319&lt;&gt;"",$T319=$T318),$U318,IF(B319="x",U318,"")))</f>
        <v/>
      </c>
      <c r="V319" t="str">
        <f>IF(C319=1,MAX($V$2:$V318)+1,IF(AND($T319&lt;&gt;"",$T319=$T318),$U318,IF(C319="x",V318,"")))</f>
        <v/>
      </c>
      <c r="W319" t="str" cm="1">
        <f t="array" ref="W319">IFERROR(_xlfn._xlws.FILTER(game_rosters!AC:AC,(game_rosters!J:J=events!X319)*(K319&lt;&gt;"")),"")</f>
        <v/>
      </c>
      <c r="X319" cm="1">
        <f t="array" ref="X319">IF($I319&lt;&gt;"",$I319,INDEX($I$1:$I319,ROW()-COUNTIFS($T$1:$T319,"="&amp;$T319,$S$1:$S319,"&lt;"&amp;$S319)))</f>
        <v>73</v>
      </c>
      <c r="Y319" cm="1">
        <f t="array" ref="Y319">IFERROR(IF(_xlfn._xlws.FILTER(game_rosters!$J:$J,(game_rosters!$G:$G=events!$AM319)*(game_rosters!$J:$J=events!$X319))&gt;0,1,""),"")</f>
        <v>1</v>
      </c>
      <c r="Z319" s="6">
        <f t="shared" si="476"/>
        <v>1</v>
      </c>
      <c r="AA319">
        <f t="shared" si="477"/>
        <v>1165</v>
      </c>
      <c r="AB319">
        <f t="shared" si="478"/>
        <v>9021</v>
      </c>
      <c r="AC319">
        <f t="shared" si="479"/>
        <v>9021</v>
      </c>
      <c r="AD319" t="str">
        <f t="shared" si="480"/>
        <v>13</v>
      </c>
      <c r="AE319" t="str">
        <f t="shared" si="481"/>
        <v>18</v>
      </c>
      <c r="AF319" t="str">
        <f t="shared" si="482"/>
        <v/>
      </c>
      <c r="AG319" t="str">
        <f t="shared" si="483"/>
        <v/>
      </c>
      <c r="AH319" t="str">
        <f t="shared" si="526"/>
        <v>e</v>
      </c>
      <c r="AI319" t="str">
        <f t="shared" si="568"/>
        <v>d</v>
      </c>
      <c r="AJ319" t="str">
        <f t="shared" si="568"/>
        <v>d</v>
      </c>
      <c r="AK319" t="str">
        <f t="shared" si="528"/>
        <v/>
      </c>
      <c r="AL319" t="str">
        <f t="shared" si="529"/>
        <v/>
      </c>
      <c r="AM319" t="str">
        <f t="shared" si="484"/>
        <v>Home</v>
      </c>
      <c r="AN319" t="str">
        <f t="shared" si="530"/>
        <v>h</v>
      </c>
      <c r="AO319" t="str">
        <f t="shared" si="531"/>
        <v>d</v>
      </c>
      <c r="AP319" t="str">
        <f t="shared" si="532"/>
        <v>o</v>
      </c>
      <c r="AQ319" t="str">
        <f>IF(AM319&lt;&gt;"",AM319,IF($AC319=#REF!,#REF!,""))</f>
        <v>Home</v>
      </c>
      <c r="AR319" t="str">
        <f t="shared" si="533"/>
        <v>h</v>
      </c>
      <c r="AS319" t="str">
        <f t="shared" si="534"/>
        <v>Defensive</v>
      </c>
      <c r="AT319" t="str">
        <f t="shared" si="485"/>
        <v/>
      </c>
      <c r="AU319" t="str">
        <f t="shared" si="486"/>
        <v/>
      </c>
      <c r="AV319" t="str" cm="1">
        <f t="array" ref="AV319">IFERROR(IF(O319&lt;&gt;"",O319,IF(OR($S319="",$T319=""),"",IF(O319&lt;&gt;"",O319,IF($T319&lt;&gt;"",_xlfn._xlws.FILTER(O:O,($BT:$BT=$BT319)*($I:$I=$I319)*($T:$T=$T319)*($S:$S=_xlfn.MINIFS($S:$S,$T:$T,"="&amp;$T319)),"")))))&amp;"",IF(O319="","",""))&amp;""</f>
        <v/>
      </c>
      <c r="AW319" t="str" cm="1">
        <f t="array" ref="AW319">IFERROR(IF(P319&lt;&gt;"",P319,IF(OR($S319="",$T319=""),"",IF($T319&lt;&gt;"",_xlfn._xlws.FILTER(P:P,($BT:$BT=$BT319)*($I:$I=$I319)*($T:$T=$T319)*($S:$S=_xlfn.MINIFS($S:$S,$T:$T,"="&amp;$T319)),""))))&amp;"",IF(P319="","",""))&amp;""</f>
        <v/>
      </c>
      <c r="AX319" t="str" cm="1">
        <f t="array" ref="AX319">IFERROR(IF(Q319&lt;&gt;"",Q319,IF(OR($S319="",$T319=""),"",IF($T319&lt;&gt;"",_xlfn._xlws.FILTER(Q:Q,($BT:$BT=$BT319)*($I:$I=$I319)*($T:$T=$T319)*($S:$S=_xlfn.MINIFS($S:$S,$T:$T,"="&amp;$T319)),""))))&amp;"",IF(Q319="","",""))&amp;""</f>
        <v/>
      </c>
      <c r="AY319" t="str" cm="1">
        <f t="array" ref="AY319">IFERROR(IF(R319&lt;&gt;"",R319,IF(OR($S319="",$T319=""),"",IF($T319&lt;&gt;"",_xlfn._xlws.FILTER(R:R,($BT:$BT=$BT319)*($I:$I=$I319)*($T:$T=$T319)*($S:$S=_xlfn.MINIFS($S:$S,$T:$T,"="&amp;$T319)),""))))&amp;"",IF(R319="","",""))&amp;""</f>
        <v>1</v>
      </c>
      <c r="AZ319" s="6">
        <f t="shared" si="487"/>
        <v>31</v>
      </c>
      <c r="BA319">
        <f t="shared" ref="BA319:BC319" si="573">BA318</f>
        <v>18991</v>
      </c>
      <c r="BB319" t="str">
        <f t="shared" si="573"/>
        <v>Triple J</v>
      </c>
      <c r="BC319" t="str">
        <f t="shared" si="573"/>
        <v>Velodrome</v>
      </c>
      <c r="BD319" t="str">
        <f t="shared" si="489"/>
        <v>Save</v>
      </c>
      <c r="BE319" t="str">
        <f t="shared" si="490"/>
        <v>Save_Rebound</v>
      </c>
      <c r="BF319" t="str">
        <f t="shared" si="491"/>
        <v>Save-RightPad</v>
      </c>
      <c r="BG319" t="str">
        <f t="shared" si="473"/>
        <v/>
      </c>
      <c r="BH319" cm="1">
        <f t="array" aca="1" ref="BH319" ca="1">IFERROR(_xlfn._xlws.FILTER(shifts!A:A,(shifts!B:B=events!Z319)*(shifts!AG:AG&gt;=events!BJ319)*(shifts!AH:AH&lt;=events!BK319)),BH318)</f>
        <v>11</v>
      </c>
      <c r="BI319" s="15">
        <f t="shared" si="492"/>
        <v>0</v>
      </c>
      <c r="BJ319">
        <f t="shared" si="493"/>
        <v>798</v>
      </c>
      <c r="BK319">
        <f t="shared" si="494"/>
        <v>798</v>
      </c>
      <c r="BL319" s="15">
        <f>SUMIFS(BI$2:BI319,K$2:K319,"=Intermission")+SUMIFS(BI$2:BI319,K$2:K319,"=Timeout")</f>
        <v>0</v>
      </c>
      <c r="BM319">
        <f t="shared" si="495"/>
        <v>0</v>
      </c>
      <c r="BN319" s="19">
        <f t="shared" si="496"/>
        <v>282</v>
      </c>
      <c r="BO319">
        <f t="shared" si="497"/>
        <v>277</v>
      </c>
      <c r="BP319" s="17">
        <f t="shared" si="498"/>
        <v>282</v>
      </c>
      <c r="BQ319" t="str">
        <f t="shared" si="499"/>
        <v>event_team_player_2</v>
      </c>
      <c r="BR319">
        <f>COUNTIFS(S$3:S319,"="&amp;S319,AH$3:AH319,"="&amp;AH319)</f>
        <v>2</v>
      </c>
      <c r="BS319" t="str">
        <f>IFERROR(VLOOKUP(BA319&amp;BT319&amp;X319,game_rosters!U:W,3,FALSE),"")</f>
        <v>P100021</v>
      </c>
      <c r="BT319" t="str">
        <f t="shared" si="500"/>
        <v>Triple J</v>
      </c>
    </row>
    <row r="320" spans="1:72" x14ac:dyDescent="0.2">
      <c r="A320" t="str">
        <f t="shared" si="475"/>
        <v>x</v>
      </c>
      <c r="D320" s="26" t="s">
        <v>729</v>
      </c>
      <c r="E320" s="4"/>
      <c r="F320" s="45"/>
      <c r="G320" s="4"/>
      <c r="H320" s="47"/>
      <c r="I320" s="26">
        <v>61</v>
      </c>
      <c r="J320" s="26" t="str">
        <f t="shared" si="501"/>
        <v/>
      </c>
      <c r="N320" t="str">
        <f t="shared" si="520"/>
        <v/>
      </c>
      <c r="Q320" t="str">
        <f t="shared" si="513"/>
        <v/>
      </c>
      <c r="S320">
        <f>IF(A320=1,MAX($S$2:$S319)+1,IF(OR($I320&lt;&gt;"",A320="x"),$S319,""))</f>
        <v>165</v>
      </c>
      <c r="T320">
        <f>IF(D320=1,MAX($T$2:$T319)+1,IF(S320=S319,$T319,IF(D320="x",T319,IF(D319="x","",""))))</f>
        <v>21</v>
      </c>
      <c r="U320" t="str">
        <f>IF(B320=1,MAX($U$2:$U319)+1,IF(AND($T320&lt;&gt;"",$T320=$T319),$U319,IF(B320="x",U319,"")))</f>
        <v/>
      </c>
      <c r="V320" t="str">
        <f>IF(C320=1,MAX($V$2:$V319)+1,IF(AND($T320&lt;&gt;"",$T320=$T319),$U319,IF(C320="x",V319,"")))</f>
        <v/>
      </c>
      <c r="W320" t="str" cm="1">
        <f t="array" ref="W320">IFERROR(_xlfn._xlws.FILTER(game_rosters!AC:AC,(game_rosters!J:J=events!X320)*(K320&lt;&gt;"")),"")</f>
        <v/>
      </c>
      <c r="X320" cm="1">
        <f t="array" ref="X320">IF($I320&lt;&gt;"",$I320,INDEX($I$1:$I320,ROW()-COUNTIFS($T$1:$T320,"="&amp;$T320,$S$1:$S320,"&lt;"&amp;$S320)))</f>
        <v>61</v>
      </c>
      <c r="Y320" t="str" cm="1">
        <f t="array" ref="Y320">IFERROR(IF(_xlfn._xlws.FILTER(game_rosters!$J:$J,(game_rosters!$G:$G=events!$AM320)*(game_rosters!$J:$J=events!$X320))&gt;0,1,""),"")</f>
        <v/>
      </c>
      <c r="Z320" s="6">
        <f t="shared" si="476"/>
        <v>1</v>
      </c>
      <c r="AA320">
        <f t="shared" si="477"/>
        <v>1165</v>
      </c>
      <c r="AB320">
        <f t="shared" si="478"/>
        <v>9021</v>
      </c>
      <c r="AC320">
        <f t="shared" si="479"/>
        <v>9021</v>
      </c>
      <c r="AD320" t="str">
        <f t="shared" si="480"/>
        <v>13</v>
      </c>
      <c r="AE320" t="str">
        <f t="shared" si="481"/>
        <v>18</v>
      </c>
      <c r="AF320" t="str">
        <f t="shared" si="482"/>
        <v/>
      </c>
      <c r="AG320" t="str">
        <f t="shared" si="483"/>
        <v/>
      </c>
      <c r="AH320" t="str">
        <f t="shared" si="526"/>
        <v>o</v>
      </c>
      <c r="AI320" t="str">
        <f t="shared" si="568"/>
        <v>d</v>
      </c>
      <c r="AJ320" t="str">
        <f t="shared" si="568"/>
        <v>d</v>
      </c>
      <c r="AK320" t="str">
        <f t="shared" si="528"/>
        <v/>
      </c>
      <c r="AL320" t="str">
        <f t="shared" si="529"/>
        <v/>
      </c>
      <c r="AM320" t="str">
        <f t="shared" si="484"/>
        <v>Home</v>
      </c>
      <c r="AN320" t="str">
        <f t="shared" si="530"/>
        <v>h</v>
      </c>
      <c r="AO320" t="str">
        <f t="shared" si="531"/>
        <v>d</v>
      </c>
      <c r="AP320" t="str">
        <f t="shared" si="532"/>
        <v>o</v>
      </c>
      <c r="AQ320" t="str">
        <f>IF(AM320&lt;&gt;"",AM320,IF($AC320=#REF!,#REF!,""))</f>
        <v>Home</v>
      </c>
      <c r="AR320" t="str">
        <f t="shared" si="533"/>
        <v>h</v>
      </c>
      <c r="AS320" t="str">
        <f t="shared" si="534"/>
        <v>Offensive</v>
      </c>
      <c r="AT320" t="str">
        <f t="shared" si="485"/>
        <v/>
      </c>
      <c r="AU320" t="str">
        <f t="shared" si="486"/>
        <v/>
      </c>
      <c r="AV320" t="str" cm="1">
        <f t="array" ref="AV320">IFERROR(IF(O320&lt;&gt;"",O320,IF(OR($S320="",$T320=""),"",IF(O320&lt;&gt;"",O320,IF($T320&lt;&gt;"",_xlfn._xlws.FILTER(O:O,($BT:$BT=$BT320)*($I:$I=$I320)*($T:$T=$T320)*($S:$S=_xlfn.MINIFS($S:$S,$T:$T,"="&amp;$T320)),"")))))&amp;"",IF(O320="","",""))&amp;""</f>
        <v/>
      </c>
      <c r="AW320" t="str" cm="1">
        <f t="array" ref="AW320">IFERROR(IF(P320&lt;&gt;"",P320,IF(OR($S320="",$T320=""),"",IF($T320&lt;&gt;"",_xlfn._xlws.FILTER(P:P,($BT:$BT=$BT320)*($I:$I=$I320)*($T:$T=$T320)*($S:$S=_xlfn.MINIFS($S:$S,$T:$T,"="&amp;$T320)),""))))&amp;"",IF(P320="","",""))&amp;""</f>
        <v/>
      </c>
      <c r="AX320" t="str" cm="1">
        <f t="array" ref="AX320">IFERROR(IF(Q320&lt;&gt;"",Q320,IF(OR($S320="",$T320=""),"",IF($T320&lt;&gt;"",_xlfn._xlws.FILTER(Q:Q,($BT:$BT=$BT320)*($I:$I=$I320)*($T:$T=$T320)*($S:$S=_xlfn.MINIFS($S:$S,$T:$T,"="&amp;$T320)),""))))&amp;"",IF(Q320="","",""))&amp;""</f>
        <v/>
      </c>
      <c r="AY320" t="str" cm="1">
        <f t="array" ref="AY320">IFERROR(IF(R320&lt;&gt;"",R320,IF(OR($S320="",$T320=""),"",IF($T320&lt;&gt;"",_xlfn._xlws.FILTER(R:R,($BT:$BT=$BT320)*($I:$I=$I320)*($T:$T=$T320)*($S:$S=_xlfn.MINIFS($S:$S,$T:$T,"="&amp;$T320)),""))))&amp;"",IF(R320="","",""))&amp;""</f>
        <v>1</v>
      </c>
      <c r="AZ320" s="6">
        <f t="shared" si="487"/>
        <v>31</v>
      </c>
      <c r="BA320">
        <f t="shared" ref="BA320:BC320" si="574">BA319</f>
        <v>18991</v>
      </c>
      <c r="BB320" t="str">
        <f t="shared" si="574"/>
        <v>Triple J</v>
      </c>
      <c r="BC320" t="str">
        <f t="shared" si="574"/>
        <v>Velodrome</v>
      </c>
      <c r="BD320" t="str">
        <f t="shared" si="489"/>
        <v>Save</v>
      </c>
      <c r="BE320" t="str">
        <f t="shared" si="490"/>
        <v>Save_Rebound</v>
      </c>
      <c r="BF320" t="str">
        <f t="shared" si="491"/>
        <v>Save-RightPad</v>
      </c>
      <c r="BG320" t="str">
        <f t="shared" si="473"/>
        <v/>
      </c>
      <c r="BH320" cm="1">
        <f t="array" aca="1" ref="BH320" ca="1">IFERROR(_xlfn._xlws.FILTER(shifts!A:A,(shifts!B:B=events!Z320)*(shifts!AG:AG&gt;=events!BJ320)*(shifts!AH:AH&lt;=events!BK320)),BH319)</f>
        <v>11</v>
      </c>
      <c r="BI320" s="15">
        <f t="shared" si="492"/>
        <v>0</v>
      </c>
      <c r="BJ320">
        <f t="shared" si="493"/>
        <v>798</v>
      </c>
      <c r="BK320">
        <f t="shared" si="494"/>
        <v>798</v>
      </c>
      <c r="BL320" s="15">
        <f>SUMIFS(BI$2:BI320,K$2:K320,"=Intermission")+SUMIFS(BI$2:BI320,K$2:K320,"=Timeout")</f>
        <v>0</v>
      </c>
      <c r="BM320">
        <f t="shared" si="495"/>
        <v>0</v>
      </c>
      <c r="BN320" s="19">
        <f t="shared" si="496"/>
        <v>282</v>
      </c>
      <c r="BO320">
        <f t="shared" si="497"/>
        <v>277</v>
      </c>
      <c r="BP320" s="17">
        <f t="shared" si="498"/>
        <v>282</v>
      </c>
      <c r="BQ320" t="str">
        <f t="shared" si="499"/>
        <v>opp_team_player_1</v>
      </c>
      <c r="BR320">
        <f>COUNTIFS(S$3:S320,"="&amp;S320,AH$3:AH320,"="&amp;AH320)</f>
        <v>1</v>
      </c>
      <c r="BS320" t="str">
        <f>IFERROR(VLOOKUP(BA320&amp;BT320&amp;X320,game_rosters!U:W,3,FALSE),"")</f>
        <v>P100224</v>
      </c>
      <c r="BT320" t="str">
        <f t="shared" si="500"/>
        <v>Velodrome</v>
      </c>
    </row>
    <row r="321" spans="1:72" x14ac:dyDescent="0.2">
      <c r="A321">
        <f t="shared" si="475"/>
        <v>1</v>
      </c>
      <c r="D321" s="26" t="s">
        <v>729</v>
      </c>
      <c r="E321" s="4"/>
      <c r="F321" s="45"/>
      <c r="G321" s="4"/>
      <c r="H321" s="47"/>
      <c r="I321" s="26">
        <v>1</v>
      </c>
      <c r="J321" s="26" t="str">
        <f t="shared" si="501"/>
        <v>d</v>
      </c>
      <c r="K321" t="s">
        <v>231</v>
      </c>
      <c r="L321" t="s">
        <v>233</v>
      </c>
      <c r="N321" t="str">
        <f t="shared" si="520"/>
        <v/>
      </c>
      <c r="Q321" t="str">
        <f t="shared" si="513"/>
        <v/>
      </c>
      <c r="S321">
        <f>IF(A321=1,MAX($S$2:$S320)+1,IF(OR($I321&lt;&gt;"",A321="x"),$S320,""))</f>
        <v>166</v>
      </c>
      <c r="T321">
        <f>IF(D321=1,MAX($T$2:$T320)+1,IF(S321=S320,$T320,IF(D321="x",T320,IF(D320="x","",""))))</f>
        <v>21</v>
      </c>
      <c r="U321" t="str">
        <f>IF(B321=1,MAX($U$2:$U320)+1,IF(AND($T321&lt;&gt;"",$T321=$T320),$U320,IF(B321="x",U320,"")))</f>
        <v/>
      </c>
      <c r="V321" t="str">
        <f>IF(C321=1,MAX($V$2:$V320)+1,IF(AND($T321&lt;&gt;"",$T321=$T320),$U320,IF(C321="x",V320,"")))</f>
        <v/>
      </c>
      <c r="W321" t="str" cm="1">
        <f t="array" ref="W321">IFERROR(_xlfn._xlws.FILTER(game_rosters!AC:AC,(game_rosters!J:J=events!X321)*(K321&lt;&gt;"")),"")</f>
        <v>h</v>
      </c>
      <c r="X321" cm="1">
        <f t="array" ref="X321">IF($I321&lt;&gt;"",$I321,INDEX($I$1:$I321,ROW()-COUNTIFS($T$1:$T321,"="&amp;$T321,$S$1:$S321,"&lt;"&amp;$S321)))</f>
        <v>1</v>
      </c>
      <c r="Y321" cm="1">
        <f t="array" ref="Y321">IFERROR(IF(_xlfn._xlws.FILTER(game_rosters!$J:$J,(game_rosters!$G:$G=events!$AM321)*(game_rosters!$J:$J=events!$X321))&gt;0,1,""),"")</f>
        <v>1</v>
      </c>
      <c r="Z321" s="6">
        <f t="shared" si="476"/>
        <v>1</v>
      </c>
      <c r="AA321">
        <f t="shared" si="477"/>
        <v>1166</v>
      </c>
      <c r="AB321">
        <f t="shared" si="478"/>
        <v>9021</v>
      </c>
      <c r="AC321">
        <f t="shared" si="479"/>
        <v>9021</v>
      </c>
      <c r="AD321" t="str">
        <f t="shared" si="480"/>
        <v>13</v>
      </c>
      <c r="AE321" t="str">
        <f t="shared" si="481"/>
        <v>18</v>
      </c>
      <c r="AF321" t="str">
        <f t="shared" si="482"/>
        <v/>
      </c>
      <c r="AG321" t="str">
        <f t="shared" si="483"/>
        <v/>
      </c>
      <c r="AH321" t="str">
        <f t="shared" si="526"/>
        <v>e</v>
      </c>
      <c r="AI321" t="str">
        <f t="shared" si="568"/>
        <v>d</v>
      </c>
      <c r="AJ321" t="str">
        <f t="shared" si="568"/>
        <v>d</v>
      </c>
      <c r="AK321" t="str">
        <f t="shared" si="528"/>
        <v>d</v>
      </c>
      <c r="AL321" t="str">
        <f t="shared" si="529"/>
        <v>o</v>
      </c>
      <c r="AM321" t="str">
        <f t="shared" si="484"/>
        <v>Home</v>
      </c>
      <c r="AN321" t="str">
        <f t="shared" si="530"/>
        <v>h</v>
      </c>
      <c r="AO321" t="str">
        <f t="shared" si="531"/>
        <v>d</v>
      </c>
      <c r="AP321" t="str">
        <f t="shared" si="532"/>
        <v>o</v>
      </c>
      <c r="AQ321" t="str">
        <f>IF(AM321&lt;&gt;"",AM321,IF($AC321=#REF!,#REF!,""))</f>
        <v>Home</v>
      </c>
      <c r="AR321" t="str">
        <f t="shared" si="533"/>
        <v>h</v>
      </c>
      <c r="AS321" t="str">
        <f t="shared" si="534"/>
        <v>Offensive</v>
      </c>
      <c r="AT321" t="str">
        <f t="shared" si="485"/>
        <v/>
      </c>
      <c r="AU321" t="str">
        <f t="shared" si="486"/>
        <v/>
      </c>
      <c r="AV321" t="str" cm="1">
        <f t="array" ref="AV321">IFERROR(IF(O321&lt;&gt;"",O321,IF(OR($S321="",$T321=""),"",IF(O321&lt;&gt;"",O321,IF($T321&lt;&gt;"",_xlfn._xlws.FILTER(O:O,($BT:$BT=$BT321)*($I:$I=$I321)*($T:$T=$T321)*($S:$S=_xlfn.MINIFS($S:$S,$T:$T,"="&amp;$T321)),"")))))&amp;"",IF(O321="","",""))&amp;""</f>
        <v/>
      </c>
      <c r="AW321" t="str" cm="1">
        <f t="array" ref="AW321">IFERROR(IF(P321&lt;&gt;"",P321,IF(OR($S321="",$T321=""),"",IF($T321&lt;&gt;"",_xlfn._xlws.FILTER(P:P,($BT:$BT=$BT321)*($I:$I=$I321)*($T:$T=$T321)*($S:$S=_xlfn.MINIFS($S:$S,$T:$T,"="&amp;$T321)),""))))&amp;"",IF(P321="","",""))&amp;""</f>
        <v/>
      </c>
      <c r="AX321" t="str" cm="1">
        <f t="array" ref="AX321">IFERROR(IF(Q321&lt;&gt;"",Q321,IF(OR($S321="",$T321=""),"",IF($T321&lt;&gt;"",_xlfn._xlws.FILTER(Q:Q,($BT:$BT=$BT321)*($I:$I=$I321)*($T:$T=$T321)*($S:$S=_xlfn.MINIFS($S:$S,$T:$T,"="&amp;$T321)),""))))&amp;"",IF(Q321="","",""))&amp;""</f>
        <v/>
      </c>
      <c r="AY321" t="str" cm="1">
        <f t="array" ref="AY321">IFERROR(IF(R321&lt;&gt;"",R321,IF(OR($S321="",$T321=""),"",IF($T321&lt;&gt;"",_xlfn._xlws.FILTER(R:R,($BT:$BT=$BT321)*($I:$I=$I321)*($T:$T=$T321)*($S:$S=_xlfn.MINIFS($S:$S,$T:$T,"="&amp;$T321)),""))))&amp;"",IF(R321="","",""))&amp;""</f>
        <v/>
      </c>
      <c r="AZ321" s="6">
        <f t="shared" si="487"/>
        <v>31</v>
      </c>
      <c r="BA321">
        <f t="shared" ref="BA321:BC321" si="575">BA320</f>
        <v>18991</v>
      </c>
      <c r="BB321" t="str">
        <f t="shared" si="575"/>
        <v>Triple J</v>
      </c>
      <c r="BC321" t="str">
        <f t="shared" si="575"/>
        <v>Velodrome</v>
      </c>
      <c r="BD321" t="str">
        <f t="shared" si="489"/>
        <v>Rebound</v>
      </c>
      <c r="BE321" t="str">
        <f t="shared" si="490"/>
        <v>Rebound_OppTeamRecovered</v>
      </c>
      <c r="BF321" t="str">
        <f t="shared" si="491"/>
        <v/>
      </c>
      <c r="BG321" t="str">
        <f t="shared" si="473"/>
        <v/>
      </c>
      <c r="BH321" cm="1">
        <f t="array" aca="1" ref="BH321" ca="1">IFERROR(_xlfn._xlws.FILTER(shifts!A:A,(shifts!B:B=events!Z321)*(shifts!AG:AG&gt;=events!BJ321)*(shifts!AH:AH&lt;=events!BK321)),BH320)</f>
        <v>11</v>
      </c>
      <c r="BI321" s="15">
        <f t="shared" si="492"/>
        <v>0</v>
      </c>
      <c r="BJ321">
        <f t="shared" si="493"/>
        <v>798</v>
      </c>
      <c r="BK321">
        <f t="shared" si="494"/>
        <v>798</v>
      </c>
      <c r="BL321" s="15">
        <f>SUMIFS(BI$2:BI321,K$2:K321,"=Intermission")+SUMIFS(BI$2:BI321,K$2:K321,"=Timeout")</f>
        <v>0</v>
      </c>
      <c r="BM321">
        <f t="shared" si="495"/>
        <v>0</v>
      </c>
      <c r="BN321" s="19">
        <f t="shared" si="496"/>
        <v>282</v>
      </c>
      <c r="BO321">
        <f t="shared" si="497"/>
        <v>277</v>
      </c>
      <c r="BP321" s="17">
        <f t="shared" si="498"/>
        <v>282</v>
      </c>
      <c r="BQ321" t="str">
        <f t="shared" si="499"/>
        <v>event_team_player_1</v>
      </c>
      <c r="BR321">
        <f>COUNTIFS(S$3:S321,"="&amp;S321,AH$3:AH321,"="&amp;AH321)</f>
        <v>1</v>
      </c>
      <c r="BS321" t="str">
        <f>IFERROR(VLOOKUP(BA321&amp;BT321&amp;X321,game_rosters!U:W,3,FALSE),"")</f>
        <v>P100020</v>
      </c>
      <c r="BT321" t="str">
        <f t="shared" si="500"/>
        <v>Triple J</v>
      </c>
    </row>
    <row r="322" spans="1:72" x14ac:dyDescent="0.2">
      <c r="A322">
        <f t="shared" si="475"/>
        <v>1</v>
      </c>
      <c r="E322" s="4"/>
      <c r="F322" s="45" t="s">
        <v>744</v>
      </c>
      <c r="G322" s="4"/>
      <c r="H322" s="47" t="s">
        <v>1064</v>
      </c>
      <c r="I322" s="26">
        <v>55</v>
      </c>
      <c r="J322" s="26" t="s">
        <v>368</v>
      </c>
      <c r="K322" t="s">
        <v>13</v>
      </c>
      <c r="L322" t="s">
        <v>587</v>
      </c>
      <c r="N322" t="str">
        <f t="shared" si="520"/>
        <v/>
      </c>
      <c r="O322" t="s">
        <v>908</v>
      </c>
      <c r="Q322" t="str">
        <f t="shared" si="513"/>
        <v/>
      </c>
      <c r="S322">
        <f>IF(A322=1,MAX($S$2:$S321)+1,IF(OR($I322&lt;&gt;"",A322="x"),$S321,""))</f>
        <v>167</v>
      </c>
      <c r="T322" t="str">
        <f>IF(D322=1,MAX($T$2:$T321)+1,IF(S322=S321,$T321,IF(D322="x",T321,IF(D321="x","",""))))</f>
        <v/>
      </c>
      <c r="U322" t="str">
        <f>IF(B322=1,MAX($U$2:$U321)+1,IF(AND($T322&lt;&gt;"",$T322=$T321),$U321,IF(B322="x",U321,"")))</f>
        <v/>
      </c>
      <c r="V322" t="str">
        <f>IF(C322=1,MAX($V$2:$V321)+1,IF(AND($T322&lt;&gt;"",$T322=$T321),$U321,IF(C322="x",V321,"")))</f>
        <v/>
      </c>
      <c r="W322" t="str" cm="1">
        <f t="array" ref="W322">IFERROR(_xlfn._xlws.FILTER(game_rosters!AC:AC,(game_rosters!J:J=events!X322)*(K322&lt;&gt;"")),"")</f>
        <v>a</v>
      </c>
      <c r="X322" cm="1">
        <f t="array" ref="X322">IF($I322&lt;&gt;"",$I322,INDEX($I$1:$I322,ROW()-COUNTIFS($T$1:$T322,"="&amp;$T322,$S$1:$S322,"&lt;"&amp;$S322)))</f>
        <v>55</v>
      </c>
      <c r="Y322" cm="1">
        <f t="array" ref="Y322">IFERROR(IF(_xlfn._xlws.FILTER(game_rosters!$J:$J,(game_rosters!$G:$G=events!$AM322)*(game_rosters!$J:$J=events!$X322))&gt;0,1,""),"")</f>
        <v>1</v>
      </c>
      <c r="Z322" s="6">
        <f t="shared" si="476"/>
        <v>1</v>
      </c>
      <c r="AA322">
        <f t="shared" si="477"/>
        <v>1167</v>
      </c>
      <c r="AB322" t="str">
        <f t="shared" si="478"/>
        <v/>
      </c>
      <c r="AC322">
        <f t="shared" si="479"/>
        <v>1167</v>
      </c>
      <c r="AD322" t="str">
        <f t="shared" si="480"/>
        <v>13</v>
      </c>
      <c r="AE322" t="str">
        <f t="shared" si="481"/>
        <v>15</v>
      </c>
      <c r="AF322" t="str">
        <f t="shared" si="482"/>
        <v>13</v>
      </c>
      <c r="AG322" t="str">
        <f t="shared" si="483"/>
        <v>13</v>
      </c>
      <c r="AH322" t="str">
        <f t="shared" si="526"/>
        <v>e</v>
      </c>
      <c r="AI322" t="str">
        <f t="shared" si="568"/>
        <v>o</v>
      </c>
      <c r="AJ322" t="str">
        <f t="shared" si="568"/>
        <v>o</v>
      </c>
      <c r="AK322" t="str">
        <f t="shared" si="528"/>
        <v>d</v>
      </c>
      <c r="AL322" t="str">
        <f t="shared" si="529"/>
        <v>o</v>
      </c>
      <c r="AM322" t="str">
        <f t="shared" si="484"/>
        <v>Away</v>
      </c>
      <c r="AN322" t="str">
        <f t="shared" si="530"/>
        <v>a</v>
      </c>
      <c r="AO322" t="str">
        <f t="shared" si="531"/>
        <v>d</v>
      </c>
      <c r="AP322" t="str">
        <f t="shared" si="532"/>
        <v>o</v>
      </c>
      <c r="AQ322" t="str">
        <f>IF(AM322&lt;&gt;"",AM322,IF($AC322=#REF!,#REF!,""))</f>
        <v>Away</v>
      </c>
      <c r="AR322" t="str">
        <f t="shared" si="533"/>
        <v>a</v>
      </c>
      <c r="AS322" t="str">
        <f t="shared" si="534"/>
        <v>Offensive</v>
      </c>
      <c r="AT322" t="str">
        <f t="shared" si="485"/>
        <v/>
      </c>
      <c r="AU322" t="str">
        <f t="shared" si="486"/>
        <v/>
      </c>
      <c r="AV322" t="str" cm="1">
        <f t="array" ref="AV322">IFERROR(IF(O322&lt;&gt;"",O322,IF(OR($S322="",$T322=""),"",IF(O322&lt;&gt;"",O322,IF($T322&lt;&gt;"",_xlfn._xlws.FILTER(O:O,($BT:$BT=$BT322)*($I:$I=$I322)*($T:$T=$T322)*($S:$S=_xlfn.MINIFS($S:$S,$T:$T,"="&amp;$T322)),"")))))&amp;"",IF(O322="","",""))&amp;""</f>
        <v>PuckRecoveryRetreivalRebound</v>
      </c>
      <c r="AW322" t="str" cm="1">
        <f t="array" ref="AW322">IFERROR(IF(P322&lt;&gt;"",P322,IF(OR($S322="",$T322=""),"",IF($T322&lt;&gt;"",_xlfn._xlws.FILTER(P:P,($BT:$BT=$BT322)*($I:$I=$I322)*($T:$T=$T322)*($S:$S=_xlfn.MINIFS($S:$S,$T:$T,"="&amp;$T322)),""))))&amp;"",IF(P322="","",""))&amp;""</f>
        <v/>
      </c>
      <c r="AX322" t="str" cm="1">
        <f t="array" ref="AX322">IFERROR(IF(Q322&lt;&gt;"",Q322,IF(OR($S322="",$T322=""),"",IF($T322&lt;&gt;"",_xlfn._xlws.FILTER(Q:Q,($BT:$BT=$BT322)*($I:$I=$I322)*($T:$T=$T322)*($S:$S=_xlfn.MINIFS($S:$S,$T:$T,"="&amp;$T322)),""))))&amp;"",IF(Q322="","",""))&amp;""</f>
        <v/>
      </c>
      <c r="AY322" t="str" cm="1">
        <f t="array" ref="AY322">IFERROR(IF(R322&lt;&gt;"",R322,IF(OR($S322="",$T322=""),"",IF($T322&lt;&gt;"",_xlfn._xlws.FILTER(R:R,($BT:$BT=$BT322)*($I:$I=$I322)*($T:$T=$T322)*($S:$S=_xlfn.MINIFS($S:$S,$T:$T,"="&amp;$T322)),""))))&amp;"",IF(R322="","",""))&amp;""</f>
        <v/>
      </c>
      <c r="AZ322" s="6">
        <f t="shared" si="487"/>
        <v>31</v>
      </c>
      <c r="BA322">
        <f t="shared" ref="BA322:BC322" si="576">BA321</f>
        <v>18991</v>
      </c>
      <c r="BB322" t="str">
        <f t="shared" si="576"/>
        <v>Triple J</v>
      </c>
      <c r="BC322" t="str">
        <f t="shared" si="576"/>
        <v>Velodrome</v>
      </c>
      <c r="BD322" t="str">
        <f t="shared" si="489"/>
        <v>Possession</v>
      </c>
      <c r="BE322" t="str">
        <f t="shared" si="490"/>
        <v>PuckRecovery</v>
      </c>
      <c r="BF322" t="str">
        <f t="shared" si="491"/>
        <v/>
      </c>
      <c r="BG322" t="str">
        <f t="shared" si="473"/>
        <v/>
      </c>
      <c r="BH322" cm="1">
        <f t="array" aca="1" ref="BH322" ca="1">IFERROR(_xlfn._xlws.FILTER(shifts!A:A,(shifts!B:B=events!Z322)*(shifts!AG:AG&gt;=events!BJ322)*(shifts!AH:AH&lt;=events!BK322)),BH321)</f>
        <v>11</v>
      </c>
      <c r="BI322" s="15">
        <f t="shared" si="492"/>
        <v>2</v>
      </c>
      <c r="BJ322">
        <f t="shared" si="493"/>
        <v>795</v>
      </c>
      <c r="BK322">
        <f t="shared" si="494"/>
        <v>793</v>
      </c>
      <c r="BL322" s="15">
        <f>SUMIFS(BI$2:BI322,K$2:K322,"=Intermission")+SUMIFS(BI$2:BI322,K$2:K322,"=Timeout")</f>
        <v>0</v>
      </c>
      <c r="BM322">
        <f t="shared" si="495"/>
        <v>0</v>
      </c>
      <c r="BN322" s="19">
        <f t="shared" si="496"/>
        <v>285</v>
      </c>
      <c r="BO322">
        <f t="shared" si="497"/>
        <v>280</v>
      </c>
      <c r="BP322" s="17">
        <f t="shared" si="498"/>
        <v>287</v>
      </c>
      <c r="BQ322" t="str">
        <f t="shared" si="499"/>
        <v>event_team_player_1</v>
      </c>
      <c r="BR322">
        <f>COUNTIFS(S$3:S322,"="&amp;S322,AH$3:AH322,"="&amp;AH322)</f>
        <v>1</v>
      </c>
      <c r="BS322" t="str">
        <f>IFERROR(VLOOKUP(BA322&amp;BT322&amp;X322,game_rosters!U:W,3,FALSE),"")</f>
        <v>P100064</v>
      </c>
      <c r="BT322" t="str">
        <f t="shared" si="500"/>
        <v>Velodrome</v>
      </c>
    </row>
    <row r="323" spans="1:72" x14ac:dyDescent="0.2">
      <c r="A323">
        <f t="shared" si="475"/>
        <v>1</v>
      </c>
      <c r="E323" s="4"/>
      <c r="F323" s="45"/>
      <c r="G323" s="4"/>
      <c r="H323" s="47"/>
      <c r="I323" s="26">
        <v>55</v>
      </c>
      <c r="J323" s="26" t="s">
        <v>368</v>
      </c>
      <c r="K323" t="s">
        <v>7</v>
      </c>
      <c r="L323" t="s">
        <v>192</v>
      </c>
      <c r="M323" t="s">
        <v>68</v>
      </c>
      <c r="N323" t="str">
        <f t="shared" si="520"/>
        <v>u</v>
      </c>
      <c r="Q323" t="str">
        <f t="shared" si="513"/>
        <v/>
      </c>
      <c r="R323" s="26">
        <v>1</v>
      </c>
      <c r="S323">
        <f>IF(A323=1,MAX($S$2:$S322)+1,IF(OR($I323&lt;&gt;"",A323="x"),$S322,""))</f>
        <v>168</v>
      </c>
      <c r="T323" t="str">
        <f>IF(D323=1,MAX($T$2:$T322)+1,IF(S323=S322,$T322,IF(D323="x",T322,IF(D322="x","",""))))</f>
        <v/>
      </c>
      <c r="U323" t="str">
        <f>IF(B323=1,MAX($U$2:$U322)+1,IF(AND($T323&lt;&gt;"",$T323=$T322),$U322,IF(B323="x",U322,"")))</f>
        <v/>
      </c>
      <c r="V323" t="str">
        <f>IF(C323=1,MAX($V$2:$V322)+1,IF(AND($T323&lt;&gt;"",$T323=$T322),$U322,IF(C323="x",V322,"")))</f>
        <v/>
      </c>
      <c r="W323" t="str" cm="1">
        <f t="array" ref="W323">IFERROR(_xlfn._xlws.FILTER(game_rosters!AC:AC,(game_rosters!J:J=events!X323)*(K323&lt;&gt;"")),"")</f>
        <v>a</v>
      </c>
      <c r="X323" cm="1">
        <f t="array" ref="X323">IF($I323&lt;&gt;"",$I323,INDEX($I$1:$I323,ROW()-COUNTIFS($T$1:$T323,"="&amp;$T323,$S$1:$S323,"&lt;"&amp;$S323)))</f>
        <v>55</v>
      </c>
      <c r="Y323" cm="1">
        <f t="array" ref="Y323">IFERROR(IF(_xlfn._xlws.FILTER(game_rosters!$J:$J,(game_rosters!$G:$G=events!$AM323)*(game_rosters!$J:$J=events!$X323))&gt;0,1,""),"")</f>
        <v>1</v>
      </c>
      <c r="Z323" s="6">
        <f t="shared" si="476"/>
        <v>1</v>
      </c>
      <c r="AA323">
        <f t="shared" si="477"/>
        <v>1168</v>
      </c>
      <c r="AB323" t="str">
        <f t="shared" si="478"/>
        <v/>
      </c>
      <c r="AC323">
        <f t="shared" si="479"/>
        <v>1168</v>
      </c>
      <c r="AD323" t="str">
        <f t="shared" si="480"/>
        <v>13</v>
      </c>
      <c r="AE323" t="str">
        <f t="shared" si="481"/>
        <v>13</v>
      </c>
      <c r="AF323" t="str">
        <f t="shared" si="482"/>
        <v/>
      </c>
      <c r="AG323" t="str">
        <f t="shared" si="483"/>
        <v/>
      </c>
      <c r="AH323" t="str">
        <f t="shared" si="526"/>
        <v>e</v>
      </c>
      <c r="AI323" t="str">
        <f t="shared" si="568"/>
        <v>o</v>
      </c>
      <c r="AJ323" t="str">
        <f t="shared" si="568"/>
        <v>o</v>
      </c>
      <c r="AK323" t="str">
        <f t="shared" si="528"/>
        <v>d</v>
      </c>
      <c r="AL323" t="str">
        <f t="shared" si="529"/>
        <v>o</v>
      </c>
      <c r="AM323" t="str">
        <f t="shared" si="484"/>
        <v>Away</v>
      </c>
      <c r="AN323" t="str">
        <f t="shared" si="530"/>
        <v>a</v>
      </c>
      <c r="AO323" t="str">
        <f t="shared" si="531"/>
        <v>d</v>
      </c>
      <c r="AP323" t="str">
        <f t="shared" si="532"/>
        <v>o</v>
      </c>
      <c r="AQ323" t="str">
        <f>IF(AM323&lt;&gt;"",AM323,IF($AC323=#REF!,#REF!,""))</f>
        <v>Away</v>
      </c>
      <c r="AR323" t="str">
        <f t="shared" si="533"/>
        <v>a</v>
      </c>
      <c r="AS323" t="str">
        <f t="shared" si="534"/>
        <v>Offensive</v>
      </c>
      <c r="AT323" t="str">
        <f t="shared" si="485"/>
        <v/>
      </c>
      <c r="AU323" t="str">
        <f t="shared" si="486"/>
        <v/>
      </c>
      <c r="AV323" t="str" cm="1">
        <f t="array" ref="AV323">IFERROR(IF(O323&lt;&gt;"",O323,IF(OR($S323="",$T323=""),"",IF(O323&lt;&gt;"",O323,IF($T323&lt;&gt;"",_xlfn._xlws.FILTER(O:O,($BT:$BT=$BT323)*($I:$I=$I323)*($T:$T=$T323)*($S:$S=_xlfn.MINIFS($S:$S,$T:$T,"="&amp;$T323)),"")))))&amp;"",IF(O323="","",""))&amp;""</f>
        <v/>
      </c>
      <c r="AW323" t="str" cm="1">
        <f t="array" ref="AW323">IFERROR(IF(P323&lt;&gt;"",P323,IF(OR($S323="",$T323=""),"",IF($T323&lt;&gt;"",_xlfn._xlws.FILTER(P:P,($BT:$BT=$BT323)*($I:$I=$I323)*($T:$T=$T323)*($S:$S=_xlfn.MINIFS($S:$S,$T:$T,"="&amp;$T323)),""))))&amp;"",IF(P323="","",""))&amp;""</f>
        <v/>
      </c>
      <c r="AX323" t="str" cm="1">
        <f t="array" ref="AX323">IFERROR(IF(Q323&lt;&gt;"",Q323,IF(OR($S323="",$T323=""),"",IF($T323&lt;&gt;"",_xlfn._xlws.FILTER(Q:Q,($BT:$BT=$BT323)*($I:$I=$I323)*($T:$T=$T323)*($S:$S=_xlfn.MINIFS($S:$S,$T:$T,"="&amp;$T323)),""))))&amp;"",IF(Q323="","",""))&amp;""</f>
        <v/>
      </c>
      <c r="AY323" t="str" cm="1">
        <f t="array" ref="AY323">IFERROR(IF(R323&lt;&gt;"",R323,IF(OR($S323="",$T323=""),"",IF($T323&lt;&gt;"",_xlfn._xlws.FILTER(R:R,($BT:$BT=$BT323)*($I:$I=$I323)*($T:$T=$T323)*($S:$S=_xlfn.MINIFS($S:$S,$T:$T,"="&amp;$T323)),""))))&amp;"",IF(R323="","",""))&amp;""</f>
        <v>1</v>
      </c>
      <c r="AZ323" s="6">
        <f t="shared" si="487"/>
        <v>31</v>
      </c>
      <c r="BA323">
        <f t="shared" ref="BA323:BC323" si="577">BA322</f>
        <v>18991</v>
      </c>
      <c r="BB323" t="str">
        <f t="shared" si="577"/>
        <v>Triple J</v>
      </c>
      <c r="BC323" t="str">
        <f t="shared" si="577"/>
        <v>Velodrome</v>
      </c>
      <c r="BD323" t="str">
        <f t="shared" si="489"/>
        <v>Pass</v>
      </c>
      <c r="BE323" t="str">
        <f t="shared" si="490"/>
        <v>Pass_Deflected</v>
      </c>
      <c r="BF323" t="str">
        <f t="shared" si="491"/>
        <v>Pass-Forehand</v>
      </c>
      <c r="BG323" t="str">
        <f t="shared" ref="BG323:BG386" si="578">IF($N323&lt;&gt;"",$N323,IF($S323=$S322,BG322,""))</f>
        <v>u</v>
      </c>
      <c r="BH323" cm="1">
        <f t="array" aca="1" ref="BH323" ca="1">IFERROR(_xlfn._xlws.FILTER(shifts!A:A,(shifts!B:B=events!Z323)*(shifts!AG:AG&gt;=events!BJ323)*(shifts!AH:AH&lt;=events!BK323)),BH322)</f>
        <v>11</v>
      </c>
      <c r="BI323" s="15">
        <f t="shared" si="492"/>
        <v>0</v>
      </c>
      <c r="BJ323">
        <f t="shared" si="493"/>
        <v>793</v>
      </c>
      <c r="BK323">
        <f t="shared" si="494"/>
        <v>793</v>
      </c>
      <c r="BL323" s="15">
        <f>SUMIFS(BI$2:BI323,K$2:K323,"=Intermission")+SUMIFS(BI$2:BI323,K$2:K323,"=Timeout")</f>
        <v>0</v>
      </c>
      <c r="BM323">
        <f t="shared" si="495"/>
        <v>0</v>
      </c>
      <c r="BN323" s="19">
        <f t="shared" si="496"/>
        <v>287</v>
      </c>
      <c r="BO323">
        <f t="shared" si="497"/>
        <v>282</v>
      </c>
      <c r="BP323" s="17">
        <f t="shared" si="498"/>
        <v>287</v>
      </c>
      <c r="BQ323" t="str">
        <f t="shared" si="499"/>
        <v>event_team_player_1</v>
      </c>
      <c r="BR323">
        <f>COUNTIFS(S$3:S323,"="&amp;S323,AH$3:AH323,"="&amp;AH323)</f>
        <v>1</v>
      </c>
      <c r="BS323" t="str">
        <f>IFERROR(VLOOKUP(BA323&amp;BT323&amp;X323,game_rosters!U:W,3,FALSE),"")</f>
        <v>P100064</v>
      </c>
      <c r="BT323" t="str">
        <f t="shared" si="500"/>
        <v>Velodrome</v>
      </c>
    </row>
    <row r="324" spans="1:72" x14ac:dyDescent="0.2">
      <c r="A324" t="str">
        <f t="shared" si="475"/>
        <v/>
      </c>
      <c r="E324" s="4"/>
      <c r="F324" s="45"/>
      <c r="G324" s="4"/>
      <c r="H324" s="47"/>
      <c r="I324" s="26">
        <v>61</v>
      </c>
      <c r="J324" s="26" t="str">
        <f t="shared" si="501"/>
        <v/>
      </c>
      <c r="N324" t="str">
        <f t="shared" si="520"/>
        <v/>
      </c>
      <c r="Q324" t="str">
        <f t="shared" si="513"/>
        <v/>
      </c>
      <c r="S324">
        <f>IF(A324=1,MAX($S$2:$S323)+1,IF(OR($I324&lt;&gt;"",A324="x"),$S323,""))</f>
        <v>168</v>
      </c>
      <c r="T324" t="str">
        <f>IF(D324=1,MAX($T$2:$T323)+1,IF(S324=S323,$T323,IF(D324="x",T323,IF(D323="x","",""))))</f>
        <v/>
      </c>
      <c r="U324" t="str">
        <f>IF(B324=1,MAX($U$2:$U323)+1,IF(AND($T324&lt;&gt;"",$T324=$T323),$U323,IF(B324="x",U323,"")))</f>
        <v/>
      </c>
      <c r="V324" t="str">
        <f>IF(C324=1,MAX($V$2:$V323)+1,IF(AND($T324&lt;&gt;"",$T324=$T323),$U323,IF(C324="x",V323,"")))</f>
        <v/>
      </c>
      <c r="W324" t="str" cm="1">
        <f t="array" ref="W324">IFERROR(_xlfn._xlws.FILTER(game_rosters!AC:AC,(game_rosters!J:J=events!X324)*(K324&lt;&gt;"")),"")</f>
        <v/>
      </c>
      <c r="X324" cm="1">
        <f t="array" ref="X324">IF($I324&lt;&gt;"",$I324,INDEX($I$1:$I324,ROW()-COUNTIFS($T$1:$T324,"="&amp;$T324,$S$1:$S324,"&lt;"&amp;$S324)))</f>
        <v>61</v>
      </c>
      <c r="Y324" cm="1">
        <f t="array" ref="Y324">IFERROR(IF(_xlfn._xlws.FILTER(game_rosters!$J:$J,(game_rosters!$G:$G=events!$AM324)*(game_rosters!$J:$J=events!$X324))&gt;0,1,""),"")</f>
        <v>1</v>
      </c>
      <c r="Z324" s="6">
        <f t="shared" si="476"/>
        <v>1</v>
      </c>
      <c r="AA324">
        <f t="shared" si="477"/>
        <v>1168</v>
      </c>
      <c r="AB324" t="str">
        <f t="shared" si="478"/>
        <v/>
      </c>
      <c r="AC324">
        <f t="shared" si="479"/>
        <v>1168</v>
      </c>
      <c r="AD324" t="str">
        <f t="shared" si="480"/>
        <v>13</v>
      </c>
      <c r="AE324" t="str">
        <f t="shared" si="481"/>
        <v>13</v>
      </c>
      <c r="AF324" t="str">
        <f t="shared" si="482"/>
        <v/>
      </c>
      <c r="AG324" t="str">
        <f t="shared" si="483"/>
        <v/>
      </c>
      <c r="AH324" t="str">
        <f t="shared" si="526"/>
        <v>e</v>
      </c>
      <c r="AI324" t="str">
        <f t="shared" si="568"/>
        <v>o</v>
      </c>
      <c r="AJ324" t="str">
        <f t="shared" si="568"/>
        <v>o</v>
      </c>
      <c r="AK324" t="str">
        <f t="shared" si="528"/>
        <v/>
      </c>
      <c r="AL324" t="str">
        <f t="shared" si="529"/>
        <v/>
      </c>
      <c r="AM324" t="str">
        <f t="shared" si="484"/>
        <v>Away</v>
      </c>
      <c r="AN324" t="str">
        <f t="shared" si="530"/>
        <v>a</v>
      </c>
      <c r="AO324" t="str">
        <f t="shared" si="531"/>
        <v>d</v>
      </c>
      <c r="AP324" t="str">
        <f t="shared" si="532"/>
        <v>o</v>
      </c>
      <c r="AQ324" t="str">
        <f>IF(AM324&lt;&gt;"",AM324,IF($AC324=#REF!,#REF!,""))</f>
        <v>Away</v>
      </c>
      <c r="AR324" t="str">
        <f t="shared" si="533"/>
        <v>a</v>
      </c>
      <c r="AS324" t="str">
        <f t="shared" si="534"/>
        <v>Offensive</v>
      </c>
      <c r="AT324" t="str">
        <f t="shared" si="485"/>
        <v/>
      </c>
      <c r="AU324" t="str">
        <f t="shared" si="486"/>
        <v/>
      </c>
      <c r="AV324" t="str" cm="1">
        <f t="array" ref="AV324">IFERROR(IF(O324&lt;&gt;"",O324,IF(OR($S324="",$T324=""),"",IF(O324&lt;&gt;"",O324,IF($T324&lt;&gt;"",_xlfn._xlws.FILTER(O:O,($BT:$BT=$BT324)*($I:$I=$I324)*($T:$T=$T324)*($S:$S=_xlfn.MINIFS($S:$S,$T:$T,"="&amp;$T324)),"")))))&amp;"",IF(O324="","",""))&amp;""</f>
        <v/>
      </c>
      <c r="AW324" t="str" cm="1">
        <f t="array" ref="AW324">IFERROR(IF(P324&lt;&gt;"",P324,IF(OR($S324="",$T324=""),"",IF($T324&lt;&gt;"",_xlfn._xlws.FILTER(P:P,($BT:$BT=$BT324)*($I:$I=$I324)*($T:$T=$T324)*($S:$S=_xlfn.MINIFS($S:$S,$T:$T,"="&amp;$T324)),""))))&amp;"",IF(P324="","",""))&amp;""</f>
        <v/>
      </c>
      <c r="AX324" t="str" cm="1">
        <f t="array" ref="AX324">IFERROR(IF(Q324&lt;&gt;"",Q324,IF(OR($S324="",$T324=""),"",IF($T324&lt;&gt;"",_xlfn._xlws.FILTER(Q:Q,($BT:$BT=$BT324)*($I:$I=$I324)*($T:$T=$T324)*($S:$S=_xlfn.MINIFS($S:$S,$T:$T,"="&amp;$T324)),""))))&amp;"",IF(Q324="","",""))&amp;""</f>
        <v/>
      </c>
      <c r="AY324" t="str" cm="1">
        <f t="array" ref="AY324">IFERROR(IF(R324&lt;&gt;"",R324,IF(OR($S324="",$T324=""),"",IF($T324&lt;&gt;"",_xlfn._xlws.FILTER(R:R,($BT:$BT=$BT324)*($I:$I=$I324)*($T:$T=$T324)*($S:$S=_xlfn.MINIFS($S:$S,$T:$T,"="&amp;$T324)),""))))&amp;"",IF(R324="","",""))&amp;""</f>
        <v/>
      </c>
      <c r="AZ324" s="6">
        <f t="shared" si="487"/>
        <v>31</v>
      </c>
      <c r="BA324">
        <f t="shared" ref="BA324:BC324" si="579">BA323</f>
        <v>18991</v>
      </c>
      <c r="BB324" t="str">
        <f t="shared" si="579"/>
        <v>Triple J</v>
      </c>
      <c r="BC324" t="str">
        <f t="shared" si="579"/>
        <v>Velodrome</v>
      </c>
      <c r="BD324" t="str">
        <f t="shared" si="489"/>
        <v>Pass</v>
      </c>
      <c r="BE324" t="str">
        <f t="shared" si="490"/>
        <v>Pass_Deflected</v>
      </c>
      <c r="BF324" t="str">
        <f t="shared" si="491"/>
        <v>Pass-Forehand</v>
      </c>
      <c r="BG324" t="str">
        <f t="shared" si="578"/>
        <v>u</v>
      </c>
      <c r="BH324" cm="1">
        <f t="array" aca="1" ref="BH324" ca="1">IFERROR(_xlfn._xlws.FILTER(shifts!A:A,(shifts!B:B=events!Z324)*(shifts!AG:AG&gt;=events!BJ324)*(shifts!AH:AH&lt;=events!BK324)),BH323)</f>
        <v>11</v>
      </c>
      <c r="BI324" s="15">
        <f t="shared" si="492"/>
        <v>0</v>
      </c>
      <c r="BJ324">
        <f t="shared" si="493"/>
        <v>793</v>
      </c>
      <c r="BK324">
        <f t="shared" si="494"/>
        <v>793</v>
      </c>
      <c r="BL324" s="15">
        <f>SUMIFS(BI$2:BI324,K$2:K324,"=Intermission")+SUMIFS(BI$2:BI324,K$2:K324,"=Timeout")</f>
        <v>0</v>
      </c>
      <c r="BM324">
        <f t="shared" si="495"/>
        <v>0</v>
      </c>
      <c r="BN324" s="19">
        <f t="shared" si="496"/>
        <v>287</v>
      </c>
      <c r="BO324">
        <f t="shared" si="497"/>
        <v>282</v>
      </c>
      <c r="BP324" s="17">
        <f t="shared" si="498"/>
        <v>287</v>
      </c>
      <c r="BQ324" t="str">
        <f t="shared" si="499"/>
        <v>event_team_player_2</v>
      </c>
      <c r="BR324">
        <f>COUNTIFS(S$3:S324,"="&amp;S324,AH$3:AH324,"="&amp;AH324)</f>
        <v>2</v>
      </c>
      <c r="BS324" t="str">
        <f>IFERROR(VLOOKUP(BA324&amp;BT324&amp;X324,game_rosters!U:W,3,FALSE),"")</f>
        <v>P100224</v>
      </c>
      <c r="BT324" t="str">
        <f t="shared" si="500"/>
        <v>Velodrome</v>
      </c>
    </row>
    <row r="325" spans="1:72" x14ac:dyDescent="0.2">
      <c r="A325" t="str">
        <f t="shared" ref="A325:A388" si="580">IF(K325&lt;&gt;"",1,IF(D325="x","x",""))</f>
        <v/>
      </c>
      <c r="E325" s="4"/>
      <c r="F325" s="45"/>
      <c r="G325" s="4"/>
      <c r="H325" s="47"/>
      <c r="I325" s="26">
        <v>57</v>
      </c>
      <c r="J325" s="26" t="str">
        <f t="shared" si="501"/>
        <v/>
      </c>
      <c r="N325" t="str">
        <f t="shared" si="520"/>
        <v/>
      </c>
      <c r="O325" t="s">
        <v>782</v>
      </c>
      <c r="Q325" t="str">
        <f t="shared" si="513"/>
        <v/>
      </c>
      <c r="S325">
        <f>IF(A325=1,MAX($S$2:$S324)+1,IF(OR($I325&lt;&gt;"",A325="x"),$S324,""))</f>
        <v>168</v>
      </c>
      <c r="T325" t="str">
        <f>IF(D325=1,MAX($T$2:$T324)+1,IF(S325=S324,$T324,IF(D325="x",T324,IF(D324="x","",""))))</f>
        <v/>
      </c>
      <c r="U325" t="str">
        <f>IF(B325=1,MAX($U$2:$U324)+1,IF(AND($T325&lt;&gt;"",$T325=$T324),$U324,IF(B325="x",U324,"")))</f>
        <v/>
      </c>
      <c r="V325" t="str">
        <f>IF(C325=1,MAX($V$2:$V324)+1,IF(AND($T325&lt;&gt;"",$T325=$T324),$U324,IF(C325="x",V324,"")))</f>
        <v/>
      </c>
      <c r="W325" t="str" cm="1">
        <f t="array" ref="W325">IFERROR(_xlfn._xlws.FILTER(game_rosters!AC:AC,(game_rosters!J:J=events!X325)*(K325&lt;&gt;"")),"")</f>
        <v/>
      </c>
      <c r="X325" cm="1">
        <f t="array" ref="X325">IF($I325&lt;&gt;"",$I325,INDEX($I$1:$I325,ROW()-COUNTIFS($T$1:$T325,"="&amp;$T325,$S$1:$S325,"&lt;"&amp;$S325)))</f>
        <v>57</v>
      </c>
      <c r="Y325" t="str" cm="1">
        <f t="array" ref="Y325">IFERROR(IF(_xlfn._xlws.FILTER(game_rosters!$J:$J,(game_rosters!$G:$G=events!$AM325)*(game_rosters!$J:$J=events!$X325))&gt;0,1,""),"")</f>
        <v/>
      </c>
      <c r="Z325" s="6">
        <f t="shared" ref="Z325:Z388" si="581">IF(K325="Intermission",Z324+1,Z324)</f>
        <v>1</v>
      </c>
      <c r="AA325">
        <f t="shared" ref="AA325:AA388" si="582">S325+1000</f>
        <v>1168</v>
      </c>
      <c r="AB325" t="str">
        <f t="shared" ref="AB325:AB388" si="583">IF(T325&lt;&gt;"",9000+T325,"")</f>
        <v/>
      </c>
      <c r="AC325">
        <f t="shared" ref="AC325:AC388" si="584">IF(AB325&lt;&gt;"",AB325,S325+1000)</f>
        <v>1168</v>
      </c>
      <c r="AD325" t="str">
        <f t="shared" ref="AD325:AD388" si="585">IF(E325&lt;&gt;"",E325,IF($AC325=$AC324,AD324,IF(AF324&lt;&gt;"",AF324,IF(AD324&lt;&gt;"",AD324,""))))</f>
        <v>13</v>
      </c>
      <c r="AE325" t="str">
        <f t="shared" ref="AE325:AE388" si="586">IF(F325&lt;&gt;"",F325,IF($AC325=$AC324,AE324,IF(AG324&lt;&gt;"",AG324,IF(AE324&lt;&gt;"",AE324,""))))</f>
        <v>13</v>
      </c>
      <c r="AF325" t="str">
        <f t="shared" ref="AF325:AF388" si="587">IF(G325&lt;&gt;"",G325,IF($AC325=$AC324,AF324,IF(H325="","",AD325)))</f>
        <v/>
      </c>
      <c r="AG325" t="str">
        <f t="shared" ref="AG325:AG388" si="588">IF(H325&lt;&gt;"",H325,IF($S325=$S324,AG324,""))</f>
        <v/>
      </c>
      <c r="AH325" t="str">
        <f t="shared" si="526"/>
        <v>o</v>
      </c>
      <c r="AI325" t="str">
        <f t="shared" si="568"/>
        <v>o</v>
      </c>
      <c r="AJ325" t="str">
        <f t="shared" si="568"/>
        <v>o</v>
      </c>
      <c r="AK325" t="str">
        <f t="shared" si="528"/>
        <v/>
      </c>
      <c r="AL325" t="str">
        <f t="shared" si="529"/>
        <v/>
      </c>
      <c r="AM325" t="str">
        <f t="shared" ref="AM325:AM388" si="589">IF(AN325="H","Home",IF(AN325="A","Away",""))</f>
        <v>Away</v>
      </c>
      <c r="AN325" t="str">
        <f t="shared" si="530"/>
        <v>a</v>
      </c>
      <c r="AO325" t="str">
        <f t="shared" si="531"/>
        <v>d</v>
      </c>
      <c r="AP325" t="str">
        <f t="shared" si="532"/>
        <v>o</v>
      </c>
      <c r="AQ325" t="str">
        <f>IF(AM325&lt;&gt;"",AM325,IF($AC325=#REF!,#REF!,""))</f>
        <v>Away</v>
      </c>
      <c r="AR325" t="str">
        <f t="shared" si="533"/>
        <v>a</v>
      </c>
      <c r="AS325" t="str">
        <f t="shared" si="534"/>
        <v>Defensive</v>
      </c>
      <c r="AT325" t="str">
        <f t="shared" ref="AT325:AT388" si="590">IF(U325&lt;&gt;"",U325+5000,"")</f>
        <v/>
      </c>
      <c r="AU325" t="str">
        <f t="shared" ref="AU325:AU388" si="591">IF(V325&lt;&gt;"",V325+6000,"")</f>
        <v/>
      </c>
      <c r="AV325" t="str" cm="1">
        <f t="array" ref="AV325">IFERROR(IF(O325&lt;&gt;"",O325,IF(OR($S325="",$T325=""),"",IF(O325&lt;&gt;"",O325,IF($T325&lt;&gt;"",_xlfn._xlws.FILTER(O:O,($BT:$BT=$BT325)*($I:$I=$I325)*($T:$T=$T325)*($S:$S=_xlfn.MINIFS($S:$S,$T:$T,"="&amp;$T325)),"")))))&amp;"",IF(O325="","",""))&amp;""</f>
        <v>PassDeflected</v>
      </c>
      <c r="AW325" t="str" cm="1">
        <f t="array" ref="AW325">IFERROR(IF(P325&lt;&gt;"",P325,IF(OR($S325="",$T325=""),"",IF($T325&lt;&gt;"",_xlfn._xlws.FILTER(P:P,($BT:$BT=$BT325)*($I:$I=$I325)*($T:$T=$T325)*($S:$S=_xlfn.MINIFS($S:$S,$T:$T,"="&amp;$T325)),""))))&amp;"",IF(P325="","",""))&amp;""</f>
        <v/>
      </c>
      <c r="AX325" t="str" cm="1">
        <f t="array" ref="AX325">IFERROR(IF(Q325&lt;&gt;"",Q325,IF(OR($S325="",$T325=""),"",IF($T325&lt;&gt;"",_xlfn._xlws.FILTER(Q:Q,($BT:$BT=$BT325)*($I:$I=$I325)*($T:$T=$T325)*($S:$S=_xlfn.MINIFS($S:$S,$T:$T,"="&amp;$T325)),""))))&amp;"",IF(Q325="","",""))&amp;""</f>
        <v/>
      </c>
      <c r="AY325" t="str" cm="1">
        <f t="array" ref="AY325">IFERROR(IF(R325&lt;&gt;"",R325,IF(OR($S325="",$T325=""),"",IF($T325&lt;&gt;"",_xlfn._xlws.FILTER(R:R,($BT:$BT=$BT325)*($I:$I=$I325)*($T:$T=$T325)*($S:$S=_xlfn.MINIFS($S:$S,$T:$T,"="&amp;$T325)),""))))&amp;"",IF(R325="","",""))&amp;""</f>
        <v/>
      </c>
      <c r="AZ325" s="6">
        <f t="shared" ref="AZ325:AZ388" si="592">IF(OR(L325="Zone_Entry",L325="Zone_Exit"),AZ324+1,AZ324)</f>
        <v>31</v>
      </c>
      <c r="BA325">
        <f t="shared" ref="BA325:BC325" si="593">BA324</f>
        <v>18991</v>
      </c>
      <c r="BB325" t="str">
        <f t="shared" si="593"/>
        <v>Triple J</v>
      </c>
      <c r="BC325" t="str">
        <f t="shared" si="593"/>
        <v>Velodrome</v>
      </c>
      <c r="BD325" t="str">
        <f t="shared" ref="BD325:BD388" si="594">IF($K325&lt;&gt;"",$K325,IF($S325=$S324,BD324,""))</f>
        <v>Pass</v>
      </c>
      <c r="BE325" t="str">
        <f t="shared" ref="BE325:BE388" si="595">IF(L325&lt;&gt;"",L325,IF($S325=$S324,BE324,""))</f>
        <v>Pass_Deflected</v>
      </c>
      <c r="BF325" t="str">
        <f t="shared" ref="BF325:BF388" si="596">IF(M325&lt;&gt;"",M325,IF($S325=$S324,BF324,""))</f>
        <v>Pass-Forehand</v>
      </c>
      <c r="BG325" t="str">
        <f t="shared" si="578"/>
        <v>u</v>
      </c>
      <c r="BH325" cm="1">
        <f t="array" aca="1" ref="BH325" ca="1">IFERROR(_xlfn._xlws.FILTER(shifts!A:A,(shifts!B:B=events!Z325)*(shifts!AG:AG&gt;=events!BJ325)*(shifts!AH:AH&lt;=events!BK325)),BH324)</f>
        <v>11</v>
      </c>
      <c r="BI325" s="15">
        <f t="shared" ref="BI325:BI388" si="597">IF(AND(AF325="",AG325=""),0,((AD325*60)+AE325)-((AF325*60)+AG325))</f>
        <v>0</v>
      </c>
      <c r="BJ325">
        <f t="shared" ref="BJ325:BJ388" si="598">(AD325*60)+AE325</f>
        <v>793</v>
      </c>
      <c r="BK325">
        <f t="shared" ref="BK325:BK388" si="599">IF(AND(AF325="",AG325=""),BJ325,((AF325*60)+AG325))</f>
        <v>793</v>
      </c>
      <c r="BL325" s="15">
        <f>SUMIFS(BI$2:BI325,K$2:K325,"=Intermission")+SUMIFS(BI$2:BI325,K$2:K325,"=Timeout")</f>
        <v>0</v>
      </c>
      <c r="BM325">
        <f t="shared" ref="BM325:BM388" si="600">IF(Z325=1,0,IF(Z325=2,1080+BL325,IF(Z325=3,(1080*2)+BL325,0)))</f>
        <v>0</v>
      </c>
      <c r="BN325" s="19">
        <f t="shared" ref="BN325:BN388" si="601">IF(K325="Intermission",BN324,((1080)-((AD325*60)+AE325))+BM325)</f>
        <v>287</v>
      </c>
      <c r="BO325">
        <f t="shared" ref="BO325:BO388" si="602">IF(BN325&lt;5,0,BN325-5)</f>
        <v>282</v>
      </c>
      <c r="BP325" s="17">
        <f t="shared" ref="BP325:BP388" si="603">BO325+BI325+5</f>
        <v>287</v>
      </c>
      <c r="BQ325" t="str">
        <f t="shared" ref="BQ325:BQ388" si="604">IF(AH325="e","event_team_player_"&amp;BR325,IF(AH325="o","opp_team_player_"&amp;BR325,""))</f>
        <v>opp_team_player_1</v>
      </c>
      <c r="BR325">
        <f>COUNTIFS(S$3:S325,"="&amp;S325,AH$3:AH325,"="&amp;AH325)</f>
        <v>1</v>
      </c>
      <c r="BS325" t="str">
        <f>IFERROR(VLOOKUP(BA325&amp;BT325&amp;X325,game_rosters!U:W,3,FALSE),"")</f>
        <v>P100007</v>
      </c>
      <c r="BT325" t="str">
        <f t="shared" ref="BT325:BT388" si="605">IF(AQ325="","",IF(AND(AQ325="Away",AH325="e"),BC325,IF(AND(AQ325="Home",AH325="e"),BB325,IF(AND(AQ325="Away",AH325="o"),BB325,IF(AND(AQ325="Home",AH325="o"),BC325)))))</f>
        <v>Triple J</v>
      </c>
    </row>
    <row r="326" spans="1:72" x14ac:dyDescent="0.2">
      <c r="A326" t="str">
        <f t="shared" si="580"/>
        <v/>
      </c>
      <c r="E326" s="4"/>
      <c r="F326" s="45"/>
      <c r="G326" s="4"/>
      <c r="H326" s="47"/>
      <c r="I326" s="26">
        <v>10</v>
      </c>
      <c r="J326" s="26" t="str">
        <f t="shared" ref="J326:J387" si="606">IF(OR(K326="Goal",K326="Shot",L326="Zone_Entry",M326="Stoppage-Goal",M325="Stoppage-Goal"),"o",IF(OR(K326="Save",K326="Rebound",L326="Zone_Exit",M326="Stoppage-GoalieStoppage",M325="Stoppage-GoalieStoppage"),"d",IF(OR(L326="Faceoff_AfterGoal",L326="Faceoff_PeriodStart",698="Faceoff_GameStart",M325="Stoppage-Goal"),"n","")))</f>
        <v/>
      </c>
      <c r="N326" t="str">
        <f t="shared" si="520"/>
        <v/>
      </c>
      <c r="Q326" t="str">
        <f t="shared" si="513"/>
        <v/>
      </c>
      <c r="R326" s="26">
        <v>1</v>
      </c>
      <c r="S326">
        <f>IF(A326=1,MAX($S$2:$S325)+1,IF(OR($I326&lt;&gt;"",A326="x"),$S325,""))</f>
        <v>168</v>
      </c>
      <c r="T326" t="str">
        <f>IF(D326=1,MAX($T$2:$T325)+1,IF(S326=S325,$T325,IF(D326="x",T325,IF(D325="x","",""))))</f>
        <v/>
      </c>
      <c r="U326" t="str">
        <f>IF(B326=1,MAX($U$2:$U325)+1,IF(AND($T326&lt;&gt;"",$T326=$T325),$U325,IF(B326="x",U325,"")))</f>
        <v/>
      </c>
      <c r="V326" t="str">
        <f>IF(C326=1,MAX($V$2:$V325)+1,IF(AND($T326&lt;&gt;"",$T326=$T325),$U325,IF(C326="x",V325,"")))</f>
        <v/>
      </c>
      <c r="W326" t="str" cm="1">
        <f t="array" ref="W326">IFERROR(_xlfn._xlws.FILTER(game_rosters!AC:AC,(game_rosters!J:J=events!X326)*(K326&lt;&gt;"")),"")</f>
        <v/>
      </c>
      <c r="X326" cm="1">
        <f t="array" ref="X326">IF($I326&lt;&gt;"",$I326,INDEX($I$1:$I326,ROW()-COUNTIFS($T$1:$T326,"="&amp;$T326,$S$1:$S326,"&lt;"&amp;$S326)))</f>
        <v>10</v>
      </c>
      <c r="Y326" t="str" cm="1">
        <f t="array" ref="Y326">IFERROR(IF(_xlfn._xlws.FILTER(game_rosters!$J:$J,(game_rosters!$G:$G=events!$AM326)*(game_rosters!$J:$J=events!$X326))&gt;0,1,""),"")</f>
        <v/>
      </c>
      <c r="Z326" s="6">
        <f t="shared" si="581"/>
        <v>1</v>
      </c>
      <c r="AA326">
        <f t="shared" si="582"/>
        <v>1168</v>
      </c>
      <c r="AB326" t="str">
        <f t="shared" si="583"/>
        <v/>
      </c>
      <c r="AC326">
        <f t="shared" si="584"/>
        <v>1168</v>
      </c>
      <c r="AD326" t="str">
        <f t="shared" si="585"/>
        <v>13</v>
      </c>
      <c r="AE326" t="str">
        <f t="shared" si="586"/>
        <v>13</v>
      </c>
      <c r="AF326" t="str">
        <f t="shared" si="587"/>
        <v/>
      </c>
      <c r="AG326" t="str">
        <f t="shared" si="588"/>
        <v/>
      </c>
      <c r="AH326" t="str">
        <f t="shared" si="526"/>
        <v>o</v>
      </c>
      <c r="AI326" t="str">
        <f t="shared" si="568"/>
        <v>o</v>
      </c>
      <c r="AJ326" t="str">
        <f t="shared" si="568"/>
        <v>o</v>
      </c>
      <c r="AK326" t="str">
        <f t="shared" si="528"/>
        <v/>
      </c>
      <c r="AL326" t="str">
        <f t="shared" si="529"/>
        <v/>
      </c>
      <c r="AM326" t="str">
        <f t="shared" si="589"/>
        <v>Away</v>
      </c>
      <c r="AN326" t="str">
        <f t="shared" si="530"/>
        <v>a</v>
      </c>
      <c r="AO326" t="str">
        <f t="shared" si="531"/>
        <v>d</v>
      </c>
      <c r="AP326" t="str">
        <f t="shared" si="532"/>
        <v>o</v>
      </c>
      <c r="AQ326" t="str">
        <f>IF(AM326&lt;&gt;"",AM326,IF($AC326=#REF!,#REF!,""))</f>
        <v>Away</v>
      </c>
      <c r="AR326" t="str">
        <f t="shared" si="533"/>
        <v>a</v>
      </c>
      <c r="AS326" t="str">
        <f t="shared" si="534"/>
        <v>Defensive</v>
      </c>
      <c r="AT326" t="str">
        <f t="shared" si="590"/>
        <v/>
      </c>
      <c r="AU326" t="str">
        <f t="shared" si="591"/>
        <v/>
      </c>
      <c r="AV326" t="str" cm="1">
        <f t="array" ref="AV326">IFERROR(IF(O326&lt;&gt;"",O326,IF(OR($S326="",$T326=""),"",IF(O326&lt;&gt;"",O326,IF($T326&lt;&gt;"",_xlfn._xlws.FILTER(O:O,($BT:$BT=$BT326)*($I:$I=$I326)*($T:$T=$T326)*($S:$S=_xlfn.MINIFS($S:$S,$T:$T,"="&amp;$T326)),"")))))&amp;"",IF(O326="","",""))&amp;""</f>
        <v/>
      </c>
      <c r="AW326" t="str" cm="1">
        <f t="array" ref="AW326">IFERROR(IF(P326&lt;&gt;"",P326,IF(OR($S326="",$T326=""),"",IF($T326&lt;&gt;"",_xlfn._xlws.FILTER(P:P,($BT:$BT=$BT326)*($I:$I=$I326)*($T:$T=$T326)*($S:$S=_xlfn.MINIFS($S:$S,$T:$T,"="&amp;$T326)),""))))&amp;"",IF(P326="","",""))&amp;""</f>
        <v/>
      </c>
      <c r="AX326" t="str" cm="1">
        <f t="array" ref="AX326">IFERROR(IF(Q326&lt;&gt;"",Q326,IF(OR($S326="",$T326=""),"",IF($T326&lt;&gt;"",_xlfn._xlws.FILTER(Q:Q,($BT:$BT=$BT326)*($I:$I=$I326)*($T:$T=$T326)*($S:$S=_xlfn.MINIFS($S:$S,$T:$T,"="&amp;$T326)),""))))&amp;"",IF(Q326="","",""))&amp;""</f>
        <v/>
      </c>
      <c r="AY326" t="str" cm="1">
        <f t="array" ref="AY326">IFERROR(IF(R326&lt;&gt;"",R326,IF(OR($S326="",$T326=""),"",IF($T326&lt;&gt;"",_xlfn._xlws.FILTER(R:R,($BT:$BT=$BT326)*($I:$I=$I326)*($T:$T=$T326)*($S:$S=_xlfn.MINIFS($S:$S,$T:$T,"="&amp;$T326)),""))))&amp;"",IF(R326="","",""))&amp;""</f>
        <v>1</v>
      </c>
      <c r="AZ326" s="6">
        <f t="shared" si="592"/>
        <v>31</v>
      </c>
      <c r="BA326">
        <f t="shared" ref="BA326:BC326" si="607">BA325</f>
        <v>18991</v>
      </c>
      <c r="BB326" t="str">
        <f t="shared" si="607"/>
        <v>Triple J</v>
      </c>
      <c r="BC326" t="str">
        <f t="shared" si="607"/>
        <v>Velodrome</v>
      </c>
      <c r="BD326" t="str">
        <f t="shared" si="594"/>
        <v>Pass</v>
      </c>
      <c r="BE326" t="str">
        <f t="shared" si="595"/>
        <v>Pass_Deflected</v>
      </c>
      <c r="BF326" t="str">
        <f t="shared" si="596"/>
        <v>Pass-Forehand</v>
      </c>
      <c r="BG326" t="str">
        <f t="shared" si="578"/>
        <v>u</v>
      </c>
      <c r="BH326" cm="1">
        <f t="array" aca="1" ref="BH326" ca="1">IFERROR(_xlfn._xlws.FILTER(shifts!A:A,(shifts!B:B=events!Z326)*(shifts!AG:AG&gt;=events!BJ326)*(shifts!AH:AH&lt;=events!BK326)),BH325)</f>
        <v>11</v>
      </c>
      <c r="BI326" s="15">
        <f t="shared" si="597"/>
        <v>0</v>
      </c>
      <c r="BJ326">
        <f t="shared" si="598"/>
        <v>793</v>
      </c>
      <c r="BK326">
        <f t="shared" si="599"/>
        <v>793</v>
      </c>
      <c r="BL326" s="15">
        <f>SUMIFS(BI$2:BI326,K$2:K326,"=Intermission")+SUMIFS(BI$2:BI326,K$2:K326,"=Timeout")</f>
        <v>0</v>
      </c>
      <c r="BM326">
        <f t="shared" si="600"/>
        <v>0</v>
      </c>
      <c r="BN326" s="19">
        <f t="shared" si="601"/>
        <v>287</v>
      </c>
      <c r="BO326">
        <f t="shared" si="602"/>
        <v>282</v>
      </c>
      <c r="BP326" s="17">
        <f t="shared" si="603"/>
        <v>287</v>
      </c>
      <c r="BQ326" t="str">
        <f t="shared" si="604"/>
        <v>opp_team_player_2</v>
      </c>
      <c r="BR326">
        <f>COUNTIFS(S$3:S326,"="&amp;S326,AH$3:AH326,"="&amp;AH326)</f>
        <v>2</v>
      </c>
      <c r="BS326" t="str">
        <f>IFERROR(VLOOKUP(BA326&amp;BT326&amp;X326,game_rosters!U:W,3,FALSE),"")</f>
        <v>P100183</v>
      </c>
      <c r="BT326" t="str">
        <f t="shared" si="605"/>
        <v>Triple J</v>
      </c>
    </row>
    <row r="327" spans="1:72" x14ac:dyDescent="0.2">
      <c r="A327">
        <f t="shared" si="580"/>
        <v>1</v>
      </c>
      <c r="E327" s="4"/>
      <c r="F327" s="45" t="s">
        <v>1065</v>
      </c>
      <c r="G327" s="4"/>
      <c r="H327" s="47" t="s">
        <v>1069</v>
      </c>
      <c r="I327" s="26">
        <v>87</v>
      </c>
      <c r="J327" s="26" t="s">
        <v>368</v>
      </c>
      <c r="K327" t="s">
        <v>13</v>
      </c>
      <c r="L327" t="s">
        <v>587</v>
      </c>
      <c r="N327" t="s">
        <v>595</v>
      </c>
      <c r="O327" t="s">
        <v>907</v>
      </c>
      <c r="P327" t="s">
        <v>149</v>
      </c>
      <c r="Q327" t="str">
        <f t="shared" si="513"/>
        <v>s</v>
      </c>
      <c r="R327" s="26">
        <v>1</v>
      </c>
      <c r="S327">
        <f>IF(A327=1,MAX($S$2:$S326)+1,IF(OR($I327&lt;&gt;"",A327="x"),$S326,""))</f>
        <v>169</v>
      </c>
      <c r="T327" t="str">
        <f>IF(D327=1,MAX($T$2:$T326)+1,IF(S327=S326,$T326,IF(D327="x",T326,IF(D326="x","",""))))</f>
        <v/>
      </c>
      <c r="U327" t="str">
        <f>IF(B327=1,MAX($U$2:$U326)+1,IF(AND($T327&lt;&gt;"",$T327=$T326),$U326,IF(B327="x",U326,"")))</f>
        <v/>
      </c>
      <c r="V327" t="str">
        <f>IF(C327=1,MAX($V$2:$V326)+1,IF(AND($T327&lt;&gt;"",$T327=$T326),$U326,IF(C327="x",V326,"")))</f>
        <v/>
      </c>
      <c r="W327" t="str" cm="1">
        <f t="array" ref="W327">IFERROR(_xlfn._xlws.FILTER(game_rosters!AC:AC,(game_rosters!J:J=events!X327)*(K327&lt;&gt;"")),"")</f>
        <v>a</v>
      </c>
      <c r="X327" cm="1">
        <f t="array" ref="X327">IF($I327&lt;&gt;"",$I327,INDEX($I$1:$I327,ROW()-COUNTIFS($T$1:$T327,"="&amp;$T327,$S$1:$S327,"&lt;"&amp;$S327)))</f>
        <v>87</v>
      </c>
      <c r="Y327" cm="1">
        <f t="array" ref="Y327">IFERROR(IF(_xlfn._xlws.FILTER(game_rosters!$J:$J,(game_rosters!$G:$G=events!$AM327)*(game_rosters!$J:$J=events!$X327))&gt;0,1,""),"")</f>
        <v>1</v>
      </c>
      <c r="Z327" s="6">
        <f t="shared" si="581"/>
        <v>1</v>
      </c>
      <c r="AA327">
        <f t="shared" si="582"/>
        <v>1169</v>
      </c>
      <c r="AB327" t="str">
        <f t="shared" si="583"/>
        <v/>
      </c>
      <c r="AC327">
        <f t="shared" si="584"/>
        <v>1169</v>
      </c>
      <c r="AD327" t="str">
        <f t="shared" si="585"/>
        <v>13</v>
      </c>
      <c r="AE327" t="str">
        <f t="shared" si="586"/>
        <v>08</v>
      </c>
      <c r="AF327" t="str">
        <f t="shared" si="587"/>
        <v>13</v>
      </c>
      <c r="AG327" t="str">
        <f t="shared" si="588"/>
        <v>05</v>
      </c>
      <c r="AH327" t="str">
        <f t="shared" si="526"/>
        <v>e</v>
      </c>
      <c r="AI327" t="str">
        <f t="shared" si="568"/>
        <v>o</v>
      </c>
      <c r="AJ327" t="str">
        <f t="shared" si="568"/>
        <v>o</v>
      </c>
      <c r="AK327" t="str">
        <f t="shared" si="528"/>
        <v>d</v>
      </c>
      <c r="AL327" t="str">
        <f t="shared" si="529"/>
        <v>o</v>
      </c>
      <c r="AM327" t="str">
        <f t="shared" si="589"/>
        <v>Away</v>
      </c>
      <c r="AN327" t="str">
        <f t="shared" si="530"/>
        <v>a</v>
      </c>
      <c r="AO327" t="str">
        <f t="shared" si="531"/>
        <v>d</v>
      </c>
      <c r="AP327" t="str">
        <f t="shared" si="532"/>
        <v>o</v>
      </c>
      <c r="AQ327" t="str">
        <f>IF(AM327&lt;&gt;"",AM327,IF($AC327=#REF!,#REF!,""))</f>
        <v>Away</v>
      </c>
      <c r="AR327" t="str">
        <f t="shared" si="533"/>
        <v>a</v>
      </c>
      <c r="AS327" t="str">
        <f t="shared" si="534"/>
        <v>Offensive</v>
      </c>
      <c r="AT327" t="str">
        <f t="shared" si="590"/>
        <v/>
      </c>
      <c r="AU327" t="str">
        <f t="shared" si="591"/>
        <v/>
      </c>
      <c r="AV327" t="str" cm="1">
        <f t="array" ref="AV327">IFERROR(IF(O327&lt;&gt;"",O327,IF(OR($S327="",$T327=""),"",IF(O327&lt;&gt;"",O327,IF($T327&lt;&gt;"",_xlfn._xlws.FILTER(O:O,($BT:$BT=$BT327)*($I:$I=$I327)*($T:$T=$T327)*($S:$S=_xlfn.MINIFS($S:$S,$T:$T,"="&amp;$T327)),"")))))&amp;"",IF(O327="","",""))&amp;""</f>
        <v>PuckRecoveryRetreivalPass</v>
      </c>
      <c r="AW327" t="str" cm="1">
        <f t="array" ref="AW327">IFERROR(IF(P327&lt;&gt;"",P327,IF(OR($S327="",$T327=""),"",IF($T327&lt;&gt;"",_xlfn._xlws.FILTER(P:P,($BT:$BT=$BT327)*($I:$I=$I327)*($T:$T=$T327)*($S:$S=_xlfn.MINIFS($S:$S,$T:$T,"="&amp;$T327)),""))))&amp;"",IF(P327="","",""))&amp;""</f>
        <v>Delay</v>
      </c>
      <c r="AX327" t="str" cm="1">
        <f t="array" ref="AX327">IFERROR(IF(Q327&lt;&gt;"",Q327,IF(OR($S327="",$T327=""),"",IF($T327&lt;&gt;"",_xlfn._xlws.FILTER(Q:Q,($BT:$BT=$BT327)*($I:$I=$I327)*($T:$T=$T327)*($S:$S=_xlfn.MINIFS($S:$S,$T:$T,"="&amp;$T327)),""))))&amp;"",IF(Q327="","",""))&amp;""</f>
        <v>s</v>
      </c>
      <c r="AY327" t="str" cm="1">
        <f t="array" ref="AY327">IFERROR(IF(R327&lt;&gt;"",R327,IF(OR($S327="",$T327=""),"",IF($T327&lt;&gt;"",_xlfn._xlws.FILTER(R:R,($BT:$BT=$BT327)*($I:$I=$I327)*($T:$T=$T327)*($S:$S=_xlfn.MINIFS($S:$S,$T:$T,"="&amp;$T327)),""))))&amp;"",IF(R327="","",""))&amp;""</f>
        <v>1</v>
      </c>
      <c r="AZ327" s="6">
        <f t="shared" si="592"/>
        <v>31</v>
      </c>
      <c r="BA327">
        <f t="shared" ref="BA327:BC327" si="608">BA326</f>
        <v>18991</v>
      </c>
      <c r="BB327" t="str">
        <f t="shared" si="608"/>
        <v>Triple J</v>
      </c>
      <c r="BC327" t="str">
        <f t="shared" si="608"/>
        <v>Velodrome</v>
      </c>
      <c r="BD327" t="str">
        <f t="shared" si="594"/>
        <v>Possession</v>
      </c>
      <c r="BE327" t="str">
        <f t="shared" si="595"/>
        <v>PuckRecovery</v>
      </c>
      <c r="BF327" t="str">
        <f t="shared" si="596"/>
        <v/>
      </c>
      <c r="BG327" t="str">
        <f t="shared" si="578"/>
        <v>s</v>
      </c>
      <c r="BH327" cm="1">
        <f t="array" aca="1" ref="BH327" ca="1">IFERROR(_xlfn._xlws.FILTER(shifts!A:A,(shifts!B:B=events!Z327)*(shifts!AG:AG&gt;=events!BJ327)*(shifts!AH:AH&lt;=events!BK327)),BH326)</f>
        <v>11</v>
      </c>
      <c r="BI327" s="15">
        <f t="shared" si="597"/>
        <v>3</v>
      </c>
      <c r="BJ327">
        <f t="shared" si="598"/>
        <v>788</v>
      </c>
      <c r="BK327">
        <f t="shared" si="599"/>
        <v>785</v>
      </c>
      <c r="BL327" s="15">
        <f>SUMIFS(BI$2:BI327,K$2:K327,"=Intermission")+SUMIFS(BI$2:BI327,K$2:K327,"=Timeout")</f>
        <v>0</v>
      </c>
      <c r="BM327">
        <f t="shared" si="600"/>
        <v>0</v>
      </c>
      <c r="BN327" s="19">
        <f t="shared" si="601"/>
        <v>292</v>
      </c>
      <c r="BO327">
        <f t="shared" si="602"/>
        <v>287</v>
      </c>
      <c r="BP327" s="17">
        <f t="shared" si="603"/>
        <v>295</v>
      </c>
      <c r="BQ327" t="str">
        <f t="shared" si="604"/>
        <v>event_team_player_1</v>
      </c>
      <c r="BR327">
        <f>COUNTIFS(S$3:S327,"="&amp;S327,AH$3:AH327,"="&amp;AH327)</f>
        <v>1</v>
      </c>
      <c r="BS327" t="str">
        <f>IFERROR(VLOOKUP(BA327&amp;BT327&amp;X327,game_rosters!U:W,3,FALSE),"")</f>
        <v>P100159</v>
      </c>
      <c r="BT327" t="str">
        <f t="shared" si="605"/>
        <v>Velodrome</v>
      </c>
    </row>
    <row r="328" spans="1:72" x14ac:dyDescent="0.2">
      <c r="A328" t="str">
        <f t="shared" si="580"/>
        <v/>
      </c>
      <c r="E328" s="4"/>
      <c r="F328" s="45"/>
      <c r="G328" s="4"/>
      <c r="H328" s="47"/>
      <c r="I328" s="26">
        <v>73</v>
      </c>
      <c r="J328" s="26" t="str">
        <f t="shared" si="606"/>
        <v/>
      </c>
      <c r="N328" t="str">
        <f t="shared" si="520"/>
        <v/>
      </c>
      <c r="Q328" t="str">
        <f t="shared" si="513"/>
        <v/>
      </c>
      <c r="R328" s="26">
        <v>1</v>
      </c>
      <c r="S328">
        <f>IF(A328=1,MAX($S$2:$S327)+1,IF(OR($I328&lt;&gt;"",A328="x"),$S327,""))</f>
        <v>169</v>
      </c>
      <c r="T328" t="str">
        <f>IF(D328=1,MAX($T$2:$T327)+1,IF(S328=S327,$T327,IF(D328="x",T327,IF(D327="x","",""))))</f>
        <v/>
      </c>
      <c r="U328" t="str">
        <f>IF(B328=1,MAX($U$2:$U327)+1,IF(AND($T328&lt;&gt;"",$T328=$T327),$U327,IF(B328="x",U327,"")))</f>
        <v/>
      </c>
      <c r="V328" t="str">
        <f>IF(C328=1,MAX($V$2:$V327)+1,IF(AND($T328&lt;&gt;"",$T328=$T327),$U327,IF(C328="x",V327,"")))</f>
        <v/>
      </c>
      <c r="W328" t="str" cm="1">
        <f t="array" ref="W328">IFERROR(_xlfn._xlws.FILTER(game_rosters!AC:AC,(game_rosters!J:J=events!X328)*(K328&lt;&gt;"")),"")</f>
        <v/>
      </c>
      <c r="X328" cm="1">
        <f t="array" ref="X328">IF($I328&lt;&gt;"",$I328,INDEX($I$1:$I328,ROW()-COUNTIFS($T$1:$T328,"="&amp;$T328,$S$1:$S328,"&lt;"&amp;$S328)))</f>
        <v>73</v>
      </c>
      <c r="Y328" t="str" cm="1">
        <f t="array" ref="Y328">IFERROR(IF(_xlfn._xlws.FILTER(game_rosters!$J:$J,(game_rosters!$G:$G=events!$AM328)*(game_rosters!$J:$J=events!$X328))&gt;0,1,""),"")</f>
        <v/>
      </c>
      <c r="Z328" s="6">
        <f t="shared" si="581"/>
        <v>1</v>
      </c>
      <c r="AA328">
        <f t="shared" si="582"/>
        <v>1169</v>
      </c>
      <c r="AB328" t="str">
        <f t="shared" si="583"/>
        <v/>
      </c>
      <c r="AC328">
        <f t="shared" si="584"/>
        <v>1169</v>
      </c>
      <c r="AD328" t="str">
        <f t="shared" si="585"/>
        <v>13</v>
      </c>
      <c r="AE328" t="str">
        <f t="shared" si="586"/>
        <v>08</v>
      </c>
      <c r="AF328" t="str">
        <f t="shared" si="587"/>
        <v>13</v>
      </c>
      <c r="AG328" t="str">
        <f t="shared" si="588"/>
        <v>05</v>
      </c>
      <c r="AH328" t="str">
        <f t="shared" si="526"/>
        <v>o</v>
      </c>
      <c r="AI328" t="str">
        <f t="shared" si="568"/>
        <v>o</v>
      </c>
      <c r="AJ328" t="str">
        <f t="shared" si="568"/>
        <v>o</v>
      </c>
      <c r="AK328" t="str">
        <f t="shared" si="528"/>
        <v/>
      </c>
      <c r="AL328" t="str">
        <f t="shared" si="529"/>
        <v/>
      </c>
      <c r="AM328" t="str">
        <f t="shared" si="589"/>
        <v>Away</v>
      </c>
      <c r="AN328" t="str">
        <f t="shared" si="530"/>
        <v>a</v>
      </c>
      <c r="AO328" t="str">
        <f t="shared" si="531"/>
        <v>d</v>
      </c>
      <c r="AP328" t="str">
        <f t="shared" si="532"/>
        <v>o</v>
      </c>
      <c r="AQ328" t="str">
        <f>IF(AM328&lt;&gt;"",AM328,IF($AC328=#REF!,#REF!,""))</f>
        <v>Away</v>
      </c>
      <c r="AR328" t="str">
        <f t="shared" si="533"/>
        <v>a</v>
      </c>
      <c r="AS328" t="str">
        <f t="shared" si="534"/>
        <v>Defensive</v>
      </c>
      <c r="AT328" t="str">
        <f t="shared" si="590"/>
        <v/>
      </c>
      <c r="AU328" t="str">
        <f t="shared" si="591"/>
        <v/>
      </c>
      <c r="AV328" t="str" cm="1">
        <f t="array" ref="AV328">IFERROR(IF(O328&lt;&gt;"",O328,IF(OR($S328="",$T328=""),"",IF(O328&lt;&gt;"",O328,IF($T328&lt;&gt;"",_xlfn._xlws.FILTER(O:O,($BT:$BT=$BT328)*($I:$I=$I328)*($T:$T=$T328)*($S:$S=_xlfn.MINIFS($S:$S,$T:$T,"="&amp;$T328)),"")))))&amp;"",IF(O328="","",""))&amp;""</f>
        <v/>
      </c>
      <c r="AW328" t="str" cm="1">
        <f t="array" ref="AW328">IFERROR(IF(P328&lt;&gt;"",P328,IF(OR($S328="",$T328=""),"",IF($T328&lt;&gt;"",_xlfn._xlws.FILTER(P:P,($BT:$BT=$BT328)*($I:$I=$I328)*($T:$T=$T328)*($S:$S=_xlfn.MINIFS($S:$S,$T:$T,"="&amp;$T328)),""))))&amp;"",IF(P328="","",""))&amp;""</f>
        <v/>
      </c>
      <c r="AX328" t="str" cm="1">
        <f t="array" ref="AX328">IFERROR(IF(Q328&lt;&gt;"",Q328,IF(OR($S328="",$T328=""),"",IF($T328&lt;&gt;"",_xlfn._xlws.FILTER(Q:Q,($BT:$BT=$BT328)*($I:$I=$I328)*($T:$T=$T328)*($S:$S=_xlfn.MINIFS($S:$S,$T:$T,"="&amp;$T328)),""))))&amp;"",IF(Q328="","",""))&amp;""</f>
        <v/>
      </c>
      <c r="AY328" t="str" cm="1">
        <f t="array" ref="AY328">IFERROR(IF(R328&lt;&gt;"",R328,IF(OR($S328="",$T328=""),"",IF($T328&lt;&gt;"",_xlfn._xlws.FILTER(R:R,($BT:$BT=$BT328)*($I:$I=$I328)*($T:$T=$T328)*($S:$S=_xlfn.MINIFS($S:$S,$T:$T,"="&amp;$T328)),""))))&amp;"",IF(R328="","",""))&amp;""</f>
        <v>1</v>
      </c>
      <c r="AZ328" s="6">
        <f t="shared" si="592"/>
        <v>31</v>
      </c>
      <c r="BA328">
        <f t="shared" ref="BA328:BC328" si="609">BA327</f>
        <v>18991</v>
      </c>
      <c r="BB328" t="str">
        <f t="shared" si="609"/>
        <v>Triple J</v>
      </c>
      <c r="BC328" t="str">
        <f t="shared" si="609"/>
        <v>Velodrome</v>
      </c>
      <c r="BD328" t="str">
        <f t="shared" si="594"/>
        <v>Possession</v>
      </c>
      <c r="BE328" t="str">
        <f t="shared" si="595"/>
        <v>PuckRecovery</v>
      </c>
      <c r="BF328" t="str">
        <f t="shared" si="596"/>
        <v/>
      </c>
      <c r="BG328" t="str">
        <f t="shared" si="578"/>
        <v>s</v>
      </c>
      <c r="BH328" cm="1">
        <f t="array" aca="1" ref="BH328" ca="1">IFERROR(_xlfn._xlws.FILTER(shifts!A:A,(shifts!B:B=events!Z328)*(shifts!AG:AG&gt;=events!BJ328)*(shifts!AH:AH&lt;=events!BK328)),BH327)</f>
        <v>11</v>
      </c>
      <c r="BI328" s="15">
        <f t="shared" si="597"/>
        <v>3</v>
      </c>
      <c r="BJ328">
        <f t="shared" si="598"/>
        <v>788</v>
      </c>
      <c r="BK328">
        <f t="shared" si="599"/>
        <v>785</v>
      </c>
      <c r="BL328" s="15">
        <f>SUMIFS(BI$2:BI328,K$2:K328,"=Intermission")+SUMIFS(BI$2:BI328,K$2:K328,"=Timeout")</f>
        <v>0</v>
      </c>
      <c r="BM328">
        <f t="shared" si="600"/>
        <v>0</v>
      </c>
      <c r="BN328" s="19">
        <f t="shared" si="601"/>
        <v>292</v>
      </c>
      <c r="BO328">
        <f t="shared" si="602"/>
        <v>287</v>
      </c>
      <c r="BP328" s="17">
        <f t="shared" si="603"/>
        <v>295</v>
      </c>
      <c r="BQ328" t="str">
        <f t="shared" si="604"/>
        <v>opp_team_player_1</v>
      </c>
      <c r="BR328">
        <f>COUNTIFS(S$3:S328,"="&amp;S328,AH$3:AH328,"="&amp;AH328)</f>
        <v>1</v>
      </c>
      <c r="BS328" t="str">
        <f>IFERROR(VLOOKUP(BA328&amp;BT328&amp;X328,game_rosters!U:W,3,FALSE),"")</f>
        <v>P100021</v>
      </c>
      <c r="BT328" t="str">
        <f t="shared" si="605"/>
        <v>Triple J</v>
      </c>
    </row>
    <row r="329" spans="1:72" x14ac:dyDescent="0.2">
      <c r="A329">
        <f t="shared" si="580"/>
        <v>1</v>
      </c>
      <c r="E329" s="4"/>
      <c r="F329" s="45"/>
      <c r="G329" s="4"/>
      <c r="H329" s="47" t="s">
        <v>1057</v>
      </c>
      <c r="I329" s="26">
        <v>87</v>
      </c>
      <c r="J329" s="26" t="s">
        <v>368</v>
      </c>
      <c r="K329" t="s">
        <v>13</v>
      </c>
      <c r="N329" t="str">
        <f t="shared" si="520"/>
        <v/>
      </c>
      <c r="Q329" t="str">
        <f t="shared" si="513"/>
        <v/>
      </c>
      <c r="S329">
        <f>IF(A329=1,MAX($S$2:$S328)+1,IF(OR($I329&lt;&gt;"",A329="x"),$S328,""))</f>
        <v>170</v>
      </c>
      <c r="T329" t="str">
        <f>IF(D329=1,MAX($T$2:$T328)+1,IF(S329=S328,$T328,IF(D329="x",T328,IF(D328="x","",""))))</f>
        <v/>
      </c>
      <c r="U329" t="str">
        <f>IF(B329=1,MAX($U$2:$U328)+1,IF(AND($T329&lt;&gt;"",$T329=$T328),$U328,IF(B329="x",U328,"")))</f>
        <v/>
      </c>
      <c r="V329" t="str">
        <f>IF(C329=1,MAX($V$2:$V328)+1,IF(AND($T329&lt;&gt;"",$T329=$T328),$U328,IF(C329="x",V328,"")))</f>
        <v/>
      </c>
      <c r="W329" t="str" cm="1">
        <f t="array" ref="W329">IFERROR(_xlfn._xlws.FILTER(game_rosters!AC:AC,(game_rosters!J:J=events!X329)*(K329&lt;&gt;"")),"")</f>
        <v>a</v>
      </c>
      <c r="X329" cm="1">
        <f t="array" ref="X329">IF($I329&lt;&gt;"",$I329,INDEX($I$1:$I329,ROW()-COUNTIFS($T$1:$T329,"="&amp;$T329,$S$1:$S329,"&lt;"&amp;$S329)))</f>
        <v>87</v>
      </c>
      <c r="Y329" cm="1">
        <f t="array" ref="Y329">IFERROR(IF(_xlfn._xlws.FILTER(game_rosters!$J:$J,(game_rosters!$G:$G=events!$AM329)*(game_rosters!$J:$J=events!$X329))&gt;0,1,""),"")</f>
        <v>1</v>
      </c>
      <c r="Z329" s="6">
        <f t="shared" si="581"/>
        <v>1</v>
      </c>
      <c r="AA329">
        <f t="shared" si="582"/>
        <v>1170</v>
      </c>
      <c r="AB329" t="str">
        <f t="shared" si="583"/>
        <v/>
      </c>
      <c r="AC329">
        <f t="shared" si="584"/>
        <v>1170</v>
      </c>
      <c r="AD329" t="str">
        <f t="shared" si="585"/>
        <v>13</v>
      </c>
      <c r="AE329" t="str">
        <f t="shared" si="586"/>
        <v>05</v>
      </c>
      <c r="AF329" t="str">
        <f t="shared" si="587"/>
        <v>13</v>
      </c>
      <c r="AG329" t="str">
        <f t="shared" si="588"/>
        <v>03</v>
      </c>
      <c r="AH329" t="str">
        <f t="shared" si="526"/>
        <v>e</v>
      </c>
      <c r="AI329" t="str">
        <f t="shared" si="568"/>
        <v>o</v>
      </c>
      <c r="AJ329" t="str">
        <f t="shared" si="568"/>
        <v>o</v>
      </c>
      <c r="AK329" t="str">
        <f t="shared" si="528"/>
        <v>d</v>
      </c>
      <c r="AL329" t="str">
        <f t="shared" si="529"/>
        <v>o</v>
      </c>
      <c r="AM329" t="str">
        <f t="shared" si="589"/>
        <v>Away</v>
      </c>
      <c r="AN329" t="str">
        <f t="shared" si="530"/>
        <v>a</v>
      </c>
      <c r="AO329" t="str">
        <f t="shared" si="531"/>
        <v>d</v>
      </c>
      <c r="AP329" t="str">
        <f t="shared" si="532"/>
        <v>o</v>
      </c>
      <c r="AQ329" t="str">
        <f>IF(AM329&lt;&gt;"",AM329,IF($AC329=#REF!,#REF!,""))</f>
        <v>Away</v>
      </c>
      <c r="AR329" t="str">
        <f t="shared" si="533"/>
        <v>a</v>
      </c>
      <c r="AS329" t="str">
        <f t="shared" si="534"/>
        <v>Offensive</v>
      </c>
      <c r="AT329" t="str">
        <f t="shared" si="590"/>
        <v/>
      </c>
      <c r="AU329" t="str">
        <f t="shared" si="591"/>
        <v/>
      </c>
      <c r="AV329" t="str" cm="1">
        <f t="array" ref="AV329">IFERROR(IF(O329&lt;&gt;"",O329,IF(OR($S329="",$T329=""),"",IF(O329&lt;&gt;"",O329,IF($T329&lt;&gt;"",_xlfn._xlws.FILTER(O:O,($BT:$BT=$BT329)*($I:$I=$I329)*($T:$T=$T329)*($S:$S=_xlfn.MINIFS($S:$S,$T:$T,"="&amp;$T329)),"")))))&amp;"",IF(O329="","",""))&amp;""</f>
        <v/>
      </c>
      <c r="AW329" t="str" cm="1">
        <f t="array" ref="AW329">IFERROR(IF(P329&lt;&gt;"",P329,IF(OR($S329="",$T329=""),"",IF($T329&lt;&gt;"",_xlfn._xlws.FILTER(P:P,($BT:$BT=$BT329)*($I:$I=$I329)*($T:$T=$T329)*($S:$S=_xlfn.MINIFS($S:$S,$T:$T,"="&amp;$T329)),""))))&amp;"",IF(P329="","",""))&amp;""</f>
        <v/>
      </c>
      <c r="AX329" t="str" cm="1">
        <f t="array" ref="AX329">IFERROR(IF(Q329&lt;&gt;"",Q329,IF(OR($S329="",$T329=""),"",IF($T329&lt;&gt;"",_xlfn._xlws.FILTER(Q:Q,($BT:$BT=$BT329)*($I:$I=$I329)*($T:$T=$T329)*($S:$S=_xlfn.MINIFS($S:$S,$T:$T,"="&amp;$T329)),""))))&amp;"",IF(Q329="","",""))&amp;""</f>
        <v/>
      </c>
      <c r="AY329" t="str" cm="1">
        <f t="array" ref="AY329">IFERROR(IF(R329&lt;&gt;"",R329,IF(OR($S329="",$T329=""),"",IF($T329&lt;&gt;"",_xlfn._xlws.FILTER(R:R,($BT:$BT=$BT329)*($I:$I=$I329)*($T:$T=$T329)*($S:$S=_xlfn.MINIFS($S:$S,$T:$T,"="&amp;$T329)),""))))&amp;"",IF(R329="","",""))&amp;""</f>
        <v/>
      </c>
      <c r="AZ329" s="6">
        <f t="shared" si="592"/>
        <v>31</v>
      </c>
      <c r="BA329">
        <f t="shared" ref="BA329:BC329" si="610">BA328</f>
        <v>18991</v>
      </c>
      <c r="BB329" t="str">
        <f t="shared" si="610"/>
        <v>Triple J</v>
      </c>
      <c r="BC329" t="str">
        <f t="shared" si="610"/>
        <v>Velodrome</v>
      </c>
      <c r="BD329" t="str">
        <f t="shared" si="594"/>
        <v>Possession</v>
      </c>
      <c r="BE329" t="str">
        <f t="shared" si="595"/>
        <v/>
      </c>
      <c r="BF329" t="str">
        <f t="shared" si="596"/>
        <v/>
      </c>
      <c r="BG329" t="str">
        <f t="shared" si="578"/>
        <v/>
      </c>
      <c r="BH329" cm="1">
        <f t="array" aca="1" ref="BH329" ca="1">IFERROR(_xlfn._xlws.FILTER(shifts!A:A,(shifts!B:B=events!Z329)*(shifts!AG:AG&gt;=events!BJ329)*(shifts!AH:AH&lt;=events!BK329)),BH328)</f>
        <v>11</v>
      </c>
      <c r="BI329" s="15">
        <f t="shared" si="597"/>
        <v>2</v>
      </c>
      <c r="BJ329">
        <f t="shared" si="598"/>
        <v>785</v>
      </c>
      <c r="BK329">
        <f t="shared" si="599"/>
        <v>783</v>
      </c>
      <c r="BL329" s="15">
        <f>SUMIFS(BI$2:BI329,K$2:K329,"=Intermission")+SUMIFS(BI$2:BI329,K$2:K329,"=Timeout")</f>
        <v>0</v>
      </c>
      <c r="BM329">
        <f t="shared" si="600"/>
        <v>0</v>
      </c>
      <c r="BN329" s="19">
        <f t="shared" si="601"/>
        <v>295</v>
      </c>
      <c r="BO329">
        <f t="shared" si="602"/>
        <v>290</v>
      </c>
      <c r="BP329" s="17">
        <f t="shared" si="603"/>
        <v>297</v>
      </c>
      <c r="BQ329" t="str">
        <f t="shared" si="604"/>
        <v>event_team_player_1</v>
      </c>
      <c r="BR329">
        <f>COUNTIFS(S$3:S329,"="&amp;S329,AH$3:AH329,"="&amp;AH329)</f>
        <v>1</v>
      </c>
      <c r="BS329" t="str">
        <f>IFERROR(VLOOKUP(BA329&amp;BT329&amp;X329,game_rosters!U:W,3,FALSE),"")</f>
        <v>P100159</v>
      </c>
      <c r="BT329" t="str">
        <f t="shared" si="605"/>
        <v>Velodrome</v>
      </c>
    </row>
    <row r="330" spans="1:72" x14ac:dyDescent="0.2">
      <c r="A330">
        <f t="shared" si="580"/>
        <v>1</v>
      </c>
      <c r="E330" s="4"/>
      <c r="F330" s="45"/>
      <c r="G330" s="4"/>
      <c r="H330" s="47"/>
      <c r="I330" s="26">
        <v>87</v>
      </c>
      <c r="J330" s="26" t="s">
        <v>368</v>
      </c>
      <c r="K330" t="s">
        <v>7</v>
      </c>
      <c r="L330" t="s">
        <v>182</v>
      </c>
      <c r="M330" t="s">
        <v>68</v>
      </c>
      <c r="N330" t="str">
        <f t="shared" si="520"/>
        <v>u</v>
      </c>
      <c r="Q330" t="str">
        <f t="shared" si="513"/>
        <v/>
      </c>
      <c r="S330">
        <f>IF(A330=1,MAX($S$2:$S329)+1,IF(OR($I330&lt;&gt;"",A330="x"),$S329,""))</f>
        <v>171</v>
      </c>
      <c r="T330" t="str">
        <f>IF(D330=1,MAX($T$2:$T329)+1,IF(S330=S329,$T329,IF(D330="x",T329,IF(D329="x","",""))))</f>
        <v/>
      </c>
      <c r="U330" t="str">
        <f>IF(B330=1,MAX($U$2:$U329)+1,IF(AND($T330&lt;&gt;"",$T330=$T329),$U329,IF(B330="x",U329,"")))</f>
        <v/>
      </c>
      <c r="V330" t="str">
        <f>IF(C330=1,MAX($V$2:$V329)+1,IF(AND($T330&lt;&gt;"",$T330=$T329),$U329,IF(C330="x",V329,"")))</f>
        <v/>
      </c>
      <c r="W330" t="str" cm="1">
        <f t="array" ref="W330">IFERROR(_xlfn._xlws.FILTER(game_rosters!AC:AC,(game_rosters!J:J=events!X330)*(K330&lt;&gt;"")),"")</f>
        <v>a</v>
      </c>
      <c r="X330" cm="1">
        <f t="array" ref="X330">IF($I330&lt;&gt;"",$I330,INDEX($I$1:$I330,ROW()-COUNTIFS($T$1:$T330,"="&amp;$T330,$S$1:$S330,"&lt;"&amp;$S330)))</f>
        <v>87</v>
      </c>
      <c r="Y330" cm="1">
        <f t="array" ref="Y330">IFERROR(IF(_xlfn._xlws.FILTER(game_rosters!$J:$J,(game_rosters!$G:$G=events!$AM330)*(game_rosters!$J:$J=events!$X330))&gt;0,1,""),"")</f>
        <v>1</v>
      </c>
      <c r="Z330" s="6">
        <f t="shared" si="581"/>
        <v>1</v>
      </c>
      <c r="AA330">
        <f t="shared" si="582"/>
        <v>1171</v>
      </c>
      <c r="AB330" t="str">
        <f t="shared" si="583"/>
        <v/>
      </c>
      <c r="AC330">
        <f t="shared" si="584"/>
        <v>1171</v>
      </c>
      <c r="AD330" t="str">
        <f t="shared" si="585"/>
        <v>13</v>
      </c>
      <c r="AE330" t="str">
        <f t="shared" si="586"/>
        <v>03</v>
      </c>
      <c r="AF330" t="str">
        <f t="shared" si="587"/>
        <v/>
      </c>
      <c r="AG330" t="str">
        <f t="shared" si="588"/>
        <v/>
      </c>
      <c r="AH330" t="str">
        <f t="shared" si="526"/>
        <v>e</v>
      </c>
      <c r="AI330" t="str">
        <f t="shared" si="568"/>
        <v>o</v>
      </c>
      <c r="AJ330" t="str">
        <f t="shared" si="568"/>
        <v>o</v>
      </c>
      <c r="AK330" t="str">
        <f t="shared" si="528"/>
        <v>d</v>
      </c>
      <c r="AL330" t="str">
        <f t="shared" si="529"/>
        <v>o</v>
      </c>
      <c r="AM330" t="str">
        <f t="shared" si="589"/>
        <v>Away</v>
      </c>
      <c r="AN330" t="str">
        <f t="shared" si="530"/>
        <v>a</v>
      </c>
      <c r="AO330" t="str">
        <f t="shared" si="531"/>
        <v>d</v>
      </c>
      <c r="AP330" t="str">
        <f t="shared" si="532"/>
        <v>o</v>
      </c>
      <c r="AQ330" t="str">
        <f>IF(AM330&lt;&gt;"",AM330,IF($AC330=#REF!,#REF!,""))</f>
        <v>Away</v>
      </c>
      <c r="AR330" t="str">
        <f t="shared" si="533"/>
        <v>a</v>
      </c>
      <c r="AS330" t="str">
        <f t="shared" si="534"/>
        <v>Offensive</v>
      </c>
      <c r="AT330" t="str">
        <f t="shared" si="590"/>
        <v/>
      </c>
      <c r="AU330" t="str">
        <f t="shared" si="591"/>
        <v/>
      </c>
      <c r="AV330" t="str" cm="1">
        <f t="array" ref="AV330">IFERROR(IF(O330&lt;&gt;"",O330,IF(OR($S330="",$T330=""),"",IF(O330&lt;&gt;"",O330,IF($T330&lt;&gt;"",_xlfn._xlws.FILTER(O:O,($BT:$BT=$BT330)*($I:$I=$I330)*($T:$T=$T330)*($S:$S=_xlfn.MINIFS($S:$S,$T:$T,"="&amp;$T330)),"")))))&amp;"",IF(O330="","",""))&amp;""</f>
        <v/>
      </c>
      <c r="AW330" t="str" cm="1">
        <f t="array" ref="AW330">IFERROR(IF(P330&lt;&gt;"",P330,IF(OR($S330="",$T330=""),"",IF($T330&lt;&gt;"",_xlfn._xlws.FILTER(P:P,($BT:$BT=$BT330)*($I:$I=$I330)*($T:$T=$T330)*($S:$S=_xlfn.MINIFS($S:$S,$T:$T,"="&amp;$T330)),""))))&amp;"",IF(P330="","",""))&amp;""</f>
        <v/>
      </c>
      <c r="AX330" t="str" cm="1">
        <f t="array" ref="AX330">IFERROR(IF(Q330&lt;&gt;"",Q330,IF(OR($S330="",$T330=""),"",IF($T330&lt;&gt;"",_xlfn._xlws.FILTER(Q:Q,($BT:$BT=$BT330)*($I:$I=$I330)*($T:$T=$T330)*($S:$S=_xlfn.MINIFS($S:$S,$T:$T,"="&amp;$T330)),""))))&amp;"",IF(Q330="","",""))&amp;""</f>
        <v/>
      </c>
      <c r="AY330" t="str" cm="1">
        <f t="array" ref="AY330">IFERROR(IF(R330&lt;&gt;"",R330,IF(OR($S330="",$T330=""),"",IF($T330&lt;&gt;"",_xlfn._xlws.FILTER(R:R,($BT:$BT=$BT330)*($I:$I=$I330)*($T:$T=$T330)*($S:$S=_xlfn.MINIFS($S:$S,$T:$T,"="&amp;$T330)),""))))&amp;"",IF(R330="","",""))&amp;""</f>
        <v/>
      </c>
      <c r="AZ330" s="6">
        <f t="shared" si="592"/>
        <v>31</v>
      </c>
      <c r="BA330">
        <f t="shared" ref="BA330:BC330" si="611">BA329</f>
        <v>18991</v>
      </c>
      <c r="BB330" t="str">
        <f t="shared" si="611"/>
        <v>Triple J</v>
      </c>
      <c r="BC330" t="str">
        <f t="shared" si="611"/>
        <v>Velodrome</v>
      </c>
      <c r="BD330" t="str">
        <f t="shared" si="594"/>
        <v>Pass</v>
      </c>
      <c r="BE330" t="str">
        <f t="shared" si="595"/>
        <v>Pass_Missed</v>
      </c>
      <c r="BF330" t="str">
        <f t="shared" si="596"/>
        <v>Pass-Forehand</v>
      </c>
      <c r="BG330" t="str">
        <f t="shared" si="578"/>
        <v>u</v>
      </c>
      <c r="BH330" cm="1">
        <f t="array" aca="1" ref="BH330" ca="1">IFERROR(_xlfn._xlws.FILTER(shifts!A:A,(shifts!B:B=events!Z330)*(shifts!AG:AG&gt;=events!BJ330)*(shifts!AH:AH&lt;=events!BK330)),BH329)</f>
        <v>11</v>
      </c>
      <c r="BI330" s="15">
        <f t="shared" si="597"/>
        <v>0</v>
      </c>
      <c r="BJ330">
        <f t="shared" si="598"/>
        <v>783</v>
      </c>
      <c r="BK330">
        <f t="shared" si="599"/>
        <v>783</v>
      </c>
      <c r="BL330" s="15">
        <f>SUMIFS(BI$2:BI330,K$2:K330,"=Intermission")+SUMIFS(BI$2:BI330,K$2:K330,"=Timeout")</f>
        <v>0</v>
      </c>
      <c r="BM330">
        <f t="shared" si="600"/>
        <v>0</v>
      </c>
      <c r="BN330" s="19">
        <f t="shared" si="601"/>
        <v>297</v>
      </c>
      <c r="BO330">
        <f t="shared" si="602"/>
        <v>292</v>
      </c>
      <c r="BP330" s="17">
        <f t="shared" si="603"/>
        <v>297</v>
      </c>
      <c r="BQ330" t="str">
        <f t="shared" si="604"/>
        <v>event_team_player_1</v>
      </c>
      <c r="BR330">
        <f>COUNTIFS(S$3:S330,"="&amp;S330,AH$3:AH330,"="&amp;AH330)</f>
        <v>1</v>
      </c>
      <c r="BS330" t="str">
        <f>IFERROR(VLOOKUP(BA330&amp;BT330&amp;X330,game_rosters!U:W,3,FALSE),"")</f>
        <v>P100159</v>
      </c>
      <c r="BT330" t="str">
        <f t="shared" si="605"/>
        <v>Velodrome</v>
      </c>
    </row>
    <row r="331" spans="1:72" x14ac:dyDescent="0.2">
      <c r="A331" t="str">
        <f t="shared" si="580"/>
        <v/>
      </c>
      <c r="E331" s="4"/>
      <c r="F331" s="45"/>
      <c r="G331" s="4"/>
      <c r="H331" s="47"/>
      <c r="I331" s="26">
        <v>55</v>
      </c>
      <c r="J331" s="26" t="str">
        <f t="shared" si="606"/>
        <v/>
      </c>
      <c r="N331" t="str">
        <f t="shared" si="520"/>
        <v/>
      </c>
      <c r="Q331" t="str">
        <f t="shared" si="513"/>
        <v/>
      </c>
      <c r="S331">
        <f>IF(A331=1,MAX($S$2:$S330)+1,IF(OR($I331&lt;&gt;"",A331="x"),$S330,""))</f>
        <v>171</v>
      </c>
      <c r="T331" t="str">
        <f>IF(D331=1,MAX($T$2:$T330)+1,IF(S331=S330,$T330,IF(D331="x",T330,IF(D330="x","",""))))</f>
        <v/>
      </c>
      <c r="U331" t="str">
        <f>IF(B331=1,MAX($U$2:$U330)+1,IF(AND($T331&lt;&gt;"",$T331=$T330),$U330,IF(B331="x",U330,"")))</f>
        <v/>
      </c>
      <c r="V331" t="str">
        <f>IF(C331=1,MAX($V$2:$V330)+1,IF(AND($T331&lt;&gt;"",$T331=$T330),$U330,IF(C331="x",V330,"")))</f>
        <v/>
      </c>
      <c r="W331" t="str" cm="1">
        <f t="array" ref="W331">IFERROR(_xlfn._xlws.FILTER(game_rosters!AC:AC,(game_rosters!J:J=events!X331)*(K331&lt;&gt;"")),"")</f>
        <v/>
      </c>
      <c r="X331" cm="1">
        <f t="array" ref="X331">IF($I331&lt;&gt;"",$I331,INDEX($I$1:$I331,ROW()-COUNTIFS($T$1:$T331,"="&amp;$T331,$S$1:$S331,"&lt;"&amp;$S331)))</f>
        <v>55</v>
      </c>
      <c r="Y331" cm="1">
        <f t="array" ref="Y331">IFERROR(IF(_xlfn._xlws.FILTER(game_rosters!$J:$J,(game_rosters!$G:$G=events!$AM331)*(game_rosters!$J:$J=events!$X331))&gt;0,1,""),"")</f>
        <v>1</v>
      </c>
      <c r="Z331" s="6">
        <f t="shared" si="581"/>
        <v>1</v>
      </c>
      <c r="AA331">
        <f t="shared" si="582"/>
        <v>1171</v>
      </c>
      <c r="AB331" t="str">
        <f t="shared" si="583"/>
        <v/>
      </c>
      <c r="AC331">
        <f t="shared" si="584"/>
        <v>1171</v>
      </c>
      <c r="AD331" t="str">
        <f t="shared" si="585"/>
        <v>13</v>
      </c>
      <c r="AE331" t="str">
        <f t="shared" si="586"/>
        <v>03</v>
      </c>
      <c r="AF331" t="str">
        <f t="shared" si="587"/>
        <v/>
      </c>
      <c r="AG331" t="str">
        <f t="shared" si="588"/>
        <v/>
      </c>
      <c r="AH331" t="str">
        <f t="shared" si="526"/>
        <v>e</v>
      </c>
      <c r="AI331" t="str">
        <f t="shared" ref="AI331:AJ346" si="612">IF($J331&lt;&gt;"",$J331,IF($AC331=$AC330,AI330,""))</f>
        <v>o</v>
      </c>
      <c r="AJ331" t="str">
        <f t="shared" si="612"/>
        <v>o</v>
      </c>
      <c r="AK331" t="str">
        <f t="shared" si="528"/>
        <v/>
      </c>
      <c r="AL331" t="str">
        <f t="shared" si="529"/>
        <v/>
      </c>
      <c r="AM331" t="str">
        <f t="shared" si="589"/>
        <v>Away</v>
      </c>
      <c r="AN331" t="str">
        <f t="shared" si="530"/>
        <v>a</v>
      </c>
      <c r="AO331" t="str">
        <f t="shared" si="531"/>
        <v>d</v>
      </c>
      <c r="AP331" t="str">
        <f t="shared" si="532"/>
        <v>o</v>
      </c>
      <c r="AQ331" t="str">
        <f>IF(AM331&lt;&gt;"",AM331,IF($AC331=#REF!,#REF!,""))</f>
        <v>Away</v>
      </c>
      <c r="AR331" t="str">
        <f t="shared" si="533"/>
        <v>a</v>
      </c>
      <c r="AS331" t="str">
        <f t="shared" si="534"/>
        <v>Offensive</v>
      </c>
      <c r="AT331" t="str">
        <f t="shared" si="590"/>
        <v/>
      </c>
      <c r="AU331" t="str">
        <f t="shared" si="591"/>
        <v/>
      </c>
      <c r="AV331" t="str" cm="1">
        <f t="array" ref="AV331">IFERROR(IF(O331&lt;&gt;"",O331,IF(OR($S331="",$T331=""),"",IF(O331&lt;&gt;"",O331,IF($T331&lt;&gt;"",_xlfn._xlws.FILTER(O:O,($BT:$BT=$BT331)*($I:$I=$I331)*($T:$T=$T331)*($S:$S=_xlfn.MINIFS($S:$S,$T:$T,"="&amp;$T331)),"")))))&amp;"",IF(O331="","",""))&amp;""</f>
        <v/>
      </c>
      <c r="AW331" t="str" cm="1">
        <f t="array" ref="AW331">IFERROR(IF(P331&lt;&gt;"",P331,IF(OR($S331="",$T331=""),"",IF($T331&lt;&gt;"",_xlfn._xlws.FILTER(P:P,($BT:$BT=$BT331)*($I:$I=$I331)*($T:$T=$T331)*($S:$S=_xlfn.MINIFS($S:$S,$T:$T,"="&amp;$T331)),""))))&amp;"",IF(P331="","",""))&amp;""</f>
        <v/>
      </c>
      <c r="AX331" t="str" cm="1">
        <f t="array" ref="AX331">IFERROR(IF(Q331&lt;&gt;"",Q331,IF(OR($S331="",$T331=""),"",IF($T331&lt;&gt;"",_xlfn._xlws.FILTER(Q:Q,($BT:$BT=$BT331)*($I:$I=$I331)*($T:$T=$T331)*($S:$S=_xlfn.MINIFS($S:$S,$T:$T,"="&amp;$T331)),""))))&amp;"",IF(Q331="","",""))&amp;""</f>
        <v/>
      </c>
      <c r="AY331" t="str" cm="1">
        <f t="array" ref="AY331">IFERROR(IF(R331&lt;&gt;"",R331,IF(OR($S331="",$T331=""),"",IF($T331&lt;&gt;"",_xlfn._xlws.FILTER(R:R,($BT:$BT=$BT331)*($I:$I=$I331)*($T:$T=$T331)*($S:$S=_xlfn.MINIFS($S:$S,$T:$T,"="&amp;$T331)),""))))&amp;"",IF(R331="","",""))&amp;""</f>
        <v/>
      </c>
      <c r="AZ331" s="6">
        <f t="shared" si="592"/>
        <v>31</v>
      </c>
      <c r="BA331">
        <f t="shared" ref="BA331:BC331" si="613">BA330</f>
        <v>18991</v>
      </c>
      <c r="BB331" t="str">
        <f t="shared" si="613"/>
        <v>Triple J</v>
      </c>
      <c r="BC331" t="str">
        <f t="shared" si="613"/>
        <v>Velodrome</v>
      </c>
      <c r="BD331" t="str">
        <f t="shared" si="594"/>
        <v>Pass</v>
      </c>
      <c r="BE331" t="str">
        <f t="shared" si="595"/>
        <v>Pass_Missed</v>
      </c>
      <c r="BF331" t="str">
        <f t="shared" si="596"/>
        <v>Pass-Forehand</v>
      </c>
      <c r="BG331" t="str">
        <f t="shared" si="578"/>
        <v>u</v>
      </c>
      <c r="BH331" cm="1">
        <f t="array" aca="1" ref="BH331" ca="1">IFERROR(_xlfn._xlws.FILTER(shifts!A:A,(shifts!B:B=events!Z331)*(shifts!AG:AG&gt;=events!BJ331)*(shifts!AH:AH&lt;=events!BK331)),BH330)</f>
        <v>11</v>
      </c>
      <c r="BI331" s="15">
        <f t="shared" si="597"/>
        <v>0</v>
      </c>
      <c r="BJ331">
        <f t="shared" si="598"/>
        <v>783</v>
      </c>
      <c r="BK331">
        <f t="shared" si="599"/>
        <v>783</v>
      </c>
      <c r="BL331" s="15">
        <f>SUMIFS(BI$2:BI331,K$2:K331,"=Intermission")+SUMIFS(BI$2:BI331,K$2:K331,"=Timeout")</f>
        <v>0</v>
      </c>
      <c r="BM331">
        <f t="shared" si="600"/>
        <v>0</v>
      </c>
      <c r="BN331" s="19">
        <f t="shared" si="601"/>
        <v>297</v>
      </c>
      <c r="BO331">
        <f t="shared" si="602"/>
        <v>292</v>
      </c>
      <c r="BP331" s="17">
        <f t="shared" si="603"/>
        <v>297</v>
      </c>
      <c r="BQ331" t="str">
        <f t="shared" si="604"/>
        <v>event_team_player_2</v>
      </c>
      <c r="BR331">
        <f>COUNTIFS(S$3:S331,"="&amp;S331,AH$3:AH331,"="&amp;AH331)</f>
        <v>2</v>
      </c>
      <c r="BS331" t="str">
        <f>IFERROR(VLOOKUP(BA331&amp;BT331&amp;X331,game_rosters!U:W,3,FALSE),"")</f>
        <v>P100064</v>
      </c>
      <c r="BT331" t="str">
        <f t="shared" si="605"/>
        <v>Velodrome</v>
      </c>
    </row>
    <row r="332" spans="1:72" x14ac:dyDescent="0.2">
      <c r="A332" t="str">
        <f t="shared" si="580"/>
        <v/>
      </c>
      <c r="E332" s="4"/>
      <c r="F332" s="45"/>
      <c r="G332" s="4"/>
      <c r="H332" s="47"/>
      <c r="I332" s="26">
        <v>71</v>
      </c>
      <c r="J332" s="26" t="str">
        <f t="shared" si="606"/>
        <v/>
      </c>
      <c r="N332" t="str">
        <f t="shared" si="520"/>
        <v/>
      </c>
      <c r="O332" t="s">
        <v>566</v>
      </c>
      <c r="Q332" t="str">
        <f t="shared" si="513"/>
        <v/>
      </c>
      <c r="S332">
        <f>IF(A332=1,MAX($S$2:$S331)+1,IF(OR($I332&lt;&gt;"",A332="x"),$S331,""))</f>
        <v>171</v>
      </c>
      <c r="T332" t="str">
        <f>IF(D332=1,MAX($T$2:$T331)+1,IF(S332=S331,$T331,IF(D332="x",T331,IF(D331="x","",""))))</f>
        <v/>
      </c>
      <c r="U332" t="str">
        <f>IF(B332=1,MAX($U$2:$U331)+1,IF(AND($T332&lt;&gt;"",$T332=$T331),$U331,IF(B332="x",U331,"")))</f>
        <v/>
      </c>
      <c r="V332" t="str">
        <f>IF(C332=1,MAX($V$2:$V331)+1,IF(AND($T332&lt;&gt;"",$T332=$T331),$U331,IF(C332="x",V331,"")))</f>
        <v/>
      </c>
      <c r="W332" t="str" cm="1">
        <f t="array" ref="W332">IFERROR(_xlfn._xlws.FILTER(game_rosters!AC:AC,(game_rosters!J:J=events!X332)*(K332&lt;&gt;"")),"")</f>
        <v/>
      </c>
      <c r="X332" cm="1">
        <f t="array" ref="X332">IF($I332&lt;&gt;"",$I332,INDEX($I$1:$I332,ROW()-COUNTIFS($T$1:$T332,"="&amp;$T332,$S$1:$S332,"&lt;"&amp;$S332)))</f>
        <v>71</v>
      </c>
      <c r="Y332" t="str" cm="1">
        <f t="array" ref="Y332">IFERROR(IF(_xlfn._xlws.FILTER(game_rosters!$J:$J,(game_rosters!$G:$G=events!$AM332)*(game_rosters!$J:$J=events!$X332))&gt;0,1,""),"")</f>
        <v/>
      </c>
      <c r="Z332" s="6">
        <f t="shared" si="581"/>
        <v>1</v>
      </c>
      <c r="AA332">
        <f t="shared" si="582"/>
        <v>1171</v>
      </c>
      <c r="AB332" t="str">
        <f t="shared" si="583"/>
        <v/>
      </c>
      <c r="AC332">
        <f t="shared" si="584"/>
        <v>1171</v>
      </c>
      <c r="AD332" t="str">
        <f t="shared" si="585"/>
        <v>13</v>
      </c>
      <c r="AE332" t="str">
        <f t="shared" si="586"/>
        <v>03</v>
      </c>
      <c r="AF332" t="str">
        <f t="shared" si="587"/>
        <v/>
      </c>
      <c r="AG332" t="str">
        <f t="shared" si="588"/>
        <v/>
      </c>
      <c r="AH332" t="str">
        <f t="shared" si="526"/>
        <v>o</v>
      </c>
      <c r="AI332" t="str">
        <f t="shared" si="612"/>
        <v>o</v>
      </c>
      <c r="AJ332" t="str">
        <f t="shared" si="612"/>
        <v>o</v>
      </c>
      <c r="AK332" t="str">
        <f t="shared" si="528"/>
        <v/>
      </c>
      <c r="AL332" t="str">
        <f t="shared" si="529"/>
        <v/>
      </c>
      <c r="AM332" t="str">
        <f t="shared" si="589"/>
        <v>Away</v>
      </c>
      <c r="AN332" t="str">
        <f t="shared" si="530"/>
        <v>a</v>
      </c>
      <c r="AO332" t="str">
        <f t="shared" si="531"/>
        <v>d</v>
      </c>
      <c r="AP332" t="str">
        <f t="shared" si="532"/>
        <v>o</v>
      </c>
      <c r="AQ332" t="str">
        <f>IF(AM332&lt;&gt;"",AM332,IF($AC332=#REF!,#REF!,""))</f>
        <v>Away</v>
      </c>
      <c r="AR332" t="str">
        <f t="shared" si="533"/>
        <v>a</v>
      </c>
      <c r="AS332" t="str">
        <f t="shared" si="534"/>
        <v>Defensive</v>
      </c>
      <c r="AT332" t="str">
        <f t="shared" si="590"/>
        <v/>
      </c>
      <c r="AU332" t="str">
        <f t="shared" si="591"/>
        <v/>
      </c>
      <c r="AV332" t="str" cm="1">
        <f t="array" ref="AV332">IFERROR(IF(O332&lt;&gt;"",O332,IF(OR($S332="",$T332=""),"",IF(O332&lt;&gt;"",O332,IF($T332&lt;&gt;"",_xlfn._xlws.FILTER(O:O,($BT:$BT=$BT332)*($I:$I=$I332)*($T:$T=$T332)*($S:$S=_xlfn.MINIFS($S:$S,$T:$T,"="&amp;$T332)),"")))))&amp;"",IF(O332="","",""))&amp;""</f>
        <v>InShotPassLane</v>
      </c>
      <c r="AW332" t="str" cm="1">
        <f t="array" ref="AW332">IFERROR(IF(P332&lt;&gt;"",P332,IF(OR($S332="",$T332=""),"",IF($T332&lt;&gt;"",_xlfn._xlws.FILTER(P:P,($BT:$BT=$BT332)*($I:$I=$I332)*($T:$T=$T332)*($S:$S=_xlfn.MINIFS($S:$S,$T:$T,"="&amp;$T332)),""))))&amp;"",IF(P332="","",""))&amp;""</f>
        <v/>
      </c>
      <c r="AX332" t="str" cm="1">
        <f t="array" ref="AX332">IFERROR(IF(Q332&lt;&gt;"",Q332,IF(OR($S332="",$T332=""),"",IF($T332&lt;&gt;"",_xlfn._xlws.FILTER(Q:Q,($BT:$BT=$BT332)*($I:$I=$I332)*($T:$T=$T332)*($S:$S=_xlfn.MINIFS($S:$S,$T:$T,"="&amp;$T332)),""))))&amp;"",IF(Q332="","",""))&amp;""</f>
        <v/>
      </c>
      <c r="AY332" t="str" cm="1">
        <f t="array" ref="AY332">IFERROR(IF(R332&lt;&gt;"",R332,IF(OR($S332="",$T332=""),"",IF($T332&lt;&gt;"",_xlfn._xlws.FILTER(R:R,($BT:$BT=$BT332)*($I:$I=$I332)*($T:$T=$T332)*($S:$S=_xlfn.MINIFS($S:$S,$T:$T,"="&amp;$T332)),""))))&amp;"",IF(R332="","",""))&amp;""</f>
        <v/>
      </c>
      <c r="AZ332" s="6">
        <f t="shared" si="592"/>
        <v>31</v>
      </c>
      <c r="BA332">
        <f t="shared" ref="BA332:BC332" si="614">BA331</f>
        <v>18991</v>
      </c>
      <c r="BB332" t="str">
        <f t="shared" si="614"/>
        <v>Triple J</v>
      </c>
      <c r="BC332" t="str">
        <f t="shared" si="614"/>
        <v>Velodrome</v>
      </c>
      <c r="BD332" t="str">
        <f t="shared" si="594"/>
        <v>Pass</v>
      </c>
      <c r="BE332" t="str">
        <f t="shared" si="595"/>
        <v>Pass_Missed</v>
      </c>
      <c r="BF332" t="str">
        <f t="shared" si="596"/>
        <v>Pass-Forehand</v>
      </c>
      <c r="BG332" t="str">
        <f t="shared" si="578"/>
        <v>u</v>
      </c>
      <c r="BH332" cm="1">
        <f t="array" aca="1" ref="BH332" ca="1">IFERROR(_xlfn._xlws.FILTER(shifts!A:A,(shifts!B:B=events!Z332)*(shifts!AG:AG&gt;=events!BJ332)*(shifts!AH:AH&lt;=events!BK332)),BH331)</f>
        <v>11</v>
      </c>
      <c r="BI332" s="15">
        <f t="shared" si="597"/>
        <v>0</v>
      </c>
      <c r="BJ332">
        <f t="shared" si="598"/>
        <v>783</v>
      </c>
      <c r="BK332">
        <f t="shared" si="599"/>
        <v>783</v>
      </c>
      <c r="BL332" s="15">
        <f>SUMIFS(BI$2:BI332,K$2:K332,"=Intermission")+SUMIFS(BI$2:BI332,K$2:K332,"=Timeout")</f>
        <v>0</v>
      </c>
      <c r="BM332">
        <f t="shared" si="600"/>
        <v>0</v>
      </c>
      <c r="BN332" s="19">
        <f t="shared" si="601"/>
        <v>297</v>
      </c>
      <c r="BO332">
        <f t="shared" si="602"/>
        <v>292</v>
      </c>
      <c r="BP332" s="17">
        <f t="shared" si="603"/>
        <v>297</v>
      </c>
      <c r="BQ332" t="str">
        <f t="shared" si="604"/>
        <v>opp_team_player_1</v>
      </c>
      <c r="BR332">
        <f>COUNTIFS(S$3:S332,"="&amp;S332,AH$3:AH332,"="&amp;AH332)</f>
        <v>1</v>
      </c>
      <c r="BS332" t="str">
        <f>IFERROR(VLOOKUP(BA332&amp;BT332&amp;X332,game_rosters!U:W,3,FALSE),"")</f>
        <v>P100008</v>
      </c>
      <c r="BT332" t="str">
        <f t="shared" si="605"/>
        <v>Triple J</v>
      </c>
    </row>
    <row r="333" spans="1:72" x14ac:dyDescent="0.2">
      <c r="A333">
        <f t="shared" si="580"/>
        <v>1</v>
      </c>
      <c r="E333" s="4"/>
      <c r="F333" s="45" t="s">
        <v>413</v>
      </c>
      <c r="G333" s="4" t="s">
        <v>746</v>
      </c>
      <c r="H333" s="47" t="s">
        <v>1058</v>
      </c>
      <c r="I333" s="26">
        <v>55</v>
      </c>
      <c r="J333" s="26" t="s">
        <v>368</v>
      </c>
      <c r="K333" t="s">
        <v>13</v>
      </c>
      <c r="L333" t="s">
        <v>587</v>
      </c>
      <c r="N333" t="str">
        <f t="shared" si="520"/>
        <v/>
      </c>
      <c r="Q333" t="str">
        <f t="shared" si="513"/>
        <v/>
      </c>
      <c r="S333">
        <f>IF(A333=1,MAX($S$2:$S332)+1,IF(OR($I333&lt;&gt;"",A333="x"),$S332,""))</f>
        <v>172</v>
      </c>
      <c r="T333" t="str">
        <f>IF(D333=1,MAX($T$2:$T332)+1,IF(S333=S332,$T332,IF(D333="x",T332,IF(D332="x","",""))))</f>
        <v/>
      </c>
      <c r="U333" t="str">
        <f>IF(B333=1,MAX($U$2:$U332)+1,IF(AND($T333&lt;&gt;"",$T333=$T332),$U332,IF(B333="x",U332,"")))</f>
        <v/>
      </c>
      <c r="V333" t="str">
        <f>IF(C333=1,MAX($V$2:$V332)+1,IF(AND($T333&lt;&gt;"",$T333=$T332),$U332,IF(C333="x",V332,"")))</f>
        <v/>
      </c>
      <c r="W333" t="str" cm="1">
        <f t="array" ref="W333">IFERROR(_xlfn._xlws.FILTER(game_rosters!AC:AC,(game_rosters!J:J=events!X333)*(K333&lt;&gt;"")),"")</f>
        <v>a</v>
      </c>
      <c r="X333" cm="1">
        <f t="array" ref="X333">IF($I333&lt;&gt;"",$I333,INDEX($I$1:$I333,ROW()-COUNTIFS($T$1:$T333,"="&amp;$T333,$S$1:$S333,"&lt;"&amp;$S333)))</f>
        <v>55</v>
      </c>
      <c r="Y333" cm="1">
        <f t="array" ref="Y333">IFERROR(IF(_xlfn._xlws.FILTER(game_rosters!$J:$J,(game_rosters!$G:$G=events!$AM333)*(game_rosters!$J:$J=events!$X333))&gt;0,1,""),"")</f>
        <v>1</v>
      </c>
      <c r="Z333" s="6">
        <f t="shared" si="581"/>
        <v>1</v>
      </c>
      <c r="AA333">
        <f t="shared" si="582"/>
        <v>1172</v>
      </c>
      <c r="AB333" t="str">
        <f t="shared" si="583"/>
        <v/>
      </c>
      <c r="AC333">
        <f t="shared" si="584"/>
        <v>1172</v>
      </c>
      <c r="AD333" t="str">
        <f t="shared" si="585"/>
        <v>13</v>
      </c>
      <c r="AE333" t="str">
        <f t="shared" si="586"/>
        <v>00</v>
      </c>
      <c r="AF333" t="str">
        <f t="shared" si="587"/>
        <v>12</v>
      </c>
      <c r="AG333" t="str">
        <f t="shared" si="588"/>
        <v>59</v>
      </c>
      <c r="AH333" t="str">
        <f t="shared" si="526"/>
        <v>e</v>
      </c>
      <c r="AI333" t="str">
        <f t="shared" si="612"/>
        <v>o</v>
      </c>
      <c r="AJ333" t="str">
        <f t="shared" si="612"/>
        <v>o</v>
      </c>
      <c r="AK333" t="str">
        <f t="shared" si="528"/>
        <v>d</v>
      </c>
      <c r="AL333" t="str">
        <f t="shared" si="529"/>
        <v>o</v>
      </c>
      <c r="AM333" t="str">
        <f t="shared" si="589"/>
        <v>Away</v>
      </c>
      <c r="AN333" t="str">
        <f t="shared" si="530"/>
        <v>a</v>
      </c>
      <c r="AO333" t="str">
        <f t="shared" si="531"/>
        <v>d</v>
      </c>
      <c r="AP333" t="str">
        <f t="shared" si="532"/>
        <v>o</v>
      </c>
      <c r="AQ333" t="str">
        <f>IF(AM333&lt;&gt;"",AM333,IF($AC333=#REF!,#REF!,""))</f>
        <v>Away</v>
      </c>
      <c r="AR333" t="str">
        <f t="shared" si="533"/>
        <v>a</v>
      </c>
      <c r="AS333" t="str">
        <f t="shared" si="534"/>
        <v>Offensive</v>
      </c>
      <c r="AT333" t="str">
        <f t="shared" si="590"/>
        <v/>
      </c>
      <c r="AU333" t="str">
        <f t="shared" si="591"/>
        <v/>
      </c>
      <c r="AV333" t="str" cm="1">
        <f t="array" ref="AV333">IFERROR(IF(O333&lt;&gt;"",O333,IF(OR($S333="",$T333=""),"",IF(O333&lt;&gt;"",O333,IF($T333&lt;&gt;"",_xlfn._xlws.FILTER(O:O,($BT:$BT=$BT333)*($I:$I=$I333)*($T:$T=$T333)*($S:$S=_xlfn.MINIFS($S:$S,$T:$T,"="&amp;$T333)),"")))))&amp;"",IF(O333="","",""))&amp;""</f>
        <v/>
      </c>
      <c r="AW333" t="str" cm="1">
        <f t="array" ref="AW333">IFERROR(IF(P333&lt;&gt;"",P333,IF(OR($S333="",$T333=""),"",IF($T333&lt;&gt;"",_xlfn._xlws.FILTER(P:P,($BT:$BT=$BT333)*($I:$I=$I333)*($T:$T=$T333)*($S:$S=_xlfn.MINIFS($S:$S,$T:$T,"="&amp;$T333)),""))))&amp;"",IF(P333="","",""))&amp;""</f>
        <v/>
      </c>
      <c r="AX333" t="str" cm="1">
        <f t="array" ref="AX333">IFERROR(IF(Q333&lt;&gt;"",Q333,IF(OR($S333="",$T333=""),"",IF($T333&lt;&gt;"",_xlfn._xlws.FILTER(Q:Q,($BT:$BT=$BT333)*($I:$I=$I333)*($T:$T=$T333)*($S:$S=_xlfn.MINIFS($S:$S,$T:$T,"="&amp;$T333)),""))))&amp;"",IF(Q333="","",""))&amp;""</f>
        <v/>
      </c>
      <c r="AY333" t="str" cm="1">
        <f t="array" ref="AY333">IFERROR(IF(R333&lt;&gt;"",R333,IF(OR($S333="",$T333=""),"",IF($T333&lt;&gt;"",_xlfn._xlws.FILTER(R:R,($BT:$BT=$BT333)*($I:$I=$I333)*($T:$T=$T333)*($S:$S=_xlfn.MINIFS($S:$S,$T:$T,"="&amp;$T333)),""))))&amp;"",IF(R333="","",""))&amp;""</f>
        <v/>
      </c>
      <c r="AZ333" s="6">
        <f t="shared" si="592"/>
        <v>31</v>
      </c>
      <c r="BA333">
        <f t="shared" ref="BA333:BC333" si="615">BA332</f>
        <v>18991</v>
      </c>
      <c r="BB333" t="str">
        <f t="shared" si="615"/>
        <v>Triple J</v>
      </c>
      <c r="BC333" t="str">
        <f t="shared" si="615"/>
        <v>Velodrome</v>
      </c>
      <c r="BD333" t="str">
        <f t="shared" si="594"/>
        <v>Possession</v>
      </c>
      <c r="BE333" t="str">
        <f t="shared" si="595"/>
        <v>PuckRecovery</v>
      </c>
      <c r="BF333" t="str">
        <f t="shared" si="596"/>
        <v/>
      </c>
      <c r="BG333" t="str">
        <f t="shared" si="578"/>
        <v/>
      </c>
      <c r="BH333" cm="1">
        <f t="array" aca="1" ref="BH333" ca="1">IFERROR(_xlfn._xlws.FILTER(shifts!A:A,(shifts!B:B=events!Z333)*(shifts!AG:AG&gt;=events!BJ333)*(shifts!AH:AH&lt;=events!BK333)),BH332)</f>
        <v>11</v>
      </c>
      <c r="BI333" s="15">
        <f t="shared" si="597"/>
        <v>1</v>
      </c>
      <c r="BJ333">
        <f t="shared" si="598"/>
        <v>780</v>
      </c>
      <c r="BK333">
        <f t="shared" si="599"/>
        <v>779</v>
      </c>
      <c r="BL333" s="15">
        <f>SUMIFS(BI$2:BI333,K$2:K333,"=Intermission")+SUMIFS(BI$2:BI333,K$2:K333,"=Timeout")</f>
        <v>0</v>
      </c>
      <c r="BM333">
        <f t="shared" si="600"/>
        <v>0</v>
      </c>
      <c r="BN333" s="19">
        <f t="shared" si="601"/>
        <v>300</v>
      </c>
      <c r="BO333">
        <f t="shared" si="602"/>
        <v>295</v>
      </c>
      <c r="BP333" s="17">
        <f t="shared" si="603"/>
        <v>301</v>
      </c>
      <c r="BQ333" t="str">
        <f t="shared" si="604"/>
        <v>event_team_player_1</v>
      </c>
      <c r="BR333">
        <f>COUNTIFS(S$3:S333,"="&amp;S333,AH$3:AH333,"="&amp;AH333)</f>
        <v>1</v>
      </c>
      <c r="BS333" t="str">
        <f>IFERROR(VLOOKUP(BA333&amp;BT333&amp;X333,game_rosters!U:W,3,FALSE),"")</f>
        <v>P100064</v>
      </c>
      <c r="BT333" t="str">
        <f t="shared" si="605"/>
        <v>Velodrome</v>
      </c>
    </row>
    <row r="334" spans="1:72" x14ac:dyDescent="0.2">
      <c r="A334">
        <f t="shared" si="580"/>
        <v>1</v>
      </c>
      <c r="E334" s="4"/>
      <c r="F334" s="45"/>
      <c r="G334" s="4"/>
      <c r="H334" s="47"/>
      <c r="I334" s="26">
        <v>55</v>
      </c>
      <c r="J334" s="26" t="s">
        <v>368</v>
      </c>
      <c r="K334" t="s">
        <v>7</v>
      </c>
      <c r="L334" t="s">
        <v>182</v>
      </c>
      <c r="M334" t="s">
        <v>68</v>
      </c>
      <c r="N334" t="str">
        <f t="shared" si="520"/>
        <v>u</v>
      </c>
      <c r="Q334" t="str">
        <f t="shared" si="513"/>
        <v/>
      </c>
      <c r="S334">
        <f>IF(A334=1,MAX($S$2:$S333)+1,IF(OR($I334&lt;&gt;"",A334="x"),$S333,""))</f>
        <v>173</v>
      </c>
      <c r="T334" t="str">
        <f>IF(D334=1,MAX($T$2:$T333)+1,IF(S334=S333,$T333,IF(D334="x",T333,IF(D333="x","",""))))</f>
        <v/>
      </c>
      <c r="U334" t="str">
        <f>IF(B334=1,MAX($U$2:$U333)+1,IF(AND($T334&lt;&gt;"",$T334=$T333),$U333,IF(B334="x",U333,"")))</f>
        <v/>
      </c>
      <c r="V334" t="str">
        <f>IF(C334=1,MAX($V$2:$V333)+1,IF(AND($T334&lt;&gt;"",$T334=$T333),$U333,IF(C334="x",V333,"")))</f>
        <v/>
      </c>
      <c r="W334" t="str" cm="1">
        <f t="array" ref="W334">IFERROR(_xlfn._xlws.FILTER(game_rosters!AC:AC,(game_rosters!J:J=events!X334)*(K334&lt;&gt;"")),"")</f>
        <v>a</v>
      </c>
      <c r="X334" cm="1">
        <f t="array" ref="X334">IF($I334&lt;&gt;"",$I334,INDEX($I$1:$I334,ROW()-COUNTIFS($T$1:$T334,"="&amp;$T334,$S$1:$S334,"&lt;"&amp;$S334)))</f>
        <v>55</v>
      </c>
      <c r="Y334" cm="1">
        <f t="array" ref="Y334">IFERROR(IF(_xlfn._xlws.FILTER(game_rosters!$J:$J,(game_rosters!$G:$G=events!$AM334)*(game_rosters!$J:$J=events!$X334))&gt;0,1,""),"")</f>
        <v>1</v>
      </c>
      <c r="Z334" s="6">
        <f t="shared" si="581"/>
        <v>1</v>
      </c>
      <c r="AA334">
        <f t="shared" si="582"/>
        <v>1173</v>
      </c>
      <c r="AB334" t="str">
        <f t="shared" si="583"/>
        <v/>
      </c>
      <c r="AC334">
        <f t="shared" si="584"/>
        <v>1173</v>
      </c>
      <c r="AD334" t="str">
        <f t="shared" si="585"/>
        <v>12</v>
      </c>
      <c r="AE334" t="str">
        <f t="shared" si="586"/>
        <v>59</v>
      </c>
      <c r="AF334" t="str">
        <f t="shared" si="587"/>
        <v/>
      </c>
      <c r="AG334" t="str">
        <f t="shared" si="588"/>
        <v/>
      </c>
      <c r="AH334" t="str">
        <f t="shared" si="526"/>
        <v>e</v>
      </c>
      <c r="AI334" t="str">
        <f t="shared" si="612"/>
        <v>o</v>
      </c>
      <c r="AJ334" t="str">
        <f t="shared" si="612"/>
        <v>o</v>
      </c>
      <c r="AK334" t="str">
        <f t="shared" si="528"/>
        <v>d</v>
      </c>
      <c r="AL334" t="str">
        <f t="shared" si="529"/>
        <v>o</v>
      </c>
      <c r="AM334" t="str">
        <f t="shared" si="589"/>
        <v>Away</v>
      </c>
      <c r="AN334" t="str">
        <f t="shared" si="530"/>
        <v>a</v>
      </c>
      <c r="AO334" t="str">
        <f t="shared" si="531"/>
        <v>d</v>
      </c>
      <c r="AP334" t="str">
        <f t="shared" si="532"/>
        <v>o</v>
      </c>
      <c r="AQ334" t="str">
        <f>IF(AM334&lt;&gt;"",AM334,IF($AC334=#REF!,#REF!,""))</f>
        <v>Away</v>
      </c>
      <c r="AR334" t="str">
        <f t="shared" si="533"/>
        <v>a</v>
      </c>
      <c r="AS334" t="str">
        <f t="shared" si="534"/>
        <v>Offensive</v>
      </c>
      <c r="AT334" t="str">
        <f t="shared" si="590"/>
        <v/>
      </c>
      <c r="AU334" t="str">
        <f t="shared" si="591"/>
        <v/>
      </c>
      <c r="AV334" t="str" cm="1">
        <f t="array" ref="AV334">IFERROR(IF(O334&lt;&gt;"",O334,IF(OR($S334="",$T334=""),"",IF(O334&lt;&gt;"",O334,IF($T334&lt;&gt;"",_xlfn._xlws.FILTER(O:O,($BT:$BT=$BT334)*($I:$I=$I334)*($T:$T=$T334)*($S:$S=_xlfn.MINIFS($S:$S,$T:$T,"="&amp;$T334)),"")))))&amp;"",IF(O334="","",""))&amp;""</f>
        <v/>
      </c>
      <c r="AW334" t="str" cm="1">
        <f t="array" ref="AW334">IFERROR(IF(P334&lt;&gt;"",P334,IF(OR($S334="",$T334=""),"",IF($T334&lt;&gt;"",_xlfn._xlws.FILTER(P:P,($BT:$BT=$BT334)*($I:$I=$I334)*($T:$T=$T334)*($S:$S=_xlfn.MINIFS($S:$S,$T:$T,"="&amp;$T334)),""))))&amp;"",IF(P334="","",""))&amp;""</f>
        <v/>
      </c>
      <c r="AX334" t="str" cm="1">
        <f t="array" ref="AX334">IFERROR(IF(Q334&lt;&gt;"",Q334,IF(OR($S334="",$T334=""),"",IF($T334&lt;&gt;"",_xlfn._xlws.FILTER(Q:Q,($BT:$BT=$BT334)*($I:$I=$I334)*($T:$T=$T334)*($S:$S=_xlfn.MINIFS($S:$S,$T:$T,"="&amp;$T334)),""))))&amp;"",IF(Q334="","",""))&amp;""</f>
        <v/>
      </c>
      <c r="AY334" t="str" cm="1">
        <f t="array" ref="AY334">IFERROR(IF(R334&lt;&gt;"",R334,IF(OR($S334="",$T334=""),"",IF($T334&lt;&gt;"",_xlfn._xlws.FILTER(R:R,($BT:$BT=$BT334)*($I:$I=$I334)*($T:$T=$T334)*($S:$S=_xlfn.MINIFS($S:$S,$T:$T,"="&amp;$T334)),""))))&amp;"",IF(R334="","",""))&amp;""</f>
        <v/>
      </c>
      <c r="AZ334" s="6">
        <f t="shared" si="592"/>
        <v>31</v>
      </c>
      <c r="BA334">
        <f t="shared" ref="BA334:BC334" si="616">BA333</f>
        <v>18991</v>
      </c>
      <c r="BB334" t="str">
        <f t="shared" si="616"/>
        <v>Triple J</v>
      </c>
      <c r="BC334" t="str">
        <f t="shared" si="616"/>
        <v>Velodrome</v>
      </c>
      <c r="BD334" t="str">
        <f t="shared" si="594"/>
        <v>Pass</v>
      </c>
      <c r="BE334" t="str">
        <f t="shared" si="595"/>
        <v>Pass_Missed</v>
      </c>
      <c r="BF334" t="str">
        <f t="shared" si="596"/>
        <v>Pass-Forehand</v>
      </c>
      <c r="BG334" t="str">
        <f t="shared" si="578"/>
        <v>u</v>
      </c>
      <c r="BH334" cm="1">
        <f t="array" aca="1" ref="BH334" ca="1">IFERROR(_xlfn._xlws.FILTER(shifts!A:A,(shifts!B:B=events!Z334)*(shifts!AG:AG&gt;=events!BJ334)*(shifts!AH:AH&lt;=events!BK334)),BH333)</f>
        <v>11</v>
      </c>
      <c r="BI334" s="15">
        <f t="shared" si="597"/>
        <v>0</v>
      </c>
      <c r="BJ334">
        <f t="shared" si="598"/>
        <v>779</v>
      </c>
      <c r="BK334">
        <f t="shared" si="599"/>
        <v>779</v>
      </c>
      <c r="BL334" s="15">
        <f>SUMIFS(BI$2:BI334,K$2:K334,"=Intermission")+SUMIFS(BI$2:BI334,K$2:K334,"=Timeout")</f>
        <v>0</v>
      </c>
      <c r="BM334">
        <f t="shared" si="600"/>
        <v>0</v>
      </c>
      <c r="BN334" s="19">
        <f t="shared" si="601"/>
        <v>301</v>
      </c>
      <c r="BO334">
        <f t="shared" si="602"/>
        <v>296</v>
      </c>
      <c r="BP334" s="17">
        <f t="shared" si="603"/>
        <v>301</v>
      </c>
      <c r="BQ334" t="str">
        <f t="shared" si="604"/>
        <v>event_team_player_1</v>
      </c>
      <c r="BR334">
        <f>COUNTIFS(S$3:S334,"="&amp;S334,AH$3:AH334,"="&amp;AH334)</f>
        <v>1</v>
      </c>
      <c r="BS334" t="str">
        <f>IFERROR(VLOOKUP(BA334&amp;BT334&amp;X334,game_rosters!U:W,3,FALSE),"")</f>
        <v>P100064</v>
      </c>
      <c r="BT334" t="str">
        <f t="shared" si="605"/>
        <v>Velodrome</v>
      </c>
    </row>
    <row r="335" spans="1:72" x14ac:dyDescent="0.2">
      <c r="A335" t="str">
        <f t="shared" si="580"/>
        <v/>
      </c>
      <c r="E335" s="4"/>
      <c r="F335" s="45"/>
      <c r="G335" s="4"/>
      <c r="H335" s="47"/>
      <c r="I335" s="26">
        <v>61</v>
      </c>
      <c r="J335" s="26" t="str">
        <f t="shared" si="606"/>
        <v/>
      </c>
      <c r="N335" t="str">
        <f t="shared" si="520"/>
        <v/>
      </c>
      <c r="Q335" t="str">
        <f t="shared" si="513"/>
        <v/>
      </c>
      <c r="R335" s="26">
        <v>1</v>
      </c>
      <c r="S335">
        <f>IF(A335=1,MAX($S$2:$S334)+1,IF(OR($I335&lt;&gt;"",A335="x"),$S334,""))</f>
        <v>173</v>
      </c>
      <c r="T335" t="str">
        <f>IF(D335=1,MAX($T$2:$T334)+1,IF(S335=S334,$T334,IF(D335="x",T334,IF(D334="x","",""))))</f>
        <v/>
      </c>
      <c r="U335" t="str">
        <f>IF(B335=1,MAX($U$2:$U334)+1,IF(AND($T335&lt;&gt;"",$T335=$T334),$U334,IF(B335="x",U334,"")))</f>
        <v/>
      </c>
      <c r="V335" t="str">
        <f>IF(C335=1,MAX($V$2:$V334)+1,IF(AND($T335&lt;&gt;"",$T335=$T334),$U334,IF(C335="x",V334,"")))</f>
        <v/>
      </c>
      <c r="W335" t="str" cm="1">
        <f t="array" ref="W335">IFERROR(_xlfn._xlws.FILTER(game_rosters!AC:AC,(game_rosters!J:J=events!X335)*(K335&lt;&gt;"")),"")</f>
        <v/>
      </c>
      <c r="X335" cm="1">
        <f t="array" ref="X335">IF($I335&lt;&gt;"",$I335,INDEX($I$1:$I335,ROW()-COUNTIFS($T$1:$T335,"="&amp;$T335,$S$1:$S335,"&lt;"&amp;$S335)))</f>
        <v>61</v>
      </c>
      <c r="Y335" cm="1">
        <f t="array" ref="Y335">IFERROR(IF(_xlfn._xlws.FILTER(game_rosters!$J:$J,(game_rosters!$G:$G=events!$AM335)*(game_rosters!$J:$J=events!$X335))&gt;0,1,""),"")</f>
        <v>1</v>
      </c>
      <c r="Z335" s="6">
        <f t="shared" si="581"/>
        <v>1</v>
      </c>
      <c r="AA335">
        <f t="shared" si="582"/>
        <v>1173</v>
      </c>
      <c r="AB335" t="str">
        <f t="shared" si="583"/>
        <v/>
      </c>
      <c r="AC335">
        <f t="shared" si="584"/>
        <v>1173</v>
      </c>
      <c r="AD335" t="str">
        <f t="shared" si="585"/>
        <v>12</v>
      </c>
      <c r="AE335" t="str">
        <f t="shared" si="586"/>
        <v>59</v>
      </c>
      <c r="AF335" t="str">
        <f t="shared" si="587"/>
        <v/>
      </c>
      <c r="AG335" t="str">
        <f t="shared" si="588"/>
        <v/>
      </c>
      <c r="AH335" t="str">
        <f t="shared" si="526"/>
        <v>e</v>
      </c>
      <c r="AI335" t="str">
        <f t="shared" si="612"/>
        <v>o</v>
      </c>
      <c r="AJ335" t="str">
        <f t="shared" si="612"/>
        <v>o</v>
      </c>
      <c r="AK335" t="str">
        <f t="shared" si="528"/>
        <v/>
      </c>
      <c r="AL335" t="str">
        <f t="shared" si="529"/>
        <v/>
      </c>
      <c r="AM335" t="str">
        <f t="shared" si="589"/>
        <v>Away</v>
      </c>
      <c r="AN335" t="str">
        <f t="shared" si="530"/>
        <v>a</v>
      </c>
      <c r="AO335" t="str">
        <f t="shared" si="531"/>
        <v>d</v>
      </c>
      <c r="AP335" t="str">
        <f t="shared" si="532"/>
        <v>o</v>
      </c>
      <c r="AQ335" t="str">
        <f>IF(AM335&lt;&gt;"",AM335,IF($AC335=#REF!,#REF!,""))</f>
        <v>Away</v>
      </c>
      <c r="AR335" t="str">
        <f t="shared" si="533"/>
        <v>a</v>
      </c>
      <c r="AS335" t="str">
        <f t="shared" si="534"/>
        <v>Offensive</v>
      </c>
      <c r="AT335" t="str">
        <f t="shared" si="590"/>
        <v/>
      </c>
      <c r="AU335" t="str">
        <f t="shared" si="591"/>
        <v/>
      </c>
      <c r="AV335" t="str" cm="1">
        <f t="array" ref="AV335">IFERROR(IF(O335&lt;&gt;"",O335,IF(OR($S335="",$T335=""),"",IF(O335&lt;&gt;"",O335,IF($T335&lt;&gt;"",_xlfn._xlws.FILTER(O:O,($BT:$BT=$BT335)*($I:$I=$I335)*($T:$T=$T335)*($S:$S=_xlfn.MINIFS($S:$S,$T:$T,"="&amp;$T335)),"")))))&amp;"",IF(O335="","",""))&amp;""</f>
        <v/>
      </c>
      <c r="AW335" t="str" cm="1">
        <f t="array" ref="AW335">IFERROR(IF(P335&lt;&gt;"",P335,IF(OR($S335="",$T335=""),"",IF($T335&lt;&gt;"",_xlfn._xlws.FILTER(P:P,($BT:$BT=$BT335)*($I:$I=$I335)*($T:$T=$T335)*($S:$S=_xlfn.MINIFS($S:$S,$T:$T,"="&amp;$T335)),""))))&amp;"",IF(P335="","",""))&amp;""</f>
        <v/>
      </c>
      <c r="AX335" t="str" cm="1">
        <f t="array" ref="AX335">IFERROR(IF(Q335&lt;&gt;"",Q335,IF(OR($S335="",$T335=""),"",IF($T335&lt;&gt;"",_xlfn._xlws.FILTER(Q:Q,($BT:$BT=$BT335)*($I:$I=$I335)*($T:$T=$T335)*($S:$S=_xlfn.MINIFS($S:$S,$T:$T,"="&amp;$T335)),""))))&amp;"",IF(Q335="","",""))&amp;""</f>
        <v/>
      </c>
      <c r="AY335" t="str" cm="1">
        <f t="array" ref="AY335">IFERROR(IF(R335&lt;&gt;"",R335,IF(OR($S335="",$T335=""),"",IF($T335&lt;&gt;"",_xlfn._xlws.FILTER(R:R,($BT:$BT=$BT335)*($I:$I=$I335)*($T:$T=$T335)*($S:$S=_xlfn.MINIFS($S:$S,$T:$T,"="&amp;$T335)),""))))&amp;"",IF(R335="","",""))&amp;""</f>
        <v>1</v>
      </c>
      <c r="AZ335" s="6">
        <f t="shared" si="592"/>
        <v>31</v>
      </c>
      <c r="BA335">
        <f t="shared" ref="BA335:BC335" si="617">BA334</f>
        <v>18991</v>
      </c>
      <c r="BB335" t="str">
        <f t="shared" si="617"/>
        <v>Triple J</v>
      </c>
      <c r="BC335" t="str">
        <f t="shared" si="617"/>
        <v>Velodrome</v>
      </c>
      <c r="BD335" t="str">
        <f t="shared" si="594"/>
        <v>Pass</v>
      </c>
      <c r="BE335" t="str">
        <f t="shared" si="595"/>
        <v>Pass_Missed</v>
      </c>
      <c r="BF335" t="str">
        <f t="shared" si="596"/>
        <v>Pass-Forehand</v>
      </c>
      <c r="BG335" t="str">
        <f t="shared" si="578"/>
        <v>u</v>
      </c>
      <c r="BH335" cm="1">
        <f t="array" aca="1" ref="BH335" ca="1">IFERROR(_xlfn._xlws.FILTER(shifts!A:A,(shifts!B:B=events!Z335)*(shifts!AG:AG&gt;=events!BJ335)*(shifts!AH:AH&lt;=events!BK335)),BH334)</f>
        <v>11</v>
      </c>
      <c r="BI335" s="15">
        <f t="shared" si="597"/>
        <v>0</v>
      </c>
      <c r="BJ335">
        <f t="shared" si="598"/>
        <v>779</v>
      </c>
      <c r="BK335">
        <f t="shared" si="599"/>
        <v>779</v>
      </c>
      <c r="BL335" s="15">
        <f>SUMIFS(BI$2:BI335,K$2:K335,"=Intermission")+SUMIFS(BI$2:BI335,K$2:K335,"=Timeout")</f>
        <v>0</v>
      </c>
      <c r="BM335">
        <f t="shared" si="600"/>
        <v>0</v>
      </c>
      <c r="BN335" s="19">
        <f t="shared" si="601"/>
        <v>301</v>
      </c>
      <c r="BO335">
        <f t="shared" si="602"/>
        <v>296</v>
      </c>
      <c r="BP335" s="17">
        <f t="shared" si="603"/>
        <v>301</v>
      </c>
      <c r="BQ335" t="str">
        <f t="shared" si="604"/>
        <v>event_team_player_2</v>
      </c>
      <c r="BR335">
        <f>COUNTIFS(S$3:S335,"="&amp;S335,AH$3:AH335,"="&amp;AH335)</f>
        <v>2</v>
      </c>
      <c r="BS335" t="str">
        <f>IFERROR(VLOOKUP(BA335&amp;BT335&amp;X335,game_rosters!U:W,3,FALSE),"")</f>
        <v>P100224</v>
      </c>
      <c r="BT335" t="str">
        <f t="shared" si="605"/>
        <v>Velodrome</v>
      </c>
    </row>
    <row r="336" spans="1:72" x14ac:dyDescent="0.2">
      <c r="A336" t="str">
        <f t="shared" si="580"/>
        <v/>
      </c>
      <c r="E336" s="4"/>
      <c r="F336" s="45"/>
      <c r="G336" s="4"/>
      <c r="H336" s="47"/>
      <c r="I336" s="26">
        <v>57</v>
      </c>
      <c r="J336" s="26" t="str">
        <f t="shared" si="606"/>
        <v/>
      </c>
      <c r="N336" t="str">
        <f t="shared" si="520"/>
        <v/>
      </c>
      <c r="O336" t="s">
        <v>566</v>
      </c>
      <c r="Q336" t="str">
        <f t="shared" ref="Q336:Q399" si="618">IF(O336="","",IF(AND(N336&lt;&gt;"",OR(O336&lt;&gt;"",P336&lt;&gt;"")),N336,IF(OR(ISNUMBER(SEARCH("attemp",O336)),ISNUMBER(SEARCH("beat",O336)),ISNUMBER(SEARCH("mis",O336)),ISNUMBER(SEARCH("fail",O336)),ISNUMBER(SEARCH("loss",O336)),ISNUMBER(SEARCH("lost",O336)),ISNUMBER(SEARCH("attemp",P336)),ISNUMBER(SEARCH("mis",P336)),ISNUMBER(SEARCH("fail",P336)),ISNUMBER(SEARCH("loss",P336)),ISNUMBER(SEARCH("beat",P336)),ISNUMBER(SEARCH("lost",P336))),"u","")))</f>
        <v/>
      </c>
      <c r="S336">
        <f>IF(A336=1,MAX($S$2:$S335)+1,IF(OR($I336&lt;&gt;"",A336="x"),$S335,""))</f>
        <v>173</v>
      </c>
      <c r="T336" t="str">
        <f>IF(D336=1,MAX($T$2:$T335)+1,IF(S336=S335,$T335,IF(D336="x",T335,IF(D335="x","",""))))</f>
        <v/>
      </c>
      <c r="U336" t="str">
        <f>IF(B336=1,MAX($U$2:$U335)+1,IF(AND($T336&lt;&gt;"",$T336=$T335),$U335,IF(B336="x",U335,"")))</f>
        <v/>
      </c>
      <c r="V336" t="str">
        <f>IF(C336=1,MAX($V$2:$V335)+1,IF(AND($T336&lt;&gt;"",$T336=$T335),$U335,IF(C336="x",V335,"")))</f>
        <v/>
      </c>
      <c r="W336" t="str" cm="1">
        <f t="array" ref="W336">IFERROR(_xlfn._xlws.FILTER(game_rosters!AC:AC,(game_rosters!J:J=events!X336)*(K336&lt;&gt;"")),"")</f>
        <v/>
      </c>
      <c r="X336" cm="1">
        <f t="array" ref="X336">IF($I336&lt;&gt;"",$I336,INDEX($I$1:$I336,ROW()-COUNTIFS($T$1:$T336,"="&amp;$T336,$S$1:$S336,"&lt;"&amp;$S336)))</f>
        <v>57</v>
      </c>
      <c r="Y336" t="str" cm="1">
        <f t="array" ref="Y336">IFERROR(IF(_xlfn._xlws.FILTER(game_rosters!$J:$J,(game_rosters!$G:$G=events!$AM336)*(game_rosters!$J:$J=events!$X336))&gt;0,1,""),"")</f>
        <v/>
      </c>
      <c r="Z336" s="6">
        <f t="shared" si="581"/>
        <v>1</v>
      </c>
      <c r="AA336">
        <f t="shared" si="582"/>
        <v>1173</v>
      </c>
      <c r="AB336" t="str">
        <f t="shared" si="583"/>
        <v/>
      </c>
      <c r="AC336">
        <f t="shared" si="584"/>
        <v>1173</v>
      </c>
      <c r="AD336" t="str">
        <f t="shared" si="585"/>
        <v>12</v>
      </c>
      <c r="AE336" t="str">
        <f t="shared" si="586"/>
        <v>59</v>
      </c>
      <c r="AF336" t="str">
        <f t="shared" si="587"/>
        <v/>
      </c>
      <c r="AG336" t="str">
        <f t="shared" si="588"/>
        <v/>
      </c>
      <c r="AH336" t="str">
        <f t="shared" si="526"/>
        <v>o</v>
      </c>
      <c r="AI336" t="str">
        <f t="shared" si="612"/>
        <v>o</v>
      </c>
      <c r="AJ336" t="str">
        <f t="shared" si="612"/>
        <v>o</v>
      </c>
      <c r="AK336" t="str">
        <f t="shared" si="528"/>
        <v/>
      </c>
      <c r="AL336" t="str">
        <f t="shared" si="529"/>
        <v/>
      </c>
      <c r="AM336" t="str">
        <f t="shared" si="589"/>
        <v>Away</v>
      </c>
      <c r="AN336" t="str">
        <f t="shared" si="530"/>
        <v>a</v>
      </c>
      <c r="AO336" t="str">
        <f t="shared" si="531"/>
        <v>d</v>
      </c>
      <c r="AP336" t="str">
        <f t="shared" si="532"/>
        <v>o</v>
      </c>
      <c r="AQ336" t="str">
        <f>IF(AM336&lt;&gt;"",AM336,IF($AC336=#REF!,#REF!,""))</f>
        <v>Away</v>
      </c>
      <c r="AR336" t="str">
        <f t="shared" si="533"/>
        <v>a</v>
      </c>
      <c r="AS336" t="str">
        <f t="shared" si="534"/>
        <v>Defensive</v>
      </c>
      <c r="AT336" t="str">
        <f t="shared" si="590"/>
        <v/>
      </c>
      <c r="AU336" t="str">
        <f t="shared" si="591"/>
        <v/>
      </c>
      <c r="AV336" t="str" cm="1">
        <f t="array" ref="AV336">IFERROR(IF(O336&lt;&gt;"",O336,IF(OR($S336="",$T336=""),"",IF(O336&lt;&gt;"",O336,IF($T336&lt;&gt;"",_xlfn._xlws.FILTER(O:O,($BT:$BT=$BT336)*($I:$I=$I336)*($T:$T=$T336)*($S:$S=_xlfn.MINIFS($S:$S,$T:$T,"="&amp;$T336)),"")))))&amp;"",IF(O336="","",""))&amp;""</f>
        <v>InShotPassLane</v>
      </c>
      <c r="AW336" t="str" cm="1">
        <f t="array" ref="AW336">IFERROR(IF(P336&lt;&gt;"",P336,IF(OR($S336="",$T336=""),"",IF($T336&lt;&gt;"",_xlfn._xlws.FILTER(P:P,($BT:$BT=$BT336)*($I:$I=$I336)*($T:$T=$T336)*($S:$S=_xlfn.MINIFS($S:$S,$T:$T,"="&amp;$T336)),""))))&amp;"",IF(P336="","",""))&amp;""</f>
        <v/>
      </c>
      <c r="AX336" t="str" cm="1">
        <f t="array" ref="AX336">IFERROR(IF(Q336&lt;&gt;"",Q336,IF(OR($S336="",$T336=""),"",IF($T336&lt;&gt;"",_xlfn._xlws.FILTER(Q:Q,($BT:$BT=$BT336)*($I:$I=$I336)*($T:$T=$T336)*($S:$S=_xlfn.MINIFS($S:$S,$T:$T,"="&amp;$T336)),""))))&amp;"",IF(Q336="","",""))&amp;""</f>
        <v/>
      </c>
      <c r="AY336" t="str" cm="1">
        <f t="array" ref="AY336">IFERROR(IF(R336&lt;&gt;"",R336,IF(OR($S336="",$T336=""),"",IF($T336&lt;&gt;"",_xlfn._xlws.FILTER(R:R,($BT:$BT=$BT336)*($I:$I=$I336)*($T:$T=$T336)*($S:$S=_xlfn.MINIFS($S:$S,$T:$T,"="&amp;$T336)),""))))&amp;"",IF(R336="","",""))&amp;""</f>
        <v/>
      </c>
      <c r="AZ336" s="6">
        <f t="shared" si="592"/>
        <v>31</v>
      </c>
      <c r="BA336">
        <f t="shared" ref="BA336:BC336" si="619">BA335</f>
        <v>18991</v>
      </c>
      <c r="BB336" t="str">
        <f t="shared" si="619"/>
        <v>Triple J</v>
      </c>
      <c r="BC336" t="str">
        <f t="shared" si="619"/>
        <v>Velodrome</v>
      </c>
      <c r="BD336" t="str">
        <f t="shared" si="594"/>
        <v>Pass</v>
      </c>
      <c r="BE336" t="str">
        <f t="shared" si="595"/>
        <v>Pass_Missed</v>
      </c>
      <c r="BF336" t="str">
        <f t="shared" si="596"/>
        <v>Pass-Forehand</v>
      </c>
      <c r="BG336" t="str">
        <f t="shared" si="578"/>
        <v>u</v>
      </c>
      <c r="BH336" cm="1">
        <f t="array" aca="1" ref="BH336" ca="1">IFERROR(_xlfn._xlws.FILTER(shifts!A:A,(shifts!B:B=events!Z336)*(shifts!AG:AG&gt;=events!BJ336)*(shifts!AH:AH&lt;=events!BK336)),BH335)</f>
        <v>11</v>
      </c>
      <c r="BI336" s="15">
        <f t="shared" si="597"/>
        <v>0</v>
      </c>
      <c r="BJ336">
        <f t="shared" si="598"/>
        <v>779</v>
      </c>
      <c r="BK336">
        <f t="shared" si="599"/>
        <v>779</v>
      </c>
      <c r="BL336" s="15">
        <f>SUMIFS(BI$2:BI336,K$2:K336,"=Intermission")+SUMIFS(BI$2:BI336,K$2:K336,"=Timeout")</f>
        <v>0</v>
      </c>
      <c r="BM336">
        <f t="shared" si="600"/>
        <v>0</v>
      </c>
      <c r="BN336" s="19">
        <f t="shared" si="601"/>
        <v>301</v>
      </c>
      <c r="BO336">
        <f t="shared" si="602"/>
        <v>296</v>
      </c>
      <c r="BP336" s="17">
        <f t="shared" si="603"/>
        <v>301</v>
      </c>
      <c r="BQ336" t="str">
        <f t="shared" si="604"/>
        <v>opp_team_player_1</v>
      </c>
      <c r="BR336">
        <f>COUNTIFS(S$3:S336,"="&amp;S336,AH$3:AH336,"="&amp;AH336)</f>
        <v>1</v>
      </c>
      <c r="BS336" t="str">
        <f>IFERROR(VLOOKUP(BA336&amp;BT336&amp;X336,game_rosters!U:W,3,FALSE),"")</f>
        <v>P100007</v>
      </c>
      <c r="BT336" t="str">
        <f t="shared" si="605"/>
        <v>Triple J</v>
      </c>
    </row>
    <row r="337" spans="1:72" x14ac:dyDescent="0.2">
      <c r="A337" t="str">
        <f t="shared" si="580"/>
        <v/>
      </c>
      <c r="E337" s="4"/>
      <c r="F337" s="45"/>
      <c r="G337" s="4"/>
      <c r="H337" s="47"/>
      <c r="I337" s="26">
        <v>10</v>
      </c>
      <c r="J337" s="26" t="str">
        <f t="shared" si="606"/>
        <v/>
      </c>
      <c r="N337" t="str">
        <f t="shared" si="520"/>
        <v/>
      </c>
      <c r="O337" t="s">
        <v>567</v>
      </c>
      <c r="Q337" t="str">
        <f t="shared" si="618"/>
        <v/>
      </c>
      <c r="R337" s="26">
        <v>1</v>
      </c>
      <c r="S337">
        <f>IF(A337=1,MAX($S$2:$S336)+1,IF(OR($I337&lt;&gt;"",A337="x"),$S336,""))</f>
        <v>173</v>
      </c>
      <c r="T337" t="str">
        <f>IF(D337=1,MAX($T$2:$T336)+1,IF(S337=S336,$T336,IF(D337="x",T336,IF(D336="x","",""))))</f>
        <v/>
      </c>
      <c r="U337" t="str">
        <f>IF(B337=1,MAX($U$2:$U336)+1,IF(AND($T337&lt;&gt;"",$T337=$T336),$U336,IF(B337="x",U336,"")))</f>
        <v/>
      </c>
      <c r="V337" t="str">
        <f>IF(C337=1,MAX($V$2:$V336)+1,IF(AND($T337&lt;&gt;"",$T337=$T336),$U336,IF(C337="x",V336,"")))</f>
        <v/>
      </c>
      <c r="W337" t="str" cm="1">
        <f t="array" ref="W337">IFERROR(_xlfn._xlws.FILTER(game_rosters!AC:AC,(game_rosters!J:J=events!X337)*(K337&lt;&gt;"")),"")</f>
        <v/>
      </c>
      <c r="X337" cm="1">
        <f t="array" ref="X337">IF($I337&lt;&gt;"",$I337,INDEX($I$1:$I337,ROW()-COUNTIFS($T$1:$T337,"="&amp;$T337,$S$1:$S337,"&lt;"&amp;$S337)))</f>
        <v>10</v>
      </c>
      <c r="Y337" t="str" cm="1">
        <f t="array" ref="Y337">IFERROR(IF(_xlfn._xlws.FILTER(game_rosters!$J:$J,(game_rosters!$G:$G=events!$AM337)*(game_rosters!$J:$J=events!$X337))&gt;0,1,""),"")</f>
        <v/>
      </c>
      <c r="Z337" s="6">
        <f t="shared" si="581"/>
        <v>1</v>
      </c>
      <c r="AA337">
        <f t="shared" si="582"/>
        <v>1173</v>
      </c>
      <c r="AB337" t="str">
        <f t="shared" si="583"/>
        <v/>
      </c>
      <c r="AC337">
        <f t="shared" si="584"/>
        <v>1173</v>
      </c>
      <c r="AD337" t="str">
        <f t="shared" si="585"/>
        <v>12</v>
      </c>
      <c r="AE337" t="str">
        <f t="shared" si="586"/>
        <v>59</v>
      </c>
      <c r="AF337" t="str">
        <f t="shared" si="587"/>
        <v/>
      </c>
      <c r="AG337" t="str">
        <f t="shared" si="588"/>
        <v/>
      </c>
      <c r="AH337" t="str">
        <f t="shared" si="526"/>
        <v>o</v>
      </c>
      <c r="AI337" t="str">
        <f t="shared" si="612"/>
        <v>o</v>
      </c>
      <c r="AJ337" t="str">
        <f t="shared" si="612"/>
        <v>o</v>
      </c>
      <c r="AK337" t="str">
        <f t="shared" si="528"/>
        <v/>
      </c>
      <c r="AL337" t="str">
        <f t="shared" si="529"/>
        <v/>
      </c>
      <c r="AM337" t="str">
        <f t="shared" si="589"/>
        <v>Away</v>
      </c>
      <c r="AN337" t="str">
        <f t="shared" si="530"/>
        <v>a</v>
      </c>
      <c r="AO337" t="str">
        <f t="shared" si="531"/>
        <v>d</v>
      </c>
      <c r="AP337" t="str">
        <f t="shared" si="532"/>
        <v>o</v>
      </c>
      <c r="AQ337" t="str">
        <f>IF(AM337&lt;&gt;"",AM337,IF($AC337=#REF!,#REF!,""))</f>
        <v>Away</v>
      </c>
      <c r="AR337" t="str">
        <f t="shared" si="533"/>
        <v>a</v>
      </c>
      <c r="AS337" t="str">
        <f t="shared" si="534"/>
        <v>Defensive</v>
      </c>
      <c r="AT337" t="str">
        <f t="shared" si="590"/>
        <v/>
      </c>
      <c r="AU337" t="str">
        <f t="shared" si="591"/>
        <v/>
      </c>
      <c r="AV337" t="str" cm="1">
        <f t="array" ref="AV337">IFERROR(IF(O337&lt;&gt;"",O337,IF(OR($S337="",$T337=""),"",IF(O337&lt;&gt;"",O337,IF($T337&lt;&gt;"",_xlfn._xlws.FILTER(O:O,($BT:$BT=$BT337)*($I:$I=$I337)*($T:$T=$T337)*($S:$S=_xlfn.MINIFS($S:$S,$T:$T,"="&amp;$T337)),"")))))&amp;"",IF(O337="","",""))&amp;""</f>
        <v>StickCheck</v>
      </c>
      <c r="AW337" t="str" cm="1">
        <f t="array" ref="AW337">IFERROR(IF(P337&lt;&gt;"",P337,IF(OR($S337="",$T337=""),"",IF($T337&lt;&gt;"",_xlfn._xlws.FILTER(P:P,($BT:$BT=$BT337)*($I:$I=$I337)*($T:$T=$T337)*($S:$S=_xlfn.MINIFS($S:$S,$T:$T,"="&amp;$T337)),""))))&amp;"",IF(P337="","",""))&amp;""</f>
        <v/>
      </c>
      <c r="AX337" t="str" cm="1">
        <f t="array" ref="AX337">IFERROR(IF(Q337&lt;&gt;"",Q337,IF(OR($S337="",$T337=""),"",IF($T337&lt;&gt;"",_xlfn._xlws.FILTER(Q:Q,($BT:$BT=$BT337)*($I:$I=$I337)*($T:$T=$T337)*($S:$S=_xlfn.MINIFS($S:$S,$T:$T,"="&amp;$T337)),""))))&amp;"",IF(Q337="","",""))&amp;""</f>
        <v/>
      </c>
      <c r="AY337" t="str" cm="1">
        <f t="array" ref="AY337">IFERROR(IF(R337&lt;&gt;"",R337,IF(OR($S337="",$T337=""),"",IF($T337&lt;&gt;"",_xlfn._xlws.FILTER(R:R,($BT:$BT=$BT337)*($I:$I=$I337)*($T:$T=$T337)*($S:$S=_xlfn.MINIFS($S:$S,$T:$T,"="&amp;$T337)),""))))&amp;"",IF(R337="","",""))&amp;""</f>
        <v>1</v>
      </c>
      <c r="AZ337" s="6">
        <f t="shared" si="592"/>
        <v>31</v>
      </c>
      <c r="BA337">
        <f t="shared" ref="BA337:BC337" si="620">BA336</f>
        <v>18991</v>
      </c>
      <c r="BB337" t="str">
        <f t="shared" si="620"/>
        <v>Triple J</v>
      </c>
      <c r="BC337" t="str">
        <f t="shared" si="620"/>
        <v>Velodrome</v>
      </c>
      <c r="BD337" t="str">
        <f t="shared" si="594"/>
        <v>Pass</v>
      </c>
      <c r="BE337" t="str">
        <f t="shared" si="595"/>
        <v>Pass_Missed</v>
      </c>
      <c r="BF337" t="str">
        <f t="shared" si="596"/>
        <v>Pass-Forehand</v>
      </c>
      <c r="BG337" t="str">
        <f t="shared" si="578"/>
        <v>u</v>
      </c>
      <c r="BH337" cm="1">
        <f t="array" aca="1" ref="BH337" ca="1">IFERROR(_xlfn._xlws.FILTER(shifts!A:A,(shifts!B:B=events!Z337)*(shifts!AG:AG&gt;=events!BJ337)*(shifts!AH:AH&lt;=events!BK337)),BH336)</f>
        <v>11</v>
      </c>
      <c r="BI337" s="15">
        <f t="shared" si="597"/>
        <v>0</v>
      </c>
      <c r="BJ337">
        <f t="shared" si="598"/>
        <v>779</v>
      </c>
      <c r="BK337">
        <f t="shared" si="599"/>
        <v>779</v>
      </c>
      <c r="BL337" s="15">
        <f>SUMIFS(BI$2:BI337,K$2:K337,"=Intermission")+SUMIFS(BI$2:BI337,K$2:K337,"=Timeout")</f>
        <v>0</v>
      </c>
      <c r="BM337">
        <f t="shared" si="600"/>
        <v>0</v>
      </c>
      <c r="BN337" s="19">
        <f t="shared" si="601"/>
        <v>301</v>
      </c>
      <c r="BO337">
        <f t="shared" si="602"/>
        <v>296</v>
      </c>
      <c r="BP337" s="17">
        <f t="shared" si="603"/>
        <v>301</v>
      </c>
      <c r="BQ337" t="str">
        <f t="shared" si="604"/>
        <v>opp_team_player_2</v>
      </c>
      <c r="BR337">
        <f>COUNTIFS(S$3:S337,"="&amp;S337,AH$3:AH337,"="&amp;AH337)</f>
        <v>2</v>
      </c>
      <c r="BS337" t="str">
        <f>IFERROR(VLOOKUP(BA337&amp;BT337&amp;X337,game_rosters!U:W,3,FALSE),"")</f>
        <v>P100183</v>
      </c>
      <c r="BT337" t="str">
        <f t="shared" si="605"/>
        <v>Triple J</v>
      </c>
    </row>
    <row r="338" spans="1:72" x14ac:dyDescent="0.2">
      <c r="A338">
        <f t="shared" si="580"/>
        <v>1</v>
      </c>
      <c r="E338" s="4" t="s">
        <v>746</v>
      </c>
      <c r="F338" s="45" t="s">
        <v>753</v>
      </c>
      <c r="G338" s="4"/>
      <c r="H338" s="47" t="s">
        <v>1059</v>
      </c>
      <c r="I338" s="26">
        <v>9</v>
      </c>
      <c r="J338" s="26" t="s">
        <v>368</v>
      </c>
      <c r="K338" t="s">
        <v>13</v>
      </c>
      <c r="L338" t="s">
        <v>587</v>
      </c>
      <c r="N338" t="str">
        <f t="shared" si="520"/>
        <v/>
      </c>
      <c r="Q338" t="str">
        <f t="shared" si="618"/>
        <v/>
      </c>
      <c r="S338">
        <f>IF(A338=1,MAX($S$2:$S337)+1,IF(OR($I338&lt;&gt;"",A338="x"),$S337,""))</f>
        <v>174</v>
      </c>
      <c r="T338" t="str">
        <f>IF(D338=1,MAX($T$2:$T337)+1,IF(S338=S337,$T337,IF(D338="x",T337,IF(D337="x","",""))))</f>
        <v/>
      </c>
      <c r="U338" t="str">
        <f>IF(B338=1,MAX($U$2:$U337)+1,IF(AND($T338&lt;&gt;"",$T338=$T337),$U337,IF(B338="x",U337,"")))</f>
        <v/>
      </c>
      <c r="V338" t="str">
        <f>IF(C338=1,MAX($V$2:$V337)+1,IF(AND($T338&lt;&gt;"",$T338=$T337),$U337,IF(C338="x",V337,"")))</f>
        <v/>
      </c>
      <c r="W338" t="str" cm="1">
        <f t="array" ref="W338">IFERROR(_xlfn._xlws.FILTER(game_rosters!AC:AC,(game_rosters!J:J=events!X338)*(K338&lt;&gt;"")),"")</f>
        <v>a</v>
      </c>
      <c r="X338" cm="1">
        <f t="array" ref="X338">IF($I338&lt;&gt;"",$I338,INDEX($I$1:$I338,ROW()-COUNTIFS($T$1:$T338,"="&amp;$T338,$S$1:$S338,"&lt;"&amp;$S338)))</f>
        <v>9</v>
      </c>
      <c r="Y338" cm="1">
        <f t="array" ref="Y338">IFERROR(IF(_xlfn._xlws.FILTER(game_rosters!$J:$J,(game_rosters!$G:$G=events!$AM338)*(game_rosters!$J:$J=events!$X338))&gt;0,1,""),"")</f>
        <v>1</v>
      </c>
      <c r="Z338" s="6">
        <f t="shared" si="581"/>
        <v>1</v>
      </c>
      <c r="AA338">
        <f t="shared" si="582"/>
        <v>1174</v>
      </c>
      <c r="AB338" t="str">
        <f t="shared" si="583"/>
        <v/>
      </c>
      <c r="AC338">
        <f t="shared" si="584"/>
        <v>1174</v>
      </c>
      <c r="AD338" t="str">
        <f t="shared" si="585"/>
        <v>12</v>
      </c>
      <c r="AE338" t="str">
        <f t="shared" si="586"/>
        <v>55</v>
      </c>
      <c r="AF338" t="str">
        <f t="shared" si="587"/>
        <v>12</v>
      </c>
      <c r="AG338" t="str">
        <f t="shared" si="588"/>
        <v>54</v>
      </c>
      <c r="AH338" t="str">
        <f t="shared" si="526"/>
        <v>e</v>
      </c>
      <c r="AI338" t="str">
        <f t="shared" si="612"/>
        <v>o</v>
      </c>
      <c r="AJ338" t="str">
        <f t="shared" si="612"/>
        <v>o</v>
      </c>
      <c r="AK338" t="str">
        <f t="shared" si="528"/>
        <v>d</v>
      </c>
      <c r="AL338" t="str">
        <f t="shared" si="529"/>
        <v>o</v>
      </c>
      <c r="AM338" t="str">
        <f t="shared" si="589"/>
        <v>Away</v>
      </c>
      <c r="AN338" t="str">
        <f t="shared" si="530"/>
        <v>a</v>
      </c>
      <c r="AO338" t="str">
        <f t="shared" si="531"/>
        <v>d</v>
      </c>
      <c r="AP338" t="str">
        <f t="shared" si="532"/>
        <v>o</v>
      </c>
      <c r="AQ338" t="str">
        <f>IF(AM338&lt;&gt;"",AM338,IF($AC338=#REF!,#REF!,""))</f>
        <v>Away</v>
      </c>
      <c r="AR338" t="str">
        <f t="shared" si="533"/>
        <v>a</v>
      </c>
      <c r="AS338" t="str">
        <f t="shared" si="534"/>
        <v>Offensive</v>
      </c>
      <c r="AT338" t="str">
        <f t="shared" si="590"/>
        <v/>
      </c>
      <c r="AU338" t="str">
        <f t="shared" si="591"/>
        <v/>
      </c>
      <c r="AV338" t="str" cm="1">
        <f t="array" ref="AV338">IFERROR(IF(O338&lt;&gt;"",O338,IF(OR($S338="",$T338=""),"",IF(O338&lt;&gt;"",O338,IF($T338&lt;&gt;"",_xlfn._xlws.FILTER(O:O,($BT:$BT=$BT338)*($I:$I=$I338)*($T:$T=$T338)*($S:$S=_xlfn.MINIFS($S:$S,$T:$T,"="&amp;$T338)),"")))))&amp;"",IF(O338="","",""))&amp;""</f>
        <v/>
      </c>
      <c r="AW338" t="str" cm="1">
        <f t="array" ref="AW338">IFERROR(IF(P338&lt;&gt;"",P338,IF(OR($S338="",$T338=""),"",IF($T338&lt;&gt;"",_xlfn._xlws.FILTER(P:P,($BT:$BT=$BT338)*($I:$I=$I338)*($T:$T=$T338)*($S:$S=_xlfn.MINIFS($S:$S,$T:$T,"="&amp;$T338)),""))))&amp;"",IF(P338="","",""))&amp;""</f>
        <v/>
      </c>
      <c r="AX338" t="str" cm="1">
        <f t="array" ref="AX338">IFERROR(IF(Q338&lt;&gt;"",Q338,IF(OR($S338="",$T338=""),"",IF($T338&lt;&gt;"",_xlfn._xlws.FILTER(Q:Q,($BT:$BT=$BT338)*($I:$I=$I338)*($T:$T=$T338)*($S:$S=_xlfn.MINIFS($S:$S,$T:$T,"="&amp;$T338)),""))))&amp;"",IF(Q338="","",""))&amp;""</f>
        <v/>
      </c>
      <c r="AY338" t="str" cm="1">
        <f t="array" ref="AY338">IFERROR(IF(R338&lt;&gt;"",R338,IF(OR($S338="",$T338=""),"",IF($T338&lt;&gt;"",_xlfn._xlws.FILTER(R:R,($BT:$BT=$BT338)*($I:$I=$I338)*($T:$T=$T338)*($S:$S=_xlfn.MINIFS($S:$S,$T:$T,"="&amp;$T338)),""))))&amp;"",IF(R338="","",""))&amp;""</f>
        <v/>
      </c>
      <c r="AZ338" s="6">
        <f t="shared" si="592"/>
        <v>31</v>
      </c>
      <c r="BA338">
        <f t="shared" ref="BA338:BC338" si="621">BA337</f>
        <v>18991</v>
      </c>
      <c r="BB338" t="str">
        <f t="shared" si="621"/>
        <v>Triple J</v>
      </c>
      <c r="BC338" t="str">
        <f t="shared" si="621"/>
        <v>Velodrome</v>
      </c>
      <c r="BD338" t="str">
        <f t="shared" si="594"/>
        <v>Possession</v>
      </c>
      <c r="BE338" t="str">
        <f t="shared" si="595"/>
        <v>PuckRecovery</v>
      </c>
      <c r="BF338" t="str">
        <f t="shared" si="596"/>
        <v/>
      </c>
      <c r="BG338" t="str">
        <f t="shared" si="578"/>
        <v/>
      </c>
      <c r="BH338" cm="1">
        <f t="array" aca="1" ref="BH338" ca="1">IFERROR(_xlfn._xlws.FILTER(shifts!A:A,(shifts!B:B=events!Z338)*(shifts!AG:AG&gt;=events!BJ338)*(shifts!AH:AH&lt;=events!BK338)),BH337)</f>
        <v>11</v>
      </c>
      <c r="BI338" s="15">
        <f t="shared" si="597"/>
        <v>1</v>
      </c>
      <c r="BJ338">
        <f t="shared" si="598"/>
        <v>775</v>
      </c>
      <c r="BK338">
        <f t="shared" si="599"/>
        <v>774</v>
      </c>
      <c r="BL338" s="15">
        <f>SUMIFS(BI$2:BI338,K$2:K338,"=Intermission")+SUMIFS(BI$2:BI338,K$2:K338,"=Timeout")</f>
        <v>0</v>
      </c>
      <c r="BM338">
        <f t="shared" si="600"/>
        <v>0</v>
      </c>
      <c r="BN338" s="19">
        <f t="shared" si="601"/>
        <v>305</v>
      </c>
      <c r="BO338">
        <f t="shared" si="602"/>
        <v>300</v>
      </c>
      <c r="BP338" s="17">
        <f t="shared" si="603"/>
        <v>306</v>
      </c>
      <c r="BQ338" t="str">
        <f t="shared" si="604"/>
        <v>event_team_player_1</v>
      </c>
      <c r="BR338">
        <f>COUNTIFS(S$3:S338,"="&amp;S338,AH$3:AH338,"="&amp;AH338)</f>
        <v>1</v>
      </c>
      <c r="BS338" t="str">
        <f>IFERROR(VLOOKUP(BA338&amp;BT338&amp;X338,game_rosters!U:W,3,FALSE),"")</f>
        <v>P100105</v>
      </c>
      <c r="BT338" t="str">
        <f t="shared" si="605"/>
        <v>Velodrome</v>
      </c>
    </row>
    <row r="339" spans="1:72" x14ac:dyDescent="0.2">
      <c r="A339">
        <f t="shared" si="580"/>
        <v>1</v>
      </c>
      <c r="E339" s="4"/>
      <c r="F339" s="45"/>
      <c r="G339" s="4"/>
      <c r="H339" s="47"/>
      <c r="I339" s="26">
        <v>9</v>
      </c>
      <c r="J339" s="26" t="s">
        <v>368</v>
      </c>
      <c r="K339" t="s">
        <v>7</v>
      </c>
      <c r="L339" t="s">
        <v>172</v>
      </c>
      <c r="M339" t="s">
        <v>69</v>
      </c>
      <c r="N339" t="str">
        <f t="shared" si="520"/>
        <v>s</v>
      </c>
      <c r="Q339" t="str">
        <f t="shared" si="618"/>
        <v/>
      </c>
      <c r="R339" s="26">
        <v>1</v>
      </c>
      <c r="S339">
        <f>IF(A339=1,MAX($S$2:$S338)+1,IF(OR($I339&lt;&gt;"",A339="x"),$S338,""))</f>
        <v>175</v>
      </c>
      <c r="T339" t="str">
        <f>IF(D339=1,MAX($T$2:$T338)+1,IF(S339=S338,$T338,IF(D339="x",T338,IF(D338="x","",""))))</f>
        <v/>
      </c>
      <c r="U339" t="str">
        <f>IF(B339=1,MAX($U$2:$U338)+1,IF(AND($T339&lt;&gt;"",$T339=$T338),$U338,IF(B339="x",U338,"")))</f>
        <v/>
      </c>
      <c r="V339" t="str">
        <f>IF(C339=1,MAX($V$2:$V338)+1,IF(AND($T339&lt;&gt;"",$T339=$T338),$U338,IF(C339="x",V338,"")))</f>
        <v/>
      </c>
      <c r="W339" t="str" cm="1">
        <f t="array" ref="W339">IFERROR(_xlfn._xlws.FILTER(game_rosters!AC:AC,(game_rosters!J:J=events!X339)*(K339&lt;&gt;"")),"")</f>
        <v>a</v>
      </c>
      <c r="X339" cm="1">
        <f t="array" ref="X339">IF($I339&lt;&gt;"",$I339,INDEX($I$1:$I339,ROW()-COUNTIFS($T$1:$T339,"="&amp;$T339,$S$1:$S339,"&lt;"&amp;$S339)))</f>
        <v>9</v>
      </c>
      <c r="Y339" cm="1">
        <f t="array" ref="Y339">IFERROR(IF(_xlfn._xlws.FILTER(game_rosters!$J:$J,(game_rosters!$G:$G=events!$AM339)*(game_rosters!$J:$J=events!$X339))&gt;0,1,""),"")</f>
        <v>1</v>
      </c>
      <c r="Z339" s="6">
        <f t="shared" si="581"/>
        <v>1</v>
      </c>
      <c r="AA339">
        <f t="shared" si="582"/>
        <v>1175</v>
      </c>
      <c r="AB339" t="str">
        <f t="shared" si="583"/>
        <v/>
      </c>
      <c r="AC339">
        <f t="shared" si="584"/>
        <v>1175</v>
      </c>
      <c r="AD339" t="str">
        <f t="shared" si="585"/>
        <v>12</v>
      </c>
      <c r="AE339" t="str">
        <f t="shared" si="586"/>
        <v>54</v>
      </c>
      <c r="AF339" t="str">
        <f t="shared" si="587"/>
        <v/>
      </c>
      <c r="AG339" t="str">
        <f t="shared" si="588"/>
        <v/>
      </c>
      <c r="AH339" t="str">
        <f t="shared" si="526"/>
        <v>e</v>
      </c>
      <c r="AI339" t="str">
        <f t="shared" si="612"/>
        <v>o</v>
      </c>
      <c r="AJ339" t="str">
        <f t="shared" si="612"/>
        <v>o</v>
      </c>
      <c r="AK339" t="str">
        <f t="shared" si="528"/>
        <v>d</v>
      </c>
      <c r="AL339" t="str">
        <f t="shared" si="529"/>
        <v>o</v>
      </c>
      <c r="AM339" t="str">
        <f t="shared" si="589"/>
        <v>Away</v>
      </c>
      <c r="AN339" t="str">
        <f t="shared" si="530"/>
        <v>a</v>
      </c>
      <c r="AO339" t="str">
        <f t="shared" si="531"/>
        <v>d</v>
      </c>
      <c r="AP339" t="str">
        <f t="shared" si="532"/>
        <v>o</v>
      </c>
      <c r="AQ339" t="str">
        <f>IF(AM339&lt;&gt;"",AM339,IF($AC339=#REF!,#REF!,""))</f>
        <v>Away</v>
      </c>
      <c r="AR339" t="str">
        <f t="shared" si="533"/>
        <v>a</v>
      </c>
      <c r="AS339" t="str">
        <f t="shared" si="534"/>
        <v>Offensive</v>
      </c>
      <c r="AT339" t="str">
        <f t="shared" si="590"/>
        <v/>
      </c>
      <c r="AU339" t="str">
        <f t="shared" si="591"/>
        <v/>
      </c>
      <c r="AV339" t="str" cm="1">
        <f t="array" ref="AV339">IFERROR(IF(O339&lt;&gt;"",O339,IF(OR($S339="",$T339=""),"",IF(O339&lt;&gt;"",O339,IF($T339&lt;&gt;"",_xlfn._xlws.FILTER(O:O,($BT:$BT=$BT339)*($I:$I=$I339)*($T:$T=$T339)*($S:$S=_xlfn.MINIFS($S:$S,$T:$T,"="&amp;$T339)),"")))))&amp;"",IF(O339="","",""))&amp;""</f>
        <v/>
      </c>
      <c r="AW339" t="str" cm="1">
        <f t="array" ref="AW339">IFERROR(IF(P339&lt;&gt;"",P339,IF(OR($S339="",$T339=""),"",IF($T339&lt;&gt;"",_xlfn._xlws.FILTER(P:P,($BT:$BT=$BT339)*($I:$I=$I339)*($T:$T=$T339)*($S:$S=_xlfn.MINIFS($S:$S,$T:$T,"="&amp;$T339)),""))))&amp;"",IF(P339="","",""))&amp;""</f>
        <v/>
      </c>
      <c r="AX339" t="str" cm="1">
        <f t="array" ref="AX339">IFERROR(IF(Q339&lt;&gt;"",Q339,IF(OR($S339="",$T339=""),"",IF($T339&lt;&gt;"",_xlfn._xlws.FILTER(Q:Q,($BT:$BT=$BT339)*($I:$I=$I339)*($T:$T=$T339)*($S:$S=_xlfn.MINIFS($S:$S,$T:$T,"="&amp;$T339)),""))))&amp;"",IF(Q339="","",""))&amp;""</f>
        <v/>
      </c>
      <c r="AY339" t="str" cm="1">
        <f t="array" ref="AY339">IFERROR(IF(R339&lt;&gt;"",R339,IF(OR($S339="",$T339=""),"",IF($T339&lt;&gt;"",_xlfn._xlws.FILTER(R:R,($BT:$BT=$BT339)*($I:$I=$I339)*($T:$T=$T339)*($S:$S=_xlfn.MINIFS($S:$S,$T:$T,"="&amp;$T339)),""))))&amp;"",IF(R339="","",""))&amp;""</f>
        <v>1</v>
      </c>
      <c r="AZ339" s="6">
        <f t="shared" si="592"/>
        <v>31</v>
      </c>
      <c r="BA339">
        <f t="shared" ref="BA339:BC339" si="622">BA338</f>
        <v>18991</v>
      </c>
      <c r="BB339" t="str">
        <f t="shared" si="622"/>
        <v>Triple J</v>
      </c>
      <c r="BC339" t="str">
        <f t="shared" si="622"/>
        <v>Velodrome</v>
      </c>
      <c r="BD339" t="str">
        <f t="shared" si="594"/>
        <v>Pass</v>
      </c>
      <c r="BE339" t="str">
        <f t="shared" si="595"/>
        <v>Pass_Completed</v>
      </c>
      <c r="BF339" t="str">
        <f t="shared" si="596"/>
        <v>Pass-Bank</v>
      </c>
      <c r="BG339" t="str">
        <f t="shared" si="578"/>
        <v>s</v>
      </c>
      <c r="BH339" cm="1">
        <f t="array" aca="1" ref="BH339" ca="1">IFERROR(_xlfn._xlws.FILTER(shifts!A:A,(shifts!B:B=events!Z339)*(shifts!AG:AG&gt;=events!BJ339)*(shifts!AH:AH&lt;=events!BK339)),BH338)</f>
        <v>11</v>
      </c>
      <c r="BI339" s="15">
        <f t="shared" si="597"/>
        <v>0</v>
      </c>
      <c r="BJ339">
        <f t="shared" si="598"/>
        <v>774</v>
      </c>
      <c r="BK339">
        <f t="shared" si="599"/>
        <v>774</v>
      </c>
      <c r="BL339" s="15">
        <f>SUMIFS(BI$2:BI339,K$2:K339,"=Intermission")+SUMIFS(BI$2:BI339,K$2:K339,"=Timeout")</f>
        <v>0</v>
      </c>
      <c r="BM339">
        <f t="shared" si="600"/>
        <v>0</v>
      </c>
      <c r="BN339" s="19">
        <f t="shared" si="601"/>
        <v>306</v>
      </c>
      <c r="BO339">
        <f t="shared" si="602"/>
        <v>301</v>
      </c>
      <c r="BP339" s="17">
        <f t="shared" si="603"/>
        <v>306</v>
      </c>
      <c r="BQ339" t="str">
        <f t="shared" si="604"/>
        <v>event_team_player_1</v>
      </c>
      <c r="BR339">
        <f>COUNTIFS(S$3:S339,"="&amp;S339,AH$3:AH339,"="&amp;AH339)</f>
        <v>1</v>
      </c>
      <c r="BS339" t="str">
        <f>IFERROR(VLOOKUP(BA339&amp;BT339&amp;X339,game_rosters!U:W,3,FALSE),"")</f>
        <v>P100105</v>
      </c>
      <c r="BT339" t="str">
        <f t="shared" si="605"/>
        <v>Velodrome</v>
      </c>
    </row>
    <row r="340" spans="1:72" x14ac:dyDescent="0.2">
      <c r="A340" t="str">
        <f t="shared" si="580"/>
        <v/>
      </c>
      <c r="E340" s="4"/>
      <c r="F340" s="45"/>
      <c r="G340" s="4"/>
      <c r="H340" s="47"/>
      <c r="I340" s="26">
        <v>55</v>
      </c>
      <c r="J340" s="26" t="str">
        <f t="shared" si="606"/>
        <v/>
      </c>
      <c r="N340" t="str">
        <f t="shared" si="520"/>
        <v/>
      </c>
      <c r="Q340" t="str">
        <f t="shared" si="618"/>
        <v/>
      </c>
      <c r="S340">
        <f>IF(A340=1,MAX($S$2:$S339)+1,IF(OR($I340&lt;&gt;"",A340="x"),$S339,""))</f>
        <v>175</v>
      </c>
      <c r="T340" t="str">
        <f>IF(D340=1,MAX($T$2:$T339)+1,IF(S340=S339,$T339,IF(D340="x",T339,IF(D339="x","",""))))</f>
        <v/>
      </c>
      <c r="U340" t="str">
        <f>IF(B340=1,MAX($U$2:$U339)+1,IF(AND($T340&lt;&gt;"",$T340=$T339),$U339,IF(B340="x",U339,"")))</f>
        <v/>
      </c>
      <c r="V340" t="str">
        <f>IF(C340=1,MAX($V$2:$V339)+1,IF(AND($T340&lt;&gt;"",$T340=$T339),$U339,IF(C340="x",V339,"")))</f>
        <v/>
      </c>
      <c r="W340" t="str" cm="1">
        <f t="array" ref="W340">IFERROR(_xlfn._xlws.FILTER(game_rosters!AC:AC,(game_rosters!J:J=events!X340)*(K340&lt;&gt;"")),"")</f>
        <v/>
      </c>
      <c r="X340" cm="1">
        <f t="array" ref="X340">IF($I340&lt;&gt;"",$I340,INDEX($I$1:$I340,ROW()-COUNTIFS($T$1:$T340,"="&amp;$T340,$S$1:$S340,"&lt;"&amp;$S340)))</f>
        <v>55</v>
      </c>
      <c r="Y340" cm="1">
        <f t="array" ref="Y340">IFERROR(IF(_xlfn._xlws.FILTER(game_rosters!$J:$J,(game_rosters!$G:$G=events!$AM340)*(game_rosters!$J:$J=events!$X340))&gt;0,1,""),"")</f>
        <v>1</v>
      </c>
      <c r="Z340" s="6">
        <f t="shared" si="581"/>
        <v>1</v>
      </c>
      <c r="AA340">
        <f t="shared" si="582"/>
        <v>1175</v>
      </c>
      <c r="AB340" t="str">
        <f t="shared" si="583"/>
        <v/>
      </c>
      <c r="AC340">
        <f t="shared" si="584"/>
        <v>1175</v>
      </c>
      <c r="AD340" t="str">
        <f t="shared" si="585"/>
        <v>12</v>
      </c>
      <c r="AE340" t="str">
        <f t="shared" si="586"/>
        <v>54</v>
      </c>
      <c r="AF340" t="str">
        <f t="shared" si="587"/>
        <v/>
      </c>
      <c r="AG340" t="str">
        <f t="shared" si="588"/>
        <v/>
      </c>
      <c r="AH340" t="str">
        <f t="shared" si="526"/>
        <v>e</v>
      </c>
      <c r="AI340" t="str">
        <f t="shared" si="612"/>
        <v>o</v>
      </c>
      <c r="AJ340" t="str">
        <f t="shared" si="612"/>
        <v>o</v>
      </c>
      <c r="AK340" t="str">
        <f t="shared" si="528"/>
        <v/>
      </c>
      <c r="AL340" t="str">
        <f t="shared" si="529"/>
        <v/>
      </c>
      <c r="AM340" t="str">
        <f t="shared" si="589"/>
        <v>Away</v>
      </c>
      <c r="AN340" t="str">
        <f t="shared" si="530"/>
        <v>a</v>
      </c>
      <c r="AO340" t="str">
        <f t="shared" si="531"/>
        <v>d</v>
      </c>
      <c r="AP340" t="str">
        <f t="shared" si="532"/>
        <v>o</v>
      </c>
      <c r="AQ340" t="str">
        <f>IF(AM340&lt;&gt;"",AM340,IF($AC340=#REF!,#REF!,""))</f>
        <v>Away</v>
      </c>
      <c r="AR340" t="str">
        <f t="shared" si="533"/>
        <v>a</v>
      </c>
      <c r="AS340" t="str">
        <f t="shared" si="534"/>
        <v>Offensive</v>
      </c>
      <c r="AT340" t="str">
        <f t="shared" si="590"/>
        <v/>
      </c>
      <c r="AU340" t="str">
        <f t="shared" si="591"/>
        <v/>
      </c>
      <c r="AV340" t="str" cm="1">
        <f t="array" ref="AV340">IFERROR(IF(O340&lt;&gt;"",O340,IF(OR($S340="",$T340=""),"",IF(O340&lt;&gt;"",O340,IF($T340&lt;&gt;"",_xlfn._xlws.FILTER(O:O,($BT:$BT=$BT340)*($I:$I=$I340)*($T:$T=$T340)*($S:$S=_xlfn.MINIFS($S:$S,$T:$T,"="&amp;$T340)),"")))))&amp;"",IF(O340="","",""))&amp;""</f>
        <v/>
      </c>
      <c r="AW340" t="str" cm="1">
        <f t="array" ref="AW340">IFERROR(IF(P340&lt;&gt;"",P340,IF(OR($S340="",$T340=""),"",IF($T340&lt;&gt;"",_xlfn._xlws.FILTER(P:P,($BT:$BT=$BT340)*($I:$I=$I340)*($T:$T=$T340)*($S:$S=_xlfn.MINIFS($S:$S,$T:$T,"="&amp;$T340)),""))))&amp;"",IF(P340="","",""))&amp;""</f>
        <v/>
      </c>
      <c r="AX340" t="str" cm="1">
        <f t="array" ref="AX340">IFERROR(IF(Q340&lt;&gt;"",Q340,IF(OR($S340="",$T340=""),"",IF($T340&lt;&gt;"",_xlfn._xlws.FILTER(Q:Q,($BT:$BT=$BT340)*($I:$I=$I340)*($T:$T=$T340)*($S:$S=_xlfn.MINIFS($S:$S,$T:$T,"="&amp;$T340)),""))))&amp;"",IF(Q340="","",""))&amp;""</f>
        <v/>
      </c>
      <c r="AY340" t="str" cm="1">
        <f t="array" ref="AY340">IFERROR(IF(R340&lt;&gt;"",R340,IF(OR($S340="",$T340=""),"",IF($T340&lt;&gt;"",_xlfn._xlws.FILTER(R:R,($BT:$BT=$BT340)*($I:$I=$I340)*($T:$T=$T340)*($S:$S=_xlfn.MINIFS($S:$S,$T:$T,"="&amp;$T340)),""))))&amp;"",IF(R340="","",""))&amp;""</f>
        <v/>
      </c>
      <c r="AZ340" s="6">
        <f t="shared" si="592"/>
        <v>31</v>
      </c>
      <c r="BA340">
        <f t="shared" ref="BA340:BC340" si="623">BA339</f>
        <v>18991</v>
      </c>
      <c r="BB340" t="str">
        <f t="shared" si="623"/>
        <v>Triple J</v>
      </c>
      <c r="BC340" t="str">
        <f t="shared" si="623"/>
        <v>Velodrome</v>
      </c>
      <c r="BD340" t="str">
        <f t="shared" si="594"/>
        <v>Pass</v>
      </c>
      <c r="BE340" t="str">
        <f t="shared" si="595"/>
        <v>Pass_Completed</v>
      </c>
      <c r="BF340" t="str">
        <f t="shared" si="596"/>
        <v>Pass-Bank</v>
      </c>
      <c r="BG340" t="str">
        <f t="shared" si="578"/>
        <v>s</v>
      </c>
      <c r="BH340" cm="1">
        <f t="array" aca="1" ref="BH340" ca="1">IFERROR(_xlfn._xlws.FILTER(shifts!A:A,(shifts!B:B=events!Z340)*(shifts!AG:AG&gt;=events!BJ340)*(shifts!AH:AH&lt;=events!BK340)),BH339)</f>
        <v>11</v>
      </c>
      <c r="BI340" s="15">
        <f t="shared" si="597"/>
        <v>0</v>
      </c>
      <c r="BJ340">
        <f t="shared" si="598"/>
        <v>774</v>
      </c>
      <c r="BK340">
        <f t="shared" si="599"/>
        <v>774</v>
      </c>
      <c r="BL340" s="15">
        <f>SUMIFS(BI$2:BI340,K$2:K340,"=Intermission")+SUMIFS(BI$2:BI340,K$2:K340,"=Timeout")</f>
        <v>0</v>
      </c>
      <c r="BM340">
        <f t="shared" si="600"/>
        <v>0</v>
      </c>
      <c r="BN340" s="19">
        <f t="shared" si="601"/>
        <v>306</v>
      </c>
      <c r="BO340">
        <f t="shared" si="602"/>
        <v>301</v>
      </c>
      <c r="BP340" s="17">
        <f t="shared" si="603"/>
        <v>306</v>
      </c>
      <c r="BQ340" t="str">
        <f t="shared" si="604"/>
        <v>event_team_player_2</v>
      </c>
      <c r="BR340">
        <f>COUNTIFS(S$3:S340,"="&amp;S340,AH$3:AH340,"="&amp;AH340)</f>
        <v>2</v>
      </c>
      <c r="BS340" t="str">
        <f>IFERROR(VLOOKUP(BA340&amp;BT340&amp;X340,game_rosters!U:W,3,FALSE),"")</f>
        <v>P100064</v>
      </c>
      <c r="BT340" t="str">
        <f t="shared" si="605"/>
        <v>Velodrome</v>
      </c>
    </row>
    <row r="341" spans="1:72" x14ac:dyDescent="0.2">
      <c r="A341" t="str">
        <f t="shared" si="580"/>
        <v/>
      </c>
      <c r="E341" s="4"/>
      <c r="F341" s="45"/>
      <c r="G341" s="4"/>
      <c r="H341" s="47"/>
      <c r="I341" s="26">
        <v>10</v>
      </c>
      <c r="J341" s="26" t="str">
        <f t="shared" si="606"/>
        <v/>
      </c>
      <c r="N341" t="str">
        <f t="shared" ref="N341:N403" si="624">IF(K341="","",IF(K341="Goal","s",IF(AND(K341="Zone_Entry_Exit",OR(ISNUMBER(SEARCH("fail",L341)),ISNUMBER(SEARCH("FromExitClear",M341)),ISNUMBER(SEARCH("miss",M341)))),"u",IF(AND(K341="Zone_Entry_Exit",OR(NOT(ISNUMBER(SEARCH("fail",L341))),NOT(ISNUMBER(SEARCH("FromExitClear",M341))),NOT(ISNUMBER(SEARCH("miss",M341))))),"s",IF(AND(OR(K341="Shot",K341="Pass"),OR(ISNUMBER(SEARCH("complete",L341)),ISNUMBER(SEARCH("goal",L341)),ISNUMBER(SEARCH("OnNet",L341)))),"s",IF(L341="Turnover_Giveaway","u",IF(AND(OR(K341="Shot",K341="Pass"),OR(ISNUMBER(SEARCH("fail",L341)),NOT(ISNUMBER(SEARCH("complete",L341))),NOT(ISNUMBER(SEARCH("OnNet",L341))))),"u","")))))))</f>
        <v/>
      </c>
      <c r="Q341" t="str">
        <f t="shared" si="618"/>
        <v/>
      </c>
      <c r="R341" s="26">
        <v>1</v>
      </c>
      <c r="S341">
        <f>IF(A341=1,MAX($S$2:$S340)+1,IF(OR($I341&lt;&gt;"",A341="x"),$S340,""))</f>
        <v>175</v>
      </c>
      <c r="T341" t="str">
        <f>IF(D341=1,MAX($T$2:$T340)+1,IF(S341=S340,$T340,IF(D341="x",T340,IF(D340="x","",""))))</f>
        <v/>
      </c>
      <c r="U341" t="str">
        <f>IF(B341=1,MAX($U$2:$U340)+1,IF(AND($T341&lt;&gt;"",$T341=$T340),$U340,IF(B341="x",U340,"")))</f>
        <v/>
      </c>
      <c r="V341" t="str">
        <f>IF(C341=1,MAX($V$2:$V340)+1,IF(AND($T341&lt;&gt;"",$T341=$T340),$U340,IF(C341="x",V340,"")))</f>
        <v/>
      </c>
      <c r="W341" t="str" cm="1">
        <f t="array" ref="W341">IFERROR(_xlfn._xlws.FILTER(game_rosters!AC:AC,(game_rosters!J:J=events!X341)*(K341&lt;&gt;"")),"")</f>
        <v/>
      </c>
      <c r="X341" cm="1">
        <f t="array" ref="X341">IF($I341&lt;&gt;"",$I341,INDEX($I$1:$I341,ROW()-COUNTIFS($T$1:$T341,"="&amp;$T341,$S$1:$S341,"&lt;"&amp;$S341)))</f>
        <v>10</v>
      </c>
      <c r="Y341" t="str" cm="1">
        <f t="array" ref="Y341">IFERROR(IF(_xlfn._xlws.FILTER(game_rosters!$J:$J,(game_rosters!$G:$G=events!$AM341)*(game_rosters!$J:$J=events!$X341))&gt;0,1,""),"")</f>
        <v/>
      </c>
      <c r="Z341" s="6">
        <f t="shared" si="581"/>
        <v>1</v>
      </c>
      <c r="AA341">
        <f t="shared" si="582"/>
        <v>1175</v>
      </c>
      <c r="AB341" t="str">
        <f t="shared" si="583"/>
        <v/>
      </c>
      <c r="AC341">
        <f t="shared" si="584"/>
        <v>1175</v>
      </c>
      <c r="AD341" t="str">
        <f t="shared" si="585"/>
        <v>12</v>
      </c>
      <c r="AE341" t="str">
        <f t="shared" si="586"/>
        <v>54</v>
      </c>
      <c r="AF341" t="str">
        <f t="shared" si="587"/>
        <v/>
      </c>
      <c r="AG341" t="str">
        <f t="shared" si="588"/>
        <v/>
      </c>
      <c r="AH341" t="str">
        <f t="shared" si="526"/>
        <v>o</v>
      </c>
      <c r="AI341" t="str">
        <f t="shared" si="612"/>
        <v>o</v>
      </c>
      <c r="AJ341" t="str">
        <f t="shared" si="612"/>
        <v>o</v>
      </c>
      <c r="AK341" t="str">
        <f t="shared" si="528"/>
        <v/>
      </c>
      <c r="AL341" t="str">
        <f t="shared" si="529"/>
        <v/>
      </c>
      <c r="AM341" t="str">
        <f t="shared" si="589"/>
        <v>Away</v>
      </c>
      <c r="AN341" t="str">
        <f t="shared" si="530"/>
        <v>a</v>
      </c>
      <c r="AO341" t="str">
        <f t="shared" si="531"/>
        <v>d</v>
      </c>
      <c r="AP341" t="str">
        <f t="shared" si="532"/>
        <v>o</v>
      </c>
      <c r="AQ341" t="str">
        <f>IF(AM341&lt;&gt;"",AM341,IF($AC341=#REF!,#REF!,""))</f>
        <v>Away</v>
      </c>
      <c r="AR341" t="str">
        <f t="shared" si="533"/>
        <v>a</v>
      </c>
      <c r="AS341" t="str">
        <f t="shared" si="534"/>
        <v>Defensive</v>
      </c>
      <c r="AT341" t="str">
        <f t="shared" si="590"/>
        <v/>
      </c>
      <c r="AU341" t="str">
        <f t="shared" si="591"/>
        <v/>
      </c>
      <c r="AV341" t="str" cm="1">
        <f t="array" ref="AV341">IFERROR(IF(O341&lt;&gt;"",O341,IF(OR($S341="",$T341=""),"",IF(O341&lt;&gt;"",O341,IF($T341&lt;&gt;"",_xlfn._xlws.FILTER(O:O,($BT:$BT=$BT341)*($I:$I=$I341)*($T:$T=$T341)*($S:$S=_xlfn.MINIFS($S:$S,$T:$T,"="&amp;$T341)),"")))))&amp;"",IF(O341="","",""))&amp;""</f>
        <v/>
      </c>
      <c r="AW341" t="str" cm="1">
        <f t="array" ref="AW341">IFERROR(IF(P341&lt;&gt;"",P341,IF(OR($S341="",$T341=""),"",IF($T341&lt;&gt;"",_xlfn._xlws.FILTER(P:P,($BT:$BT=$BT341)*($I:$I=$I341)*($T:$T=$T341)*($S:$S=_xlfn.MINIFS($S:$S,$T:$T,"="&amp;$T341)),""))))&amp;"",IF(P341="","",""))&amp;""</f>
        <v/>
      </c>
      <c r="AX341" t="str" cm="1">
        <f t="array" ref="AX341">IFERROR(IF(Q341&lt;&gt;"",Q341,IF(OR($S341="",$T341=""),"",IF($T341&lt;&gt;"",_xlfn._xlws.FILTER(Q:Q,($BT:$BT=$BT341)*($I:$I=$I341)*($T:$T=$T341)*($S:$S=_xlfn.MINIFS($S:$S,$T:$T,"="&amp;$T341)),""))))&amp;"",IF(Q341="","",""))&amp;""</f>
        <v/>
      </c>
      <c r="AY341" t="str" cm="1">
        <f t="array" ref="AY341">IFERROR(IF(R341&lt;&gt;"",R341,IF(OR($S341="",$T341=""),"",IF($T341&lt;&gt;"",_xlfn._xlws.FILTER(R:R,($BT:$BT=$BT341)*($I:$I=$I341)*($T:$T=$T341)*($S:$S=_xlfn.MINIFS($S:$S,$T:$T,"="&amp;$T341)),""))))&amp;"",IF(R341="","",""))&amp;""</f>
        <v>1</v>
      </c>
      <c r="AZ341" s="6">
        <f t="shared" si="592"/>
        <v>31</v>
      </c>
      <c r="BA341">
        <f t="shared" ref="BA341:BC341" si="625">BA340</f>
        <v>18991</v>
      </c>
      <c r="BB341" t="str">
        <f t="shared" si="625"/>
        <v>Triple J</v>
      </c>
      <c r="BC341" t="str">
        <f t="shared" si="625"/>
        <v>Velodrome</v>
      </c>
      <c r="BD341" t="str">
        <f t="shared" si="594"/>
        <v>Pass</v>
      </c>
      <c r="BE341" t="str">
        <f t="shared" si="595"/>
        <v>Pass_Completed</v>
      </c>
      <c r="BF341" t="str">
        <f t="shared" si="596"/>
        <v>Pass-Bank</v>
      </c>
      <c r="BG341" t="str">
        <f t="shared" si="578"/>
        <v>s</v>
      </c>
      <c r="BH341" cm="1">
        <f t="array" aca="1" ref="BH341" ca="1">IFERROR(_xlfn._xlws.FILTER(shifts!A:A,(shifts!B:B=events!Z341)*(shifts!AG:AG&gt;=events!BJ341)*(shifts!AH:AH&lt;=events!BK341)),BH340)</f>
        <v>11</v>
      </c>
      <c r="BI341" s="15">
        <f t="shared" si="597"/>
        <v>0</v>
      </c>
      <c r="BJ341">
        <f t="shared" si="598"/>
        <v>774</v>
      </c>
      <c r="BK341">
        <f t="shared" si="599"/>
        <v>774</v>
      </c>
      <c r="BL341" s="15">
        <f>SUMIFS(BI$2:BI341,K$2:K341,"=Intermission")+SUMIFS(BI$2:BI341,K$2:K341,"=Timeout")</f>
        <v>0</v>
      </c>
      <c r="BM341">
        <f t="shared" si="600"/>
        <v>0</v>
      </c>
      <c r="BN341" s="19">
        <f t="shared" si="601"/>
        <v>306</v>
      </c>
      <c r="BO341">
        <f t="shared" si="602"/>
        <v>301</v>
      </c>
      <c r="BP341" s="17">
        <f t="shared" si="603"/>
        <v>306</v>
      </c>
      <c r="BQ341" t="str">
        <f t="shared" si="604"/>
        <v>opp_team_player_1</v>
      </c>
      <c r="BR341">
        <f>COUNTIFS(S$3:S341,"="&amp;S341,AH$3:AH341,"="&amp;AH341)</f>
        <v>1</v>
      </c>
      <c r="BS341" t="str">
        <f>IFERROR(VLOOKUP(BA341&amp;BT341&amp;X341,game_rosters!U:W,3,FALSE),"")</f>
        <v>P100183</v>
      </c>
      <c r="BT341" t="str">
        <f t="shared" si="605"/>
        <v>Triple J</v>
      </c>
    </row>
    <row r="342" spans="1:72" x14ac:dyDescent="0.2">
      <c r="A342">
        <f t="shared" si="580"/>
        <v>1</v>
      </c>
      <c r="D342" s="26">
        <v>1</v>
      </c>
      <c r="E342" s="4"/>
      <c r="F342" s="45" t="s">
        <v>1044</v>
      </c>
      <c r="G342" s="4"/>
      <c r="H342" s="47"/>
      <c r="I342" s="26">
        <v>55</v>
      </c>
      <c r="J342" s="26" t="s">
        <v>368</v>
      </c>
      <c r="K342" t="s">
        <v>7</v>
      </c>
      <c r="L342" t="s">
        <v>199</v>
      </c>
      <c r="M342" t="s">
        <v>67</v>
      </c>
      <c r="N342" t="str">
        <f t="shared" si="624"/>
        <v>u</v>
      </c>
      <c r="Q342" t="str">
        <f t="shared" si="618"/>
        <v/>
      </c>
      <c r="R342" s="26">
        <v>1</v>
      </c>
      <c r="S342">
        <f>IF(A342=1,MAX($S$2:$S341)+1,IF(OR($I342&lt;&gt;"",A342="x"),$S341,""))</f>
        <v>176</v>
      </c>
      <c r="T342">
        <f>IF(D342=1,MAX($T$2:$T341)+1,IF(S342=S341,$T341,IF(D342="x",T341,IF(D341="x","",""))))</f>
        <v>22</v>
      </c>
      <c r="U342" t="str">
        <f>IF(B342=1,MAX($U$2:$U341)+1,IF(AND($T342&lt;&gt;"",$T342=$T341),$U341,IF(B342="x",U341,"")))</f>
        <v/>
      </c>
      <c r="V342" t="str">
        <f>IF(C342=1,MAX($V$2:$V341)+1,IF(AND($T342&lt;&gt;"",$T342=$T341),$U341,IF(C342="x",V341,"")))</f>
        <v/>
      </c>
      <c r="W342" t="str" cm="1">
        <f t="array" ref="W342">IFERROR(_xlfn._xlws.FILTER(game_rosters!AC:AC,(game_rosters!J:J=events!X342)*(K342&lt;&gt;"")),"")</f>
        <v>a</v>
      </c>
      <c r="X342" cm="1">
        <f t="array" ref="X342">IF($I342&lt;&gt;"",$I342,INDEX($I$1:$I342,ROW()-COUNTIFS($T$1:$T342,"="&amp;$T342,$S$1:$S342,"&lt;"&amp;$S342)))</f>
        <v>55</v>
      </c>
      <c r="Y342" cm="1">
        <f t="array" ref="Y342">IFERROR(IF(_xlfn._xlws.FILTER(game_rosters!$J:$J,(game_rosters!$G:$G=events!$AM342)*(game_rosters!$J:$J=events!$X342))&gt;0,1,""),"")</f>
        <v>1</v>
      </c>
      <c r="Z342" s="6">
        <f t="shared" si="581"/>
        <v>1</v>
      </c>
      <c r="AA342">
        <f t="shared" si="582"/>
        <v>1176</v>
      </c>
      <c r="AB342">
        <f t="shared" si="583"/>
        <v>9022</v>
      </c>
      <c r="AC342">
        <f t="shared" si="584"/>
        <v>9022</v>
      </c>
      <c r="AD342" t="str">
        <f t="shared" si="585"/>
        <v>12</v>
      </c>
      <c r="AE342" t="str">
        <f t="shared" si="586"/>
        <v>52</v>
      </c>
      <c r="AF342" t="str">
        <f t="shared" si="587"/>
        <v/>
      </c>
      <c r="AG342" t="str">
        <f t="shared" si="588"/>
        <v/>
      </c>
      <c r="AH342" t="str">
        <f t="shared" si="526"/>
        <v>e</v>
      </c>
      <c r="AI342" t="str">
        <f t="shared" si="612"/>
        <v>o</v>
      </c>
      <c r="AJ342" t="str">
        <f t="shared" si="612"/>
        <v>o</v>
      </c>
      <c r="AK342" t="str">
        <f t="shared" si="528"/>
        <v>d</v>
      </c>
      <c r="AL342" t="str">
        <f t="shared" si="529"/>
        <v>o</v>
      </c>
      <c r="AM342" t="str">
        <f t="shared" si="589"/>
        <v>Away</v>
      </c>
      <c r="AN342" t="str">
        <f t="shared" si="530"/>
        <v>a</v>
      </c>
      <c r="AO342" t="str">
        <f t="shared" si="531"/>
        <v>d</v>
      </c>
      <c r="AP342" t="str">
        <f t="shared" si="532"/>
        <v>o</v>
      </c>
      <c r="AQ342" t="str">
        <f>IF(AM342&lt;&gt;"",AM342,IF($AC342=#REF!,#REF!,""))</f>
        <v>Away</v>
      </c>
      <c r="AR342" t="str">
        <f t="shared" si="533"/>
        <v>a</v>
      </c>
      <c r="AS342" t="str">
        <f t="shared" si="534"/>
        <v>Offensive</v>
      </c>
      <c r="AT342" t="str">
        <f t="shared" si="590"/>
        <v/>
      </c>
      <c r="AU342" t="str">
        <f t="shared" si="591"/>
        <v/>
      </c>
      <c r="AV342" t="str" cm="1">
        <f t="array" ref="AV342">IFERROR(IF(O342&lt;&gt;"",O342,IF(OR($S342="",$T342=""),"",IF(O342&lt;&gt;"",O342,IF($T342&lt;&gt;"",_xlfn._xlws.FILTER(O:O,($BT:$BT=$BT342)*($I:$I=$I342)*($T:$T=$T342)*($S:$S=_xlfn.MINIFS($S:$S,$T:$T,"="&amp;$T342)),"")))))&amp;"",IF(O342="","",""))&amp;""</f>
        <v/>
      </c>
      <c r="AW342" t="str" cm="1">
        <f t="array" ref="AW342">IFERROR(IF(P342&lt;&gt;"",P342,IF(OR($S342="",$T342=""),"",IF($T342&lt;&gt;"",_xlfn._xlws.FILTER(P:P,($BT:$BT=$BT342)*($I:$I=$I342)*($T:$T=$T342)*($S:$S=_xlfn.MINIFS($S:$S,$T:$T,"="&amp;$T342)),""))))&amp;"",IF(P342="","",""))&amp;""</f>
        <v/>
      </c>
      <c r="AX342" t="str" cm="1">
        <f t="array" ref="AX342">IFERROR(IF(Q342&lt;&gt;"",Q342,IF(OR($S342="",$T342=""),"",IF($T342&lt;&gt;"",_xlfn._xlws.FILTER(Q:Q,($BT:$BT=$BT342)*($I:$I=$I342)*($T:$T=$T342)*($S:$S=_xlfn.MINIFS($S:$S,$T:$T,"="&amp;$T342)),""))))&amp;"",IF(Q342="","",""))&amp;""</f>
        <v/>
      </c>
      <c r="AY342" t="str" cm="1">
        <f t="array" ref="AY342">IFERROR(IF(R342&lt;&gt;"",R342,IF(OR($S342="",$T342=""),"",IF($T342&lt;&gt;"",_xlfn._xlws.FILTER(R:R,($BT:$BT=$BT342)*($I:$I=$I342)*($T:$T=$T342)*($S:$S=_xlfn.MINIFS($S:$S,$T:$T,"="&amp;$T342)),""))))&amp;"",IF(R342="","",""))&amp;""</f>
        <v>1</v>
      </c>
      <c r="AZ342" s="6">
        <f t="shared" si="592"/>
        <v>31</v>
      </c>
      <c r="BA342">
        <f t="shared" ref="BA342:BC342" si="626">BA341</f>
        <v>18991</v>
      </c>
      <c r="BB342" t="str">
        <f t="shared" si="626"/>
        <v>Triple J</v>
      </c>
      <c r="BC342" t="str">
        <f t="shared" si="626"/>
        <v>Velodrome</v>
      </c>
      <c r="BD342" t="str">
        <f t="shared" si="594"/>
        <v>Pass</v>
      </c>
      <c r="BE342" t="str">
        <f t="shared" si="595"/>
        <v>Pass_Intercepted</v>
      </c>
      <c r="BF342" t="str">
        <f t="shared" si="596"/>
        <v>Pass-Backhand</v>
      </c>
      <c r="BG342" t="str">
        <f t="shared" si="578"/>
        <v>u</v>
      </c>
      <c r="BH342" cm="1">
        <f t="array" aca="1" ref="BH342" ca="1">IFERROR(_xlfn._xlws.FILTER(shifts!A:A,(shifts!B:B=events!Z342)*(shifts!AG:AG&gt;=events!BJ342)*(shifts!AH:AH&lt;=events!BK342)),BH341)</f>
        <v>11</v>
      </c>
      <c r="BI342" s="15">
        <f t="shared" si="597"/>
        <v>0</v>
      </c>
      <c r="BJ342">
        <f t="shared" si="598"/>
        <v>772</v>
      </c>
      <c r="BK342">
        <f t="shared" si="599"/>
        <v>772</v>
      </c>
      <c r="BL342" s="15">
        <f>SUMIFS(BI$2:BI342,K$2:K342,"=Intermission")+SUMIFS(BI$2:BI342,K$2:K342,"=Timeout")</f>
        <v>0</v>
      </c>
      <c r="BM342">
        <f t="shared" si="600"/>
        <v>0</v>
      </c>
      <c r="BN342" s="19">
        <f t="shared" si="601"/>
        <v>308</v>
      </c>
      <c r="BO342">
        <f t="shared" si="602"/>
        <v>303</v>
      </c>
      <c r="BP342" s="17">
        <f t="shared" si="603"/>
        <v>308</v>
      </c>
      <c r="BQ342" t="str">
        <f t="shared" si="604"/>
        <v>event_team_player_1</v>
      </c>
      <c r="BR342">
        <f>COUNTIFS(S$3:S342,"="&amp;S342,AH$3:AH342,"="&amp;AH342)</f>
        <v>1</v>
      </c>
      <c r="BS342" t="str">
        <f>IFERROR(VLOOKUP(BA342&amp;BT342&amp;X342,game_rosters!U:W,3,FALSE),"")</f>
        <v>P100064</v>
      </c>
      <c r="BT342" t="str">
        <f t="shared" si="605"/>
        <v>Velodrome</v>
      </c>
    </row>
    <row r="343" spans="1:72" x14ac:dyDescent="0.2">
      <c r="A343" t="str">
        <f t="shared" si="580"/>
        <v>x</v>
      </c>
      <c r="D343" s="26" t="s">
        <v>729</v>
      </c>
      <c r="E343" s="4"/>
      <c r="F343" s="45"/>
      <c r="G343" s="4"/>
      <c r="H343" s="47"/>
      <c r="I343" s="26">
        <v>61</v>
      </c>
      <c r="J343" s="26" t="str">
        <f t="shared" si="606"/>
        <v/>
      </c>
      <c r="N343" t="str">
        <f t="shared" si="624"/>
        <v/>
      </c>
      <c r="Q343" t="str">
        <f t="shared" si="618"/>
        <v/>
      </c>
      <c r="S343">
        <f>IF(A343=1,MAX($S$2:$S342)+1,IF(OR($I343&lt;&gt;"",A343="x"),$S342,""))</f>
        <v>176</v>
      </c>
      <c r="T343">
        <f>IF(D343=1,MAX($T$2:$T342)+1,IF(S343=S342,$T342,IF(D343="x",T342,IF(D342="x","",""))))</f>
        <v>22</v>
      </c>
      <c r="U343" t="str">
        <f>IF(B343=1,MAX($U$2:$U342)+1,IF(AND($T343&lt;&gt;"",$T343=$T342),$U342,IF(B343="x",U342,"")))</f>
        <v/>
      </c>
      <c r="V343" t="str">
        <f>IF(C343=1,MAX($V$2:$V342)+1,IF(AND($T343&lt;&gt;"",$T343=$T342),$U342,IF(C343="x",V342,"")))</f>
        <v/>
      </c>
      <c r="W343" t="str" cm="1">
        <f t="array" ref="W343">IFERROR(_xlfn._xlws.FILTER(game_rosters!AC:AC,(game_rosters!J:J=events!X343)*(K343&lt;&gt;"")),"")</f>
        <v/>
      </c>
      <c r="X343" cm="1">
        <f t="array" ref="X343">IF($I343&lt;&gt;"",$I343,INDEX($I$1:$I343,ROW()-COUNTIFS($T$1:$T343,"="&amp;$T343,$S$1:$S343,"&lt;"&amp;$S343)))</f>
        <v>61</v>
      </c>
      <c r="Y343" cm="1">
        <f t="array" ref="Y343">IFERROR(IF(_xlfn._xlws.FILTER(game_rosters!$J:$J,(game_rosters!$G:$G=events!$AM343)*(game_rosters!$J:$J=events!$X343))&gt;0,1,""),"")</f>
        <v>1</v>
      </c>
      <c r="Z343" s="6">
        <f t="shared" si="581"/>
        <v>1</v>
      </c>
      <c r="AA343">
        <f t="shared" si="582"/>
        <v>1176</v>
      </c>
      <c r="AB343">
        <f t="shared" si="583"/>
        <v>9022</v>
      </c>
      <c r="AC343">
        <f t="shared" si="584"/>
        <v>9022</v>
      </c>
      <c r="AD343" t="str">
        <f t="shared" si="585"/>
        <v>12</v>
      </c>
      <c r="AE343" t="str">
        <f t="shared" si="586"/>
        <v>52</v>
      </c>
      <c r="AF343" t="str">
        <f t="shared" si="587"/>
        <v/>
      </c>
      <c r="AG343" t="str">
        <f t="shared" si="588"/>
        <v/>
      </c>
      <c r="AH343" t="str">
        <f t="shared" si="526"/>
        <v>e</v>
      </c>
      <c r="AI343" t="str">
        <f t="shared" si="612"/>
        <v>o</v>
      </c>
      <c r="AJ343" t="str">
        <f t="shared" si="612"/>
        <v>o</v>
      </c>
      <c r="AK343" t="str">
        <f t="shared" si="528"/>
        <v/>
      </c>
      <c r="AL343" t="str">
        <f t="shared" si="529"/>
        <v/>
      </c>
      <c r="AM343" t="str">
        <f t="shared" si="589"/>
        <v>Away</v>
      </c>
      <c r="AN343" t="str">
        <f t="shared" si="530"/>
        <v>a</v>
      </c>
      <c r="AO343" t="str">
        <f t="shared" si="531"/>
        <v>d</v>
      </c>
      <c r="AP343" t="str">
        <f t="shared" si="532"/>
        <v>o</v>
      </c>
      <c r="AQ343" t="str">
        <f>IF(AM343&lt;&gt;"",AM343,IF($AC343=#REF!,#REF!,""))</f>
        <v>Away</v>
      </c>
      <c r="AR343" t="str">
        <f t="shared" si="533"/>
        <v>a</v>
      </c>
      <c r="AS343" t="str">
        <f t="shared" si="534"/>
        <v>Offensive</v>
      </c>
      <c r="AT343" t="str">
        <f t="shared" si="590"/>
        <v/>
      </c>
      <c r="AU343" t="str">
        <f t="shared" si="591"/>
        <v/>
      </c>
      <c r="AV343" t="str" cm="1">
        <f t="array" ref="AV343">IFERROR(IF(O343&lt;&gt;"",O343,IF(OR($S343="",$T343=""),"",IF(O343&lt;&gt;"",O343,IF($T343&lt;&gt;"",_xlfn._xlws.FILTER(O:O,($BT:$BT=$BT343)*($I:$I=$I343)*($T:$T=$T343)*($S:$S=_xlfn.MINIFS($S:$S,$T:$T,"="&amp;$T343)),"")))))&amp;"",IF(O343="","",""))&amp;""</f>
        <v/>
      </c>
      <c r="AW343" t="str" cm="1">
        <f t="array" ref="AW343">IFERROR(IF(P343&lt;&gt;"",P343,IF(OR($S343="",$T343=""),"",IF($T343&lt;&gt;"",_xlfn._xlws.FILTER(P:P,($BT:$BT=$BT343)*($I:$I=$I343)*($T:$T=$T343)*($S:$S=_xlfn.MINIFS($S:$S,$T:$T,"="&amp;$T343)),""))))&amp;"",IF(P343="","",""))&amp;""</f>
        <v/>
      </c>
      <c r="AX343" t="str" cm="1">
        <f t="array" ref="AX343">IFERROR(IF(Q343&lt;&gt;"",Q343,IF(OR($S343="",$T343=""),"",IF($T343&lt;&gt;"",_xlfn._xlws.FILTER(Q:Q,($BT:$BT=$BT343)*($I:$I=$I343)*($T:$T=$T343)*($S:$S=_xlfn.MINIFS($S:$S,$T:$T,"="&amp;$T343)),""))))&amp;"",IF(Q343="","",""))&amp;""</f>
        <v/>
      </c>
      <c r="AY343" t="str" cm="1">
        <f t="array" ref="AY343">IFERROR(IF(R343&lt;&gt;"",R343,IF(OR($S343="",$T343=""),"",IF($T343&lt;&gt;"",_xlfn._xlws.FILTER(R:R,($BT:$BT=$BT343)*($I:$I=$I343)*($T:$T=$T343)*($S:$S=_xlfn.MINIFS($S:$S,$T:$T,"="&amp;$T343)),""))))&amp;"",IF(R343="","",""))&amp;""</f>
        <v/>
      </c>
      <c r="AZ343" s="6">
        <f t="shared" si="592"/>
        <v>31</v>
      </c>
      <c r="BA343">
        <f t="shared" ref="BA343:BC343" si="627">BA342</f>
        <v>18991</v>
      </c>
      <c r="BB343" t="str">
        <f t="shared" si="627"/>
        <v>Triple J</v>
      </c>
      <c r="BC343" t="str">
        <f t="shared" si="627"/>
        <v>Velodrome</v>
      </c>
      <c r="BD343" t="str">
        <f t="shared" si="594"/>
        <v>Pass</v>
      </c>
      <c r="BE343" t="str">
        <f t="shared" si="595"/>
        <v>Pass_Intercepted</v>
      </c>
      <c r="BF343" t="str">
        <f t="shared" si="596"/>
        <v>Pass-Backhand</v>
      </c>
      <c r="BG343" t="str">
        <f t="shared" si="578"/>
        <v>u</v>
      </c>
      <c r="BH343" cm="1">
        <f t="array" aca="1" ref="BH343" ca="1">IFERROR(_xlfn._xlws.FILTER(shifts!A:A,(shifts!B:B=events!Z343)*(shifts!AG:AG&gt;=events!BJ343)*(shifts!AH:AH&lt;=events!BK343)),BH342)</f>
        <v>11</v>
      </c>
      <c r="BI343" s="15">
        <f t="shared" si="597"/>
        <v>0</v>
      </c>
      <c r="BJ343">
        <f t="shared" si="598"/>
        <v>772</v>
      </c>
      <c r="BK343">
        <f t="shared" si="599"/>
        <v>772</v>
      </c>
      <c r="BL343" s="15">
        <f>SUMIFS(BI$2:BI343,K$2:K343,"=Intermission")+SUMIFS(BI$2:BI343,K$2:K343,"=Timeout")</f>
        <v>0</v>
      </c>
      <c r="BM343">
        <f t="shared" si="600"/>
        <v>0</v>
      </c>
      <c r="BN343" s="19">
        <f t="shared" si="601"/>
        <v>308</v>
      </c>
      <c r="BO343">
        <f t="shared" si="602"/>
        <v>303</v>
      </c>
      <c r="BP343" s="17">
        <f t="shared" si="603"/>
        <v>308</v>
      </c>
      <c r="BQ343" t="str">
        <f t="shared" si="604"/>
        <v>event_team_player_2</v>
      </c>
      <c r="BR343">
        <f>COUNTIFS(S$3:S343,"="&amp;S343,AH$3:AH343,"="&amp;AH343)</f>
        <v>2</v>
      </c>
      <c r="BS343" t="str">
        <f>IFERROR(VLOOKUP(BA343&amp;BT343&amp;X343,game_rosters!U:W,3,FALSE),"")</f>
        <v>P100224</v>
      </c>
      <c r="BT343" t="str">
        <f t="shared" si="605"/>
        <v>Velodrome</v>
      </c>
    </row>
    <row r="344" spans="1:72" x14ac:dyDescent="0.2">
      <c r="A344" t="str">
        <f t="shared" si="580"/>
        <v>x</v>
      </c>
      <c r="D344" s="26" t="s">
        <v>729</v>
      </c>
      <c r="E344" s="4"/>
      <c r="F344" s="45"/>
      <c r="G344" s="4"/>
      <c r="H344" s="47"/>
      <c r="I344" s="26">
        <v>73</v>
      </c>
      <c r="J344" s="26" t="str">
        <f t="shared" si="606"/>
        <v/>
      </c>
      <c r="N344" t="str">
        <f t="shared" si="624"/>
        <v/>
      </c>
      <c r="O344" t="s">
        <v>557</v>
      </c>
      <c r="Q344" t="str">
        <f t="shared" si="618"/>
        <v/>
      </c>
      <c r="S344">
        <f>IF(A344=1,MAX($S$2:$S343)+1,IF(OR($I344&lt;&gt;"",A344="x"),$S343,""))</f>
        <v>176</v>
      </c>
      <c r="T344">
        <f>IF(D344=1,MAX($T$2:$T343)+1,IF(S344=S343,$T343,IF(D344="x",T343,IF(D343="x","",""))))</f>
        <v>22</v>
      </c>
      <c r="U344" t="str">
        <f>IF(B344=1,MAX($U$2:$U343)+1,IF(AND($T344&lt;&gt;"",$T344=$T343),$U343,IF(B344="x",U343,"")))</f>
        <v/>
      </c>
      <c r="V344" t="str">
        <f>IF(C344=1,MAX($V$2:$V343)+1,IF(AND($T344&lt;&gt;"",$T344=$T343),$U343,IF(C344="x",V343,"")))</f>
        <v/>
      </c>
      <c r="W344" t="str" cm="1">
        <f t="array" ref="W344">IFERROR(_xlfn._xlws.FILTER(game_rosters!AC:AC,(game_rosters!J:J=events!X344)*(K344&lt;&gt;"")),"")</f>
        <v/>
      </c>
      <c r="X344" cm="1">
        <f t="array" ref="X344">IF($I344&lt;&gt;"",$I344,INDEX($I$1:$I344,ROW()-COUNTIFS($T$1:$T344,"="&amp;$T344,$S$1:$S344,"&lt;"&amp;$S344)))</f>
        <v>73</v>
      </c>
      <c r="Y344" t="str" cm="1">
        <f t="array" ref="Y344">IFERROR(IF(_xlfn._xlws.FILTER(game_rosters!$J:$J,(game_rosters!$G:$G=events!$AM344)*(game_rosters!$J:$J=events!$X344))&gt;0,1,""),"")</f>
        <v/>
      </c>
      <c r="Z344" s="6">
        <f t="shared" si="581"/>
        <v>1</v>
      </c>
      <c r="AA344">
        <f t="shared" si="582"/>
        <v>1176</v>
      </c>
      <c r="AB344">
        <f t="shared" si="583"/>
        <v>9022</v>
      </c>
      <c r="AC344">
        <f t="shared" si="584"/>
        <v>9022</v>
      </c>
      <c r="AD344" t="str">
        <f t="shared" si="585"/>
        <v>12</v>
      </c>
      <c r="AE344" t="str">
        <f t="shared" si="586"/>
        <v>52</v>
      </c>
      <c r="AF344" t="str">
        <f t="shared" si="587"/>
        <v/>
      </c>
      <c r="AG344" t="str">
        <f t="shared" si="588"/>
        <v/>
      </c>
      <c r="AH344" t="str">
        <f t="shared" si="526"/>
        <v>o</v>
      </c>
      <c r="AI344" t="str">
        <f t="shared" si="612"/>
        <v>o</v>
      </c>
      <c r="AJ344" t="str">
        <f t="shared" si="612"/>
        <v>o</v>
      </c>
      <c r="AK344" t="str">
        <f t="shared" si="528"/>
        <v/>
      </c>
      <c r="AL344" t="str">
        <f t="shared" si="529"/>
        <v/>
      </c>
      <c r="AM344" t="str">
        <f t="shared" si="589"/>
        <v>Away</v>
      </c>
      <c r="AN344" t="str">
        <f t="shared" si="530"/>
        <v>a</v>
      </c>
      <c r="AO344" t="str">
        <f t="shared" si="531"/>
        <v>d</v>
      </c>
      <c r="AP344" t="str">
        <f t="shared" si="532"/>
        <v>o</v>
      </c>
      <c r="AQ344" t="str">
        <f>IF(AM344&lt;&gt;"",AM344,IF($AC344=#REF!,#REF!,""))</f>
        <v>Away</v>
      </c>
      <c r="AR344" t="str">
        <f t="shared" si="533"/>
        <v>a</v>
      </c>
      <c r="AS344" t="str">
        <f t="shared" si="534"/>
        <v>Defensive</v>
      </c>
      <c r="AT344" t="str">
        <f t="shared" si="590"/>
        <v/>
      </c>
      <c r="AU344" t="str">
        <f t="shared" si="591"/>
        <v/>
      </c>
      <c r="AV344" t="str" cm="1">
        <f t="array" ref="AV344">IFERROR(IF(O344&lt;&gt;"",O344,IF(OR($S344="",$T344=""),"",IF(O344&lt;&gt;"",O344,IF($T344&lt;&gt;"",_xlfn._xlws.FILTER(O:O,($BT:$BT=$BT344)*($I:$I=$I344)*($T:$T=$T344)*($S:$S=_xlfn.MINIFS($S:$S,$T:$T,"="&amp;$T344)),"")))))&amp;"",IF(O344="","",""))&amp;""</f>
        <v>PassIntercepted</v>
      </c>
      <c r="AW344" t="str" cm="1">
        <f t="array" ref="AW344">IFERROR(IF(P344&lt;&gt;"",P344,IF(OR($S344="",$T344=""),"",IF($T344&lt;&gt;"",_xlfn._xlws.FILTER(P:P,($BT:$BT=$BT344)*($I:$I=$I344)*($T:$T=$T344)*($S:$S=_xlfn.MINIFS($S:$S,$T:$T,"="&amp;$T344)),""))))&amp;"",IF(P344="","",""))&amp;""</f>
        <v/>
      </c>
      <c r="AX344" t="str" cm="1">
        <f t="array" ref="AX344">IFERROR(IF(Q344&lt;&gt;"",Q344,IF(OR($S344="",$T344=""),"",IF($T344&lt;&gt;"",_xlfn._xlws.FILTER(Q:Q,($BT:$BT=$BT344)*($I:$I=$I344)*($T:$T=$T344)*($S:$S=_xlfn.MINIFS($S:$S,$T:$T,"="&amp;$T344)),""))))&amp;"",IF(Q344="","",""))&amp;""</f>
        <v/>
      </c>
      <c r="AY344" t="str" cm="1">
        <f t="array" ref="AY344">IFERROR(IF(R344&lt;&gt;"",R344,IF(OR($S344="",$T344=""),"",IF($T344&lt;&gt;"",_xlfn._xlws.FILTER(R:R,($BT:$BT=$BT344)*($I:$I=$I344)*($T:$T=$T344)*($S:$S=_xlfn.MINIFS($S:$S,$T:$T,"="&amp;$T344)),""))))&amp;"",IF(R344="","",""))&amp;""</f>
        <v/>
      </c>
      <c r="AZ344" s="6">
        <f t="shared" si="592"/>
        <v>31</v>
      </c>
      <c r="BA344">
        <f t="shared" ref="BA344:BC344" si="628">BA343</f>
        <v>18991</v>
      </c>
      <c r="BB344" t="str">
        <f t="shared" si="628"/>
        <v>Triple J</v>
      </c>
      <c r="BC344" t="str">
        <f t="shared" si="628"/>
        <v>Velodrome</v>
      </c>
      <c r="BD344" t="str">
        <f t="shared" si="594"/>
        <v>Pass</v>
      </c>
      <c r="BE344" t="str">
        <f t="shared" si="595"/>
        <v>Pass_Intercepted</v>
      </c>
      <c r="BF344" t="str">
        <f t="shared" si="596"/>
        <v>Pass-Backhand</v>
      </c>
      <c r="BG344" t="str">
        <f t="shared" si="578"/>
        <v>u</v>
      </c>
      <c r="BH344" cm="1">
        <f t="array" aca="1" ref="BH344" ca="1">IFERROR(_xlfn._xlws.FILTER(shifts!A:A,(shifts!B:B=events!Z344)*(shifts!AG:AG&gt;=events!BJ344)*(shifts!AH:AH&lt;=events!BK344)),BH343)</f>
        <v>11</v>
      </c>
      <c r="BI344" s="15">
        <f t="shared" si="597"/>
        <v>0</v>
      </c>
      <c r="BJ344">
        <f t="shared" si="598"/>
        <v>772</v>
      </c>
      <c r="BK344">
        <f t="shared" si="599"/>
        <v>772</v>
      </c>
      <c r="BL344" s="15">
        <f>SUMIFS(BI$2:BI344,K$2:K344,"=Intermission")+SUMIFS(BI$2:BI344,K$2:K344,"=Timeout")</f>
        <v>0</v>
      </c>
      <c r="BM344">
        <f t="shared" si="600"/>
        <v>0</v>
      </c>
      <c r="BN344" s="19">
        <f t="shared" si="601"/>
        <v>308</v>
      </c>
      <c r="BO344">
        <f t="shared" si="602"/>
        <v>303</v>
      </c>
      <c r="BP344" s="17">
        <f t="shared" si="603"/>
        <v>308</v>
      </c>
      <c r="BQ344" t="str">
        <f t="shared" si="604"/>
        <v>opp_team_player_1</v>
      </c>
      <c r="BR344">
        <f>COUNTIFS(S$3:S344,"="&amp;S344,AH$3:AH344,"="&amp;AH344)</f>
        <v>1</v>
      </c>
      <c r="BS344" t="str">
        <f>IFERROR(VLOOKUP(BA344&amp;BT344&amp;X344,game_rosters!U:W,3,FALSE),"")</f>
        <v>P100021</v>
      </c>
      <c r="BT344" t="str">
        <f t="shared" si="605"/>
        <v>Triple J</v>
      </c>
    </row>
    <row r="345" spans="1:72" x14ac:dyDescent="0.2">
      <c r="A345" t="str">
        <f t="shared" si="580"/>
        <v>x</v>
      </c>
      <c r="D345" s="26" t="s">
        <v>729</v>
      </c>
      <c r="E345" s="4"/>
      <c r="F345" s="45"/>
      <c r="G345" s="4"/>
      <c r="H345" s="47"/>
      <c r="I345" s="26">
        <v>57</v>
      </c>
      <c r="J345" s="26" t="str">
        <f t="shared" si="606"/>
        <v/>
      </c>
      <c r="N345" t="str">
        <f t="shared" si="624"/>
        <v/>
      </c>
      <c r="O345" t="s">
        <v>566</v>
      </c>
      <c r="Q345" t="str">
        <f t="shared" si="618"/>
        <v/>
      </c>
      <c r="R345" s="26">
        <v>1</v>
      </c>
      <c r="S345">
        <f>IF(A345=1,MAX($S$2:$S344)+1,IF(OR($I345&lt;&gt;"",A345="x"),$S344,""))</f>
        <v>176</v>
      </c>
      <c r="T345">
        <f>IF(D345=1,MAX($T$2:$T344)+1,IF(S345=S344,$T344,IF(D345="x",T344,IF(D344="x","",""))))</f>
        <v>22</v>
      </c>
      <c r="U345" t="str">
        <f>IF(B345=1,MAX($U$2:$U344)+1,IF(AND($T345&lt;&gt;"",$T345=$T344),$U344,IF(B345="x",U344,"")))</f>
        <v/>
      </c>
      <c r="V345" t="str">
        <f>IF(C345=1,MAX($V$2:$V344)+1,IF(AND($T345&lt;&gt;"",$T345=$T344),$U344,IF(C345="x",V344,"")))</f>
        <v/>
      </c>
      <c r="W345" t="str" cm="1">
        <f t="array" ref="W345">IFERROR(_xlfn._xlws.FILTER(game_rosters!AC:AC,(game_rosters!J:J=events!X345)*(K345&lt;&gt;"")),"")</f>
        <v/>
      </c>
      <c r="X345" cm="1">
        <f t="array" ref="X345">IF($I345&lt;&gt;"",$I345,INDEX($I$1:$I345,ROW()-COUNTIFS($T$1:$T345,"="&amp;$T345,$S$1:$S345,"&lt;"&amp;$S345)))</f>
        <v>57</v>
      </c>
      <c r="Y345" t="str" cm="1">
        <f t="array" ref="Y345">IFERROR(IF(_xlfn._xlws.FILTER(game_rosters!$J:$J,(game_rosters!$G:$G=events!$AM345)*(game_rosters!$J:$J=events!$X345))&gt;0,1,""),"")</f>
        <v/>
      </c>
      <c r="Z345" s="6">
        <f t="shared" si="581"/>
        <v>1</v>
      </c>
      <c r="AA345">
        <f t="shared" si="582"/>
        <v>1176</v>
      </c>
      <c r="AB345">
        <f t="shared" si="583"/>
        <v>9022</v>
      </c>
      <c r="AC345">
        <f t="shared" si="584"/>
        <v>9022</v>
      </c>
      <c r="AD345" t="str">
        <f t="shared" si="585"/>
        <v>12</v>
      </c>
      <c r="AE345" t="str">
        <f t="shared" si="586"/>
        <v>52</v>
      </c>
      <c r="AF345" t="str">
        <f t="shared" si="587"/>
        <v/>
      </c>
      <c r="AG345" t="str">
        <f t="shared" si="588"/>
        <v/>
      </c>
      <c r="AH345" t="str">
        <f t="shared" si="526"/>
        <v>o</v>
      </c>
      <c r="AI345" t="str">
        <f t="shared" si="612"/>
        <v>o</v>
      </c>
      <c r="AJ345" t="str">
        <f t="shared" si="612"/>
        <v>o</v>
      </c>
      <c r="AK345" t="str">
        <f t="shared" si="528"/>
        <v/>
      </c>
      <c r="AL345" t="str">
        <f t="shared" si="529"/>
        <v/>
      </c>
      <c r="AM345" t="str">
        <f t="shared" si="589"/>
        <v>Away</v>
      </c>
      <c r="AN345" t="str">
        <f t="shared" si="530"/>
        <v>a</v>
      </c>
      <c r="AO345" t="str">
        <f t="shared" si="531"/>
        <v>d</v>
      </c>
      <c r="AP345" t="str">
        <f t="shared" si="532"/>
        <v>o</v>
      </c>
      <c r="AQ345" t="str">
        <f>IF(AM345&lt;&gt;"",AM345,IF($AC345=#REF!,#REF!,""))</f>
        <v>Away</v>
      </c>
      <c r="AR345" t="str">
        <f t="shared" si="533"/>
        <v>a</v>
      </c>
      <c r="AS345" t="str">
        <f t="shared" si="534"/>
        <v>Defensive</v>
      </c>
      <c r="AT345" t="str">
        <f t="shared" si="590"/>
        <v/>
      </c>
      <c r="AU345" t="str">
        <f t="shared" si="591"/>
        <v/>
      </c>
      <c r="AV345" t="str" cm="1">
        <f t="array" ref="AV345">IFERROR(IF(O345&lt;&gt;"",O345,IF(OR($S345="",$T345=""),"",IF(O345&lt;&gt;"",O345,IF($T345&lt;&gt;"",_xlfn._xlws.FILTER(O:O,($BT:$BT=$BT345)*($I:$I=$I345)*($T:$T=$T345)*($S:$S=_xlfn.MINIFS($S:$S,$T:$T,"="&amp;$T345)),"")))))&amp;"",IF(O345="","",""))&amp;""</f>
        <v>InShotPassLane</v>
      </c>
      <c r="AW345" t="str" cm="1">
        <f t="array" ref="AW345">IFERROR(IF(P345&lt;&gt;"",P345,IF(OR($S345="",$T345=""),"",IF($T345&lt;&gt;"",_xlfn._xlws.FILTER(P:P,($BT:$BT=$BT345)*($I:$I=$I345)*($T:$T=$T345)*($S:$S=_xlfn.MINIFS($S:$S,$T:$T,"="&amp;$T345)),""))))&amp;"",IF(P345="","",""))&amp;""</f>
        <v/>
      </c>
      <c r="AX345" t="str" cm="1">
        <f t="array" ref="AX345">IFERROR(IF(Q345&lt;&gt;"",Q345,IF(OR($S345="",$T345=""),"",IF($T345&lt;&gt;"",_xlfn._xlws.FILTER(Q:Q,($BT:$BT=$BT345)*($I:$I=$I345)*($T:$T=$T345)*($S:$S=_xlfn.MINIFS($S:$S,$T:$T,"="&amp;$T345)),""))))&amp;"",IF(Q345="","",""))&amp;""</f>
        <v/>
      </c>
      <c r="AY345" t="str" cm="1">
        <f t="array" ref="AY345">IFERROR(IF(R345&lt;&gt;"",R345,IF(OR($S345="",$T345=""),"",IF($T345&lt;&gt;"",_xlfn._xlws.FILTER(R:R,($BT:$BT=$BT345)*($I:$I=$I345)*($T:$T=$T345)*($S:$S=_xlfn.MINIFS($S:$S,$T:$T,"="&amp;$T345)),""))))&amp;"",IF(R345="","",""))&amp;""</f>
        <v>1</v>
      </c>
      <c r="AZ345" s="6">
        <f t="shared" si="592"/>
        <v>31</v>
      </c>
      <c r="BA345">
        <f t="shared" ref="BA345:BC345" si="629">BA344</f>
        <v>18991</v>
      </c>
      <c r="BB345" t="str">
        <f t="shared" si="629"/>
        <v>Triple J</v>
      </c>
      <c r="BC345" t="str">
        <f t="shared" si="629"/>
        <v>Velodrome</v>
      </c>
      <c r="BD345" t="str">
        <f t="shared" si="594"/>
        <v>Pass</v>
      </c>
      <c r="BE345" t="str">
        <f t="shared" si="595"/>
        <v>Pass_Intercepted</v>
      </c>
      <c r="BF345" t="str">
        <f t="shared" si="596"/>
        <v>Pass-Backhand</v>
      </c>
      <c r="BG345" t="str">
        <f t="shared" si="578"/>
        <v>u</v>
      </c>
      <c r="BH345" cm="1">
        <f t="array" aca="1" ref="BH345" ca="1">IFERROR(_xlfn._xlws.FILTER(shifts!A:A,(shifts!B:B=events!Z345)*(shifts!AG:AG&gt;=events!BJ345)*(shifts!AH:AH&lt;=events!BK345)),BH344)</f>
        <v>11</v>
      </c>
      <c r="BI345" s="15">
        <f t="shared" si="597"/>
        <v>0</v>
      </c>
      <c r="BJ345">
        <f t="shared" si="598"/>
        <v>772</v>
      </c>
      <c r="BK345">
        <f t="shared" si="599"/>
        <v>772</v>
      </c>
      <c r="BL345" s="15">
        <f>SUMIFS(BI$2:BI345,K$2:K345,"=Intermission")+SUMIFS(BI$2:BI345,K$2:K345,"=Timeout")</f>
        <v>0</v>
      </c>
      <c r="BM345">
        <f t="shared" si="600"/>
        <v>0</v>
      </c>
      <c r="BN345" s="19">
        <f t="shared" si="601"/>
        <v>308</v>
      </c>
      <c r="BO345">
        <f t="shared" si="602"/>
        <v>303</v>
      </c>
      <c r="BP345" s="17">
        <f t="shared" si="603"/>
        <v>308</v>
      </c>
      <c r="BQ345" t="str">
        <f t="shared" si="604"/>
        <v>opp_team_player_2</v>
      </c>
      <c r="BR345">
        <f>COUNTIFS(S$3:S345,"="&amp;S345,AH$3:AH345,"="&amp;AH345)</f>
        <v>2</v>
      </c>
      <c r="BS345" t="str">
        <f>IFERROR(VLOOKUP(BA345&amp;BT345&amp;X345,game_rosters!U:W,3,FALSE),"")</f>
        <v>P100007</v>
      </c>
      <c r="BT345" t="str">
        <f t="shared" si="605"/>
        <v>Triple J</v>
      </c>
    </row>
    <row r="346" spans="1:72" x14ac:dyDescent="0.2">
      <c r="A346">
        <f t="shared" si="580"/>
        <v>1</v>
      </c>
      <c r="D346" s="26" t="s">
        <v>729</v>
      </c>
      <c r="E346" s="4"/>
      <c r="F346" s="45"/>
      <c r="G346" s="4"/>
      <c r="H346" s="47"/>
      <c r="J346" s="26" t="s">
        <v>368</v>
      </c>
      <c r="K346" t="s">
        <v>9</v>
      </c>
      <c r="L346" t="s">
        <v>173</v>
      </c>
      <c r="M346" t="s">
        <v>73</v>
      </c>
      <c r="N346" t="str">
        <f t="shared" si="624"/>
        <v>u</v>
      </c>
      <c r="Q346" t="str">
        <f t="shared" si="618"/>
        <v/>
      </c>
      <c r="S346">
        <f>IF(A346=1,MAX($S$2:$S345)+1,IF(OR($I346&lt;&gt;"",A346="x"),$S345,""))</f>
        <v>177</v>
      </c>
      <c r="T346">
        <f>IF(D346=1,MAX($T$2:$T345)+1,IF(S346=S345,$T345,IF(D346="x",T345,IF(D345="x","",""))))</f>
        <v>22</v>
      </c>
      <c r="U346" t="str">
        <f>IF(B346=1,MAX($U$2:$U345)+1,IF(AND($T346&lt;&gt;"",$T346=$T345),$U345,IF(B346="x",U345,"")))</f>
        <v/>
      </c>
      <c r="V346" t="str">
        <f>IF(C346=1,MAX($V$2:$V345)+1,IF(AND($T346&lt;&gt;"",$T346=$T345),$U345,IF(C346="x",V345,"")))</f>
        <v/>
      </c>
      <c r="W346" t="str" cm="1">
        <f t="array" ref="W346">IFERROR(_xlfn._xlws.FILTER(game_rosters!AC:AC,(game_rosters!J:J=events!X346)*(K346&lt;&gt;"")),"")</f>
        <v>a</v>
      </c>
      <c r="X346" cm="1">
        <f t="array" ref="X346">IF($I346&lt;&gt;"",$I346,INDEX($I$1:$I346,ROW()-COUNTIFS($T$1:$T346,"="&amp;$T346,$S$1:$S346,"&lt;"&amp;$S346)))</f>
        <v>55</v>
      </c>
      <c r="Y346" cm="1">
        <f t="array" ref="Y346">IFERROR(IF(_xlfn._xlws.FILTER(game_rosters!$J:$J,(game_rosters!$G:$G=events!$AM346)*(game_rosters!$J:$J=events!$X346))&gt;0,1,""),"")</f>
        <v>1</v>
      </c>
      <c r="Z346" s="6">
        <f t="shared" si="581"/>
        <v>1</v>
      </c>
      <c r="AA346">
        <f t="shared" si="582"/>
        <v>1177</v>
      </c>
      <c r="AB346">
        <f t="shared" si="583"/>
        <v>9022</v>
      </c>
      <c r="AC346">
        <f t="shared" si="584"/>
        <v>9022</v>
      </c>
      <c r="AD346" t="str">
        <f t="shared" si="585"/>
        <v>12</v>
      </c>
      <c r="AE346" t="str">
        <f t="shared" si="586"/>
        <v>52</v>
      </c>
      <c r="AF346" t="str">
        <f t="shared" si="587"/>
        <v/>
      </c>
      <c r="AG346" t="str">
        <f t="shared" si="588"/>
        <v/>
      </c>
      <c r="AH346" t="str">
        <f t="shared" si="526"/>
        <v>e</v>
      </c>
      <c r="AI346" t="str">
        <f t="shared" si="612"/>
        <v>o</v>
      </c>
      <c r="AJ346" t="str">
        <f t="shared" si="612"/>
        <v>o</v>
      </c>
      <c r="AK346" t="str">
        <f t="shared" si="528"/>
        <v>d</v>
      </c>
      <c r="AL346" t="str">
        <f t="shared" si="529"/>
        <v>o</v>
      </c>
      <c r="AM346" t="str">
        <f t="shared" si="589"/>
        <v>Away</v>
      </c>
      <c r="AN346" t="str">
        <f t="shared" si="530"/>
        <v>a</v>
      </c>
      <c r="AO346" t="str">
        <f t="shared" si="531"/>
        <v>d</v>
      </c>
      <c r="AP346" t="str">
        <f t="shared" si="532"/>
        <v>o</v>
      </c>
      <c r="AQ346" t="str">
        <f>IF(AM346&lt;&gt;"",AM346,IF($AC346=#REF!,#REF!,""))</f>
        <v>Away</v>
      </c>
      <c r="AR346" t="str">
        <f t="shared" si="533"/>
        <v>a</v>
      </c>
      <c r="AS346" t="str">
        <f t="shared" si="534"/>
        <v>Offensive</v>
      </c>
      <c r="AT346" t="str">
        <f t="shared" si="590"/>
        <v/>
      </c>
      <c r="AU346" t="str">
        <f t="shared" si="591"/>
        <v/>
      </c>
      <c r="AV346" t="str" cm="1">
        <f t="array" ref="AV346">IFERROR(IF(O346&lt;&gt;"",O346,IF(OR($S346="",$T346=""),"",IF(O346&lt;&gt;"",O346,IF($T346&lt;&gt;"",_xlfn._xlws.FILTER(O:O,($BT:$BT=$BT346)*($I:$I=$I346)*($T:$T=$T346)*($S:$S=_xlfn.MINIFS($S:$S,$T:$T,"="&amp;$T346)),"")))))&amp;"",IF(O346="","",""))&amp;""</f>
        <v/>
      </c>
      <c r="AW346" t="str" cm="1">
        <f t="array" ref="AW346">IFERROR(IF(P346&lt;&gt;"",P346,IF(OR($S346="",$T346=""),"",IF($T346&lt;&gt;"",_xlfn._xlws.FILTER(P:P,($BT:$BT=$BT346)*($I:$I=$I346)*($T:$T=$T346)*($S:$S=_xlfn.MINIFS($S:$S,$T:$T,"="&amp;$T346)),""))))&amp;"",IF(P346="","",""))&amp;""</f>
        <v/>
      </c>
      <c r="AX346" t="str" cm="1">
        <f t="array" ref="AX346">IFERROR(IF(Q346&lt;&gt;"",Q346,IF(OR($S346="",$T346=""),"",IF($T346&lt;&gt;"",_xlfn._xlws.FILTER(Q:Q,($BT:$BT=$BT346)*($I:$I=$I346)*($T:$T=$T346)*($S:$S=_xlfn.MINIFS($S:$S,$T:$T,"="&amp;$T346)),""))))&amp;"",IF(Q346="","",""))&amp;""</f>
        <v/>
      </c>
      <c r="AY346" t="str" cm="1">
        <f t="array" ref="AY346">IFERROR(IF(R346&lt;&gt;"",R346,IF(OR($S346="",$T346=""),"",IF($T346&lt;&gt;"",_xlfn._xlws.FILTER(R:R,($BT:$BT=$BT346)*($I:$I=$I346)*($T:$T=$T346)*($S:$S=_xlfn.MINIFS($S:$S,$T:$T,"="&amp;$T346)),""))))&amp;"",IF(R346="","",""))&amp;""</f>
        <v/>
      </c>
      <c r="AZ346" s="6">
        <f t="shared" si="592"/>
        <v>31</v>
      </c>
      <c r="BA346">
        <f t="shared" ref="BA346:BC346" si="630">BA345</f>
        <v>18991</v>
      </c>
      <c r="BB346" t="str">
        <f t="shared" si="630"/>
        <v>Triple J</v>
      </c>
      <c r="BC346" t="str">
        <f t="shared" si="630"/>
        <v>Velodrome</v>
      </c>
      <c r="BD346" t="str">
        <f t="shared" si="594"/>
        <v>Turnover</v>
      </c>
      <c r="BE346" t="str">
        <f t="shared" si="595"/>
        <v>Turnover_Giveaway</v>
      </c>
      <c r="BF346" t="str">
        <f t="shared" si="596"/>
        <v>Giveaway-PassIntercepted</v>
      </c>
      <c r="BG346" t="str">
        <f t="shared" si="578"/>
        <v>u</v>
      </c>
      <c r="BH346" cm="1">
        <f t="array" aca="1" ref="BH346" ca="1">IFERROR(_xlfn._xlws.FILTER(shifts!A:A,(shifts!B:B=events!Z346)*(shifts!AG:AG&gt;=events!BJ346)*(shifts!AH:AH&lt;=events!BK346)),BH345)</f>
        <v>11</v>
      </c>
      <c r="BI346" s="15">
        <f t="shared" si="597"/>
        <v>0</v>
      </c>
      <c r="BJ346">
        <f t="shared" si="598"/>
        <v>772</v>
      </c>
      <c r="BK346">
        <f t="shared" si="599"/>
        <v>772</v>
      </c>
      <c r="BL346" s="15">
        <f>SUMIFS(BI$2:BI346,K$2:K346,"=Intermission")+SUMIFS(BI$2:BI346,K$2:K346,"=Timeout")</f>
        <v>0</v>
      </c>
      <c r="BM346">
        <f t="shared" si="600"/>
        <v>0</v>
      </c>
      <c r="BN346" s="19">
        <f t="shared" si="601"/>
        <v>308</v>
      </c>
      <c r="BO346">
        <f t="shared" si="602"/>
        <v>303</v>
      </c>
      <c r="BP346" s="17">
        <f t="shared" si="603"/>
        <v>308</v>
      </c>
      <c r="BQ346" t="str">
        <f t="shared" si="604"/>
        <v>event_team_player_1</v>
      </c>
      <c r="BR346">
        <f>COUNTIFS(S$3:S346,"="&amp;S346,AH$3:AH346,"="&amp;AH346)</f>
        <v>1</v>
      </c>
      <c r="BS346" t="str">
        <f>IFERROR(VLOOKUP(BA346&amp;BT346&amp;X346,game_rosters!U:W,3,FALSE),"")</f>
        <v>P100064</v>
      </c>
      <c r="BT346" t="str">
        <f t="shared" si="605"/>
        <v>Velodrome</v>
      </c>
    </row>
    <row r="347" spans="1:72" x14ac:dyDescent="0.2">
      <c r="A347" t="str">
        <f t="shared" si="580"/>
        <v>x</v>
      </c>
      <c r="D347" s="26" t="s">
        <v>729</v>
      </c>
      <c r="E347" s="4"/>
      <c r="F347" s="45"/>
      <c r="G347" s="4"/>
      <c r="H347" s="47"/>
      <c r="J347" s="26" t="str">
        <f t="shared" si="606"/>
        <v/>
      </c>
      <c r="N347" t="str">
        <f t="shared" si="624"/>
        <v/>
      </c>
      <c r="Q347" t="str">
        <f t="shared" si="618"/>
        <v/>
      </c>
      <c r="S347">
        <f>IF(A347=1,MAX($S$2:$S346)+1,IF(OR($I347&lt;&gt;"",A347="x"),$S346,""))</f>
        <v>177</v>
      </c>
      <c r="T347">
        <f>IF(D347=1,MAX($T$2:$T346)+1,IF(S347=S346,$T346,IF(D347="x",T346,IF(D346="x","",""))))</f>
        <v>22</v>
      </c>
      <c r="U347" t="str">
        <f>IF(B347=1,MAX($U$2:$U346)+1,IF(AND($T347&lt;&gt;"",$T347=$T346),$U346,IF(B347="x",U346,"")))</f>
        <v/>
      </c>
      <c r="V347" t="str">
        <f>IF(C347=1,MAX($V$2:$V346)+1,IF(AND($T347&lt;&gt;"",$T347=$T346),$U346,IF(C347="x",V346,"")))</f>
        <v/>
      </c>
      <c r="W347" t="str" cm="1">
        <f t="array" ref="W347">IFERROR(_xlfn._xlws.FILTER(game_rosters!AC:AC,(game_rosters!J:J=events!X347)*(K347&lt;&gt;"")),"")</f>
        <v/>
      </c>
      <c r="X347" cm="1">
        <f t="array" ref="X347">IF($I347&lt;&gt;"",$I347,INDEX($I$1:$I347,ROW()-COUNTIFS($T$1:$T347,"="&amp;$T347,$S$1:$S347,"&lt;"&amp;$S347)))</f>
        <v>61</v>
      </c>
      <c r="Y347" cm="1">
        <f t="array" ref="Y347">IFERROR(IF(_xlfn._xlws.FILTER(game_rosters!$J:$J,(game_rosters!$G:$G=events!$AM347)*(game_rosters!$J:$J=events!$X347))&gt;0,1,""),"")</f>
        <v>1</v>
      </c>
      <c r="Z347" s="6">
        <f t="shared" si="581"/>
        <v>1</v>
      </c>
      <c r="AA347">
        <f t="shared" si="582"/>
        <v>1177</v>
      </c>
      <c r="AB347">
        <f t="shared" si="583"/>
        <v>9022</v>
      </c>
      <c r="AC347">
        <f t="shared" si="584"/>
        <v>9022</v>
      </c>
      <c r="AD347" t="str">
        <f t="shared" si="585"/>
        <v>12</v>
      </c>
      <c r="AE347" t="str">
        <f t="shared" si="586"/>
        <v>52</v>
      </c>
      <c r="AF347" t="str">
        <f t="shared" si="587"/>
        <v/>
      </c>
      <c r="AG347" t="str">
        <f t="shared" si="588"/>
        <v/>
      </c>
      <c r="AH347" t="str">
        <f t="shared" ref="AH347:AH410" si="631">IF(Y347="x","",IF(Y347=1,"e","o"))</f>
        <v>e</v>
      </c>
      <c r="AI347" t="str">
        <f t="shared" ref="AI347:AJ362" si="632">IF($J347&lt;&gt;"",$J347,IF($AC347=$AC346,AI346,""))</f>
        <v>o</v>
      </c>
      <c r="AJ347" t="str">
        <f t="shared" si="632"/>
        <v>o</v>
      </c>
      <c r="AK347" t="str">
        <f t="shared" ref="AK347:AK410" si="633">IF($W347="","",IF($AI347="","",IF($W347="h",$AI347,IF($AI347="n","n",IF(AND($W347="a",$AI347="d"),"o",IF(AND($W347="a",$AI347="o"),"d"))))))</f>
        <v/>
      </c>
      <c r="AL347" t="str">
        <f t="shared" ref="AL347:AL410" si="634">IF($W347="","",IF(J347="","",IF(AK347="n","n",IF(AK347="d","o",IF(AK347="o","d","")))))</f>
        <v/>
      </c>
      <c r="AM347" t="str">
        <f t="shared" si="589"/>
        <v>Away</v>
      </c>
      <c r="AN347" t="str">
        <f t="shared" ref="AN347:AN410" si="635">IF($W347&lt;&gt;"",$W347,IF($AC347=AC346,AN346,""))</f>
        <v>a</v>
      </c>
      <c r="AO347" t="str">
        <f t="shared" ref="AO347:AO410" si="636">IF(AK347&lt;&gt;"",AK347,IF($AC347=AC346,AO346,""))</f>
        <v>d</v>
      </c>
      <c r="AP347" t="str">
        <f t="shared" ref="AP347:AP410" si="637">IF(AL347&lt;&gt;"",AL347,IF($AC347=AC346,AP346,""))</f>
        <v>o</v>
      </c>
      <c r="AQ347" t="str">
        <f>IF(AM347&lt;&gt;"",AM347,IF($AC347=#REF!,#REF!,""))</f>
        <v>Away</v>
      </c>
      <c r="AR347" t="str">
        <f t="shared" ref="AR347:AR410" si="638">IF(AN347&lt;&gt;"",AN347,IF($AC347=AC346,AQ346,""))</f>
        <v>a</v>
      </c>
      <c r="AS347" t="str">
        <f t="shared" ref="AS347:AS410" si="639">IF(AND(AH347="e",OR(BD347="Save",BE347="Turnover_Takeaway",BE347="Play_Defensive")),"Defensive",IF(AND(AH347="o",OR(BD347="Save",BE347="Turnover_Takeaway",BE347="Play_Defensive")),"Offensive",IF(OR(BD347="Deadice",BD347="Stoppage",BD347="Intermission"),"",IF(AH347="e","Offensive",IF(AH347="o","Defensive","")))))</f>
        <v>Offensive</v>
      </c>
      <c r="AT347" t="str">
        <f t="shared" si="590"/>
        <v/>
      </c>
      <c r="AU347" t="str">
        <f t="shared" si="591"/>
        <v/>
      </c>
      <c r="AV347" t="str" cm="1">
        <f t="array" ref="AV347">IFERROR(IF(O347&lt;&gt;"",O347,IF(OR($S347="",$T347=""),"",IF(O347&lt;&gt;"",O347,IF($T347&lt;&gt;"",_xlfn._xlws.FILTER(O:O,($BT:$BT=$BT347)*($I:$I=$I347)*($T:$T=$T347)*($S:$S=_xlfn.MINIFS($S:$S,$T:$T,"="&amp;$T347)),"")))))&amp;"",IF(O347="","",""))&amp;""</f>
        <v/>
      </c>
      <c r="AW347" t="str" cm="1">
        <f t="array" ref="AW347">IFERROR(IF(P347&lt;&gt;"",P347,IF(OR($S347="",$T347=""),"",IF($T347&lt;&gt;"",_xlfn._xlws.FILTER(P:P,($BT:$BT=$BT347)*($I:$I=$I347)*($T:$T=$T347)*($S:$S=_xlfn.MINIFS($S:$S,$T:$T,"="&amp;$T347)),""))))&amp;"",IF(P347="","",""))&amp;""</f>
        <v/>
      </c>
      <c r="AX347" t="str" cm="1">
        <f t="array" ref="AX347">IFERROR(IF(Q347&lt;&gt;"",Q347,IF(OR($S347="",$T347=""),"",IF($T347&lt;&gt;"",_xlfn._xlws.FILTER(Q:Q,($BT:$BT=$BT347)*($I:$I=$I347)*($T:$T=$T347)*($S:$S=_xlfn.MINIFS($S:$S,$T:$T,"="&amp;$T347)),""))))&amp;"",IF(Q347="","",""))&amp;""</f>
        <v/>
      </c>
      <c r="AY347" t="str" cm="1">
        <f t="array" ref="AY347">IFERROR(IF(R347&lt;&gt;"",R347,IF(OR($S347="",$T347=""),"",IF($T347&lt;&gt;"",_xlfn._xlws.FILTER(R:R,($BT:$BT=$BT347)*($I:$I=$I347)*($T:$T=$T347)*($S:$S=_xlfn.MINIFS($S:$S,$T:$T,"="&amp;$T347)),""))))&amp;"",IF(R347="","",""))&amp;""</f>
        <v/>
      </c>
      <c r="AZ347" s="6">
        <f t="shared" si="592"/>
        <v>31</v>
      </c>
      <c r="BA347">
        <f t="shared" ref="BA347:BC347" si="640">BA346</f>
        <v>18991</v>
      </c>
      <c r="BB347" t="str">
        <f t="shared" si="640"/>
        <v>Triple J</v>
      </c>
      <c r="BC347" t="str">
        <f t="shared" si="640"/>
        <v>Velodrome</v>
      </c>
      <c r="BD347" t="str">
        <f t="shared" si="594"/>
        <v>Turnover</v>
      </c>
      <c r="BE347" t="str">
        <f t="shared" si="595"/>
        <v>Turnover_Giveaway</v>
      </c>
      <c r="BF347" t="str">
        <f t="shared" si="596"/>
        <v>Giveaway-PassIntercepted</v>
      </c>
      <c r="BG347" t="str">
        <f t="shared" si="578"/>
        <v>u</v>
      </c>
      <c r="BH347" cm="1">
        <f t="array" aca="1" ref="BH347" ca="1">IFERROR(_xlfn._xlws.FILTER(shifts!A:A,(shifts!B:B=events!Z347)*(shifts!AG:AG&gt;=events!BJ347)*(shifts!AH:AH&lt;=events!BK347)),BH346)</f>
        <v>11</v>
      </c>
      <c r="BI347" s="15">
        <f t="shared" si="597"/>
        <v>0</v>
      </c>
      <c r="BJ347">
        <f t="shared" si="598"/>
        <v>772</v>
      </c>
      <c r="BK347">
        <f t="shared" si="599"/>
        <v>772</v>
      </c>
      <c r="BL347" s="15">
        <f>SUMIFS(BI$2:BI347,K$2:K347,"=Intermission")+SUMIFS(BI$2:BI347,K$2:K347,"=Timeout")</f>
        <v>0</v>
      </c>
      <c r="BM347">
        <f t="shared" si="600"/>
        <v>0</v>
      </c>
      <c r="BN347" s="19">
        <f t="shared" si="601"/>
        <v>308</v>
      </c>
      <c r="BO347">
        <f t="shared" si="602"/>
        <v>303</v>
      </c>
      <c r="BP347" s="17">
        <f t="shared" si="603"/>
        <v>308</v>
      </c>
      <c r="BQ347" t="str">
        <f t="shared" si="604"/>
        <v>event_team_player_2</v>
      </c>
      <c r="BR347">
        <f>COUNTIFS(S$3:S347,"="&amp;S347,AH$3:AH347,"="&amp;AH347)</f>
        <v>2</v>
      </c>
      <c r="BS347" t="str">
        <f>IFERROR(VLOOKUP(BA347&amp;BT347&amp;X347,game_rosters!U:W,3,FALSE),"")</f>
        <v>P100224</v>
      </c>
      <c r="BT347" t="str">
        <f t="shared" si="605"/>
        <v>Velodrome</v>
      </c>
    </row>
    <row r="348" spans="1:72" x14ac:dyDescent="0.2">
      <c r="A348" t="str">
        <f t="shared" si="580"/>
        <v>x</v>
      </c>
      <c r="D348" s="26" t="s">
        <v>729</v>
      </c>
      <c r="E348" s="4"/>
      <c r="F348" s="45"/>
      <c r="G348" s="4"/>
      <c r="H348" s="47"/>
      <c r="J348" s="26" t="str">
        <f t="shared" si="606"/>
        <v/>
      </c>
      <c r="N348" t="str">
        <f t="shared" si="624"/>
        <v/>
      </c>
      <c r="Q348" t="str">
        <f t="shared" si="618"/>
        <v/>
      </c>
      <c r="S348">
        <f>IF(A348=1,MAX($S$2:$S347)+1,IF(OR($I348&lt;&gt;"",A348="x"),$S347,""))</f>
        <v>177</v>
      </c>
      <c r="T348">
        <f>IF(D348=1,MAX($T$2:$T347)+1,IF(S348=S347,$T347,IF(D348="x",T347,IF(D347="x","",""))))</f>
        <v>22</v>
      </c>
      <c r="U348" t="str">
        <f>IF(B348=1,MAX($U$2:$U347)+1,IF(AND($T348&lt;&gt;"",$T348=$T347),$U347,IF(B348="x",U347,"")))</f>
        <v/>
      </c>
      <c r="V348" t="str">
        <f>IF(C348=1,MAX($V$2:$V347)+1,IF(AND($T348&lt;&gt;"",$T348=$T347),$U347,IF(C348="x",V347,"")))</f>
        <v/>
      </c>
      <c r="W348" t="str" cm="1">
        <f t="array" ref="W348">IFERROR(_xlfn._xlws.FILTER(game_rosters!AC:AC,(game_rosters!J:J=events!X348)*(K348&lt;&gt;"")),"")</f>
        <v/>
      </c>
      <c r="X348" cm="1">
        <f t="array" ref="X348">IF($I348&lt;&gt;"",$I348,INDEX($I$1:$I348,ROW()-COUNTIFS($T$1:$T348,"="&amp;$T348,$S$1:$S348,"&lt;"&amp;$S348)))</f>
        <v>73</v>
      </c>
      <c r="Y348" t="str" cm="1">
        <f t="array" ref="Y348">IFERROR(IF(_xlfn._xlws.FILTER(game_rosters!$J:$J,(game_rosters!$G:$G=events!$AM348)*(game_rosters!$J:$J=events!$X348))&gt;0,1,""),"")</f>
        <v/>
      </c>
      <c r="Z348" s="6">
        <f t="shared" si="581"/>
        <v>1</v>
      </c>
      <c r="AA348">
        <f t="shared" si="582"/>
        <v>1177</v>
      </c>
      <c r="AB348">
        <f t="shared" si="583"/>
        <v>9022</v>
      </c>
      <c r="AC348">
        <f t="shared" si="584"/>
        <v>9022</v>
      </c>
      <c r="AD348" t="str">
        <f t="shared" si="585"/>
        <v>12</v>
      </c>
      <c r="AE348" t="str">
        <f t="shared" si="586"/>
        <v>52</v>
      </c>
      <c r="AF348" t="str">
        <f t="shared" si="587"/>
        <v/>
      </c>
      <c r="AG348" t="str">
        <f t="shared" si="588"/>
        <v/>
      </c>
      <c r="AH348" t="str">
        <f t="shared" si="631"/>
        <v>o</v>
      </c>
      <c r="AI348" t="str">
        <f t="shared" si="632"/>
        <v>o</v>
      </c>
      <c r="AJ348" t="str">
        <f t="shared" si="632"/>
        <v>o</v>
      </c>
      <c r="AK348" t="str">
        <f t="shared" si="633"/>
        <v/>
      </c>
      <c r="AL348" t="str">
        <f t="shared" si="634"/>
        <v/>
      </c>
      <c r="AM348" t="str">
        <f t="shared" si="589"/>
        <v>Away</v>
      </c>
      <c r="AN348" t="str">
        <f t="shared" si="635"/>
        <v>a</v>
      </c>
      <c r="AO348" t="str">
        <f t="shared" si="636"/>
        <v>d</v>
      </c>
      <c r="AP348" t="str">
        <f t="shared" si="637"/>
        <v>o</v>
      </c>
      <c r="AQ348" t="str">
        <f>IF(AM348&lt;&gt;"",AM348,IF($AC348=#REF!,#REF!,""))</f>
        <v>Away</v>
      </c>
      <c r="AR348" t="str">
        <f t="shared" si="638"/>
        <v>a</v>
      </c>
      <c r="AS348" t="str">
        <f t="shared" si="639"/>
        <v>Defensive</v>
      </c>
      <c r="AT348" t="str">
        <f t="shared" si="590"/>
        <v/>
      </c>
      <c r="AU348" t="str">
        <f t="shared" si="591"/>
        <v/>
      </c>
      <c r="AV348" t="str" cm="1">
        <f t="array" ref="AV348">IFERROR(IF(O348&lt;&gt;"",O348,IF(OR($S348="",$T348=""),"",IF(O348&lt;&gt;"",O348,IF($T348&lt;&gt;"",_xlfn._xlws.FILTER(O:O,($BT:$BT=$BT348)*($I:$I=$I348)*($T:$T=$T348)*($S:$S=_xlfn.MINIFS($S:$S,$T:$T,"="&amp;$T348)),"")))))&amp;"",IF(O348="","",""))&amp;""</f>
        <v/>
      </c>
      <c r="AW348" t="str" cm="1">
        <f t="array" ref="AW348">IFERROR(IF(P348&lt;&gt;"",P348,IF(OR($S348="",$T348=""),"",IF($T348&lt;&gt;"",_xlfn._xlws.FILTER(P:P,($BT:$BT=$BT348)*($I:$I=$I348)*($T:$T=$T348)*($S:$S=_xlfn.MINIFS($S:$S,$T:$T,"="&amp;$T348)),""))))&amp;"",IF(P348="","",""))&amp;""</f>
        <v/>
      </c>
      <c r="AX348" t="str" cm="1">
        <f t="array" ref="AX348">IFERROR(IF(Q348&lt;&gt;"",Q348,IF(OR($S348="",$T348=""),"",IF($T348&lt;&gt;"",_xlfn._xlws.FILTER(Q:Q,($BT:$BT=$BT348)*($I:$I=$I348)*($T:$T=$T348)*($S:$S=_xlfn.MINIFS($S:$S,$T:$T,"="&amp;$T348)),""))))&amp;"",IF(Q348="","",""))&amp;""</f>
        <v/>
      </c>
      <c r="AY348" t="str" cm="1">
        <f t="array" ref="AY348">IFERROR(IF(R348&lt;&gt;"",R348,IF(OR($S348="",$T348=""),"",IF($T348&lt;&gt;"",_xlfn._xlws.FILTER(R:R,($BT:$BT=$BT348)*($I:$I=$I348)*($T:$T=$T348)*($S:$S=_xlfn.MINIFS($S:$S,$T:$T,"="&amp;$T348)),""))))&amp;"",IF(R348="","",""))&amp;""</f>
        <v/>
      </c>
      <c r="AZ348" s="6">
        <f t="shared" si="592"/>
        <v>31</v>
      </c>
      <c r="BA348">
        <f t="shared" ref="BA348:BC348" si="641">BA347</f>
        <v>18991</v>
      </c>
      <c r="BB348" t="str">
        <f t="shared" si="641"/>
        <v>Triple J</v>
      </c>
      <c r="BC348" t="str">
        <f t="shared" si="641"/>
        <v>Velodrome</v>
      </c>
      <c r="BD348" t="str">
        <f t="shared" si="594"/>
        <v>Turnover</v>
      </c>
      <c r="BE348" t="str">
        <f t="shared" si="595"/>
        <v>Turnover_Giveaway</v>
      </c>
      <c r="BF348" t="str">
        <f t="shared" si="596"/>
        <v>Giveaway-PassIntercepted</v>
      </c>
      <c r="BG348" t="str">
        <f t="shared" si="578"/>
        <v>u</v>
      </c>
      <c r="BH348" cm="1">
        <f t="array" aca="1" ref="BH348" ca="1">IFERROR(_xlfn._xlws.FILTER(shifts!A:A,(shifts!B:B=events!Z348)*(shifts!AG:AG&gt;=events!BJ348)*(shifts!AH:AH&lt;=events!BK348)),BH347)</f>
        <v>11</v>
      </c>
      <c r="BI348" s="15">
        <f t="shared" si="597"/>
        <v>0</v>
      </c>
      <c r="BJ348">
        <f t="shared" si="598"/>
        <v>772</v>
      </c>
      <c r="BK348">
        <f t="shared" si="599"/>
        <v>772</v>
      </c>
      <c r="BL348" s="15">
        <f>SUMIFS(BI$2:BI348,K$2:K348,"=Intermission")+SUMIFS(BI$2:BI348,K$2:K348,"=Timeout")</f>
        <v>0</v>
      </c>
      <c r="BM348">
        <f t="shared" si="600"/>
        <v>0</v>
      </c>
      <c r="BN348" s="19">
        <f t="shared" si="601"/>
        <v>308</v>
      </c>
      <c r="BO348">
        <f t="shared" si="602"/>
        <v>303</v>
      </c>
      <c r="BP348" s="17">
        <f t="shared" si="603"/>
        <v>308</v>
      </c>
      <c r="BQ348" t="str">
        <f t="shared" si="604"/>
        <v>opp_team_player_1</v>
      </c>
      <c r="BR348">
        <f>COUNTIFS(S$3:S348,"="&amp;S348,AH$3:AH348,"="&amp;AH348)</f>
        <v>1</v>
      </c>
      <c r="BS348" t="str">
        <f>IFERROR(VLOOKUP(BA348&amp;BT348&amp;X348,game_rosters!U:W,3,FALSE),"")</f>
        <v>P100021</v>
      </c>
      <c r="BT348" t="str">
        <f t="shared" si="605"/>
        <v>Triple J</v>
      </c>
    </row>
    <row r="349" spans="1:72" x14ac:dyDescent="0.2">
      <c r="A349" t="str">
        <f t="shared" si="580"/>
        <v>x</v>
      </c>
      <c r="D349" s="26" t="s">
        <v>729</v>
      </c>
      <c r="E349" s="4"/>
      <c r="F349" s="45"/>
      <c r="G349" s="4"/>
      <c r="H349" s="47"/>
      <c r="J349" s="26" t="str">
        <f t="shared" si="606"/>
        <v/>
      </c>
      <c r="N349" t="str">
        <f t="shared" si="624"/>
        <v/>
      </c>
      <c r="Q349" t="str">
        <f t="shared" si="618"/>
        <v/>
      </c>
      <c r="S349">
        <f>IF(A349=1,MAX($S$2:$S348)+1,IF(OR($I349&lt;&gt;"",A349="x"),$S348,""))</f>
        <v>177</v>
      </c>
      <c r="T349">
        <f>IF(D349=1,MAX($T$2:$T348)+1,IF(S349=S348,$T348,IF(D349="x",T348,IF(D348="x","",""))))</f>
        <v>22</v>
      </c>
      <c r="U349" t="str">
        <f>IF(B349=1,MAX($U$2:$U348)+1,IF(AND($T349&lt;&gt;"",$T349=$T348),$U348,IF(B349="x",U348,"")))</f>
        <v/>
      </c>
      <c r="V349" t="str">
        <f>IF(C349=1,MAX($V$2:$V348)+1,IF(AND($T349&lt;&gt;"",$T349=$T348),$U348,IF(C349="x",V348,"")))</f>
        <v/>
      </c>
      <c r="W349" t="str" cm="1">
        <f t="array" ref="W349">IFERROR(_xlfn._xlws.FILTER(game_rosters!AC:AC,(game_rosters!J:J=events!X349)*(K349&lt;&gt;"")),"")</f>
        <v/>
      </c>
      <c r="X349" cm="1">
        <f t="array" ref="X349">IF($I349&lt;&gt;"",$I349,INDEX($I$1:$I349,ROW()-COUNTIFS($T$1:$T349,"="&amp;$T349,$S$1:$S349,"&lt;"&amp;$S349)))</f>
        <v>57</v>
      </c>
      <c r="Y349" t="str" cm="1">
        <f t="array" ref="Y349">IFERROR(IF(_xlfn._xlws.FILTER(game_rosters!$J:$J,(game_rosters!$G:$G=events!$AM349)*(game_rosters!$J:$J=events!$X349))&gt;0,1,""),"")</f>
        <v/>
      </c>
      <c r="Z349" s="6">
        <f t="shared" si="581"/>
        <v>1</v>
      </c>
      <c r="AA349">
        <f t="shared" si="582"/>
        <v>1177</v>
      </c>
      <c r="AB349">
        <f t="shared" si="583"/>
        <v>9022</v>
      </c>
      <c r="AC349">
        <f t="shared" si="584"/>
        <v>9022</v>
      </c>
      <c r="AD349" t="str">
        <f t="shared" si="585"/>
        <v>12</v>
      </c>
      <c r="AE349" t="str">
        <f t="shared" si="586"/>
        <v>52</v>
      </c>
      <c r="AF349" t="str">
        <f t="shared" si="587"/>
        <v/>
      </c>
      <c r="AG349" t="str">
        <f t="shared" si="588"/>
        <v/>
      </c>
      <c r="AH349" t="str">
        <f t="shared" si="631"/>
        <v>o</v>
      </c>
      <c r="AI349" t="str">
        <f t="shared" si="632"/>
        <v>o</v>
      </c>
      <c r="AJ349" t="str">
        <f t="shared" si="632"/>
        <v>o</v>
      </c>
      <c r="AK349" t="str">
        <f t="shared" si="633"/>
        <v/>
      </c>
      <c r="AL349" t="str">
        <f t="shared" si="634"/>
        <v/>
      </c>
      <c r="AM349" t="str">
        <f t="shared" si="589"/>
        <v>Away</v>
      </c>
      <c r="AN349" t="str">
        <f t="shared" si="635"/>
        <v>a</v>
      </c>
      <c r="AO349" t="str">
        <f t="shared" si="636"/>
        <v>d</v>
      </c>
      <c r="AP349" t="str">
        <f t="shared" si="637"/>
        <v>o</v>
      </c>
      <c r="AQ349" t="str">
        <f>IF(AM349&lt;&gt;"",AM349,IF($AC349=#REF!,#REF!,""))</f>
        <v>Away</v>
      </c>
      <c r="AR349" t="str">
        <f t="shared" si="638"/>
        <v>a</v>
      </c>
      <c r="AS349" t="str">
        <f t="shared" si="639"/>
        <v>Defensive</v>
      </c>
      <c r="AT349" t="str">
        <f t="shared" si="590"/>
        <v/>
      </c>
      <c r="AU349" t="str">
        <f t="shared" si="591"/>
        <v/>
      </c>
      <c r="AV349" t="str" cm="1">
        <f t="array" ref="AV349">IFERROR(IF(O349&lt;&gt;"",O349,IF(OR($S349="",$T349=""),"",IF(O349&lt;&gt;"",O349,IF($T349&lt;&gt;"",_xlfn._xlws.FILTER(O:O,($BT:$BT=$BT349)*($I:$I=$I349)*($T:$T=$T349)*($S:$S=_xlfn.MINIFS($S:$S,$T:$T,"="&amp;$T349)),"")))))&amp;"",IF(O349="","",""))&amp;""</f>
        <v/>
      </c>
      <c r="AW349" t="str" cm="1">
        <f t="array" ref="AW349">IFERROR(IF(P349&lt;&gt;"",P349,IF(OR($S349="",$T349=""),"",IF($T349&lt;&gt;"",_xlfn._xlws.FILTER(P:P,($BT:$BT=$BT349)*($I:$I=$I349)*($T:$T=$T349)*($S:$S=_xlfn.MINIFS($S:$S,$T:$T,"="&amp;$T349)),""))))&amp;"",IF(P349="","",""))&amp;""</f>
        <v/>
      </c>
      <c r="AX349" t="str" cm="1">
        <f t="array" ref="AX349">IFERROR(IF(Q349&lt;&gt;"",Q349,IF(OR($S349="",$T349=""),"",IF($T349&lt;&gt;"",_xlfn._xlws.FILTER(Q:Q,($BT:$BT=$BT349)*($I:$I=$I349)*($T:$T=$T349)*($S:$S=_xlfn.MINIFS($S:$S,$T:$T,"="&amp;$T349)),""))))&amp;"",IF(Q349="","",""))&amp;""</f>
        <v/>
      </c>
      <c r="AY349" t="str" cm="1">
        <f t="array" ref="AY349">IFERROR(IF(R349&lt;&gt;"",R349,IF(OR($S349="",$T349=""),"",IF($T349&lt;&gt;"",_xlfn._xlws.FILTER(R:R,($BT:$BT=$BT349)*($I:$I=$I349)*($T:$T=$T349)*($S:$S=_xlfn.MINIFS($S:$S,$T:$T,"="&amp;$T349)),""))))&amp;"",IF(R349="","",""))&amp;""</f>
        <v/>
      </c>
      <c r="AZ349" s="6">
        <f t="shared" si="592"/>
        <v>31</v>
      </c>
      <c r="BA349">
        <f t="shared" ref="BA349:BC349" si="642">BA348</f>
        <v>18991</v>
      </c>
      <c r="BB349" t="str">
        <f t="shared" si="642"/>
        <v>Triple J</v>
      </c>
      <c r="BC349" t="str">
        <f t="shared" si="642"/>
        <v>Velodrome</v>
      </c>
      <c r="BD349" t="str">
        <f t="shared" si="594"/>
        <v>Turnover</v>
      </c>
      <c r="BE349" t="str">
        <f t="shared" si="595"/>
        <v>Turnover_Giveaway</v>
      </c>
      <c r="BF349" t="str">
        <f t="shared" si="596"/>
        <v>Giveaway-PassIntercepted</v>
      </c>
      <c r="BG349" t="str">
        <f t="shared" si="578"/>
        <v>u</v>
      </c>
      <c r="BH349" cm="1">
        <f t="array" aca="1" ref="BH349" ca="1">IFERROR(_xlfn._xlws.FILTER(shifts!A:A,(shifts!B:B=events!Z349)*(shifts!AG:AG&gt;=events!BJ349)*(shifts!AH:AH&lt;=events!BK349)),BH348)</f>
        <v>11</v>
      </c>
      <c r="BI349" s="15">
        <f t="shared" si="597"/>
        <v>0</v>
      </c>
      <c r="BJ349">
        <f t="shared" si="598"/>
        <v>772</v>
      </c>
      <c r="BK349">
        <f t="shared" si="599"/>
        <v>772</v>
      </c>
      <c r="BL349" s="15">
        <f>SUMIFS(BI$2:BI349,K$2:K349,"=Intermission")+SUMIFS(BI$2:BI349,K$2:K349,"=Timeout")</f>
        <v>0</v>
      </c>
      <c r="BM349">
        <f t="shared" si="600"/>
        <v>0</v>
      </c>
      <c r="BN349" s="19">
        <f t="shared" si="601"/>
        <v>308</v>
      </c>
      <c r="BO349">
        <f t="shared" si="602"/>
        <v>303</v>
      </c>
      <c r="BP349" s="17">
        <f t="shared" si="603"/>
        <v>308</v>
      </c>
      <c r="BQ349" t="str">
        <f t="shared" si="604"/>
        <v>opp_team_player_2</v>
      </c>
      <c r="BR349">
        <f>COUNTIFS(S$3:S349,"="&amp;S349,AH$3:AH349,"="&amp;AH349)</f>
        <v>2</v>
      </c>
      <c r="BS349" t="str">
        <f>IFERROR(VLOOKUP(BA349&amp;BT349&amp;X349,game_rosters!U:W,3,FALSE),"")</f>
        <v>P100007</v>
      </c>
      <c r="BT349" t="str">
        <f t="shared" si="605"/>
        <v>Triple J</v>
      </c>
    </row>
    <row r="350" spans="1:72" x14ac:dyDescent="0.2">
      <c r="A350">
        <f t="shared" si="580"/>
        <v>1</v>
      </c>
      <c r="E350" s="4"/>
      <c r="F350" s="45" t="s">
        <v>1045</v>
      </c>
      <c r="G350" s="4"/>
      <c r="H350" s="47"/>
      <c r="I350" s="26">
        <v>73</v>
      </c>
      <c r="J350" s="26" t="s">
        <v>736</v>
      </c>
      <c r="K350" t="s">
        <v>7</v>
      </c>
      <c r="L350" t="s">
        <v>182</v>
      </c>
      <c r="M350" t="s">
        <v>67</v>
      </c>
      <c r="N350" t="str">
        <f t="shared" si="624"/>
        <v>u</v>
      </c>
      <c r="Q350" t="str">
        <f t="shared" si="618"/>
        <v/>
      </c>
      <c r="R350" s="26">
        <v>1</v>
      </c>
      <c r="S350">
        <f>IF(A350=1,MAX($S$2:$S349)+1,IF(OR($I350&lt;&gt;"",A350="x"),$S349,""))</f>
        <v>178</v>
      </c>
      <c r="T350" t="str">
        <f>IF(D350=1,MAX($T$2:$T349)+1,IF(S350=S349,$T349,IF(D350="x",T349,IF(D349="x","",""))))</f>
        <v/>
      </c>
      <c r="U350" t="str">
        <f>IF(B350=1,MAX($U$2:$U349)+1,IF(AND($T350&lt;&gt;"",$T350=$T349),$U349,IF(B350="x",U349,"")))</f>
        <v/>
      </c>
      <c r="V350" t="str">
        <f>IF(C350=1,MAX($V$2:$V349)+1,IF(AND($T350&lt;&gt;"",$T350=$T349),$U349,IF(C350="x",V349,"")))</f>
        <v/>
      </c>
      <c r="W350" t="str" cm="1">
        <f t="array" ref="W350">IFERROR(_xlfn._xlws.FILTER(game_rosters!AC:AC,(game_rosters!J:J=events!X350)*(K350&lt;&gt;"")),"")</f>
        <v>h</v>
      </c>
      <c r="X350" cm="1">
        <f t="array" ref="X350">IF($I350&lt;&gt;"",$I350,INDEX($I$1:$I350,ROW()-COUNTIFS($T$1:$T350,"="&amp;$T350,$S$1:$S350,"&lt;"&amp;$S350)))</f>
        <v>73</v>
      </c>
      <c r="Y350" cm="1">
        <f t="array" ref="Y350">IFERROR(IF(_xlfn._xlws.FILTER(game_rosters!$J:$J,(game_rosters!$G:$G=events!$AM350)*(game_rosters!$J:$J=events!$X350))&gt;0,1,""),"")</f>
        <v>1</v>
      </c>
      <c r="Z350" s="6">
        <f t="shared" si="581"/>
        <v>1</v>
      </c>
      <c r="AA350">
        <f t="shared" si="582"/>
        <v>1178</v>
      </c>
      <c r="AB350" t="str">
        <f t="shared" si="583"/>
        <v/>
      </c>
      <c r="AC350">
        <f t="shared" si="584"/>
        <v>1178</v>
      </c>
      <c r="AD350" t="str">
        <f t="shared" si="585"/>
        <v>12</v>
      </c>
      <c r="AE350" t="str">
        <f t="shared" si="586"/>
        <v>50</v>
      </c>
      <c r="AF350" t="str">
        <f t="shared" si="587"/>
        <v/>
      </c>
      <c r="AG350" t="str">
        <f t="shared" si="588"/>
        <v/>
      </c>
      <c r="AH350" t="str">
        <f t="shared" si="631"/>
        <v>e</v>
      </c>
      <c r="AI350" t="str">
        <f t="shared" si="632"/>
        <v>d</v>
      </c>
      <c r="AJ350" t="str">
        <f t="shared" si="632"/>
        <v>d</v>
      </c>
      <c r="AK350" t="str">
        <f t="shared" si="633"/>
        <v>d</v>
      </c>
      <c r="AL350" t="str">
        <f t="shared" si="634"/>
        <v>o</v>
      </c>
      <c r="AM350" t="str">
        <f t="shared" si="589"/>
        <v>Home</v>
      </c>
      <c r="AN350" t="str">
        <f t="shared" si="635"/>
        <v>h</v>
      </c>
      <c r="AO350" t="str">
        <f t="shared" si="636"/>
        <v>d</v>
      </c>
      <c r="AP350" t="str">
        <f t="shared" si="637"/>
        <v>o</v>
      </c>
      <c r="AQ350" t="str">
        <f>IF(AM350&lt;&gt;"",AM350,IF($AC350=#REF!,#REF!,""))</f>
        <v>Home</v>
      </c>
      <c r="AR350" t="str">
        <f t="shared" si="638"/>
        <v>h</v>
      </c>
      <c r="AS350" t="str">
        <f t="shared" si="639"/>
        <v>Offensive</v>
      </c>
      <c r="AT350" t="str">
        <f t="shared" si="590"/>
        <v/>
      </c>
      <c r="AU350" t="str">
        <f t="shared" si="591"/>
        <v/>
      </c>
      <c r="AV350" t="str" cm="1">
        <f t="array" ref="AV350">IFERROR(IF(O350&lt;&gt;"",O350,IF(OR($S350="",$T350=""),"",IF(O350&lt;&gt;"",O350,IF($T350&lt;&gt;"",_xlfn._xlws.FILTER(O:O,($BT:$BT=$BT350)*($I:$I=$I350)*($T:$T=$T350)*($S:$S=_xlfn.MINIFS($S:$S,$T:$T,"="&amp;$T350)),"")))))&amp;"",IF(O350="","",""))&amp;""</f>
        <v/>
      </c>
      <c r="AW350" t="str" cm="1">
        <f t="array" ref="AW350">IFERROR(IF(P350&lt;&gt;"",P350,IF(OR($S350="",$T350=""),"",IF($T350&lt;&gt;"",_xlfn._xlws.FILTER(P:P,($BT:$BT=$BT350)*($I:$I=$I350)*($T:$T=$T350)*($S:$S=_xlfn.MINIFS($S:$S,$T:$T,"="&amp;$T350)),""))))&amp;"",IF(P350="","",""))&amp;""</f>
        <v/>
      </c>
      <c r="AX350" t="str" cm="1">
        <f t="array" ref="AX350">IFERROR(IF(Q350&lt;&gt;"",Q350,IF(OR($S350="",$T350=""),"",IF($T350&lt;&gt;"",_xlfn._xlws.FILTER(Q:Q,($BT:$BT=$BT350)*($I:$I=$I350)*($T:$T=$T350)*($S:$S=_xlfn.MINIFS($S:$S,$T:$T,"="&amp;$T350)),""))))&amp;"",IF(Q350="","",""))&amp;""</f>
        <v/>
      </c>
      <c r="AY350" t="str" cm="1">
        <f t="array" ref="AY350">IFERROR(IF(R350&lt;&gt;"",R350,IF(OR($S350="",$T350=""),"",IF($T350&lt;&gt;"",_xlfn._xlws.FILTER(R:R,($BT:$BT=$BT350)*($I:$I=$I350)*($T:$T=$T350)*($S:$S=_xlfn.MINIFS($S:$S,$T:$T,"="&amp;$T350)),""))))&amp;"",IF(R350="","",""))&amp;""</f>
        <v>1</v>
      </c>
      <c r="AZ350" s="6">
        <f t="shared" si="592"/>
        <v>31</v>
      </c>
      <c r="BA350">
        <f t="shared" ref="BA350:BC350" si="643">BA349</f>
        <v>18991</v>
      </c>
      <c r="BB350" t="str">
        <f t="shared" si="643"/>
        <v>Triple J</v>
      </c>
      <c r="BC350" t="str">
        <f t="shared" si="643"/>
        <v>Velodrome</v>
      </c>
      <c r="BD350" t="str">
        <f t="shared" si="594"/>
        <v>Pass</v>
      </c>
      <c r="BE350" t="str">
        <f t="shared" si="595"/>
        <v>Pass_Missed</v>
      </c>
      <c r="BF350" t="str">
        <f t="shared" si="596"/>
        <v>Pass-Backhand</v>
      </c>
      <c r="BG350" t="str">
        <f t="shared" si="578"/>
        <v>u</v>
      </c>
      <c r="BH350" cm="1">
        <f t="array" aca="1" ref="BH350" ca="1">IFERROR(_xlfn._xlws.FILTER(shifts!A:A,(shifts!B:B=events!Z350)*(shifts!AG:AG&gt;=events!BJ350)*(shifts!AH:AH&lt;=events!BK350)),BH349)</f>
        <v>11</v>
      </c>
      <c r="BI350" s="15">
        <f t="shared" si="597"/>
        <v>0</v>
      </c>
      <c r="BJ350">
        <f t="shared" si="598"/>
        <v>770</v>
      </c>
      <c r="BK350">
        <f t="shared" si="599"/>
        <v>770</v>
      </c>
      <c r="BL350" s="15">
        <f>SUMIFS(BI$2:BI350,K$2:K350,"=Intermission")+SUMIFS(BI$2:BI350,K$2:K350,"=Timeout")</f>
        <v>0</v>
      </c>
      <c r="BM350">
        <f t="shared" si="600"/>
        <v>0</v>
      </c>
      <c r="BN350" s="19">
        <f t="shared" si="601"/>
        <v>310</v>
      </c>
      <c r="BO350">
        <f t="shared" si="602"/>
        <v>305</v>
      </c>
      <c r="BP350" s="17">
        <f t="shared" si="603"/>
        <v>310</v>
      </c>
      <c r="BQ350" t="str">
        <f t="shared" si="604"/>
        <v>event_team_player_1</v>
      </c>
      <c r="BR350">
        <f>COUNTIFS(S$3:S350,"="&amp;S350,AH$3:AH350,"="&amp;AH350)</f>
        <v>1</v>
      </c>
      <c r="BS350" t="str">
        <f>IFERROR(VLOOKUP(BA350&amp;BT350&amp;X350,game_rosters!U:W,3,FALSE),"")</f>
        <v>P100021</v>
      </c>
      <c r="BT350" t="str">
        <f t="shared" si="605"/>
        <v>Triple J</v>
      </c>
    </row>
    <row r="351" spans="1:72" x14ac:dyDescent="0.2">
      <c r="A351" t="str">
        <f t="shared" si="580"/>
        <v/>
      </c>
      <c r="E351" s="4"/>
      <c r="F351" s="45"/>
      <c r="G351" s="4"/>
      <c r="H351" s="47"/>
      <c r="I351" s="26">
        <v>71</v>
      </c>
      <c r="J351" s="26" t="str">
        <f t="shared" si="606"/>
        <v/>
      </c>
      <c r="N351" t="str">
        <f t="shared" si="624"/>
        <v/>
      </c>
      <c r="Q351" t="str">
        <f t="shared" si="618"/>
        <v/>
      </c>
      <c r="S351">
        <f>IF(A351=1,MAX($S$2:$S350)+1,IF(OR($I351&lt;&gt;"",A351="x"),$S350,""))</f>
        <v>178</v>
      </c>
      <c r="T351" t="str">
        <f>IF(D351=1,MAX($T$2:$T350)+1,IF(S351=S350,$T350,IF(D351="x",T350,IF(D350="x","",""))))</f>
        <v/>
      </c>
      <c r="U351" t="str">
        <f>IF(B351=1,MAX($U$2:$U350)+1,IF(AND($T351&lt;&gt;"",$T351=$T350),$U350,IF(B351="x",U350,"")))</f>
        <v/>
      </c>
      <c r="V351" t="str">
        <f>IF(C351=1,MAX($V$2:$V350)+1,IF(AND($T351&lt;&gt;"",$T351=$T350),$U350,IF(C351="x",V350,"")))</f>
        <v/>
      </c>
      <c r="W351" t="str" cm="1">
        <f t="array" ref="W351">IFERROR(_xlfn._xlws.FILTER(game_rosters!AC:AC,(game_rosters!J:J=events!X351)*(K351&lt;&gt;"")),"")</f>
        <v/>
      </c>
      <c r="X351" cm="1">
        <f t="array" ref="X351">IF($I351&lt;&gt;"",$I351,INDEX($I$1:$I351,ROW()-COUNTIFS($T$1:$T351,"="&amp;$T351,$S$1:$S351,"&lt;"&amp;$S351)))</f>
        <v>71</v>
      </c>
      <c r="Y351" cm="1">
        <f t="array" ref="Y351">IFERROR(IF(_xlfn._xlws.FILTER(game_rosters!$J:$J,(game_rosters!$G:$G=events!$AM351)*(game_rosters!$J:$J=events!$X351))&gt;0,1,""),"")</f>
        <v>1</v>
      </c>
      <c r="Z351" s="6">
        <f t="shared" si="581"/>
        <v>1</v>
      </c>
      <c r="AA351">
        <f t="shared" si="582"/>
        <v>1178</v>
      </c>
      <c r="AB351" t="str">
        <f t="shared" si="583"/>
        <v/>
      </c>
      <c r="AC351">
        <f t="shared" si="584"/>
        <v>1178</v>
      </c>
      <c r="AD351" t="str">
        <f t="shared" si="585"/>
        <v>12</v>
      </c>
      <c r="AE351" t="str">
        <f t="shared" si="586"/>
        <v>50</v>
      </c>
      <c r="AF351" t="str">
        <f t="shared" si="587"/>
        <v/>
      </c>
      <c r="AG351" t="str">
        <f t="shared" si="588"/>
        <v/>
      </c>
      <c r="AH351" t="str">
        <f t="shared" si="631"/>
        <v>e</v>
      </c>
      <c r="AI351" t="str">
        <f t="shared" si="632"/>
        <v>d</v>
      </c>
      <c r="AJ351" t="str">
        <f t="shared" si="632"/>
        <v>d</v>
      </c>
      <c r="AK351" t="str">
        <f t="shared" si="633"/>
        <v/>
      </c>
      <c r="AL351" t="str">
        <f t="shared" si="634"/>
        <v/>
      </c>
      <c r="AM351" t="str">
        <f t="shared" si="589"/>
        <v>Home</v>
      </c>
      <c r="AN351" t="str">
        <f t="shared" si="635"/>
        <v>h</v>
      </c>
      <c r="AO351" t="str">
        <f t="shared" si="636"/>
        <v>d</v>
      </c>
      <c r="AP351" t="str">
        <f t="shared" si="637"/>
        <v>o</v>
      </c>
      <c r="AQ351" t="str">
        <f>IF(AM351&lt;&gt;"",AM351,IF($AC351=#REF!,#REF!,""))</f>
        <v>Home</v>
      </c>
      <c r="AR351" t="str">
        <f t="shared" si="638"/>
        <v>h</v>
      </c>
      <c r="AS351" t="str">
        <f t="shared" si="639"/>
        <v>Offensive</v>
      </c>
      <c r="AT351" t="str">
        <f t="shared" si="590"/>
        <v/>
      </c>
      <c r="AU351" t="str">
        <f t="shared" si="591"/>
        <v/>
      </c>
      <c r="AV351" t="str" cm="1">
        <f t="array" ref="AV351">IFERROR(IF(O351&lt;&gt;"",O351,IF(OR($S351="",$T351=""),"",IF(O351&lt;&gt;"",O351,IF($T351&lt;&gt;"",_xlfn._xlws.FILTER(O:O,($BT:$BT=$BT351)*($I:$I=$I351)*($T:$T=$T351)*($S:$S=_xlfn.MINIFS($S:$S,$T:$T,"="&amp;$T351)),"")))))&amp;"",IF(O351="","",""))&amp;""</f>
        <v/>
      </c>
      <c r="AW351" t="str" cm="1">
        <f t="array" ref="AW351">IFERROR(IF(P351&lt;&gt;"",P351,IF(OR($S351="",$T351=""),"",IF($T351&lt;&gt;"",_xlfn._xlws.FILTER(P:P,($BT:$BT=$BT351)*($I:$I=$I351)*($T:$T=$T351)*($S:$S=_xlfn.MINIFS($S:$S,$T:$T,"="&amp;$T351)),""))))&amp;"",IF(P351="","",""))&amp;""</f>
        <v/>
      </c>
      <c r="AX351" t="str" cm="1">
        <f t="array" ref="AX351">IFERROR(IF(Q351&lt;&gt;"",Q351,IF(OR($S351="",$T351=""),"",IF($T351&lt;&gt;"",_xlfn._xlws.FILTER(Q:Q,($BT:$BT=$BT351)*($I:$I=$I351)*($T:$T=$T351)*($S:$S=_xlfn.MINIFS($S:$S,$T:$T,"="&amp;$T351)),""))))&amp;"",IF(Q351="","",""))&amp;""</f>
        <v/>
      </c>
      <c r="AY351" t="str" cm="1">
        <f t="array" ref="AY351">IFERROR(IF(R351&lt;&gt;"",R351,IF(OR($S351="",$T351=""),"",IF($T351&lt;&gt;"",_xlfn._xlws.FILTER(R:R,($BT:$BT=$BT351)*($I:$I=$I351)*($T:$T=$T351)*($S:$S=_xlfn.MINIFS($S:$S,$T:$T,"="&amp;$T351)),""))))&amp;"",IF(R351="","",""))&amp;""</f>
        <v/>
      </c>
      <c r="AZ351" s="6">
        <f t="shared" si="592"/>
        <v>31</v>
      </c>
      <c r="BA351">
        <f t="shared" ref="BA351:BC351" si="644">BA350</f>
        <v>18991</v>
      </c>
      <c r="BB351" t="str">
        <f t="shared" si="644"/>
        <v>Triple J</v>
      </c>
      <c r="BC351" t="str">
        <f t="shared" si="644"/>
        <v>Velodrome</v>
      </c>
      <c r="BD351" t="str">
        <f t="shared" si="594"/>
        <v>Pass</v>
      </c>
      <c r="BE351" t="str">
        <f t="shared" si="595"/>
        <v>Pass_Missed</v>
      </c>
      <c r="BF351" t="str">
        <f t="shared" si="596"/>
        <v>Pass-Backhand</v>
      </c>
      <c r="BG351" t="str">
        <f t="shared" si="578"/>
        <v>u</v>
      </c>
      <c r="BH351" cm="1">
        <f t="array" aca="1" ref="BH351" ca="1">IFERROR(_xlfn._xlws.FILTER(shifts!A:A,(shifts!B:B=events!Z351)*(shifts!AG:AG&gt;=events!BJ351)*(shifts!AH:AH&lt;=events!BK351)),BH350)</f>
        <v>11</v>
      </c>
      <c r="BI351" s="15">
        <f t="shared" si="597"/>
        <v>0</v>
      </c>
      <c r="BJ351">
        <f t="shared" si="598"/>
        <v>770</v>
      </c>
      <c r="BK351">
        <f t="shared" si="599"/>
        <v>770</v>
      </c>
      <c r="BL351" s="15">
        <f>SUMIFS(BI$2:BI351,K$2:K351,"=Intermission")+SUMIFS(BI$2:BI351,K$2:K351,"=Timeout")</f>
        <v>0</v>
      </c>
      <c r="BM351">
        <f t="shared" si="600"/>
        <v>0</v>
      </c>
      <c r="BN351" s="19">
        <f t="shared" si="601"/>
        <v>310</v>
      </c>
      <c r="BO351">
        <f t="shared" si="602"/>
        <v>305</v>
      </c>
      <c r="BP351" s="17">
        <f t="shared" si="603"/>
        <v>310</v>
      </c>
      <c r="BQ351" t="str">
        <f t="shared" si="604"/>
        <v>event_team_player_2</v>
      </c>
      <c r="BR351">
        <f>COUNTIFS(S$3:S351,"="&amp;S351,AH$3:AH351,"="&amp;AH351)</f>
        <v>2</v>
      </c>
      <c r="BS351" t="str">
        <f>IFERROR(VLOOKUP(BA351&amp;BT351&amp;X351,game_rosters!U:W,3,FALSE),"")</f>
        <v>P100008</v>
      </c>
      <c r="BT351" t="str">
        <f t="shared" si="605"/>
        <v>Triple J</v>
      </c>
    </row>
    <row r="352" spans="1:72" x14ac:dyDescent="0.2">
      <c r="A352" t="str">
        <f t="shared" si="580"/>
        <v/>
      </c>
      <c r="E352" s="4"/>
      <c r="F352" s="45"/>
      <c r="G352" s="4"/>
      <c r="H352" s="47"/>
      <c r="I352" s="26">
        <v>87</v>
      </c>
      <c r="J352" s="26" t="str">
        <f t="shared" si="606"/>
        <v/>
      </c>
      <c r="N352" t="str">
        <f t="shared" si="624"/>
        <v/>
      </c>
      <c r="O352" t="s">
        <v>566</v>
      </c>
      <c r="Q352" t="str">
        <f t="shared" si="618"/>
        <v/>
      </c>
      <c r="R352" s="26">
        <v>1</v>
      </c>
      <c r="S352">
        <f>IF(A352=1,MAX($S$2:$S351)+1,IF(OR($I352&lt;&gt;"",A352="x"),$S351,""))</f>
        <v>178</v>
      </c>
      <c r="T352" t="str">
        <f>IF(D352=1,MAX($T$2:$T351)+1,IF(S352=S351,$T351,IF(D352="x",T351,IF(D351="x","",""))))</f>
        <v/>
      </c>
      <c r="U352" t="str">
        <f>IF(B352=1,MAX($U$2:$U351)+1,IF(AND($T352&lt;&gt;"",$T352=$T351),$U351,IF(B352="x",U351,"")))</f>
        <v/>
      </c>
      <c r="V352" t="str">
        <f>IF(C352=1,MAX($V$2:$V351)+1,IF(AND($T352&lt;&gt;"",$T352=$T351),$U351,IF(C352="x",V351,"")))</f>
        <v/>
      </c>
      <c r="W352" t="str" cm="1">
        <f t="array" ref="W352">IFERROR(_xlfn._xlws.FILTER(game_rosters!AC:AC,(game_rosters!J:J=events!X352)*(K352&lt;&gt;"")),"")</f>
        <v/>
      </c>
      <c r="X352" cm="1">
        <f t="array" ref="X352">IF($I352&lt;&gt;"",$I352,INDEX($I$1:$I352,ROW()-COUNTIFS($T$1:$T352,"="&amp;$T352,$S$1:$S352,"&lt;"&amp;$S352)))</f>
        <v>87</v>
      </c>
      <c r="Y352" t="str" cm="1">
        <f t="array" ref="Y352">IFERROR(IF(_xlfn._xlws.FILTER(game_rosters!$J:$J,(game_rosters!$G:$G=events!$AM352)*(game_rosters!$J:$J=events!$X352))&gt;0,1,""),"")</f>
        <v/>
      </c>
      <c r="Z352" s="6">
        <f t="shared" si="581"/>
        <v>1</v>
      </c>
      <c r="AA352">
        <f t="shared" si="582"/>
        <v>1178</v>
      </c>
      <c r="AB352" t="str">
        <f t="shared" si="583"/>
        <v/>
      </c>
      <c r="AC352">
        <f t="shared" si="584"/>
        <v>1178</v>
      </c>
      <c r="AD352" t="str">
        <f t="shared" si="585"/>
        <v>12</v>
      </c>
      <c r="AE352" t="str">
        <f t="shared" si="586"/>
        <v>50</v>
      </c>
      <c r="AF352" t="str">
        <f t="shared" si="587"/>
        <v/>
      </c>
      <c r="AG352" t="str">
        <f t="shared" si="588"/>
        <v/>
      </c>
      <c r="AH352" t="str">
        <f t="shared" si="631"/>
        <v>o</v>
      </c>
      <c r="AI352" t="str">
        <f t="shared" si="632"/>
        <v>d</v>
      </c>
      <c r="AJ352" t="str">
        <f t="shared" si="632"/>
        <v>d</v>
      </c>
      <c r="AK352" t="str">
        <f t="shared" si="633"/>
        <v/>
      </c>
      <c r="AL352" t="str">
        <f t="shared" si="634"/>
        <v/>
      </c>
      <c r="AM352" t="str">
        <f t="shared" si="589"/>
        <v>Home</v>
      </c>
      <c r="AN352" t="str">
        <f t="shared" si="635"/>
        <v>h</v>
      </c>
      <c r="AO352" t="str">
        <f t="shared" si="636"/>
        <v>d</v>
      </c>
      <c r="AP352" t="str">
        <f t="shared" si="637"/>
        <v>o</v>
      </c>
      <c r="AQ352" t="str">
        <f>IF(AM352&lt;&gt;"",AM352,IF($AC352=#REF!,#REF!,""))</f>
        <v>Home</v>
      </c>
      <c r="AR352" t="str">
        <f t="shared" si="638"/>
        <v>h</v>
      </c>
      <c r="AS352" t="str">
        <f t="shared" si="639"/>
        <v>Defensive</v>
      </c>
      <c r="AT352" t="str">
        <f t="shared" si="590"/>
        <v/>
      </c>
      <c r="AU352" t="str">
        <f t="shared" si="591"/>
        <v/>
      </c>
      <c r="AV352" t="str" cm="1">
        <f t="array" ref="AV352">IFERROR(IF(O352&lt;&gt;"",O352,IF(OR($S352="",$T352=""),"",IF(O352&lt;&gt;"",O352,IF($T352&lt;&gt;"",_xlfn._xlws.FILTER(O:O,($BT:$BT=$BT352)*($I:$I=$I352)*($T:$T=$T352)*($S:$S=_xlfn.MINIFS($S:$S,$T:$T,"="&amp;$T352)),"")))))&amp;"",IF(O352="","",""))&amp;""</f>
        <v>InShotPassLane</v>
      </c>
      <c r="AW352" t="str" cm="1">
        <f t="array" ref="AW352">IFERROR(IF(P352&lt;&gt;"",P352,IF(OR($S352="",$T352=""),"",IF($T352&lt;&gt;"",_xlfn._xlws.FILTER(P:P,($BT:$BT=$BT352)*($I:$I=$I352)*($T:$T=$T352)*($S:$S=_xlfn.MINIFS($S:$S,$T:$T,"="&amp;$T352)),""))))&amp;"",IF(P352="","",""))&amp;""</f>
        <v/>
      </c>
      <c r="AX352" t="str" cm="1">
        <f t="array" ref="AX352">IFERROR(IF(Q352&lt;&gt;"",Q352,IF(OR($S352="",$T352=""),"",IF($T352&lt;&gt;"",_xlfn._xlws.FILTER(Q:Q,($BT:$BT=$BT352)*($I:$I=$I352)*($T:$T=$T352)*($S:$S=_xlfn.MINIFS($S:$S,$T:$T,"="&amp;$T352)),""))))&amp;"",IF(Q352="","",""))&amp;""</f>
        <v/>
      </c>
      <c r="AY352" t="str" cm="1">
        <f t="array" ref="AY352">IFERROR(IF(R352&lt;&gt;"",R352,IF(OR($S352="",$T352=""),"",IF($T352&lt;&gt;"",_xlfn._xlws.FILTER(R:R,($BT:$BT=$BT352)*($I:$I=$I352)*($T:$T=$T352)*($S:$S=_xlfn.MINIFS($S:$S,$T:$T,"="&amp;$T352)),""))))&amp;"",IF(R352="","",""))&amp;""</f>
        <v>1</v>
      </c>
      <c r="AZ352" s="6">
        <f t="shared" si="592"/>
        <v>31</v>
      </c>
      <c r="BA352">
        <f t="shared" ref="BA352:BC352" si="645">BA351</f>
        <v>18991</v>
      </c>
      <c r="BB352" t="str">
        <f t="shared" si="645"/>
        <v>Triple J</v>
      </c>
      <c r="BC352" t="str">
        <f t="shared" si="645"/>
        <v>Velodrome</v>
      </c>
      <c r="BD352" t="str">
        <f t="shared" si="594"/>
        <v>Pass</v>
      </c>
      <c r="BE352" t="str">
        <f t="shared" si="595"/>
        <v>Pass_Missed</v>
      </c>
      <c r="BF352" t="str">
        <f t="shared" si="596"/>
        <v>Pass-Backhand</v>
      </c>
      <c r="BG352" t="str">
        <f t="shared" si="578"/>
        <v>u</v>
      </c>
      <c r="BH352" cm="1">
        <f t="array" aca="1" ref="BH352" ca="1">IFERROR(_xlfn._xlws.FILTER(shifts!A:A,(shifts!B:B=events!Z352)*(shifts!AG:AG&gt;=events!BJ352)*(shifts!AH:AH&lt;=events!BK352)),BH351)</f>
        <v>11</v>
      </c>
      <c r="BI352" s="15">
        <f t="shared" si="597"/>
        <v>0</v>
      </c>
      <c r="BJ352">
        <f t="shared" si="598"/>
        <v>770</v>
      </c>
      <c r="BK352">
        <f t="shared" si="599"/>
        <v>770</v>
      </c>
      <c r="BL352" s="15">
        <f>SUMIFS(BI$2:BI352,K$2:K352,"=Intermission")+SUMIFS(BI$2:BI352,K$2:K352,"=Timeout")</f>
        <v>0</v>
      </c>
      <c r="BM352">
        <f t="shared" si="600"/>
        <v>0</v>
      </c>
      <c r="BN352" s="19">
        <f t="shared" si="601"/>
        <v>310</v>
      </c>
      <c r="BO352">
        <f t="shared" si="602"/>
        <v>305</v>
      </c>
      <c r="BP352" s="17">
        <f t="shared" si="603"/>
        <v>310</v>
      </c>
      <c r="BQ352" t="str">
        <f t="shared" si="604"/>
        <v>opp_team_player_1</v>
      </c>
      <c r="BR352">
        <f>COUNTIFS(S$3:S352,"="&amp;S352,AH$3:AH352,"="&amp;AH352)</f>
        <v>1</v>
      </c>
      <c r="BS352" t="str">
        <f>IFERROR(VLOOKUP(BA352&amp;BT352&amp;X352,game_rosters!U:W,3,FALSE),"")</f>
        <v>P100159</v>
      </c>
      <c r="BT352" t="str">
        <f t="shared" si="605"/>
        <v>Velodrome</v>
      </c>
    </row>
    <row r="353" spans="1:72" x14ac:dyDescent="0.2">
      <c r="A353">
        <f t="shared" si="580"/>
        <v>1</v>
      </c>
      <c r="E353" s="4"/>
      <c r="F353" s="45" t="s">
        <v>1066</v>
      </c>
      <c r="G353" s="4"/>
      <c r="H353" s="47"/>
      <c r="I353" s="26">
        <v>71</v>
      </c>
      <c r="J353" s="26" t="s">
        <v>736</v>
      </c>
      <c r="K353" t="s">
        <v>13</v>
      </c>
      <c r="L353" t="s">
        <v>587</v>
      </c>
      <c r="N353" t="s">
        <v>594</v>
      </c>
      <c r="Q353" t="str">
        <f t="shared" si="618"/>
        <v/>
      </c>
      <c r="S353">
        <f>IF(A353=1,MAX($S$2:$S352)+1,IF(OR($I353&lt;&gt;"",A353="x"),$S352,""))</f>
        <v>179</v>
      </c>
      <c r="T353" t="str">
        <f>IF(D353=1,MAX($T$2:$T352)+1,IF(S353=S352,$T352,IF(D353="x",T352,IF(D352="x","",""))))</f>
        <v/>
      </c>
      <c r="U353" t="str">
        <f>IF(B353=1,MAX($U$2:$U352)+1,IF(AND($T353&lt;&gt;"",$T353=$T352),$U352,IF(B353="x",U352,"")))</f>
        <v/>
      </c>
      <c r="V353" t="str">
        <f>IF(C353=1,MAX($V$2:$V352)+1,IF(AND($T353&lt;&gt;"",$T353=$T352),$U352,IF(C353="x",V352,"")))</f>
        <v/>
      </c>
      <c r="W353" t="str" cm="1">
        <f t="array" ref="W353">IFERROR(_xlfn._xlws.FILTER(game_rosters!AC:AC,(game_rosters!J:J=events!X353)*(K353&lt;&gt;"")),"")</f>
        <v>h</v>
      </c>
      <c r="X353" cm="1">
        <f t="array" ref="X353">IF($I353&lt;&gt;"",$I353,INDEX($I$1:$I353,ROW()-COUNTIFS($T$1:$T353,"="&amp;$T353,$S$1:$S353,"&lt;"&amp;$S353)))</f>
        <v>71</v>
      </c>
      <c r="Y353" cm="1">
        <f t="array" ref="Y353">IFERROR(IF(_xlfn._xlws.FILTER(game_rosters!$J:$J,(game_rosters!$G:$G=events!$AM353)*(game_rosters!$J:$J=events!$X353))&gt;0,1,""),"")</f>
        <v>1</v>
      </c>
      <c r="Z353" s="6">
        <f t="shared" si="581"/>
        <v>1</v>
      </c>
      <c r="AA353">
        <f t="shared" si="582"/>
        <v>1179</v>
      </c>
      <c r="AB353" t="str">
        <f t="shared" si="583"/>
        <v/>
      </c>
      <c r="AC353">
        <f t="shared" si="584"/>
        <v>1179</v>
      </c>
      <c r="AD353" t="str">
        <f t="shared" si="585"/>
        <v>12</v>
      </c>
      <c r="AE353" t="str">
        <f t="shared" si="586"/>
        <v>48</v>
      </c>
      <c r="AF353" t="str">
        <f t="shared" si="587"/>
        <v/>
      </c>
      <c r="AG353" t="str">
        <f t="shared" si="588"/>
        <v/>
      </c>
      <c r="AH353" t="str">
        <f t="shared" si="631"/>
        <v>e</v>
      </c>
      <c r="AI353" t="str">
        <f t="shared" si="632"/>
        <v>d</v>
      </c>
      <c r="AJ353" t="str">
        <f t="shared" si="632"/>
        <v>d</v>
      </c>
      <c r="AK353" t="str">
        <f t="shared" si="633"/>
        <v>d</v>
      </c>
      <c r="AL353" t="str">
        <f t="shared" si="634"/>
        <v>o</v>
      </c>
      <c r="AM353" t="str">
        <f t="shared" si="589"/>
        <v>Home</v>
      </c>
      <c r="AN353" t="str">
        <f t="shared" si="635"/>
        <v>h</v>
      </c>
      <c r="AO353" t="str">
        <f t="shared" si="636"/>
        <v>d</v>
      </c>
      <c r="AP353" t="str">
        <f t="shared" si="637"/>
        <v>o</v>
      </c>
      <c r="AQ353" t="str">
        <f>IF(AM353&lt;&gt;"",AM353,IF($AC353=#REF!,#REF!,""))</f>
        <v>Home</v>
      </c>
      <c r="AR353" t="str">
        <f t="shared" si="638"/>
        <v>h</v>
      </c>
      <c r="AS353" t="str">
        <f t="shared" si="639"/>
        <v>Offensive</v>
      </c>
      <c r="AT353" t="str">
        <f t="shared" si="590"/>
        <v/>
      </c>
      <c r="AU353" t="str">
        <f t="shared" si="591"/>
        <v/>
      </c>
      <c r="AV353" t="str" cm="1">
        <f t="array" ref="AV353">IFERROR(IF(O353&lt;&gt;"",O353,IF(OR($S353="",$T353=""),"",IF(O353&lt;&gt;"",O353,IF($T353&lt;&gt;"",_xlfn._xlws.FILTER(O:O,($BT:$BT=$BT353)*($I:$I=$I353)*($T:$T=$T353)*($S:$S=_xlfn.MINIFS($S:$S,$T:$T,"="&amp;$T353)),"")))))&amp;"",IF(O353="","",""))&amp;""</f>
        <v/>
      </c>
      <c r="AW353" t="str" cm="1">
        <f t="array" ref="AW353">IFERROR(IF(P353&lt;&gt;"",P353,IF(OR($S353="",$T353=""),"",IF($T353&lt;&gt;"",_xlfn._xlws.FILTER(P:P,($BT:$BT=$BT353)*($I:$I=$I353)*($T:$T=$T353)*($S:$S=_xlfn.MINIFS($S:$S,$T:$T,"="&amp;$T353)),""))))&amp;"",IF(P353="","",""))&amp;""</f>
        <v/>
      </c>
      <c r="AX353" t="str" cm="1">
        <f t="array" ref="AX353">IFERROR(IF(Q353&lt;&gt;"",Q353,IF(OR($S353="",$T353=""),"",IF($T353&lt;&gt;"",_xlfn._xlws.FILTER(Q:Q,($BT:$BT=$BT353)*($I:$I=$I353)*($T:$T=$T353)*($S:$S=_xlfn.MINIFS($S:$S,$T:$T,"="&amp;$T353)),""))))&amp;"",IF(Q353="","",""))&amp;""</f>
        <v/>
      </c>
      <c r="AY353" t="str" cm="1">
        <f t="array" ref="AY353">IFERROR(IF(R353&lt;&gt;"",R353,IF(OR($S353="",$T353=""),"",IF($T353&lt;&gt;"",_xlfn._xlws.FILTER(R:R,($BT:$BT=$BT353)*($I:$I=$I353)*($T:$T=$T353)*($S:$S=_xlfn.MINIFS($S:$S,$T:$T,"="&amp;$T353)),""))))&amp;"",IF(R353="","",""))&amp;""</f>
        <v/>
      </c>
      <c r="AZ353" s="6">
        <f t="shared" si="592"/>
        <v>31</v>
      </c>
      <c r="BA353">
        <f t="shared" ref="BA353:BC353" si="646">BA352</f>
        <v>18991</v>
      </c>
      <c r="BB353" t="str">
        <f t="shared" si="646"/>
        <v>Triple J</v>
      </c>
      <c r="BC353" t="str">
        <f t="shared" si="646"/>
        <v>Velodrome</v>
      </c>
      <c r="BD353" t="str">
        <f t="shared" si="594"/>
        <v>Possession</v>
      </c>
      <c r="BE353" t="str">
        <f t="shared" si="595"/>
        <v>PuckRecovery</v>
      </c>
      <c r="BF353" t="str">
        <f t="shared" si="596"/>
        <v/>
      </c>
      <c r="BG353" t="str">
        <f t="shared" si="578"/>
        <v>u</v>
      </c>
      <c r="BH353" cm="1">
        <f t="array" aca="1" ref="BH353" ca="1">IFERROR(_xlfn._xlws.FILTER(shifts!A:A,(shifts!B:B=events!Z353)*(shifts!AG:AG&gt;=events!BJ353)*(shifts!AH:AH&lt;=events!BK353)),BH352)</f>
        <v>11</v>
      </c>
      <c r="BI353" s="15">
        <f t="shared" si="597"/>
        <v>0</v>
      </c>
      <c r="BJ353">
        <f t="shared" si="598"/>
        <v>768</v>
      </c>
      <c r="BK353">
        <f t="shared" si="599"/>
        <v>768</v>
      </c>
      <c r="BL353" s="15">
        <f>SUMIFS(BI$2:BI353,K$2:K353,"=Intermission")+SUMIFS(BI$2:BI353,K$2:K353,"=Timeout")</f>
        <v>0</v>
      </c>
      <c r="BM353">
        <f t="shared" si="600"/>
        <v>0</v>
      </c>
      <c r="BN353" s="19">
        <f t="shared" si="601"/>
        <v>312</v>
      </c>
      <c r="BO353">
        <f t="shared" si="602"/>
        <v>307</v>
      </c>
      <c r="BP353" s="17">
        <f t="shared" si="603"/>
        <v>312</v>
      </c>
      <c r="BQ353" t="str">
        <f t="shared" si="604"/>
        <v>event_team_player_1</v>
      </c>
      <c r="BR353">
        <f>COUNTIFS(S$3:S353,"="&amp;S353,AH$3:AH353,"="&amp;AH353)</f>
        <v>1</v>
      </c>
      <c r="BS353" t="str">
        <f>IFERROR(VLOOKUP(BA353&amp;BT353&amp;X353,game_rosters!U:W,3,FALSE),"")</f>
        <v>P100008</v>
      </c>
      <c r="BT353" t="str">
        <f t="shared" si="605"/>
        <v>Triple J</v>
      </c>
    </row>
    <row r="354" spans="1:72" x14ac:dyDescent="0.2">
      <c r="A354">
        <f t="shared" si="580"/>
        <v>1</v>
      </c>
      <c r="E354" s="4"/>
      <c r="F354" s="45"/>
      <c r="G354" s="4"/>
      <c r="H354" s="47" t="s">
        <v>1031</v>
      </c>
      <c r="I354" s="26">
        <v>71</v>
      </c>
      <c r="J354" s="26" t="str">
        <f t="shared" si="606"/>
        <v>d</v>
      </c>
      <c r="K354" t="s">
        <v>238</v>
      </c>
      <c r="L354" t="s">
        <v>184</v>
      </c>
      <c r="M354" t="s">
        <v>88</v>
      </c>
      <c r="N354" t="s">
        <v>594</v>
      </c>
      <c r="Q354" t="str">
        <f t="shared" si="618"/>
        <v/>
      </c>
      <c r="R354" s="26">
        <v>1</v>
      </c>
      <c r="S354">
        <f>IF(A354=1,MAX($S$2:$S353)+1,IF(OR($I354&lt;&gt;"",A354="x"),$S353,""))</f>
        <v>180</v>
      </c>
      <c r="T354" t="str">
        <f>IF(D354=1,MAX($T$2:$T353)+1,IF(S354=S353,$T353,IF(D354="x",T353,IF(D353="x","",""))))</f>
        <v/>
      </c>
      <c r="U354" t="str">
        <f>IF(B354=1,MAX($U$2:$U353)+1,IF(AND($T354&lt;&gt;"",$T354=$T353),$U353,IF(B354="x",U353,"")))</f>
        <v/>
      </c>
      <c r="V354" t="str">
        <f>IF(C354=1,MAX($V$2:$V353)+1,IF(AND($T354&lt;&gt;"",$T354=$T353),$U353,IF(C354="x",V353,"")))</f>
        <v/>
      </c>
      <c r="W354" t="str" cm="1">
        <f t="array" ref="W354">IFERROR(_xlfn._xlws.FILTER(game_rosters!AC:AC,(game_rosters!J:J=events!X354)*(K354&lt;&gt;"")),"")</f>
        <v>h</v>
      </c>
      <c r="X354" cm="1">
        <f t="array" ref="X354">IF($I354&lt;&gt;"",$I354,INDEX($I$1:$I354,ROW()-COUNTIFS($T$1:$T354,"="&amp;$T354,$S$1:$S354,"&lt;"&amp;$S354)))</f>
        <v>71</v>
      </c>
      <c r="Y354" cm="1">
        <f t="array" ref="Y354">IFERROR(IF(_xlfn._xlws.FILTER(game_rosters!$J:$J,(game_rosters!$G:$G=events!$AM354)*(game_rosters!$J:$J=events!$X354))&gt;0,1,""),"")</f>
        <v>1</v>
      </c>
      <c r="Z354" s="6">
        <f t="shared" si="581"/>
        <v>1</v>
      </c>
      <c r="AA354">
        <f t="shared" si="582"/>
        <v>1180</v>
      </c>
      <c r="AB354" t="str">
        <f t="shared" si="583"/>
        <v/>
      </c>
      <c r="AC354">
        <f t="shared" si="584"/>
        <v>1180</v>
      </c>
      <c r="AD354" t="str">
        <f t="shared" si="585"/>
        <v>12</v>
      </c>
      <c r="AE354" t="str">
        <f t="shared" si="586"/>
        <v>48</v>
      </c>
      <c r="AF354" t="str">
        <f t="shared" si="587"/>
        <v>12</v>
      </c>
      <c r="AG354" t="str">
        <f t="shared" si="588"/>
        <v>47</v>
      </c>
      <c r="AH354" t="str">
        <f t="shared" si="631"/>
        <v>e</v>
      </c>
      <c r="AI354" t="str">
        <f t="shared" si="632"/>
        <v>d</v>
      </c>
      <c r="AJ354" t="str">
        <f t="shared" si="632"/>
        <v>d</v>
      </c>
      <c r="AK354" t="str">
        <f t="shared" si="633"/>
        <v>d</v>
      </c>
      <c r="AL354" t="str">
        <f t="shared" si="634"/>
        <v>o</v>
      </c>
      <c r="AM354" t="str">
        <f t="shared" si="589"/>
        <v>Home</v>
      </c>
      <c r="AN354" t="str">
        <f t="shared" si="635"/>
        <v>h</v>
      </c>
      <c r="AO354" t="str">
        <f t="shared" si="636"/>
        <v>d</v>
      </c>
      <c r="AP354" t="str">
        <f t="shared" si="637"/>
        <v>o</v>
      </c>
      <c r="AQ354" t="str">
        <f>IF(AM354&lt;&gt;"",AM354,IF($AC354=#REF!,#REF!,""))</f>
        <v>Home</v>
      </c>
      <c r="AR354" t="str">
        <f t="shared" si="638"/>
        <v>h</v>
      </c>
      <c r="AS354" t="str">
        <f t="shared" si="639"/>
        <v>Offensive</v>
      </c>
      <c r="AT354" t="str">
        <f t="shared" si="590"/>
        <v/>
      </c>
      <c r="AU354" t="str">
        <f t="shared" si="591"/>
        <v/>
      </c>
      <c r="AV354" t="str" cm="1">
        <f t="array" ref="AV354">IFERROR(IF(O354&lt;&gt;"",O354,IF(OR($S354="",$T354=""),"",IF(O354&lt;&gt;"",O354,IF($T354&lt;&gt;"",_xlfn._xlws.FILTER(O:O,($BT:$BT=$BT354)*($I:$I=$I354)*($T:$T=$T354)*($S:$S=_xlfn.MINIFS($S:$S,$T:$T,"="&amp;$T354)),"")))))&amp;"",IF(O354="","",""))&amp;""</f>
        <v/>
      </c>
      <c r="AW354" t="str" cm="1">
        <f t="array" ref="AW354">IFERROR(IF(P354&lt;&gt;"",P354,IF(OR($S354="",$T354=""),"",IF($T354&lt;&gt;"",_xlfn._xlws.FILTER(P:P,($BT:$BT=$BT354)*($I:$I=$I354)*($T:$T=$T354)*($S:$S=_xlfn.MINIFS($S:$S,$T:$T,"="&amp;$T354)),""))))&amp;"",IF(P354="","",""))&amp;""</f>
        <v/>
      </c>
      <c r="AX354" t="str" cm="1">
        <f t="array" ref="AX354">IFERROR(IF(Q354&lt;&gt;"",Q354,IF(OR($S354="",$T354=""),"",IF($T354&lt;&gt;"",_xlfn._xlws.FILTER(Q:Q,($BT:$BT=$BT354)*($I:$I=$I354)*($T:$T=$T354)*($S:$S=_xlfn.MINIFS($S:$S,$T:$T,"="&amp;$T354)),""))))&amp;"",IF(Q354="","",""))&amp;""</f>
        <v/>
      </c>
      <c r="AY354" t="str" cm="1">
        <f t="array" ref="AY354">IFERROR(IF(R354&lt;&gt;"",R354,IF(OR($S354="",$T354=""),"",IF($T354&lt;&gt;"",_xlfn._xlws.FILTER(R:R,($BT:$BT=$BT354)*($I:$I=$I354)*($T:$T=$T354)*($S:$S=_xlfn.MINIFS($S:$S,$T:$T,"="&amp;$T354)),""))))&amp;"",IF(R354="","",""))&amp;""</f>
        <v>1</v>
      </c>
      <c r="AZ354" s="6">
        <f t="shared" si="592"/>
        <v>32</v>
      </c>
      <c r="BA354">
        <f t="shared" ref="BA354:BC354" si="647">BA353</f>
        <v>18991</v>
      </c>
      <c r="BB354" t="str">
        <f t="shared" si="647"/>
        <v>Triple J</v>
      </c>
      <c r="BC354" t="str">
        <f t="shared" si="647"/>
        <v>Velodrome</v>
      </c>
      <c r="BD354" t="str">
        <f t="shared" si="594"/>
        <v>Zone_Entry_Exit</v>
      </c>
      <c r="BE354" t="str">
        <f t="shared" si="595"/>
        <v>Zone_Exit</v>
      </c>
      <c r="BF354" t="str">
        <f t="shared" si="596"/>
        <v>ZoneExit-Rush</v>
      </c>
      <c r="BG354" t="str">
        <f t="shared" si="578"/>
        <v>u</v>
      </c>
      <c r="BH354" cm="1">
        <f t="array" aca="1" ref="BH354" ca="1">IFERROR(_xlfn._xlws.FILTER(shifts!A:A,(shifts!B:B=events!Z354)*(shifts!AG:AG&gt;=events!BJ354)*(shifts!AH:AH&lt;=events!BK354)),BH353)</f>
        <v>11</v>
      </c>
      <c r="BI354" s="15">
        <f t="shared" si="597"/>
        <v>1</v>
      </c>
      <c r="BJ354">
        <f t="shared" si="598"/>
        <v>768</v>
      </c>
      <c r="BK354">
        <f t="shared" si="599"/>
        <v>767</v>
      </c>
      <c r="BL354" s="15">
        <f>SUMIFS(BI$2:BI354,K$2:K354,"=Intermission")+SUMIFS(BI$2:BI354,K$2:K354,"=Timeout")</f>
        <v>0</v>
      </c>
      <c r="BM354">
        <f t="shared" si="600"/>
        <v>0</v>
      </c>
      <c r="BN354" s="19">
        <f t="shared" si="601"/>
        <v>312</v>
      </c>
      <c r="BO354">
        <f t="shared" si="602"/>
        <v>307</v>
      </c>
      <c r="BP354" s="17">
        <f t="shared" si="603"/>
        <v>313</v>
      </c>
      <c r="BQ354" t="str">
        <f t="shared" si="604"/>
        <v>event_team_player_1</v>
      </c>
      <c r="BR354">
        <f>COUNTIFS(S$3:S354,"="&amp;S354,AH$3:AH354,"="&amp;AH354)</f>
        <v>1</v>
      </c>
      <c r="BS354" t="str">
        <f>IFERROR(VLOOKUP(BA354&amp;BT354&amp;X354,game_rosters!U:W,3,FALSE),"")</f>
        <v>P100008</v>
      </c>
      <c r="BT354" t="str">
        <f t="shared" si="605"/>
        <v>Triple J</v>
      </c>
    </row>
    <row r="355" spans="1:72" x14ac:dyDescent="0.2">
      <c r="A355" t="str">
        <f t="shared" si="580"/>
        <v/>
      </c>
      <c r="E355" s="4"/>
      <c r="F355" s="45"/>
      <c r="G355" s="4"/>
      <c r="H355" s="47"/>
      <c r="I355" s="26">
        <v>87</v>
      </c>
      <c r="J355" s="26" t="str">
        <f t="shared" si="606"/>
        <v/>
      </c>
      <c r="N355" t="str">
        <f t="shared" si="624"/>
        <v/>
      </c>
      <c r="Q355" t="str">
        <f t="shared" si="618"/>
        <v/>
      </c>
      <c r="R355" s="26">
        <v>1</v>
      </c>
      <c r="S355">
        <f>IF(A355=1,MAX($S$2:$S354)+1,IF(OR($I355&lt;&gt;"",A355="x"),$S354,""))</f>
        <v>180</v>
      </c>
      <c r="T355" t="str">
        <f>IF(D355=1,MAX($T$2:$T354)+1,IF(S355=S354,$T354,IF(D355="x",T354,IF(D354="x","",""))))</f>
        <v/>
      </c>
      <c r="U355" t="str">
        <f>IF(B355=1,MAX($U$2:$U354)+1,IF(AND($T355&lt;&gt;"",$T355=$T354),$U354,IF(B355="x",U354,"")))</f>
        <v/>
      </c>
      <c r="V355" t="str">
        <f>IF(C355=1,MAX($V$2:$V354)+1,IF(AND($T355&lt;&gt;"",$T355=$T354),$U354,IF(C355="x",V354,"")))</f>
        <v/>
      </c>
      <c r="W355" t="str" cm="1">
        <f t="array" ref="W355">IFERROR(_xlfn._xlws.FILTER(game_rosters!AC:AC,(game_rosters!J:J=events!X355)*(K355&lt;&gt;"")),"")</f>
        <v/>
      </c>
      <c r="X355" cm="1">
        <f t="array" ref="X355">IF($I355&lt;&gt;"",$I355,INDEX($I$1:$I355,ROW()-COUNTIFS($T$1:$T355,"="&amp;$T355,$S$1:$S355,"&lt;"&amp;$S355)))</f>
        <v>87</v>
      </c>
      <c r="Y355" t="str" cm="1">
        <f t="array" ref="Y355">IFERROR(IF(_xlfn._xlws.FILTER(game_rosters!$J:$J,(game_rosters!$G:$G=events!$AM355)*(game_rosters!$J:$J=events!$X355))&gt;0,1,""),"")</f>
        <v/>
      </c>
      <c r="Z355" s="6">
        <f t="shared" si="581"/>
        <v>1</v>
      </c>
      <c r="AA355">
        <f t="shared" si="582"/>
        <v>1180</v>
      </c>
      <c r="AB355" t="str">
        <f t="shared" si="583"/>
        <v/>
      </c>
      <c r="AC355">
        <f t="shared" si="584"/>
        <v>1180</v>
      </c>
      <c r="AD355" t="str">
        <f t="shared" si="585"/>
        <v>12</v>
      </c>
      <c r="AE355" t="str">
        <f t="shared" si="586"/>
        <v>48</v>
      </c>
      <c r="AF355" t="str">
        <f t="shared" si="587"/>
        <v>12</v>
      </c>
      <c r="AG355" t="str">
        <f t="shared" si="588"/>
        <v>47</v>
      </c>
      <c r="AH355" t="str">
        <f t="shared" si="631"/>
        <v>o</v>
      </c>
      <c r="AI355" t="str">
        <f t="shared" si="632"/>
        <v>d</v>
      </c>
      <c r="AJ355" t="str">
        <f t="shared" si="632"/>
        <v>d</v>
      </c>
      <c r="AK355" t="str">
        <f t="shared" si="633"/>
        <v/>
      </c>
      <c r="AL355" t="str">
        <f t="shared" si="634"/>
        <v/>
      </c>
      <c r="AM355" t="str">
        <f t="shared" si="589"/>
        <v>Home</v>
      </c>
      <c r="AN355" t="str">
        <f t="shared" si="635"/>
        <v>h</v>
      </c>
      <c r="AO355" t="str">
        <f t="shared" si="636"/>
        <v>d</v>
      </c>
      <c r="AP355" t="str">
        <f t="shared" si="637"/>
        <v>o</v>
      </c>
      <c r="AQ355" t="str">
        <f>IF(AM355&lt;&gt;"",AM355,IF($AC355=#REF!,#REF!,""))</f>
        <v>Home</v>
      </c>
      <c r="AR355" t="str">
        <f t="shared" si="638"/>
        <v>h</v>
      </c>
      <c r="AS355" t="str">
        <f t="shared" si="639"/>
        <v>Defensive</v>
      </c>
      <c r="AT355" t="str">
        <f t="shared" si="590"/>
        <v/>
      </c>
      <c r="AU355" t="str">
        <f t="shared" si="591"/>
        <v/>
      </c>
      <c r="AV355" t="str" cm="1">
        <f t="array" ref="AV355">IFERROR(IF(O355&lt;&gt;"",O355,IF(OR($S355="",$T355=""),"",IF(O355&lt;&gt;"",O355,IF($T355&lt;&gt;"",_xlfn._xlws.FILTER(O:O,($BT:$BT=$BT355)*($I:$I=$I355)*($T:$T=$T355)*($S:$S=_xlfn.MINIFS($S:$S,$T:$T,"="&amp;$T355)),"")))))&amp;"",IF(O355="","",""))&amp;""</f>
        <v/>
      </c>
      <c r="AW355" t="str" cm="1">
        <f t="array" ref="AW355">IFERROR(IF(P355&lt;&gt;"",P355,IF(OR($S355="",$T355=""),"",IF($T355&lt;&gt;"",_xlfn._xlws.FILTER(P:P,($BT:$BT=$BT355)*($I:$I=$I355)*($T:$T=$T355)*($S:$S=_xlfn.MINIFS($S:$S,$T:$T,"="&amp;$T355)),""))))&amp;"",IF(P355="","",""))&amp;""</f>
        <v/>
      </c>
      <c r="AX355" t="str" cm="1">
        <f t="array" ref="AX355">IFERROR(IF(Q355&lt;&gt;"",Q355,IF(OR($S355="",$T355=""),"",IF($T355&lt;&gt;"",_xlfn._xlws.FILTER(Q:Q,($BT:$BT=$BT355)*($I:$I=$I355)*($T:$T=$T355)*($S:$S=_xlfn.MINIFS($S:$S,$T:$T,"="&amp;$T355)),""))))&amp;"",IF(Q355="","",""))&amp;""</f>
        <v/>
      </c>
      <c r="AY355" t="str" cm="1">
        <f t="array" ref="AY355">IFERROR(IF(R355&lt;&gt;"",R355,IF(OR($S355="",$T355=""),"",IF($T355&lt;&gt;"",_xlfn._xlws.FILTER(R:R,($BT:$BT=$BT355)*($I:$I=$I355)*($T:$T=$T355)*($S:$S=_xlfn.MINIFS($S:$S,$T:$T,"="&amp;$T355)),""))))&amp;"",IF(R355="","",""))&amp;""</f>
        <v>1</v>
      </c>
      <c r="AZ355" s="6">
        <f t="shared" si="592"/>
        <v>32</v>
      </c>
      <c r="BA355">
        <f t="shared" ref="BA355:BC355" si="648">BA354</f>
        <v>18991</v>
      </c>
      <c r="BB355" t="str">
        <f t="shared" si="648"/>
        <v>Triple J</v>
      </c>
      <c r="BC355" t="str">
        <f t="shared" si="648"/>
        <v>Velodrome</v>
      </c>
      <c r="BD355" t="str">
        <f t="shared" si="594"/>
        <v>Zone_Entry_Exit</v>
      </c>
      <c r="BE355" t="str">
        <f t="shared" si="595"/>
        <v>Zone_Exit</v>
      </c>
      <c r="BF355" t="str">
        <f t="shared" si="596"/>
        <v>ZoneExit-Rush</v>
      </c>
      <c r="BG355" t="str">
        <f t="shared" si="578"/>
        <v>u</v>
      </c>
      <c r="BH355" cm="1">
        <f t="array" aca="1" ref="BH355" ca="1">IFERROR(_xlfn._xlws.FILTER(shifts!A:A,(shifts!B:B=events!Z355)*(shifts!AG:AG&gt;=events!BJ355)*(shifts!AH:AH&lt;=events!BK355)),BH354)</f>
        <v>11</v>
      </c>
      <c r="BI355" s="15">
        <f t="shared" si="597"/>
        <v>1</v>
      </c>
      <c r="BJ355">
        <f t="shared" si="598"/>
        <v>768</v>
      </c>
      <c r="BK355">
        <f t="shared" si="599"/>
        <v>767</v>
      </c>
      <c r="BL355" s="15">
        <f>SUMIFS(BI$2:BI355,K$2:K355,"=Intermission")+SUMIFS(BI$2:BI355,K$2:K355,"=Timeout")</f>
        <v>0</v>
      </c>
      <c r="BM355">
        <f t="shared" si="600"/>
        <v>0</v>
      </c>
      <c r="BN355" s="19">
        <f t="shared" si="601"/>
        <v>312</v>
      </c>
      <c r="BO355">
        <f t="shared" si="602"/>
        <v>307</v>
      </c>
      <c r="BP355" s="17">
        <f t="shared" si="603"/>
        <v>313</v>
      </c>
      <c r="BQ355" t="str">
        <f t="shared" si="604"/>
        <v>opp_team_player_1</v>
      </c>
      <c r="BR355">
        <f>COUNTIFS(S$3:S355,"="&amp;S355,AH$3:AH355,"="&amp;AH355)</f>
        <v>1</v>
      </c>
      <c r="BS355" t="str">
        <f>IFERROR(VLOOKUP(BA355&amp;BT355&amp;X355,game_rosters!U:W,3,FALSE),"")</f>
        <v>P100159</v>
      </c>
      <c r="BT355" t="str">
        <f t="shared" si="605"/>
        <v>Velodrome</v>
      </c>
    </row>
    <row r="356" spans="1:72" x14ac:dyDescent="0.2">
      <c r="A356">
        <f t="shared" si="580"/>
        <v>1</v>
      </c>
      <c r="E356" s="4"/>
      <c r="F356" s="45"/>
      <c r="G356" s="4"/>
      <c r="H356" s="47"/>
      <c r="I356" s="26">
        <v>71</v>
      </c>
      <c r="J356" s="26" t="s">
        <v>734</v>
      </c>
      <c r="K356" t="s">
        <v>7</v>
      </c>
      <c r="L356" t="s">
        <v>192</v>
      </c>
      <c r="M356" t="s">
        <v>68</v>
      </c>
      <c r="N356" t="str">
        <f t="shared" si="624"/>
        <v>u</v>
      </c>
      <c r="Q356" t="str">
        <f t="shared" si="618"/>
        <v/>
      </c>
      <c r="R356" s="26">
        <v>1</v>
      </c>
      <c r="S356">
        <f>IF(A356=1,MAX($S$2:$S355)+1,IF(OR($I356&lt;&gt;"",A356="x"),$S355,""))</f>
        <v>181</v>
      </c>
      <c r="T356" t="str">
        <f>IF(D356=1,MAX($T$2:$T355)+1,IF(S356=S355,$T355,IF(D356="x",T355,IF(D355="x","",""))))</f>
        <v/>
      </c>
      <c r="U356" t="str">
        <f>IF(B356=1,MAX($U$2:$U355)+1,IF(AND($T356&lt;&gt;"",$T356=$T355),$U355,IF(B356="x",U355,"")))</f>
        <v/>
      </c>
      <c r="V356" t="str">
        <f>IF(C356=1,MAX($V$2:$V355)+1,IF(AND($T356&lt;&gt;"",$T356=$T355),$U355,IF(C356="x",V355,"")))</f>
        <v/>
      </c>
      <c r="W356" t="str" cm="1">
        <f t="array" ref="W356">IFERROR(_xlfn._xlws.FILTER(game_rosters!AC:AC,(game_rosters!J:J=events!X356)*(K356&lt;&gt;"")),"")</f>
        <v>h</v>
      </c>
      <c r="X356" cm="1">
        <f t="array" ref="X356">IF($I356&lt;&gt;"",$I356,INDEX($I$1:$I356,ROW()-COUNTIFS($T$1:$T356,"="&amp;$T356,$S$1:$S356,"&lt;"&amp;$S356)))</f>
        <v>71</v>
      </c>
      <c r="Y356" cm="1">
        <f t="array" ref="Y356">IFERROR(IF(_xlfn._xlws.FILTER(game_rosters!$J:$J,(game_rosters!$G:$G=events!$AM356)*(game_rosters!$J:$J=events!$X356))&gt;0,1,""),"")</f>
        <v>1</v>
      </c>
      <c r="Z356" s="6">
        <f t="shared" si="581"/>
        <v>1</v>
      </c>
      <c r="AA356">
        <f t="shared" si="582"/>
        <v>1181</v>
      </c>
      <c r="AB356" t="str">
        <f t="shared" si="583"/>
        <v/>
      </c>
      <c r="AC356">
        <f t="shared" si="584"/>
        <v>1181</v>
      </c>
      <c r="AD356" t="str">
        <f t="shared" si="585"/>
        <v>12</v>
      </c>
      <c r="AE356" t="str">
        <f t="shared" si="586"/>
        <v>47</v>
      </c>
      <c r="AF356" t="str">
        <f t="shared" si="587"/>
        <v/>
      </c>
      <c r="AG356" t="str">
        <f t="shared" si="588"/>
        <v/>
      </c>
      <c r="AH356" t="str">
        <f t="shared" si="631"/>
        <v>e</v>
      </c>
      <c r="AI356" t="str">
        <f t="shared" si="632"/>
        <v>n</v>
      </c>
      <c r="AJ356" t="str">
        <f t="shared" si="632"/>
        <v>n</v>
      </c>
      <c r="AK356" t="str">
        <f t="shared" si="633"/>
        <v>n</v>
      </c>
      <c r="AL356" t="str">
        <f t="shared" si="634"/>
        <v>n</v>
      </c>
      <c r="AM356" t="str">
        <f t="shared" si="589"/>
        <v>Home</v>
      </c>
      <c r="AN356" t="str">
        <f t="shared" si="635"/>
        <v>h</v>
      </c>
      <c r="AO356" t="str">
        <f t="shared" si="636"/>
        <v>n</v>
      </c>
      <c r="AP356" t="str">
        <f t="shared" si="637"/>
        <v>n</v>
      </c>
      <c r="AQ356" t="str">
        <f>IF(AM356&lt;&gt;"",AM356,IF($AC356=#REF!,#REF!,""))</f>
        <v>Home</v>
      </c>
      <c r="AR356" t="str">
        <f t="shared" si="638"/>
        <v>h</v>
      </c>
      <c r="AS356" t="str">
        <f t="shared" si="639"/>
        <v>Offensive</v>
      </c>
      <c r="AT356" t="str">
        <f t="shared" si="590"/>
        <v/>
      </c>
      <c r="AU356" t="str">
        <f t="shared" si="591"/>
        <v/>
      </c>
      <c r="AV356" t="str" cm="1">
        <f t="array" ref="AV356">IFERROR(IF(O356&lt;&gt;"",O356,IF(OR($S356="",$T356=""),"",IF(O356&lt;&gt;"",O356,IF($T356&lt;&gt;"",_xlfn._xlws.FILTER(O:O,($BT:$BT=$BT356)*($I:$I=$I356)*($T:$T=$T356)*($S:$S=_xlfn.MINIFS($S:$S,$T:$T,"="&amp;$T356)),"")))))&amp;"",IF(O356="","",""))&amp;""</f>
        <v/>
      </c>
      <c r="AW356" t="str" cm="1">
        <f t="array" ref="AW356">IFERROR(IF(P356&lt;&gt;"",P356,IF(OR($S356="",$T356=""),"",IF($T356&lt;&gt;"",_xlfn._xlws.FILTER(P:P,($BT:$BT=$BT356)*($I:$I=$I356)*($T:$T=$T356)*($S:$S=_xlfn.MINIFS($S:$S,$T:$T,"="&amp;$T356)),""))))&amp;"",IF(P356="","",""))&amp;""</f>
        <v/>
      </c>
      <c r="AX356" t="str" cm="1">
        <f t="array" ref="AX356">IFERROR(IF(Q356&lt;&gt;"",Q356,IF(OR($S356="",$T356=""),"",IF($T356&lt;&gt;"",_xlfn._xlws.FILTER(Q:Q,($BT:$BT=$BT356)*($I:$I=$I356)*($T:$T=$T356)*($S:$S=_xlfn.MINIFS($S:$S,$T:$T,"="&amp;$T356)),""))))&amp;"",IF(Q356="","",""))&amp;""</f>
        <v/>
      </c>
      <c r="AY356" t="str" cm="1">
        <f t="array" ref="AY356">IFERROR(IF(R356&lt;&gt;"",R356,IF(OR($S356="",$T356=""),"",IF($T356&lt;&gt;"",_xlfn._xlws.FILTER(R:R,($BT:$BT=$BT356)*($I:$I=$I356)*($T:$T=$T356)*($S:$S=_xlfn.MINIFS($S:$S,$T:$T,"="&amp;$T356)),""))))&amp;"",IF(R356="","",""))&amp;""</f>
        <v>1</v>
      </c>
      <c r="AZ356" s="6">
        <f t="shared" si="592"/>
        <v>32</v>
      </c>
      <c r="BA356">
        <f t="shared" ref="BA356:BC356" si="649">BA355</f>
        <v>18991</v>
      </c>
      <c r="BB356" t="str">
        <f t="shared" si="649"/>
        <v>Triple J</v>
      </c>
      <c r="BC356" t="str">
        <f t="shared" si="649"/>
        <v>Velodrome</v>
      </c>
      <c r="BD356" t="str">
        <f t="shared" si="594"/>
        <v>Pass</v>
      </c>
      <c r="BE356" t="str">
        <f t="shared" si="595"/>
        <v>Pass_Deflected</v>
      </c>
      <c r="BF356" t="str">
        <f t="shared" si="596"/>
        <v>Pass-Forehand</v>
      </c>
      <c r="BG356" t="str">
        <f t="shared" si="578"/>
        <v>u</v>
      </c>
      <c r="BH356" cm="1">
        <f t="array" aca="1" ref="BH356" ca="1">IFERROR(_xlfn._xlws.FILTER(shifts!A:A,(shifts!B:B=events!Z356)*(shifts!AG:AG&gt;=events!BJ356)*(shifts!AH:AH&lt;=events!BK356)),BH355)</f>
        <v>11</v>
      </c>
      <c r="BI356" s="15">
        <f t="shared" si="597"/>
        <v>0</v>
      </c>
      <c r="BJ356">
        <f t="shared" si="598"/>
        <v>767</v>
      </c>
      <c r="BK356">
        <f t="shared" si="599"/>
        <v>767</v>
      </c>
      <c r="BL356" s="15">
        <f>SUMIFS(BI$2:BI356,K$2:K356,"=Intermission")+SUMIFS(BI$2:BI356,K$2:K356,"=Timeout")</f>
        <v>0</v>
      </c>
      <c r="BM356">
        <f t="shared" si="600"/>
        <v>0</v>
      </c>
      <c r="BN356" s="19">
        <f t="shared" si="601"/>
        <v>313</v>
      </c>
      <c r="BO356">
        <f t="shared" si="602"/>
        <v>308</v>
      </c>
      <c r="BP356" s="17">
        <f t="shared" si="603"/>
        <v>313</v>
      </c>
      <c r="BQ356" t="str">
        <f t="shared" si="604"/>
        <v>event_team_player_1</v>
      </c>
      <c r="BR356">
        <f>COUNTIFS(S$3:S356,"="&amp;S356,AH$3:AH356,"="&amp;AH356)</f>
        <v>1</v>
      </c>
      <c r="BS356" t="str">
        <f>IFERROR(VLOOKUP(BA356&amp;BT356&amp;X356,game_rosters!U:W,3,FALSE),"")</f>
        <v>P100008</v>
      </c>
      <c r="BT356" t="str">
        <f t="shared" si="605"/>
        <v>Triple J</v>
      </c>
    </row>
    <row r="357" spans="1:72" x14ac:dyDescent="0.2">
      <c r="A357" t="str">
        <f t="shared" si="580"/>
        <v/>
      </c>
      <c r="E357" s="4"/>
      <c r="F357" s="45"/>
      <c r="G357" s="4"/>
      <c r="H357" s="47"/>
      <c r="I357" s="26">
        <v>37</v>
      </c>
      <c r="J357" s="26" t="str">
        <f t="shared" si="606"/>
        <v/>
      </c>
      <c r="N357" t="str">
        <f t="shared" si="624"/>
        <v/>
      </c>
      <c r="Q357" t="str">
        <f t="shared" si="618"/>
        <v/>
      </c>
      <c r="S357">
        <f>IF(A357=1,MAX($S$2:$S356)+1,IF(OR($I357&lt;&gt;"",A357="x"),$S356,""))</f>
        <v>181</v>
      </c>
      <c r="T357" t="str">
        <f>IF(D357=1,MAX($T$2:$T356)+1,IF(S357=S356,$T356,IF(D357="x",T356,IF(D356="x","",""))))</f>
        <v/>
      </c>
      <c r="U357" t="str">
        <f>IF(B357=1,MAX($U$2:$U356)+1,IF(AND($T357&lt;&gt;"",$T357=$T356),$U356,IF(B357="x",U356,"")))</f>
        <v/>
      </c>
      <c r="V357" t="str">
        <f>IF(C357=1,MAX($V$2:$V356)+1,IF(AND($T357&lt;&gt;"",$T357=$T356),$U356,IF(C357="x",V356,"")))</f>
        <v/>
      </c>
      <c r="W357" t="str" cm="1">
        <f t="array" ref="W357">IFERROR(_xlfn._xlws.FILTER(game_rosters!AC:AC,(game_rosters!J:J=events!X357)*(K357&lt;&gt;"")),"")</f>
        <v/>
      </c>
      <c r="X357" cm="1">
        <f t="array" ref="X357">IF($I357&lt;&gt;"",$I357,INDEX($I$1:$I357,ROW()-COUNTIFS($T$1:$T357,"="&amp;$T357,$S$1:$S357,"&lt;"&amp;$S357)))</f>
        <v>37</v>
      </c>
      <c r="Y357" cm="1">
        <f t="array" ref="Y357">IFERROR(IF(_xlfn._xlws.FILTER(game_rosters!$J:$J,(game_rosters!$G:$G=events!$AM357)*(game_rosters!$J:$J=events!$X357))&gt;0,1,""),"")</f>
        <v>1</v>
      </c>
      <c r="Z357" s="6">
        <f t="shared" si="581"/>
        <v>1</v>
      </c>
      <c r="AA357">
        <f t="shared" si="582"/>
        <v>1181</v>
      </c>
      <c r="AB357" t="str">
        <f t="shared" si="583"/>
        <v/>
      </c>
      <c r="AC357">
        <f t="shared" si="584"/>
        <v>1181</v>
      </c>
      <c r="AD357" t="str">
        <f t="shared" si="585"/>
        <v>12</v>
      </c>
      <c r="AE357" t="str">
        <f t="shared" si="586"/>
        <v>47</v>
      </c>
      <c r="AF357" t="str">
        <f t="shared" si="587"/>
        <v/>
      </c>
      <c r="AG357" t="str">
        <f t="shared" si="588"/>
        <v/>
      </c>
      <c r="AH357" t="str">
        <f t="shared" si="631"/>
        <v>e</v>
      </c>
      <c r="AI357" t="str">
        <f t="shared" si="632"/>
        <v>n</v>
      </c>
      <c r="AJ357" t="str">
        <f t="shared" si="632"/>
        <v>n</v>
      </c>
      <c r="AK357" t="str">
        <f t="shared" si="633"/>
        <v/>
      </c>
      <c r="AL357" t="str">
        <f t="shared" si="634"/>
        <v/>
      </c>
      <c r="AM357" t="str">
        <f t="shared" si="589"/>
        <v>Home</v>
      </c>
      <c r="AN357" t="str">
        <f t="shared" si="635"/>
        <v>h</v>
      </c>
      <c r="AO357" t="str">
        <f t="shared" si="636"/>
        <v>n</v>
      </c>
      <c r="AP357" t="str">
        <f t="shared" si="637"/>
        <v>n</v>
      </c>
      <c r="AQ357" t="str">
        <f>IF(AM357&lt;&gt;"",AM357,IF($AC357=#REF!,#REF!,""))</f>
        <v>Home</v>
      </c>
      <c r="AR357" t="str">
        <f t="shared" si="638"/>
        <v>h</v>
      </c>
      <c r="AS357" t="str">
        <f t="shared" si="639"/>
        <v>Offensive</v>
      </c>
      <c r="AT357" t="str">
        <f t="shared" si="590"/>
        <v/>
      </c>
      <c r="AU357" t="str">
        <f t="shared" si="591"/>
        <v/>
      </c>
      <c r="AV357" t="str" cm="1">
        <f t="array" ref="AV357">IFERROR(IF(O357&lt;&gt;"",O357,IF(OR($S357="",$T357=""),"",IF(O357&lt;&gt;"",O357,IF($T357&lt;&gt;"",_xlfn._xlws.FILTER(O:O,($BT:$BT=$BT357)*($I:$I=$I357)*($T:$T=$T357)*($S:$S=_xlfn.MINIFS($S:$S,$T:$T,"="&amp;$T357)),"")))))&amp;"",IF(O357="","",""))&amp;""</f>
        <v/>
      </c>
      <c r="AW357" t="str" cm="1">
        <f t="array" ref="AW357">IFERROR(IF(P357&lt;&gt;"",P357,IF(OR($S357="",$T357=""),"",IF($T357&lt;&gt;"",_xlfn._xlws.FILTER(P:P,($BT:$BT=$BT357)*($I:$I=$I357)*($T:$T=$T357)*($S:$S=_xlfn.MINIFS($S:$S,$T:$T,"="&amp;$T357)),""))))&amp;"",IF(P357="","",""))&amp;""</f>
        <v/>
      </c>
      <c r="AX357" t="str" cm="1">
        <f t="array" ref="AX357">IFERROR(IF(Q357&lt;&gt;"",Q357,IF(OR($S357="",$T357=""),"",IF($T357&lt;&gt;"",_xlfn._xlws.FILTER(Q:Q,($BT:$BT=$BT357)*($I:$I=$I357)*($T:$T=$T357)*($S:$S=_xlfn.MINIFS($S:$S,$T:$T,"="&amp;$T357)),""))))&amp;"",IF(Q357="","",""))&amp;""</f>
        <v/>
      </c>
      <c r="AY357" t="str" cm="1">
        <f t="array" ref="AY357">IFERROR(IF(R357&lt;&gt;"",R357,IF(OR($S357="",$T357=""),"",IF($T357&lt;&gt;"",_xlfn._xlws.FILTER(R:R,($BT:$BT=$BT357)*($I:$I=$I357)*($T:$T=$T357)*($S:$S=_xlfn.MINIFS($S:$S,$T:$T,"="&amp;$T357)),""))))&amp;"",IF(R357="","",""))&amp;""</f>
        <v/>
      </c>
      <c r="AZ357" s="6">
        <f t="shared" si="592"/>
        <v>32</v>
      </c>
      <c r="BA357">
        <f t="shared" ref="BA357:BC357" si="650">BA356</f>
        <v>18991</v>
      </c>
      <c r="BB357" t="str">
        <f t="shared" si="650"/>
        <v>Triple J</v>
      </c>
      <c r="BC357" t="str">
        <f t="shared" si="650"/>
        <v>Velodrome</v>
      </c>
      <c r="BD357" t="str">
        <f t="shared" si="594"/>
        <v>Pass</v>
      </c>
      <c r="BE357" t="str">
        <f t="shared" si="595"/>
        <v>Pass_Deflected</v>
      </c>
      <c r="BF357" t="str">
        <f t="shared" si="596"/>
        <v>Pass-Forehand</v>
      </c>
      <c r="BG357" t="str">
        <f t="shared" si="578"/>
        <v>u</v>
      </c>
      <c r="BH357" cm="1">
        <f t="array" aca="1" ref="BH357" ca="1">IFERROR(_xlfn._xlws.FILTER(shifts!A:A,(shifts!B:B=events!Z357)*(shifts!AG:AG&gt;=events!BJ357)*(shifts!AH:AH&lt;=events!BK357)),BH356)</f>
        <v>11</v>
      </c>
      <c r="BI357" s="15">
        <f t="shared" si="597"/>
        <v>0</v>
      </c>
      <c r="BJ357">
        <f t="shared" si="598"/>
        <v>767</v>
      </c>
      <c r="BK357">
        <f t="shared" si="599"/>
        <v>767</v>
      </c>
      <c r="BL357" s="15">
        <f>SUMIFS(BI$2:BI357,K$2:K357,"=Intermission")+SUMIFS(BI$2:BI357,K$2:K357,"=Timeout")</f>
        <v>0</v>
      </c>
      <c r="BM357">
        <f t="shared" si="600"/>
        <v>0</v>
      </c>
      <c r="BN357" s="19">
        <f t="shared" si="601"/>
        <v>313</v>
      </c>
      <c r="BO357">
        <f t="shared" si="602"/>
        <v>308</v>
      </c>
      <c r="BP357" s="17">
        <f t="shared" si="603"/>
        <v>313</v>
      </c>
      <c r="BQ357" t="str">
        <f t="shared" si="604"/>
        <v>event_team_player_2</v>
      </c>
      <c r="BR357">
        <f>COUNTIFS(S$3:S357,"="&amp;S357,AH$3:AH357,"="&amp;AH357)</f>
        <v>2</v>
      </c>
      <c r="BS357" t="str">
        <f>IFERROR(VLOOKUP(BA357&amp;BT357&amp;X357,game_rosters!U:W,3,FALSE),"")</f>
        <v>P100006</v>
      </c>
      <c r="BT357" t="str">
        <f t="shared" si="605"/>
        <v>Triple J</v>
      </c>
    </row>
    <row r="358" spans="1:72" x14ac:dyDescent="0.2">
      <c r="A358" t="str">
        <f t="shared" si="580"/>
        <v/>
      </c>
      <c r="E358" s="4"/>
      <c r="F358" s="45"/>
      <c r="G358" s="4"/>
      <c r="H358" s="47"/>
      <c r="I358" s="26">
        <v>93</v>
      </c>
      <c r="J358" s="26" t="str">
        <f t="shared" si="606"/>
        <v/>
      </c>
      <c r="N358" t="str">
        <f t="shared" si="624"/>
        <v/>
      </c>
      <c r="O358" t="s">
        <v>782</v>
      </c>
      <c r="Q358" t="str">
        <f t="shared" si="618"/>
        <v/>
      </c>
      <c r="S358">
        <f>IF(A358=1,MAX($S$2:$S357)+1,IF(OR($I358&lt;&gt;"",A358="x"),$S357,""))</f>
        <v>181</v>
      </c>
      <c r="T358" t="str">
        <f>IF(D358=1,MAX($T$2:$T357)+1,IF(S358=S357,$T357,IF(D358="x",T357,IF(D357="x","",""))))</f>
        <v/>
      </c>
      <c r="U358" t="str">
        <f>IF(B358=1,MAX($U$2:$U357)+1,IF(AND($T358&lt;&gt;"",$T358=$T357),$U357,IF(B358="x",U357,"")))</f>
        <v/>
      </c>
      <c r="V358" t="str">
        <f>IF(C358=1,MAX($V$2:$V357)+1,IF(AND($T358&lt;&gt;"",$T358=$T357),$U357,IF(C358="x",V357,"")))</f>
        <v/>
      </c>
      <c r="W358" t="str" cm="1">
        <f t="array" ref="W358">IFERROR(_xlfn._xlws.FILTER(game_rosters!AC:AC,(game_rosters!J:J=events!X358)*(K358&lt;&gt;"")),"")</f>
        <v/>
      </c>
      <c r="X358" cm="1">
        <f t="array" ref="X358">IF($I358&lt;&gt;"",$I358,INDEX($I$1:$I358,ROW()-COUNTIFS($T$1:$T358,"="&amp;$T358,$S$1:$S358,"&lt;"&amp;$S358)))</f>
        <v>93</v>
      </c>
      <c r="Y358" t="str" cm="1">
        <f t="array" ref="Y358">IFERROR(IF(_xlfn._xlws.FILTER(game_rosters!$J:$J,(game_rosters!$G:$G=events!$AM358)*(game_rosters!$J:$J=events!$X358))&gt;0,1,""),"")</f>
        <v/>
      </c>
      <c r="Z358" s="6">
        <f t="shared" si="581"/>
        <v>1</v>
      </c>
      <c r="AA358">
        <f t="shared" si="582"/>
        <v>1181</v>
      </c>
      <c r="AB358" t="str">
        <f t="shared" si="583"/>
        <v/>
      </c>
      <c r="AC358">
        <f t="shared" si="584"/>
        <v>1181</v>
      </c>
      <c r="AD358" t="str">
        <f t="shared" si="585"/>
        <v>12</v>
      </c>
      <c r="AE358" t="str">
        <f t="shared" si="586"/>
        <v>47</v>
      </c>
      <c r="AF358" t="str">
        <f t="shared" si="587"/>
        <v/>
      </c>
      <c r="AG358" t="str">
        <f t="shared" si="588"/>
        <v/>
      </c>
      <c r="AH358" t="str">
        <f t="shared" si="631"/>
        <v>o</v>
      </c>
      <c r="AI358" t="str">
        <f t="shared" si="632"/>
        <v>n</v>
      </c>
      <c r="AJ358" t="str">
        <f t="shared" si="632"/>
        <v>n</v>
      </c>
      <c r="AK358" t="str">
        <f t="shared" si="633"/>
        <v/>
      </c>
      <c r="AL358" t="str">
        <f t="shared" si="634"/>
        <v/>
      </c>
      <c r="AM358" t="str">
        <f t="shared" si="589"/>
        <v>Home</v>
      </c>
      <c r="AN358" t="str">
        <f t="shared" si="635"/>
        <v>h</v>
      </c>
      <c r="AO358" t="str">
        <f t="shared" si="636"/>
        <v>n</v>
      </c>
      <c r="AP358" t="str">
        <f t="shared" si="637"/>
        <v>n</v>
      </c>
      <c r="AQ358" t="str">
        <f>IF(AM358&lt;&gt;"",AM358,IF($AC358=#REF!,#REF!,""))</f>
        <v>Home</v>
      </c>
      <c r="AR358" t="str">
        <f t="shared" si="638"/>
        <v>h</v>
      </c>
      <c r="AS358" t="str">
        <f t="shared" si="639"/>
        <v>Defensive</v>
      </c>
      <c r="AT358" t="str">
        <f t="shared" si="590"/>
        <v/>
      </c>
      <c r="AU358" t="str">
        <f t="shared" si="591"/>
        <v/>
      </c>
      <c r="AV358" t="str" cm="1">
        <f t="array" ref="AV358">IFERROR(IF(O358&lt;&gt;"",O358,IF(OR($S358="",$T358=""),"",IF(O358&lt;&gt;"",O358,IF($T358&lt;&gt;"",_xlfn._xlws.FILTER(O:O,($BT:$BT=$BT358)*($I:$I=$I358)*($T:$T=$T358)*($S:$S=_xlfn.MINIFS($S:$S,$T:$T,"="&amp;$T358)),"")))))&amp;"",IF(O358="","",""))&amp;""</f>
        <v>PassDeflected</v>
      </c>
      <c r="AW358" t="str" cm="1">
        <f t="array" ref="AW358">IFERROR(IF(P358&lt;&gt;"",P358,IF(OR($S358="",$T358=""),"",IF($T358&lt;&gt;"",_xlfn._xlws.FILTER(P:P,($BT:$BT=$BT358)*($I:$I=$I358)*($T:$T=$T358)*($S:$S=_xlfn.MINIFS($S:$S,$T:$T,"="&amp;$T358)),""))))&amp;"",IF(P358="","",""))&amp;""</f>
        <v/>
      </c>
      <c r="AX358" t="str" cm="1">
        <f t="array" ref="AX358">IFERROR(IF(Q358&lt;&gt;"",Q358,IF(OR($S358="",$T358=""),"",IF($T358&lt;&gt;"",_xlfn._xlws.FILTER(Q:Q,($BT:$BT=$BT358)*($I:$I=$I358)*($T:$T=$T358)*($S:$S=_xlfn.MINIFS($S:$S,$T:$T,"="&amp;$T358)),""))))&amp;"",IF(Q358="","",""))&amp;""</f>
        <v/>
      </c>
      <c r="AY358" t="str" cm="1">
        <f t="array" ref="AY358">IFERROR(IF(R358&lt;&gt;"",R358,IF(OR($S358="",$T358=""),"",IF($T358&lt;&gt;"",_xlfn._xlws.FILTER(R:R,($BT:$BT=$BT358)*($I:$I=$I358)*($T:$T=$T358)*($S:$S=_xlfn.MINIFS($S:$S,$T:$T,"="&amp;$T358)),""))))&amp;"",IF(R358="","",""))&amp;""</f>
        <v/>
      </c>
      <c r="AZ358" s="6">
        <f t="shared" si="592"/>
        <v>32</v>
      </c>
      <c r="BA358">
        <f t="shared" ref="BA358:BC358" si="651">BA357</f>
        <v>18991</v>
      </c>
      <c r="BB358" t="str">
        <f t="shared" si="651"/>
        <v>Triple J</v>
      </c>
      <c r="BC358" t="str">
        <f t="shared" si="651"/>
        <v>Velodrome</v>
      </c>
      <c r="BD358" t="str">
        <f t="shared" si="594"/>
        <v>Pass</v>
      </c>
      <c r="BE358" t="str">
        <f t="shared" si="595"/>
        <v>Pass_Deflected</v>
      </c>
      <c r="BF358" t="str">
        <f t="shared" si="596"/>
        <v>Pass-Forehand</v>
      </c>
      <c r="BG358" t="str">
        <f t="shared" si="578"/>
        <v>u</v>
      </c>
      <c r="BH358" cm="1">
        <f t="array" aca="1" ref="BH358" ca="1">IFERROR(_xlfn._xlws.FILTER(shifts!A:A,(shifts!B:B=events!Z358)*(shifts!AG:AG&gt;=events!BJ358)*(shifts!AH:AH&lt;=events!BK358)),BH357)</f>
        <v>11</v>
      </c>
      <c r="BI358" s="15">
        <f t="shared" si="597"/>
        <v>0</v>
      </c>
      <c r="BJ358">
        <f t="shared" si="598"/>
        <v>767</v>
      </c>
      <c r="BK358">
        <f t="shared" si="599"/>
        <v>767</v>
      </c>
      <c r="BL358" s="15">
        <f>SUMIFS(BI$2:BI358,K$2:K358,"=Intermission")+SUMIFS(BI$2:BI358,K$2:K358,"=Timeout")</f>
        <v>0</v>
      </c>
      <c r="BM358">
        <f t="shared" si="600"/>
        <v>0</v>
      </c>
      <c r="BN358" s="19">
        <f t="shared" si="601"/>
        <v>313</v>
      </c>
      <c r="BO358">
        <f t="shared" si="602"/>
        <v>308</v>
      </c>
      <c r="BP358" s="17">
        <f t="shared" si="603"/>
        <v>313</v>
      </c>
      <c r="BQ358" t="str">
        <f t="shared" si="604"/>
        <v>opp_team_player_1</v>
      </c>
      <c r="BR358">
        <f>COUNTIFS(S$3:S358,"="&amp;S358,AH$3:AH358,"="&amp;AH358)</f>
        <v>1</v>
      </c>
      <c r="BS358" t="str">
        <f>IFERROR(VLOOKUP(BA358&amp;BT358&amp;X358,game_rosters!U:W,3,FALSE),"")</f>
        <v>P100093</v>
      </c>
      <c r="BT358" t="str">
        <f t="shared" si="605"/>
        <v>Velodrome</v>
      </c>
    </row>
    <row r="359" spans="1:72" x14ac:dyDescent="0.2">
      <c r="A359" t="str">
        <f t="shared" si="580"/>
        <v/>
      </c>
      <c r="E359" s="4"/>
      <c r="F359" s="45"/>
      <c r="G359" s="4"/>
      <c r="H359" s="47"/>
      <c r="I359" s="26">
        <v>87</v>
      </c>
      <c r="J359" s="26" t="str">
        <f t="shared" si="606"/>
        <v/>
      </c>
      <c r="N359" t="str">
        <f t="shared" si="624"/>
        <v/>
      </c>
      <c r="Q359" t="str">
        <f t="shared" si="618"/>
        <v/>
      </c>
      <c r="R359" s="26">
        <v>1</v>
      </c>
      <c r="S359">
        <f>IF(A359=1,MAX($S$2:$S358)+1,IF(OR($I359&lt;&gt;"",A359="x"),$S358,""))</f>
        <v>181</v>
      </c>
      <c r="T359" t="str">
        <f>IF(D359=1,MAX($T$2:$T358)+1,IF(S359=S358,$T358,IF(D359="x",T358,IF(D358="x","",""))))</f>
        <v/>
      </c>
      <c r="U359" t="str">
        <f>IF(B359=1,MAX($U$2:$U358)+1,IF(AND($T359&lt;&gt;"",$T359=$T358),$U358,IF(B359="x",U358,"")))</f>
        <v/>
      </c>
      <c r="V359" t="str">
        <f>IF(C359=1,MAX($V$2:$V358)+1,IF(AND($T359&lt;&gt;"",$T359=$T358),$U358,IF(C359="x",V358,"")))</f>
        <v/>
      </c>
      <c r="W359" t="str" cm="1">
        <f t="array" ref="W359">IFERROR(_xlfn._xlws.FILTER(game_rosters!AC:AC,(game_rosters!J:J=events!X359)*(K359&lt;&gt;"")),"")</f>
        <v/>
      </c>
      <c r="X359" cm="1">
        <f t="array" ref="X359">IF($I359&lt;&gt;"",$I359,INDEX($I$1:$I359,ROW()-COUNTIFS($T$1:$T359,"="&amp;$T359,$S$1:$S359,"&lt;"&amp;$S359)))</f>
        <v>87</v>
      </c>
      <c r="Y359" t="str" cm="1">
        <f t="array" ref="Y359">IFERROR(IF(_xlfn._xlws.FILTER(game_rosters!$J:$J,(game_rosters!$G:$G=events!$AM359)*(game_rosters!$J:$J=events!$X359))&gt;0,1,""),"")</f>
        <v/>
      </c>
      <c r="Z359" s="6">
        <f t="shared" si="581"/>
        <v>1</v>
      </c>
      <c r="AA359">
        <f t="shared" si="582"/>
        <v>1181</v>
      </c>
      <c r="AB359" t="str">
        <f t="shared" si="583"/>
        <v/>
      </c>
      <c r="AC359">
        <f t="shared" si="584"/>
        <v>1181</v>
      </c>
      <c r="AD359" t="str">
        <f t="shared" si="585"/>
        <v>12</v>
      </c>
      <c r="AE359" t="str">
        <f t="shared" si="586"/>
        <v>47</v>
      </c>
      <c r="AF359" t="str">
        <f t="shared" si="587"/>
        <v/>
      </c>
      <c r="AG359" t="str">
        <f t="shared" si="588"/>
        <v/>
      </c>
      <c r="AH359" t="str">
        <f t="shared" si="631"/>
        <v>o</v>
      </c>
      <c r="AI359" t="str">
        <f t="shared" si="632"/>
        <v>n</v>
      </c>
      <c r="AJ359" t="str">
        <f t="shared" si="632"/>
        <v>n</v>
      </c>
      <c r="AK359" t="str">
        <f t="shared" si="633"/>
        <v/>
      </c>
      <c r="AL359" t="str">
        <f t="shared" si="634"/>
        <v/>
      </c>
      <c r="AM359" t="str">
        <f t="shared" si="589"/>
        <v>Home</v>
      </c>
      <c r="AN359" t="str">
        <f t="shared" si="635"/>
        <v>h</v>
      </c>
      <c r="AO359" t="str">
        <f t="shared" si="636"/>
        <v>n</v>
      </c>
      <c r="AP359" t="str">
        <f t="shared" si="637"/>
        <v>n</v>
      </c>
      <c r="AQ359" t="str">
        <f>IF(AM359&lt;&gt;"",AM359,IF($AC359=#REF!,#REF!,""))</f>
        <v>Home</v>
      </c>
      <c r="AR359" t="str">
        <f t="shared" si="638"/>
        <v>h</v>
      </c>
      <c r="AS359" t="str">
        <f t="shared" si="639"/>
        <v>Defensive</v>
      </c>
      <c r="AT359" t="str">
        <f t="shared" si="590"/>
        <v/>
      </c>
      <c r="AU359" t="str">
        <f t="shared" si="591"/>
        <v/>
      </c>
      <c r="AV359" t="str" cm="1">
        <f t="array" ref="AV359">IFERROR(IF(O359&lt;&gt;"",O359,IF(OR($S359="",$T359=""),"",IF(O359&lt;&gt;"",O359,IF($T359&lt;&gt;"",_xlfn._xlws.FILTER(O:O,($BT:$BT=$BT359)*($I:$I=$I359)*($T:$T=$T359)*($S:$S=_xlfn.MINIFS($S:$S,$T:$T,"="&amp;$T359)),"")))))&amp;"",IF(O359="","",""))&amp;""</f>
        <v/>
      </c>
      <c r="AW359" t="str" cm="1">
        <f t="array" ref="AW359">IFERROR(IF(P359&lt;&gt;"",P359,IF(OR($S359="",$T359=""),"",IF($T359&lt;&gt;"",_xlfn._xlws.FILTER(P:P,($BT:$BT=$BT359)*($I:$I=$I359)*($T:$T=$T359)*($S:$S=_xlfn.MINIFS($S:$S,$T:$T,"="&amp;$T359)),""))))&amp;"",IF(P359="","",""))&amp;""</f>
        <v/>
      </c>
      <c r="AX359" t="str" cm="1">
        <f t="array" ref="AX359">IFERROR(IF(Q359&lt;&gt;"",Q359,IF(OR($S359="",$T359=""),"",IF($T359&lt;&gt;"",_xlfn._xlws.FILTER(Q:Q,($BT:$BT=$BT359)*($I:$I=$I359)*($T:$T=$T359)*($S:$S=_xlfn.MINIFS($S:$S,$T:$T,"="&amp;$T359)),""))))&amp;"",IF(Q359="","",""))&amp;""</f>
        <v/>
      </c>
      <c r="AY359" t="str" cm="1">
        <f t="array" ref="AY359">IFERROR(IF(R359&lt;&gt;"",R359,IF(OR($S359="",$T359=""),"",IF($T359&lt;&gt;"",_xlfn._xlws.FILTER(R:R,($BT:$BT=$BT359)*($I:$I=$I359)*($T:$T=$T359)*($S:$S=_xlfn.MINIFS($S:$S,$T:$T,"="&amp;$T359)),""))))&amp;"",IF(R359="","",""))&amp;""</f>
        <v>1</v>
      </c>
      <c r="AZ359" s="6">
        <f t="shared" si="592"/>
        <v>32</v>
      </c>
      <c r="BA359">
        <f t="shared" ref="BA359:BC359" si="652">BA358</f>
        <v>18991</v>
      </c>
      <c r="BB359" t="str">
        <f t="shared" si="652"/>
        <v>Triple J</v>
      </c>
      <c r="BC359" t="str">
        <f t="shared" si="652"/>
        <v>Velodrome</v>
      </c>
      <c r="BD359" t="str">
        <f t="shared" si="594"/>
        <v>Pass</v>
      </c>
      <c r="BE359" t="str">
        <f t="shared" si="595"/>
        <v>Pass_Deflected</v>
      </c>
      <c r="BF359" t="str">
        <f t="shared" si="596"/>
        <v>Pass-Forehand</v>
      </c>
      <c r="BG359" t="str">
        <f t="shared" si="578"/>
        <v>u</v>
      </c>
      <c r="BH359" cm="1">
        <f t="array" aca="1" ref="BH359" ca="1">IFERROR(_xlfn._xlws.FILTER(shifts!A:A,(shifts!B:B=events!Z359)*(shifts!AG:AG&gt;=events!BJ359)*(shifts!AH:AH&lt;=events!BK359)),BH358)</f>
        <v>11</v>
      </c>
      <c r="BI359" s="15">
        <f t="shared" si="597"/>
        <v>0</v>
      </c>
      <c r="BJ359">
        <f t="shared" si="598"/>
        <v>767</v>
      </c>
      <c r="BK359">
        <f t="shared" si="599"/>
        <v>767</v>
      </c>
      <c r="BL359" s="15">
        <f>SUMIFS(BI$2:BI359,K$2:K359,"=Intermission")+SUMIFS(BI$2:BI359,K$2:K359,"=Timeout")</f>
        <v>0</v>
      </c>
      <c r="BM359">
        <f t="shared" si="600"/>
        <v>0</v>
      </c>
      <c r="BN359" s="19">
        <f t="shared" si="601"/>
        <v>313</v>
      </c>
      <c r="BO359">
        <f t="shared" si="602"/>
        <v>308</v>
      </c>
      <c r="BP359" s="17">
        <f t="shared" si="603"/>
        <v>313</v>
      </c>
      <c r="BQ359" t="str">
        <f t="shared" si="604"/>
        <v>opp_team_player_2</v>
      </c>
      <c r="BR359">
        <f>COUNTIFS(S$3:S359,"="&amp;S359,AH$3:AH359,"="&amp;AH359)</f>
        <v>2</v>
      </c>
      <c r="BS359" t="str">
        <f>IFERROR(VLOOKUP(BA359&amp;BT359&amp;X359,game_rosters!U:W,3,FALSE),"")</f>
        <v>P100159</v>
      </c>
      <c r="BT359" t="str">
        <f t="shared" si="605"/>
        <v>Velodrome</v>
      </c>
    </row>
    <row r="360" spans="1:72" x14ac:dyDescent="0.2">
      <c r="A360">
        <f t="shared" si="580"/>
        <v>1</v>
      </c>
      <c r="E360" s="4"/>
      <c r="F360" s="45" t="s">
        <v>1029</v>
      </c>
      <c r="G360" s="4"/>
      <c r="H360" s="47" t="s">
        <v>1032</v>
      </c>
      <c r="I360" s="26">
        <v>73</v>
      </c>
      <c r="J360" s="26" t="s">
        <v>734</v>
      </c>
      <c r="K360" t="s">
        <v>13</v>
      </c>
      <c r="L360" t="s">
        <v>587</v>
      </c>
      <c r="N360" t="str">
        <f t="shared" si="624"/>
        <v/>
      </c>
      <c r="O360" t="s">
        <v>907</v>
      </c>
      <c r="Q360" t="str">
        <f t="shared" si="618"/>
        <v/>
      </c>
      <c r="S360">
        <f>IF(A360=1,MAX($S$2:$S359)+1,IF(OR($I360&lt;&gt;"",A360="x"),$S359,""))</f>
        <v>182</v>
      </c>
      <c r="T360" t="str">
        <f>IF(D360=1,MAX($T$2:$T359)+1,IF(S360=S359,$T359,IF(D360="x",T359,IF(D359="x","",""))))</f>
        <v/>
      </c>
      <c r="U360" t="str">
        <f>IF(B360=1,MAX($U$2:$U359)+1,IF(AND($T360&lt;&gt;"",$T360=$T359),$U359,IF(B360="x",U359,"")))</f>
        <v/>
      </c>
      <c r="V360" t="str">
        <f>IF(C360=1,MAX($V$2:$V359)+1,IF(AND($T360&lt;&gt;"",$T360=$T359),$U359,IF(C360="x",V359,"")))</f>
        <v/>
      </c>
      <c r="W360" t="str" cm="1">
        <f t="array" ref="W360">IFERROR(_xlfn._xlws.FILTER(game_rosters!AC:AC,(game_rosters!J:J=events!X360)*(K360&lt;&gt;"")),"")</f>
        <v>h</v>
      </c>
      <c r="X360" cm="1">
        <f t="array" ref="X360">IF($I360&lt;&gt;"",$I360,INDEX($I$1:$I360,ROW()-COUNTIFS($T$1:$T360,"="&amp;$T360,$S$1:$S360,"&lt;"&amp;$S360)))</f>
        <v>73</v>
      </c>
      <c r="Y360" cm="1">
        <f t="array" ref="Y360">IFERROR(IF(_xlfn._xlws.FILTER(game_rosters!$J:$J,(game_rosters!$G:$G=events!$AM360)*(game_rosters!$J:$J=events!$X360))&gt;0,1,""),"")</f>
        <v>1</v>
      </c>
      <c r="Z360" s="6">
        <f t="shared" si="581"/>
        <v>1</v>
      </c>
      <c r="AA360">
        <f t="shared" si="582"/>
        <v>1182</v>
      </c>
      <c r="AB360" t="str">
        <f t="shared" si="583"/>
        <v/>
      </c>
      <c r="AC360">
        <f t="shared" si="584"/>
        <v>1182</v>
      </c>
      <c r="AD360" t="str">
        <f t="shared" si="585"/>
        <v>12</v>
      </c>
      <c r="AE360" t="str">
        <f t="shared" si="586"/>
        <v>44</v>
      </c>
      <c r="AF360" t="str">
        <f t="shared" si="587"/>
        <v>12</v>
      </c>
      <c r="AG360" t="str">
        <f t="shared" si="588"/>
        <v>42</v>
      </c>
      <c r="AH360" t="str">
        <f t="shared" si="631"/>
        <v>e</v>
      </c>
      <c r="AI360" t="str">
        <f t="shared" si="632"/>
        <v>n</v>
      </c>
      <c r="AJ360" t="str">
        <f t="shared" si="632"/>
        <v>n</v>
      </c>
      <c r="AK360" t="str">
        <f t="shared" si="633"/>
        <v>n</v>
      </c>
      <c r="AL360" t="str">
        <f t="shared" si="634"/>
        <v>n</v>
      </c>
      <c r="AM360" t="str">
        <f t="shared" si="589"/>
        <v>Home</v>
      </c>
      <c r="AN360" t="str">
        <f t="shared" si="635"/>
        <v>h</v>
      </c>
      <c r="AO360" t="str">
        <f t="shared" si="636"/>
        <v>n</v>
      </c>
      <c r="AP360" t="str">
        <f t="shared" si="637"/>
        <v>n</v>
      </c>
      <c r="AQ360" t="str">
        <f>IF(AM360&lt;&gt;"",AM360,IF($AC360=#REF!,#REF!,""))</f>
        <v>Home</v>
      </c>
      <c r="AR360" t="str">
        <f t="shared" si="638"/>
        <v>h</v>
      </c>
      <c r="AS360" t="str">
        <f t="shared" si="639"/>
        <v>Offensive</v>
      </c>
      <c r="AT360" t="str">
        <f t="shared" si="590"/>
        <v/>
      </c>
      <c r="AU360" t="str">
        <f t="shared" si="591"/>
        <v/>
      </c>
      <c r="AV360" t="str" cm="1">
        <f t="array" ref="AV360">IFERROR(IF(O360&lt;&gt;"",O360,IF(OR($S360="",$T360=""),"",IF(O360&lt;&gt;"",O360,IF($T360&lt;&gt;"",_xlfn._xlws.FILTER(O:O,($BT:$BT=$BT360)*($I:$I=$I360)*($T:$T=$T360)*($S:$S=_xlfn.MINIFS($S:$S,$T:$T,"="&amp;$T360)),"")))))&amp;"",IF(O360="","",""))&amp;""</f>
        <v>PuckRecoveryRetreivalPass</v>
      </c>
      <c r="AW360" t="str" cm="1">
        <f t="array" ref="AW360">IFERROR(IF(P360&lt;&gt;"",P360,IF(OR($S360="",$T360=""),"",IF($T360&lt;&gt;"",_xlfn._xlws.FILTER(P:P,($BT:$BT=$BT360)*($I:$I=$I360)*($T:$T=$T360)*($S:$S=_xlfn.MINIFS($S:$S,$T:$T,"="&amp;$T360)),""))))&amp;"",IF(P360="","",""))&amp;""</f>
        <v/>
      </c>
      <c r="AX360" t="str" cm="1">
        <f t="array" ref="AX360">IFERROR(IF(Q360&lt;&gt;"",Q360,IF(OR($S360="",$T360=""),"",IF($T360&lt;&gt;"",_xlfn._xlws.FILTER(Q:Q,($BT:$BT=$BT360)*($I:$I=$I360)*($T:$T=$T360)*($S:$S=_xlfn.MINIFS($S:$S,$T:$T,"="&amp;$T360)),""))))&amp;"",IF(Q360="","",""))&amp;""</f>
        <v/>
      </c>
      <c r="AY360" t="str" cm="1">
        <f t="array" ref="AY360">IFERROR(IF(R360&lt;&gt;"",R360,IF(OR($S360="",$T360=""),"",IF($T360&lt;&gt;"",_xlfn._xlws.FILTER(R:R,($BT:$BT=$BT360)*($I:$I=$I360)*($T:$T=$T360)*($S:$S=_xlfn.MINIFS($S:$S,$T:$T,"="&amp;$T360)),""))))&amp;"",IF(R360="","",""))&amp;""</f>
        <v/>
      </c>
      <c r="AZ360" s="6">
        <f t="shared" si="592"/>
        <v>32</v>
      </c>
      <c r="BA360">
        <f t="shared" ref="BA360:BC360" si="653">BA359</f>
        <v>18991</v>
      </c>
      <c r="BB360" t="str">
        <f t="shared" si="653"/>
        <v>Triple J</v>
      </c>
      <c r="BC360" t="str">
        <f t="shared" si="653"/>
        <v>Velodrome</v>
      </c>
      <c r="BD360" t="str">
        <f t="shared" si="594"/>
        <v>Possession</v>
      </c>
      <c r="BE360" t="str">
        <f t="shared" si="595"/>
        <v>PuckRecovery</v>
      </c>
      <c r="BF360" t="str">
        <f t="shared" si="596"/>
        <v/>
      </c>
      <c r="BG360" t="str">
        <f t="shared" si="578"/>
        <v/>
      </c>
      <c r="BH360" cm="1">
        <f t="array" aca="1" ref="BH360" ca="1">IFERROR(_xlfn._xlws.FILTER(shifts!A:A,(shifts!B:B=events!Z360)*(shifts!AG:AG&gt;=events!BJ360)*(shifts!AH:AH&lt;=events!BK360)),BH359)</f>
        <v>11</v>
      </c>
      <c r="BI360" s="15">
        <f t="shared" si="597"/>
        <v>2</v>
      </c>
      <c r="BJ360">
        <f t="shared" si="598"/>
        <v>764</v>
      </c>
      <c r="BK360">
        <f t="shared" si="599"/>
        <v>762</v>
      </c>
      <c r="BL360" s="15">
        <f>SUMIFS(BI$2:BI360,K$2:K360,"=Intermission")+SUMIFS(BI$2:BI360,K$2:K360,"=Timeout")</f>
        <v>0</v>
      </c>
      <c r="BM360">
        <f t="shared" si="600"/>
        <v>0</v>
      </c>
      <c r="BN360" s="19">
        <f t="shared" si="601"/>
        <v>316</v>
      </c>
      <c r="BO360">
        <f t="shared" si="602"/>
        <v>311</v>
      </c>
      <c r="BP360" s="17">
        <f t="shared" si="603"/>
        <v>318</v>
      </c>
      <c r="BQ360" t="str">
        <f t="shared" si="604"/>
        <v>event_team_player_1</v>
      </c>
      <c r="BR360">
        <f>COUNTIFS(S$3:S360,"="&amp;S360,AH$3:AH360,"="&amp;AH360)</f>
        <v>1</v>
      </c>
      <c r="BS360" t="str">
        <f>IFERROR(VLOOKUP(BA360&amp;BT360&amp;X360,game_rosters!U:W,3,FALSE),"")</f>
        <v>P100021</v>
      </c>
      <c r="BT360" t="str">
        <f t="shared" si="605"/>
        <v>Triple J</v>
      </c>
    </row>
    <row r="361" spans="1:72" x14ac:dyDescent="0.2">
      <c r="A361">
        <f t="shared" si="580"/>
        <v>1</v>
      </c>
      <c r="E361" s="4"/>
      <c r="F361" s="45"/>
      <c r="G361" s="4"/>
      <c r="H361" s="47" t="s">
        <v>1037</v>
      </c>
      <c r="I361" s="26">
        <v>73</v>
      </c>
      <c r="J361" s="26" t="str">
        <f t="shared" si="606"/>
        <v>o</v>
      </c>
      <c r="K361" t="s">
        <v>238</v>
      </c>
      <c r="L361" t="s">
        <v>174</v>
      </c>
      <c r="M361" t="s">
        <v>85</v>
      </c>
      <c r="N361" t="str">
        <f t="shared" si="624"/>
        <v>s</v>
      </c>
      <c r="O361" t="s">
        <v>150</v>
      </c>
      <c r="P361" t="s">
        <v>548</v>
      </c>
      <c r="Q361" t="str">
        <f t="shared" si="618"/>
        <v>s</v>
      </c>
      <c r="R361" s="26">
        <v>1</v>
      </c>
      <c r="S361">
        <f>IF(A361=1,MAX($S$2:$S360)+1,IF(OR($I361&lt;&gt;"",A361="x"),$S360,""))</f>
        <v>183</v>
      </c>
      <c r="T361" t="str">
        <f>IF(D361=1,MAX($T$2:$T360)+1,IF(S361=S360,$T360,IF(D361="x",T360,IF(D360="x","",""))))</f>
        <v/>
      </c>
      <c r="U361" t="str">
        <f>IF(B361=1,MAX($U$2:$U360)+1,IF(AND($T361&lt;&gt;"",$T361=$T360),$U360,IF(B361="x",U360,"")))</f>
        <v/>
      </c>
      <c r="V361" t="str">
        <f>IF(C361=1,MAX($V$2:$V360)+1,IF(AND($T361&lt;&gt;"",$T361=$T360),$U360,IF(C361="x",V360,"")))</f>
        <v/>
      </c>
      <c r="W361" t="str" cm="1">
        <f t="array" ref="W361">IFERROR(_xlfn._xlws.FILTER(game_rosters!AC:AC,(game_rosters!J:J=events!X361)*(K361&lt;&gt;"")),"")</f>
        <v>h</v>
      </c>
      <c r="X361" cm="1">
        <f t="array" ref="X361">IF($I361&lt;&gt;"",$I361,INDEX($I$1:$I361,ROW()-COUNTIFS($T$1:$T361,"="&amp;$T361,$S$1:$S361,"&lt;"&amp;$S361)))</f>
        <v>73</v>
      </c>
      <c r="Y361" cm="1">
        <f t="array" ref="Y361">IFERROR(IF(_xlfn._xlws.FILTER(game_rosters!$J:$J,(game_rosters!$G:$G=events!$AM361)*(game_rosters!$J:$J=events!$X361))&gt;0,1,""),"")</f>
        <v>1</v>
      </c>
      <c r="Z361" s="6">
        <f t="shared" si="581"/>
        <v>1</v>
      </c>
      <c r="AA361">
        <f t="shared" si="582"/>
        <v>1183</v>
      </c>
      <c r="AB361" t="str">
        <f t="shared" si="583"/>
        <v/>
      </c>
      <c r="AC361">
        <f t="shared" si="584"/>
        <v>1183</v>
      </c>
      <c r="AD361" t="str">
        <f t="shared" si="585"/>
        <v>12</v>
      </c>
      <c r="AE361" t="str">
        <f t="shared" si="586"/>
        <v>42</v>
      </c>
      <c r="AF361" t="str">
        <f t="shared" si="587"/>
        <v>12</v>
      </c>
      <c r="AG361" t="str">
        <f t="shared" si="588"/>
        <v>41</v>
      </c>
      <c r="AH361" t="str">
        <f t="shared" si="631"/>
        <v>e</v>
      </c>
      <c r="AI361" t="str">
        <f t="shared" si="632"/>
        <v>o</v>
      </c>
      <c r="AJ361" t="str">
        <f t="shared" si="632"/>
        <v>o</v>
      </c>
      <c r="AK361" t="str">
        <f t="shared" si="633"/>
        <v>o</v>
      </c>
      <c r="AL361" t="str">
        <f t="shared" si="634"/>
        <v>d</v>
      </c>
      <c r="AM361" t="str">
        <f t="shared" si="589"/>
        <v>Home</v>
      </c>
      <c r="AN361" t="str">
        <f t="shared" si="635"/>
        <v>h</v>
      </c>
      <c r="AO361" t="str">
        <f t="shared" si="636"/>
        <v>o</v>
      </c>
      <c r="AP361" t="str">
        <f t="shared" si="637"/>
        <v>d</v>
      </c>
      <c r="AQ361" t="str">
        <f>IF(AM361&lt;&gt;"",AM361,IF($AC361=#REF!,#REF!,""))</f>
        <v>Home</v>
      </c>
      <c r="AR361" t="str">
        <f t="shared" si="638"/>
        <v>h</v>
      </c>
      <c r="AS361" t="str">
        <f t="shared" si="639"/>
        <v>Offensive</v>
      </c>
      <c r="AT361" t="str">
        <f t="shared" si="590"/>
        <v/>
      </c>
      <c r="AU361" t="str">
        <f t="shared" si="591"/>
        <v/>
      </c>
      <c r="AV361" t="str" cm="1">
        <f t="array" ref="AV361">IFERROR(IF(O361&lt;&gt;"",O361,IF(OR($S361="",$T361=""),"",IF(O361&lt;&gt;"",O361,IF($T361&lt;&gt;"",_xlfn._xlws.FILTER(O:O,($BT:$BT=$BT361)*($I:$I=$I361)*($T:$T=$T361)*($S:$S=_xlfn.MINIFS($S:$S,$T:$T,"="&amp;$T361)),"")))))&amp;"",IF(O361="","",""))&amp;""</f>
        <v>Deke</v>
      </c>
      <c r="AW361" t="str" cm="1">
        <f t="array" ref="AW361">IFERROR(IF(P361&lt;&gt;"",P361,IF(OR($S361="",$T361=""),"",IF($T361&lt;&gt;"",_xlfn._xlws.FILTER(P:P,($BT:$BT=$BT361)*($I:$I=$I361)*($T:$T=$T361)*($S:$S=_xlfn.MINIFS($S:$S,$T:$T,"="&amp;$T361)),""))))&amp;"",IF(P361="","",""))&amp;""</f>
        <v>CutBack</v>
      </c>
      <c r="AX361" t="str" cm="1">
        <f t="array" ref="AX361">IFERROR(IF(Q361&lt;&gt;"",Q361,IF(OR($S361="",$T361=""),"",IF($T361&lt;&gt;"",_xlfn._xlws.FILTER(Q:Q,($BT:$BT=$BT361)*($I:$I=$I361)*($T:$T=$T361)*($S:$S=_xlfn.MINIFS($S:$S,$T:$T,"="&amp;$T361)),""))))&amp;"",IF(Q361="","",""))&amp;""</f>
        <v>s</v>
      </c>
      <c r="AY361" t="str" cm="1">
        <f t="array" ref="AY361">IFERROR(IF(R361&lt;&gt;"",R361,IF(OR($S361="",$T361=""),"",IF($T361&lt;&gt;"",_xlfn._xlws.FILTER(R:R,($BT:$BT=$BT361)*($I:$I=$I361)*($T:$T=$T361)*($S:$S=_xlfn.MINIFS($S:$S,$T:$T,"="&amp;$T361)),""))))&amp;"",IF(R361="","",""))&amp;""</f>
        <v>1</v>
      </c>
      <c r="AZ361" s="6">
        <f t="shared" si="592"/>
        <v>33</v>
      </c>
      <c r="BA361">
        <f t="shared" ref="BA361:BC361" si="654">BA360</f>
        <v>18991</v>
      </c>
      <c r="BB361" t="str">
        <f t="shared" si="654"/>
        <v>Triple J</v>
      </c>
      <c r="BC361" t="str">
        <f t="shared" si="654"/>
        <v>Velodrome</v>
      </c>
      <c r="BD361" t="str">
        <f t="shared" si="594"/>
        <v>Zone_Entry_Exit</v>
      </c>
      <c r="BE361" t="str">
        <f t="shared" si="595"/>
        <v>Zone_Entry</v>
      </c>
      <c r="BF361" t="str">
        <f t="shared" si="596"/>
        <v>ZoneEntry-Rush</v>
      </c>
      <c r="BG361" t="str">
        <f t="shared" si="578"/>
        <v>s</v>
      </c>
      <c r="BH361" cm="1">
        <f t="array" aca="1" ref="BH361" ca="1">IFERROR(_xlfn._xlws.FILTER(shifts!A:A,(shifts!B:B=events!Z361)*(shifts!AG:AG&gt;=events!BJ361)*(shifts!AH:AH&lt;=events!BK361)),BH360)</f>
        <v>11</v>
      </c>
      <c r="BI361" s="15">
        <f t="shared" si="597"/>
        <v>1</v>
      </c>
      <c r="BJ361">
        <f t="shared" si="598"/>
        <v>762</v>
      </c>
      <c r="BK361">
        <f t="shared" si="599"/>
        <v>761</v>
      </c>
      <c r="BL361" s="15">
        <f>SUMIFS(BI$2:BI361,K$2:K361,"=Intermission")+SUMIFS(BI$2:BI361,K$2:K361,"=Timeout")</f>
        <v>0</v>
      </c>
      <c r="BM361">
        <f t="shared" si="600"/>
        <v>0</v>
      </c>
      <c r="BN361" s="19">
        <f t="shared" si="601"/>
        <v>318</v>
      </c>
      <c r="BO361">
        <f t="shared" si="602"/>
        <v>313</v>
      </c>
      <c r="BP361" s="17">
        <f t="shared" si="603"/>
        <v>319</v>
      </c>
      <c r="BQ361" t="str">
        <f t="shared" si="604"/>
        <v>event_team_player_1</v>
      </c>
      <c r="BR361">
        <f>COUNTIFS(S$3:S361,"="&amp;S361,AH$3:AH361,"="&amp;AH361)</f>
        <v>1</v>
      </c>
      <c r="BS361" t="str">
        <f>IFERROR(VLOOKUP(BA361&amp;BT361&amp;X361,game_rosters!U:W,3,FALSE),"")</f>
        <v>P100021</v>
      </c>
      <c r="BT361" t="str">
        <f t="shared" si="605"/>
        <v>Triple J</v>
      </c>
    </row>
    <row r="362" spans="1:72" x14ac:dyDescent="0.2">
      <c r="A362" t="str">
        <f t="shared" si="580"/>
        <v/>
      </c>
      <c r="E362" s="4"/>
      <c r="F362" s="45"/>
      <c r="G362" s="4"/>
      <c r="H362" s="47"/>
      <c r="I362" s="26">
        <v>87</v>
      </c>
      <c r="J362" s="26" t="str">
        <f t="shared" si="606"/>
        <v/>
      </c>
      <c r="N362" t="str">
        <f t="shared" si="624"/>
        <v/>
      </c>
      <c r="O362" t="s">
        <v>164</v>
      </c>
      <c r="Q362" t="str">
        <f t="shared" si="618"/>
        <v>u</v>
      </c>
      <c r="R362" s="26">
        <v>1</v>
      </c>
      <c r="S362">
        <f>IF(A362=1,MAX($S$2:$S361)+1,IF(OR($I362&lt;&gt;"",A362="x"),$S361,""))</f>
        <v>183</v>
      </c>
      <c r="T362" t="str">
        <f>IF(D362=1,MAX($T$2:$T361)+1,IF(S362=S361,$T361,IF(D362="x",T361,IF(D361="x","",""))))</f>
        <v/>
      </c>
      <c r="U362" t="str">
        <f>IF(B362=1,MAX($U$2:$U361)+1,IF(AND($T362&lt;&gt;"",$T362=$T361),$U361,IF(B362="x",U361,"")))</f>
        <v/>
      </c>
      <c r="V362" t="str">
        <f>IF(C362=1,MAX($V$2:$V361)+1,IF(AND($T362&lt;&gt;"",$T362=$T361),$U361,IF(C362="x",V361,"")))</f>
        <v/>
      </c>
      <c r="W362" t="str" cm="1">
        <f t="array" ref="W362">IFERROR(_xlfn._xlws.FILTER(game_rosters!AC:AC,(game_rosters!J:J=events!X362)*(K362&lt;&gt;"")),"")</f>
        <v/>
      </c>
      <c r="X362" cm="1">
        <f t="array" ref="X362">IF($I362&lt;&gt;"",$I362,INDEX($I$1:$I362,ROW()-COUNTIFS($T$1:$T362,"="&amp;$T362,$S$1:$S362,"&lt;"&amp;$S362)))</f>
        <v>87</v>
      </c>
      <c r="Y362" t="str" cm="1">
        <f t="array" ref="Y362">IFERROR(IF(_xlfn._xlws.FILTER(game_rosters!$J:$J,(game_rosters!$G:$G=events!$AM362)*(game_rosters!$J:$J=events!$X362))&gt;0,1,""),"")</f>
        <v/>
      </c>
      <c r="Z362" s="6">
        <f t="shared" si="581"/>
        <v>1</v>
      </c>
      <c r="AA362">
        <f t="shared" si="582"/>
        <v>1183</v>
      </c>
      <c r="AB362" t="str">
        <f t="shared" si="583"/>
        <v/>
      </c>
      <c r="AC362">
        <f t="shared" si="584"/>
        <v>1183</v>
      </c>
      <c r="AD362" t="str">
        <f t="shared" si="585"/>
        <v>12</v>
      </c>
      <c r="AE362" t="str">
        <f t="shared" si="586"/>
        <v>42</v>
      </c>
      <c r="AF362" t="str">
        <f t="shared" si="587"/>
        <v>12</v>
      </c>
      <c r="AG362" t="str">
        <f t="shared" si="588"/>
        <v>41</v>
      </c>
      <c r="AH362" t="str">
        <f t="shared" si="631"/>
        <v>o</v>
      </c>
      <c r="AI362" t="str">
        <f t="shared" si="632"/>
        <v>o</v>
      </c>
      <c r="AJ362" t="str">
        <f t="shared" si="632"/>
        <v>o</v>
      </c>
      <c r="AK362" t="str">
        <f t="shared" si="633"/>
        <v/>
      </c>
      <c r="AL362" t="str">
        <f t="shared" si="634"/>
        <v/>
      </c>
      <c r="AM362" t="str">
        <f t="shared" si="589"/>
        <v>Home</v>
      </c>
      <c r="AN362" t="str">
        <f t="shared" si="635"/>
        <v>h</v>
      </c>
      <c r="AO362" t="str">
        <f t="shared" si="636"/>
        <v>o</v>
      </c>
      <c r="AP362" t="str">
        <f t="shared" si="637"/>
        <v>d</v>
      </c>
      <c r="AQ362" t="str">
        <f>IF(AM362&lt;&gt;"",AM362,IF($AC362=#REF!,#REF!,""))</f>
        <v>Home</v>
      </c>
      <c r="AR362" t="str">
        <f t="shared" si="638"/>
        <v>h</v>
      </c>
      <c r="AS362" t="str">
        <f t="shared" si="639"/>
        <v>Defensive</v>
      </c>
      <c r="AT362" t="str">
        <f t="shared" si="590"/>
        <v/>
      </c>
      <c r="AU362" t="str">
        <f t="shared" si="591"/>
        <v/>
      </c>
      <c r="AV362" t="str" cm="1">
        <f t="array" ref="AV362">IFERROR(IF(O362&lt;&gt;"",O362,IF(OR($S362="",$T362=""),"",IF(O362&lt;&gt;"",O362,IF($T362&lt;&gt;"",_xlfn._xlws.FILTER(O:O,($BT:$BT=$BT362)*($I:$I=$I362)*($T:$T=$T362)*($S:$S=_xlfn.MINIFS($S:$S,$T:$T,"="&amp;$T362)),"")))))&amp;"",IF(O362="","",""))&amp;""</f>
        <v>BeatDeke</v>
      </c>
      <c r="AW362" t="str" cm="1">
        <f t="array" ref="AW362">IFERROR(IF(P362&lt;&gt;"",P362,IF(OR($S362="",$T362=""),"",IF($T362&lt;&gt;"",_xlfn._xlws.FILTER(P:P,($BT:$BT=$BT362)*($I:$I=$I362)*($T:$T=$T362)*($S:$S=_xlfn.MINIFS($S:$S,$T:$T,"="&amp;$T362)),""))))&amp;"",IF(P362="","",""))&amp;""</f>
        <v/>
      </c>
      <c r="AX362" t="str" cm="1">
        <f t="array" ref="AX362">IFERROR(IF(Q362&lt;&gt;"",Q362,IF(OR($S362="",$T362=""),"",IF($T362&lt;&gt;"",_xlfn._xlws.FILTER(Q:Q,($BT:$BT=$BT362)*($I:$I=$I362)*($T:$T=$T362)*($S:$S=_xlfn.MINIFS($S:$S,$T:$T,"="&amp;$T362)),""))))&amp;"",IF(Q362="","",""))&amp;""</f>
        <v>u</v>
      </c>
      <c r="AY362" t="str" cm="1">
        <f t="array" ref="AY362">IFERROR(IF(R362&lt;&gt;"",R362,IF(OR($S362="",$T362=""),"",IF($T362&lt;&gt;"",_xlfn._xlws.FILTER(R:R,($BT:$BT=$BT362)*($I:$I=$I362)*($T:$T=$T362)*($S:$S=_xlfn.MINIFS($S:$S,$T:$T,"="&amp;$T362)),""))))&amp;"",IF(R362="","",""))&amp;""</f>
        <v>1</v>
      </c>
      <c r="AZ362" s="6">
        <f t="shared" si="592"/>
        <v>33</v>
      </c>
      <c r="BA362">
        <f t="shared" ref="BA362:BC362" si="655">BA361</f>
        <v>18991</v>
      </c>
      <c r="BB362" t="str">
        <f t="shared" si="655"/>
        <v>Triple J</v>
      </c>
      <c r="BC362" t="str">
        <f t="shared" si="655"/>
        <v>Velodrome</v>
      </c>
      <c r="BD362" t="str">
        <f t="shared" si="594"/>
        <v>Zone_Entry_Exit</v>
      </c>
      <c r="BE362" t="str">
        <f t="shared" si="595"/>
        <v>Zone_Entry</v>
      </c>
      <c r="BF362" t="str">
        <f t="shared" si="596"/>
        <v>ZoneEntry-Rush</v>
      </c>
      <c r="BG362" t="str">
        <f t="shared" si="578"/>
        <v>s</v>
      </c>
      <c r="BH362" cm="1">
        <f t="array" aca="1" ref="BH362" ca="1">IFERROR(_xlfn._xlws.FILTER(shifts!A:A,(shifts!B:B=events!Z362)*(shifts!AG:AG&gt;=events!BJ362)*(shifts!AH:AH&lt;=events!BK362)),BH361)</f>
        <v>11</v>
      </c>
      <c r="BI362" s="15">
        <f t="shared" si="597"/>
        <v>1</v>
      </c>
      <c r="BJ362">
        <f t="shared" si="598"/>
        <v>762</v>
      </c>
      <c r="BK362">
        <f t="shared" si="599"/>
        <v>761</v>
      </c>
      <c r="BL362" s="15">
        <f>SUMIFS(BI$2:BI362,K$2:K362,"=Intermission")+SUMIFS(BI$2:BI362,K$2:K362,"=Timeout")</f>
        <v>0</v>
      </c>
      <c r="BM362">
        <f t="shared" si="600"/>
        <v>0</v>
      </c>
      <c r="BN362" s="19">
        <f t="shared" si="601"/>
        <v>318</v>
      </c>
      <c r="BO362">
        <f t="shared" si="602"/>
        <v>313</v>
      </c>
      <c r="BP362" s="17">
        <f t="shared" si="603"/>
        <v>319</v>
      </c>
      <c r="BQ362" t="str">
        <f t="shared" si="604"/>
        <v>opp_team_player_1</v>
      </c>
      <c r="BR362">
        <f>COUNTIFS(S$3:S362,"="&amp;S362,AH$3:AH362,"="&amp;AH362)</f>
        <v>1</v>
      </c>
      <c r="BS362" t="str">
        <f>IFERROR(VLOOKUP(BA362&amp;BT362&amp;X362,game_rosters!U:W,3,FALSE),"")</f>
        <v>P100159</v>
      </c>
      <c r="BT362" t="str">
        <f t="shared" si="605"/>
        <v>Velodrome</v>
      </c>
    </row>
    <row r="363" spans="1:72" x14ac:dyDescent="0.2">
      <c r="A363">
        <f t="shared" si="580"/>
        <v>1</v>
      </c>
      <c r="E363" s="4"/>
      <c r="F363" s="45"/>
      <c r="G363" s="4"/>
      <c r="H363" s="47" t="s">
        <v>749</v>
      </c>
      <c r="I363" s="26">
        <v>73</v>
      </c>
      <c r="J363" s="26" t="s">
        <v>368</v>
      </c>
      <c r="K363" t="s">
        <v>13</v>
      </c>
      <c r="N363" t="str">
        <f t="shared" si="624"/>
        <v/>
      </c>
      <c r="Q363" t="str">
        <f t="shared" si="618"/>
        <v/>
      </c>
      <c r="R363" s="26">
        <v>1</v>
      </c>
      <c r="S363">
        <f>IF(A363=1,MAX($S$2:$S362)+1,IF(OR($I363&lt;&gt;"",A363="x"),$S362,""))</f>
        <v>184</v>
      </c>
      <c r="T363" t="str">
        <f>IF(D363=1,MAX($T$2:$T362)+1,IF(S363=S362,$T362,IF(D363="x",T362,IF(D362="x","",""))))</f>
        <v/>
      </c>
      <c r="U363" t="str">
        <f>IF(B363=1,MAX($U$2:$U362)+1,IF(AND($T363&lt;&gt;"",$T363=$T362),$U362,IF(B363="x",U362,"")))</f>
        <v/>
      </c>
      <c r="V363" t="str">
        <f>IF(C363=1,MAX($V$2:$V362)+1,IF(AND($T363&lt;&gt;"",$T363=$T362),$U362,IF(C363="x",V362,"")))</f>
        <v/>
      </c>
      <c r="W363" t="str" cm="1">
        <f t="array" ref="W363">IFERROR(_xlfn._xlws.FILTER(game_rosters!AC:AC,(game_rosters!J:J=events!X363)*(K363&lt;&gt;"")),"")</f>
        <v>h</v>
      </c>
      <c r="X363" cm="1">
        <f t="array" ref="X363">IF($I363&lt;&gt;"",$I363,INDEX($I$1:$I363,ROW()-COUNTIFS($T$1:$T363,"="&amp;$T363,$S$1:$S363,"&lt;"&amp;$S363)))</f>
        <v>73</v>
      </c>
      <c r="Y363" cm="1">
        <f t="array" ref="Y363">IFERROR(IF(_xlfn._xlws.FILTER(game_rosters!$J:$J,(game_rosters!$G:$G=events!$AM363)*(game_rosters!$J:$J=events!$X363))&gt;0,1,""),"")</f>
        <v>1</v>
      </c>
      <c r="Z363" s="6">
        <f t="shared" si="581"/>
        <v>1</v>
      </c>
      <c r="AA363">
        <f t="shared" si="582"/>
        <v>1184</v>
      </c>
      <c r="AB363" t="str">
        <f t="shared" si="583"/>
        <v/>
      </c>
      <c r="AC363">
        <f t="shared" si="584"/>
        <v>1184</v>
      </c>
      <c r="AD363" t="str">
        <f t="shared" si="585"/>
        <v>12</v>
      </c>
      <c r="AE363" t="str">
        <f t="shared" si="586"/>
        <v>41</v>
      </c>
      <c r="AF363" t="str">
        <f t="shared" si="587"/>
        <v>12</v>
      </c>
      <c r="AG363" t="str">
        <f t="shared" si="588"/>
        <v>39</v>
      </c>
      <c r="AH363" t="str">
        <f t="shared" si="631"/>
        <v>e</v>
      </c>
      <c r="AI363" t="str">
        <f t="shared" ref="AI363:AJ378" si="656">IF($J363&lt;&gt;"",$J363,IF($AC363=$AC362,AI362,""))</f>
        <v>o</v>
      </c>
      <c r="AJ363" t="str">
        <f t="shared" si="656"/>
        <v>o</v>
      </c>
      <c r="AK363" t="str">
        <f t="shared" si="633"/>
        <v>o</v>
      </c>
      <c r="AL363" t="str">
        <f t="shared" si="634"/>
        <v>d</v>
      </c>
      <c r="AM363" t="str">
        <f t="shared" si="589"/>
        <v>Home</v>
      </c>
      <c r="AN363" t="str">
        <f t="shared" si="635"/>
        <v>h</v>
      </c>
      <c r="AO363" t="str">
        <f t="shared" si="636"/>
        <v>o</v>
      </c>
      <c r="AP363" t="str">
        <f t="shared" si="637"/>
        <v>d</v>
      </c>
      <c r="AQ363" t="str">
        <f>IF(AM363&lt;&gt;"",AM363,IF($AC363=#REF!,#REF!,""))</f>
        <v>Home</v>
      </c>
      <c r="AR363" t="str">
        <f t="shared" si="638"/>
        <v>h</v>
      </c>
      <c r="AS363" t="str">
        <f t="shared" si="639"/>
        <v>Offensive</v>
      </c>
      <c r="AT363" t="str">
        <f t="shared" si="590"/>
        <v/>
      </c>
      <c r="AU363" t="str">
        <f t="shared" si="591"/>
        <v/>
      </c>
      <c r="AV363" t="str" cm="1">
        <f t="array" ref="AV363">IFERROR(IF(O363&lt;&gt;"",O363,IF(OR($S363="",$T363=""),"",IF(O363&lt;&gt;"",O363,IF($T363&lt;&gt;"",_xlfn._xlws.FILTER(O:O,($BT:$BT=$BT363)*($I:$I=$I363)*($T:$T=$T363)*($S:$S=_xlfn.MINIFS($S:$S,$T:$T,"="&amp;$T363)),"")))))&amp;"",IF(O363="","",""))&amp;""</f>
        <v/>
      </c>
      <c r="AW363" t="str" cm="1">
        <f t="array" ref="AW363">IFERROR(IF(P363&lt;&gt;"",P363,IF(OR($S363="",$T363=""),"",IF($T363&lt;&gt;"",_xlfn._xlws.FILTER(P:P,($BT:$BT=$BT363)*($I:$I=$I363)*($T:$T=$T363)*($S:$S=_xlfn.MINIFS($S:$S,$T:$T,"="&amp;$T363)),""))))&amp;"",IF(P363="","",""))&amp;""</f>
        <v/>
      </c>
      <c r="AX363" t="str" cm="1">
        <f t="array" ref="AX363">IFERROR(IF(Q363&lt;&gt;"",Q363,IF(OR($S363="",$T363=""),"",IF($T363&lt;&gt;"",_xlfn._xlws.FILTER(Q:Q,($BT:$BT=$BT363)*($I:$I=$I363)*($T:$T=$T363)*($S:$S=_xlfn.MINIFS($S:$S,$T:$T,"="&amp;$T363)),""))))&amp;"",IF(Q363="","",""))&amp;""</f>
        <v/>
      </c>
      <c r="AY363" t="str" cm="1">
        <f t="array" ref="AY363">IFERROR(IF(R363&lt;&gt;"",R363,IF(OR($S363="",$T363=""),"",IF($T363&lt;&gt;"",_xlfn._xlws.FILTER(R:R,($BT:$BT=$BT363)*($I:$I=$I363)*($T:$T=$T363)*($S:$S=_xlfn.MINIFS($S:$S,$T:$T,"="&amp;$T363)),""))))&amp;"",IF(R363="","",""))&amp;""</f>
        <v>1</v>
      </c>
      <c r="AZ363" s="6">
        <f t="shared" si="592"/>
        <v>33</v>
      </c>
      <c r="BA363">
        <f t="shared" ref="BA363:BC363" si="657">BA362</f>
        <v>18991</v>
      </c>
      <c r="BB363" t="str">
        <f t="shared" si="657"/>
        <v>Triple J</v>
      </c>
      <c r="BC363" t="str">
        <f t="shared" si="657"/>
        <v>Velodrome</v>
      </c>
      <c r="BD363" t="str">
        <f t="shared" si="594"/>
        <v>Possession</v>
      </c>
      <c r="BE363" t="str">
        <f t="shared" si="595"/>
        <v/>
      </c>
      <c r="BF363" t="str">
        <f t="shared" si="596"/>
        <v/>
      </c>
      <c r="BG363" t="str">
        <f t="shared" si="578"/>
        <v/>
      </c>
      <c r="BH363" cm="1">
        <f t="array" aca="1" ref="BH363" ca="1">IFERROR(_xlfn._xlws.FILTER(shifts!A:A,(shifts!B:B=events!Z363)*(shifts!AG:AG&gt;=events!BJ363)*(shifts!AH:AH&lt;=events!BK363)),BH362)</f>
        <v>12</v>
      </c>
      <c r="BI363" s="15">
        <f t="shared" si="597"/>
        <v>2</v>
      </c>
      <c r="BJ363">
        <f t="shared" si="598"/>
        <v>761</v>
      </c>
      <c r="BK363">
        <f t="shared" si="599"/>
        <v>759</v>
      </c>
      <c r="BL363" s="15">
        <f>SUMIFS(BI$2:BI363,K$2:K363,"=Intermission")+SUMIFS(BI$2:BI363,K$2:K363,"=Timeout")</f>
        <v>0</v>
      </c>
      <c r="BM363">
        <f t="shared" si="600"/>
        <v>0</v>
      </c>
      <c r="BN363" s="19">
        <f t="shared" si="601"/>
        <v>319</v>
      </c>
      <c r="BO363">
        <f t="shared" si="602"/>
        <v>314</v>
      </c>
      <c r="BP363" s="17">
        <f t="shared" si="603"/>
        <v>321</v>
      </c>
      <c r="BQ363" t="str">
        <f t="shared" si="604"/>
        <v>event_team_player_1</v>
      </c>
      <c r="BR363">
        <f>COUNTIFS(S$3:S363,"="&amp;S363,AH$3:AH363,"="&amp;AH363)</f>
        <v>1</v>
      </c>
      <c r="BS363" t="str">
        <f>IFERROR(VLOOKUP(BA363&amp;BT363&amp;X363,game_rosters!U:W,3,FALSE),"")</f>
        <v>P100021</v>
      </c>
      <c r="BT363" t="str">
        <f t="shared" si="605"/>
        <v>Triple J</v>
      </c>
    </row>
    <row r="364" spans="1:72" x14ac:dyDescent="0.2">
      <c r="A364" t="str">
        <f t="shared" si="580"/>
        <v/>
      </c>
      <c r="E364" s="4"/>
      <c r="F364" s="45"/>
      <c r="G364" s="4"/>
      <c r="H364" s="47"/>
      <c r="I364" s="26">
        <v>93</v>
      </c>
      <c r="J364" s="26" t="str">
        <f t="shared" si="606"/>
        <v/>
      </c>
      <c r="N364" t="str">
        <f t="shared" si="624"/>
        <v/>
      </c>
      <c r="Q364" t="str">
        <f t="shared" si="618"/>
        <v/>
      </c>
      <c r="R364" s="26">
        <v>1</v>
      </c>
      <c r="S364">
        <f>IF(A364=1,MAX($S$2:$S363)+1,IF(OR($I364&lt;&gt;"",A364="x"),$S363,""))</f>
        <v>184</v>
      </c>
      <c r="T364" t="str">
        <f>IF(D364=1,MAX($T$2:$T363)+1,IF(S364=S363,$T363,IF(D364="x",T363,IF(D363="x","",""))))</f>
        <v/>
      </c>
      <c r="U364" t="str">
        <f>IF(B364=1,MAX($U$2:$U363)+1,IF(AND($T364&lt;&gt;"",$T364=$T363),$U363,IF(B364="x",U363,"")))</f>
        <v/>
      </c>
      <c r="V364" t="str">
        <f>IF(C364=1,MAX($V$2:$V363)+1,IF(AND($T364&lt;&gt;"",$T364=$T363),$U363,IF(C364="x",V363,"")))</f>
        <v/>
      </c>
      <c r="W364" t="str" cm="1">
        <f t="array" ref="W364">IFERROR(_xlfn._xlws.FILTER(game_rosters!AC:AC,(game_rosters!J:J=events!X364)*(K364&lt;&gt;"")),"")</f>
        <v/>
      </c>
      <c r="X364" cm="1">
        <f t="array" ref="X364">IF($I364&lt;&gt;"",$I364,INDEX($I$1:$I364,ROW()-COUNTIFS($T$1:$T364,"="&amp;$T364,$S$1:$S364,"&lt;"&amp;$S364)))</f>
        <v>93</v>
      </c>
      <c r="Y364" t="str" cm="1">
        <f t="array" ref="Y364">IFERROR(IF(_xlfn._xlws.FILTER(game_rosters!$J:$J,(game_rosters!$G:$G=events!$AM364)*(game_rosters!$J:$J=events!$X364))&gt;0,1,""),"")</f>
        <v/>
      </c>
      <c r="Z364" s="6">
        <f t="shared" si="581"/>
        <v>1</v>
      </c>
      <c r="AA364">
        <f t="shared" si="582"/>
        <v>1184</v>
      </c>
      <c r="AB364" t="str">
        <f t="shared" si="583"/>
        <v/>
      </c>
      <c r="AC364">
        <f t="shared" si="584"/>
        <v>1184</v>
      </c>
      <c r="AD364" t="str">
        <f t="shared" si="585"/>
        <v>12</v>
      </c>
      <c r="AE364" t="str">
        <f t="shared" si="586"/>
        <v>41</v>
      </c>
      <c r="AF364" t="str">
        <f t="shared" si="587"/>
        <v>12</v>
      </c>
      <c r="AG364" t="str">
        <f t="shared" si="588"/>
        <v>39</v>
      </c>
      <c r="AH364" t="str">
        <f t="shared" si="631"/>
        <v>o</v>
      </c>
      <c r="AI364" t="str">
        <f t="shared" si="656"/>
        <v>o</v>
      </c>
      <c r="AJ364" t="str">
        <f t="shared" si="656"/>
        <v>o</v>
      </c>
      <c r="AK364" t="str">
        <f t="shared" si="633"/>
        <v/>
      </c>
      <c r="AL364" t="str">
        <f t="shared" si="634"/>
        <v/>
      </c>
      <c r="AM364" t="str">
        <f t="shared" si="589"/>
        <v>Home</v>
      </c>
      <c r="AN364" t="str">
        <f t="shared" si="635"/>
        <v>h</v>
      </c>
      <c r="AO364" t="str">
        <f t="shared" si="636"/>
        <v>o</v>
      </c>
      <c r="AP364" t="str">
        <f t="shared" si="637"/>
        <v>d</v>
      </c>
      <c r="AQ364" t="str">
        <f>IF(AM364&lt;&gt;"",AM364,IF($AC364=#REF!,#REF!,""))</f>
        <v>Home</v>
      </c>
      <c r="AR364" t="str">
        <f t="shared" si="638"/>
        <v>h</v>
      </c>
      <c r="AS364" t="str">
        <f t="shared" si="639"/>
        <v>Defensive</v>
      </c>
      <c r="AT364" t="str">
        <f t="shared" si="590"/>
        <v/>
      </c>
      <c r="AU364" t="str">
        <f t="shared" si="591"/>
        <v/>
      </c>
      <c r="AV364" t="str" cm="1">
        <f t="array" ref="AV364">IFERROR(IF(O364&lt;&gt;"",O364,IF(OR($S364="",$T364=""),"",IF(O364&lt;&gt;"",O364,IF($T364&lt;&gt;"",_xlfn._xlws.FILTER(O:O,($BT:$BT=$BT364)*($I:$I=$I364)*($T:$T=$T364)*($S:$S=_xlfn.MINIFS($S:$S,$T:$T,"="&amp;$T364)),"")))))&amp;"",IF(O364="","",""))&amp;""</f>
        <v/>
      </c>
      <c r="AW364" t="str" cm="1">
        <f t="array" ref="AW364">IFERROR(IF(P364&lt;&gt;"",P364,IF(OR($S364="",$T364=""),"",IF($T364&lt;&gt;"",_xlfn._xlws.FILTER(P:P,($BT:$BT=$BT364)*($I:$I=$I364)*($T:$T=$T364)*($S:$S=_xlfn.MINIFS($S:$S,$T:$T,"="&amp;$T364)),""))))&amp;"",IF(P364="","",""))&amp;""</f>
        <v/>
      </c>
      <c r="AX364" t="str" cm="1">
        <f t="array" ref="AX364">IFERROR(IF(Q364&lt;&gt;"",Q364,IF(OR($S364="",$T364=""),"",IF($T364&lt;&gt;"",_xlfn._xlws.FILTER(Q:Q,($BT:$BT=$BT364)*($I:$I=$I364)*($T:$T=$T364)*($S:$S=_xlfn.MINIFS($S:$S,$T:$T,"="&amp;$T364)),""))))&amp;"",IF(Q364="","",""))&amp;""</f>
        <v/>
      </c>
      <c r="AY364" t="str" cm="1">
        <f t="array" ref="AY364">IFERROR(IF(R364&lt;&gt;"",R364,IF(OR($S364="",$T364=""),"",IF($T364&lt;&gt;"",_xlfn._xlws.FILTER(R:R,($BT:$BT=$BT364)*($I:$I=$I364)*($T:$T=$T364)*($S:$S=_xlfn.MINIFS($S:$S,$T:$T,"="&amp;$T364)),""))))&amp;"",IF(R364="","",""))&amp;""</f>
        <v>1</v>
      </c>
      <c r="AZ364" s="6">
        <f t="shared" si="592"/>
        <v>33</v>
      </c>
      <c r="BA364">
        <f t="shared" ref="BA364:BC364" si="658">BA363</f>
        <v>18991</v>
      </c>
      <c r="BB364" t="str">
        <f t="shared" si="658"/>
        <v>Triple J</v>
      </c>
      <c r="BC364" t="str">
        <f t="shared" si="658"/>
        <v>Velodrome</v>
      </c>
      <c r="BD364" t="str">
        <f t="shared" si="594"/>
        <v>Possession</v>
      </c>
      <c r="BE364" t="str">
        <f t="shared" si="595"/>
        <v/>
      </c>
      <c r="BF364" t="str">
        <f t="shared" si="596"/>
        <v/>
      </c>
      <c r="BG364" t="str">
        <f t="shared" si="578"/>
        <v/>
      </c>
      <c r="BH364" cm="1">
        <f t="array" aca="1" ref="BH364" ca="1">IFERROR(_xlfn._xlws.FILTER(shifts!A:A,(shifts!B:B=events!Z364)*(shifts!AG:AG&gt;=events!BJ364)*(shifts!AH:AH&lt;=events!BK364)),BH363)</f>
        <v>12</v>
      </c>
      <c r="BI364" s="15">
        <f t="shared" si="597"/>
        <v>2</v>
      </c>
      <c r="BJ364">
        <f t="shared" si="598"/>
        <v>761</v>
      </c>
      <c r="BK364">
        <f t="shared" si="599"/>
        <v>759</v>
      </c>
      <c r="BL364" s="15">
        <f>SUMIFS(BI$2:BI364,K$2:K364,"=Intermission")+SUMIFS(BI$2:BI364,K$2:K364,"=Timeout")</f>
        <v>0</v>
      </c>
      <c r="BM364">
        <f t="shared" si="600"/>
        <v>0</v>
      </c>
      <c r="BN364" s="19">
        <f t="shared" si="601"/>
        <v>319</v>
      </c>
      <c r="BO364">
        <f t="shared" si="602"/>
        <v>314</v>
      </c>
      <c r="BP364" s="17">
        <f t="shared" si="603"/>
        <v>321</v>
      </c>
      <c r="BQ364" t="str">
        <f t="shared" si="604"/>
        <v>opp_team_player_1</v>
      </c>
      <c r="BR364">
        <f>COUNTIFS(S$3:S364,"="&amp;S364,AH$3:AH364,"="&amp;AH364)</f>
        <v>1</v>
      </c>
      <c r="BS364" t="str">
        <f>IFERROR(VLOOKUP(BA364&amp;BT364&amp;X364,game_rosters!U:W,3,FALSE),"")</f>
        <v>P100093</v>
      </c>
      <c r="BT364" t="str">
        <f t="shared" si="605"/>
        <v>Velodrome</v>
      </c>
    </row>
    <row r="365" spans="1:72" x14ac:dyDescent="0.2">
      <c r="A365">
        <f t="shared" si="580"/>
        <v>1</v>
      </c>
      <c r="D365" s="26">
        <v>1</v>
      </c>
      <c r="E365" s="4"/>
      <c r="F365" s="45"/>
      <c r="G365" s="4"/>
      <c r="H365" s="47"/>
      <c r="I365" s="26">
        <v>73</v>
      </c>
      <c r="J365" s="26" t="str">
        <f t="shared" si="606"/>
        <v>o</v>
      </c>
      <c r="K365" t="s">
        <v>6</v>
      </c>
      <c r="L365" t="s">
        <v>205</v>
      </c>
      <c r="M365" t="s">
        <v>51</v>
      </c>
      <c r="N365" t="str">
        <f t="shared" si="624"/>
        <v>s</v>
      </c>
      <c r="Q365" t="str">
        <f t="shared" si="618"/>
        <v/>
      </c>
      <c r="R365" s="26">
        <v>1</v>
      </c>
      <c r="S365">
        <f>IF(A365=1,MAX($S$2:$S364)+1,IF(OR($I365&lt;&gt;"",A365="x"),$S364,""))</f>
        <v>185</v>
      </c>
      <c r="T365">
        <f>IF(D365=1,MAX($T$2:$T364)+1,IF(S365=S364,$T364,IF(D365="x",T364,IF(D364="x","",""))))</f>
        <v>23</v>
      </c>
      <c r="U365" t="str">
        <f>IF(B365=1,MAX($U$2:$U364)+1,IF(AND($T365&lt;&gt;"",$T365=$T364),$U364,IF(B365="x",U364,"")))</f>
        <v/>
      </c>
      <c r="V365" t="str">
        <f>IF(C365=1,MAX($V$2:$V364)+1,IF(AND($T365&lt;&gt;"",$T365=$T364),$U364,IF(C365="x",V364,"")))</f>
        <v/>
      </c>
      <c r="W365" t="str" cm="1">
        <f t="array" ref="W365">IFERROR(_xlfn._xlws.FILTER(game_rosters!AC:AC,(game_rosters!J:J=events!X365)*(K365&lt;&gt;"")),"")</f>
        <v>h</v>
      </c>
      <c r="X365" cm="1">
        <f t="array" ref="X365">IF($I365&lt;&gt;"",$I365,INDEX($I$1:$I365,ROW()-COUNTIFS($T$1:$T365,"="&amp;$T365,$S$1:$S365,"&lt;"&amp;$S365)))</f>
        <v>73</v>
      </c>
      <c r="Y365" cm="1">
        <f t="array" ref="Y365">IFERROR(IF(_xlfn._xlws.FILTER(game_rosters!$J:$J,(game_rosters!$G:$G=events!$AM365)*(game_rosters!$J:$J=events!$X365))&gt;0,1,""),"")</f>
        <v>1</v>
      </c>
      <c r="Z365" s="6">
        <f t="shared" si="581"/>
        <v>1</v>
      </c>
      <c r="AA365">
        <f t="shared" si="582"/>
        <v>1185</v>
      </c>
      <c r="AB365">
        <f t="shared" si="583"/>
        <v>9023</v>
      </c>
      <c r="AC365">
        <f t="shared" si="584"/>
        <v>9023</v>
      </c>
      <c r="AD365" t="str">
        <f t="shared" si="585"/>
        <v>12</v>
      </c>
      <c r="AE365" t="str">
        <f t="shared" si="586"/>
        <v>39</v>
      </c>
      <c r="AF365" t="str">
        <f t="shared" si="587"/>
        <v/>
      </c>
      <c r="AG365" t="str">
        <f t="shared" si="588"/>
        <v/>
      </c>
      <c r="AH365" t="str">
        <f t="shared" si="631"/>
        <v>e</v>
      </c>
      <c r="AI365" t="str">
        <f t="shared" si="656"/>
        <v>o</v>
      </c>
      <c r="AJ365" t="str">
        <f t="shared" si="656"/>
        <v>o</v>
      </c>
      <c r="AK365" t="str">
        <f t="shared" si="633"/>
        <v>o</v>
      </c>
      <c r="AL365" t="str">
        <f t="shared" si="634"/>
        <v>d</v>
      </c>
      <c r="AM365" t="str">
        <f t="shared" si="589"/>
        <v>Home</v>
      </c>
      <c r="AN365" t="str">
        <f t="shared" si="635"/>
        <v>h</v>
      </c>
      <c r="AO365" t="str">
        <f t="shared" si="636"/>
        <v>o</v>
      </c>
      <c r="AP365" t="str">
        <f t="shared" si="637"/>
        <v>d</v>
      </c>
      <c r="AQ365" t="str">
        <f>IF(AM365&lt;&gt;"",AM365,IF($AC365=#REF!,#REF!,""))</f>
        <v>Home</v>
      </c>
      <c r="AR365" t="str">
        <f t="shared" si="638"/>
        <v>h</v>
      </c>
      <c r="AS365" t="str">
        <f t="shared" si="639"/>
        <v>Offensive</v>
      </c>
      <c r="AT365" t="str">
        <f t="shared" si="590"/>
        <v/>
      </c>
      <c r="AU365" t="str">
        <f t="shared" si="591"/>
        <v/>
      </c>
      <c r="AV365" t="str" cm="1">
        <f t="array" ref="AV365">IFERROR(IF(O365&lt;&gt;"",O365,IF(OR($S365="",$T365=""),"",IF(O365&lt;&gt;"",O365,IF($T365&lt;&gt;"",_xlfn._xlws.FILTER(O:O,($BT:$BT=$BT365)*($I:$I=$I365)*($T:$T=$T365)*($S:$S=_xlfn.MINIFS($S:$S,$T:$T,"="&amp;$T365)),"")))))&amp;"",IF(O365="","",""))&amp;""</f>
        <v/>
      </c>
      <c r="AW365" t="str" cm="1">
        <f t="array" ref="AW365">IFERROR(IF(P365&lt;&gt;"",P365,IF(OR($S365="",$T365=""),"",IF($T365&lt;&gt;"",_xlfn._xlws.FILTER(P:P,($BT:$BT=$BT365)*($I:$I=$I365)*($T:$T=$T365)*($S:$S=_xlfn.MINIFS($S:$S,$T:$T,"="&amp;$T365)),""))))&amp;"",IF(P365="","",""))&amp;""</f>
        <v/>
      </c>
      <c r="AX365" t="str" cm="1">
        <f t="array" ref="AX365">IFERROR(IF(Q365&lt;&gt;"",Q365,IF(OR($S365="",$T365=""),"",IF($T365&lt;&gt;"",_xlfn._xlws.FILTER(Q:Q,($BT:$BT=$BT365)*($I:$I=$I365)*($T:$T=$T365)*($S:$S=_xlfn.MINIFS($S:$S,$T:$T,"="&amp;$T365)),""))))&amp;"",IF(Q365="","",""))&amp;""</f>
        <v/>
      </c>
      <c r="AY365" t="str" cm="1">
        <f t="array" ref="AY365">IFERROR(IF(R365&lt;&gt;"",R365,IF(OR($S365="",$T365=""),"",IF($T365&lt;&gt;"",_xlfn._xlws.FILTER(R:R,($BT:$BT=$BT365)*($I:$I=$I365)*($T:$T=$T365)*($S:$S=_xlfn.MINIFS($S:$S,$T:$T,"="&amp;$T365)),""))))&amp;"",IF(R365="","",""))&amp;""</f>
        <v>1</v>
      </c>
      <c r="AZ365" s="6">
        <f t="shared" si="592"/>
        <v>33</v>
      </c>
      <c r="BA365">
        <f t="shared" ref="BA365:BC365" si="659">BA364</f>
        <v>18991</v>
      </c>
      <c r="BB365" t="str">
        <f t="shared" si="659"/>
        <v>Triple J</v>
      </c>
      <c r="BC365" t="str">
        <f t="shared" si="659"/>
        <v>Velodrome</v>
      </c>
      <c r="BD365" t="str">
        <f t="shared" si="594"/>
        <v>Shot</v>
      </c>
      <c r="BE365" t="str">
        <f t="shared" si="595"/>
        <v>Shot_OnNetSaved</v>
      </c>
      <c r="BF365" t="str">
        <f t="shared" si="596"/>
        <v>Shot-Wrist</v>
      </c>
      <c r="BG365" t="str">
        <f t="shared" si="578"/>
        <v>s</v>
      </c>
      <c r="BH365" cm="1">
        <f t="array" aca="1" ref="BH365" ca="1">IFERROR(_xlfn._xlws.FILTER(shifts!A:A,(shifts!B:B=events!Z365)*(shifts!AG:AG&gt;=events!BJ365)*(shifts!AH:AH&lt;=events!BK365)),BH364)</f>
        <v>12</v>
      </c>
      <c r="BI365" s="15">
        <f t="shared" si="597"/>
        <v>0</v>
      </c>
      <c r="BJ365">
        <f t="shared" si="598"/>
        <v>759</v>
      </c>
      <c r="BK365">
        <f t="shared" si="599"/>
        <v>759</v>
      </c>
      <c r="BL365" s="15">
        <f>SUMIFS(BI$2:BI365,K$2:K365,"=Intermission")+SUMIFS(BI$2:BI365,K$2:K365,"=Timeout")</f>
        <v>0</v>
      </c>
      <c r="BM365">
        <f t="shared" si="600"/>
        <v>0</v>
      </c>
      <c r="BN365" s="19">
        <f t="shared" si="601"/>
        <v>321</v>
      </c>
      <c r="BO365">
        <f t="shared" si="602"/>
        <v>316</v>
      </c>
      <c r="BP365" s="17">
        <f t="shared" si="603"/>
        <v>321</v>
      </c>
      <c r="BQ365" t="str">
        <f t="shared" si="604"/>
        <v>event_team_player_1</v>
      </c>
      <c r="BR365">
        <f>COUNTIFS(S$3:S365,"="&amp;S365,AH$3:AH365,"="&amp;AH365)</f>
        <v>1</v>
      </c>
      <c r="BS365" t="str">
        <f>IFERROR(VLOOKUP(BA365&amp;BT365&amp;X365,game_rosters!U:W,3,FALSE),"")</f>
        <v>P100021</v>
      </c>
      <c r="BT365" t="str">
        <f t="shared" si="605"/>
        <v>Triple J</v>
      </c>
    </row>
    <row r="366" spans="1:72" x14ac:dyDescent="0.2">
      <c r="A366" t="str">
        <f t="shared" si="580"/>
        <v>x</v>
      </c>
      <c r="D366" s="26" t="s">
        <v>729</v>
      </c>
      <c r="E366" s="4"/>
      <c r="F366" s="45"/>
      <c r="G366" s="4"/>
      <c r="H366" s="47"/>
      <c r="I366" s="26">
        <v>39</v>
      </c>
      <c r="J366" s="26" t="str">
        <f t="shared" si="606"/>
        <v/>
      </c>
      <c r="N366" t="str">
        <f t="shared" si="624"/>
        <v/>
      </c>
      <c r="Q366" t="str">
        <f t="shared" si="618"/>
        <v/>
      </c>
      <c r="S366">
        <f>IF(A366=1,MAX($S$2:$S365)+1,IF(OR($I366&lt;&gt;"",A366="x"),$S365,""))</f>
        <v>185</v>
      </c>
      <c r="T366">
        <f>IF(D366=1,MAX($T$2:$T365)+1,IF(S366=S365,$T365,IF(D366="x",T365,IF(D365="x","",""))))</f>
        <v>23</v>
      </c>
      <c r="U366" t="str">
        <f>IF(B366=1,MAX($U$2:$U365)+1,IF(AND($T366&lt;&gt;"",$T366=$T365),$U365,IF(B366="x",U365,"")))</f>
        <v/>
      </c>
      <c r="V366" t="str">
        <f>IF(C366=1,MAX($V$2:$V365)+1,IF(AND($T366&lt;&gt;"",$T366=$T365),$U365,IF(C366="x",V365,"")))</f>
        <v/>
      </c>
      <c r="W366" t="str" cm="1">
        <f t="array" ref="W366">IFERROR(_xlfn._xlws.FILTER(game_rosters!AC:AC,(game_rosters!J:J=events!X366)*(K366&lt;&gt;"")),"")</f>
        <v/>
      </c>
      <c r="X366" cm="1">
        <f t="array" ref="X366">IF($I366&lt;&gt;"",$I366,INDEX($I$1:$I366,ROW()-COUNTIFS($T$1:$T366,"="&amp;$T366,$S$1:$S366,"&lt;"&amp;$S366)))</f>
        <v>39</v>
      </c>
      <c r="Y366" t="str" cm="1">
        <f t="array" ref="Y366">IFERROR(IF(_xlfn._xlws.FILTER(game_rosters!$J:$J,(game_rosters!$G:$G=events!$AM366)*(game_rosters!$J:$J=events!$X366))&gt;0,1,""),"")</f>
        <v/>
      </c>
      <c r="Z366" s="6">
        <f t="shared" si="581"/>
        <v>1</v>
      </c>
      <c r="AA366">
        <f t="shared" si="582"/>
        <v>1185</v>
      </c>
      <c r="AB366">
        <f t="shared" si="583"/>
        <v>9023</v>
      </c>
      <c r="AC366">
        <f t="shared" si="584"/>
        <v>9023</v>
      </c>
      <c r="AD366" t="str">
        <f t="shared" si="585"/>
        <v>12</v>
      </c>
      <c r="AE366" t="str">
        <f t="shared" si="586"/>
        <v>39</v>
      </c>
      <c r="AF366" t="str">
        <f t="shared" si="587"/>
        <v/>
      </c>
      <c r="AG366" t="str">
        <f t="shared" si="588"/>
        <v/>
      </c>
      <c r="AH366" t="str">
        <f t="shared" si="631"/>
        <v>o</v>
      </c>
      <c r="AI366" t="str">
        <f t="shared" si="656"/>
        <v>o</v>
      </c>
      <c r="AJ366" t="str">
        <f t="shared" si="656"/>
        <v>o</v>
      </c>
      <c r="AK366" t="str">
        <f t="shared" si="633"/>
        <v/>
      </c>
      <c r="AL366" t="str">
        <f t="shared" si="634"/>
        <v/>
      </c>
      <c r="AM366" t="str">
        <f t="shared" si="589"/>
        <v>Home</v>
      </c>
      <c r="AN366" t="str">
        <f t="shared" si="635"/>
        <v>h</v>
      </c>
      <c r="AO366" t="str">
        <f t="shared" si="636"/>
        <v>o</v>
      </c>
      <c r="AP366" t="str">
        <f t="shared" si="637"/>
        <v>d</v>
      </c>
      <c r="AQ366" t="str">
        <f>IF(AM366&lt;&gt;"",AM366,IF($AC366=#REF!,#REF!,""))</f>
        <v>Home</v>
      </c>
      <c r="AR366" t="str">
        <f t="shared" si="638"/>
        <v>h</v>
      </c>
      <c r="AS366" t="str">
        <f t="shared" si="639"/>
        <v>Defensive</v>
      </c>
      <c r="AT366" t="str">
        <f t="shared" si="590"/>
        <v/>
      </c>
      <c r="AU366" t="str">
        <f t="shared" si="591"/>
        <v/>
      </c>
      <c r="AV366" t="str" cm="1">
        <f t="array" ref="AV366">IFERROR(IF(O366&lt;&gt;"",O366,IF(OR($S366="",$T366=""),"",IF(O366&lt;&gt;"",O366,IF($T366&lt;&gt;"",_xlfn._xlws.FILTER(O:O,($BT:$BT=$BT366)*($I:$I=$I366)*($T:$T=$T366)*($S:$S=_xlfn.MINIFS($S:$S,$T:$T,"="&amp;$T366)),"")))))&amp;"",IF(O366="","",""))&amp;""</f>
        <v/>
      </c>
      <c r="AW366" t="str" cm="1">
        <f t="array" ref="AW366">IFERROR(IF(P366&lt;&gt;"",P366,IF(OR($S366="",$T366=""),"",IF($T366&lt;&gt;"",_xlfn._xlws.FILTER(P:P,($BT:$BT=$BT366)*($I:$I=$I366)*($T:$T=$T366)*($S:$S=_xlfn.MINIFS($S:$S,$T:$T,"="&amp;$T366)),""))))&amp;"",IF(P366="","",""))&amp;""</f>
        <v/>
      </c>
      <c r="AX366" t="str" cm="1">
        <f t="array" ref="AX366">IFERROR(IF(Q366&lt;&gt;"",Q366,IF(OR($S366="",$T366=""),"",IF($T366&lt;&gt;"",_xlfn._xlws.FILTER(Q:Q,($BT:$BT=$BT366)*($I:$I=$I366)*($T:$T=$T366)*($S:$S=_xlfn.MINIFS($S:$S,$T:$T,"="&amp;$T366)),""))))&amp;"",IF(Q366="","",""))&amp;""</f>
        <v/>
      </c>
      <c r="AY366" t="str" cm="1">
        <f t="array" ref="AY366">IFERROR(IF(R366&lt;&gt;"",R366,IF(OR($S366="",$T366=""),"",IF($T366&lt;&gt;"",_xlfn._xlws.FILTER(R:R,($BT:$BT=$BT366)*($I:$I=$I366)*($T:$T=$T366)*($S:$S=_xlfn.MINIFS($S:$S,$T:$T,"="&amp;$T366)),""))))&amp;"",IF(R366="","",""))&amp;""</f>
        <v/>
      </c>
      <c r="AZ366" s="6">
        <f t="shared" si="592"/>
        <v>33</v>
      </c>
      <c r="BA366">
        <f t="shared" ref="BA366:BC366" si="660">BA365</f>
        <v>18991</v>
      </c>
      <c r="BB366" t="str">
        <f t="shared" si="660"/>
        <v>Triple J</v>
      </c>
      <c r="BC366" t="str">
        <f t="shared" si="660"/>
        <v>Velodrome</v>
      </c>
      <c r="BD366" t="str">
        <f t="shared" si="594"/>
        <v>Shot</v>
      </c>
      <c r="BE366" t="str">
        <f t="shared" si="595"/>
        <v>Shot_OnNetSaved</v>
      </c>
      <c r="BF366" t="str">
        <f t="shared" si="596"/>
        <v>Shot-Wrist</v>
      </c>
      <c r="BG366" t="str">
        <f t="shared" si="578"/>
        <v>s</v>
      </c>
      <c r="BH366" cm="1">
        <f t="array" aca="1" ref="BH366" ca="1">IFERROR(_xlfn._xlws.FILTER(shifts!A:A,(shifts!B:B=events!Z366)*(shifts!AG:AG&gt;=events!BJ366)*(shifts!AH:AH&lt;=events!BK366)),BH365)</f>
        <v>12</v>
      </c>
      <c r="BI366" s="15">
        <f t="shared" si="597"/>
        <v>0</v>
      </c>
      <c r="BJ366">
        <f t="shared" si="598"/>
        <v>759</v>
      </c>
      <c r="BK366">
        <f t="shared" si="599"/>
        <v>759</v>
      </c>
      <c r="BL366" s="15">
        <f>SUMIFS(BI$2:BI366,K$2:K366,"=Intermission")+SUMIFS(BI$2:BI366,K$2:K366,"=Timeout")</f>
        <v>0</v>
      </c>
      <c r="BM366">
        <f t="shared" si="600"/>
        <v>0</v>
      </c>
      <c r="BN366" s="19">
        <f t="shared" si="601"/>
        <v>321</v>
      </c>
      <c r="BO366">
        <f t="shared" si="602"/>
        <v>316</v>
      </c>
      <c r="BP366" s="17">
        <f t="shared" si="603"/>
        <v>321</v>
      </c>
      <c r="BQ366" t="str">
        <f t="shared" si="604"/>
        <v>opp_team_player_1</v>
      </c>
      <c r="BR366">
        <f>COUNTIFS(S$3:S366,"="&amp;S366,AH$3:AH366,"="&amp;AH366)</f>
        <v>1</v>
      </c>
      <c r="BS366" t="str">
        <f>IFERROR(VLOOKUP(BA366&amp;BT366&amp;X366,game_rosters!U:W,3,FALSE),"")</f>
        <v>P100016</v>
      </c>
      <c r="BT366" t="str">
        <f t="shared" si="605"/>
        <v>Velodrome</v>
      </c>
    </row>
    <row r="367" spans="1:72" x14ac:dyDescent="0.2">
      <c r="A367" t="str">
        <f t="shared" si="580"/>
        <v>x</v>
      </c>
      <c r="D367" s="26" t="s">
        <v>729</v>
      </c>
      <c r="E367" s="4"/>
      <c r="F367" s="45"/>
      <c r="G367" s="4"/>
      <c r="H367" s="47"/>
      <c r="I367" s="26">
        <v>93</v>
      </c>
      <c r="J367" s="26" t="str">
        <f t="shared" si="606"/>
        <v/>
      </c>
      <c r="N367" t="str">
        <f t="shared" si="624"/>
        <v/>
      </c>
      <c r="O367" t="s">
        <v>567</v>
      </c>
      <c r="Q367" t="str">
        <f t="shared" si="618"/>
        <v/>
      </c>
      <c r="R367" s="26">
        <v>1</v>
      </c>
      <c r="S367">
        <f>IF(A367=1,MAX($S$2:$S366)+1,IF(OR($I367&lt;&gt;"",A367="x"),$S366,""))</f>
        <v>185</v>
      </c>
      <c r="T367">
        <f>IF(D367=1,MAX($T$2:$T366)+1,IF(S367=S366,$T366,IF(D367="x",T366,IF(D366="x","",""))))</f>
        <v>23</v>
      </c>
      <c r="U367" t="str">
        <f>IF(B367=1,MAX($U$2:$U366)+1,IF(AND($T367&lt;&gt;"",$T367=$T366),$U366,IF(B367="x",U366,"")))</f>
        <v/>
      </c>
      <c r="V367" t="str">
        <f>IF(C367=1,MAX($V$2:$V366)+1,IF(AND($T367&lt;&gt;"",$T367=$T366),$U366,IF(C367="x",V366,"")))</f>
        <v/>
      </c>
      <c r="W367" t="str" cm="1">
        <f t="array" ref="W367">IFERROR(_xlfn._xlws.FILTER(game_rosters!AC:AC,(game_rosters!J:J=events!X367)*(K367&lt;&gt;"")),"")</f>
        <v/>
      </c>
      <c r="X367" cm="1">
        <f t="array" ref="X367">IF($I367&lt;&gt;"",$I367,INDEX($I$1:$I367,ROW()-COUNTIFS($T$1:$T367,"="&amp;$T367,$S$1:$S367,"&lt;"&amp;$S367)))</f>
        <v>93</v>
      </c>
      <c r="Y367" t="str" cm="1">
        <f t="array" ref="Y367">IFERROR(IF(_xlfn._xlws.FILTER(game_rosters!$J:$J,(game_rosters!$G:$G=events!$AM367)*(game_rosters!$J:$J=events!$X367))&gt;0,1,""),"")</f>
        <v/>
      </c>
      <c r="Z367" s="6">
        <f t="shared" si="581"/>
        <v>1</v>
      </c>
      <c r="AA367">
        <f t="shared" si="582"/>
        <v>1185</v>
      </c>
      <c r="AB367">
        <f t="shared" si="583"/>
        <v>9023</v>
      </c>
      <c r="AC367">
        <f t="shared" si="584"/>
        <v>9023</v>
      </c>
      <c r="AD367" t="str">
        <f t="shared" si="585"/>
        <v>12</v>
      </c>
      <c r="AE367" t="str">
        <f t="shared" si="586"/>
        <v>39</v>
      </c>
      <c r="AF367" t="str">
        <f t="shared" si="587"/>
        <v/>
      </c>
      <c r="AG367" t="str">
        <f t="shared" si="588"/>
        <v/>
      </c>
      <c r="AH367" t="str">
        <f t="shared" si="631"/>
        <v>o</v>
      </c>
      <c r="AI367" t="str">
        <f t="shared" si="656"/>
        <v>o</v>
      </c>
      <c r="AJ367" t="str">
        <f t="shared" si="656"/>
        <v>o</v>
      </c>
      <c r="AK367" t="str">
        <f t="shared" si="633"/>
        <v/>
      </c>
      <c r="AL367" t="str">
        <f t="shared" si="634"/>
        <v/>
      </c>
      <c r="AM367" t="str">
        <f t="shared" si="589"/>
        <v>Home</v>
      </c>
      <c r="AN367" t="str">
        <f t="shared" si="635"/>
        <v>h</v>
      </c>
      <c r="AO367" t="str">
        <f t="shared" si="636"/>
        <v>o</v>
      </c>
      <c r="AP367" t="str">
        <f t="shared" si="637"/>
        <v>d</v>
      </c>
      <c r="AQ367" t="str">
        <f>IF(AM367&lt;&gt;"",AM367,IF($AC367=#REF!,#REF!,""))</f>
        <v>Home</v>
      </c>
      <c r="AR367" t="str">
        <f t="shared" si="638"/>
        <v>h</v>
      </c>
      <c r="AS367" t="str">
        <f t="shared" si="639"/>
        <v>Defensive</v>
      </c>
      <c r="AT367" t="str">
        <f t="shared" si="590"/>
        <v/>
      </c>
      <c r="AU367" t="str">
        <f t="shared" si="591"/>
        <v/>
      </c>
      <c r="AV367" t="str" cm="1">
        <f t="array" ref="AV367">IFERROR(IF(O367&lt;&gt;"",O367,IF(OR($S367="",$T367=""),"",IF(O367&lt;&gt;"",O367,IF($T367&lt;&gt;"",_xlfn._xlws.FILTER(O:O,($BT:$BT=$BT367)*($I:$I=$I367)*($T:$T=$T367)*($S:$S=_xlfn.MINIFS($S:$S,$T:$T,"="&amp;$T367)),"")))))&amp;"",IF(O367="","",""))&amp;""</f>
        <v>StickCheck</v>
      </c>
      <c r="AW367" t="str" cm="1">
        <f t="array" ref="AW367">IFERROR(IF(P367&lt;&gt;"",P367,IF(OR($S367="",$T367=""),"",IF($T367&lt;&gt;"",_xlfn._xlws.FILTER(P:P,($BT:$BT=$BT367)*($I:$I=$I367)*($T:$T=$T367)*($S:$S=_xlfn.MINIFS($S:$S,$T:$T,"="&amp;$T367)),""))))&amp;"",IF(P367="","",""))&amp;""</f>
        <v/>
      </c>
      <c r="AX367" t="str" cm="1">
        <f t="array" ref="AX367">IFERROR(IF(Q367&lt;&gt;"",Q367,IF(OR($S367="",$T367=""),"",IF($T367&lt;&gt;"",_xlfn._xlws.FILTER(Q:Q,($BT:$BT=$BT367)*($I:$I=$I367)*($T:$T=$T367)*($S:$S=_xlfn.MINIFS($S:$S,$T:$T,"="&amp;$T367)),""))))&amp;"",IF(Q367="","",""))&amp;""</f>
        <v/>
      </c>
      <c r="AY367" t="str" cm="1">
        <f t="array" ref="AY367">IFERROR(IF(R367&lt;&gt;"",R367,IF(OR($S367="",$T367=""),"",IF($T367&lt;&gt;"",_xlfn._xlws.FILTER(R:R,($BT:$BT=$BT367)*($I:$I=$I367)*($T:$T=$T367)*($S:$S=_xlfn.MINIFS($S:$S,$T:$T,"="&amp;$T367)),""))))&amp;"",IF(R367="","",""))&amp;""</f>
        <v>1</v>
      </c>
      <c r="AZ367" s="6">
        <f t="shared" si="592"/>
        <v>33</v>
      </c>
      <c r="BA367">
        <f t="shared" ref="BA367:BC367" si="661">BA366</f>
        <v>18991</v>
      </c>
      <c r="BB367" t="str">
        <f t="shared" si="661"/>
        <v>Triple J</v>
      </c>
      <c r="BC367" t="str">
        <f t="shared" si="661"/>
        <v>Velodrome</v>
      </c>
      <c r="BD367" t="str">
        <f t="shared" si="594"/>
        <v>Shot</v>
      </c>
      <c r="BE367" t="str">
        <f t="shared" si="595"/>
        <v>Shot_OnNetSaved</v>
      </c>
      <c r="BF367" t="str">
        <f t="shared" si="596"/>
        <v>Shot-Wrist</v>
      </c>
      <c r="BG367" t="str">
        <f t="shared" si="578"/>
        <v>s</v>
      </c>
      <c r="BH367" cm="1">
        <f t="array" aca="1" ref="BH367" ca="1">IFERROR(_xlfn._xlws.FILTER(shifts!A:A,(shifts!B:B=events!Z367)*(shifts!AG:AG&gt;=events!BJ367)*(shifts!AH:AH&lt;=events!BK367)),BH366)</f>
        <v>12</v>
      </c>
      <c r="BI367" s="15">
        <f t="shared" si="597"/>
        <v>0</v>
      </c>
      <c r="BJ367">
        <f t="shared" si="598"/>
        <v>759</v>
      </c>
      <c r="BK367">
        <f t="shared" si="599"/>
        <v>759</v>
      </c>
      <c r="BL367" s="15">
        <f>SUMIFS(BI$2:BI367,K$2:K367,"=Intermission")+SUMIFS(BI$2:BI367,K$2:K367,"=Timeout")</f>
        <v>0</v>
      </c>
      <c r="BM367">
        <f t="shared" si="600"/>
        <v>0</v>
      </c>
      <c r="BN367" s="19">
        <f t="shared" si="601"/>
        <v>321</v>
      </c>
      <c r="BO367">
        <f t="shared" si="602"/>
        <v>316</v>
      </c>
      <c r="BP367" s="17">
        <f t="shared" si="603"/>
        <v>321</v>
      </c>
      <c r="BQ367" t="str">
        <f t="shared" si="604"/>
        <v>opp_team_player_2</v>
      </c>
      <c r="BR367">
        <f>COUNTIFS(S$3:S367,"="&amp;S367,AH$3:AH367,"="&amp;AH367)</f>
        <v>2</v>
      </c>
      <c r="BS367" t="str">
        <f>IFERROR(VLOOKUP(BA367&amp;BT367&amp;X367,game_rosters!U:W,3,FALSE),"")</f>
        <v>P100093</v>
      </c>
      <c r="BT367" t="str">
        <f t="shared" si="605"/>
        <v>Velodrome</v>
      </c>
    </row>
    <row r="368" spans="1:72" x14ac:dyDescent="0.2">
      <c r="A368">
        <f t="shared" si="580"/>
        <v>1</v>
      </c>
      <c r="D368" s="26" t="s">
        <v>729</v>
      </c>
      <c r="E368" s="4"/>
      <c r="F368" s="45"/>
      <c r="G368" s="4"/>
      <c r="H368" s="47"/>
      <c r="I368" s="26">
        <v>39</v>
      </c>
      <c r="J368" s="26" t="str">
        <f t="shared" si="606"/>
        <v>d</v>
      </c>
      <c r="K368" t="s">
        <v>15</v>
      </c>
      <c r="L368" t="s">
        <v>189</v>
      </c>
      <c r="M368" t="s">
        <v>101</v>
      </c>
      <c r="N368" t="str">
        <f t="shared" si="624"/>
        <v/>
      </c>
      <c r="Q368" t="str">
        <f t="shared" si="618"/>
        <v/>
      </c>
      <c r="S368">
        <f>IF(A368=1,MAX($S$2:$S367)+1,IF(OR($I368&lt;&gt;"",A368="x"),$S367,""))</f>
        <v>186</v>
      </c>
      <c r="T368">
        <f>IF(D368=1,MAX($T$2:$T367)+1,IF(S368=S367,$T367,IF(D368="x",T367,IF(D367="x","",""))))</f>
        <v>23</v>
      </c>
      <c r="U368" t="str">
        <f>IF(B368=1,MAX($U$2:$U367)+1,IF(AND($T368&lt;&gt;"",$T368=$T367),$U367,IF(B368="x",U367,"")))</f>
        <v/>
      </c>
      <c r="V368" t="str">
        <f>IF(C368=1,MAX($V$2:$V367)+1,IF(AND($T368&lt;&gt;"",$T368=$T367),$U367,IF(C368="x",V367,"")))</f>
        <v/>
      </c>
      <c r="W368" t="str" cm="1">
        <f t="array" ref="W368">IFERROR(_xlfn._xlws.FILTER(game_rosters!AC:AC,(game_rosters!J:J=events!X368)*(K368&lt;&gt;"")),"")</f>
        <v>a</v>
      </c>
      <c r="X368" cm="1">
        <f t="array" ref="X368">IF($I368&lt;&gt;"",$I368,INDEX($I$1:$I368,ROW()-COUNTIFS($T$1:$T368,"="&amp;$T368,$S$1:$S368,"&lt;"&amp;$S368)))</f>
        <v>39</v>
      </c>
      <c r="Y368" cm="1">
        <f t="array" ref="Y368">IFERROR(IF(_xlfn._xlws.FILTER(game_rosters!$J:$J,(game_rosters!$G:$G=events!$AM368)*(game_rosters!$J:$J=events!$X368))&gt;0,1,""),"")</f>
        <v>1</v>
      </c>
      <c r="Z368" s="6">
        <f t="shared" si="581"/>
        <v>1</v>
      </c>
      <c r="AA368">
        <f t="shared" si="582"/>
        <v>1186</v>
      </c>
      <c r="AB368">
        <f t="shared" si="583"/>
        <v>9023</v>
      </c>
      <c r="AC368">
        <f t="shared" si="584"/>
        <v>9023</v>
      </c>
      <c r="AD368" t="str">
        <f t="shared" si="585"/>
        <v>12</v>
      </c>
      <c r="AE368" t="str">
        <f t="shared" si="586"/>
        <v>39</v>
      </c>
      <c r="AF368" t="str">
        <f t="shared" si="587"/>
        <v/>
      </c>
      <c r="AG368" t="str">
        <f t="shared" si="588"/>
        <v/>
      </c>
      <c r="AH368" t="str">
        <f t="shared" si="631"/>
        <v>e</v>
      </c>
      <c r="AI368" t="str">
        <f t="shared" si="656"/>
        <v>d</v>
      </c>
      <c r="AJ368" t="str">
        <f t="shared" si="656"/>
        <v>d</v>
      </c>
      <c r="AK368" t="str">
        <f t="shared" si="633"/>
        <v>o</v>
      </c>
      <c r="AL368" t="str">
        <f t="shared" si="634"/>
        <v>d</v>
      </c>
      <c r="AM368" t="str">
        <f t="shared" si="589"/>
        <v>Away</v>
      </c>
      <c r="AN368" t="str">
        <f t="shared" si="635"/>
        <v>a</v>
      </c>
      <c r="AO368" t="str">
        <f t="shared" si="636"/>
        <v>o</v>
      </c>
      <c r="AP368" t="str">
        <f t="shared" si="637"/>
        <v>d</v>
      </c>
      <c r="AQ368" t="str">
        <f>IF(AM368&lt;&gt;"",AM368,IF($AC368=#REF!,#REF!,""))</f>
        <v>Away</v>
      </c>
      <c r="AR368" t="str">
        <f t="shared" si="638"/>
        <v>a</v>
      </c>
      <c r="AS368" t="str">
        <f t="shared" si="639"/>
        <v>Defensive</v>
      </c>
      <c r="AT368" t="str">
        <f t="shared" si="590"/>
        <v/>
      </c>
      <c r="AU368" t="str">
        <f t="shared" si="591"/>
        <v/>
      </c>
      <c r="AV368" t="str" cm="1">
        <f t="array" ref="AV368">IFERROR(IF(O368&lt;&gt;"",O368,IF(OR($S368="",$T368=""),"",IF(O368&lt;&gt;"",O368,IF($T368&lt;&gt;"",_xlfn._xlws.FILTER(O:O,($BT:$BT=$BT368)*($I:$I=$I368)*($T:$T=$T368)*($S:$S=_xlfn.MINIFS($S:$S,$T:$T,"="&amp;$T368)),"")))))&amp;"",IF(O368="","",""))&amp;""</f>
        <v/>
      </c>
      <c r="AW368" t="str" cm="1">
        <f t="array" ref="AW368">IFERROR(IF(P368&lt;&gt;"",P368,IF(OR($S368="",$T368=""),"",IF($T368&lt;&gt;"",_xlfn._xlws.FILTER(P:P,($BT:$BT=$BT368)*($I:$I=$I368)*($T:$T=$T368)*($S:$S=_xlfn.MINIFS($S:$S,$T:$T,"="&amp;$T368)),""))))&amp;"",IF(P368="","",""))&amp;""</f>
        <v/>
      </c>
      <c r="AX368" t="str" cm="1">
        <f t="array" ref="AX368">IFERROR(IF(Q368&lt;&gt;"",Q368,IF(OR($S368="",$T368=""),"",IF($T368&lt;&gt;"",_xlfn._xlws.FILTER(Q:Q,($BT:$BT=$BT368)*($I:$I=$I368)*($T:$T=$T368)*($S:$S=_xlfn.MINIFS($S:$S,$T:$T,"="&amp;$T368)),""))))&amp;"",IF(Q368="","",""))&amp;""</f>
        <v/>
      </c>
      <c r="AY368" t="str" cm="1">
        <f t="array" ref="AY368">IFERROR(IF(R368&lt;&gt;"",R368,IF(OR($S368="",$T368=""),"",IF($T368&lt;&gt;"",_xlfn._xlws.FILTER(R:R,($BT:$BT=$BT368)*($I:$I=$I368)*($T:$T=$T368)*($S:$S=_xlfn.MINIFS($S:$S,$T:$T,"="&amp;$T368)),""))))&amp;"",IF(R368="","",""))&amp;""</f>
        <v/>
      </c>
      <c r="AZ368" s="6">
        <f t="shared" si="592"/>
        <v>33</v>
      </c>
      <c r="BA368">
        <f t="shared" ref="BA368:BC368" si="662">BA367</f>
        <v>18991</v>
      </c>
      <c r="BB368" t="str">
        <f t="shared" si="662"/>
        <v>Triple J</v>
      </c>
      <c r="BC368" t="str">
        <f t="shared" si="662"/>
        <v>Velodrome</v>
      </c>
      <c r="BD368" t="str">
        <f t="shared" si="594"/>
        <v>Save</v>
      </c>
      <c r="BE368" t="str">
        <f t="shared" si="595"/>
        <v>Save_Freeze</v>
      </c>
      <c r="BF368" t="str">
        <f t="shared" si="596"/>
        <v>Save-Chest</v>
      </c>
      <c r="BG368" t="str">
        <f t="shared" si="578"/>
        <v/>
      </c>
      <c r="BH368" cm="1">
        <f t="array" aca="1" ref="BH368" ca="1">IFERROR(_xlfn._xlws.FILTER(shifts!A:A,(shifts!B:B=events!Z368)*(shifts!AG:AG&gt;=events!BJ368)*(shifts!AH:AH&lt;=events!BK368)),BH367)</f>
        <v>12</v>
      </c>
      <c r="BI368" s="15">
        <f t="shared" si="597"/>
        <v>0</v>
      </c>
      <c r="BJ368">
        <f t="shared" si="598"/>
        <v>759</v>
      </c>
      <c r="BK368">
        <f t="shared" si="599"/>
        <v>759</v>
      </c>
      <c r="BL368" s="15">
        <f>SUMIFS(BI$2:BI368,K$2:K368,"=Intermission")+SUMIFS(BI$2:BI368,K$2:K368,"=Timeout")</f>
        <v>0</v>
      </c>
      <c r="BM368">
        <f t="shared" si="600"/>
        <v>0</v>
      </c>
      <c r="BN368" s="19">
        <f t="shared" si="601"/>
        <v>321</v>
      </c>
      <c r="BO368">
        <f t="shared" si="602"/>
        <v>316</v>
      </c>
      <c r="BP368" s="17">
        <f t="shared" si="603"/>
        <v>321</v>
      </c>
      <c r="BQ368" t="str">
        <f t="shared" si="604"/>
        <v>event_team_player_1</v>
      </c>
      <c r="BR368">
        <f>COUNTIFS(S$3:S368,"="&amp;S368,AH$3:AH368,"="&amp;AH368)</f>
        <v>1</v>
      </c>
      <c r="BS368" t="str">
        <f>IFERROR(VLOOKUP(BA368&amp;BT368&amp;X368,game_rosters!U:W,3,FALSE),"")</f>
        <v>P100016</v>
      </c>
      <c r="BT368" t="str">
        <f t="shared" si="605"/>
        <v>Velodrome</v>
      </c>
    </row>
    <row r="369" spans="1:72" x14ac:dyDescent="0.2">
      <c r="A369" t="str">
        <f t="shared" si="580"/>
        <v>x</v>
      </c>
      <c r="D369" s="26" t="s">
        <v>729</v>
      </c>
      <c r="E369" s="4"/>
      <c r="F369" s="45"/>
      <c r="G369" s="4"/>
      <c r="H369" s="47"/>
      <c r="I369" s="26">
        <v>93</v>
      </c>
      <c r="J369" s="26" t="str">
        <f t="shared" si="606"/>
        <v/>
      </c>
      <c r="N369" t="str">
        <f t="shared" si="624"/>
        <v/>
      </c>
      <c r="Q369" t="str">
        <f t="shared" si="618"/>
        <v/>
      </c>
      <c r="S369">
        <f>IF(A369=1,MAX($S$2:$S368)+1,IF(OR($I369&lt;&gt;"",A369="x"),$S368,""))</f>
        <v>186</v>
      </c>
      <c r="T369">
        <f>IF(D369=1,MAX($T$2:$T368)+1,IF(S369=S368,$T368,IF(D369="x",T368,IF(D368="x","",""))))</f>
        <v>23</v>
      </c>
      <c r="U369" t="str">
        <f>IF(B369=1,MAX($U$2:$U368)+1,IF(AND($T369&lt;&gt;"",$T369=$T368),$U368,IF(B369="x",U368,"")))</f>
        <v/>
      </c>
      <c r="V369" t="str">
        <f>IF(C369=1,MAX($V$2:$V368)+1,IF(AND($T369&lt;&gt;"",$T369=$T368),$U368,IF(C369="x",V368,"")))</f>
        <v/>
      </c>
      <c r="W369" t="str" cm="1">
        <f t="array" ref="W369">IFERROR(_xlfn._xlws.FILTER(game_rosters!AC:AC,(game_rosters!J:J=events!X369)*(K369&lt;&gt;"")),"")</f>
        <v/>
      </c>
      <c r="X369" cm="1">
        <f t="array" ref="X369">IF($I369&lt;&gt;"",$I369,INDEX($I$1:$I369,ROW()-COUNTIFS($T$1:$T369,"="&amp;$T369,$S$1:$S369,"&lt;"&amp;$S369)))</f>
        <v>93</v>
      </c>
      <c r="Y369" cm="1">
        <f t="array" ref="Y369">IFERROR(IF(_xlfn._xlws.FILTER(game_rosters!$J:$J,(game_rosters!$G:$G=events!$AM369)*(game_rosters!$J:$J=events!$X369))&gt;0,1,""),"")</f>
        <v>1</v>
      </c>
      <c r="Z369" s="6">
        <f t="shared" si="581"/>
        <v>1</v>
      </c>
      <c r="AA369">
        <f t="shared" si="582"/>
        <v>1186</v>
      </c>
      <c r="AB369">
        <f t="shared" si="583"/>
        <v>9023</v>
      </c>
      <c r="AC369">
        <f t="shared" si="584"/>
        <v>9023</v>
      </c>
      <c r="AD369" t="str">
        <f t="shared" si="585"/>
        <v>12</v>
      </c>
      <c r="AE369" t="str">
        <f t="shared" si="586"/>
        <v>39</v>
      </c>
      <c r="AF369" t="str">
        <f t="shared" si="587"/>
        <v/>
      </c>
      <c r="AG369" t="str">
        <f t="shared" si="588"/>
        <v/>
      </c>
      <c r="AH369" t="str">
        <f t="shared" si="631"/>
        <v>e</v>
      </c>
      <c r="AI369" t="str">
        <f t="shared" si="656"/>
        <v>d</v>
      </c>
      <c r="AJ369" t="str">
        <f t="shared" si="656"/>
        <v>d</v>
      </c>
      <c r="AK369" t="str">
        <f t="shared" si="633"/>
        <v/>
      </c>
      <c r="AL369" t="str">
        <f t="shared" si="634"/>
        <v/>
      </c>
      <c r="AM369" t="str">
        <f t="shared" si="589"/>
        <v>Away</v>
      </c>
      <c r="AN369" t="str">
        <f t="shared" si="635"/>
        <v>a</v>
      </c>
      <c r="AO369" t="str">
        <f t="shared" si="636"/>
        <v>o</v>
      </c>
      <c r="AP369" t="str">
        <f t="shared" si="637"/>
        <v>d</v>
      </c>
      <c r="AQ369" t="str">
        <f>IF(AM369&lt;&gt;"",AM369,IF($AC369=#REF!,#REF!,""))</f>
        <v>Away</v>
      </c>
      <c r="AR369" t="str">
        <f t="shared" si="638"/>
        <v>a</v>
      </c>
      <c r="AS369" t="str">
        <f t="shared" si="639"/>
        <v>Defensive</v>
      </c>
      <c r="AT369" t="str">
        <f t="shared" si="590"/>
        <v/>
      </c>
      <c r="AU369" t="str">
        <f t="shared" si="591"/>
        <v/>
      </c>
      <c r="AV369" t="str" cm="1">
        <f t="array" ref="AV369">IFERROR(IF(O369&lt;&gt;"",O369,IF(OR($S369="",$T369=""),"",IF(O369&lt;&gt;"",O369,IF($T369&lt;&gt;"",_xlfn._xlws.FILTER(O:O,($BT:$BT=$BT369)*($I:$I=$I369)*($T:$T=$T369)*($S:$S=_xlfn.MINIFS($S:$S,$T:$T,"="&amp;$T369)),"")))))&amp;"",IF(O369="","",""))&amp;""</f>
        <v>StickCheck</v>
      </c>
      <c r="AW369" t="str" cm="1">
        <f t="array" ref="AW369">IFERROR(IF(P369&lt;&gt;"",P369,IF(OR($S369="",$T369=""),"",IF($T369&lt;&gt;"",_xlfn._xlws.FILTER(P:P,($BT:$BT=$BT369)*($I:$I=$I369)*($T:$T=$T369)*($S:$S=_xlfn.MINIFS($S:$S,$T:$T,"="&amp;$T369)),""))))&amp;"",IF(P369="","",""))&amp;""</f>
        <v/>
      </c>
      <c r="AX369" t="str" cm="1">
        <f t="array" ref="AX369">IFERROR(IF(Q369&lt;&gt;"",Q369,IF(OR($S369="",$T369=""),"",IF($T369&lt;&gt;"",_xlfn._xlws.FILTER(Q:Q,($BT:$BT=$BT369)*($I:$I=$I369)*($T:$T=$T369)*($S:$S=_xlfn.MINIFS($S:$S,$T:$T,"="&amp;$T369)),""))))&amp;"",IF(Q369="","",""))&amp;""</f>
        <v/>
      </c>
      <c r="AY369" t="str" cm="1">
        <f t="array" ref="AY369">IFERROR(IF(R369&lt;&gt;"",R369,IF(OR($S369="",$T369=""),"",IF($T369&lt;&gt;"",_xlfn._xlws.FILTER(R:R,($BT:$BT=$BT369)*($I:$I=$I369)*($T:$T=$T369)*($S:$S=_xlfn.MINIFS($S:$S,$T:$T,"="&amp;$T369)),""))))&amp;"",IF(R369="","",""))&amp;""</f>
        <v>1</v>
      </c>
      <c r="AZ369" s="6">
        <f t="shared" si="592"/>
        <v>33</v>
      </c>
      <c r="BA369">
        <f t="shared" ref="BA369:BC369" si="663">BA368</f>
        <v>18991</v>
      </c>
      <c r="BB369" t="str">
        <f t="shared" si="663"/>
        <v>Triple J</v>
      </c>
      <c r="BC369" t="str">
        <f t="shared" si="663"/>
        <v>Velodrome</v>
      </c>
      <c r="BD369" t="str">
        <f t="shared" si="594"/>
        <v>Save</v>
      </c>
      <c r="BE369" t="str">
        <f t="shared" si="595"/>
        <v>Save_Freeze</v>
      </c>
      <c r="BF369" t="str">
        <f t="shared" si="596"/>
        <v>Save-Chest</v>
      </c>
      <c r="BG369" t="str">
        <f t="shared" si="578"/>
        <v/>
      </c>
      <c r="BH369" cm="1">
        <f t="array" aca="1" ref="BH369" ca="1">IFERROR(_xlfn._xlws.FILTER(shifts!A:A,(shifts!B:B=events!Z369)*(shifts!AG:AG&gt;=events!BJ369)*(shifts!AH:AH&lt;=events!BK369)),BH368)</f>
        <v>12</v>
      </c>
      <c r="BI369" s="15">
        <f t="shared" si="597"/>
        <v>0</v>
      </c>
      <c r="BJ369">
        <f t="shared" si="598"/>
        <v>759</v>
      </c>
      <c r="BK369">
        <f t="shared" si="599"/>
        <v>759</v>
      </c>
      <c r="BL369" s="15">
        <f>SUMIFS(BI$2:BI369,K$2:K369,"=Intermission")+SUMIFS(BI$2:BI369,K$2:K369,"=Timeout")</f>
        <v>0</v>
      </c>
      <c r="BM369">
        <f t="shared" si="600"/>
        <v>0</v>
      </c>
      <c r="BN369" s="19">
        <f t="shared" si="601"/>
        <v>321</v>
      </c>
      <c r="BO369">
        <f t="shared" si="602"/>
        <v>316</v>
      </c>
      <c r="BP369" s="17">
        <f t="shared" si="603"/>
        <v>321</v>
      </c>
      <c r="BQ369" t="str">
        <f t="shared" si="604"/>
        <v>event_team_player_2</v>
      </c>
      <c r="BR369">
        <f>COUNTIFS(S$3:S369,"="&amp;S369,AH$3:AH369,"="&amp;AH369)</f>
        <v>2</v>
      </c>
      <c r="BS369" t="str">
        <f>IFERROR(VLOOKUP(BA369&amp;BT369&amp;X369,game_rosters!U:W,3,FALSE),"")</f>
        <v>P100093</v>
      </c>
      <c r="BT369" t="str">
        <f t="shared" si="605"/>
        <v>Velodrome</v>
      </c>
    </row>
    <row r="370" spans="1:72" x14ac:dyDescent="0.2">
      <c r="A370" t="str">
        <f t="shared" si="580"/>
        <v>x</v>
      </c>
      <c r="D370" s="26" t="s">
        <v>729</v>
      </c>
      <c r="E370" s="4"/>
      <c r="F370" s="45"/>
      <c r="G370" s="4"/>
      <c r="H370" s="47"/>
      <c r="I370" s="26">
        <v>73</v>
      </c>
      <c r="J370" s="26" t="str">
        <f t="shared" si="606"/>
        <v/>
      </c>
      <c r="N370" t="str">
        <f t="shared" si="624"/>
        <v/>
      </c>
      <c r="Q370" t="str">
        <f t="shared" si="618"/>
        <v/>
      </c>
      <c r="S370">
        <f>IF(A370=1,MAX($S$2:$S369)+1,IF(OR($I370&lt;&gt;"",A370="x"),$S369,""))</f>
        <v>186</v>
      </c>
      <c r="T370">
        <f>IF(D370=1,MAX($T$2:$T369)+1,IF(S370=S369,$T369,IF(D370="x",T369,IF(D369="x","",""))))</f>
        <v>23</v>
      </c>
      <c r="U370" t="str">
        <f>IF(B370=1,MAX($U$2:$U369)+1,IF(AND($T370&lt;&gt;"",$T370=$T369),$U369,IF(B370="x",U369,"")))</f>
        <v/>
      </c>
      <c r="V370" t="str">
        <f>IF(C370=1,MAX($V$2:$V369)+1,IF(AND($T370&lt;&gt;"",$T370=$T369),$U369,IF(C370="x",V369,"")))</f>
        <v/>
      </c>
      <c r="W370" t="str" cm="1">
        <f t="array" ref="W370">IFERROR(_xlfn._xlws.FILTER(game_rosters!AC:AC,(game_rosters!J:J=events!X370)*(K370&lt;&gt;"")),"")</f>
        <v/>
      </c>
      <c r="X370" cm="1">
        <f t="array" ref="X370">IF($I370&lt;&gt;"",$I370,INDEX($I$1:$I370,ROW()-COUNTIFS($T$1:$T370,"="&amp;$T370,$S$1:$S370,"&lt;"&amp;$S370)))</f>
        <v>73</v>
      </c>
      <c r="Y370" t="str" cm="1">
        <f t="array" ref="Y370">IFERROR(IF(_xlfn._xlws.FILTER(game_rosters!$J:$J,(game_rosters!$G:$G=events!$AM370)*(game_rosters!$J:$J=events!$X370))&gt;0,1,""),"")</f>
        <v/>
      </c>
      <c r="Z370" s="6">
        <f t="shared" si="581"/>
        <v>1</v>
      </c>
      <c r="AA370">
        <f t="shared" si="582"/>
        <v>1186</v>
      </c>
      <c r="AB370">
        <f t="shared" si="583"/>
        <v>9023</v>
      </c>
      <c r="AC370">
        <f t="shared" si="584"/>
        <v>9023</v>
      </c>
      <c r="AD370" t="str">
        <f t="shared" si="585"/>
        <v>12</v>
      </c>
      <c r="AE370" t="str">
        <f t="shared" si="586"/>
        <v>39</v>
      </c>
      <c r="AF370" t="str">
        <f t="shared" si="587"/>
        <v/>
      </c>
      <c r="AG370" t="str">
        <f t="shared" si="588"/>
        <v/>
      </c>
      <c r="AH370" t="str">
        <f t="shared" si="631"/>
        <v>o</v>
      </c>
      <c r="AI370" t="str">
        <f t="shared" si="656"/>
        <v>d</v>
      </c>
      <c r="AJ370" t="str">
        <f t="shared" si="656"/>
        <v>d</v>
      </c>
      <c r="AK370" t="str">
        <f t="shared" si="633"/>
        <v/>
      </c>
      <c r="AL370" t="str">
        <f t="shared" si="634"/>
        <v/>
      </c>
      <c r="AM370" t="str">
        <f t="shared" si="589"/>
        <v>Away</v>
      </c>
      <c r="AN370" t="str">
        <f t="shared" si="635"/>
        <v>a</v>
      </c>
      <c r="AO370" t="str">
        <f t="shared" si="636"/>
        <v>o</v>
      </c>
      <c r="AP370" t="str">
        <f t="shared" si="637"/>
        <v>d</v>
      </c>
      <c r="AQ370" t="str">
        <f>IF(AM370&lt;&gt;"",AM370,IF($AC370=#REF!,#REF!,""))</f>
        <v>Away</v>
      </c>
      <c r="AR370" t="str">
        <f t="shared" si="638"/>
        <v>a</v>
      </c>
      <c r="AS370" t="str">
        <f t="shared" si="639"/>
        <v>Offensive</v>
      </c>
      <c r="AT370" t="str">
        <f t="shared" si="590"/>
        <v/>
      </c>
      <c r="AU370" t="str">
        <f t="shared" si="591"/>
        <v/>
      </c>
      <c r="AV370" t="str" cm="1">
        <f t="array" ref="AV370">IFERROR(IF(O370&lt;&gt;"",O370,IF(OR($S370="",$T370=""),"",IF(O370&lt;&gt;"",O370,IF($T370&lt;&gt;"",_xlfn._xlws.FILTER(O:O,($BT:$BT=$BT370)*($I:$I=$I370)*($T:$T=$T370)*($S:$S=_xlfn.MINIFS($S:$S,$T:$T,"="&amp;$T370)),"")))))&amp;"",IF(O370="","",""))&amp;""</f>
        <v/>
      </c>
      <c r="AW370" t="str" cm="1">
        <f t="array" ref="AW370">IFERROR(IF(P370&lt;&gt;"",P370,IF(OR($S370="",$T370=""),"",IF($T370&lt;&gt;"",_xlfn._xlws.FILTER(P:P,($BT:$BT=$BT370)*($I:$I=$I370)*($T:$T=$T370)*($S:$S=_xlfn.MINIFS($S:$S,$T:$T,"="&amp;$T370)),""))))&amp;"",IF(P370="","",""))&amp;""</f>
        <v/>
      </c>
      <c r="AX370" t="str" cm="1">
        <f t="array" ref="AX370">IFERROR(IF(Q370&lt;&gt;"",Q370,IF(OR($S370="",$T370=""),"",IF($T370&lt;&gt;"",_xlfn._xlws.FILTER(Q:Q,($BT:$BT=$BT370)*($I:$I=$I370)*($T:$T=$T370)*($S:$S=_xlfn.MINIFS($S:$S,$T:$T,"="&amp;$T370)),""))))&amp;"",IF(Q370="","",""))&amp;""</f>
        <v/>
      </c>
      <c r="AY370" t="str" cm="1">
        <f t="array" ref="AY370">IFERROR(IF(R370&lt;&gt;"",R370,IF(OR($S370="",$T370=""),"",IF($T370&lt;&gt;"",_xlfn._xlws.FILTER(R:R,($BT:$BT=$BT370)*($I:$I=$I370)*($T:$T=$T370)*($S:$S=_xlfn.MINIFS($S:$S,$T:$T,"="&amp;$T370)),""))))&amp;"",IF(R370="","",""))&amp;""</f>
        <v>1</v>
      </c>
      <c r="AZ370" s="6">
        <f t="shared" si="592"/>
        <v>33</v>
      </c>
      <c r="BA370">
        <f t="shared" ref="BA370:BC370" si="664">BA369</f>
        <v>18991</v>
      </c>
      <c r="BB370" t="str">
        <f t="shared" si="664"/>
        <v>Triple J</v>
      </c>
      <c r="BC370" t="str">
        <f t="shared" si="664"/>
        <v>Velodrome</v>
      </c>
      <c r="BD370" t="str">
        <f t="shared" si="594"/>
        <v>Save</v>
      </c>
      <c r="BE370" t="str">
        <f t="shared" si="595"/>
        <v>Save_Freeze</v>
      </c>
      <c r="BF370" t="str">
        <f t="shared" si="596"/>
        <v>Save-Chest</v>
      </c>
      <c r="BG370" t="str">
        <f t="shared" si="578"/>
        <v/>
      </c>
      <c r="BH370" cm="1">
        <f t="array" aca="1" ref="BH370" ca="1">IFERROR(_xlfn._xlws.FILTER(shifts!A:A,(shifts!B:B=events!Z370)*(shifts!AG:AG&gt;=events!BJ370)*(shifts!AH:AH&lt;=events!BK370)),BH369)</f>
        <v>12</v>
      </c>
      <c r="BI370" s="15">
        <f t="shared" si="597"/>
        <v>0</v>
      </c>
      <c r="BJ370">
        <f t="shared" si="598"/>
        <v>759</v>
      </c>
      <c r="BK370">
        <f t="shared" si="599"/>
        <v>759</v>
      </c>
      <c r="BL370" s="15">
        <f>SUMIFS(BI$2:BI370,K$2:K370,"=Intermission")+SUMIFS(BI$2:BI370,K$2:K370,"=Timeout")</f>
        <v>0</v>
      </c>
      <c r="BM370">
        <f t="shared" si="600"/>
        <v>0</v>
      </c>
      <c r="BN370" s="19">
        <f t="shared" si="601"/>
        <v>321</v>
      </c>
      <c r="BO370">
        <f t="shared" si="602"/>
        <v>316</v>
      </c>
      <c r="BP370" s="17">
        <f t="shared" si="603"/>
        <v>321</v>
      </c>
      <c r="BQ370" t="str">
        <f t="shared" si="604"/>
        <v>opp_team_player_1</v>
      </c>
      <c r="BR370">
        <f>COUNTIFS(S$3:S370,"="&amp;S370,AH$3:AH370,"="&amp;AH370)</f>
        <v>1</v>
      </c>
      <c r="BS370" t="str">
        <f>IFERROR(VLOOKUP(BA370&amp;BT370&amp;X370,game_rosters!U:W,3,FALSE),"")</f>
        <v>P100021</v>
      </c>
      <c r="BT370" t="str">
        <f t="shared" si="605"/>
        <v>Triple J</v>
      </c>
    </row>
    <row r="371" spans="1:72" x14ac:dyDescent="0.2">
      <c r="A371">
        <f t="shared" si="580"/>
        <v>1</v>
      </c>
      <c r="D371" s="26" t="s">
        <v>729</v>
      </c>
      <c r="E371" s="4"/>
      <c r="F371" s="45"/>
      <c r="G371" s="4"/>
      <c r="H371" s="47"/>
      <c r="I371" s="26">
        <v>39</v>
      </c>
      <c r="J371" s="26" t="str">
        <f t="shared" si="606"/>
        <v>d</v>
      </c>
      <c r="K371" t="s">
        <v>11</v>
      </c>
      <c r="L371" t="s">
        <v>187</v>
      </c>
      <c r="M371" t="s">
        <v>108</v>
      </c>
      <c r="N371" t="str">
        <f t="shared" si="624"/>
        <v/>
      </c>
      <c r="Q371" t="str">
        <f t="shared" si="618"/>
        <v/>
      </c>
      <c r="S371">
        <f>IF(A371=1,MAX($S$2:$S370)+1,IF(OR($I371&lt;&gt;"",A371="x"),$S370,""))</f>
        <v>187</v>
      </c>
      <c r="T371">
        <f>IF(D371=1,MAX($T$2:$T370)+1,IF(S371=S370,$T370,IF(D371="x",T370,IF(D370="x","",""))))</f>
        <v>23</v>
      </c>
      <c r="U371" t="str">
        <f>IF(B371=1,MAX($U$2:$U370)+1,IF(AND($T371&lt;&gt;"",$T371=$T370),$U370,IF(B371="x",U370,"")))</f>
        <v/>
      </c>
      <c r="V371" t="str">
        <f>IF(C371=1,MAX($V$2:$V370)+1,IF(AND($T371&lt;&gt;"",$T371=$T370),$U370,IF(C371="x",V370,"")))</f>
        <v/>
      </c>
      <c r="W371" t="str" cm="1">
        <f t="array" ref="W371">IFERROR(_xlfn._xlws.FILTER(game_rosters!AC:AC,(game_rosters!J:J=events!X371)*(K371&lt;&gt;"")),"")</f>
        <v>a</v>
      </c>
      <c r="X371" cm="1">
        <f t="array" ref="X371">IF($I371&lt;&gt;"",$I371,INDEX($I$1:$I371,ROW()-COUNTIFS($T$1:$T371,"="&amp;$T371,$S$1:$S371,"&lt;"&amp;$S371)))</f>
        <v>39</v>
      </c>
      <c r="Y371" cm="1">
        <f t="array" ref="Y371">IFERROR(IF(_xlfn._xlws.FILTER(game_rosters!$J:$J,(game_rosters!$G:$G=events!$AM371)*(game_rosters!$J:$J=events!$X371))&gt;0,1,""),"")</f>
        <v>1</v>
      </c>
      <c r="Z371" s="6">
        <f t="shared" si="581"/>
        <v>1</v>
      </c>
      <c r="AA371">
        <f t="shared" si="582"/>
        <v>1187</v>
      </c>
      <c r="AB371">
        <f t="shared" si="583"/>
        <v>9023</v>
      </c>
      <c r="AC371">
        <f t="shared" si="584"/>
        <v>9023</v>
      </c>
      <c r="AD371" t="str">
        <f t="shared" si="585"/>
        <v>12</v>
      </c>
      <c r="AE371" t="str">
        <f t="shared" si="586"/>
        <v>39</v>
      </c>
      <c r="AF371" t="str">
        <f t="shared" si="587"/>
        <v/>
      </c>
      <c r="AG371" t="str">
        <f t="shared" si="588"/>
        <v/>
      </c>
      <c r="AH371" t="str">
        <f t="shared" si="631"/>
        <v>e</v>
      </c>
      <c r="AI371" t="str">
        <f t="shared" si="656"/>
        <v>d</v>
      </c>
      <c r="AJ371" t="str">
        <f t="shared" si="656"/>
        <v>d</v>
      </c>
      <c r="AK371" t="str">
        <f t="shared" si="633"/>
        <v>o</v>
      </c>
      <c r="AL371" t="str">
        <f t="shared" si="634"/>
        <v>d</v>
      </c>
      <c r="AM371" t="str">
        <f t="shared" si="589"/>
        <v>Away</v>
      </c>
      <c r="AN371" t="str">
        <f t="shared" si="635"/>
        <v>a</v>
      </c>
      <c r="AO371" t="str">
        <f t="shared" si="636"/>
        <v>o</v>
      </c>
      <c r="AP371" t="str">
        <f t="shared" si="637"/>
        <v>d</v>
      </c>
      <c r="AQ371" t="str">
        <f>IF(AM371&lt;&gt;"",AM371,IF($AC371=#REF!,#REF!,""))</f>
        <v>Away</v>
      </c>
      <c r="AR371" t="str">
        <f t="shared" si="638"/>
        <v>a</v>
      </c>
      <c r="AS371" t="str">
        <f t="shared" si="639"/>
        <v/>
      </c>
      <c r="AT371" t="str">
        <f t="shared" si="590"/>
        <v/>
      </c>
      <c r="AU371" t="str">
        <f t="shared" si="591"/>
        <v/>
      </c>
      <c r="AV371" t="str" cm="1">
        <f t="array" ref="AV371">IFERROR(IF(O371&lt;&gt;"",O371,IF(OR($S371="",$T371=""),"",IF(O371&lt;&gt;"",O371,IF($T371&lt;&gt;"",_xlfn._xlws.FILTER(O:O,($BT:$BT=$BT371)*($I:$I=$I371)*($T:$T=$T371)*($S:$S=_xlfn.MINIFS($S:$S,$T:$T,"="&amp;$T371)),"")))))&amp;"",IF(O371="","",""))&amp;""</f>
        <v/>
      </c>
      <c r="AW371" t="str" cm="1">
        <f t="array" ref="AW371">IFERROR(IF(P371&lt;&gt;"",P371,IF(OR($S371="",$T371=""),"",IF($T371&lt;&gt;"",_xlfn._xlws.FILTER(P:P,($BT:$BT=$BT371)*($I:$I=$I371)*($T:$T=$T371)*($S:$S=_xlfn.MINIFS($S:$S,$T:$T,"="&amp;$T371)),""))))&amp;"",IF(P371="","",""))&amp;""</f>
        <v/>
      </c>
      <c r="AX371" t="str" cm="1">
        <f t="array" ref="AX371">IFERROR(IF(Q371&lt;&gt;"",Q371,IF(OR($S371="",$T371=""),"",IF($T371&lt;&gt;"",_xlfn._xlws.FILTER(Q:Q,($BT:$BT=$BT371)*($I:$I=$I371)*($T:$T=$T371)*($S:$S=_xlfn.MINIFS($S:$S,$T:$T,"="&amp;$T371)),""))))&amp;"",IF(Q371="","",""))&amp;""</f>
        <v/>
      </c>
      <c r="AY371" t="str" cm="1">
        <f t="array" ref="AY371">IFERROR(IF(R371&lt;&gt;"",R371,IF(OR($S371="",$T371=""),"",IF($T371&lt;&gt;"",_xlfn._xlws.FILTER(R:R,($BT:$BT=$BT371)*($I:$I=$I371)*($T:$T=$T371)*($S:$S=_xlfn.MINIFS($S:$S,$T:$T,"="&amp;$T371)),""))))&amp;"",IF(R371="","",""))&amp;""</f>
        <v/>
      </c>
      <c r="AZ371" s="6">
        <f t="shared" si="592"/>
        <v>33</v>
      </c>
      <c r="BA371">
        <f t="shared" ref="BA371:BC371" si="665">BA370</f>
        <v>18991</v>
      </c>
      <c r="BB371" t="str">
        <f t="shared" si="665"/>
        <v>Triple J</v>
      </c>
      <c r="BC371" t="str">
        <f t="shared" si="665"/>
        <v>Velodrome</v>
      </c>
      <c r="BD371" t="str">
        <f t="shared" si="594"/>
        <v>Stoppage</v>
      </c>
      <c r="BE371" t="str">
        <f t="shared" si="595"/>
        <v>Stoppage_Play</v>
      </c>
      <c r="BF371" t="str">
        <f t="shared" si="596"/>
        <v>Stoppage-GoalieStoppage</v>
      </c>
      <c r="BG371" t="str">
        <f t="shared" si="578"/>
        <v/>
      </c>
      <c r="BH371" cm="1">
        <f t="array" aca="1" ref="BH371" ca="1">IFERROR(_xlfn._xlws.FILTER(shifts!A:A,(shifts!B:B=events!Z371)*(shifts!AG:AG&gt;=events!BJ371)*(shifts!AH:AH&lt;=events!BK371)),BH370)</f>
        <v>12</v>
      </c>
      <c r="BI371" s="15">
        <f t="shared" si="597"/>
        <v>0</v>
      </c>
      <c r="BJ371">
        <f t="shared" si="598"/>
        <v>759</v>
      </c>
      <c r="BK371">
        <f t="shared" si="599"/>
        <v>759</v>
      </c>
      <c r="BL371" s="15">
        <f>SUMIFS(BI$2:BI371,K$2:K371,"=Intermission")+SUMIFS(BI$2:BI371,K$2:K371,"=Timeout")</f>
        <v>0</v>
      </c>
      <c r="BM371">
        <f t="shared" si="600"/>
        <v>0</v>
      </c>
      <c r="BN371" s="19">
        <f t="shared" si="601"/>
        <v>321</v>
      </c>
      <c r="BO371">
        <f t="shared" si="602"/>
        <v>316</v>
      </c>
      <c r="BP371" s="17">
        <f t="shared" si="603"/>
        <v>321</v>
      </c>
      <c r="BQ371" t="str">
        <f t="shared" si="604"/>
        <v>event_team_player_1</v>
      </c>
      <c r="BR371">
        <f>COUNTIFS(S$3:S371,"="&amp;S371,AH$3:AH371,"="&amp;AH371)</f>
        <v>1</v>
      </c>
      <c r="BS371" t="str">
        <f>IFERROR(VLOOKUP(BA371&amp;BT371&amp;X371,game_rosters!U:W,3,FALSE),"")</f>
        <v>P100016</v>
      </c>
      <c r="BT371" t="str">
        <f t="shared" si="605"/>
        <v>Velodrome</v>
      </c>
    </row>
    <row r="372" spans="1:72" x14ac:dyDescent="0.2">
      <c r="A372">
        <f t="shared" si="580"/>
        <v>1</v>
      </c>
      <c r="D372" s="26" t="s">
        <v>729</v>
      </c>
      <c r="E372" s="4"/>
      <c r="F372" s="45"/>
      <c r="G372" s="4"/>
      <c r="H372" s="47" t="s">
        <v>1036</v>
      </c>
      <c r="I372" s="26">
        <v>39</v>
      </c>
      <c r="J372" s="26" t="str">
        <f t="shared" si="606"/>
        <v>d</v>
      </c>
      <c r="K372" t="s">
        <v>241</v>
      </c>
      <c r="N372" t="str">
        <f t="shared" si="624"/>
        <v/>
      </c>
      <c r="Q372" t="str">
        <f t="shared" si="618"/>
        <v/>
      </c>
      <c r="S372">
        <f>IF(A372=1,MAX($S$2:$S371)+1,IF(OR($I372&lt;&gt;"",A372="x"),$S371,""))</f>
        <v>188</v>
      </c>
      <c r="T372">
        <f>IF(D372=1,MAX($T$2:$T371)+1,IF(S372=S371,$T371,IF(D372="x",T371,IF(D371="x","",""))))</f>
        <v>23</v>
      </c>
      <c r="U372" t="str">
        <f>IF(B372=1,MAX($U$2:$U371)+1,IF(AND($T372&lt;&gt;"",$T372=$T371),$U371,IF(B372="x",U371,"")))</f>
        <v/>
      </c>
      <c r="V372" t="str">
        <f>IF(C372=1,MAX($V$2:$V371)+1,IF(AND($T372&lt;&gt;"",$T372=$T371),$U371,IF(C372="x",V371,"")))</f>
        <v/>
      </c>
      <c r="W372" t="str" cm="1">
        <f t="array" ref="W372">IFERROR(_xlfn._xlws.FILTER(game_rosters!AC:AC,(game_rosters!J:J=events!X372)*(K372&lt;&gt;"")),"")</f>
        <v>a</v>
      </c>
      <c r="X372" cm="1">
        <f t="array" ref="X372">IF($I372&lt;&gt;"",$I372,INDEX($I$1:$I372,ROW()-COUNTIFS($T$1:$T372,"="&amp;$T372,$S$1:$S372,"&lt;"&amp;$S372)))</f>
        <v>39</v>
      </c>
      <c r="Y372" cm="1">
        <f t="array" ref="Y372">IFERROR(IF(_xlfn._xlws.FILTER(game_rosters!$J:$J,(game_rosters!$G:$G=events!$AM372)*(game_rosters!$J:$J=events!$X372))&gt;0,1,""),"")</f>
        <v>1</v>
      </c>
      <c r="Z372" s="6">
        <f t="shared" si="581"/>
        <v>1</v>
      </c>
      <c r="AA372">
        <f t="shared" si="582"/>
        <v>1188</v>
      </c>
      <c r="AB372">
        <f t="shared" si="583"/>
        <v>9023</v>
      </c>
      <c r="AC372">
        <f t="shared" si="584"/>
        <v>9023</v>
      </c>
      <c r="AD372" t="str">
        <f t="shared" si="585"/>
        <v>12</v>
      </c>
      <c r="AE372" t="str">
        <f t="shared" si="586"/>
        <v>39</v>
      </c>
      <c r="AF372" t="str">
        <f t="shared" si="587"/>
        <v/>
      </c>
      <c r="AG372" t="str">
        <f t="shared" si="588"/>
        <v>20</v>
      </c>
      <c r="AH372" t="str">
        <f t="shared" si="631"/>
        <v>e</v>
      </c>
      <c r="AI372" t="str">
        <f t="shared" si="656"/>
        <v>d</v>
      </c>
      <c r="AJ372" t="str">
        <f t="shared" si="656"/>
        <v>d</v>
      </c>
      <c r="AK372" t="str">
        <f t="shared" si="633"/>
        <v>o</v>
      </c>
      <c r="AL372" t="str">
        <f t="shared" si="634"/>
        <v>d</v>
      </c>
      <c r="AM372" t="str">
        <f t="shared" si="589"/>
        <v>Away</v>
      </c>
      <c r="AN372" t="str">
        <f t="shared" si="635"/>
        <v>a</v>
      </c>
      <c r="AO372" t="str">
        <f t="shared" si="636"/>
        <v>o</v>
      </c>
      <c r="AP372" t="str">
        <f t="shared" si="637"/>
        <v>d</v>
      </c>
      <c r="AQ372" t="str">
        <f>IF(AM372&lt;&gt;"",AM372,IF($AC372=#REF!,#REF!,""))</f>
        <v>Away</v>
      </c>
      <c r="AR372" t="str">
        <f t="shared" si="638"/>
        <v>a</v>
      </c>
      <c r="AS372" t="str">
        <f t="shared" si="639"/>
        <v/>
      </c>
      <c r="AT372" t="str">
        <f t="shared" si="590"/>
        <v/>
      </c>
      <c r="AU372" t="str">
        <f t="shared" si="591"/>
        <v/>
      </c>
      <c r="AV372" t="str" cm="1">
        <f t="array" ref="AV372">IFERROR(IF(O372&lt;&gt;"",O372,IF(OR($S372="",$T372=""),"",IF(O372&lt;&gt;"",O372,IF($T372&lt;&gt;"",_xlfn._xlws.FILTER(O:O,($BT:$BT=$BT372)*($I:$I=$I372)*($T:$T=$T372)*($S:$S=_xlfn.MINIFS($S:$S,$T:$T,"="&amp;$T372)),"")))))&amp;"",IF(O372="","",""))&amp;""</f>
        <v/>
      </c>
      <c r="AW372" t="str" cm="1">
        <f t="array" ref="AW372">IFERROR(IF(P372&lt;&gt;"",P372,IF(OR($S372="",$T372=""),"",IF($T372&lt;&gt;"",_xlfn._xlws.FILTER(P:P,($BT:$BT=$BT372)*($I:$I=$I372)*($T:$T=$T372)*($S:$S=_xlfn.MINIFS($S:$S,$T:$T,"="&amp;$T372)),""))))&amp;"",IF(P372="","",""))&amp;""</f>
        <v/>
      </c>
      <c r="AX372" t="str" cm="1">
        <f t="array" ref="AX372">IFERROR(IF(Q372&lt;&gt;"",Q372,IF(OR($S372="",$T372=""),"",IF($T372&lt;&gt;"",_xlfn._xlws.FILTER(Q:Q,($BT:$BT=$BT372)*($I:$I=$I372)*($T:$T=$T372)*($S:$S=_xlfn.MINIFS($S:$S,$T:$T,"="&amp;$T372)),""))))&amp;"",IF(Q372="","",""))&amp;""</f>
        <v/>
      </c>
      <c r="AY372" t="str" cm="1">
        <f t="array" ref="AY372">IFERROR(IF(R372&lt;&gt;"",R372,IF(OR($S372="",$T372=""),"",IF($T372&lt;&gt;"",_xlfn._xlws.FILTER(R:R,($BT:$BT=$BT372)*($I:$I=$I372)*($T:$T=$T372)*($S:$S=_xlfn.MINIFS($S:$S,$T:$T,"="&amp;$T372)),""))))&amp;"",IF(R372="","",""))&amp;""</f>
        <v/>
      </c>
      <c r="AZ372" s="6">
        <f t="shared" si="592"/>
        <v>33</v>
      </c>
      <c r="BA372">
        <f t="shared" ref="BA372:BC372" si="666">BA371</f>
        <v>18991</v>
      </c>
      <c r="BB372" t="str">
        <f t="shared" si="666"/>
        <v>Triple J</v>
      </c>
      <c r="BC372" t="str">
        <f t="shared" si="666"/>
        <v>Velodrome</v>
      </c>
      <c r="BD372" t="str">
        <f t="shared" si="594"/>
        <v>DeadIce</v>
      </c>
      <c r="BE372" t="str">
        <f t="shared" si="595"/>
        <v/>
      </c>
      <c r="BF372" t="str">
        <f t="shared" si="596"/>
        <v/>
      </c>
      <c r="BG372" t="str">
        <f t="shared" si="578"/>
        <v/>
      </c>
      <c r="BH372" cm="1">
        <f t="array" aca="1" ref="BH372" ca="1">IFERROR(_xlfn._xlws.FILTER(shifts!A:A,(shifts!B:B=events!Z372)*(shifts!AG:AG&gt;=events!BJ372)*(shifts!AH:AH&lt;=events!BK372)),BH371)</f>
        <v>12</v>
      </c>
      <c r="BI372" s="15" t="e">
        <f t="shared" si="597"/>
        <v>#VALUE!</v>
      </c>
      <c r="BJ372">
        <f t="shared" si="598"/>
        <v>759</v>
      </c>
      <c r="BK372" t="e">
        <f t="shared" si="599"/>
        <v>#VALUE!</v>
      </c>
      <c r="BL372" s="15">
        <f>SUMIFS(BI$2:BI372,K$2:K372,"=Intermission")+SUMIFS(BI$2:BI372,K$2:K372,"=Timeout")</f>
        <v>0</v>
      </c>
      <c r="BM372">
        <f t="shared" si="600"/>
        <v>0</v>
      </c>
      <c r="BN372" s="19">
        <f t="shared" si="601"/>
        <v>321</v>
      </c>
      <c r="BO372">
        <f t="shared" si="602"/>
        <v>316</v>
      </c>
      <c r="BP372" s="17" t="e">
        <f t="shared" si="603"/>
        <v>#VALUE!</v>
      </c>
      <c r="BQ372" t="str">
        <f t="shared" si="604"/>
        <v>event_team_player_1</v>
      </c>
      <c r="BR372">
        <f>COUNTIFS(S$3:S372,"="&amp;S372,AH$3:AH372,"="&amp;AH372)</f>
        <v>1</v>
      </c>
      <c r="BS372" t="str">
        <f>IFERROR(VLOOKUP(BA372&amp;BT372&amp;X372,game_rosters!U:W,3,FALSE),"")</f>
        <v>P100016</v>
      </c>
      <c r="BT372" t="str">
        <f t="shared" si="605"/>
        <v>Velodrome</v>
      </c>
    </row>
    <row r="373" spans="1:72" x14ac:dyDescent="0.2">
      <c r="A373">
        <f t="shared" si="580"/>
        <v>1</v>
      </c>
      <c r="E373" s="4"/>
      <c r="F373" s="45"/>
      <c r="G373" s="4"/>
      <c r="H373" s="47"/>
      <c r="I373" s="26">
        <v>87</v>
      </c>
      <c r="J373" s="26" t="s">
        <v>736</v>
      </c>
      <c r="K373" t="s">
        <v>5</v>
      </c>
      <c r="L373" t="s">
        <v>236</v>
      </c>
      <c r="N373" t="str">
        <f t="shared" si="624"/>
        <v/>
      </c>
      <c r="Q373" t="str">
        <f t="shared" si="618"/>
        <v/>
      </c>
      <c r="S373">
        <f>IF(A373=1,MAX($S$2:$S372)+1,IF(OR($I373&lt;&gt;"",A373="x"),$S372,""))</f>
        <v>189</v>
      </c>
      <c r="T373" t="str">
        <f>IF(D373=1,MAX($T$2:$T372)+1,IF(S373=S372,$T372,IF(D373="x",T372,IF(D372="x","",""))))</f>
        <v/>
      </c>
      <c r="U373" t="str">
        <f>IF(B373=1,MAX($U$2:$U372)+1,IF(AND($T373&lt;&gt;"",$T373=$T372),$U372,IF(B373="x",U372,"")))</f>
        <v/>
      </c>
      <c r="V373" t="str">
        <f>IF(C373=1,MAX($V$2:$V372)+1,IF(AND($T373&lt;&gt;"",$T373=$T372),$U372,IF(C373="x",V372,"")))</f>
        <v/>
      </c>
      <c r="W373" t="str" cm="1">
        <f t="array" ref="W373">IFERROR(_xlfn._xlws.FILTER(game_rosters!AC:AC,(game_rosters!J:J=events!X373)*(K373&lt;&gt;"")),"")</f>
        <v>a</v>
      </c>
      <c r="X373" cm="1">
        <f t="array" ref="X373">IF($I373&lt;&gt;"",$I373,INDEX($I$1:$I373,ROW()-COUNTIFS($T$1:$T373,"="&amp;$T373,$S$1:$S373,"&lt;"&amp;$S373)))</f>
        <v>87</v>
      </c>
      <c r="Y373" cm="1">
        <f t="array" ref="Y373">IFERROR(IF(_xlfn._xlws.FILTER(game_rosters!$J:$J,(game_rosters!$G:$G=events!$AM373)*(game_rosters!$J:$J=events!$X373))&gt;0,1,""),"")</f>
        <v>1</v>
      </c>
      <c r="Z373" s="6">
        <f t="shared" si="581"/>
        <v>1</v>
      </c>
      <c r="AA373">
        <f t="shared" si="582"/>
        <v>1189</v>
      </c>
      <c r="AB373" t="str">
        <f t="shared" si="583"/>
        <v/>
      </c>
      <c r="AC373">
        <f t="shared" si="584"/>
        <v>1189</v>
      </c>
      <c r="AD373" t="str">
        <f t="shared" si="585"/>
        <v>12</v>
      </c>
      <c r="AE373" t="str">
        <f t="shared" si="586"/>
        <v>20</v>
      </c>
      <c r="AF373" t="str">
        <f t="shared" si="587"/>
        <v/>
      </c>
      <c r="AG373" t="str">
        <f t="shared" si="588"/>
        <v/>
      </c>
      <c r="AH373" t="str">
        <f t="shared" si="631"/>
        <v>e</v>
      </c>
      <c r="AI373" t="str">
        <f t="shared" si="656"/>
        <v>d</v>
      </c>
      <c r="AJ373" t="str">
        <f t="shared" si="656"/>
        <v>d</v>
      </c>
      <c r="AK373" t="str">
        <f t="shared" si="633"/>
        <v>o</v>
      </c>
      <c r="AL373" t="str">
        <f t="shared" si="634"/>
        <v>d</v>
      </c>
      <c r="AM373" t="str">
        <f t="shared" si="589"/>
        <v>Away</v>
      </c>
      <c r="AN373" t="str">
        <f t="shared" si="635"/>
        <v>a</v>
      </c>
      <c r="AO373" t="str">
        <f t="shared" si="636"/>
        <v>o</v>
      </c>
      <c r="AP373" t="str">
        <f t="shared" si="637"/>
        <v>d</v>
      </c>
      <c r="AQ373" t="str">
        <f>IF(AM373&lt;&gt;"",AM373,IF($AC373=#REF!,#REF!,""))</f>
        <v>Away</v>
      </c>
      <c r="AR373" t="str">
        <f t="shared" si="638"/>
        <v>a</v>
      </c>
      <c r="AS373" t="str">
        <f t="shared" si="639"/>
        <v>Offensive</v>
      </c>
      <c r="AT373" t="str">
        <f t="shared" si="590"/>
        <v/>
      </c>
      <c r="AU373" t="str">
        <f t="shared" si="591"/>
        <v/>
      </c>
      <c r="AV373" t="str" cm="1">
        <f t="array" ref="AV373">IFERROR(IF(O373&lt;&gt;"",O373,IF(OR($S373="",$T373=""),"",IF(O373&lt;&gt;"",O373,IF($T373&lt;&gt;"",_xlfn._xlws.FILTER(O:O,($BT:$BT=$BT373)*($I:$I=$I373)*($T:$T=$T373)*($S:$S=_xlfn.MINIFS($S:$S,$T:$T,"="&amp;$T373)),"")))))&amp;"",IF(O373="","",""))&amp;""</f>
        <v/>
      </c>
      <c r="AW373" t="str" cm="1">
        <f t="array" ref="AW373">IFERROR(IF(P373&lt;&gt;"",P373,IF(OR($S373="",$T373=""),"",IF($T373&lt;&gt;"",_xlfn._xlws.FILTER(P:P,($BT:$BT=$BT373)*($I:$I=$I373)*($T:$T=$T373)*($S:$S=_xlfn.MINIFS($S:$S,$T:$T,"="&amp;$T373)),""))))&amp;"",IF(P373="","",""))&amp;""</f>
        <v/>
      </c>
      <c r="AX373" t="str" cm="1">
        <f t="array" ref="AX373">IFERROR(IF(Q373&lt;&gt;"",Q373,IF(OR($S373="",$T373=""),"",IF($T373&lt;&gt;"",_xlfn._xlws.FILTER(Q:Q,($BT:$BT=$BT373)*($I:$I=$I373)*($T:$T=$T373)*($S:$S=_xlfn.MINIFS($S:$S,$T:$T,"="&amp;$T373)),""))))&amp;"",IF(Q373="","",""))&amp;""</f>
        <v/>
      </c>
      <c r="AY373" t="str" cm="1">
        <f t="array" ref="AY373">IFERROR(IF(R373&lt;&gt;"",R373,IF(OR($S373="",$T373=""),"",IF($T373&lt;&gt;"",_xlfn._xlws.FILTER(R:R,($BT:$BT=$BT373)*($I:$I=$I373)*($T:$T=$T373)*($S:$S=_xlfn.MINIFS($S:$S,$T:$T,"="&amp;$T373)),""))))&amp;"",IF(R373="","",""))&amp;""</f>
        <v/>
      </c>
      <c r="AZ373" s="6">
        <f t="shared" si="592"/>
        <v>33</v>
      </c>
      <c r="BA373">
        <f t="shared" ref="BA373:BC373" si="667">BA372</f>
        <v>18991</v>
      </c>
      <c r="BB373" t="str">
        <f t="shared" si="667"/>
        <v>Triple J</v>
      </c>
      <c r="BC373" t="str">
        <f t="shared" si="667"/>
        <v>Velodrome</v>
      </c>
      <c r="BD373" t="str">
        <f t="shared" si="594"/>
        <v>Faceoff</v>
      </c>
      <c r="BE373" t="str">
        <f t="shared" si="595"/>
        <v>Faceoff_AfterStoppage</v>
      </c>
      <c r="BF373" t="str">
        <f t="shared" si="596"/>
        <v/>
      </c>
      <c r="BG373" t="str">
        <f t="shared" si="578"/>
        <v/>
      </c>
      <c r="BH373" cm="1">
        <f t="array" aca="1" ref="BH373" ca="1">IFERROR(_xlfn._xlws.FILTER(shifts!A:A,(shifts!B:B=events!Z373)*(shifts!AG:AG&gt;=events!BJ373)*(shifts!AH:AH&lt;=events!BK373)),BH372)</f>
        <v>13</v>
      </c>
      <c r="BI373" s="15">
        <f t="shared" si="597"/>
        <v>0</v>
      </c>
      <c r="BJ373">
        <f t="shared" si="598"/>
        <v>740</v>
      </c>
      <c r="BK373">
        <f t="shared" si="599"/>
        <v>740</v>
      </c>
      <c r="BL373" s="15">
        <f>SUMIFS(BI$2:BI373,K$2:K373,"=Intermission")+SUMIFS(BI$2:BI373,K$2:K373,"=Timeout")</f>
        <v>0</v>
      </c>
      <c r="BM373">
        <f t="shared" si="600"/>
        <v>0</v>
      </c>
      <c r="BN373" s="19">
        <f t="shared" si="601"/>
        <v>340</v>
      </c>
      <c r="BO373">
        <f t="shared" si="602"/>
        <v>335</v>
      </c>
      <c r="BP373" s="17">
        <f t="shared" si="603"/>
        <v>340</v>
      </c>
      <c r="BQ373" t="str">
        <f t="shared" si="604"/>
        <v>event_team_player_1</v>
      </c>
      <c r="BR373">
        <f>COUNTIFS(S$3:S373,"="&amp;S373,AH$3:AH373,"="&amp;AH373)</f>
        <v>1</v>
      </c>
      <c r="BS373" t="str">
        <f>IFERROR(VLOOKUP(BA373&amp;BT373&amp;X373,game_rosters!U:W,3,FALSE),"")</f>
        <v>P100159</v>
      </c>
      <c r="BT373" t="str">
        <f t="shared" si="605"/>
        <v>Velodrome</v>
      </c>
    </row>
    <row r="374" spans="1:72" x14ac:dyDescent="0.2">
      <c r="A374" t="str">
        <f t="shared" si="580"/>
        <v/>
      </c>
      <c r="E374" s="4"/>
      <c r="F374" s="45"/>
      <c r="G374" s="4"/>
      <c r="H374" s="47"/>
      <c r="I374" s="26">
        <v>9</v>
      </c>
      <c r="J374" s="26" t="str">
        <f t="shared" si="606"/>
        <v/>
      </c>
      <c r="N374" t="str">
        <f t="shared" si="624"/>
        <v/>
      </c>
      <c r="Q374" t="str">
        <f t="shared" si="618"/>
        <v/>
      </c>
      <c r="S374">
        <f>IF(A374=1,MAX($S$2:$S373)+1,IF(OR($I374&lt;&gt;"",A374="x"),$S373,""))</f>
        <v>189</v>
      </c>
      <c r="T374" t="str">
        <f>IF(D374=1,MAX($T$2:$T373)+1,IF(S374=S373,$T373,IF(D374="x",T373,IF(D373="x","",""))))</f>
        <v/>
      </c>
      <c r="U374" t="str">
        <f>IF(B374=1,MAX($U$2:$U373)+1,IF(AND($T374&lt;&gt;"",$T374=$T373),$U373,IF(B374="x",U373,"")))</f>
        <v/>
      </c>
      <c r="V374" t="str">
        <f>IF(C374=1,MAX($V$2:$V373)+1,IF(AND($T374&lt;&gt;"",$T374=$T373),$U373,IF(C374="x",V373,"")))</f>
        <v/>
      </c>
      <c r="W374" t="str" cm="1">
        <f t="array" ref="W374">IFERROR(_xlfn._xlws.FILTER(game_rosters!AC:AC,(game_rosters!J:J=events!X374)*(K374&lt;&gt;"")),"")</f>
        <v/>
      </c>
      <c r="X374" cm="1">
        <f t="array" ref="X374">IF($I374&lt;&gt;"",$I374,INDEX($I$1:$I374,ROW()-COUNTIFS($T$1:$T374,"="&amp;$T374,$S$1:$S374,"&lt;"&amp;$S374)))</f>
        <v>9</v>
      </c>
      <c r="Y374" cm="1">
        <f t="array" ref="Y374">IFERROR(IF(_xlfn._xlws.FILTER(game_rosters!$J:$J,(game_rosters!$G:$G=events!$AM374)*(game_rosters!$J:$J=events!$X374))&gt;0,1,""),"")</f>
        <v>1</v>
      </c>
      <c r="Z374" s="6">
        <f t="shared" si="581"/>
        <v>1</v>
      </c>
      <c r="AA374">
        <f t="shared" si="582"/>
        <v>1189</v>
      </c>
      <c r="AB374" t="str">
        <f t="shared" si="583"/>
        <v/>
      </c>
      <c r="AC374">
        <f t="shared" si="584"/>
        <v>1189</v>
      </c>
      <c r="AD374" t="str">
        <f t="shared" si="585"/>
        <v>12</v>
      </c>
      <c r="AE374" t="str">
        <f t="shared" si="586"/>
        <v>20</v>
      </c>
      <c r="AF374" t="str">
        <f t="shared" si="587"/>
        <v/>
      </c>
      <c r="AG374" t="str">
        <f t="shared" si="588"/>
        <v/>
      </c>
      <c r="AH374" t="str">
        <f t="shared" si="631"/>
        <v>e</v>
      </c>
      <c r="AI374" t="str">
        <f t="shared" si="656"/>
        <v>d</v>
      </c>
      <c r="AJ374" t="str">
        <f t="shared" si="656"/>
        <v>d</v>
      </c>
      <c r="AK374" t="str">
        <f t="shared" si="633"/>
        <v/>
      </c>
      <c r="AL374" t="str">
        <f t="shared" si="634"/>
        <v/>
      </c>
      <c r="AM374" t="str">
        <f t="shared" si="589"/>
        <v>Away</v>
      </c>
      <c r="AN374" t="str">
        <f t="shared" si="635"/>
        <v>a</v>
      </c>
      <c r="AO374" t="str">
        <f t="shared" si="636"/>
        <v>o</v>
      </c>
      <c r="AP374" t="str">
        <f t="shared" si="637"/>
        <v>d</v>
      </c>
      <c r="AQ374" t="str">
        <f>IF(AM374&lt;&gt;"",AM374,IF($AC374=#REF!,#REF!,""))</f>
        <v>Away</v>
      </c>
      <c r="AR374" t="str">
        <f t="shared" si="638"/>
        <v>a</v>
      </c>
      <c r="AS374" t="str">
        <f t="shared" si="639"/>
        <v>Offensive</v>
      </c>
      <c r="AT374" t="str">
        <f t="shared" si="590"/>
        <v/>
      </c>
      <c r="AU374" t="str">
        <f t="shared" si="591"/>
        <v/>
      </c>
      <c r="AV374" t="str" cm="1">
        <f t="array" ref="AV374">IFERROR(IF(O374&lt;&gt;"",O374,IF(OR($S374="",$T374=""),"",IF(O374&lt;&gt;"",O374,IF($T374&lt;&gt;"",_xlfn._xlws.FILTER(O:O,($BT:$BT=$BT374)*($I:$I=$I374)*($T:$T=$T374)*($S:$S=_xlfn.MINIFS($S:$S,$T:$T,"="&amp;$T374)),"")))))&amp;"",IF(O374="","",""))&amp;""</f>
        <v/>
      </c>
      <c r="AW374" t="str" cm="1">
        <f t="array" ref="AW374">IFERROR(IF(P374&lt;&gt;"",P374,IF(OR($S374="",$T374=""),"",IF($T374&lt;&gt;"",_xlfn._xlws.FILTER(P:P,($BT:$BT=$BT374)*($I:$I=$I374)*($T:$T=$T374)*($S:$S=_xlfn.MINIFS($S:$S,$T:$T,"="&amp;$T374)),""))))&amp;"",IF(P374="","",""))&amp;""</f>
        <v/>
      </c>
      <c r="AX374" t="str" cm="1">
        <f t="array" ref="AX374">IFERROR(IF(Q374&lt;&gt;"",Q374,IF(OR($S374="",$T374=""),"",IF($T374&lt;&gt;"",_xlfn._xlws.FILTER(Q:Q,($BT:$BT=$BT374)*($I:$I=$I374)*($T:$T=$T374)*($S:$S=_xlfn.MINIFS($S:$S,$T:$T,"="&amp;$T374)),""))))&amp;"",IF(Q374="","",""))&amp;""</f>
        <v/>
      </c>
      <c r="AY374" t="str" cm="1">
        <f t="array" ref="AY374">IFERROR(IF(R374&lt;&gt;"",R374,IF(OR($S374="",$T374=""),"",IF($T374&lt;&gt;"",_xlfn._xlws.FILTER(R:R,($BT:$BT=$BT374)*($I:$I=$I374)*($T:$T=$T374)*($S:$S=_xlfn.MINIFS($S:$S,$T:$T,"="&amp;$T374)),""))))&amp;"",IF(R374="","",""))&amp;""</f>
        <v/>
      </c>
      <c r="AZ374" s="6">
        <f t="shared" si="592"/>
        <v>33</v>
      </c>
      <c r="BA374">
        <f t="shared" ref="BA374:BC374" si="668">BA373</f>
        <v>18991</v>
      </c>
      <c r="BB374" t="str">
        <f t="shared" si="668"/>
        <v>Triple J</v>
      </c>
      <c r="BC374" t="str">
        <f t="shared" si="668"/>
        <v>Velodrome</v>
      </c>
      <c r="BD374" t="str">
        <f t="shared" si="594"/>
        <v>Faceoff</v>
      </c>
      <c r="BE374" t="str">
        <f t="shared" si="595"/>
        <v>Faceoff_AfterStoppage</v>
      </c>
      <c r="BF374" t="str">
        <f t="shared" si="596"/>
        <v/>
      </c>
      <c r="BG374" t="str">
        <f t="shared" si="578"/>
        <v/>
      </c>
      <c r="BH374" cm="1">
        <f t="array" aca="1" ref="BH374" ca="1">IFERROR(_xlfn._xlws.FILTER(shifts!A:A,(shifts!B:B=events!Z374)*(shifts!AG:AG&gt;=events!BJ374)*(shifts!AH:AH&lt;=events!BK374)),BH373)</f>
        <v>13</v>
      </c>
      <c r="BI374" s="15">
        <f t="shared" si="597"/>
        <v>0</v>
      </c>
      <c r="BJ374">
        <f t="shared" si="598"/>
        <v>740</v>
      </c>
      <c r="BK374">
        <f t="shared" si="599"/>
        <v>740</v>
      </c>
      <c r="BL374" s="15">
        <f>SUMIFS(BI$2:BI374,K$2:K374,"=Intermission")+SUMIFS(BI$2:BI374,K$2:K374,"=Timeout")</f>
        <v>0</v>
      </c>
      <c r="BM374">
        <f t="shared" si="600"/>
        <v>0</v>
      </c>
      <c r="BN374" s="19">
        <f t="shared" si="601"/>
        <v>340</v>
      </c>
      <c r="BO374">
        <f t="shared" si="602"/>
        <v>335</v>
      </c>
      <c r="BP374" s="17">
        <f t="shared" si="603"/>
        <v>340</v>
      </c>
      <c r="BQ374" t="str">
        <f t="shared" si="604"/>
        <v>event_team_player_2</v>
      </c>
      <c r="BR374">
        <f>COUNTIFS(S$3:S374,"="&amp;S374,AH$3:AH374,"="&amp;AH374)</f>
        <v>2</v>
      </c>
      <c r="BS374" t="str">
        <f>IFERROR(VLOOKUP(BA374&amp;BT374&amp;X374,game_rosters!U:W,3,FALSE),"")</f>
        <v>P100105</v>
      </c>
      <c r="BT374" t="str">
        <f t="shared" si="605"/>
        <v>Velodrome</v>
      </c>
    </row>
    <row r="375" spans="1:72" x14ac:dyDescent="0.2">
      <c r="A375" t="str">
        <f t="shared" si="580"/>
        <v/>
      </c>
      <c r="E375" s="4"/>
      <c r="F375" s="45"/>
      <c r="G375" s="4"/>
      <c r="H375" s="47"/>
      <c r="I375" s="26">
        <v>73</v>
      </c>
      <c r="J375" s="26" t="str">
        <f t="shared" si="606"/>
        <v/>
      </c>
      <c r="N375" t="str">
        <f t="shared" si="624"/>
        <v/>
      </c>
      <c r="Q375" t="str">
        <f t="shared" si="618"/>
        <v/>
      </c>
      <c r="S375">
        <f>IF(A375=1,MAX($S$2:$S374)+1,IF(OR($I375&lt;&gt;"",A375="x"),$S374,""))</f>
        <v>189</v>
      </c>
      <c r="T375" t="str">
        <f>IF(D375=1,MAX($T$2:$T374)+1,IF(S375=S374,$T374,IF(D375="x",T374,IF(D374="x","",""))))</f>
        <v/>
      </c>
      <c r="U375" t="str">
        <f>IF(B375=1,MAX($U$2:$U374)+1,IF(AND($T375&lt;&gt;"",$T375=$T374),$U374,IF(B375="x",U374,"")))</f>
        <v/>
      </c>
      <c r="V375" t="str">
        <f>IF(C375=1,MAX($V$2:$V374)+1,IF(AND($T375&lt;&gt;"",$T375=$T374),$U374,IF(C375="x",V374,"")))</f>
        <v/>
      </c>
      <c r="W375" t="str" cm="1">
        <f t="array" ref="W375">IFERROR(_xlfn._xlws.FILTER(game_rosters!AC:AC,(game_rosters!J:J=events!X375)*(K375&lt;&gt;"")),"")</f>
        <v/>
      </c>
      <c r="X375" cm="1">
        <f t="array" ref="X375">IF($I375&lt;&gt;"",$I375,INDEX($I$1:$I375,ROW()-COUNTIFS($T$1:$T375,"="&amp;$T375,$S$1:$S375,"&lt;"&amp;$S375)))</f>
        <v>73</v>
      </c>
      <c r="Y375" t="str" cm="1">
        <f t="array" ref="Y375">IFERROR(IF(_xlfn._xlws.FILTER(game_rosters!$J:$J,(game_rosters!$G:$G=events!$AM375)*(game_rosters!$J:$J=events!$X375))&gt;0,1,""),"")</f>
        <v/>
      </c>
      <c r="Z375" s="6">
        <f t="shared" si="581"/>
        <v>1</v>
      </c>
      <c r="AA375">
        <f t="shared" si="582"/>
        <v>1189</v>
      </c>
      <c r="AB375" t="str">
        <f t="shared" si="583"/>
        <v/>
      </c>
      <c r="AC375">
        <f t="shared" si="584"/>
        <v>1189</v>
      </c>
      <c r="AD375" t="str">
        <f t="shared" si="585"/>
        <v>12</v>
      </c>
      <c r="AE375" t="str">
        <f t="shared" si="586"/>
        <v>20</v>
      </c>
      <c r="AF375" t="str">
        <f t="shared" si="587"/>
        <v/>
      </c>
      <c r="AG375" t="str">
        <f t="shared" si="588"/>
        <v/>
      </c>
      <c r="AH375" t="str">
        <f t="shared" si="631"/>
        <v>o</v>
      </c>
      <c r="AI375" t="str">
        <f t="shared" si="656"/>
        <v>d</v>
      </c>
      <c r="AJ375" t="str">
        <f t="shared" si="656"/>
        <v>d</v>
      </c>
      <c r="AK375" t="str">
        <f t="shared" si="633"/>
        <v/>
      </c>
      <c r="AL375" t="str">
        <f t="shared" si="634"/>
        <v/>
      </c>
      <c r="AM375" t="str">
        <f t="shared" si="589"/>
        <v>Away</v>
      </c>
      <c r="AN375" t="str">
        <f t="shared" si="635"/>
        <v>a</v>
      </c>
      <c r="AO375" t="str">
        <f t="shared" si="636"/>
        <v>o</v>
      </c>
      <c r="AP375" t="str">
        <f t="shared" si="637"/>
        <v>d</v>
      </c>
      <c r="AQ375" t="str">
        <f>IF(AM375&lt;&gt;"",AM375,IF($AC375=#REF!,#REF!,""))</f>
        <v>Away</v>
      </c>
      <c r="AR375" t="str">
        <f t="shared" si="638"/>
        <v>a</v>
      </c>
      <c r="AS375" t="str">
        <f t="shared" si="639"/>
        <v>Defensive</v>
      </c>
      <c r="AT375" t="str">
        <f t="shared" si="590"/>
        <v/>
      </c>
      <c r="AU375" t="str">
        <f t="shared" si="591"/>
        <v/>
      </c>
      <c r="AV375" t="str" cm="1">
        <f t="array" ref="AV375">IFERROR(IF(O375&lt;&gt;"",O375,IF(OR($S375="",$T375=""),"",IF(O375&lt;&gt;"",O375,IF($T375&lt;&gt;"",_xlfn._xlws.FILTER(O:O,($BT:$BT=$BT375)*($I:$I=$I375)*($T:$T=$T375)*($S:$S=_xlfn.MINIFS($S:$S,$T:$T,"="&amp;$T375)),"")))))&amp;"",IF(O375="","",""))&amp;""</f>
        <v/>
      </c>
      <c r="AW375" t="str" cm="1">
        <f t="array" ref="AW375">IFERROR(IF(P375&lt;&gt;"",P375,IF(OR($S375="",$T375=""),"",IF($T375&lt;&gt;"",_xlfn._xlws.FILTER(P:P,($BT:$BT=$BT375)*($I:$I=$I375)*($T:$T=$T375)*($S:$S=_xlfn.MINIFS($S:$S,$T:$T,"="&amp;$T375)),""))))&amp;"",IF(P375="","",""))&amp;""</f>
        <v/>
      </c>
      <c r="AX375" t="str" cm="1">
        <f t="array" ref="AX375">IFERROR(IF(Q375&lt;&gt;"",Q375,IF(OR($S375="",$T375=""),"",IF($T375&lt;&gt;"",_xlfn._xlws.FILTER(Q:Q,($BT:$BT=$BT375)*($I:$I=$I375)*($T:$T=$T375)*($S:$S=_xlfn.MINIFS($S:$S,$T:$T,"="&amp;$T375)),""))))&amp;"",IF(Q375="","",""))&amp;""</f>
        <v/>
      </c>
      <c r="AY375" t="str" cm="1">
        <f t="array" ref="AY375">IFERROR(IF(R375&lt;&gt;"",R375,IF(OR($S375="",$T375=""),"",IF($T375&lt;&gt;"",_xlfn._xlws.FILTER(R:R,($BT:$BT=$BT375)*($I:$I=$I375)*($T:$T=$T375)*($S:$S=_xlfn.MINIFS($S:$S,$T:$T,"="&amp;$T375)),""))))&amp;"",IF(R375="","",""))&amp;""</f>
        <v/>
      </c>
      <c r="AZ375" s="6">
        <f t="shared" si="592"/>
        <v>33</v>
      </c>
      <c r="BA375">
        <f t="shared" ref="BA375:BC375" si="669">BA374</f>
        <v>18991</v>
      </c>
      <c r="BB375" t="str">
        <f t="shared" si="669"/>
        <v>Triple J</v>
      </c>
      <c r="BC375" t="str">
        <f t="shared" si="669"/>
        <v>Velodrome</v>
      </c>
      <c r="BD375" t="str">
        <f t="shared" si="594"/>
        <v>Faceoff</v>
      </c>
      <c r="BE375" t="str">
        <f t="shared" si="595"/>
        <v>Faceoff_AfterStoppage</v>
      </c>
      <c r="BF375" t="str">
        <f t="shared" si="596"/>
        <v/>
      </c>
      <c r="BG375" t="str">
        <f t="shared" si="578"/>
        <v/>
      </c>
      <c r="BH375" cm="1">
        <f t="array" aca="1" ref="BH375" ca="1">IFERROR(_xlfn._xlws.FILTER(shifts!A:A,(shifts!B:B=events!Z375)*(shifts!AG:AG&gt;=events!BJ375)*(shifts!AH:AH&lt;=events!BK375)),BH374)</f>
        <v>13</v>
      </c>
      <c r="BI375" s="15">
        <f t="shared" si="597"/>
        <v>0</v>
      </c>
      <c r="BJ375">
        <f t="shared" si="598"/>
        <v>740</v>
      </c>
      <c r="BK375">
        <f t="shared" si="599"/>
        <v>740</v>
      </c>
      <c r="BL375" s="15">
        <f>SUMIFS(BI$2:BI375,K$2:K375,"=Intermission")+SUMIFS(BI$2:BI375,K$2:K375,"=Timeout")</f>
        <v>0</v>
      </c>
      <c r="BM375">
        <f t="shared" si="600"/>
        <v>0</v>
      </c>
      <c r="BN375" s="19">
        <f t="shared" si="601"/>
        <v>340</v>
      </c>
      <c r="BO375">
        <f t="shared" si="602"/>
        <v>335</v>
      </c>
      <c r="BP375" s="17">
        <f t="shared" si="603"/>
        <v>340</v>
      </c>
      <c r="BQ375" t="str">
        <f t="shared" si="604"/>
        <v>opp_team_player_1</v>
      </c>
      <c r="BR375">
        <f>COUNTIFS(S$3:S375,"="&amp;S375,AH$3:AH375,"="&amp;AH375)</f>
        <v>1</v>
      </c>
      <c r="BS375" t="str">
        <f>IFERROR(VLOOKUP(BA375&amp;BT375&amp;X375,game_rosters!U:W,3,FALSE),"")</f>
        <v>P100021</v>
      </c>
      <c r="BT375" t="str">
        <f t="shared" si="605"/>
        <v>Triple J</v>
      </c>
    </row>
    <row r="376" spans="1:72" x14ac:dyDescent="0.2">
      <c r="A376" t="str">
        <f t="shared" si="580"/>
        <v/>
      </c>
      <c r="E376" s="4"/>
      <c r="F376" s="45"/>
      <c r="G376" s="4"/>
      <c r="H376" s="47"/>
      <c r="I376" s="26">
        <v>9</v>
      </c>
      <c r="J376" s="26" t="str">
        <f t="shared" si="606"/>
        <v/>
      </c>
      <c r="N376" t="str">
        <f t="shared" si="624"/>
        <v/>
      </c>
      <c r="Q376" t="str">
        <f t="shared" si="618"/>
        <v/>
      </c>
      <c r="S376">
        <f>IF(A376=1,MAX($S$2:$S375)+1,IF(OR($I376&lt;&gt;"",A376="x"),$S375,""))</f>
        <v>189</v>
      </c>
      <c r="T376" t="str">
        <f>IF(D376=1,MAX($T$2:$T375)+1,IF(S376=S375,$T375,IF(D376="x",T375,IF(D375="x","",""))))</f>
        <v/>
      </c>
      <c r="U376" t="str">
        <f>IF(B376=1,MAX($U$2:$U375)+1,IF(AND($T376&lt;&gt;"",$T376=$T375),$U375,IF(B376="x",U375,"")))</f>
        <v/>
      </c>
      <c r="V376" t="str">
        <f>IF(C376=1,MAX($V$2:$V375)+1,IF(AND($T376&lt;&gt;"",$T376=$T375),$U375,IF(C376="x",V375,"")))</f>
        <v/>
      </c>
      <c r="W376" t="str" cm="1">
        <f t="array" ref="W376">IFERROR(_xlfn._xlws.FILTER(game_rosters!AC:AC,(game_rosters!J:J=events!X376)*(K376&lt;&gt;"")),"")</f>
        <v/>
      </c>
      <c r="X376" cm="1">
        <f t="array" ref="X376">IF($I376&lt;&gt;"",$I376,INDEX($I$1:$I376,ROW()-COUNTIFS($T$1:$T376,"="&amp;$T376,$S$1:$S376,"&lt;"&amp;$S376)))</f>
        <v>9</v>
      </c>
      <c r="Y376" cm="1">
        <f t="array" ref="Y376">IFERROR(IF(_xlfn._xlws.FILTER(game_rosters!$J:$J,(game_rosters!$G:$G=events!$AM376)*(game_rosters!$J:$J=events!$X376))&gt;0,1,""),"")</f>
        <v>1</v>
      </c>
      <c r="Z376" s="6">
        <f t="shared" si="581"/>
        <v>1</v>
      </c>
      <c r="AA376">
        <f t="shared" si="582"/>
        <v>1189</v>
      </c>
      <c r="AB376" t="str">
        <f t="shared" si="583"/>
        <v/>
      </c>
      <c r="AC376">
        <f t="shared" si="584"/>
        <v>1189</v>
      </c>
      <c r="AD376" t="str">
        <f t="shared" si="585"/>
        <v>12</v>
      </c>
      <c r="AE376" t="str">
        <f t="shared" si="586"/>
        <v>20</v>
      </c>
      <c r="AF376" t="str">
        <f t="shared" si="587"/>
        <v/>
      </c>
      <c r="AG376" t="str">
        <f t="shared" si="588"/>
        <v/>
      </c>
      <c r="AH376" t="str">
        <f t="shared" si="631"/>
        <v>e</v>
      </c>
      <c r="AI376" t="str">
        <f t="shared" si="656"/>
        <v>d</v>
      </c>
      <c r="AJ376" t="str">
        <f t="shared" si="656"/>
        <v>d</v>
      </c>
      <c r="AK376" t="str">
        <f t="shared" si="633"/>
        <v/>
      </c>
      <c r="AL376" t="str">
        <f t="shared" si="634"/>
        <v/>
      </c>
      <c r="AM376" t="str">
        <f t="shared" si="589"/>
        <v>Away</v>
      </c>
      <c r="AN376" t="str">
        <f t="shared" si="635"/>
        <v>a</v>
      </c>
      <c r="AO376" t="str">
        <f t="shared" si="636"/>
        <v>o</v>
      </c>
      <c r="AP376" t="str">
        <f t="shared" si="637"/>
        <v>d</v>
      </c>
      <c r="AQ376" t="str">
        <f>IF(AM376&lt;&gt;"",AM376,IF($AC376=#REF!,#REF!,""))</f>
        <v>Away</v>
      </c>
      <c r="AR376" t="str">
        <f t="shared" si="638"/>
        <v>a</v>
      </c>
      <c r="AS376" t="str">
        <f t="shared" si="639"/>
        <v>Offensive</v>
      </c>
      <c r="AT376" t="str">
        <f t="shared" si="590"/>
        <v/>
      </c>
      <c r="AU376" t="str">
        <f t="shared" si="591"/>
        <v/>
      </c>
      <c r="AV376" t="str" cm="1">
        <f t="array" ref="AV376">IFERROR(IF(O376&lt;&gt;"",O376,IF(OR($S376="",$T376=""),"",IF(O376&lt;&gt;"",O376,IF($T376&lt;&gt;"",_xlfn._xlws.FILTER(O:O,($BT:$BT=$BT376)*($I:$I=$I376)*($T:$T=$T376)*($S:$S=_xlfn.MINIFS($S:$S,$T:$T,"="&amp;$T376)),"")))))&amp;"",IF(O376="","",""))&amp;""</f>
        <v/>
      </c>
      <c r="AW376" t="str" cm="1">
        <f t="array" ref="AW376">IFERROR(IF(P376&lt;&gt;"",P376,IF(OR($S376="",$T376=""),"",IF($T376&lt;&gt;"",_xlfn._xlws.FILTER(P:P,($BT:$BT=$BT376)*($I:$I=$I376)*($T:$T=$T376)*($S:$S=_xlfn.MINIFS($S:$S,$T:$T,"="&amp;$T376)),""))))&amp;"",IF(P376="","",""))&amp;""</f>
        <v/>
      </c>
      <c r="AX376" t="str" cm="1">
        <f t="array" ref="AX376">IFERROR(IF(Q376&lt;&gt;"",Q376,IF(OR($S376="",$T376=""),"",IF($T376&lt;&gt;"",_xlfn._xlws.FILTER(Q:Q,($BT:$BT=$BT376)*($I:$I=$I376)*($T:$T=$T376)*($S:$S=_xlfn.MINIFS($S:$S,$T:$T,"="&amp;$T376)),""))))&amp;"",IF(Q376="","",""))&amp;""</f>
        <v/>
      </c>
      <c r="AY376" t="str" cm="1">
        <f t="array" ref="AY376">IFERROR(IF(R376&lt;&gt;"",R376,IF(OR($S376="",$T376=""),"",IF($T376&lt;&gt;"",_xlfn._xlws.FILTER(R:R,($BT:$BT=$BT376)*($I:$I=$I376)*($T:$T=$T376)*($S:$S=_xlfn.MINIFS($S:$S,$T:$T,"="&amp;$T376)),""))))&amp;"",IF(R376="","",""))&amp;""</f>
        <v/>
      </c>
      <c r="AZ376" s="6">
        <f t="shared" si="592"/>
        <v>33</v>
      </c>
      <c r="BA376">
        <f t="shared" ref="BA376:BC376" si="670">BA375</f>
        <v>18991</v>
      </c>
      <c r="BB376" t="str">
        <f t="shared" si="670"/>
        <v>Triple J</v>
      </c>
      <c r="BC376" t="str">
        <f t="shared" si="670"/>
        <v>Velodrome</v>
      </c>
      <c r="BD376" t="str">
        <f t="shared" si="594"/>
        <v>Faceoff</v>
      </c>
      <c r="BE376" t="str">
        <f t="shared" si="595"/>
        <v>Faceoff_AfterStoppage</v>
      </c>
      <c r="BF376" t="str">
        <f t="shared" si="596"/>
        <v/>
      </c>
      <c r="BG376" t="str">
        <f t="shared" si="578"/>
        <v/>
      </c>
      <c r="BH376" cm="1">
        <f t="array" aca="1" ref="BH376" ca="1">IFERROR(_xlfn._xlws.FILTER(shifts!A:A,(shifts!B:B=events!Z376)*(shifts!AG:AG&gt;=events!BJ376)*(shifts!AH:AH&lt;=events!BK376)),BH375)</f>
        <v>13</v>
      </c>
      <c r="BI376" s="15">
        <f t="shared" si="597"/>
        <v>0</v>
      </c>
      <c r="BJ376">
        <f t="shared" si="598"/>
        <v>740</v>
      </c>
      <c r="BK376">
        <f t="shared" si="599"/>
        <v>740</v>
      </c>
      <c r="BL376" s="15">
        <f>SUMIFS(BI$2:BI376,K$2:K376,"=Intermission")+SUMIFS(BI$2:BI376,K$2:K376,"=Timeout")</f>
        <v>0</v>
      </c>
      <c r="BM376">
        <f t="shared" si="600"/>
        <v>0</v>
      </c>
      <c r="BN376" s="19">
        <f t="shared" si="601"/>
        <v>340</v>
      </c>
      <c r="BO376">
        <f t="shared" si="602"/>
        <v>335</v>
      </c>
      <c r="BP376" s="17">
        <f t="shared" si="603"/>
        <v>340</v>
      </c>
      <c r="BQ376" t="str">
        <f t="shared" si="604"/>
        <v>event_team_player_3</v>
      </c>
      <c r="BR376">
        <f>COUNTIFS(S$3:S376,"="&amp;S376,AH$3:AH376,"="&amp;AH376)</f>
        <v>3</v>
      </c>
      <c r="BS376" t="str">
        <f>IFERROR(VLOOKUP(BA376&amp;BT376&amp;X376,game_rosters!U:W,3,FALSE),"")</f>
        <v>P100105</v>
      </c>
      <c r="BT376" t="str">
        <f t="shared" si="605"/>
        <v>Velodrome</v>
      </c>
    </row>
    <row r="377" spans="1:72" x14ac:dyDescent="0.2">
      <c r="A377">
        <f t="shared" si="580"/>
        <v>1</v>
      </c>
      <c r="E377" s="4"/>
      <c r="F377" s="45"/>
      <c r="G377" s="4"/>
      <c r="H377" s="47"/>
      <c r="I377" s="26">
        <v>9</v>
      </c>
      <c r="J377" s="26" t="s">
        <v>736</v>
      </c>
      <c r="K377" t="s">
        <v>7</v>
      </c>
      <c r="L377" t="s">
        <v>172</v>
      </c>
      <c r="M377" t="s">
        <v>66</v>
      </c>
      <c r="N377" t="str">
        <f t="shared" si="624"/>
        <v>s</v>
      </c>
      <c r="O377" t="s">
        <v>576</v>
      </c>
      <c r="Q377" t="str">
        <f t="shared" si="618"/>
        <v>s</v>
      </c>
      <c r="S377">
        <f>IF(A377=1,MAX($S$2:$S376)+1,IF(OR($I377&lt;&gt;"",A377="x"),$S376,""))</f>
        <v>190</v>
      </c>
      <c r="T377" t="str">
        <f>IF(D377=1,MAX($T$2:$T376)+1,IF(S377=S376,$T376,IF(D377="x",T376,IF(D376="x","",""))))</f>
        <v/>
      </c>
      <c r="U377" t="str">
        <f>IF(B377=1,MAX($U$2:$U376)+1,IF(AND($T377&lt;&gt;"",$T377=$T376),$U376,IF(B377="x",U376,"")))</f>
        <v/>
      </c>
      <c r="V377" t="str">
        <f>IF(C377=1,MAX($V$2:$V376)+1,IF(AND($T377&lt;&gt;"",$T377=$T376),$U376,IF(C377="x",V376,"")))</f>
        <v/>
      </c>
      <c r="W377" t="str" cm="1">
        <f t="array" ref="W377">IFERROR(_xlfn._xlws.FILTER(game_rosters!AC:AC,(game_rosters!J:J=events!X377)*(K377&lt;&gt;"")),"")</f>
        <v>a</v>
      </c>
      <c r="X377" cm="1">
        <f t="array" ref="X377">IF($I377&lt;&gt;"",$I377,INDEX($I$1:$I377,ROW()-COUNTIFS($T$1:$T377,"="&amp;$T377,$S$1:$S377,"&lt;"&amp;$S377)))</f>
        <v>9</v>
      </c>
      <c r="Y377" cm="1">
        <f t="array" ref="Y377">IFERROR(IF(_xlfn._xlws.FILTER(game_rosters!$J:$J,(game_rosters!$G:$G=events!$AM377)*(game_rosters!$J:$J=events!$X377))&gt;0,1,""),"")</f>
        <v>1</v>
      </c>
      <c r="Z377" s="6">
        <f t="shared" si="581"/>
        <v>1</v>
      </c>
      <c r="AA377">
        <f t="shared" si="582"/>
        <v>1190</v>
      </c>
      <c r="AB377" t="str">
        <f t="shared" si="583"/>
        <v/>
      </c>
      <c r="AC377">
        <f t="shared" si="584"/>
        <v>1190</v>
      </c>
      <c r="AD377" t="str">
        <f t="shared" si="585"/>
        <v>12</v>
      </c>
      <c r="AE377" t="str">
        <f t="shared" si="586"/>
        <v>20</v>
      </c>
      <c r="AF377" t="str">
        <f t="shared" si="587"/>
        <v/>
      </c>
      <c r="AG377" t="str">
        <f t="shared" si="588"/>
        <v/>
      </c>
      <c r="AH377" t="str">
        <f t="shared" si="631"/>
        <v>e</v>
      </c>
      <c r="AI377" t="str">
        <f t="shared" si="656"/>
        <v>d</v>
      </c>
      <c r="AJ377" t="str">
        <f t="shared" si="656"/>
        <v>d</v>
      </c>
      <c r="AK377" t="str">
        <f t="shared" si="633"/>
        <v>o</v>
      </c>
      <c r="AL377" t="str">
        <f t="shared" si="634"/>
        <v>d</v>
      </c>
      <c r="AM377" t="str">
        <f t="shared" si="589"/>
        <v>Away</v>
      </c>
      <c r="AN377" t="str">
        <f t="shared" si="635"/>
        <v>a</v>
      </c>
      <c r="AO377" t="str">
        <f t="shared" si="636"/>
        <v>o</v>
      </c>
      <c r="AP377" t="str">
        <f t="shared" si="637"/>
        <v>d</v>
      </c>
      <c r="AQ377" t="str">
        <f>IF(AM377&lt;&gt;"",AM377,IF($AC377=#REF!,#REF!,""))</f>
        <v>Away</v>
      </c>
      <c r="AR377" t="str">
        <f t="shared" si="638"/>
        <v>a</v>
      </c>
      <c r="AS377" t="str">
        <f t="shared" si="639"/>
        <v>Offensive</v>
      </c>
      <c r="AT377" t="str">
        <f t="shared" si="590"/>
        <v/>
      </c>
      <c r="AU377" t="str">
        <f t="shared" si="591"/>
        <v/>
      </c>
      <c r="AV377" t="str" cm="1">
        <f t="array" ref="AV377">IFERROR(IF(O377&lt;&gt;"",O377,IF(OR($S377="",$T377=""),"",IF(O377&lt;&gt;"",O377,IF($T377&lt;&gt;"",_xlfn._xlws.FILTER(O:O,($BT:$BT=$BT377)*($I:$I=$I377)*($T:$T=$T377)*($S:$S=_xlfn.MINIFS($S:$S,$T:$T,"="&amp;$T377)),"")))))&amp;"",IF(O377="","",""))&amp;""</f>
        <v>SecondTouch</v>
      </c>
      <c r="AW377" t="str" cm="1">
        <f t="array" ref="AW377">IFERROR(IF(P377&lt;&gt;"",P377,IF(OR($S377="",$T377=""),"",IF($T377&lt;&gt;"",_xlfn._xlws.FILTER(P:P,($BT:$BT=$BT377)*($I:$I=$I377)*($T:$T=$T377)*($S:$S=_xlfn.MINIFS($S:$S,$T:$T,"="&amp;$T377)),""))))&amp;"",IF(P377="","",""))&amp;""</f>
        <v/>
      </c>
      <c r="AX377" t="str" cm="1">
        <f t="array" ref="AX377">IFERROR(IF(Q377&lt;&gt;"",Q377,IF(OR($S377="",$T377=""),"",IF($T377&lt;&gt;"",_xlfn._xlws.FILTER(Q:Q,($BT:$BT=$BT377)*($I:$I=$I377)*($T:$T=$T377)*($S:$S=_xlfn.MINIFS($S:$S,$T:$T,"="&amp;$T377)),""))))&amp;"",IF(Q377="","",""))&amp;""</f>
        <v>s</v>
      </c>
      <c r="AY377" t="str" cm="1">
        <f t="array" ref="AY377">IFERROR(IF(R377&lt;&gt;"",R377,IF(OR($S377="",$T377=""),"",IF($T377&lt;&gt;"",_xlfn._xlws.FILTER(R:R,($BT:$BT=$BT377)*($I:$I=$I377)*($T:$T=$T377)*($S:$S=_xlfn.MINIFS($S:$S,$T:$T,"="&amp;$T377)),""))))&amp;"",IF(R377="","",""))&amp;""</f>
        <v/>
      </c>
      <c r="AZ377" s="6">
        <f t="shared" si="592"/>
        <v>33</v>
      </c>
      <c r="BA377">
        <f t="shared" ref="BA377:BC377" si="671">BA376</f>
        <v>18991</v>
      </c>
      <c r="BB377" t="str">
        <f t="shared" si="671"/>
        <v>Triple J</v>
      </c>
      <c r="BC377" t="str">
        <f t="shared" si="671"/>
        <v>Velodrome</v>
      </c>
      <c r="BD377" t="str">
        <f t="shared" si="594"/>
        <v>Pass</v>
      </c>
      <c r="BE377" t="str">
        <f t="shared" si="595"/>
        <v>Pass_Completed</v>
      </c>
      <c r="BF377" t="str">
        <f t="shared" si="596"/>
        <v>Pass-Rim/Wrap</v>
      </c>
      <c r="BG377" t="str">
        <f t="shared" si="578"/>
        <v>s</v>
      </c>
      <c r="BH377" cm="1">
        <f t="array" aca="1" ref="BH377" ca="1">IFERROR(_xlfn._xlws.FILTER(shifts!A:A,(shifts!B:B=events!Z377)*(shifts!AG:AG&gt;=events!BJ377)*(shifts!AH:AH&lt;=events!BK377)),BH376)</f>
        <v>13</v>
      </c>
      <c r="BI377" s="15">
        <f t="shared" si="597"/>
        <v>0</v>
      </c>
      <c r="BJ377">
        <f t="shared" si="598"/>
        <v>740</v>
      </c>
      <c r="BK377">
        <f t="shared" si="599"/>
        <v>740</v>
      </c>
      <c r="BL377" s="15">
        <f>SUMIFS(BI$2:BI377,K$2:K377,"=Intermission")+SUMIFS(BI$2:BI377,K$2:K377,"=Timeout")</f>
        <v>0</v>
      </c>
      <c r="BM377">
        <f t="shared" si="600"/>
        <v>0</v>
      </c>
      <c r="BN377" s="19">
        <f t="shared" si="601"/>
        <v>340</v>
      </c>
      <c r="BO377">
        <f t="shared" si="602"/>
        <v>335</v>
      </c>
      <c r="BP377" s="17">
        <f t="shared" si="603"/>
        <v>340</v>
      </c>
      <c r="BQ377" t="str">
        <f t="shared" si="604"/>
        <v>event_team_player_1</v>
      </c>
      <c r="BR377">
        <f>COUNTIFS(S$3:S377,"="&amp;S377,AH$3:AH377,"="&amp;AH377)</f>
        <v>1</v>
      </c>
      <c r="BS377" t="str">
        <f>IFERROR(VLOOKUP(BA377&amp;BT377&amp;X377,game_rosters!U:W,3,FALSE),"")</f>
        <v>P100105</v>
      </c>
      <c r="BT377" t="str">
        <f t="shared" si="605"/>
        <v>Velodrome</v>
      </c>
    </row>
    <row r="378" spans="1:72" x14ac:dyDescent="0.2">
      <c r="A378" t="str">
        <f t="shared" si="580"/>
        <v/>
      </c>
      <c r="E378" s="4"/>
      <c r="F378" s="45"/>
      <c r="G378" s="4"/>
      <c r="H378" s="47"/>
      <c r="I378" s="26">
        <v>14</v>
      </c>
      <c r="J378" s="26" t="str">
        <f t="shared" si="606"/>
        <v/>
      </c>
      <c r="N378" t="str">
        <f t="shared" si="624"/>
        <v/>
      </c>
      <c r="Q378" t="str">
        <f t="shared" si="618"/>
        <v/>
      </c>
      <c r="R378" s="26">
        <v>1</v>
      </c>
      <c r="S378">
        <f>IF(A378=1,MAX($S$2:$S377)+1,IF(OR($I378&lt;&gt;"",A378="x"),$S377,""))</f>
        <v>190</v>
      </c>
      <c r="T378" t="str">
        <f>IF(D378=1,MAX($T$2:$T377)+1,IF(S378=S377,$T377,IF(D378="x",T377,IF(D377="x","",""))))</f>
        <v/>
      </c>
      <c r="U378" t="str">
        <f>IF(B378=1,MAX($U$2:$U377)+1,IF(AND($T378&lt;&gt;"",$T378=$T377),$U377,IF(B378="x",U377,"")))</f>
        <v/>
      </c>
      <c r="V378" t="str">
        <f>IF(C378=1,MAX($V$2:$V377)+1,IF(AND($T378&lt;&gt;"",$T378=$T377),$U377,IF(C378="x",V377,"")))</f>
        <v/>
      </c>
      <c r="W378" t="str" cm="1">
        <f t="array" ref="W378">IFERROR(_xlfn._xlws.FILTER(game_rosters!AC:AC,(game_rosters!J:J=events!X378)*(K378&lt;&gt;"")),"")</f>
        <v/>
      </c>
      <c r="X378" cm="1">
        <f t="array" ref="X378">IF($I378&lt;&gt;"",$I378,INDEX($I$1:$I378,ROW()-COUNTIFS($T$1:$T378,"="&amp;$T378,$S$1:$S378,"&lt;"&amp;$S378)))</f>
        <v>14</v>
      </c>
      <c r="Y378" cm="1">
        <f t="array" ref="Y378">IFERROR(IF(_xlfn._xlws.FILTER(game_rosters!$J:$J,(game_rosters!$G:$G=events!$AM378)*(game_rosters!$J:$J=events!$X378))&gt;0,1,""),"")</f>
        <v>1</v>
      </c>
      <c r="Z378" s="6">
        <f t="shared" si="581"/>
        <v>1</v>
      </c>
      <c r="AA378">
        <f t="shared" si="582"/>
        <v>1190</v>
      </c>
      <c r="AB378" t="str">
        <f t="shared" si="583"/>
        <v/>
      </c>
      <c r="AC378">
        <f t="shared" si="584"/>
        <v>1190</v>
      </c>
      <c r="AD378" t="str">
        <f t="shared" si="585"/>
        <v>12</v>
      </c>
      <c r="AE378" t="str">
        <f t="shared" si="586"/>
        <v>20</v>
      </c>
      <c r="AF378" t="str">
        <f t="shared" si="587"/>
        <v/>
      </c>
      <c r="AG378" t="str">
        <f t="shared" si="588"/>
        <v/>
      </c>
      <c r="AH378" t="str">
        <f t="shared" si="631"/>
        <v>e</v>
      </c>
      <c r="AI378" t="str">
        <f t="shared" si="656"/>
        <v>d</v>
      </c>
      <c r="AJ378" t="str">
        <f t="shared" si="656"/>
        <v>d</v>
      </c>
      <c r="AK378" t="str">
        <f t="shared" si="633"/>
        <v/>
      </c>
      <c r="AL378" t="str">
        <f t="shared" si="634"/>
        <v/>
      </c>
      <c r="AM378" t="str">
        <f t="shared" si="589"/>
        <v>Away</v>
      </c>
      <c r="AN378" t="str">
        <f t="shared" si="635"/>
        <v>a</v>
      </c>
      <c r="AO378" t="str">
        <f t="shared" si="636"/>
        <v>o</v>
      </c>
      <c r="AP378" t="str">
        <f t="shared" si="637"/>
        <v>d</v>
      </c>
      <c r="AQ378" t="str">
        <f>IF(AM378&lt;&gt;"",AM378,IF($AC378=#REF!,#REF!,""))</f>
        <v>Away</v>
      </c>
      <c r="AR378" t="str">
        <f t="shared" si="638"/>
        <v>a</v>
      </c>
      <c r="AS378" t="str">
        <f t="shared" si="639"/>
        <v>Offensive</v>
      </c>
      <c r="AT378" t="str">
        <f t="shared" si="590"/>
        <v/>
      </c>
      <c r="AU378" t="str">
        <f t="shared" si="591"/>
        <v/>
      </c>
      <c r="AV378" t="str" cm="1">
        <f t="array" ref="AV378">IFERROR(IF(O378&lt;&gt;"",O378,IF(OR($S378="",$T378=""),"",IF(O378&lt;&gt;"",O378,IF($T378&lt;&gt;"",_xlfn._xlws.FILTER(O:O,($BT:$BT=$BT378)*($I:$I=$I378)*($T:$T=$T378)*($S:$S=_xlfn.MINIFS($S:$S,$T:$T,"="&amp;$T378)),"")))))&amp;"",IF(O378="","",""))&amp;""</f>
        <v/>
      </c>
      <c r="AW378" t="str" cm="1">
        <f t="array" ref="AW378">IFERROR(IF(P378&lt;&gt;"",P378,IF(OR($S378="",$T378=""),"",IF($T378&lt;&gt;"",_xlfn._xlws.FILTER(P:P,($BT:$BT=$BT378)*($I:$I=$I378)*($T:$T=$T378)*($S:$S=_xlfn.MINIFS($S:$S,$T:$T,"="&amp;$T378)),""))))&amp;"",IF(P378="","",""))&amp;""</f>
        <v/>
      </c>
      <c r="AX378" t="str" cm="1">
        <f t="array" ref="AX378">IFERROR(IF(Q378&lt;&gt;"",Q378,IF(OR($S378="",$T378=""),"",IF($T378&lt;&gt;"",_xlfn._xlws.FILTER(Q:Q,($BT:$BT=$BT378)*($I:$I=$I378)*($T:$T=$T378)*($S:$S=_xlfn.MINIFS($S:$S,$T:$T,"="&amp;$T378)),""))))&amp;"",IF(Q378="","",""))&amp;""</f>
        <v/>
      </c>
      <c r="AY378" t="str" cm="1">
        <f t="array" ref="AY378">IFERROR(IF(R378&lt;&gt;"",R378,IF(OR($S378="",$T378=""),"",IF($T378&lt;&gt;"",_xlfn._xlws.FILTER(R:R,($BT:$BT=$BT378)*($I:$I=$I378)*($T:$T=$T378)*($S:$S=_xlfn.MINIFS($S:$S,$T:$T,"="&amp;$T378)),""))))&amp;"",IF(R378="","",""))&amp;""</f>
        <v>1</v>
      </c>
      <c r="AZ378" s="6">
        <f t="shared" si="592"/>
        <v>33</v>
      </c>
      <c r="BA378">
        <f t="shared" ref="BA378:BC378" si="672">BA377</f>
        <v>18991</v>
      </c>
      <c r="BB378" t="str">
        <f t="shared" si="672"/>
        <v>Triple J</v>
      </c>
      <c r="BC378" t="str">
        <f t="shared" si="672"/>
        <v>Velodrome</v>
      </c>
      <c r="BD378" t="str">
        <f t="shared" si="594"/>
        <v>Pass</v>
      </c>
      <c r="BE378" t="str">
        <f t="shared" si="595"/>
        <v>Pass_Completed</v>
      </c>
      <c r="BF378" t="str">
        <f t="shared" si="596"/>
        <v>Pass-Rim/Wrap</v>
      </c>
      <c r="BG378" t="str">
        <f t="shared" si="578"/>
        <v>s</v>
      </c>
      <c r="BH378" cm="1">
        <f t="array" aca="1" ref="BH378" ca="1">IFERROR(_xlfn._xlws.FILTER(shifts!A:A,(shifts!B:B=events!Z378)*(shifts!AG:AG&gt;=events!BJ378)*(shifts!AH:AH&lt;=events!BK378)),BH377)</f>
        <v>13</v>
      </c>
      <c r="BI378" s="15">
        <f t="shared" si="597"/>
        <v>0</v>
      </c>
      <c r="BJ378">
        <f t="shared" si="598"/>
        <v>740</v>
      </c>
      <c r="BK378">
        <f t="shared" si="599"/>
        <v>740</v>
      </c>
      <c r="BL378" s="15">
        <f>SUMIFS(BI$2:BI378,K$2:K378,"=Intermission")+SUMIFS(BI$2:BI378,K$2:K378,"=Timeout")</f>
        <v>0</v>
      </c>
      <c r="BM378">
        <f t="shared" si="600"/>
        <v>0</v>
      </c>
      <c r="BN378" s="19">
        <f t="shared" si="601"/>
        <v>340</v>
      </c>
      <c r="BO378">
        <f t="shared" si="602"/>
        <v>335</v>
      </c>
      <c r="BP378" s="17">
        <f t="shared" si="603"/>
        <v>340</v>
      </c>
      <c r="BQ378" t="str">
        <f t="shared" si="604"/>
        <v>event_team_player_2</v>
      </c>
      <c r="BR378">
        <f>COUNTIFS(S$3:S378,"="&amp;S378,AH$3:AH378,"="&amp;AH378)</f>
        <v>2</v>
      </c>
      <c r="BS378" t="str">
        <f>IFERROR(VLOOKUP(BA378&amp;BT378&amp;X378,game_rosters!U:W,3,FALSE),"")</f>
        <v>P100132</v>
      </c>
      <c r="BT378" t="str">
        <f t="shared" si="605"/>
        <v>Velodrome</v>
      </c>
    </row>
    <row r="379" spans="1:72" x14ac:dyDescent="0.2">
      <c r="A379" t="str">
        <f t="shared" si="580"/>
        <v/>
      </c>
      <c r="E379" s="4"/>
      <c r="F379" s="45"/>
      <c r="G379" s="4"/>
      <c r="H379" s="47"/>
      <c r="I379" s="26">
        <v>19</v>
      </c>
      <c r="J379" s="26" t="str">
        <f t="shared" si="606"/>
        <v/>
      </c>
      <c r="N379" t="str">
        <f t="shared" si="624"/>
        <v/>
      </c>
      <c r="Q379" t="str">
        <f t="shared" si="618"/>
        <v/>
      </c>
      <c r="R379" s="26">
        <v>1</v>
      </c>
      <c r="S379">
        <f>IF(A379=1,MAX($S$2:$S378)+1,IF(OR($I379&lt;&gt;"",A379="x"),$S378,""))</f>
        <v>190</v>
      </c>
      <c r="T379" t="str">
        <f>IF(D379=1,MAX($T$2:$T378)+1,IF(S379=S378,$T378,IF(D379="x",T378,IF(D378="x","",""))))</f>
        <v/>
      </c>
      <c r="U379" t="str">
        <f>IF(B379=1,MAX($U$2:$U378)+1,IF(AND($T379&lt;&gt;"",$T379=$T378),$U378,IF(B379="x",U378,"")))</f>
        <v/>
      </c>
      <c r="V379" t="str">
        <f>IF(C379=1,MAX($V$2:$V378)+1,IF(AND($T379&lt;&gt;"",$T379=$T378),$U378,IF(C379="x",V378,"")))</f>
        <v/>
      </c>
      <c r="W379" t="str" cm="1">
        <f t="array" ref="W379">IFERROR(_xlfn._xlws.FILTER(game_rosters!AC:AC,(game_rosters!J:J=events!X379)*(K379&lt;&gt;"")),"")</f>
        <v/>
      </c>
      <c r="X379" cm="1">
        <f t="array" ref="X379">IF($I379&lt;&gt;"",$I379,INDEX($I$1:$I379,ROW()-COUNTIFS($T$1:$T379,"="&amp;$T379,$S$1:$S379,"&lt;"&amp;$S379)))</f>
        <v>19</v>
      </c>
      <c r="Y379" t="str" cm="1">
        <f t="array" ref="Y379">IFERROR(IF(_xlfn._xlws.FILTER(game_rosters!$J:$J,(game_rosters!$G:$G=events!$AM379)*(game_rosters!$J:$J=events!$X379))&gt;0,1,""),"")</f>
        <v/>
      </c>
      <c r="Z379" s="6">
        <f t="shared" si="581"/>
        <v>1</v>
      </c>
      <c r="AA379">
        <f t="shared" si="582"/>
        <v>1190</v>
      </c>
      <c r="AB379" t="str">
        <f t="shared" si="583"/>
        <v/>
      </c>
      <c r="AC379">
        <f t="shared" si="584"/>
        <v>1190</v>
      </c>
      <c r="AD379" t="str">
        <f t="shared" si="585"/>
        <v>12</v>
      </c>
      <c r="AE379" t="str">
        <f t="shared" si="586"/>
        <v>20</v>
      </c>
      <c r="AF379" t="str">
        <f t="shared" si="587"/>
        <v/>
      </c>
      <c r="AG379" t="str">
        <f t="shared" si="588"/>
        <v/>
      </c>
      <c r="AH379" t="str">
        <f t="shared" si="631"/>
        <v>o</v>
      </c>
      <c r="AI379" t="str">
        <f t="shared" ref="AI379:AJ394" si="673">IF($J379&lt;&gt;"",$J379,IF($AC379=$AC378,AI378,""))</f>
        <v>d</v>
      </c>
      <c r="AJ379" t="str">
        <f t="shared" si="673"/>
        <v>d</v>
      </c>
      <c r="AK379" t="str">
        <f t="shared" si="633"/>
        <v/>
      </c>
      <c r="AL379" t="str">
        <f t="shared" si="634"/>
        <v/>
      </c>
      <c r="AM379" t="str">
        <f t="shared" si="589"/>
        <v>Away</v>
      </c>
      <c r="AN379" t="str">
        <f t="shared" si="635"/>
        <v>a</v>
      </c>
      <c r="AO379" t="str">
        <f t="shared" si="636"/>
        <v>o</v>
      </c>
      <c r="AP379" t="str">
        <f t="shared" si="637"/>
        <v>d</v>
      </c>
      <c r="AQ379" t="str">
        <f>IF(AM379&lt;&gt;"",AM379,IF($AC379=#REF!,#REF!,""))</f>
        <v>Away</v>
      </c>
      <c r="AR379" t="str">
        <f t="shared" si="638"/>
        <v>a</v>
      </c>
      <c r="AS379" t="str">
        <f t="shared" si="639"/>
        <v>Defensive</v>
      </c>
      <c r="AT379" t="str">
        <f t="shared" si="590"/>
        <v/>
      </c>
      <c r="AU379" t="str">
        <f t="shared" si="591"/>
        <v/>
      </c>
      <c r="AV379" t="str" cm="1">
        <f t="array" ref="AV379">IFERROR(IF(O379&lt;&gt;"",O379,IF(OR($S379="",$T379=""),"",IF(O379&lt;&gt;"",O379,IF($T379&lt;&gt;"",_xlfn._xlws.FILTER(O:O,($BT:$BT=$BT379)*($I:$I=$I379)*($T:$T=$T379)*($S:$S=_xlfn.MINIFS($S:$S,$T:$T,"="&amp;$T379)),"")))))&amp;"",IF(O379="","",""))&amp;""</f>
        <v/>
      </c>
      <c r="AW379" t="str" cm="1">
        <f t="array" ref="AW379">IFERROR(IF(P379&lt;&gt;"",P379,IF(OR($S379="",$T379=""),"",IF($T379&lt;&gt;"",_xlfn._xlws.FILTER(P:P,($BT:$BT=$BT379)*($I:$I=$I379)*($T:$T=$T379)*($S:$S=_xlfn.MINIFS($S:$S,$T:$T,"="&amp;$T379)),""))))&amp;"",IF(P379="","",""))&amp;""</f>
        <v/>
      </c>
      <c r="AX379" t="str" cm="1">
        <f t="array" ref="AX379">IFERROR(IF(Q379&lt;&gt;"",Q379,IF(OR($S379="",$T379=""),"",IF($T379&lt;&gt;"",_xlfn._xlws.FILTER(Q:Q,($BT:$BT=$BT379)*($I:$I=$I379)*($T:$T=$T379)*($S:$S=_xlfn.MINIFS($S:$S,$T:$T,"="&amp;$T379)),""))))&amp;"",IF(Q379="","",""))&amp;""</f>
        <v/>
      </c>
      <c r="AY379" t="str" cm="1">
        <f t="array" ref="AY379">IFERROR(IF(R379&lt;&gt;"",R379,IF(OR($S379="",$T379=""),"",IF($T379&lt;&gt;"",_xlfn._xlws.FILTER(R:R,($BT:$BT=$BT379)*($I:$I=$I379)*($T:$T=$T379)*($S:$S=_xlfn.MINIFS($S:$S,$T:$T,"="&amp;$T379)),""))))&amp;"",IF(R379="","",""))&amp;""</f>
        <v>1</v>
      </c>
      <c r="AZ379" s="6">
        <f t="shared" si="592"/>
        <v>33</v>
      </c>
      <c r="BA379">
        <f t="shared" ref="BA379:BC379" si="674">BA378</f>
        <v>18991</v>
      </c>
      <c r="BB379" t="str">
        <f t="shared" si="674"/>
        <v>Triple J</v>
      </c>
      <c r="BC379" t="str">
        <f t="shared" si="674"/>
        <v>Velodrome</v>
      </c>
      <c r="BD379" t="str">
        <f t="shared" si="594"/>
        <v>Pass</v>
      </c>
      <c r="BE379" t="str">
        <f t="shared" si="595"/>
        <v>Pass_Completed</v>
      </c>
      <c r="BF379" t="str">
        <f t="shared" si="596"/>
        <v>Pass-Rim/Wrap</v>
      </c>
      <c r="BG379" t="str">
        <f t="shared" si="578"/>
        <v>s</v>
      </c>
      <c r="BH379" cm="1">
        <f t="array" aca="1" ref="BH379" ca="1">IFERROR(_xlfn._xlws.FILTER(shifts!A:A,(shifts!B:B=events!Z379)*(shifts!AG:AG&gt;=events!BJ379)*(shifts!AH:AH&lt;=events!BK379)),BH378)</f>
        <v>13</v>
      </c>
      <c r="BI379" s="15">
        <f t="shared" si="597"/>
        <v>0</v>
      </c>
      <c r="BJ379">
        <f t="shared" si="598"/>
        <v>740</v>
      </c>
      <c r="BK379">
        <f t="shared" si="599"/>
        <v>740</v>
      </c>
      <c r="BL379" s="15">
        <f>SUMIFS(BI$2:BI379,K$2:K379,"=Intermission")+SUMIFS(BI$2:BI379,K$2:K379,"=Timeout")</f>
        <v>0</v>
      </c>
      <c r="BM379">
        <f t="shared" si="600"/>
        <v>0</v>
      </c>
      <c r="BN379" s="19">
        <f t="shared" si="601"/>
        <v>340</v>
      </c>
      <c r="BO379">
        <f t="shared" si="602"/>
        <v>335</v>
      </c>
      <c r="BP379" s="17">
        <f t="shared" si="603"/>
        <v>340</v>
      </c>
      <c r="BQ379" t="str">
        <f t="shared" si="604"/>
        <v>opp_team_player_1</v>
      </c>
      <c r="BR379">
        <f>COUNTIFS(S$3:S379,"="&amp;S379,AH$3:AH379,"="&amp;AH379)</f>
        <v>1</v>
      </c>
      <c r="BS379" t="str">
        <f>IFERROR(VLOOKUP(BA379&amp;BT379&amp;X379,game_rosters!U:W,3,FALSE),"")</f>
        <v>P100089</v>
      </c>
      <c r="BT379" t="str">
        <f t="shared" si="605"/>
        <v>Triple J</v>
      </c>
    </row>
    <row r="380" spans="1:72" x14ac:dyDescent="0.2">
      <c r="A380">
        <f t="shared" si="580"/>
        <v>1</v>
      </c>
      <c r="E380" s="4"/>
      <c r="F380" s="45" t="s">
        <v>744</v>
      </c>
      <c r="G380" s="4"/>
      <c r="H380" s="47" t="s">
        <v>1064</v>
      </c>
      <c r="I380" s="26">
        <v>14</v>
      </c>
      <c r="J380" s="26" t="s">
        <v>736</v>
      </c>
      <c r="K380" t="s">
        <v>13</v>
      </c>
      <c r="N380" t="str">
        <f t="shared" si="624"/>
        <v/>
      </c>
      <c r="Q380" t="str">
        <f t="shared" si="618"/>
        <v/>
      </c>
      <c r="S380">
        <f>IF(A380=1,MAX($S$2:$S379)+1,IF(OR($I380&lt;&gt;"",A380="x"),$S379,""))</f>
        <v>191</v>
      </c>
      <c r="T380" t="str">
        <f>IF(D380=1,MAX($T$2:$T379)+1,IF(S380=S379,$T379,IF(D380="x",T379,IF(D379="x","",""))))</f>
        <v/>
      </c>
      <c r="U380" t="str">
        <f>IF(B380=1,MAX($U$2:$U379)+1,IF(AND($T380&lt;&gt;"",$T380=$T379),$U379,IF(B380="x",U379,"")))</f>
        <v/>
      </c>
      <c r="V380" t="str">
        <f>IF(C380=1,MAX($V$2:$V379)+1,IF(AND($T380&lt;&gt;"",$T380=$T379),$U379,IF(C380="x",V379,"")))</f>
        <v/>
      </c>
      <c r="W380" t="str" cm="1">
        <f t="array" ref="W380">IFERROR(_xlfn._xlws.FILTER(game_rosters!AC:AC,(game_rosters!J:J=events!X380)*(K380&lt;&gt;"")),"")</f>
        <v>a</v>
      </c>
      <c r="X380" cm="1">
        <f t="array" ref="X380">IF($I380&lt;&gt;"",$I380,INDEX($I$1:$I380,ROW()-COUNTIFS($T$1:$T380,"="&amp;$T380,$S$1:$S380,"&lt;"&amp;$S380)))</f>
        <v>14</v>
      </c>
      <c r="Y380" cm="1">
        <f t="array" ref="Y380">IFERROR(IF(_xlfn._xlws.FILTER(game_rosters!$J:$J,(game_rosters!$G:$G=events!$AM380)*(game_rosters!$J:$J=events!$X380))&gt;0,1,""),"")</f>
        <v>1</v>
      </c>
      <c r="Z380" s="6">
        <f t="shared" si="581"/>
        <v>1</v>
      </c>
      <c r="AA380">
        <f t="shared" si="582"/>
        <v>1191</v>
      </c>
      <c r="AB380" t="str">
        <f t="shared" si="583"/>
        <v/>
      </c>
      <c r="AC380">
        <f t="shared" si="584"/>
        <v>1191</v>
      </c>
      <c r="AD380" t="str">
        <f t="shared" si="585"/>
        <v>12</v>
      </c>
      <c r="AE380" t="str">
        <f t="shared" si="586"/>
        <v>15</v>
      </c>
      <c r="AF380" t="str">
        <f t="shared" si="587"/>
        <v>12</v>
      </c>
      <c r="AG380" t="str">
        <f t="shared" si="588"/>
        <v>13</v>
      </c>
      <c r="AH380" t="str">
        <f t="shared" si="631"/>
        <v>e</v>
      </c>
      <c r="AI380" t="str">
        <f t="shared" si="673"/>
        <v>d</v>
      </c>
      <c r="AJ380" t="str">
        <f t="shared" si="673"/>
        <v>d</v>
      </c>
      <c r="AK380" t="str">
        <f t="shared" si="633"/>
        <v>o</v>
      </c>
      <c r="AL380" t="str">
        <f t="shared" si="634"/>
        <v>d</v>
      </c>
      <c r="AM380" t="str">
        <f t="shared" si="589"/>
        <v>Away</v>
      </c>
      <c r="AN380" t="str">
        <f t="shared" si="635"/>
        <v>a</v>
      </c>
      <c r="AO380" t="str">
        <f t="shared" si="636"/>
        <v>o</v>
      </c>
      <c r="AP380" t="str">
        <f t="shared" si="637"/>
        <v>d</v>
      </c>
      <c r="AQ380" t="str">
        <f>IF(AM380&lt;&gt;"",AM380,IF($AC380=#REF!,#REF!,""))</f>
        <v>Away</v>
      </c>
      <c r="AR380" t="str">
        <f t="shared" si="638"/>
        <v>a</v>
      </c>
      <c r="AS380" t="str">
        <f t="shared" si="639"/>
        <v>Offensive</v>
      </c>
      <c r="AT380" t="str">
        <f t="shared" si="590"/>
        <v/>
      </c>
      <c r="AU380" t="str">
        <f t="shared" si="591"/>
        <v/>
      </c>
      <c r="AV380" t="str" cm="1">
        <f t="array" ref="AV380">IFERROR(IF(O380&lt;&gt;"",O380,IF(OR($S380="",$T380=""),"",IF(O380&lt;&gt;"",O380,IF($T380&lt;&gt;"",_xlfn._xlws.FILTER(O:O,($BT:$BT=$BT380)*($I:$I=$I380)*($T:$T=$T380)*($S:$S=_xlfn.MINIFS($S:$S,$T:$T,"="&amp;$T380)),"")))))&amp;"",IF(O380="","",""))&amp;""</f>
        <v/>
      </c>
      <c r="AW380" t="str" cm="1">
        <f t="array" ref="AW380">IFERROR(IF(P380&lt;&gt;"",P380,IF(OR($S380="",$T380=""),"",IF($T380&lt;&gt;"",_xlfn._xlws.FILTER(P:P,($BT:$BT=$BT380)*($I:$I=$I380)*($T:$T=$T380)*($S:$S=_xlfn.MINIFS($S:$S,$T:$T,"="&amp;$T380)),""))))&amp;"",IF(P380="","",""))&amp;""</f>
        <v/>
      </c>
      <c r="AX380" t="str" cm="1">
        <f t="array" ref="AX380">IFERROR(IF(Q380&lt;&gt;"",Q380,IF(OR($S380="",$T380=""),"",IF($T380&lt;&gt;"",_xlfn._xlws.FILTER(Q:Q,($BT:$BT=$BT380)*($I:$I=$I380)*($T:$T=$T380)*($S:$S=_xlfn.MINIFS($S:$S,$T:$T,"="&amp;$T380)),""))))&amp;"",IF(Q380="","",""))&amp;""</f>
        <v/>
      </c>
      <c r="AY380" t="str" cm="1">
        <f t="array" ref="AY380">IFERROR(IF(R380&lt;&gt;"",R380,IF(OR($S380="",$T380=""),"",IF($T380&lt;&gt;"",_xlfn._xlws.FILTER(R:R,($BT:$BT=$BT380)*($I:$I=$I380)*($T:$T=$T380)*($S:$S=_xlfn.MINIFS($S:$S,$T:$T,"="&amp;$T380)),""))))&amp;"",IF(R380="","",""))&amp;""</f>
        <v/>
      </c>
      <c r="AZ380" s="6">
        <f t="shared" si="592"/>
        <v>33</v>
      </c>
      <c r="BA380">
        <f t="shared" ref="BA380:BC380" si="675">BA379</f>
        <v>18991</v>
      </c>
      <c r="BB380" t="str">
        <f t="shared" si="675"/>
        <v>Triple J</v>
      </c>
      <c r="BC380" t="str">
        <f t="shared" si="675"/>
        <v>Velodrome</v>
      </c>
      <c r="BD380" t="str">
        <f t="shared" si="594"/>
        <v>Possession</v>
      </c>
      <c r="BE380" t="str">
        <f t="shared" si="595"/>
        <v/>
      </c>
      <c r="BF380" t="str">
        <f t="shared" si="596"/>
        <v/>
      </c>
      <c r="BG380" t="str">
        <f t="shared" si="578"/>
        <v/>
      </c>
      <c r="BH380" cm="1">
        <f t="array" aca="1" ref="BH380" ca="1">IFERROR(_xlfn._xlws.FILTER(shifts!A:A,(shifts!B:B=events!Z380)*(shifts!AG:AG&gt;=events!BJ380)*(shifts!AH:AH&lt;=events!BK380)),BH379)</f>
        <v>13</v>
      </c>
      <c r="BI380" s="15">
        <f t="shared" si="597"/>
        <v>2</v>
      </c>
      <c r="BJ380">
        <f t="shared" si="598"/>
        <v>735</v>
      </c>
      <c r="BK380">
        <f t="shared" si="599"/>
        <v>733</v>
      </c>
      <c r="BL380" s="15">
        <f>SUMIFS(BI$2:BI380,K$2:K380,"=Intermission")+SUMIFS(BI$2:BI380,K$2:K380,"=Timeout")</f>
        <v>0</v>
      </c>
      <c r="BM380">
        <f t="shared" si="600"/>
        <v>0</v>
      </c>
      <c r="BN380" s="19">
        <f t="shared" si="601"/>
        <v>345</v>
      </c>
      <c r="BO380">
        <f t="shared" si="602"/>
        <v>340</v>
      </c>
      <c r="BP380" s="17">
        <f t="shared" si="603"/>
        <v>347</v>
      </c>
      <c r="BQ380" t="str">
        <f t="shared" si="604"/>
        <v>event_team_player_1</v>
      </c>
      <c r="BR380">
        <f>COUNTIFS(S$3:S380,"="&amp;S380,AH$3:AH380,"="&amp;AH380)</f>
        <v>1</v>
      </c>
      <c r="BS380" t="str">
        <f>IFERROR(VLOOKUP(BA380&amp;BT380&amp;X380,game_rosters!U:W,3,FALSE),"")</f>
        <v>P100132</v>
      </c>
      <c r="BT380" t="str">
        <f t="shared" si="605"/>
        <v>Velodrome</v>
      </c>
    </row>
    <row r="381" spans="1:72" x14ac:dyDescent="0.2">
      <c r="A381" t="str">
        <f t="shared" si="580"/>
        <v/>
      </c>
      <c r="E381" s="4"/>
      <c r="F381" s="45"/>
      <c r="G381" s="4"/>
      <c r="H381" s="47"/>
      <c r="I381" s="26">
        <v>12</v>
      </c>
      <c r="J381" s="26" t="str">
        <f t="shared" si="606"/>
        <v/>
      </c>
      <c r="N381" t="str">
        <f t="shared" si="624"/>
        <v/>
      </c>
      <c r="Q381" t="str">
        <f t="shared" si="618"/>
        <v/>
      </c>
      <c r="S381">
        <f>IF(A381=1,MAX($S$2:$S380)+1,IF(OR($I381&lt;&gt;"",A381="x"),$S380,""))</f>
        <v>191</v>
      </c>
      <c r="T381" t="str">
        <f>IF(D381=1,MAX($T$2:$T380)+1,IF(S381=S380,$T380,IF(D381="x",T380,IF(D380="x","",""))))</f>
        <v/>
      </c>
      <c r="U381" t="str">
        <f>IF(B381=1,MAX($U$2:$U380)+1,IF(AND($T381&lt;&gt;"",$T381=$T380),$U380,IF(B381="x",U380,"")))</f>
        <v/>
      </c>
      <c r="V381" t="str">
        <f>IF(C381=1,MAX($V$2:$V380)+1,IF(AND($T381&lt;&gt;"",$T381=$T380),$U380,IF(C381="x",V380,"")))</f>
        <v/>
      </c>
      <c r="W381" t="str" cm="1">
        <f t="array" ref="W381">IFERROR(_xlfn._xlws.FILTER(game_rosters!AC:AC,(game_rosters!J:J=events!X381)*(K381&lt;&gt;"")),"")</f>
        <v/>
      </c>
      <c r="X381" cm="1">
        <f t="array" ref="X381">IF($I381&lt;&gt;"",$I381,INDEX($I$1:$I381,ROW()-COUNTIFS($T$1:$T381,"="&amp;$T381,$S$1:$S381,"&lt;"&amp;$S381)))</f>
        <v>12</v>
      </c>
      <c r="Y381" t="str" cm="1">
        <f t="array" ref="Y381">IFERROR(IF(_xlfn._xlws.FILTER(game_rosters!$J:$J,(game_rosters!$G:$G=events!$AM381)*(game_rosters!$J:$J=events!$X381))&gt;0,1,""),"")</f>
        <v/>
      </c>
      <c r="Z381" s="6">
        <f t="shared" si="581"/>
        <v>1</v>
      </c>
      <c r="AA381">
        <f t="shared" si="582"/>
        <v>1191</v>
      </c>
      <c r="AB381" t="str">
        <f t="shared" si="583"/>
        <v/>
      </c>
      <c r="AC381">
        <f t="shared" si="584"/>
        <v>1191</v>
      </c>
      <c r="AD381" t="str">
        <f t="shared" si="585"/>
        <v>12</v>
      </c>
      <c r="AE381" t="str">
        <f t="shared" si="586"/>
        <v>15</v>
      </c>
      <c r="AF381" t="str">
        <f t="shared" si="587"/>
        <v>12</v>
      </c>
      <c r="AG381" t="str">
        <f t="shared" si="588"/>
        <v>13</v>
      </c>
      <c r="AH381" t="str">
        <f t="shared" si="631"/>
        <v>o</v>
      </c>
      <c r="AI381" t="str">
        <f t="shared" si="673"/>
        <v>d</v>
      </c>
      <c r="AJ381" t="str">
        <f t="shared" si="673"/>
        <v>d</v>
      </c>
      <c r="AK381" t="str">
        <f t="shared" si="633"/>
        <v/>
      </c>
      <c r="AL381" t="str">
        <f t="shared" si="634"/>
        <v/>
      </c>
      <c r="AM381" t="str">
        <f t="shared" si="589"/>
        <v>Away</v>
      </c>
      <c r="AN381" t="str">
        <f t="shared" si="635"/>
        <v>a</v>
      </c>
      <c r="AO381" t="str">
        <f t="shared" si="636"/>
        <v>o</v>
      </c>
      <c r="AP381" t="str">
        <f t="shared" si="637"/>
        <v>d</v>
      </c>
      <c r="AQ381" t="str">
        <f>IF(AM381&lt;&gt;"",AM381,IF($AC381=#REF!,#REF!,""))</f>
        <v>Away</v>
      </c>
      <c r="AR381" t="str">
        <f t="shared" si="638"/>
        <v>a</v>
      </c>
      <c r="AS381" t="str">
        <f t="shared" si="639"/>
        <v>Defensive</v>
      </c>
      <c r="AT381" t="str">
        <f t="shared" si="590"/>
        <v/>
      </c>
      <c r="AU381" t="str">
        <f t="shared" si="591"/>
        <v/>
      </c>
      <c r="AV381" t="str" cm="1">
        <f t="array" ref="AV381">IFERROR(IF(O381&lt;&gt;"",O381,IF(OR($S381="",$T381=""),"",IF(O381&lt;&gt;"",O381,IF($T381&lt;&gt;"",_xlfn._xlws.FILTER(O:O,($BT:$BT=$BT381)*($I:$I=$I381)*($T:$T=$T381)*($S:$S=_xlfn.MINIFS($S:$S,$T:$T,"="&amp;$T381)),"")))))&amp;"",IF(O381="","",""))&amp;""</f>
        <v/>
      </c>
      <c r="AW381" t="str" cm="1">
        <f t="array" ref="AW381">IFERROR(IF(P381&lt;&gt;"",P381,IF(OR($S381="",$T381=""),"",IF($T381&lt;&gt;"",_xlfn._xlws.FILTER(P:P,($BT:$BT=$BT381)*($I:$I=$I381)*($T:$T=$T381)*($S:$S=_xlfn.MINIFS($S:$S,$T:$T,"="&amp;$T381)),""))))&amp;"",IF(P381="","",""))&amp;""</f>
        <v/>
      </c>
      <c r="AX381" t="str" cm="1">
        <f t="array" ref="AX381">IFERROR(IF(Q381&lt;&gt;"",Q381,IF(OR($S381="",$T381=""),"",IF($T381&lt;&gt;"",_xlfn._xlws.FILTER(Q:Q,($BT:$BT=$BT381)*($I:$I=$I381)*($T:$T=$T381)*($S:$S=_xlfn.MINIFS($S:$S,$T:$T,"="&amp;$T381)),""))))&amp;"",IF(Q381="","",""))&amp;""</f>
        <v/>
      </c>
      <c r="AY381" t="str" cm="1">
        <f t="array" ref="AY381">IFERROR(IF(R381&lt;&gt;"",R381,IF(OR($S381="",$T381=""),"",IF($T381&lt;&gt;"",_xlfn._xlws.FILTER(R:R,($BT:$BT=$BT381)*($I:$I=$I381)*($T:$T=$T381)*($S:$S=_xlfn.MINIFS($S:$S,$T:$T,"="&amp;$T381)),""))))&amp;"",IF(R381="","",""))&amp;""</f>
        <v/>
      </c>
      <c r="AZ381" s="6">
        <f t="shared" si="592"/>
        <v>33</v>
      </c>
      <c r="BA381">
        <f t="shared" ref="BA381:BC381" si="676">BA380</f>
        <v>18991</v>
      </c>
      <c r="BB381" t="str">
        <f t="shared" si="676"/>
        <v>Triple J</v>
      </c>
      <c r="BC381" t="str">
        <f t="shared" si="676"/>
        <v>Velodrome</v>
      </c>
      <c r="BD381" t="str">
        <f t="shared" si="594"/>
        <v>Possession</v>
      </c>
      <c r="BE381" t="str">
        <f t="shared" si="595"/>
        <v/>
      </c>
      <c r="BF381" t="str">
        <f t="shared" si="596"/>
        <v/>
      </c>
      <c r="BG381" t="str">
        <f t="shared" si="578"/>
        <v/>
      </c>
      <c r="BH381" cm="1">
        <f t="array" aca="1" ref="BH381" ca="1">IFERROR(_xlfn._xlws.FILTER(shifts!A:A,(shifts!B:B=events!Z381)*(shifts!AG:AG&gt;=events!BJ381)*(shifts!AH:AH&lt;=events!BK381)),BH380)</f>
        <v>13</v>
      </c>
      <c r="BI381" s="15">
        <f t="shared" si="597"/>
        <v>2</v>
      </c>
      <c r="BJ381">
        <f t="shared" si="598"/>
        <v>735</v>
      </c>
      <c r="BK381">
        <f t="shared" si="599"/>
        <v>733</v>
      </c>
      <c r="BL381" s="15">
        <f>SUMIFS(BI$2:BI381,K$2:K381,"=Intermission")+SUMIFS(BI$2:BI381,K$2:K381,"=Timeout")</f>
        <v>0</v>
      </c>
      <c r="BM381">
        <f t="shared" si="600"/>
        <v>0</v>
      </c>
      <c r="BN381" s="19">
        <f t="shared" si="601"/>
        <v>345</v>
      </c>
      <c r="BO381">
        <f t="shared" si="602"/>
        <v>340</v>
      </c>
      <c r="BP381" s="17">
        <f t="shared" si="603"/>
        <v>347</v>
      </c>
      <c r="BQ381" t="str">
        <f t="shared" si="604"/>
        <v>opp_team_player_1</v>
      </c>
      <c r="BR381">
        <f>COUNTIFS(S$3:S381,"="&amp;S381,AH$3:AH381,"="&amp;AH381)</f>
        <v>1</v>
      </c>
      <c r="BS381" t="str">
        <f>IFERROR(VLOOKUP(BA381&amp;BT381&amp;X381,game_rosters!U:W,3,FALSE),"")</f>
        <v/>
      </c>
      <c r="BT381" t="str">
        <f t="shared" si="605"/>
        <v>Triple J</v>
      </c>
    </row>
    <row r="382" spans="1:72" x14ac:dyDescent="0.2">
      <c r="A382">
        <f t="shared" si="580"/>
        <v>1</v>
      </c>
      <c r="D382" s="26">
        <v>1</v>
      </c>
      <c r="E382" s="4"/>
      <c r="F382" s="45"/>
      <c r="G382" s="4"/>
      <c r="H382" s="47"/>
      <c r="I382" s="26">
        <v>14</v>
      </c>
      <c r="J382" s="26" t="s">
        <v>736</v>
      </c>
      <c r="K382" t="s">
        <v>238</v>
      </c>
      <c r="L382" t="s">
        <v>184</v>
      </c>
      <c r="M382" t="s">
        <v>90</v>
      </c>
      <c r="N382" t="s">
        <v>594</v>
      </c>
      <c r="Q382" t="str">
        <f t="shared" si="618"/>
        <v/>
      </c>
      <c r="R382" s="26">
        <v>1</v>
      </c>
      <c r="S382">
        <f>IF(A382=1,MAX($S$2:$S381)+1,IF(OR($I382&lt;&gt;"",A382="x"),$S381,""))</f>
        <v>192</v>
      </c>
      <c r="T382">
        <f>IF(D382=1,MAX($T$2:$T381)+1,IF(S382=S381,$T381,IF(D382="x",T381,IF(D381="x","",""))))</f>
        <v>24</v>
      </c>
      <c r="U382" t="str">
        <f>IF(B382=1,MAX($U$2:$U381)+1,IF(AND($T382&lt;&gt;"",$T382=$T381),$U381,IF(B382="x",U381,"")))</f>
        <v/>
      </c>
      <c r="V382" t="str">
        <f>IF(C382=1,MAX($V$2:$V381)+1,IF(AND($T382&lt;&gt;"",$T382=$T381),$U381,IF(C382="x",V381,"")))</f>
        <v/>
      </c>
      <c r="W382" t="str" cm="1">
        <f t="array" ref="W382">IFERROR(_xlfn._xlws.FILTER(game_rosters!AC:AC,(game_rosters!J:J=events!X382)*(K382&lt;&gt;"")),"")</f>
        <v>a</v>
      </c>
      <c r="X382" cm="1">
        <f t="array" ref="X382">IF($I382&lt;&gt;"",$I382,INDEX($I$1:$I382,ROW()-COUNTIFS($T$1:$T382,"="&amp;$T382,$S$1:$S382,"&lt;"&amp;$S382)))</f>
        <v>14</v>
      </c>
      <c r="Y382" cm="1">
        <f t="array" ref="Y382">IFERROR(IF(_xlfn._xlws.FILTER(game_rosters!$J:$J,(game_rosters!$G:$G=events!$AM382)*(game_rosters!$J:$J=events!$X382))&gt;0,1,""),"")</f>
        <v>1</v>
      </c>
      <c r="Z382" s="6">
        <f t="shared" si="581"/>
        <v>1</v>
      </c>
      <c r="AA382">
        <f t="shared" si="582"/>
        <v>1192</v>
      </c>
      <c r="AB382">
        <f t="shared" si="583"/>
        <v>9024</v>
      </c>
      <c r="AC382">
        <f t="shared" si="584"/>
        <v>9024</v>
      </c>
      <c r="AD382" t="str">
        <f t="shared" si="585"/>
        <v>12</v>
      </c>
      <c r="AE382" t="str">
        <f t="shared" si="586"/>
        <v>13</v>
      </c>
      <c r="AF382" t="str">
        <f t="shared" si="587"/>
        <v/>
      </c>
      <c r="AG382" t="str">
        <f t="shared" si="588"/>
        <v/>
      </c>
      <c r="AH382" t="str">
        <f t="shared" si="631"/>
        <v>e</v>
      </c>
      <c r="AI382" t="str">
        <f t="shared" si="673"/>
        <v>d</v>
      </c>
      <c r="AJ382" t="str">
        <f t="shared" si="673"/>
        <v>d</v>
      </c>
      <c r="AK382" t="str">
        <f t="shared" si="633"/>
        <v>o</v>
      </c>
      <c r="AL382" t="str">
        <f t="shared" si="634"/>
        <v>d</v>
      </c>
      <c r="AM382" t="str">
        <f t="shared" si="589"/>
        <v>Away</v>
      </c>
      <c r="AN382" t="str">
        <f t="shared" si="635"/>
        <v>a</v>
      </c>
      <c r="AO382" t="str">
        <f t="shared" si="636"/>
        <v>o</v>
      </c>
      <c r="AP382" t="str">
        <f t="shared" si="637"/>
        <v>d</v>
      </c>
      <c r="AQ382" t="str">
        <f>IF(AM382&lt;&gt;"",AM382,IF($AC382=#REF!,#REF!,""))</f>
        <v>Away</v>
      </c>
      <c r="AR382" t="str">
        <f t="shared" si="638"/>
        <v>a</v>
      </c>
      <c r="AS382" t="str">
        <f t="shared" si="639"/>
        <v>Offensive</v>
      </c>
      <c r="AT382" t="str">
        <f t="shared" si="590"/>
        <v/>
      </c>
      <c r="AU382" t="str">
        <f t="shared" si="591"/>
        <v/>
      </c>
      <c r="AV382" t="str" cm="1">
        <f t="array" ref="AV382">IFERROR(IF(O382&lt;&gt;"",O382,IF(OR($S382="",$T382=""),"",IF(O382&lt;&gt;"",O382,IF($T382&lt;&gt;"",_xlfn._xlws.FILTER(O:O,($BT:$BT=$BT382)*($I:$I=$I382)*($T:$T=$T382)*($S:$S=_xlfn.MINIFS($S:$S,$T:$T,"="&amp;$T382)),"")))))&amp;"",IF(O382="","",""))&amp;""</f>
        <v/>
      </c>
      <c r="AW382" t="str" cm="1">
        <f t="array" ref="AW382">IFERROR(IF(P382&lt;&gt;"",P382,IF(OR($S382="",$T382=""),"",IF($T382&lt;&gt;"",_xlfn._xlws.FILTER(P:P,($BT:$BT=$BT382)*($I:$I=$I382)*($T:$T=$T382)*($S:$S=_xlfn.MINIFS($S:$S,$T:$T,"="&amp;$T382)),""))))&amp;"",IF(P382="","",""))&amp;""</f>
        <v/>
      </c>
      <c r="AX382" t="str" cm="1">
        <f t="array" ref="AX382">IFERROR(IF(Q382&lt;&gt;"",Q382,IF(OR($S382="",$T382=""),"",IF($T382&lt;&gt;"",_xlfn._xlws.FILTER(Q:Q,($BT:$BT=$BT382)*($I:$I=$I382)*($T:$T=$T382)*($S:$S=_xlfn.MINIFS($S:$S,$T:$T,"="&amp;$T382)),""))))&amp;"",IF(Q382="","",""))&amp;""</f>
        <v/>
      </c>
      <c r="AY382" t="str" cm="1">
        <f t="array" ref="AY382">IFERROR(IF(R382&lt;&gt;"",R382,IF(OR($S382="",$T382=""),"",IF($T382&lt;&gt;"",_xlfn._xlws.FILTER(R:R,($BT:$BT=$BT382)*($I:$I=$I382)*($T:$T=$T382)*($S:$S=_xlfn.MINIFS($S:$S,$T:$T,"="&amp;$T382)),""))))&amp;"",IF(R382="","",""))&amp;""</f>
        <v>1</v>
      </c>
      <c r="AZ382" s="6">
        <f t="shared" si="592"/>
        <v>34</v>
      </c>
      <c r="BA382">
        <f t="shared" ref="BA382:BC382" si="677">BA381</f>
        <v>18991</v>
      </c>
      <c r="BB382" t="str">
        <f t="shared" si="677"/>
        <v>Triple J</v>
      </c>
      <c r="BC382" t="str">
        <f t="shared" si="677"/>
        <v>Velodrome</v>
      </c>
      <c r="BD382" t="str">
        <f t="shared" si="594"/>
        <v>Zone_Entry_Exit</v>
      </c>
      <c r="BE382" t="str">
        <f t="shared" si="595"/>
        <v>Zone_Exit</v>
      </c>
      <c r="BF382" t="str">
        <f t="shared" si="596"/>
        <v>ZoneExit-Clear</v>
      </c>
      <c r="BG382" t="str">
        <f t="shared" si="578"/>
        <v>u</v>
      </c>
      <c r="BH382" cm="1">
        <f t="array" aca="1" ref="BH382" ca="1">IFERROR(_xlfn._xlws.FILTER(shifts!A:A,(shifts!B:B=events!Z382)*(shifts!AG:AG&gt;=events!BJ382)*(shifts!AH:AH&lt;=events!BK382)),BH381)</f>
        <v>13</v>
      </c>
      <c r="BI382" s="15">
        <f t="shared" si="597"/>
        <v>0</v>
      </c>
      <c r="BJ382">
        <f t="shared" si="598"/>
        <v>733</v>
      </c>
      <c r="BK382">
        <f t="shared" si="599"/>
        <v>733</v>
      </c>
      <c r="BL382" s="15">
        <f>SUMIFS(BI$2:BI382,K$2:K382,"=Intermission")+SUMIFS(BI$2:BI382,K$2:K382,"=Timeout")</f>
        <v>0</v>
      </c>
      <c r="BM382">
        <f t="shared" si="600"/>
        <v>0</v>
      </c>
      <c r="BN382" s="19">
        <f t="shared" si="601"/>
        <v>347</v>
      </c>
      <c r="BO382">
        <f t="shared" si="602"/>
        <v>342</v>
      </c>
      <c r="BP382" s="17">
        <f t="shared" si="603"/>
        <v>347</v>
      </c>
      <c r="BQ382" t="str">
        <f t="shared" si="604"/>
        <v>event_team_player_1</v>
      </c>
      <c r="BR382">
        <f>COUNTIFS(S$3:S382,"="&amp;S382,AH$3:AH382,"="&amp;AH382)</f>
        <v>1</v>
      </c>
      <c r="BS382" t="str">
        <f>IFERROR(VLOOKUP(BA382&amp;BT382&amp;X382,game_rosters!U:W,3,FALSE),"")</f>
        <v>P100132</v>
      </c>
      <c r="BT382" t="str">
        <f t="shared" si="605"/>
        <v>Velodrome</v>
      </c>
    </row>
    <row r="383" spans="1:72" x14ac:dyDescent="0.2">
      <c r="A383" t="str">
        <f t="shared" si="580"/>
        <v>x</v>
      </c>
      <c r="D383" s="26" t="s">
        <v>729</v>
      </c>
      <c r="E383" s="4"/>
      <c r="F383" s="45"/>
      <c r="G383" s="4"/>
      <c r="H383" s="47"/>
      <c r="I383" s="26">
        <v>12</v>
      </c>
      <c r="J383" s="26" t="str">
        <f t="shared" si="606"/>
        <v/>
      </c>
      <c r="N383" t="str">
        <f t="shared" si="624"/>
        <v/>
      </c>
      <c r="Q383" t="str">
        <f t="shared" si="618"/>
        <v/>
      </c>
      <c r="R383" s="26">
        <v>1</v>
      </c>
      <c r="S383">
        <f>IF(A383=1,MAX($S$2:$S382)+1,IF(OR($I383&lt;&gt;"",A383="x"),$S382,""))</f>
        <v>192</v>
      </c>
      <c r="T383">
        <f>IF(D383=1,MAX($T$2:$T382)+1,IF(S383=S382,$T382,IF(D383="x",T382,IF(D382="x","",""))))</f>
        <v>24</v>
      </c>
      <c r="U383" t="str">
        <f>IF(B383=1,MAX($U$2:$U382)+1,IF(AND($T383&lt;&gt;"",$T383=$T382),$U382,IF(B383="x",U382,"")))</f>
        <v/>
      </c>
      <c r="V383" t="str">
        <f>IF(C383=1,MAX($V$2:$V382)+1,IF(AND($T383&lt;&gt;"",$T383=$T382),$U382,IF(C383="x",V382,"")))</f>
        <v/>
      </c>
      <c r="W383" t="str" cm="1">
        <f t="array" ref="W383">IFERROR(_xlfn._xlws.FILTER(game_rosters!AC:AC,(game_rosters!J:J=events!X383)*(K383&lt;&gt;"")),"")</f>
        <v/>
      </c>
      <c r="X383" cm="1">
        <f t="array" ref="X383">IF($I383&lt;&gt;"",$I383,INDEX($I$1:$I383,ROW()-COUNTIFS($T$1:$T383,"="&amp;$T383,$S$1:$S383,"&lt;"&amp;$S383)))</f>
        <v>12</v>
      </c>
      <c r="Y383" t="str" cm="1">
        <f t="array" ref="Y383">IFERROR(IF(_xlfn._xlws.FILTER(game_rosters!$J:$J,(game_rosters!$G:$G=events!$AM383)*(game_rosters!$J:$J=events!$X383))&gt;0,1,""),"")</f>
        <v/>
      </c>
      <c r="Z383" s="6">
        <f t="shared" si="581"/>
        <v>1</v>
      </c>
      <c r="AA383">
        <f t="shared" si="582"/>
        <v>1192</v>
      </c>
      <c r="AB383">
        <f t="shared" si="583"/>
        <v>9024</v>
      </c>
      <c r="AC383">
        <f t="shared" si="584"/>
        <v>9024</v>
      </c>
      <c r="AD383" t="str">
        <f t="shared" si="585"/>
        <v>12</v>
      </c>
      <c r="AE383" t="str">
        <f t="shared" si="586"/>
        <v>13</v>
      </c>
      <c r="AF383" t="str">
        <f t="shared" si="587"/>
        <v/>
      </c>
      <c r="AG383" t="str">
        <f t="shared" si="588"/>
        <v/>
      </c>
      <c r="AH383" t="str">
        <f t="shared" si="631"/>
        <v>o</v>
      </c>
      <c r="AI383" t="str">
        <f t="shared" si="673"/>
        <v>d</v>
      </c>
      <c r="AJ383" t="str">
        <f t="shared" si="673"/>
        <v>d</v>
      </c>
      <c r="AK383" t="str">
        <f t="shared" si="633"/>
        <v/>
      </c>
      <c r="AL383" t="str">
        <f t="shared" si="634"/>
        <v/>
      </c>
      <c r="AM383" t="str">
        <f t="shared" si="589"/>
        <v>Away</v>
      </c>
      <c r="AN383" t="str">
        <f t="shared" si="635"/>
        <v>a</v>
      </c>
      <c r="AO383" t="str">
        <f t="shared" si="636"/>
        <v>o</v>
      </c>
      <c r="AP383" t="str">
        <f t="shared" si="637"/>
        <v>d</v>
      </c>
      <c r="AQ383" t="str">
        <f>IF(AM383&lt;&gt;"",AM383,IF($AC383=#REF!,#REF!,""))</f>
        <v>Away</v>
      </c>
      <c r="AR383" t="str">
        <f t="shared" si="638"/>
        <v>a</v>
      </c>
      <c r="AS383" t="str">
        <f t="shared" si="639"/>
        <v>Defensive</v>
      </c>
      <c r="AT383" t="str">
        <f t="shared" si="590"/>
        <v/>
      </c>
      <c r="AU383" t="str">
        <f t="shared" si="591"/>
        <v/>
      </c>
      <c r="AV383" t="str" cm="1">
        <f t="array" ref="AV383">IFERROR(IF(O383&lt;&gt;"",O383,IF(OR($S383="",$T383=""),"",IF(O383&lt;&gt;"",O383,IF($T383&lt;&gt;"",_xlfn._xlws.FILTER(O:O,($BT:$BT=$BT383)*($I:$I=$I383)*($T:$T=$T383)*($S:$S=_xlfn.MINIFS($S:$S,$T:$T,"="&amp;$T383)),"")))))&amp;"",IF(O383="","",""))&amp;""</f>
        <v/>
      </c>
      <c r="AW383" t="str" cm="1">
        <f t="array" ref="AW383">IFERROR(IF(P383&lt;&gt;"",P383,IF(OR($S383="",$T383=""),"",IF($T383&lt;&gt;"",_xlfn._xlws.FILTER(P:P,($BT:$BT=$BT383)*($I:$I=$I383)*($T:$T=$T383)*($S:$S=_xlfn.MINIFS($S:$S,$T:$T,"="&amp;$T383)),""))))&amp;"",IF(P383="","",""))&amp;""</f>
        <v/>
      </c>
      <c r="AX383" t="str" cm="1">
        <f t="array" ref="AX383">IFERROR(IF(Q383&lt;&gt;"",Q383,IF(OR($S383="",$T383=""),"",IF($T383&lt;&gt;"",_xlfn._xlws.FILTER(Q:Q,($BT:$BT=$BT383)*($I:$I=$I383)*($T:$T=$T383)*($S:$S=_xlfn.MINIFS($S:$S,$T:$T,"="&amp;$T383)),""))))&amp;"",IF(Q383="","",""))&amp;""</f>
        <v/>
      </c>
      <c r="AY383" t="str" cm="1">
        <f t="array" ref="AY383">IFERROR(IF(R383&lt;&gt;"",R383,IF(OR($S383="",$T383=""),"",IF($T383&lt;&gt;"",_xlfn._xlws.FILTER(R:R,($BT:$BT=$BT383)*($I:$I=$I383)*($T:$T=$T383)*($S:$S=_xlfn.MINIFS($S:$S,$T:$T,"="&amp;$T383)),""))))&amp;"",IF(R383="","",""))&amp;""</f>
        <v>1</v>
      </c>
      <c r="AZ383" s="6">
        <f t="shared" si="592"/>
        <v>34</v>
      </c>
      <c r="BA383">
        <f t="shared" ref="BA383:BC383" si="678">BA382</f>
        <v>18991</v>
      </c>
      <c r="BB383" t="str">
        <f t="shared" si="678"/>
        <v>Triple J</v>
      </c>
      <c r="BC383" t="str">
        <f t="shared" si="678"/>
        <v>Velodrome</v>
      </c>
      <c r="BD383" t="str">
        <f t="shared" si="594"/>
        <v>Zone_Entry_Exit</v>
      </c>
      <c r="BE383" t="str">
        <f t="shared" si="595"/>
        <v>Zone_Exit</v>
      </c>
      <c r="BF383" t="str">
        <f t="shared" si="596"/>
        <v>ZoneExit-Clear</v>
      </c>
      <c r="BG383" t="str">
        <f t="shared" si="578"/>
        <v>u</v>
      </c>
      <c r="BH383" cm="1">
        <f t="array" aca="1" ref="BH383" ca="1">IFERROR(_xlfn._xlws.FILTER(shifts!A:A,(shifts!B:B=events!Z383)*(shifts!AG:AG&gt;=events!BJ383)*(shifts!AH:AH&lt;=events!BK383)),BH382)</f>
        <v>13</v>
      </c>
      <c r="BI383" s="15">
        <f t="shared" si="597"/>
        <v>0</v>
      </c>
      <c r="BJ383">
        <f t="shared" si="598"/>
        <v>733</v>
      </c>
      <c r="BK383">
        <f t="shared" si="599"/>
        <v>733</v>
      </c>
      <c r="BL383" s="15">
        <f>SUMIFS(BI$2:BI383,K$2:K383,"=Intermission")+SUMIFS(BI$2:BI383,K$2:K383,"=Timeout")</f>
        <v>0</v>
      </c>
      <c r="BM383">
        <f t="shared" si="600"/>
        <v>0</v>
      </c>
      <c r="BN383" s="19">
        <f t="shared" si="601"/>
        <v>347</v>
      </c>
      <c r="BO383">
        <f t="shared" si="602"/>
        <v>342</v>
      </c>
      <c r="BP383" s="17">
        <f t="shared" si="603"/>
        <v>347</v>
      </c>
      <c r="BQ383" t="str">
        <f t="shared" si="604"/>
        <v>opp_team_player_1</v>
      </c>
      <c r="BR383">
        <f>COUNTIFS(S$3:S383,"="&amp;S383,AH$3:AH383,"="&amp;AH383)</f>
        <v>1</v>
      </c>
      <c r="BS383" t="str">
        <f>IFERROR(VLOOKUP(BA383&amp;BT383&amp;X383,game_rosters!U:W,3,FALSE),"")</f>
        <v/>
      </c>
      <c r="BT383" t="str">
        <f t="shared" si="605"/>
        <v>Triple J</v>
      </c>
    </row>
    <row r="384" spans="1:72" x14ac:dyDescent="0.2">
      <c r="A384" t="str">
        <f t="shared" si="580"/>
        <v>x</v>
      </c>
      <c r="D384" s="26" t="s">
        <v>729</v>
      </c>
      <c r="E384" s="4"/>
      <c r="F384" s="45"/>
      <c r="G384" s="4"/>
      <c r="H384" s="47"/>
      <c r="I384" s="26">
        <v>19</v>
      </c>
      <c r="J384" s="26" t="str">
        <f t="shared" si="606"/>
        <v/>
      </c>
      <c r="N384" t="str">
        <f t="shared" si="624"/>
        <v/>
      </c>
      <c r="O384" t="s">
        <v>766</v>
      </c>
      <c r="Q384" t="str">
        <f t="shared" si="618"/>
        <v>u</v>
      </c>
      <c r="S384">
        <f>IF(A384=1,MAX($S$2:$S383)+1,IF(OR($I384&lt;&gt;"",A384="x"),$S383,""))</f>
        <v>192</v>
      </c>
      <c r="T384">
        <f>IF(D384=1,MAX($T$2:$T383)+1,IF(S384=S383,$T383,IF(D384="x",T383,IF(D383="x","",""))))</f>
        <v>24</v>
      </c>
      <c r="U384" t="str">
        <f>IF(B384=1,MAX($U$2:$U383)+1,IF(AND($T384&lt;&gt;"",$T384=$T383),$U383,IF(B384="x",U383,"")))</f>
        <v/>
      </c>
      <c r="V384" t="str">
        <f>IF(C384=1,MAX($V$2:$V383)+1,IF(AND($T384&lt;&gt;"",$T384=$T383),$U383,IF(C384="x",V383,"")))</f>
        <v/>
      </c>
      <c r="W384" t="str" cm="1">
        <f t="array" ref="W384">IFERROR(_xlfn._xlws.FILTER(game_rosters!AC:AC,(game_rosters!J:J=events!X384)*(K384&lt;&gt;"")),"")</f>
        <v/>
      </c>
      <c r="X384" cm="1">
        <f t="array" ref="X384">IF($I384&lt;&gt;"",$I384,INDEX($I$1:$I384,ROW()-COUNTIFS($T$1:$T384,"="&amp;$T384,$S$1:$S384,"&lt;"&amp;$S384)))</f>
        <v>19</v>
      </c>
      <c r="Y384" t="str" cm="1">
        <f t="array" ref="Y384">IFERROR(IF(_xlfn._xlws.FILTER(game_rosters!$J:$J,(game_rosters!$G:$G=events!$AM384)*(game_rosters!$J:$J=events!$X384))&gt;0,1,""),"")</f>
        <v/>
      </c>
      <c r="Z384" s="6">
        <f t="shared" si="581"/>
        <v>1</v>
      </c>
      <c r="AA384">
        <f t="shared" si="582"/>
        <v>1192</v>
      </c>
      <c r="AB384">
        <f t="shared" si="583"/>
        <v>9024</v>
      </c>
      <c r="AC384">
        <f t="shared" si="584"/>
        <v>9024</v>
      </c>
      <c r="AD384" t="str">
        <f t="shared" si="585"/>
        <v>12</v>
      </c>
      <c r="AE384" t="str">
        <f t="shared" si="586"/>
        <v>13</v>
      </c>
      <c r="AF384" t="str">
        <f t="shared" si="587"/>
        <v/>
      </c>
      <c r="AG384" t="str">
        <f t="shared" si="588"/>
        <v/>
      </c>
      <c r="AH384" t="str">
        <f t="shared" si="631"/>
        <v>o</v>
      </c>
      <c r="AI384" t="str">
        <f t="shared" si="673"/>
        <v>d</v>
      </c>
      <c r="AJ384" t="str">
        <f t="shared" si="673"/>
        <v>d</v>
      </c>
      <c r="AK384" t="str">
        <f t="shared" si="633"/>
        <v/>
      </c>
      <c r="AL384" t="str">
        <f t="shared" si="634"/>
        <v/>
      </c>
      <c r="AM384" t="str">
        <f t="shared" si="589"/>
        <v>Away</v>
      </c>
      <c r="AN384" t="str">
        <f t="shared" si="635"/>
        <v>a</v>
      </c>
      <c r="AO384" t="str">
        <f t="shared" si="636"/>
        <v>o</v>
      </c>
      <c r="AP384" t="str">
        <f t="shared" si="637"/>
        <v>d</v>
      </c>
      <c r="AQ384" t="str">
        <f>IF(AM384&lt;&gt;"",AM384,IF($AC384=#REF!,#REF!,""))</f>
        <v>Away</v>
      </c>
      <c r="AR384" t="str">
        <f t="shared" si="638"/>
        <v>a</v>
      </c>
      <c r="AS384" t="str">
        <f t="shared" si="639"/>
        <v>Defensive</v>
      </c>
      <c r="AT384" t="str">
        <f t="shared" si="590"/>
        <v/>
      </c>
      <c r="AU384" t="str">
        <f t="shared" si="591"/>
        <v/>
      </c>
      <c r="AV384" t="str" cm="1">
        <f t="array" ref="AV384">IFERROR(IF(O384&lt;&gt;"",O384,IF(OR($S384="",$T384=""),"",IF(O384&lt;&gt;"",O384,IF($T384&lt;&gt;"",_xlfn._xlws.FILTER(O:O,($BT:$BT=$BT384)*($I:$I=$I384)*($T:$T=$T384)*($S:$S=_xlfn.MINIFS($S:$S,$T:$T,"="&amp;$T384)),"")))))&amp;"",IF(O384="","",""))&amp;""</f>
        <v>AttemptedKeepin</v>
      </c>
      <c r="AW384" t="str" cm="1">
        <f t="array" ref="AW384">IFERROR(IF(P384&lt;&gt;"",P384,IF(OR($S384="",$T384=""),"",IF($T384&lt;&gt;"",_xlfn._xlws.FILTER(P:P,($BT:$BT=$BT384)*($I:$I=$I384)*($T:$T=$T384)*($S:$S=_xlfn.MINIFS($S:$S,$T:$T,"="&amp;$T384)),""))))&amp;"",IF(P384="","",""))&amp;""</f>
        <v/>
      </c>
      <c r="AX384" t="str" cm="1">
        <f t="array" ref="AX384">IFERROR(IF(Q384&lt;&gt;"",Q384,IF(OR($S384="",$T384=""),"",IF($T384&lt;&gt;"",_xlfn._xlws.FILTER(Q:Q,($BT:$BT=$BT384)*($I:$I=$I384)*($T:$T=$T384)*($S:$S=_xlfn.MINIFS($S:$S,$T:$T,"="&amp;$T384)),""))))&amp;"",IF(Q384="","",""))&amp;""</f>
        <v>u</v>
      </c>
      <c r="AY384" t="str" cm="1">
        <f t="array" ref="AY384">IFERROR(IF(R384&lt;&gt;"",R384,IF(OR($S384="",$T384=""),"",IF($T384&lt;&gt;"",_xlfn._xlws.FILTER(R:R,($BT:$BT=$BT384)*($I:$I=$I384)*($T:$T=$T384)*($S:$S=_xlfn.MINIFS($S:$S,$T:$T,"="&amp;$T384)),""))))&amp;"",IF(R384="","",""))&amp;""</f>
        <v/>
      </c>
      <c r="AZ384" s="6">
        <f t="shared" si="592"/>
        <v>34</v>
      </c>
      <c r="BA384">
        <f t="shared" ref="BA384:BC384" si="679">BA383</f>
        <v>18991</v>
      </c>
      <c r="BB384" t="str">
        <f t="shared" si="679"/>
        <v>Triple J</v>
      </c>
      <c r="BC384" t="str">
        <f t="shared" si="679"/>
        <v>Velodrome</v>
      </c>
      <c r="BD384" t="str">
        <f t="shared" si="594"/>
        <v>Zone_Entry_Exit</v>
      </c>
      <c r="BE384" t="str">
        <f t="shared" si="595"/>
        <v>Zone_Exit</v>
      </c>
      <c r="BF384" t="str">
        <f t="shared" si="596"/>
        <v>ZoneExit-Clear</v>
      </c>
      <c r="BG384" t="str">
        <f t="shared" si="578"/>
        <v>u</v>
      </c>
      <c r="BH384" cm="1">
        <f t="array" aca="1" ref="BH384" ca="1">IFERROR(_xlfn._xlws.FILTER(shifts!A:A,(shifts!B:B=events!Z384)*(shifts!AG:AG&gt;=events!BJ384)*(shifts!AH:AH&lt;=events!BK384)),BH383)</f>
        <v>13</v>
      </c>
      <c r="BI384" s="15">
        <f t="shared" si="597"/>
        <v>0</v>
      </c>
      <c r="BJ384">
        <f t="shared" si="598"/>
        <v>733</v>
      </c>
      <c r="BK384">
        <f t="shared" si="599"/>
        <v>733</v>
      </c>
      <c r="BL384" s="15">
        <f>SUMIFS(BI$2:BI384,K$2:K384,"=Intermission")+SUMIFS(BI$2:BI384,K$2:K384,"=Timeout")</f>
        <v>0</v>
      </c>
      <c r="BM384">
        <f t="shared" si="600"/>
        <v>0</v>
      </c>
      <c r="BN384" s="19">
        <f t="shared" si="601"/>
        <v>347</v>
      </c>
      <c r="BO384">
        <f t="shared" si="602"/>
        <v>342</v>
      </c>
      <c r="BP384" s="17">
        <f t="shared" si="603"/>
        <v>347</v>
      </c>
      <c r="BQ384" t="str">
        <f t="shared" si="604"/>
        <v>opp_team_player_2</v>
      </c>
      <c r="BR384">
        <f>COUNTIFS(S$3:S384,"="&amp;S384,AH$3:AH384,"="&amp;AH384)</f>
        <v>2</v>
      </c>
      <c r="BS384" t="str">
        <f>IFERROR(VLOOKUP(BA384&amp;BT384&amp;X384,game_rosters!U:W,3,FALSE),"")</f>
        <v>P100089</v>
      </c>
      <c r="BT384" t="str">
        <f t="shared" si="605"/>
        <v>Triple J</v>
      </c>
    </row>
    <row r="385" spans="1:72" x14ac:dyDescent="0.2">
      <c r="A385">
        <f t="shared" si="580"/>
        <v>1</v>
      </c>
      <c r="D385" s="26" t="s">
        <v>729</v>
      </c>
      <c r="E385" s="4"/>
      <c r="F385" s="45"/>
      <c r="G385" s="4"/>
      <c r="H385" s="47"/>
      <c r="J385" s="26" t="str">
        <f t="shared" si="606"/>
        <v/>
      </c>
      <c r="K385" t="s">
        <v>9</v>
      </c>
      <c r="L385" t="s">
        <v>173</v>
      </c>
      <c r="M385" t="s">
        <v>354</v>
      </c>
      <c r="N385" t="str">
        <f t="shared" si="624"/>
        <v>u</v>
      </c>
      <c r="Q385" t="str">
        <f t="shared" si="618"/>
        <v/>
      </c>
      <c r="S385">
        <f>IF(A385=1,MAX($S$2:$S384)+1,IF(OR($I385&lt;&gt;"",A385="x"),$S384,""))</f>
        <v>193</v>
      </c>
      <c r="T385">
        <f>IF(D385=1,MAX($T$2:$T384)+1,IF(S385=S384,$T384,IF(D385="x",T384,IF(D384="x","",""))))</f>
        <v>24</v>
      </c>
      <c r="U385" t="str">
        <f>IF(B385=1,MAX($U$2:$U384)+1,IF(AND($T385&lt;&gt;"",$T385=$T384),$U384,IF(B385="x",U384,"")))</f>
        <v/>
      </c>
      <c r="V385" t="str">
        <f>IF(C385=1,MAX($V$2:$V384)+1,IF(AND($T385&lt;&gt;"",$T385=$T384),$U384,IF(C385="x",V384,"")))</f>
        <v/>
      </c>
      <c r="W385" t="str" cm="1">
        <f t="array" ref="W385">IFERROR(_xlfn._xlws.FILTER(game_rosters!AC:AC,(game_rosters!J:J=events!X385)*(K385&lt;&gt;"")),"")</f>
        <v>a</v>
      </c>
      <c r="X385" cm="1">
        <f t="array" ref="X385">IF($I385&lt;&gt;"",$I385,INDEX($I$1:$I385,ROW()-COUNTIFS($T$1:$T385,"="&amp;$T385,$S$1:$S385,"&lt;"&amp;$S385)))</f>
        <v>14</v>
      </c>
      <c r="Y385" cm="1">
        <f t="array" ref="Y385">IFERROR(IF(_xlfn._xlws.FILTER(game_rosters!$J:$J,(game_rosters!$G:$G=events!$AM385)*(game_rosters!$J:$J=events!$X385))&gt;0,1,""),"")</f>
        <v>1</v>
      </c>
      <c r="Z385" s="6">
        <f t="shared" si="581"/>
        <v>1</v>
      </c>
      <c r="AA385">
        <f t="shared" si="582"/>
        <v>1193</v>
      </c>
      <c r="AB385">
        <f t="shared" si="583"/>
        <v>9024</v>
      </c>
      <c r="AC385">
        <f t="shared" si="584"/>
        <v>9024</v>
      </c>
      <c r="AD385" t="str">
        <f t="shared" si="585"/>
        <v>12</v>
      </c>
      <c r="AE385" t="str">
        <f t="shared" si="586"/>
        <v>13</v>
      </c>
      <c r="AF385" t="str">
        <f t="shared" si="587"/>
        <v/>
      </c>
      <c r="AG385" t="str">
        <f t="shared" si="588"/>
        <v/>
      </c>
      <c r="AH385" t="str">
        <f t="shared" si="631"/>
        <v>e</v>
      </c>
      <c r="AI385" t="str">
        <f t="shared" si="673"/>
        <v>d</v>
      </c>
      <c r="AJ385" t="str">
        <f t="shared" si="673"/>
        <v>d</v>
      </c>
      <c r="AK385" t="str">
        <f t="shared" si="633"/>
        <v>o</v>
      </c>
      <c r="AL385" t="str">
        <f t="shared" si="634"/>
        <v/>
      </c>
      <c r="AM385" t="str">
        <f t="shared" si="589"/>
        <v>Away</v>
      </c>
      <c r="AN385" t="str">
        <f t="shared" si="635"/>
        <v>a</v>
      </c>
      <c r="AO385" t="str">
        <f t="shared" si="636"/>
        <v>o</v>
      </c>
      <c r="AP385" t="str">
        <f t="shared" si="637"/>
        <v>d</v>
      </c>
      <c r="AQ385" t="str">
        <f>IF(AM385&lt;&gt;"",AM385,IF($AC385=#REF!,#REF!,""))</f>
        <v>Away</v>
      </c>
      <c r="AR385" t="str">
        <f t="shared" si="638"/>
        <v>a</v>
      </c>
      <c r="AS385" t="str">
        <f t="shared" si="639"/>
        <v>Offensive</v>
      </c>
      <c r="AT385" t="str">
        <f t="shared" si="590"/>
        <v/>
      </c>
      <c r="AU385" t="str">
        <f t="shared" si="591"/>
        <v/>
      </c>
      <c r="AV385" t="str" cm="1">
        <f t="array" ref="AV385">IFERROR(IF(O385&lt;&gt;"",O385,IF(OR($S385="",$T385=""),"",IF(O385&lt;&gt;"",O385,IF($T385&lt;&gt;"",_xlfn._xlws.FILTER(O:O,($BT:$BT=$BT385)*($I:$I=$I385)*($T:$T=$T385)*($S:$S=_xlfn.MINIFS($S:$S,$T:$T,"="&amp;$T385)),"")))))&amp;"",IF(O385="","",""))&amp;""</f>
        <v/>
      </c>
      <c r="AW385" t="str" cm="1">
        <f t="array" ref="AW385">IFERROR(IF(P385&lt;&gt;"",P385,IF(OR($S385="",$T385=""),"",IF($T385&lt;&gt;"",_xlfn._xlws.FILTER(P:P,($BT:$BT=$BT385)*($I:$I=$I385)*($T:$T=$T385)*($S:$S=_xlfn.MINIFS($S:$S,$T:$T,"="&amp;$T385)),""))))&amp;"",IF(P385="","",""))&amp;""</f>
        <v/>
      </c>
      <c r="AX385" t="str" cm="1">
        <f t="array" ref="AX385">IFERROR(IF(Q385&lt;&gt;"",Q385,IF(OR($S385="",$T385=""),"",IF($T385&lt;&gt;"",_xlfn._xlws.FILTER(Q:Q,($BT:$BT=$BT385)*($I:$I=$I385)*($T:$T=$T385)*($S:$S=_xlfn.MINIFS($S:$S,$T:$T,"="&amp;$T385)),""))))&amp;"",IF(Q385="","",""))&amp;""</f>
        <v/>
      </c>
      <c r="AY385" t="str" cm="1">
        <f t="array" ref="AY385">IFERROR(IF(R385&lt;&gt;"",R385,IF(OR($S385="",$T385=""),"",IF($T385&lt;&gt;"",_xlfn._xlws.FILTER(R:R,($BT:$BT=$BT385)*($I:$I=$I385)*($T:$T=$T385)*($S:$S=_xlfn.MINIFS($S:$S,$T:$T,"="&amp;$T385)),""))))&amp;"",IF(R385="","",""))&amp;""</f>
        <v/>
      </c>
      <c r="AZ385" s="6">
        <f t="shared" si="592"/>
        <v>34</v>
      </c>
      <c r="BA385">
        <f t="shared" ref="BA385:BC385" si="680">BA384</f>
        <v>18991</v>
      </c>
      <c r="BB385" t="str">
        <f t="shared" si="680"/>
        <v>Triple J</v>
      </c>
      <c r="BC385" t="str">
        <f t="shared" si="680"/>
        <v>Velodrome</v>
      </c>
      <c r="BD385" t="str">
        <f t="shared" si="594"/>
        <v>Turnover</v>
      </c>
      <c r="BE385" t="str">
        <f t="shared" si="595"/>
        <v>Turnover_Giveaway</v>
      </c>
      <c r="BF385" t="str">
        <f t="shared" si="596"/>
        <v>Giveaway-ZoneClear/Dump</v>
      </c>
      <c r="BG385" t="str">
        <f t="shared" si="578"/>
        <v>u</v>
      </c>
      <c r="BH385" cm="1">
        <f t="array" aca="1" ref="BH385" ca="1">IFERROR(_xlfn._xlws.FILTER(shifts!A:A,(shifts!B:B=events!Z385)*(shifts!AG:AG&gt;=events!BJ385)*(shifts!AH:AH&lt;=events!BK385)),BH384)</f>
        <v>13</v>
      </c>
      <c r="BI385" s="15">
        <f t="shared" si="597"/>
        <v>0</v>
      </c>
      <c r="BJ385">
        <f t="shared" si="598"/>
        <v>733</v>
      </c>
      <c r="BK385">
        <f t="shared" si="599"/>
        <v>733</v>
      </c>
      <c r="BL385" s="15">
        <f>SUMIFS(BI$2:BI385,K$2:K385,"=Intermission")+SUMIFS(BI$2:BI385,K$2:K385,"=Timeout")</f>
        <v>0</v>
      </c>
      <c r="BM385">
        <f t="shared" si="600"/>
        <v>0</v>
      </c>
      <c r="BN385" s="19">
        <f t="shared" si="601"/>
        <v>347</v>
      </c>
      <c r="BO385">
        <f t="shared" si="602"/>
        <v>342</v>
      </c>
      <c r="BP385" s="17">
        <f t="shared" si="603"/>
        <v>347</v>
      </c>
      <c r="BQ385" t="str">
        <f t="shared" si="604"/>
        <v>event_team_player_1</v>
      </c>
      <c r="BR385">
        <f>COUNTIFS(S$3:S385,"="&amp;S385,AH$3:AH385,"="&amp;AH385)</f>
        <v>1</v>
      </c>
      <c r="BS385" t="str">
        <f>IFERROR(VLOOKUP(BA385&amp;BT385&amp;X385,game_rosters!U:W,3,FALSE),"")</f>
        <v>P100132</v>
      </c>
      <c r="BT385" t="str">
        <f t="shared" si="605"/>
        <v>Velodrome</v>
      </c>
    </row>
    <row r="386" spans="1:72" x14ac:dyDescent="0.2">
      <c r="A386" t="str">
        <f t="shared" si="580"/>
        <v>x</v>
      </c>
      <c r="D386" s="26" t="s">
        <v>729</v>
      </c>
      <c r="E386" s="4"/>
      <c r="F386" s="45"/>
      <c r="G386" s="4"/>
      <c r="H386" s="47"/>
      <c r="J386" s="26" t="str">
        <f t="shared" si="606"/>
        <v/>
      </c>
      <c r="N386" t="str">
        <f t="shared" si="624"/>
        <v/>
      </c>
      <c r="Q386" t="str">
        <f t="shared" si="618"/>
        <v/>
      </c>
      <c r="S386">
        <f>IF(A386=1,MAX($S$2:$S385)+1,IF(OR($I386&lt;&gt;"",A386="x"),$S385,""))</f>
        <v>193</v>
      </c>
      <c r="T386">
        <f>IF(D386=1,MAX($T$2:$T385)+1,IF(S386=S385,$T385,IF(D386="x",T385,IF(D385="x","",""))))</f>
        <v>24</v>
      </c>
      <c r="U386" t="str">
        <f>IF(B386=1,MAX($U$2:$U385)+1,IF(AND($T386&lt;&gt;"",$T386=$T385),$U385,IF(B386="x",U385,"")))</f>
        <v/>
      </c>
      <c r="V386" t="str">
        <f>IF(C386=1,MAX($V$2:$V385)+1,IF(AND($T386&lt;&gt;"",$T386=$T385),$U385,IF(C386="x",V385,"")))</f>
        <v/>
      </c>
      <c r="W386" t="str" cm="1">
        <f t="array" ref="W386">IFERROR(_xlfn._xlws.FILTER(game_rosters!AC:AC,(game_rosters!J:J=events!X386)*(K386&lt;&gt;"")),"")</f>
        <v/>
      </c>
      <c r="X386" cm="1">
        <f t="array" ref="X386">IF($I386&lt;&gt;"",$I386,INDEX($I$1:$I386,ROW()-COUNTIFS($T$1:$T386,"="&amp;$T386,$S$1:$S386,"&lt;"&amp;$S386)))</f>
        <v>12</v>
      </c>
      <c r="Y386" t="str" cm="1">
        <f t="array" ref="Y386">IFERROR(IF(_xlfn._xlws.FILTER(game_rosters!$J:$J,(game_rosters!$G:$G=events!$AM386)*(game_rosters!$J:$J=events!$X386))&gt;0,1,""),"")</f>
        <v/>
      </c>
      <c r="Z386" s="6">
        <f t="shared" si="581"/>
        <v>1</v>
      </c>
      <c r="AA386">
        <f t="shared" si="582"/>
        <v>1193</v>
      </c>
      <c r="AB386">
        <f t="shared" si="583"/>
        <v>9024</v>
      </c>
      <c r="AC386">
        <f t="shared" si="584"/>
        <v>9024</v>
      </c>
      <c r="AD386" t="str">
        <f t="shared" si="585"/>
        <v>12</v>
      </c>
      <c r="AE386" t="str">
        <f t="shared" si="586"/>
        <v>13</v>
      </c>
      <c r="AF386" t="str">
        <f t="shared" si="587"/>
        <v/>
      </c>
      <c r="AG386" t="str">
        <f t="shared" si="588"/>
        <v/>
      </c>
      <c r="AH386" t="str">
        <f t="shared" si="631"/>
        <v>o</v>
      </c>
      <c r="AI386" t="str">
        <f t="shared" si="673"/>
        <v>d</v>
      </c>
      <c r="AJ386" t="str">
        <f t="shared" si="673"/>
        <v>d</v>
      </c>
      <c r="AK386" t="str">
        <f t="shared" si="633"/>
        <v/>
      </c>
      <c r="AL386" t="str">
        <f t="shared" si="634"/>
        <v/>
      </c>
      <c r="AM386" t="str">
        <f t="shared" si="589"/>
        <v>Away</v>
      </c>
      <c r="AN386" t="str">
        <f t="shared" si="635"/>
        <v>a</v>
      </c>
      <c r="AO386" t="str">
        <f t="shared" si="636"/>
        <v>o</v>
      </c>
      <c r="AP386" t="str">
        <f t="shared" si="637"/>
        <v>d</v>
      </c>
      <c r="AQ386" t="str">
        <f>IF(AM386&lt;&gt;"",AM386,IF($AC386=#REF!,#REF!,""))</f>
        <v>Away</v>
      </c>
      <c r="AR386" t="str">
        <f t="shared" si="638"/>
        <v>a</v>
      </c>
      <c r="AS386" t="str">
        <f t="shared" si="639"/>
        <v>Defensive</v>
      </c>
      <c r="AT386" t="str">
        <f t="shared" si="590"/>
        <v/>
      </c>
      <c r="AU386" t="str">
        <f t="shared" si="591"/>
        <v/>
      </c>
      <c r="AV386" t="str" cm="1">
        <f t="array" ref="AV386">IFERROR(IF(O386&lt;&gt;"",O386,IF(OR($S386="",$T386=""),"",IF(O386&lt;&gt;"",O386,IF($T386&lt;&gt;"",_xlfn._xlws.FILTER(O:O,($BT:$BT=$BT386)*($I:$I=$I386)*($T:$T=$T386)*($S:$S=_xlfn.MINIFS($S:$S,$T:$T,"="&amp;$T386)),"")))))&amp;"",IF(O386="","",""))&amp;""</f>
        <v/>
      </c>
      <c r="AW386" t="str" cm="1">
        <f t="array" ref="AW386">IFERROR(IF(P386&lt;&gt;"",P386,IF(OR($S386="",$T386=""),"",IF($T386&lt;&gt;"",_xlfn._xlws.FILTER(P:P,($BT:$BT=$BT386)*($I:$I=$I386)*($T:$T=$T386)*($S:$S=_xlfn.MINIFS($S:$S,$T:$T,"="&amp;$T386)),""))))&amp;"",IF(P386="","",""))&amp;""</f>
        <v/>
      </c>
      <c r="AX386" t="str" cm="1">
        <f t="array" ref="AX386">IFERROR(IF(Q386&lt;&gt;"",Q386,IF(OR($S386="",$T386=""),"",IF($T386&lt;&gt;"",_xlfn._xlws.FILTER(Q:Q,($BT:$BT=$BT386)*($I:$I=$I386)*($T:$T=$T386)*($S:$S=_xlfn.MINIFS($S:$S,$T:$T,"="&amp;$T386)),""))))&amp;"",IF(Q386="","",""))&amp;""</f>
        <v/>
      </c>
      <c r="AY386" t="str" cm="1">
        <f t="array" ref="AY386">IFERROR(IF(R386&lt;&gt;"",R386,IF(OR($S386="",$T386=""),"",IF($T386&lt;&gt;"",_xlfn._xlws.FILTER(R:R,($BT:$BT=$BT386)*($I:$I=$I386)*($T:$T=$T386)*($S:$S=_xlfn.MINIFS($S:$S,$T:$T,"="&amp;$T386)),""))))&amp;"",IF(R386="","",""))&amp;""</f>
        <v/>
      </c>
      <c r="AZ386" s="6">
        <f t="shared" si="592"/>
        <v>34</v>
      </c>
      <c r="BA386">
        <f t="shared" ref="BA386:BC386" si="681">BA385</f>
        <v>18991</v>
      </c>
      <c r="BB386" t="str">
        <f t="shared" si="681"/>
        <v>Triple J</v>
      </c>
      <c r="BC386" t="str">
        <f t="shared" si="681"/>
        <v>Velodrome</v>
      </c>
      <c r="BD386" t="str">
        <f t="shared" si="594"/>
        <v>Turnover</v>
      </c>
      <c r="BE386" t="str">
        <f t="shared" si="595"/>
        <v>Turnover_Giveaway</v>
      </c>
      <c r="BF386" t="str">
        <f t="shared" si="596"/>
        <v>Giveaway-ZoneClear/Dump</v>
      </c>
      <c r="BG386" t="str">
        <f t="shared" si="578"/>
        <v>u</v>
      </c>
      <c r="BH386" cm="1">
        <f t="array" aca="1" ref="BH386" ca="1">IFERROR(_xlfn._xlws.FILTER(shifts!A:A,(shifts!B:B=events!Z386)*(shifts!AG:AG&gt;=events!BJ386)*(shifts!AH:AH&lt;=events!BK386)),BH385)</f>
        <v>13</v>
      </c>
      <c r="BI386" s="15">
        <f t="shared" si="597"/>
        <v>0</v>
      </c>
      <c r="BJ386">
        <f t="shared" si="598"/>
        <v>733</v>
      </c>
      <c r="BK386">
        <f t="shared" si="599"/>
        <v>733</v>
      </c>
      <c r="BL386" s="15">
        <f>SUMIFS(BI$2:BI386,K$2:K386,"=Intermission")+SUMIFS(BI$2:BI386,K$2:K386,"=Timeout")</f>
        <v>0</v>
      </c>
      <c r="BM386">
        <f t="shared" si="600"/>
        <v>0</v>
      </c>
      <c r="BN386" s="19">
        <f t="shared" si="601"/>
        <v>347</v>
      </c>
      <c r="BO386">
        <f t="shared" si="602"/>
        <v>342</v>
      </c>
      <c r="BP386" s="17">
        <f t="shared" si="603"/>
        <v>347</v>
      </c>
      <c r="BQ386" t="str">
        <f t="shared" si="604"/>
        <v>opp_team_player_1</v>
      </c>
      <c r="BR386">
        <f>COUNTIFS(S$3:S386,"="&amp;S386,AH$3:AH386,"="&amp;AH386)</f>
        <v>1</v>
      </c>
      <c r="BS386" t="str">
        <f>IFERROR(VLOOKUP(BA386&amp;BT386&amp;X386,game_rosters!U:W,3,FALSE),"")</f>
        <v/>
      </c>
      <c r="BT386" t="str">
        <f t="shared" si="605"/>
        <v>Triple J</v>
      </c>
    </row>
    <row r="387" spans="1:72" x14ac:dyDescent="0.2">
      <c r="A387" t="str">
        <f t="shared" si="580"/>
        <v>x</v>
      </c>
      <c r="D387" s="26" t="s">
        <v>729</v>
      </c>
      <c r="E387" s="4"/>
      <c r="F387" s="45"/>
      <c r="G387" s="4"/>
      <c r="H387" s="47"/>
      <c r="J387" s="26" t="str">
        <f t="shared" si="606"/>
        <v/>
      </c>
      <c r="N387" t="str">
        <f t="shared" si="624"/>
        <v/>
      </c>
      <c r="Q387" t="str">
        <f t="shared" si="618"/>
        <v/>
      </c>
      <c r="S387">
        <f>IF(A387=1,MAX($S$2:$S386)+1,IF(OR($I387&lt;&gt;"",A387="x"),$S386,""))</f>
        <v>193</v>
      </c>
      <c r="T387">
        <f>IF(D387=1,MAX($T$2:$T386)+1,IF(S387=S386,$T386,IF(D387="x",T386,IF(D386="x","",""))))</f>
        <v>24</v>
      </c>
      <c r="U387" t="str">
        <f>IF(B387=1,MAX($U$2:$U386)+1,IF(AND($T387&lt;&gt;"",$T387=$T386),$U386,IF(B387="x",U386,"")))</f>
        <v/>
      </c>
      <c r="V387" t="str">
        <f>IF(C387=1,MAX($V$2:$V386)+1,IF(AND($T387&lt;&gt;"",$T387=$T386),$U386,IF(C387="x",V386,"")))</f>
        <v/>
      </c>
      <c r="W387" t="str" cm="1">
        <f t="array" ref="W387">IFERROR(_xlfn._xlws.FILTER(game_rosters!AC:AC,(game_rosters!J:J=events!X387)*(K387&lt;&gt;"")),"")</f>
        <v/>
      </c>
      <c r="X387" cm="1">
        <f t="array" ref="X387">IF($I387&lt;&gt;"",$I387,INDEX($I$1:$I387,ROW()-COUNTIFS($T$1:$T387,"="&amp;$T387,$S$1:$S387,"&lt;"&amp;$S387)))</f>
        <v>19</v>
      </c>
      <c r="Y387" t="str" cm="1">
        <f t="array" ref="Y387">IFERROR(IF(_xlfn._xlws.FILTER(game_rosters!$J:$J,(game_rosters!$G:$G=events!$AM387)*(game_rosters!$J:$J=events!$X387))&gt;0,1,""),"")</f>
        <v/>
      </c>
      <c r="Z387" s="6">
        <f t="shared" si="581"/>
        <v>1</v>
      </c>
      <c r="AA387">
        <f t="shared" si="582"/>
        <v>1193</v>
      </c>
      <c r="AB387">
        <f t="shared" si="583"/>
        <v>9024</v>
      </c>
      <c r="AC387">
        <f t="shared" si="584"/>
        <v>9024</v>
      </c>
      <c r="AD387" t="str">
        <f t="shared" si="585"/>
        <v>12</v>
      </c>
      <c r="AE387" t="str">
        <f t="shared" si="586"/>
        <v>13</v>
      </c>
      <c r="AF387" t="str">
        <f t="shared" si="587"/>
        <v/>
      </c>
      <c r="AG387" t="str">
        <f t="shared" si="588"/>
        <v/>
      </c>
      <c r="AH387" t="str">
        <f t="shared" si="631"/>
        <v>o</v>
      </c>
      <c r="AI387" t="str">
        <f t="shared" si="673"/>
        <v>d</v>
      </c>
      <c r="AJ387" t="str">
        <f t="shared" si="673"/>
        <v>d</v>
      </c>
      <c r="AK387" t="str">
        <f t="shared" si="633"/>
        <v/>
      </c>
      <c r="AL387" t="str">
        <f t="shared" si="634"/>
        <v/>
      </c>
      <c r="AM387" t="str">
        <f t="shared" si="589"/>
        <v>Away</v>
      </c>
      <c r="AN387" t="str">
        <f t="shared" si="635"/>
        <v>a</v>
      </c>
      <c r="AO387" t="str">
        <f t="shared" si="636"/>
        <v>o</v>
      </c>
      <c r="AP387" t="str">
        <f t="shared" si="637"/>
        <v>d</v>
      </c>
      <c r="AQ387" t="str">
        <f>IF(AM387&lt;&gt;"",AM387,IF($AC387=#REF!,#REF!,""))</f>
        <v>Away</v>
      </c>
      <c r="AR387" t="str">
        <f t="shared" si="638"/>
        <v>a</v>
      </c>
      <c r="AS387" t="str">
        <f t="shared" si="639"/>
        <v>Defensive</v>
      </c>
      <c r="AT387" t="str">
        <f t="shared" si="590"/>
        <v/>
      </c>
      <c r="AU387" t="str">
        <f t="shared" si="591"/>
        <v/>
      </c>
      <c r="AV387" t="str" cm="1">
        <f t="array" ref="AV387">IFERROR(IF(O387&lt;&gt;"",O387,IF(OR($S387="",$T387=""),"",IF(O387&lt;&gt;"",O387,IF($T387&lt;&gt;"",_xlfn._xlws.FILTER(O:O,($BT:$BT=$BT387)*($I:$I=$I387)*($T:$T=$T387)*($S:$S=_xlfn.MINIFS($S:$S,$T:$T,"="&amp;$T387)),"")))))&amp;"",IF(O387="","",""))&amp;""</f>
        <v/>
      </c>
      <c r="AW387" t="str" cm="1">
        <f t="array" ref="AW387">IFERROR(IF(P387&lt;&gt;"",P387,IF(OR($S387="",$T387=""),"",IF($T387&lt;&gt;"",_xlfn._xlws.FILTER(P:P,($BT:$BT=$BT387)*($I:$I=$I387)*($T:$T=$T387)*($S:$S=_xlfn.MINIFS($S:$S,$T:$T,"="&amp;$T387)),""))))&amp;"",IF(P387="","",""))&amp;""</f>
        <v/>
      </c>
      <c r="AX387" t="str" cm="1">
        <f t="array" ref="AX387">IFERROR(IF(Q387&lt;&gt;"",Q387,IF(OR($S387="",$T387=""),"",IF($T387&lt;&gt;"",_xlfn._xlws.FILTER(Q:Q,($BT:$BT=$BT387)*($I:$I=$I387)*($T:$T=$T387)*($S:$S=_xlfn.MINIFS($S:$S,$T:$T,"="&amp;$T387)),""))))&amp;"",IF(Q387="","",""))&amp;""</f>
        <v/>
      </c>
      <c r="AY387" t="str" cm="1">
        <f t="array" ref="AY387">IFERROR(IF(R387&lt;&gt;"",R387,IF(OR($S387="",$T387=""),"",IF($T387&lt;&gt;"",_xlfn._xlws.FILTER(R:R,($BT:$BT=$BT387)*($I:$I=$I387)*($T:$T=$T387)*($S:$S=_xlfn.MINIFS($S:$S,$T:$T,"="&amp;$T387)),""))))&amp;"",IF(R387="","",""))&amp;""</f>
        <v/>
      </c>
      <c r="AZ387" s="6">
        <f t="shared" si="592"/>
        <v>34</v>
      </c>
      <c r="BA387">
        <f t="shared" ref="BA387:BC387" si="682">BA386</f>
        <v>18991</v>
      </c>
      <c r="BB387" t="str">
        <f t="shared" si="682"/>
        <v>Triple J</v>
      </c>
      <c r="BC387" t="str">
        <f t="shared" si="682"/>
        <v>Velodrome</v>
      </c>
      <c r="BD387" t="str">
        <f t="shared" si="594"/>
        <v>Turnover</v>
      </c>
      <c r="BE387" t="str">
        <f t="shared" si="595"/>
        <v>Turnover_Giveaway</v>
      </c>
      <c r="BF387" t="str">
        <f t="shared" si="596"/>
        <v>Giveaway-ZoneClear/Dump</v>
      </c>
      <c r="BG387" t="str">
        <f t="shared" ref="BG387:BG450" si="683">IF($N387&lt;&gt;"",$N387,IF($S387=$S386,BG386,""))</f>
        <v>u</v>
      </c>
      <c r="BH387" cm="1">
        <f t="array" aca="1" ref="BH387" ca="1">IFERROR(_xlfn._xlws.FILTER(shifts!A:A,(shifts!B:B=events!Z387)*(shifts!AG:AG&gt;=events!BJ387)*(shifts!AH:AH&lt;=events!BK387)),BH386)</f>
        <v>13</v>
      </c>
      <c r="BI387" s="15">
        <f t="shared" si="597"/>
        <v>0</v>
      </c>
      <c r="BJ387">
        <f t="shared" si="598"/>
        <v>733</v>
      </c>
      <c r="BK387">
        <f t="shared" si="599"/>
        <v>733</v>
      </c>
      <c r="BL387" s="15">
        <f>SUMIFS(BI$2:BI387,K$2:K387,"=Intermission")+SUMIFS(BI$2:BI387,K$2:K387,"=Timeout")</f>
        <v>0</v>
      </c>
      <c r="BM387">
        <f t="shared" si="600"/>
        <v>0</v>
      </c>
      <c r="BN387" s="19">
        <f t="shared" si="601"/>
        <v>347</v>
      </c>
      <c r="BO387">
        <f t="shared" si="602"/>
        <v>342</v>
      </c>
      <c r="BP387" s="17">
        <f t="shared" si="603"/>
        <v>347</v>
      </c>
      <c r="BQ387" t="str">
        <f t="shared" si="604"/>
        <v>opp_team_player_2</v>
      </c>
      <c r="BR387">
        <f>COUNTIFS(S$3:S387,"="&amp;S387,AH$3:AH387,"="&amp;AH387)</f>
        <v>2</v>
      </c>
      <c r="BS387" t="str">
        <f>IFERROR(VLOOKUP(BA387&amp;BT387&amp;X387,game_rosters!U:W,3,FALSE),"")</f>
        <v>P100089</v>
      </c>
      <c r="BT387" t="str">
        <f t="shared" si="605"/>
        <v>Triple J</v>
      </c>
    </row>
    <row r="388" spans="1:72" x14ac:dyDescent="0.2">
      <c r="A388">
        <f t="shared" si="580"/>
        <v>1</v>
      </c>
      <c r="E388" s="4"/>
      <c r="F388" s="45" t="s">
        <v>746</v>
      </c>
      <c r="G388" s="4"/>
      <c r="H388" s="47" t="s">
        <v>1050</v>
      </c>
      <c r="I388" s="26">
        <v>41</v>
      </c>
      <c r="J388" s="26" t="s">
        <v>734</v>
      </c>
      <c r="K388" t="s">
        <v>13</v>
      </c>
      <c r="L388" t="s">
        <v>586</v>
      </c>
      <c r="N388" t="str">
        <f t="shared" si="624"/>
        <v/>
      </c>
      <c r="O388" t="s">
        <v>912</v>
      </c>
      <c r="Q388" t="str">
        <f t="shared" si="618"/>
        <v/>
      </c>
      <c r="S388">
        <f>IF(A388=1,MAX($S$2:$S387)+1,IF(OR($I388&lt;&gt;"",A388="x"),$S387,""))</f>
        <v>194</v>
      </c>
      <c r="T388" t="str">
        <f>IF(D388=1,MAX($T$2:$T387)+1,IF(S388=S387,$T387,IF(D388="x",T387,IF(D387="x","",""))))</f>
        <v/>
      </c>
      <c r="U388" t="str">
        <f>IF(B388=1,MAX($U$2:$U387)+1,IF(AND($T388&lt;&gt;"",$T388=$T387),$U387,IF(B388="x",U387,"")))</f>
        <v/>
      </c>
      <c r="V388" t="str">
        <f>IF(C388=1,MAX($V$2:$V387)+1,IF(AND($T388&lt;&gt;"",$T388=$T387),$U387,IF(C388="x",V387,"")))</f>
        <v/>
      </c>
      <c r="W388" t="str" cm="1">
        <f t="array" ref="W388">IFERROR(_xlfn._xlws.FILTER(game_rosters!AC:AC,(game_rosters!J:J=events!X388)*(K388&lt;&gt;"")),"")</f>
        <v>h</v>
      </c>
      <c r="X388" cm="1">
        <f t="array" ref="X388">IF($I388&lt;&gt;"",$I388,INDEX($I$1:$I388,ROW()-COUNTIFS($T$1:$T388,"="&amp;$T388,$S$1:$S388,"&lt;"&amp;$S388)))</f>
        <v>41</v>
      </c>
      <c r="Y388" cm="1">
        <f t="array" ref="Y388">IFERROR(IF(_xlfn._xlws.FILTER(game_rosters!$J:$J,(game_rosters!$G:$G=events!$AM388)*(game_rosters!$J:$J=events!$X388))&gt;0,1,""),"")</f>
        <v>1</v>
      </c>
      <c r="Z388" s="6">
        <f t="shared" si="581"/>
        <v>1</v>
      </c>
      <c r="AA388">
        <f t="shared" si="582"/>
        <v>1194</v>
      </c>
      <c r="AB388" t="str">
        <f t="shared" si="583"/>
        <v/>
      </c>
      <c r="AC388">
        <f t="shared" si="584"/>
        <v>1194</v>
      </c>
      <c r="AD388" t="str">
        <f t="shared" si="585"/>
        <v>12</v>
      </c>
      <c r="AE388" t="str">
        <f t="shared" si="586"/>
        <v>12</v>
      </c>
      <c r="AF388" t="str">
        <f t="shared" si="587"/>
        <v>12</v>
      </c>
      <c r="AG388" t="str">
        <f t="shared" si="588"/>
        <v>10</v>
      </c>
      <c r="AH388" t="str">
        <f t="shared" si="631"/>
        <v>e</v>
      </c>
      <c r="AI388" t="str">
        <f t="shared" si="673"/>
        <v>n</v>
      </c>
      <c r="AJ388" t="str">
        <f t="shared" si="673"/>
        <v>n</v>
      </c>
      <c r="AK388" t="str">
        <f t="shared" si="633"/>
        <v>n</v>
      </c>
      <c r="AL388" t="str">
        <f t="shared" si="634"/>
        <v>n</v>
      </c>
      <c r="AM388" t="str">
        <f t="shared" si="589"/>
        <v>Home</v>
      </c>
      <c r="AN388" t="str">
        <f t="shared" si="635"/>
        <v>h</v>
      </c>
      <c r="AO388" t="str">
        <f t="shared" si="636"/>
        <v>n</v>
      </c>
      <c r="AP388" t="str">
        <f t="shared" si="637"/>
        <v>n</v>
      </c>
      <c r="AQ388" t="str">
        <f>IF(AM388&lt;&gt;"",AM388,IF($AC388=#REF!,#REF!,""))</f>
        <v>Home</v>
      </c>
      <c r="AR388" t="str">
        <f t="shared" si="638"/>
        <v>h</v>
      </c>
      <c r="AS388" t="str">
        <f t="shared" si="639"/>
        <v>Offensive</v>
      </c>
      <c r="AT388" t="str">
        <f t="shared" si="590"/>
        <v/>
      </c>
      <c r="AU388" t="str">
        <f t="shared" si="591"/>
        <v/>
      </c>
      <c r="AV388" t="str" cm="1">
        <f t="array" ref="AV388">IFERROR(IF(O388&lt;&gt;"",O388,IF(OR($S388="",$T388=""),"",IF(O388&lt;&gt;"",O388,IF($T388&lt;&gt;"",_xlfn._xlws.FILTER(O:O,($BT:$BT=$BT388)*($I:$I=$I388)*($T:$T=$T388)*($S:$S=_xlfn.MINIFS($S:$S,$T:$T,"="&amp;$T388)),"")))))&amp;"",IF(O388="","",""))&amp;""</f>
        <v>PuckRecoveryRetreivalClear</v>
      </c>
      <c r="AW388" t="str" cm="1">
        <f t="array" ref="AW388">IFERROR(IF(P388&lt;&gt;"",P388,IF(OR($S388="",$T388=""),"",IF($T388&lt;&gt;"",_xlfn._xlws.FILTER(P:P,($BT:$BT=$BT388)*($I:$I=$I388)*($T:$T=$T388)*($S:$S=_xlfn.MINIFS($S:$S,$T:$T,"="&amp;$T388)),""))))&amp;"",IF(P388="","",""))&amp;""</f>
        <v/>
      </c>
      <c r="AX388" t="str" cm="1">
        <f t="array" ref="AX388">IFERROR(IF(Q388&lt;&gt;"",Q388,IF(OR($S388="",$T388=""),"",IF($T388&lt;&gt;"",_xlfn._xlws.FILTER(Q:Q,($BT:$BT=$BT388)*($I:$I=$I388)*($T:$T=$T388)*($S:$S=_xlfn.MINIFS($S:$S,$T:$T,"="&amp;$T388)),""))))&amp;"",IF(Q388="","",""))&amp;""</f>
        <v/>
      </c>
      <c r="AY388" t="str" cm="1">
        <f t="array" ref="AY388">IFERROR(IF(R388&lt;&gt;"",R388,IF(OR($S388="",$T388=""),"",IF($T388&lt;&gt;"",_xlfn._xlws.FILTER(R:R,($BT:$BT=$BT388)*($I:$I=$I388)*($T:$T=$T388)*($S:$S=_xlfn.MINIFS($S:$S,$T:$T,"="&amp;$T388)),""))))&amp;"",IF(R388="","",""))&amp;""</f>
        <v/>
      </c>
      <c r="AZ388" s="6">
        <f t="shared" si="592"/>
        <v>34</v>
      </c>
      <c r="BA388">
        <f t="shared" ref="BA388:BC388" si="684">BA387</f>
        <v>18991</v>
      </c>
      <c r="BB388" t="str">
        <f t="shared" si="684"/>
        <v>Triple J</v>
      </c>
      <c r="BC388" t="str">
        <f t="shared" si="684"/>
        <v>Velodrome</v>
      </c>
      <c r="BD388" t="str">
        <f t="shared" si="594"/>
        <v>Possession</v>
      </c>
      <c r="BE388" t="str">
        <f t="shared" si="595"/>
        <v>PuckRetrieval</v>
      </c>
      <c r="BF388" t="str">
        <f t="shared" si="596"/>
        <v/>
      </c>
      <c r="BG388" t="str">
        <f t="shared" si="683"/>
        <v/>
      </c>
      <c r="BH388" cm="1">
        <f t="array" aca="1" ref="BH388" ca="1">IFERROR(_xlfn._xlws.FILTER(shifts!A:A,(shifts!B:B=events!Z388)*(shifts!AG:AG&gt;=events!BJ388)*(shifts!AH:AH&lt;=events!BK388)),BH387)</f>
        <v>13</v>
      </c>
      <c r="BI388" s="15">
        <f t="shared" si="597"/>
        <v>2</v>
      </c>
      <c r="BJ388">
        <f t="shared" si="598"/>
        <v>732</v>
      </c>
      <c r="BK388">
        <f t="shared" si="599"/>
        <v>730</v>
      </c>
      <c r="BL388" s="15">
        <f>SUMIFS(BI$2:BI388,K$2:K388,"=Intermission")+SUMIFS(BI$2:BI388,K$2:K388,"=Timeout")</f>
        <v>0</v>
      </c>
      <c r="BM388">
        <f t="shared" si="600"/>
        <v>0</v>
      </c>
      <c r="BN388" s="19">
        <f t="shared" si="601"/>
        <v>348</v>
      </c>
      <c r="BO388">
        <f t="shared" si="602"/>
        <v>343</v>
      </c>
      <c r="BP388" s="17">
        <f t="shared" si="603"/>
        <v>350</v>
      </c>
      <c r="BQ388" t="str">
        <f t="shared" si="604"/>
        <v>event_team_player_1</v>
      </c>
      <c r="BR388">
        <f>COUNTIFS(S$3:S388,"="&amp;S388,AH$3:AH388,"="&amp;AH388)</f>
        <v>1</v>
      </c>
      <c r="BS388" t="str">
        <f>IFERROR(VLOOKUP(BA388&amp;BT388&amp;X388,game_rosters!U:W,3,FALSE),"")</f>
        <v>P100206</v>
      </c>
      <c r="BT388" t="str">
        <f t="shared" si="605"/>
        <v>Triple J</v>
      </c>
    </row>
    <row r="389" spans="1:72" x14ac:dyDescent="0.2">
      <c r="A389">
        <f t="shared" ref="A389:A452" si="685">IF(K389&lt;&gt;"",1,IF(D389="x","x",""))</f>
        <v>1</v>
      </c>
      <c r="E389" s="4"/>
      <c r="F389" s="45"/>
      <c r="G389" s="4"/>
      <c r="H389" s="47"/>
      <c r="I389" s="26">
        <v>41</v>
      </c>
      <c r="J389" s="26" t="s">
        <v>734</v>
      </c>
      <c r="K389" t="s">
        <v>7</v>
      </c>
      <c r="N389" t="str">
        <f t="shared" si="624"/>
        <v>u</v>
      </c>
      <c r="Q389" t="str">
        <f t="shared" si="618"/>
        <v/>
      </c>
      <c r="S389">
        <f>IF(A389=1,MAX($S$2:$S388)+1,IF(OR($I389&lt;&gt;"",A389="x"),$S388,""))</f>
        <v>195</v>
      </c>
      <c r="T389" t="str">
        <f>IF(D389=1,MAX($T$2:$T388)+1,IF(S389=S388,$T388,IF(D389="x",T388,IF(D388="x","",""))))</f>
        <v/>
      </c>
      <c r="U389" t="str">
        <f>IF(B389=1,MAX($U$2:$U388)+1,IF(AND($T389&lt;&gt;"",$T389=$T388),$U388,IF(B389="x",U388,"")))</f>
        <v/>
      </c>
      <c r="V389" t="str">
        <f>IF(C389=1,MAX($V$2:$V388)+1,IF(AND($T389&lt;&gt;"",$T389=$T388),$U388,IF(C389="x",V388,"")))</f>
        <v/>
      </c>
      <c r="W389" t="str" cm="1">
        <f t="array" ref="W389">IFERROR(_xlfn._xlws.FILTER(game_rosters!AC:AC,(game_rosters!J:J=events!X389)*(K389&lt;&gt;"")),"")</f>
        <v>h</v>
      </c>
      <c r="X389" cm="1">
        <f t="array" ref="X389">IF($I389&lt;&gt;"",$I389,INDEX($I$1:$I389,ROW()-COUNTIFS($T$1:$T389,"="&amp;$T389,$S$1:$S389,"&lt;"&amp;$S389)))</f>
        <v>41</v>
      </c>
      <c r="Y389" cm="1">
        <f t="array" ref="Y389">IFERROR(IF(_xlfn._xlws.FILTER(game_rosters!$J:$J,(game_rosters!$G:$G=events!$AM389)*(game_rosters!$J:$J=events!$X389))&gt;0,1,""),"")</f>
        <v>1</v>
      </c>
      <c r="Z389" s="6">
        <f t="shared" ref="Z389:Z452" si="686">IF(K389="Intermission",Z388+1,Z388)</f>
        <v>1</v>
      </c>
      <c r="AA389">
        <f t="shared" ref="AA389:AA452" si="687">S389+1000</f>
        <v>1195</v>
      </c>
      <c r="AB389" t="str">
        <f t="shared" ref="AB389:AB452" si="688">IF(T389&lt;&gt;"",9000+T389,"")</f>
        <v/>
      </c>
      <c r="AC389">
        <f t="shared" ref="AC389:AC452" si="689">IF(AB389&lt;&gt;"",AB389,S389+1000)</f>
        <v>1195</v>
      </c>
      <c r="AD389" t="str">
        <f t="shared" ref="AD389:AD452" si="690">IF(E389&lt;&gt;"",E389,IF($AC389=$AC388,AD388,IF(AF388&lt;&gt;"",AF388,IF(AD388&lt;&gt;"",AD388,""))))</f>
        <v>12</v>
      </c>
      <c r="AE389" t="str">
        <f t="shared" ref="AE389:AE452" si="691">IF(F389&lt;&gt;"",F389,IF($AC389=$AC388,AE388,IF(AG388&lt;&gt;"",AG388,IF(AE388&lt;&gt;"",AE388,""))))</f>
        <v>10</v>
      </c>
      <c r="AF389" t="str">
        <f t="shared" ref="AF389:AF452" si="692">IF(G389&lt;&gt;"",G389,IF($AC389=$AC388,AF388,IF(H389="","",AD389)))</f>
        <v/>
      </c>
      <c r="AG389" t="str">
        <f t="shared" ref="AG389:AG452" si="693">IF(H389&lt;&gt;"",H389,IF($S389=$S388,AG388,""))</f>
        <v/>
      </c>
      <c r="AH389" t="str">
        <f t="shared" si="631"/>
        <v>e</v>
      </c>
      <c r="AI389" t="str">
        <f t="shared" si="673"/>
        <v>n</v>
      </c>
      <c r="AJ389" t="str">
        <f t="shared" si="673"/>
        <v>n</v>
      </c>
      <c r="AK389" t="str">
        <f t="shared" si="633"/>
        <v>n</v>
      </c>
      <c r="AL389" t="str">
        <f t="shared" si="634"/>
        <v>n</v>
      </c>
      <c r="AM389" t="str">
        <f t="shared" ref="AM389:AM452" si="694">IF(AN389="H","Home",IF(AN389="A","Away",""))</f>
        <v>Home</v>
      </c>
      <c r="AN389" t="str">
        <f t="shared" si="635"/>
        <v>h</v>
      </c>
      <c r="AO389" t="str">
        <f t="shared" si="636"/>
        <v>n</v>
      </c>
      <c r="AP389" t="str">
        <f t="shared" si="637"/>
        <v>n</v>
      </c>
      <c r="AQ389" t="str">
        <f>IF(AM389&lt;&gt;"",AM389,IF($AC389=#REF!,#REF!,""))</f>
        <v>Home</v>
      </c>
      <c r="AR389" t="str">
        <f t="shared" si="638"/>
        <v>h</v>
      </c>
      <c r="AS389" t="str">
        <f t="shared" si="639"/>
        <v>Offensive</v>
      </c>
      <c r="AT389" t="str">
        <f t="shared" ref="AT389:AT452" si="695">IF(U389&lt;&gt;"",U389+5000,"")</f>
        <v/>
      </c>
      <c r="AU389" t="str">
        <f t="shared" ref="AU389:AU452" si="696">IF(V389&lt;&gt;"",V389+6000,"")</f>
        <v/>
      </c>
      <c r="AV389" t="str" cm="1">
        <f t="array" ref="AV389">IFERROR(IF(O389&lt;&gt;"",O389,IF(OR($S389="",$T389=""),"",IF(O389&lt;&gt;"",O389,IF($T389&lt;&gt;"",_xlfn._xlws.FILTER(O:O,($BT:$BT=$BT389)*($I:$I=$I389)*($T:$T=$T389)*($S:$S=_xlfn.MINIFS($S:$S,$T:$T,"="&amp;$T389)),"")))))&amp;"",IF(O389="","",""))&amp;""</f>
        <v/>
      </c>
      <c r="AW389" t="str" cm="1">
        <f t="array" ref="AW389">IFERROR(IF(P389&lt;&gt;"",P389,IF(OR($S389="",$T389=""),"",IF($T389&lt;&gt;"",_xlfn._xlws.FILTER(P:P,($BT:$BT=$BT389)*($I:$I=$I389)*($T:$T=$T389)*($S:$S=_xlfn.MINIFS($S:$S,$T:$T,"="&amp;$T389)),""))))&amp;"",IF(P389="","",""))&amp;""</f>
        <v/>
      </c>
      <c r="AX389" t="str" cm="1">
        <f t="array" ref="AX389">IFERROR(IF(Q389&lt;&gt;"",Q389,IF(OR($S389="",$T389=""),"",IF($T389&lt;&gt;"",_xlfn._xlws.FILTER(Q:Q,($BT:$BT=$BT389)*($I:$I=$I389)*($T:$T=$T389)*($S:$S=_xlfn.MINIFS($S:$S,$T:$T,"="&amp;$T389)),""))))&amp;"",IF(Q389="","",""))&amp;""</f>
        <v/>
      </c>
      <c r="AY389" t="str" cm="1">
        <f t="array" ref="AY389">IFERROR(IF(R389&lt;&gt;"",R389,IF(OR($S389="",$T389=""),"",IF($T389&lt;&gt;"",_xlfn._xlws.FILTER(R:R,($BT:$BT=$BT389)*($I:$I=$I389)*($T:$T=$T389)*($S:$S=_xlfn.MINIFS($S:$S,$T:$T,"="&amp;$T389)),""))))&amp;"",IF(R389="","",""))&amp;""</f>
        <v/>
      </c>
      <c r="AZ389" s="6">
        <f t="shared" ref="AZ389:AZ452" si="697">IF(OR(L389="Zone_Entry",L389="Zone_Exit"),AZ388+1,AZ388)</f>
        <v>34</v>
      </c>
      <c r="BA389">
        <f t="shared" ref="BA389:BC389" si="698">BA388</f>
        <v>18991</v>
      </c>
      <c r="BB389" t="str">
        <f t="shared" si="698"/>
        <v>Triple J</v>
      </c>
      <c r="BC389" t="str">
        <f t="shared" si="698"/>
        <v>Velodrome</v>
      </c>
      <c r="BD389" t="str">
        <f t="shared" ref="BD389:BD452" si="699">IF($K389&lt;&gt;"",$K389,IF($S389=$S388,BD388,""))</f>
        <v>Pass</v>
      </c>
      <c r="BE389" t="str">
        <f t="shared" ref="BE389:BE452" si="700">IF(L389&lt;&gt;"",L389,IF($S389=$S388,BE388,""))</f>
        <v/>
      </c>
      <c r="BF389" t="str">
        <f t="shared" ref="BF389:BF452" si="701">IF(M389&lt;&gt;"",M389,IF($S389=$S388,BF388,""))</f>
        <v/>
      </c>
      <c r="BG389" t="str">
        <f t="shared" si="683"/>
        <v>u</v>
      </c>
      <c r="BH389" cm="1">
        <f t="array" aca="1" ref="BH389" ca="1">IFERROR(_xlfn._xlws.FILTER(shifts!A:A,(shifts!B:B=events!Z389)*(shifts!AG:AG&gt;=events!BJ389)*(shifts!AH:AH&lt;=events!BK389)),BH388)</f>
        <v>13</v>
      </c>
      <c r="BI389" s="15">
        <f t="shared" ref="BI389:BI452" si="702">IF(AND(AF389="",AG389=""),0,((AD389*60)+AE389)-((AF389*60)+AG389))</f>
        <v>0</v>
      </c>
      <c r="BJ389">
        <f t="shared" ref="BJ389:BJ452" si="703">(AD389*60)+AE389</f>
        <v>730</v>
      </c>
      <c r="BK389">
        <f t="shared" ref="BK389:BK452" si="704">IF(AND(AF389="",AG389=""),BJ389,((AF389*60)+AG389))</f>
        <v>730</v>
      </c>
      <c r="BL389" s="15">
        <f>SUMIFS(BI$2:BI389,K$2:K389,"=Intermission")+SUMIFS(BI$2:BI389,K$2:K389,"=Timeout")</f>
        <v>0</v>
      </c>
      <c r="BM389">
        <f t="shared" ref="BM389:BM452" si="705">IF(Z389=1,0,IF(Z389=2,1080+BL389,IF(Z389=3,(1080*2)+BL389,0)))</f>
        <v>0</v>
      </c>
      <c r="BN389" s="19">
        <f t="shared" ref="BN389:BN452" si="706">IF(K389="Intermission",BN388,((1080)-((AD389*60)+AE389))+BM389)</f>
        <v>350</v>
      </c>
      <c r="BO389">
        <f t="shared" ref="BO389:BO452" si="707">IF(BN389&lt;5,0,BN389-5)</f>
        <v>345</v>
      </c>
      <c r="BP389" s="17">
        <f t="shared" ref="BP389:BP452" si="708">BO389+BI389+5</f>
        <v>350</v>
      </c>
      <c r="BQ389" t="str">
        <f t="shared" ref="BQ389:BQ452" si="709">IF(AH389="e","event_team_player_"&amp;BR389,IF(AH389="o","opp_team_player_"&amp;BR389,""))</f>
        <v>event_team_player_1</v>
      </c>
      <c r="BR389">
        <f>COUNTIFS(S$3:S389,"="&amp;S389,AH$3:AH389,"="&amp;AH389)</f>
        <v>1</v>
      </c>
      <c r="BS389" t="str">
        <f>IFERROR(VLOOKUP(BA389&amp;BT389&amp;X389,game_rosters!U:W,3,FALSE),"")</f>
        <v>P100206</v>
      </c>
      <c r="BT389" t="str">
        <f t="shared" ref="BT389:BT452" si="710">IF(AQ389="","",IF(AND(AQ389="Away",AH389="e"),BC389,IF(AND(AQ389="Home",AH389="e"),BB389,IF(AND(AQ389="Away",AH389="o"),BB389,IF(AND(AQ389="Home",AH389="o"),BC389)))))</f>
        <v>Triple J</v>
      </c>
    </row>
    <row r="390" spans="1:72" x14ac:dyDescent="0.2">
      <c r="A390" t="str">
        <f t="shared" si="685"/>
        <v/>
      </c>
      <c r="E390" s="4"/>
      <c r="F390" s="45"/>
      <c r="G390" s="4"/>
      <c r="H390" s="47"/>
      <c r="I390" s="26">
        <v>73</v>
      </c>
      <c r="J390" s="26" t="str">
        <f t="shared" ref="J390:J452" si="711">IF(OR(K390="Goal",K390="Shot",L390="Zone_Entry",M390="Stoppage-Goal",M389="Stoppage-Goal"),"o",IF(OR(K390="Save",K390="Rebound",L390="Zone_Exit",M390="Stoppage-GoalieStoppage",M389="Stoppage-GoalieStoppage"),"d",IF(OR(L390="Faceoff_AfterGoal",L390="Faceoff_PeriodStart",698="Faceoff_GameStart",M389="Stoppage-Goal"),"n","")))</f>
        <v/>
      </c>
      <c r="N390" t="str">
        <f t="shared" si="624"/>
        <v/>
      </c>
      <c r="Q390" t="str">
        <f t="shared" si="618"/>
        <v/>
      </c>
      <c r="S390">
        <f>IF(A390=1,MAX($S$2:$S389)+1,IF(OR($I390&lt;&gt;"",A390="x"),$S389,""))</f>
        <v>195</v>
      </c>
      <c r="T390" t="str">
        <f>IF(D390=1,MAX($T$2:$T389)+1,IF(S390=S389,$T389,IF(D390="x",T389,IF(D389="x","",""))))</f>
        <v/>
      </c>
      <c r="U390" t="str">
        <f>IF(B390=1,MAX($U$2:$U389)+1,IF(AND($T390&lt;&gt;"",$T390=$T389),$U389,IF(B390="x",U389,"")))</f>
        <v/>
      </c>
      <c r="V390" t="str">
        <f>IF(C390=1,MAX($V$2:$V389)+1,IF(AND($T390&lt;&gt;"",$T390=$T389),$U389,IF(C390="x",V389,"")))</f>
        <v/>
      </c>
      <c r="W390" t="str" cm="1">
        <f t="array" ref="W390">IFERROR(_xlfn._xlws.FILTER(game_rosters!AC:AC,(game_rosters!J:J=events!X390)*(K390&lt;&gt;"")),"")</f>
        <v/>
      </c>
      <c r="X390" cm="1">
        <f t="array" ref="X390">IF($I390&lt;&gt;"",$I390,INDEX($I$1:$I390,ROW()-COUNTIFS($T$1:$T390,"="&amp;$T390,$S$1:$S390,"&lt;"&amp;$S390)))</f>
        <v>73</v>
      </c>
      <c r="Y390" cm="1">
        <f t="array" ref="Y390">IFERROR(IF(_xlfn._xlws.FILTER(game_rosters!$J:$J,(game_rosters!$G:$G=events!$AM390)*(game_rosters!$J:$J=events!$X390))&gt;0,1,""),"")</f>
        <v>1</v>
      </c>
      <c r="Z390" s="6">
        <f t="shared" si="686"/>
        <v>1</v>
      </c>
      <c r="AA390">
        <f t="shared" si="687"/>
        <v>1195</v>
      </c>
      <c r="AB390" t="str">
        <f t="shared" si="688"/>
        <v/>
      </c>
      <c r="AC390">
        <f t="shared" si="689"/>
        <v>1195</v>
      </c>
      <c r="AD390" t="str">
        <f t="shared" si="690"/>
        <v>12</v>
      </c>
      <c r="AE390" t="str">
        <f t="shared" si="691"/>
        <v>10</v>
      </c>
      <c r="AF390" t="str">
        <f t="shared" si="692"/>
        <v/>
      </c>
      <c r="AG390" t="str">
        <f t="shared" si="693"/>
        <v/>
      </c>
      <c r="AH390" t="str">
        <f t="shared" si="631"/>
        <v>e</v>
      </c>
      <c r="AI390" t="str">
        <f t="shared" si="673"/>
        <v>n</v>
      </c>
      <c r="AJ390" t="str">
        <f t="shared" si="673"/>
        <v>n</v>
      </c>
      <c r="AK390" t="str">
        <f t="shared" si="633"/>
        <v/>
      </c>
      <c r="AL390" t="str">
        <f t="shared" si="634"/>
        <v/>
      </c>
      <c r="AM390" t="str">
        <f t="shared" si="694"/>
        <v>Home</v>
      </c>
      <c r="AN390" t="str">
        <f t="shared" si="635"/>
        <v>h</v>
      </c>
      <c r="AO390" t="str">
        <f t="shared" si="636"/>
        <v>n</v>
      </c>
      <c r="AP390" t="str">
        <f t="shared" si="637"/>
        <v>n</v>
      </c>
      <c r="AQ390" t="str">
        <f>IF(AM390&lt;&gt;"",AM390,IF($AC390=#REF!,#REF!,""))</f>
        <v>Home</v>
      </c>
      <c r="AR390" t="str">
        <f t="shared" si="638"/>
        <v>h</v>
      </c>
      <c r="AS390" t="str">
        <f t="shared" si="639"/>
        <v>Offensive</v>
      </c>
      <c r="AT390" t="str">
        <f t="shared" si="695"/>
        <v/>
      </c>
      <c r="AU390" t="str">
        <f t="shared" si="696"/>
        <v/>
      </c>
      <c r="AV390" t="str" cm="1">
        <f t="array" ref="AV390">IFERROR(IF(O390&lt;&gt;"",O390,IF(OR($S390="",$T390=""),"",IF(O390&lt;&gt;"",O390,IF($T390&lt;&gt;"",_xlfn._xlws.FILTER(O:O,($BT:$BT=$BT390)*($I:$I=$I390)*($T:$T=$T390)*($S:$S=_xlfn.MINIFS($S:$S,$T:$T,"="&amp;$T390)),"")))))&amp;"",IF(O390="","",""))&amp;""</f>
        <v/>
      </c>
      <c r="AW390" t="str" cm="1">
        <f t="array" ref="AW390">IFERROR(IF(P390&lt;&gt;"",P390,IF(OR($S390="",$T390=""),"",IF($T390&lt;&gt;"",_xlfn._xlws.FILTER(P:P,($BT:$BT=$BT390)*($I:$I=$I390)*($T:$T=$T390)*($S:$S=_xlfn.MINIFS($S:$S,$T:$T,"="&amp;$T390)),""))))&amp;"",IF(P390="","",""))&amp;""</f>
        <v/>
      </c>
      <c r="AX390" t="str" cm="1">
        <f t="array" ref="AX390">IFERROR(IF(Q390&lt;&gt;"",Q390,IF(OR($S390="",$T390=""),"",IF($T390&lt;&gt;"",_xlfn._xlws.FILTER(Q:Q,($BT:$BT=$BT390)*($I:$I=$I390)*($T:$T=$T390)*($S:$S=_xlfn.MINIFS($S:$S,$T:$T,"="&amp;$T390)),""))))&amp;"",IF(Q390="","",""))&amp;""</f>
        <v/>
      </c>
      <c r="AY390" t="str" cm="1">
        <f t="array" ref="AY390">IFERROR(IF(R390&lt;&gt;"",R390,IF(OR($S390="",$T390=""),"",IF($T390&lt;&gt;"",_xlfn._xlws.FILTER(R:R,($BT:$BT=$BT390)*($I:$I=$I390)*($T:$T=$T390)*($S:$S=_xlfn.MINIFS($S:$S,$T:$T,"="&amp;$T390)),""))))&amp;"",IF(R390="","",""))&amp;""</f>
        <v/>
      </c>
      <c r="AZ390" s="6">
        <f t="shared" si="697"/>
        <v>34</v>
      </c>
      <c r="BA390">
        <f t="shared" ref="BA390:BC390" si="712">BA389</f>
        <v>18991</v>
      </c>
      <c r="BB390" t="str">
        <f t="shared" si="712"/>
        <v>Triple J</v>
      </c>
      <c r="BC390" t="str">
        <f t="shared" si="712"/>
        <v>Velodrome</v>
      </c>
      <c r="BD390" t="str">
        <f t="shared" si="699"/>
        <v>Pass</v>
      </c>
      <c r="BE390" t="str">
        <f t="shared" si="700"/>
        <v/>
      </c>
      <c r="BF390" t="str">
        <f t="shared" si="701"/>
        <v/>
      </c>
      <c r="BG390" t="str">
        <f t="shared" si="683"/>
        <v>u</v>
      </c>
      <c r="BH390" cm="1">
        <f t="array" aca="1" ref="BH390" ca="1">IFERROR(_xlfn._xlws.FILTER(shifts!A:A,(shifts!B:B=events!Z390)*(shifts!AG:AG&gt;=events!BJ390)*(shifts!AH:AH&lt;=events!BK390)),BH389)</f>
        <v>13</v>
      </c>
      <c r="BI390" s="15">
        <f t="shared" si="702"/>
        <v>0</v>
      </c>
      <c r="BJ390">
        <f t="shared" si="703"/>
        <v>730</v>
      </c>
      <c r="BK390">
        <f t="shared" si="704"/>
        <v>730</v>
      </c>
      <c r="BL390" s="15">
        <f>SUMIFS(BI$2:BI390,K$2:K390,"=Intermission")+SUMIFS(BI$2:BI390,K$2:K390,"=Timeout")</f>
        <v>0</v>
      </c>
      <c r="BM390">
        <f t="shared" si="705"/>
        <v>0</v>
      </c>
      <c r="BN390" s="19">
        <f t="shared" si="706"/>
        <v>350</v>
      </c>
      <c r="BO390">
        <f t="shared" si="707"/>
        <v>345</v>
      </c>
      <c r="BP390" s="17">
        <f t="shared" si="708"/>
        <v>350</v>
      </c>
      <c r="BQ390" t="str">
        <f t="shared" si="709"/>
        <v>event_team_player_2</v>
      </c>
      <c r="BR390">
        <f>COUNTIFS(S$3:S390,"="&amp;S390,AH$3:AH390,"="&amp;AH390)</f>
        <v>2</v>
      </c>
      <c r="BS390" t="str">
        <f>IFERROR(VLOOKUP(BA390&amp;BT390&amp;X390,game_rosters!U:W,3,FALSE),"")</f>
        <v>P100021</v>
      </c>
      <c r="BT390" t="str">
        <f t="shared" si="710"/>
        <v>Triple J</v>
      </c>
    </row>
    <row r="391" spans="1:72" x14ac:dyDescent="0.2">
      <c r="A391">
        <f t="shared" si="685"/>
        <v>1</v>
      </c>
      <c r="E391" s="4"/>
      <c r="F391" s="45"/>
      <c r="G391" s="4"/>
      <c r="H391" s="47"/>
      <c r="I391" s="26">
        <v>73</v>
      </c>
      <c r="J391" s="26" t="s">
        <v>734</v>
      </c>
      <c r="K391" t="s">
        <v>7</v>
      </c>
      <c r="L391" t="s">
        <v>182</v>
      </c>
      <c r="M391" t="s">
        <v>68</v>
      </c>
      <c r="N391" t="str">
        <f t="shared" si="624"/>
        <v>u</v>
      </c>
      <c r="O391" t="s">
        <v>576</v>
      </c>
      <c r="Q391" t="str">
        <f t="shared" si="618"/>
        <v>u</v>
      </c>
      <c r="R391" s="26">
        <v>1</v>
      </c>
      <c r="S391">
        <f>IF(A391=1,MAX($S$2:$S390)+1,IF(OR($I391&lt;&gt;"",A391="x"),$S390,""))</f>
        <v>196</v>
      </c>
      <c r="T391" t="str">
        <f>IF(D391=1,MAX($T$2:$T390)+1,IF(S391=S390,$T390,IF(D391="x",T390,IF(D390="x","",""))))</f>
        <v/>
      </c>
      <c r="U391" t="str">
        <f>IF(B391=1,MAX($U$2:$U390)+1,IF(AND($T391&lt;&gt;"",$T391=$T390),$U390,IF(B391="x",U390,"")))</f>
        <v/>
      </c>
      <c r="V391" t="str">
        <f>IF(C391=1,MAX($V$2:$V390)+1,IF(AND($T391&lt;&gt;"",$T391=$T390),$U390,IF(C391="x",V390,"")))</f>
        <v/>
      </c>
      <c r="W391" t="str" cm="1">
        <f t="array" ref="W391">IFERROR(_xlfn._xlws.FILTER(game_rosters!AC:AC,(game_rosters!J:J=events!X391)*(K391&lt;&gt;"")),"")</f>
        <v>h</v>
      </c>
      <c r="X391" cm="1">
        <f t="array" ref="X391">IF($I391&lt;&gt;"",$I391,INDEX($I$1:$I391,ROW()-COUNTIFS($T$1:$T391,"="&amp;$T391,$S$1:$S391,"&lt;"&amp;$S391)))</f>
        <v>73</v>
      </c>
      <c r="Y391" cm="1">
        <f t="array" ref="Y391">IFERROR(IF(_xlfn._xlws.FILTER(game_rosters!$J:$J,(game_rosters!$G:$G=events!$AM391)*(game_rosters!$J:$J=events!$X391))&gt;0,1,""),"")</f>
        <v>1</v>
      </c>
      <c r="Z391" s="6">
        <f t="shared" si="686"/>
        <v>1</v>
      </c>
      <c r="AA391">
        <f t="shared" si="687"/>
        <v>1196</v>
      </c>
      <c r="AB391" t="str">
        <f t="shared" si="688"/>
        <v/>
      </c>
      <c r="AC391">
        <f t="shared" si="689"/>
        <v>1196</v>
      </c>
      <c r="AD391" t="str">
        <f t="shared" si="690"/>
        <v>12</v>
      </c>
      <c r="AE391" t="str">
        <f t="shared" si="691"/>
        <v>10</v>
      </c>
      <c r="AF391" t="str">
        <f t="shared" si="692"/>
        <v/>
      </c>
      <c r="AG391" t="str">
        <f t="shared" si="693"/>
        <v/>
      </c>
      <c r="AH391" t="str">
        <f t="shared" si="631"/>
        <v>e</v>
      </c>
      <c r="AI391" t="str">
        <f t="shared" si="673"/>
        <v>n</v>
      </c>
      <c r="AJ391" t="str">
        <f t="shared" si="673"/>
        <v>n</v>
      </c>
      <c r="AK391" t="str">
        <f t="shared" si="633"/>
        <v>n</v>
      </c>
      <c r="AL391" t="str">
        <f t="shared" si="634"/>
        <v>n</v>
      </c>
      <c r="AM391" t="str">
        <f t="shared" si="694"/>
        <v>Home</v>
      </c>
      <c r="AN391" t="str">
        <f t="shared" si="635"/>
        <v>h</v>
      </c>
      <c r="AO391" t="str">
        <f t="shared" si="636"/>
        <v>n</v>
      </c>
      <c r="AP391" t="str">
        <f t="shared" si="637"/>
        <v>n</v>
      </c>
      <c r="AQ391" t="str">
        <f>IF(AM391&lt;&gt;"",AM391,IF($AC391=#REF!,#REF!,""))</f>
        <v>Home</v>
      </c>
      <c r="AR391" t="str">
        <f t="shared" si="638"/>
        <v>h</v>
      </c>
      <c r="AS391" t="str">
        <f t="shared" si="639"/>
        <v>Offensive</v>
      </c>
      <c r="AT391" t="str">
        <f t="shared" si="695"/>
        <v/>
      </c>
      <c r="AU391" t="str">
        <f t="shared" si="696"/>
        <v/>
      </c>
      <c r="AV391" t="str" cm="1">
        <f t="array" ref="AV391">IFERROR(IF(O391&lt;&gt;"",O391,IF(OR($S391="",$T391=""),"",IF(O391&lt;&gt;"",O391,IF($T391&lt;&gt;"",_xlfn._xlws.FILTER(O:O,($BT:$BT=$BT391)*($I:$I=$I391)*($T:$T=$T391)*($S:$S=_xlfn.MINIFS($S:$S,$T:$T,"="&amp;$T391)),"")))))&amp;"",IF(O391="","",""))&amp;""</f>
        <v>SecondTouch</v>
      </c>
      <c r="AW391" t="str" cm="1">
        <f t="array" ref="AW391">IFERROR(IF(P391&lt;&gt;"",P391,IF(OR($S391="",$T391=""),"",IF($T391&lt;&gt;"",_xlfn._xlws.FILTER(P:P,($BT:$BT=$BT391)*($I:$I=$I391)*($T:$T=$T391)*($S:$S=_xlfn.MINIFS($S:$S,$T:$T,"="&amp;$T391)),""))))&amp;"",IF(P391="","",""))&amp;""</f>
        <v/>
      </c>
      <c r="AX391" t="str" cm="1">
        <f t="array" ref="AX391">IFERROR(IF(Q391&lt;&gt;"",Q391,IF(OR($S391="",$T391=""),"",IF($T391&lt;&gt;"",_xlfn._xlws.FILTER(Q:Q,($BT:$BT=$BT391)*($I:$I=$I391)*($T:$T=$T391)*($S:$S=_xlfn.MINIFS($S:$S,$T:$T,"="&amp;$T391)),""))))&amp;"",IF(Q391="","",""))&amp;""</f>
        <v>u</v>
      </c>
      <c r="AY391" t="str" cm="1">
        <f t="array" ref="AY391">IFERROR(IF(R391&lt;&gt;"",R391,IF(OR($S391="",$T391=""),"",IF($T391&lt;&gt;"",_xlfn._xlws.FILTER(R:R,($BT:$BT=$BT391)*($I:$I=$I391)*($T:$T=$T391)*($S:$S=_xlfn.MINIFS($S:$S,$T:$T,"="&amp;$T391)),""))))&amp;"",IF(R391="","",""))&amp;""</f>
        <v>1</v>
      </c>
      <c r="AZ391" s="6">
        <f t="shared" si="697"/>
        <v>34</v>
      </c>
      <c r="BA391">
        <f t="shared" ref="BA391:BC391" si="713">BA390</f>
        <v>18991</v>
      </c>
      <c r="BB391" t="str">
        <f t="shared" si="713"/>
        <v>Triple J</v>
      </c>
      <c r="BC391" t="str">
        <f t="shared" si="713"/>
        <v>Velodrome</v>
      </c>
      <c r="BD391" t="str">
        <f t="shared" si="699"/>
        <v>Pass</v>
      </c>
      <c r="BE391" t="str">
        <f t="shared" si="700"/>
        <v>Pass_Missed</v>
      </c>
      <c r="BF391" t="str">
        <f t="shared" si="701"/>
        <v>Pass-Forehand</v>
      </c>
      <c r="BG391" t="str">
        <f t="shared" si="683"/>
        <v>u</v>
      </c>
      <c r="BH391" cm="1">
        <f t="array" aca="1" ref="BH391" ca="1">IFERROR(_xlfn._xlws.FILTER(shifts!A:A,(shifts!B:B=events!Z391)*(shifts!AG:AG&gt;=events!BJ391)*(shifts!AH:AH&lt;=events!BK391)),BH390)</f>
        <v>13</v>
      </c>
      <c r="BI391" s="15">
        <f t="shared" si="702"/>
        <v>0</v>
      </c>
      <c r="BJ391">
        <f t="shared" si="703"/>
        <v>730</v>
      </c>
      <c r="BK391">
        <f t="shared" si="704"/>
        <v>730</v>
      </c>
      <c r="BL391" s="15">
        <f>SUMIFS(BI$2:BI391,K$2:K391,"=Intermission")+SUMIFS(BI$2:BI391,K$2:K391,"=Timeout")</f>
        <v>0</v>
      </c>
      <c r="BM391">
        <f t="shared" si="705"/>
        <v>0</v>
      </c>
      <c r="BN391" s="19">
        <f t="shared" si="706"/>
        <v>350</v>
      </c>
      <c r="BO391">
        <f t="shared" si="707"/>
        <v>345</v>
      </c>
      <c r="BP391" s="17">
        <f t="shared" si="708"/>
        <v>350</v>
      </c>
      <c r="BQ391" t="str">
        <f t="shared" si="709"/>
        <v>event_team_player_1</v>
      </c>
      <c r="BR391">
        <f>COUNTIFS(S$3:S391,"="&amp;S391,AH$3:AH391,"="&amp;AH391)</f>
        <v>1</v>
      </c>
      <c r="BS391" t="str">
        <f>IFERROR(VLOOKUP(BA391&amp;BT391&amp;X391,game_rosters!U:W,3,FALSE),"")</f>
        <v>P100021</v>
      </c>
      <c r="BT391" t="str">
        <f t="shared" si="710"/>
        <v>Triple J</v>
      </c>
    </row>
    <row r="392" spans="1:72" x14ac:dyDescent="0.2">
      <c r="A392" t="str">
        <f t="shared" si="685"/>
        <v/>
      </c>
      <c r="E392" s="4"/>
      <c r="F392" s="45"/>
      <c r="G392" s="4"/>
      <c r="H392" s="47"/>
      <c r="I392" s="26">
        <v>16</v>
      </c>
      <c r="J392" s="26" t="str">
        <f t="shared" si="711"/>
        <v/>
      </c>
      <c r="N392" t="str">
        <f t="shared" si="624"/>
        <v/>
      </c>
      <c r="Q392" t="str">
        <f t="shared" si="618"/>
        <v/>
      </c>
      <c r="S392">
        <f>IF(A392=1,MAX($S$2:$S391)+1,IF(OR($I392&lt;&gt;"",A392="x"),$S391,""))</f>
        <v>196</v>
      </c>
      <c r="T392" t="str">
        <f>IF(D392=1,MAX($T$2:$T391)+1,IF(S392=S391,$T391,IF(D392="x",T391,IF(D391="x","",""))))</f>
        <v/>
      </c>
      <c r="U392" t="str">
        <f>IF(B392=1,MAX($U$2:$U391)+1,IF(AND($T392&lt;&gt;"",$T392=$T391),$U391,IF(B392="x",U391,"")))</f>
        <v/>
      </c>
      <c r="V392" t="str">
        <f>IF(C392=1,MAX($V$2:$V391)+1,IF(AND($T392&lt;&gt;"",$T392=$T391),$U391,IF(C392="x",V391,"")))</f>
        <v/>
      </c>
      <c r="W392" t="str" cm="1">
        <f t="array" ref="W392">IFERROR(_xlfn._xlws.FILTER(game_rosters!AC:AC,(game_rosters!J:J=events!X392)*(K392&lt;&gt;"")),"")</f>
        <v/>
      </c>
      <c r="X392" cm="1">
        <f t="array" ref="X392">IF($I392&lt;&gt;"",$I392,INDEX($I$1:$I392,ROW()-COUNTIFS($T$1:$T392,"="&amp;$T392,$S$1:$S392,"&lt;"&amp;$S392)))</f>
        <v>16</v>
      </c>
      <c r="Y392" cm="1">
        <f t="array" ref="Y392">IFERROR(IF(_xlfn._xlws.FILTER(game_rosters!$J:$J,(game_rosters!$G:$G=events!$AM392)*(game_rosters!$J:$J=events!$X392))&gt;0,1,""),"")</f>
        <v>1</v>
      </c>
      <c r="Z392" s="6">
        <f t="shared" si="686"/>
        <v>1</v>
      </c>
      <c r="AA392">
        <f t="shared" si="687"/>
        <v>1196</v>
      </c>
      <c r="AB392" t="str">
        <f t="shared" si="688"/>
        <v/>
      </c>
      <c r="AC392">
        <f t="shared" si="689"/>
        <v>1196</v>
      </c>
      <c r="AD392" t="str">
        <f t="shared" si="690"/>
        <v>12</v>
      </c>
      <c r="AE392" t="str">
        <f t="shared" si="691"/>
        <v>10</v>
      </c>
      <c r="AF392" t="str">
        <f t="shared" si="692"/>
        <v/>
      </c>
      <c r="AG392" t="str">
        <f t="shared" si="693"/>
        <v/>
      </c>
      <c r="AH392" t="str">
        <f t="shared" si="631"/>
        <v>e</v>
      </c>
      <c r="AI392" t="str">
        <f t="shared" si="673"/>
        <v>n</v>
      </c>
      <c r="AJ392" t="str">
        <f t="shared" si="673"/>
        <v>n</v>
      </c>
      <c r="AK392" t="str">
        <f t="shared" si="633"/>
        <v/>
      </c>
      <c r="AL392" t="str">
        <f t="shared" si="634"/>
        <v/>
      </c>
      <c r="AM392" t="str">
        <f t="shared" si="694"/>
        <v>Home</v>
      </c>
      <c r="AN392" t="str">
        <f t="shared" si="635"/>
        <v>h</v>
      </c>
      <c r="AO392" t="str">
        <f t="shared" si="636"/>
        <v>n</v>
      </c>
      <c r="AP392" t="str">
        <f t="shared" si="637"/>
        <v>n</v>
      </c>
      <c r="AQ392" t="str">
        <f>IF(AM392&lt;&gt;"",AM392,IF($AC392=#REF!,#REF!,""))</f>
        <v>Home</v>
      </c>
      <c r="AR392" t="str">
        <f t="shared" si="638"/>
        <v>h</v>
      </c>
      <c r="AS392" t="str">
        <f t="shared" si="639"/>
        <v>Offensive</v>
      </c>
      <c r="AT392" t="str">
        <f t="shared" si="695"/>
        <v/>
      </c>
      <c r="AU392" t="str">
        <f t="shared" si="696"/>
        <v/>
      </c>
      <c r="AV392" t="str" cm="1">
        <f t="array" ref="AV392">IFERROR(IF(O392&lt;&gt;"",O392,IF(OR($S392="",$T392=""),"",IF(O392&lt;&gt;"",O392,IF($T392&lt;&gt;"",_xlfn._xlws.FILTER(O:O,($BT:$BT=$BT392)*($I:$I=$I392)*($T:$T=$T392)*($S:$S=_xlfn.MINIFS($S:$S,$T:$T,"="&amp;$T392)),"")))))&amp;"",IF(O392="","",""))&amp;""</f>
        <v/>
      </c>
      <c r="AW392" t="str" cm="1">
        <f t="array" ref="AW392">IFERROR(IF(P392&lt;&gt;"",P392,IF(OR($S392="",$T392=""),"",IF($T392&lt;&gt;"",_xlfn._xlws.FILTER(P:P,($BT:$BT=$BT392)*($I:$I=$I392)*($T:$T=$T392)*($S:$S=_xlfn.MINIFS($S:$S,$T:$T,"="&amp;$T392)),""))))&amp;"",IF(P392="","",""))&amp;""</f>
        <v/>
      </c>
      <c r="AX392" t="str" cm="1">
        <f t="array" ref="AX392">IFERROR(IF(Q392&lt;&gt;"",Q392,IF(OR($S392="",$T392=""),"",IF($T392&lt;&gt;"",_xlfn._xlws.FILTER(Q:Q,($BT:$BT=$BT392)*($I:$I=$I392)*($T:$T=$T392)*($S:$S=_xlfn.MINIFS($S:$S,$T:$T,"="&amp;$T392)),""))))&amp;"",IF(Q392="","",""))&amp;""</f>
        <v/>
      </c>
      <c r="AY392" t="str" cm="1">
        <f t="array" ref="AY392">IFERROR(IF(R392&lt;&gt;"",R392,IF(OR($S392="",$T392=""),"",IF($T392&lt;&gt;"",_xlfn._xlws.FILTER(R:R,($BT:$BT=$BT392)*($I:$I=$I392)*($T:$T=$T392)*($S:$S=_xlfn.MINIFS($S:$S,$T:$T,"="&amp;$T392)),""))))&amp;"",IF(R392="","",""))&amp;""</f>
        <v/>
      </c>
      <c r="AZ392" s="6">
        <f t="shared" si="697"/>
        <v>34</v>
      </c>
      <c r="BA392">
        <f t="shared" ref="BA392:BC392" si="714">BA391</f>
        <v>18991</v>
      </c>
      <c r="BB392" t="str">
        <f t="shared" si="714"/>
        <v>Triple J</v>
      </c>
      <c r="BC392" t="str">
        <f t="shared" si="714"/>
        <v>Velodrome</v>
      </c>
      <c r="BD392" t="str">
        <f t="shared" si="699"/>
        <v>Pass</v>
      </c>
      <c r="BE392" t="str">
        <f t="shared" si="700"/>
        <v>Pass_Missed</v>
      </c>
      <c r="BF392" t="str">
        <f t="shared" si="701"/>
        <v>Pass-Forehand</v>
      </c>
      <c r="BG392" t="str">
        <f t="shared" si="683"/>
        <v>u</v>
      </c>
      <c r="BH392" cm="1">
        <f t="array" aca="1" ref="BH392" ca="1">IFERROR(_xlfn._xlws.FILTER(shifts!A:A,(shifts!B:B=events!Z392)*(shifts!AG:AG&gt;=events!BJ392)*(shifts!AH:AH&lt;=events!BK392)),BH391)</f>
        <v>13</v>
      </c>
      <c r="BI392" s="15">
        <f t="shared" si="702"/>
        <v>0</v>
      </c>
      <c r="BJ392">
        <f t="shared" si="703"/>
        <v>730</v>
      </c>
      <c r="BK392">
        <f t="shared" si="704"/>
        <v>730</v>
      </c>
      <c r="BL392" s="15">
        <f>SUMIFS(BI$2:BI392,K$2:K392,"=Intermission")+SUMIFS(BI$2:BI392,K$2:K392,"=Timeout")</f>
        <v>0</v>
      </c>
      <c r="BM392">
        <f t="shared" si="705"/>
        <v>0</v>
      </c>
      <c r="BN392" s="19">
        <f t="shared" si="706"/>
        <v>350</v>
      </c>
      <c r="BO392">
        <f t="shared" si="707"/>
        <v>345</v>
      </c>
      <c r="BP392" s="17">
        <f t="shared" si="708"/>
        <v>350</v>
      </c>
      <c r="BQ392" t="str">
        <f t="shared" si="709"/>
        <v>event_team_player_2</v>
      </c>
      <c r="BR392">
        <f>COUNTIFS(S$3:S392,"="&amp;S392,AH$3:AH392,"="&amp;AH392)</f>
        <v>2</v>
      </c>
      <c r="BS392" t="str">
        <f>IFERROR(VLOOKUP(BA392&amp;BT392&amp;X392,game_rosters!U:W,3,FALSE),"")</f>
        <v>P100094</v>
      </c>
      <c r="BT392" t="str">
        <f t="shared" si="710"/>
        <v>Triple J</v>
      </c>
    </row>
    <row r="393" spans="1:72" x14ac:dyDescent="0.2">
      <c r="A393" t="str">
        <f t="shared" si="685"/>
        <v/>
      </c>
      <c r="E393" s="4"/>
      <c r="F393" s="45"/>
      <c r="G393" s="4"/>
      <c r="H393" s="47"/>
      <c r="I393" s="26">
        <v>87</v>
      </c>
      <c r="J393" s="26" t="str">
        <f t="shared" si="711"/>
        <v/>
      </c>
      <c r="N393" t="str">
        <f t="shared" si="624"/>
        <v/>
      </c>
      <c r="O393" t="s">
        <v>566</v>
      </c>
      <c r="Q393" t="str">
        <f t="shared" si="618"/>
        <v/>
      </c>
      <c r="R393" s="26">
        <v>1</v>
      </c>
      <c r="S393">
        <f>IF(A393=1,MAX($S$2:$S392)+1,IF(OR($I393&lt;&gt;"",A393="x"),$S392,""))</f>
        <v>196</v>
      </c>
      <c r="T393" t="str">
        <f>IF(D393=1,MAX($T$2:$T392)+1,IF(S393=S392,$T392,IF(D393="x",T392,IF(D392="x","",""))))</f>
        <v/>
      </c>
      <c r="U393" t="str">
        <f>IF(B393=1,MAX($U$2:$U392)+1,IF(AND($T393&lt;&gt;"",$T393=$T392),$U392,IF(B393="x",U392,"")))</f>
        <v/>
      </c>
      <c r="V393" t="str">
        <f>IF(C393=1,MAX($V$2:$V392)+1,IF(AND($T393&lt;&gt;"",$T393=$T392),$U392,IF(C393="x",V392,"")))</f>
        <v/>
      </c>
      <c r="W393" t="str" cm="1">
        <f t="array" ref="W393">IFERROR(_xlfn._xlws.FILTER(game_rosters!AC:AC,(game_rosters!J:J=events!X393)*(K393&lt;&gt;"")),"")</f>
        <v/>
      </c>
      <c r="X393" cm="1">
        <f t="array" ref="X393">IF($I393&lt;&gt;"",$I393,INDEX($I$1:$I393,ROW()-COUNTIFS($T$1:$T393,"="&amp;$T393,$S$1:$S393,"&lt;"&amp;$S393)))</f>
        <v>87</v>
      </c>
      <c r="Y393" t="str" cm="1">
        <f t="array" ref="Y393">IFERROR(IF(_xlfn._xlws.FILTER(game_rosters!$J:$J,(game_rosters!$G:$G=events!$AM393)*(game_rosters!$J:$J=events!$X393))&gt;0,1,""),"")</f>
        <v/>
      </c>
      <c r="Z393" s="6">
        <f t="shared" si="686"/>
        <v>1</v>
      </c>
      <c r="AA393">
        <f t="shared" si="687"/>
        <v>1196</v>
      </c>
      <c r="AB393" t="str">
        <f t="shared" si="688"/>
        <v/>
      </c>
      <c r="AC393">
        <f t="shared" si="689"/>
        <v>1196</v>
      </c>
      <c r="AD393" t="str">
        <f t="shared" si="690"/>
        <v>12</v>
      </c>
      <c r="AE393" t="str">
        <f t="shared" si="691"/>
        <v>10</v>
      </c>
      <c r="AF393" t="str">
        <f t="shared" si="692"/>
        <v/>
      </c>
      <c r="AG393" t="str">
        <f t="shared" si="693"/>
        <v/>
      </c>
      <c r="AH393" t="str">
        <f t="shared" si="631"/>
        <v>o</v>
      </c>
      <c r="AI393" t="str">
        <f t="shared" si="673"/>
        <v>n</v>
      </c>
      <c r="AJ393" t="str">
        <f t="shared" si="673"/>
        <v>n</v>
      </c>
      <c r="AK393" t="str">
        <f t="shared" si="633"/>
        <v/>
      </c>
      <c r="AL393" t="str">
        <f t="shared" si="634"/>
        <v/>
      </c>
      <c r="AM393" t="str">
        <f t="shared" si="694"/>
        <v>Home</v>
      </c>
      <c r="AN393" t="str">
        <f t="shared" si="635"/>
        <v>h</v>
      </c>
      <c r="AO393" t="str">
        <f t="shared" si="636"/>
        <v>n</v>
      </c>
      <c r="AP393" t="str">
        <f t="shared" si="637"/>
        <v>n</v>
      </c>
      <c r="AQ393" t="str">
        <f>IF(AM393&lt;&gt;"",AM393,IF($AC393=#REF!,#REF!,""))</f>
        <v>Home</v>
      </c>
      <c r="AR393" t="str">
        <f t="shared" si="638"/>
        <v>h</v>
      </c>
      <c r="AS393" t="str">
        <f t="shared" si="639"/>
        <v>Defensive</v>
      </c>
      <c r="AT393" t="str">
        <f t="shared" si="695"/>
        <v/>
      </c>
      <c r="AU393" t="str">
        <f t="shared" si="696"/>
        <v/>
      </c>
      <c r="AV393" t="str" cm="1">
        <f t="array" ref="AV393">IFERROR(IF(O393&lt;&gt;"",O393,IF(OR($S393="",$T393=""),"",IF(O393&lt;&gt;"",O393,IF($T393&lt;&gt;"",_xlfn._xlws.FILTER(O:O,($BT:$BT=$BT393)*($I:$I=$I393)*($T:$T=$T393)*($S:$S=_xlfn.MINIFS($S:$S,$T:$T,"="&amp;$T393)),"")))))&amp;"",IF(O393="","",""))&amp;""</f>
        <v>InShotPassLane</v>
      </c>
      <c r="AW393" t="str" cm="1">
        <f t="array" ref="AW393">IFERROR(IF(P393&lt;&gt;"",P393,IF(OR($S393="",$T393=""),"",IF($T393&lt;&gt;"",_xlfn._xlws.FILTER(P:P,($BT:$BT=$BT393)*($I:$I=$I393)*($T:$T=$T393)*($S:$S=_xlfn.MINIFS($S:$S,$T:$T,"="&amp;$T393)),""))))&amp;"",IF(P393="","",""))&amp;""</f>
        <v/>
      </c>
      <c r="AX393" t="str" cm="1">
        <f t="array" ref="AX393">IFERROR(IF(Q393&lt;&gt;"",Q393,IF(OR($S393="",$T393=""),"",IF($T393&lt;&gt;"",_xlfn._xlws.FILTER(Q:Q,($BT:$BT=$BT393)*($I:$I=$I393)*($T:$T=$T393)*($S:$S=_xlfn.MINIFS($S:$S,$T:$T,"="&amp;$T393)),""))))&amp;"",IF(Q393="","",""))&amp;""</f>
        <v/>
      </c>
      <c r="AY393" t="str" cm="1">
        <f t="array" ref="AY393">IFERROR(IF(R393&lt;&gt;"",R393,IF(OR($S393="",$T393=""),"",IF($T393&lt;&gt;"",_xlfn._xlws.FILTER(R:R,($BT:$BT=$BT393)*($I:$I=$I393)*($T:$T=$T393)*($S:$S=_xlfn.MINIFS($S:$S,$T:$T,"="&amp;$T393)),""))))&amp;"",IF(R393="","",""))&amp;""</f>
        <v>1</v>
      </c>
      <c r="AZ393" s="6">
        <f t="shared" si="697"/>
        <v>34</v>
      </c>
      <c r="BA393">
        <f t="shared" ref="BA393:BC393" si="715">BA392</f>
        <v>18991</v>
      </c>
      <c r="BB393" t="str">
        <f t="shared" si="715"/>
        <v>Triple J</v>
      </c>
      <c r="BC393" t="str">
        <f t="shared" si="715"/>
        <v>Velodrome</v>
      </c>
      <c r="BD393" t="str">
        <f t="shared" si="699"/>
        <v>Pass</v>
      </c>
      <c r="BE393" t="str">
        <f t="shared" si="700"/>
        <v>Pass_Missed</v>
      </c>
      <c r="BF393" t="str">
        <f t="shared" si="701"/>
        <v>Pass-Forehand</v>
      </c>
      <c r="BG393" t="str">
        <f t="shared" si="683"/>
        <v>u</v>
      </c>
      <c r="BH393" cm="1">
        <f t="array" aca="1" ref="BH393" ca="1">IFERROR(_xlfn._xlws.FILTER(shifts!A:A,(shifts!B:B=events!Z393)*(shifts!AG:AG&gt;=events!BJ393)*(shifts!AH:AH&lt;=events!BK393)),BH392)</f>
        <v>13</v>
      </c>
      <c r="BI393" s="15">
        <f t="shared" si="702"/>
        <v>0</v>
      </c>
      <c r="BJ393">
        <f t="shared" si="703"/>
        <v>730</v>
      </c>
      <c r="BK393">
        <f t="shared" si="704"/>
        <v>730</v>
      </c>
      <c r="BL393" s="15">
        <f>SUMIFS(BI$2:BI393,K$2:K393,"=Intermission")+SUMIFS(BI$2:BI393,K$2:K393,"=Timeout")</f>
        <v>0</v>
      </c>
      <c r="BM393">
        <f t="shared" si="705"/>
        <v>0</v>
      </c>
      <c r="BN393" s="19">
        <f t="shared" si="706"/>
        <v>350</v>
      </c>
      <c r="BO393">
        <f t="shared" si="707"/>
        <v>345</v>
      </c>
      <c r="BP393" s="17">
        <f t="shared" si="708"/>
        <v>350</v>
      </c>
      <c r="BQ393" t="str">
        <f t="shared" si="709"/>
        <v>opp_team_player_1</v>
      </c>
      <c r="BR393">
        <f>COUNTIFS(S$3:S393,"="&amp;S393,AH$3:AH393,"="&amp;AH393)</f>
        <v>1</v>
      </c>
      <c r="BS393" t="str">
        <f>IFERROR(VLOOKUP(BA393&amp;BT393&amp;X393,game_rosters!U:W,3,FALSE),"")</f>
        <v>P100159</v>
      </c>
      <c r="BT393" t="str">
        <f t="shared" si="710"/>
        <v>Velodrome</v>
      </c>
    </row>
    <row r="394" spans="1:72" x14ac:dyDescent="0.2">
      <c r="A394">
        <f t="shared" si="685"/>
        <v>1</v>
      </c>
      <c r="E394" s="4"/>
      <c r="F394" s="45" t="s">
        <v>1069</v>
      </c>
      <c r="G394" s="4"/>
      <c r="H394" s="47"/>
      <c r="I394" s="26">
        <v>41</v>
      </c>
      <c r="J394" s="26" t="s">
        <v>734</v>
      </c>
      <c r="K394" t="s">
        <v>13</v>
      </c>
      <c r="L394" t="s">
        <v>587</v>
      </c>
      <c r="N394" t="s">
        <v>594</v>
      </c>
      <c r="Q394" t="str">
        <f t="shared" si="618"/>
        <v/>
      </c>
      <c r="R394" s="26">
        <v>1</v>
      </c>
      <c r="S394">
        <f>IF(A394=1,MAX($S$2:$S393)+1,IF(OR($I394&lt;&gt;"",A394="x"),$S393,""))</f>
        <v>197</v>
      </c>
      <c r="T394" t="str">
        <f>IF(D394=1,MAX($T$2:$T393)+1,IF(S394=S393,$T393,IF(D394="x",T393,IF(D393="x","",""))))</f>
        <v/>
      </c>
      <c r="U394" t="str">
        <f>IF(B394=1,MAX($U$2:$U393)+1,IF(AND($T394&lt;&gt;"",$T394=$T393),$U393,IF(B394="x",U393,"")))</f>
        <v/>
      </c>
      <c r="V394" t="str">
        <f>IF(C394=1,MAX($V$2:$V393)+1,IF(AND($T394&lt;&gt;"",$T394=$T393),$U393,IF(C394="x",V393,"")))</f>
        <v/>
      </c>
      <c r="W394" t="str" cm="1">
        <f t="array" ref="W394">IFERROR(_xlfn._xlws.FILTER(game_rosters!AC:AC,(game_rosters!J:J=events!X394)*(K394&lt;&gt;"")),"")</f>
        <v>h</v>
      </c>
      <c r="X394" cm="1">
        <f t="array" ref="X394">IF($I394&lt;&gt;"",$I394,INDEX($I$1:$I394,ROW()-COUNTIFS($T$1:$T394,"="&amp;$T394,$S$1:$S394,"&lt;"&amp;$S394)))</f>
        <v>41</v>
      </c>
      <c r="Y394" cm="1">
        <f t="array" ref="Y394">IFERROR(IF(_xlfn._xlws.FILTER(game_rosters!$J:$J,(game_rosters!$G:$G=events!$AM394)*(game_rosters!$J:$J=events!$X394))&gt;0,1,""),"")</f>
        <v>1</v>
      </c>
      <c r="Z394" s="6">
        <f t="shared" si="686"/>
        <v>1</v>
      </c>
      <c r="AA394">
        <f t="shared" si="687"/>
        <v>1197</v>
      </c>
      <c r="AB394" t="str">
        <f t="shared" si="688"/>
        <v/>
      </c>
      <c r="AC394">
        <f t="shared" si="689"/>
        <v>1197</v>
      </c>
      <c r="AD394" t="str">
        <f t="shared" si="690"/>
        <v>12</v>
      </c>
      <c r="AE394" t="str">
        <f t="shared" si="691"/>
        <v>05</v>
      </c>
      <c r="AF394" t="str">
        <f t="shared" si="692"/>
        <v/>
      </c>
      <c r="AG394" t="str">
        <f t="shared" si="693"/>
        <v/>
      </c>
      <c r="AH394" t="str">
        <f t="shared" si="631"/>
        <v>e</v>
      </c>
      <c r="AI394" t="str">
        <f t="shared" si="673"/>
        <v>n</v>
      </c>
      <c r="AJ394" t="str">
        <f t="shared" si="673"/>
        <v>n</v>
      </c>
      <c r="AK394" t="str">
        <f t="shared" si="633"/>
        <v>n</v>
      </c>
      <c r="AL394" t="str">
        <f t="shared" si="634"/>
        <v>n</v>
      </c>
      <c r="AM394" t="str">
        <f t="shared" si="694"/>
        <v>Home</v>
      </c>
      <c r="AN394" t="str">
        <f t="shared" si="635"/>
        <v>h</v>
      </c>
      <c r="AO394" t="str">
        <f t="shared" si="636"/>
        <v>n</v>
      </c>
      <c r="AP394" t="str">
        <f t="shared" si="637"/>
        <v>n</v>
      </c>
      <c r="AQ394" t="str">
        <f>IF(AM394&lt;&gt;"",AM394,IF($AC394=#REF!,#REF!,""))</f>
        <v>Home</v>
      </c>
      <c r="AR394" t="str">
        <f t="shared" si="638"/>
        <v>h</v>
      </c>
      <c r="AS394" t="str">
        <f t="shared" si="639"/>
        <v>Offensive</v>
      </c>
      <c r="AT394" t="str">
        <f t="shared" si="695"/>
        <v/>
      </c>
      <c r="AU394" t="str">
        <f t="shared" si="696"/>
        <v/>
      </c>
      <c r="AV394" t="str" cm="1">
        <f t="array" ref="AV394">IFERROR(IF(O394&lt;&gt;"",O394,IF(OR($S394="",$T394=""),"",IF(O394&lt;&gt;"",O394,IF($T394&lt;&gt;"",_xlfn._xlws.FILTER(O:O,($BT:$BT=$BT394)*($I:$I=$I394)*($T:$T=$T394)*($S:$S=_xlfn.MINIFS($S:$S,$T:$T,"="&amp;$T394)),"")))))&amp;"",IF(O394="","",""))&amp;""</f>
        <v/>
      </c>
      <c r="AW394" t="str" cm="1">
        <f t="array" ref="AW394">IFERROR(IF(P394&lt;&gt;"",P394,IF(OR($S394="",$T394=""),"",IF($T394&lt;&gt;"",_xlfn._xlws.FILTER(P:P,($BT:$BT=$BT394)*($I:$I=$I394)*($T:$T=$T394)*($S:$S=_xlfn.MINIFS($S:$S,$T:$T,"="&amp;$T394)),""))))&amp;"",IF(P394="","",""))&amp;""</f>
        <v/>
      </c>
      <c r="AX394" t="str" cm="1">
        <f t="array" ref="AX394">IFERROR(IF(Q394&lt;&gt;"",Q394,IF(OR($S394="",$T394=""),"",IF($T394&lt;&gt;"",_xlfn._xlws.FILTER(Q:Q,($BT:$BT=$BT394)*($I:$I=$I394)*($T:$T=$T394)*($S:$S=_xlfn.MINIFS($S:$S,$T:$T,"="&amp;$T394)),""))))&amp;"",IF(Q394="","",""))&amp;""</f>
        <v/>
      </c>
      <c r="AY394" t="str" cm="1">
        <f t="array" ref="AY394">IFERROR(IF(R394&lt;&gt;"",R394,IF(OR($S394="",$T394=""),"",IF($T394&lt;&gt;"",_xlfn._xlws.FILTER(R:R,($BT:$BT=$BT394)*($I:$I=$I394)*($T:$T=$T394)*($S:$S=_xlfn.MINIFS($S:$S,$T:$T,"="&amp;$T394)),""))))&amp;"",IF(R394="","",""))&amp;""</f>
        <v>1</v>
      </c>
      <c r="AZ394" s="6">
        <f t="shared" si="697"/>
        <v>34</v>
      </c>
      <c r="BA394">
        <f t="shared" ref="BA394:BC394" si="716">BA393</f>
        <v>18991</v>
      </c>
      <c r="BB394" t="str">
        <f t="shared" si="716"/>
        <v>Triple J</v>
      </c>
      <c r="BC394" t="str">
        <f t="shared" si="716"/>
        <v>Velodrome</v>
      </c>
      <c r="BD394" t="str">
        <f t="shared" si="699"/>
        <v>Possession</v>
      </c>
      <c r="BE394" t="str">
        <f t="shared" si="700"/>
        <v>PuckRecovery</v>
      </c>
      <c r="BF394" t="str">
        <f t="shared" si="701"/>
        <v/>
      </c>
      <c r="BG394" t="str">
        <f t="shared" si="683"/>
        <v>u</v>
      </c>
      <c r="BH394" cm="1">
        <f t="array" aca="1" ref="BH394" ca="1">IFERROR(_xlfn._xlws.FILTER(shifts!A:A,(shifts!B:B=events!Z394)*(shifts!AG:AG&gt;=events!BJ394)*(shifts!AH:AH&lt;=events!BK394)),BH393)</f>
        <v>13</v>
      </c>
      <c r="BI394" s="15">
        <f t="shared" si="702"/>
        <v>0</v>
      </c>
      <c r="BJ394">
        <f t="shared" si="703"/>
        <v>725</v>
      </c>
      <c r="BK394">
        <f t="shared" si="704"/>
        <v>725</v>
      </c>
      <c r="BL394" s="15">
        <f>SUMIFS(BI$2:BI394,K$2:K394,"=Intermission")+SUMIFS(BI$2:BI394,K$2:K394,"=Timeout")</f>
        <v>0</v>
      </c>
      <c r="BM394">
        <f t="shared" si="705"/>
        <v>0</v>
      </c>
      <c r="BN394" s="19">
        <f t="shared" si="706"/>
        <v>355</v>
      </c>
      <c r="BO394">
        <f t="shared" si="707"/>
        <v>350</v>
      </c>
      <c r="BP394" s="17">
        <f t="shared" si="708"/>
        <v>355</v>
      </c>
      <c r="BQ394" t="str">
        <f t="shared" si="709"/>
        <v>event_team_player_1</v>
      </c>
      <c r="BR394">
        <f>COUNTIFS(S$3:S394,"="&amp;S394,AH$3:AH394,"="&amp;AH394)</f>
        <v>1</v>
      </c>
      <c r="BS394" t="str">
        <f>IFERROR(VLOOKUP(BA394&amp;BT394&amp;X394,game_rosters!U:W,3,FALSE),"")</f>
        <v>P100206</v>
      </c>
      <c r="BT394" t="str">
        <f t="shared" si="710"/>
        <v>Triple J</v>
      </c>
    </row>
    <row r="395" spans="1:72" x14ac:dyDescent="0.2">
      <c r="A395" t="str">
        <f t="shared" si="685"/>
        <v/>
      </c>
      <c r="E395" s="4"/>
      <c r="F395" s="45"/>
      <c r="G395" s="4"/>
      <c r="H395" s="47"/>
      <c r="I395" s="26">
        <v>75</v>
      </c>
      <c r="J395" s="26" t="str">
        <f t="shared" si="711"/>
        <v/>
      </c>
      <c r="N395" t="str">
        <f t="shared" si="624"/>
        <v/>
      </c>
      <c r="Q395" t="str">
        <f t="shared" si="618"/>
        <v/>
      </c>
      <c r="R395" s="26">
        <v>1</v>
      </c>
      <c r="S395">
        <f>IF(A395=1,MAX($S$2:$S394)+1,IF(OR($I395&lt;&gt;"",A395="x"),$S394,""))</f>
        <v>197</v>
      </c>
      <c r="T395" t="str">
        <f>IF(D395=1,MAX($T$2:$T394)+1,IF(S395=S394,$T394,IF(D395="x",T394,IF(D394="x","",""))))</f>
        <v/>
      </c>
      <c r="U395" t="str">
        <f>IF(B395=1,MAX($U$2:$U394)+1,IF(AND($T395&lt;&gt;"",$T395=$T394),$U394,IF(B395="x",U394,"")))</f>
        <v/>
      </c>
      <c r="V395" t="str">
        <f>IF(C395=1,MAX($V$2:$V394)+1,IF(AND($T395&lt;&gt;"",$T395=$T394),$U394,IF(C395="x",V394,"")))</f>
        <v/>
      </c>
      <c r="W395" t="str" cm="1">
        <f t="array" ref="W395">IFERROR(_xlfn._xlws.FILTER(game_rosters!AC:AC,(game_rosters!J:J=events!X395)*(K395&lt;&gt;"")),"")</f>
        <v/>
      </c>
      <c r="X395" cm="1">
        <f t="array" ref="X395">IF($I395&lt;&gt;"",$I395,INDEX($I$1:$I395,ROW()-COUNTIFS($T$1:$T395,"="&amp;$T395,$S$1:$S395,"&lt;"&amp;$S395)))</f>
        <v>75</v>
      </c>
      <c r="Y395" t="str" cm="1">
        <f t="array" ref="Y395">IFERROR(IF(_xlfn._xlws.FILTER(game_rosters!$J:$J,(game_rosters!$G:$G=events!$AM395)*(game_rosters!$J:$J=events!$X395))&gt;0,1,""),"")</f>
        <v/>
      </c>
      <c r="Z395" s="6">
        <f t="shared" si="686"/>
        <v>1</v>
      </c>
      <c r="AA395">
        <f t="shared" si="687"/>
        <v>1197</v>
      </c>
      <c r="AB395" t="str">
        <f t="shared" si="688"/>
        <v/>
      </c>
      <c r="AC395">
        <f t="shared" si="689"/>
        <v>1197</v>
      </c>
      <c r="AD395" t="str">
        <f t="shared" si="690"/>
        <v>12</v>
      </c>
      <c r="AE395" t="str">
        <f t="shared" si="691"/>
        <v>05</v>
      </c>
      <c r="AF395" t="str">
        <f t="shared" si="692"/>
        <v/>
      </c>
      <c r="AG395" t="str">
        <f t="shared" si="693"/>
        <v/>
      </c>
      <c r="AH395" t="str">
        <f t="shared" si="631"/>
        <v>o</v>
      </c>
      <c r="AI395" t="str">
        <f t="shared" ref="AI395:AJ410" si="717">IF($J395&lt;&gt;"",$J395,IF($AC395=$AC394,AI394,""))</f>
        <v>n</v>
      </c>
      <c r="AJ395" t="str">
        <f t="shared" si="717"/>
        <v>n</v>
      </c>
      <c r="AK395" t="str">
        <f t="shared" si="633"/>
        <v/>
      </c>
      <c r="AL395" t="str">
        <f t="shared" si="634"/>
        <v/>
      </c>
      <c r="AM395" t="str">
        <f t="shared" si="694"/>
        <v>Home</v>
      </c>
      <c r="AN395" t="str">
        <f t="shared" si="635"/>
        <v>h</v>
      </c>
      <c r="AO395" t="str">
        <f t="shared" si="636"/>
        <v>n</v>
      </c>
      <c r="AP395" t="str">
        <f t="shared" si="637"/>
        <v>n</v>
      </c>
      <c r="AQ395" t="str">
        <f>IF(AM395&lt;&gt;"",AM395,IF($AC395=#REF!,#REF!,""))</f>
        <v>Home</v>
      </c>
      <c r="AR395" t="str">
        <f t="shared" si="638"/>
        <v>h</v>
      </c>
      <c r="AS395" t="str">
        <f t="shared" si="639"/>
        <v>Defensive</v>
      </c>
      <c r="AT395" t="str">
        <f t="shared" si="695"/>
        <v/>
      </c>
      <c r="AU395" t="str">
        <f t="shared" si="696"/>
        <v/>
      </c>
      <c r="AV395" t="str" cm="1">
        <f t="array" ref="AV395">IFERROR(IF(O395&lt;&gt;"",O395,IF(OR($S395="",$T395=""),"",IF(O395&lt;&gt;"",O395,IF($T395&lt;&gt;"",_xlfn._xlws.FILTER(O:O,($BT:$BT=$BT395)*($I:$I=$I395)*($T:$T=$T395)*($S:$S=_xlfn.MINIFS($S:$S,$T:$T,"="&amp;$T395)),"")))))&amp;"",IF(O395="","",""))&amp;""</f>
        <v/>
      </c>
      <c r="AW395" t="str" cm="1">
        <f t="array" ref="AW395">IFERROR(IF(P395&lt;&gt;"",P395,IF(OR($S395="",$T395=""),"",IF($T395&lt;&gt;"",_xlfn._xlws.FILTER(P:P,($BT:$BT=$BT395)*($I:$I=$I395)*($T:$T=$T395)*($S:$S=_xlfn.MINIFS($S:$S,$T:$T,"="&amp;$T395)),""))))&amp;"",IF(P395="","",""))&amp;""</f>
        <v/>
      </c>
      <c r="AX395" t="str" cm="1">
        <f t="array" ref="AX395">IFERROR(IF(Q395&lt;&gt;"",Q395,IF(OR($S395="",$T395=""),"",IF($T395&lt;&gt;"",_xlfn._xlws.FILTER(Q:Q,($BT:$BT=$BT395)*($I:$I=$I395)*($T:$T=$T395)*($S:$S=_xlfn.MINIFS($S:$S,$T:$T,"="&amp;$T395)),""))))&amp;"",IF(Q395="","",""))&amp;""</f>
        <v/>
      </c>
      <c r="AY395" t="str" cm="1">
        <f t="array" ref="AY395">IFERROR(IF(R395&lt;&gt;"",R395,IF(OR($S395="",$T395=""),"",IF($T395&lt;&gt;"",_xlfn._xlws.FILTER(R:R,($BT:$BT=$BT395)*($I:$I=$I395)*($T:$T=$T395)*($S:$S=_xlfn.MINIFS($S:$S,$T:$T,"="&amp;$T395)),""))))&amp;"",IF(R395="","",""))&amp;""</f>
        <v>1</v>
      </c>
      <c r="AZ395" s="6">
        <f t="shared" si="697"/>
        <v>34</v>
      </c>
      <c r="BA395">
        <f t="shared" ref="BA395:BC395" si="718">BA394</f>
        <v>18991</v>
      </c>
      <c r="BB395" t="str">
        <f t="shared" si="718"/>
        <v>Triple J</v>
      </c>
      <c r="BC395" t="str">
        <f t="shared" si="718"/>
        <v>Velodrome</v>
      </c>
      <c r="BD395" t="str">
        <f t="shared" si="699"/>
        <v>Possession</v>
      </c>
      <c r="BE395" t="str">
        <f t="shared" si="700"/>
        <v>PuckRecovery</v>
      </c>
      <c r="BF395" t="str">
        <f t="shared" si="701"/>
        <v/>
      </c>
      <c r="BG395" t="str">
        <f t="shared" si="683"/>
        <v>u</v>
      </c>
      <c r="BH395" cm="1">
        <f t="array" aca="1" ref="BH395" ca="1">IFERROR(_xlfn._xlws.FILTER(shifts!A:A,(shifts!B:B=events!Z395)*(shifts!AG:AG&gt;=events!BJ395)*(shifts!AH:AH&lt;=events!BK395)),BH394)</f>
        <v>13</v>
      </c>
      <c r="BI395" s="15">
        <f t="shared" si="702"/>
        <v>0</v>
      </c>
      <c r="BJ395">
        <f t="shared" si="703"/>
        <v>725</v>
      </c>
      <c r="BK395">
        <f t="shared" si="704"/>
        <v>725</v>
      </c>
      <c r="BL395" s="15">
        <f>SUMIFS(BI$2:BI395,K$2:K395,"=Intermission")+SUMIFS(BI$2:BI395,K$2:K395,"=Timeout")</f>
        <v>0</v>
      </c>
      <c r="BM395">
        <f t="shared" si="705"/>
        <v>0</v>
      </c>
      <c r="BN395" s="19">
        <f t="shared" si="706"/>
        <v>355</v>
      </c>
      <c r="BO395">
        <f t="shared" si="707"/>
        <v>350</v>
      </c>
      <c r="BP395" s="17">
        <f t="shared" si="708"/>
        <v>355</v>
      </c>
      <c r="BQ395" t="str">
        <f t="shared" si="709"/>
        <v>opp_team_player_1</v>
      </c>
      <c r="BR395">
        <f>COUNTIFS(S$3:S395,"="&amp;S395,AH$3:AH395,"="&amp;AH395)</f>
        <v>1</v>
      </c>
      <c r="BS395" t="str">
        <f>IFERROR(VLOOKUP(BA395&amp;BT395&amp;X395,game_rosters!U:W,3,FALSE),"")</f>
        <v>P100039</v>
      </c>
      <c r="BT395" t="str">
        <f t="shared" si="710"/>
        <v>Velodrome</v>
      </c>
    </row>
    <row r="396" spans="1:72" x14ac:dyDescent="0.2">
      <c r="A396">
        <f t="shared" si="685"/>
        <v>1</v>
      </c>
      <c r="D396" s="26">
        <v>1</v>
      </c>
      <c r="E396" s="4"/>
      <c r="F396" s="45"/>
      <c r="G396" s="4"/>
      <c r="H396" s="47"/>
      <c r="I396" s="26">
        <v>41</v>
      </c>
      <c r="J396" s="26" t="s">
        <v>734</v>
      </c>
      <c r="K396" t="s">
        <v>238</v>
      </c>
      <c r="L396" t="s">
        <v>656</v>
      </c>
      <c r="M396" t="s">
        <v>87</v>
      </c>
      <c r="N396" t="str">
        <f t="shared" si="624"/>
        <v>u</v>
      </c>
      <c r="Q396" t="str">
        <f t="shared" si="618"/>
        <v/>
      </c>
      <c r="R396" s="26">
        <v>1</v>
      </c>
      <c r="S396">
        <f>IF(A396=1,MAX($S$2:$S395)+1,IF(OR($I396&lt;&gt;"",A396="x"),$S395,""))</f>
        <v>198</v>
      </c>
      <c r="T396">
        <f>IF(D396=1,MAX($T$2:$T395)+1,IF(S396=S395,$T395,IF(D396="x",T395,IF(D395="x","",""))))</f>
        <v>25</v>
      </c>
      <c r="U396" t="str">
        <f>IF(B396=1,MAX($U$2:$U395)+1,IF(AND($T396&lt;&gt;"",$T396=$T395),$U395,IF(B396="x",U395,"")))</f>
        <v/>
      </c>
      <c r="V396" t="str">
        <f>IF(C396=1,MAX($V$2:$V395)+1,IF(AND($T396&lt;&gt;"",$T396=$T395),$U395,IF(C396="x",V395,"")))</f>
        <v/>
      </c>
      <c r="W396" t="str" cm="1">
        <f t="array" ref="W396">IFERROR(_xlfn._xlws.FILTER(game_rosters!AC:AC,(game_rosters!J:J=events!X396)*(K396&lt;&gt;"")),"")</f>
        <v>h</v>
      </c>
      <c r="X396" cm="1">
        <f t="array" ref="X396">IF($I396&lt;&gt;"",$I396,INDEX($I$1:$I396,ROW()-COUNTIFS($T$1:$T396,"="&amp;$T396,$S$1:$S396,"&lt;"&amp;$S396)))</f>
        <v>41</v>
      </c>
      <c r="Y396" cm="1">
        <f t="array" ref="Y396">IFERROR(IF(_xlfn._xlws.FILTER(game_rosters!$J:$J,(game_rosters!$G:$G=events!$AM396)*(game_rosters!$J:$J=events!$X396))&gt;0,1,""),"")</f>
        <v>1</v>
      </c>
      <c r="Z396" s="6">
        <f t="shared" si="686"/>
        <v>1</v>
      </c>
      <c r="AA396">
        <f t="shared" si="687"/>
        <v>1198</v>
      </c>
      <c r="AB396">
        <f t="shared" si="688"/>
        <v>9025</v>
      </c>
      <c r="AC396">
        <f t="shared" si="689"/>
        <v>9025</v>
      </c>
      <c r="AD396" t="str">
        <f t="shared" si="690"/>
        <v>12</v>
      </c>
      <c r="AE396" t="str">
        <f t="shared" si="691"/>
        <v>05</v>
      </c>
      <c r="AF396" t="str">
        <f t="shared" si="692"/>
        <v/>
      </c>
      <c r="AG396" t="str">
        <f t="shared" si="693"/>
        <v/>
      </c>
      <c r="AH396" t="str">
        <f t="shared" si="631"/>
        <v>e</v>
      </c>
      <c r="AI396" t="str">
        <f t="shared" si="717"/>
        <v>n</v>
      </c>
      <c r="AJ396" t="str">
        <f t="shared" si="717"/>
        <v>n</v>
      </c>
      <c r="AK396" t="str">
        <f t="shared" si="633"/>
        <v>n</v>
      </c>
      <c r="AL396" t="str">
        <f t="shared" si="634"/>
        <v>n</v>
      </c>
      <c r="AM396" t="str">
        <f t="shared" si="694"/>
        <v>Home</v>
      </c>
      <c r="AN396" t="str">
        <f t="shared" si="635"/>
        <v>h</v>
      </c>
      <c r="AO396" t="str">
        <f t="shared" si="636"/>
        <v>n</v>
      </c>
      <c r="AP396" t="str">
        <f t="shared" si="637"/>
        <v>n</v>
      </c>
      <c r="AQ396" t="str">
        <f>IF(AM396&lt;&gt;"",AM396,IF($AC396=#REF!,#REF!,""))</f>
        <v>Home</v>
      </c>
      <c r="AR396" t="str">
        <f t="shared" si="638"/>
        <v>h</v>
      </c>
      <c r="AS396" t="str">
        <f t="shared" si="639"/>
        <v>Offensive</v>
      </c>
      <c r="AT396" t="str">
        <f t="shared" si="695"/>
        <v/>
      </c>
      <c r="AU396" t="str">
        <f t="shared" si="696"/>
        <v/>
      </c>
      <c r="AV396" t="str" cm="1">
        <f t="array" ref="AV396">IFERROR(IF(O396&lt;&gt;"",O396,IF(OR($S396="",$T396=""),"",IF(O396&lt;&gt;"",O396,IF($T396&lt;&gt;"",_xlfn._xlws.FILTER(O:O,($BT:$BT=$BT396)*($I:$I=$I396)*($T:$T=$T396)*($S:$S=_xlfn.MINIFS($S:$S,$T:$T,"="&amp;$T396)),"")))))&amp;"",IF(O396="","",""))&amp;""</f>
        <v/>
      </c>
      <c r="AW396" t="str" cm="1">
        <f t="array" ref="AW396">IFERROR(IF(P396&lt;&gt;"",P396,IF(OR($S396="",$T396=""),"",IF($T396&lt;&gt;"",_xlfn._xlws.FILTER(P:P,($BT:$BT=$BT396)*($I:$I=$I396)*($T:$T=$T396)*($S:$S=_xlfn.MINIFS($S:$S,$T:$T,"="&amp;$T396)),""))))&amp;"",IF(P396="","",""))&amp;""</f>
        <v/>
      </c>
      <c r="AX396" t="str" cm="1">
        <f t="array" ref="AX396">IFERROR(IF(Q396&lt;&gt;"",Q396,IF(OR($S396="",$T396=""),"",IF($T396&lt;&gt;"",_xlfn._xlws.FILTER(Q:Q,($BT:$BT=$BT396)*($I:$I=$I396)*($T:$T=$T396)*($S:$S=_xlfn.MINIFS($S:$S,$T:$T,"="&amp;$T396)),""))))&amp;"",IF(Q396="","",""))&amp;""</f>
        <v/>
      </c>
      <c r="AY396" t="str" cm="1">
        <f t="array" ref="AY396">IFERROR(IF(R396&lt;&gt;"",R396,IF(OR($S396="",$T396=""),"",IF($T396&lt;&gt;"",_xlfn._xlws.FILTER(R:R,($BT:$BT=$BT396)*($I:$I=$I396)*($T:$T=$T396)*($S:$S=_xlfn.MINIFS($S:$S,$T:$T,"="&amp;$T396)),""))))&amp;"",IF(R396="","",""))&amp;""</f>
        <v>1</v>
      </c>
      <c r="AZ396" s="6">
        <f t="shared" si="697"/>
        <v>34</v>
      </c>
      <c r="BA396">
        <f t="shared" ref="BA396:BC396" si="719">BA395</f>
        <v>18991</v>
      </c>
      <c r="BB396" t="str">
        <f t="shared" si="719"/>
        <v>Triple J</v>
      </c>
      <c r="BC396" t="str">
        <f t="shared" si="719"/>
        <v>Velodrome</v>
      </c>
      <c r="BD396" t="str">
        <f t="shared" si="699"/>
        <v>Zone_Entry_Exit</v>
      </c>
      <c r="BE396" t="str">
        <f t="shared" si="700"/>
        <v>Zone_Entryfailed</v>
      </c>
      <c r="BF396" t="str">
        <f t="shared" si="701"/>
        <v>ZoneEntry-DumpIn</v>
      </c>
      <c r="BG396" t="str">
        <f t="shared" si="683"/>
        <v>u</v>
      </c>
      <c r="BH396" cm="1">
        <f t="array" aca="1" ref="BH396" ca="1">IFERROR(_xlfn._xlws.FILTER(shifts!A:A,(shifts!B:B=events!Z396)*(shifts!AG:AG&gt;=events!BJ396)*(shifts!AH:AH&lt;=events!BK396)),BH395)</f>
        <v>13</v>
      </c>
      <c r="BI396" s="15">
        <f t="shared" si="702"/>
        <v>0</v>
      </c>
      <c r="BJ396">
        <f t="shared" si="703"/>
        <v>725</v>
      </c>
      <c r="BK396">
        <f t="shared" si="704"/>
        <v>725</v>
      </c>
      <c r="BL396" s="15">
        <f>SUMIFS(BI$2:BI396,K$2:K396,"=Intermission")+SUMIFS(BI$2:BI396,K$2:K396,"=Timeout")</f>
        <v>0</v>
      </c>
      <c r="BM396">
        <f t="shared" si="705"/>
        <v>0</v>
      </c>
      <c r="BN396" s="19">
        <f t="shared" si="706"/>
        <v>355</v>
      </c>
      <c r="BO396">
        <f t="shared" si="707"/>
        <v>350</v>
      </c>
      <c r="BP396" s="17">
        <f t="shared" si="708"/>
        <v>355</v>
      </c>
      <c r="BQ396" t="str">
        <f t="shared" si="709"/>
        <v>event_team_player_1</v>
      </c>
      <c r="BR396">
        <f>COUNTIFS(S$3:S396,"="&amp;S396,AH$3:AH396,"="&amp;AH396)</f>
        <v>1</v>
      </c>
      <c r="BS396" t="str">
        <f>IFERROR(VLOOKUP(BA396&amp;BT396&amp;X396,game_rosters!U:W,3,FALSE),"")</f>
        <v>P100206</v>
      </c>
      <c r="BT396" t="str">
        <f t="shared" si="710"/>
        <v>Triple J</v>
      </c>
    </row>
    <row r="397" spans="1:72" x14ac:dyDescent="0.2">
      <c r="A397" t="str">
        <f t="shared" si="685"/>
        <v>x</v>
      </c>
      <c r="D397" s="26" t="s">
        <v>729</v>
      </c>
      <c r="E397" s="4"/>
      <c r="F397" s="45"/>
      <c r="G397" s="4"/>
      <c r="H397" s="47"/>
      <c r="I397" s="26">
        <v>75</v>
      </c>
      <c r="J397" s="26" t="str">
        <f t="shared" si="711"/>
        <v/>
      </c>
      <c r="N397" t="str">
        <f t="shared" si="624"/>
        <v/>
      </c>
      <c r="Q397" t="str">
        <f t="shared" si="618"/>
        <v/>
      </c>
      <c r="R397" s="26">
        <v>1</v>
      </c>
      <c r="S397">
        <f>IF(A397=1,MAX($S$2:$S396)+1,IF(OR($I397&lt;&gt;"",A397="x"),$S396,""))</f>
        <v>198</v>
      </c>
      <c r="T397">
        <f>IF(D397=1,MAX($T$2:$T396)+1,IF(S397=S396,$T396,IF(D397="x",T396,IF(D396="x","",""))))</f>
        <v>25</v>
      </c>
      <c r="U397" t="str">
        <f>IF(B397=1,MAX($U$2:$U396)+1,IF(AND($T397&lt;&gt;"",$T397=$T396),$U396,IF(B397="x",U396,"")))</f>
        <v/>
      </c>
      <c r="V397" t="str">
        <f>IF(C397=1,MAX($V$2:$V396)+1,IF(AND($T397&lt;&gt;"",$T397=$T396),$U396,IF(C397="x",V396,"")))</f>
        <v/>
      </c>
      <c r="W397" t="str" cm="1">
        <f t="array" ref="W397">IFERROR(_xlfn._xlws.FILTER(game_rosters!AC:AC,(game_rosters!J:J=events!X397)*(K397&lt;&gt;"")),"")</f>
        <v/>
      </c>
      <c r="X397" cm="1">
        <f t="array" ref="X397">IF($I397&lt;&gt;"",$I397,INDEX($I$1:$I397,ROW()-COUNTIFS($T$1:$T397,"="&amp;$T397,$S$1:$S397,"&lt;"&amp;$S397)))</f>
        <v>75</v>
      </c>
      <c r="Y397" t="str" cm="1">
        <f t="array" ref="Y397">IFERROR(IF(_xlfn._xlws.FILTER(game_rosters!$J:$J,(game_rosters!$G:$G=events!$AM397)*(game_rosters!$J:$J=events!$X397))&gt;0,1,""),"")</f>
        <v/>
      </c>
      <c r="Z397" s="6">
        <f t="shared" si="686"/>
        <v>1</v>
      </c>
      <c r="AA397">
        <f t="shared" si="687"/>
        <v>1198</v>
      </c>
      <c r="AB397">
        <f t="shared" si="688"/>
        <v>9025</v>
      </c>
      <c r="AC397">
        <f t="shared" si="689"/>
        <v>9025</v>
      </c>
      <c r="AD397" t="str">
        <f t="shared" si="690"/>
        <v>12</v>
      </c>
      <c r="AE397" t="str">
        <f t="shared" si="691"/>
        <v>05</v>
      </c>
      <c r="AF397" t="str">
        <f t="shared" si="692"/>
        <v/>
      </c>
      <c r="AG397" t="str">
        <f t="shared" si="693"/>
        <v/>
      </c>
      <c r="AH397" t="str">
        <f t="shared" si="631"/>
        <v>o</v>
      </c>
      <c r="AI397" t="str">
        <f t="shared" si="717"/>
        <v>n</v>
      </c>
      <c r="AJ397" t="str">
        <f t="shared" si="717"/>
        <v>n</v>
      </c>
      <c r="AK397" t="str">
        <f t="shared" si="633"/>
        <v/>
      </c>
      <c r="AL397" t="str">
        <f t="shared" si="634"/>
        <v/>
      </c>
      <c r="AM397" t="str">
        <f t="shared" si="694"/>
        <v>Home</v>
      </c>
      <c r="AN397" t="str">
        <f t="shared" si="635"/>
        <v>h</v>
      </c>
      <c r="AO397" t="str">
        <f t="shared" si="636"/>
        <v>n</v>
      </c>
      <c r="AP397" t="str">
        <f t="shared" si="637"/>
        <v>n</v>
      </c>
      <c r="AQ397" t="str">
        <f>IF(AM397&lt;&gt;"",AM397,IF($AC397=#REF!,#REF!,""))</f>
        <v>Home</v>
      </c>
      <c r="AR397" t="str">
        <f t="shared" si="638"/>
        <v>h</v>
      </c>
      <c r="AS397" t="str">
        <f t="shared" si="639"/>
        <v>Defensive</v>
      </c>
      <c r="AT397" t="str">
        <f t="shared" si="695"/>
        <v/>
      </c>
      <c r="AU397" t="str">
        <f t="shared" si="696"/>
        <v/>
      </c>
      <c r="AV397" t="str" cm="1">
        <f t="array" ref="AV397">IFERROR(IF(O397&lt;&gt;"",O397,IF(OR($S397="",$T397=""),"",IF(O397&lt;&gt;"",O397,IF($T397&lt;&gt;"",_xlfn._xlws.FILTER(O:O,($BT:$BT=$BT397)*($I:$I=$I397)*($T:$T=$T397)*($S:$S=_xlfn.MINIFS($S:$S,$T:$T,"="&amp;$T397)),"")))))&amp;"",IF(O397="","",""))&amp;""</f>
        <v/>
      </c>
      <c r="AW397" t="str" cm="1">
        <f t="array" ref="AW397">IFERROR(IF(P397&lt;&gt;"",P397,IF(OR($S397="",$T397=""),"",IF($T397&lt;&gt;"",_xlfn._xlws.FILTER(P:P,($BT:$BT=$BT397)*($I:$I=$I397)*($T:$T=$T397)*($S:$S=_xlfn.MINIFS($S:$S,$T:$T,"="&amp;$T397)),""))))&amp;"",IF(P397="","",""))&amp;""</f>
        <v/>
      </c>
      <c r="AX397" t="str" cm="1">
        <f t="array" ref="AX397">IFERROR(IF(Q397&lt;&gt;"",Q397,IF(OR($S397="",$T397=""),"",IF($T397&lt;&gt;"",_xlfn._xlws.FILTER(Q:Q,($BT:$BT=$BT397)*($I:$I=$I397)*($T:$T=$T397)*($S:$S=_xlfn.MINIFS($S:$S,$T:$T,"="&amp;$T397)),""))))&amp;"",IF(Q397="","",""))&amp;""</f>
        <v/>
      </c>
      <c r="AY397" t="str" cm="1">
        <f t="array" ref="AY397">IFERROR(IF(R397&lt;&gt;"",R397,IF(OR($S397="",$T397=""),"",IF($T397&lt;&gt;"",_xlfn._xlws.FILTER(R:R,($BT:$BT=$BT397)*($I:$I=$I397)*($T:$T=$T397)*($S:$S=_xlfn.MINIFS($S:$S,$T:$T,"="&amp;$T397)),""))))&amp;"",IF(R397="","",""))&amp;""</f>
        <v>1</v>
      </c>
      <c r="AZ397" s="6">
        <f t="shared" si="697"/>
        <v>34</v>
      </c>
      <c r="BA397">
        <f t="shared" ref="BA397:BC397" si="720">BA396</f>
        <v>18991</v>
      </c>
      <c r="BB397" t="str">
        <f t="shared" si="720"/>
        <v>Triple J</v>
      </c>
      <c r="BC397" t="str">
        <f t="shared" si="720"/>
        <v>Velodrome</v>
      </c>
      <c r="BD397" t="str">
        <f t="shared" si="699"/>
        <v>Zone_Entry_Exit</v>
      </c>
      <c r="BE397" t="str">
        <f t="shared" si="700"/>
        <v>Zone_Entryfailed</v>
      </c>
      <c r="BF397" t="str">
        <f t="shared" si="701"/>
        <v>ZoneEntry-DumpIn</v>
      </c>
      <c r="BG397" t="str">
        <f t="shared" si="683"/>
        <v>u</v>
      </c>
      <c r="BH397" cm="1">
        <f t="array" aca="1" ref="BH397" ca="1">IFERROR(_xlfn._xlws.FILTER(shifts!A:A,(shifts!B:B=events!Z397)*(shifts!AG:AG&gt;=events!BJ397)*(shifts!AH:AH&lt;=events!BK397)),BH396)</f>
        <v>13</v>
      </c>
      <c r="BI397" s="15">
        <f t="shared" si="702"/>
        <v>0</v>
      </c>
      <c r="BJ397">
        <f t="shared" si="703"/>
        <v>725</v>
      </c>
      <c r="BK397">
        <f t="shared" si="704"/>
        <v>725</v>
      </c>
      <c r="BL397" s="15">
        <f>SUMIFS(BI$2:BI397,K$2:K397,"=Intermission")+SUMIFS(BI$2:BI397,K$2:K397,"=Timeout")</f>
        <v>0</v>
      </c>
      <c r="BM397">
        <f t="shared" si="705"/>
        <v>0</v>
      </c>
      <c r="BN397" s="19">
        <f t="shared" si="706"/>
        <v>355</v>
      </c>
      <c r="BO397">
        <f t="shared" si="707"/>
        <v>350</v>
      </c>
      <c r="BP397" s="17">
        <f t="shared" si="708"/>
        <v>355</v>
      </c>
      <c r="BQ397" t="str">
        <f t="shared" si="709"/>
        <v>opp_team_player_1</v>
      </c>
      <c r="BR397">
        <f>COUNTIFS(S$3:S397,"="&amp;S397,AH$3:AH397,"="&amp;AH397)</f>
        <v>1</v>
      </c>
      <c r="BS397" t="str">
        <f>IFERROR(VLOOKUP(BA397&amp;BT397&amp;X397,game_rosters!U:W,3,FALSE),"")</f>
        <v>P100039</v>
      </c>
      <c r="BT397" t="str">
        <f t="shared" si="710"/>
        <v>Velodrome</v>
      </c>
    </row>
    <row r="398" spans="1:72" x14ac:dyDescent="0.2">
      <c r="A398" t="str">
        <f t="shared" si="685"/>
        <v>x</v>
      </c>
      <c r="D398" s="26" t="s">
        <v>729</v>
      </c>
      <c r="E398" s="4"/>
      <c r="F398" s="45"/>
      <c r="G398" s="4"/>
      <c r="H398" s="47"/>
      <c r="I398" s="26">
        <v>9</v>
      </c>
      <c r="J398" s="26" t="str">
        <f t="shared" si="711"/>
        <v/>
      </c>
      <c r="N398" t="str">
        <f t="shared" si="624"/>
        <v/>
      </c>
      <c r="O398" t="s">
        <v>560</v>
      </c>
      <c r="Q398" t="s">
        <v>595</v>
      </c>
      <c r="S398">
        <f>IF(A398=1,MAX($S$2:$S397)+1,IF(OR($I398&lt;&gt;"",A398="x"),$S397,""))</f>
        <v>198</v>
      </c>
      <c r="T398">
        <f>IF(D398=1,MAX($T$2:$T397)+1,IF(S398=S397,$T397,IF(D398="x",T397,IF(D397="x","",""))))</f>
        <v>25</v>
      </c>
      <c r="U398" t="str">
        <f>IF(B398=1,MAX($U$2:$U397)+1,IF(AND($T398&lt;&gt;"",$T398=$T397),$U397,IF(B398="x",U397,"")))</f>
        <v/>
      </c>
      <c r="V398" t="str">
        <f>IF(C398=1,MAX($V$2:$V397)+1,IF(AND($T398&lt;&gt;"",$T398=$T397),$U397,IF(C398="x",V397,"")))</f>
        <v/>
      </c>
      <c r="W398" t="str" cm="1">
        <f t="array" ref="W398">IFERROR(_xlfn._xlws.FILTER(game_rosters!AC:AC,(game_rosters!J:J=events!X398)*(K398&lt;&gt;"")),"")</f>
        <v/>
      </c>
      <c r="X398" cm="1">
        <f t="array" ref="X398">IF($I398&lt;&gt;"",$I398,INDEX($I$1:$I398,ROW()-COUNTIFS($T$1:$T398,"="&amp;$T398,$S$1:$S398,"&lt;"&amp;$S398)))</f>
        <v>9</v>
      </c>
      <c r="Y398" t="str" cm="1">
        <f t="array" ref="Y398">IFERROR(IF(_xlfn._xlws.FILTER(game_rosters!$J:$J,(game_rosters!$G:$G=events!$AM398)*(game_rosters!$J:$J=events!$X398))&gt;0,1,""),"")</f>
        <v/>
      </c>
      <c r="Z398" s="6">
        <f t="shared" si="686"/>
        <v>1</v>
      </c>
      <c r="AA398">
        <f t="shared" si="687"/>
        <v>1198</v>
      </c>
      <c r="AB398">
        <f t="shared" si="688"/>
        <v>9025</v>
      </c>
      <c r="AC398">
        <f t="shared" si="689"/>
        <v>9025</v>
      </c>
      <c r="AD398" t="str">
        <f t="shared" si="690"/>
        <v>12</v>
      </c>
      <c r="AE398" t="str">
        <f t="shared" si="691"/>
        <v>05</v>
      </c>
      <c r="AF398" t="str">
        <f t="shared" si="692"/>
        <v/>
      </c>
      <c r="AG398" t="str">
        <f t="shared" si="693"/>
        <v/>
      </c>
      <c r="AH398" t="str">
        <f t="shared" si="631"/>
        <v>o</v>
      </c>
      <c r="AI398" t="str">
        <f t="shared" si="717"/>
        <v>n</v>
      </c>
      <c r="AJ398" t="str">
        <f t="shared" si="717"/>
        <v>n</v>
      </c>
      <c r="AK398" t="str">
        <f t="shared" si="633"/>
        <v/>
      </c>
      <c r="AL398" t="str">
        <f t="shared" si="634"/>
        <v/>
      </c>
      <c r="AM398" t="str">
        <f t="shared" si="694"/>
        <v>Home</v>
      </c>
      <c r="AN398" t="str">
        <f t="shared" si="635"/>
        <v>h</v>
      </c>
      <c r="AO398" t="str">
        <f t="shared" si="636"/>
        <v>n</v>
      </c>
      <c r="AP398" t="str">
        <f t="shared" si="637"/>
        <v>n</v>
      </c>
      <c r="AQ398" t="str">
        <f>IF(AM398&lt;&gt;"",AM398,IF($AC398=#REF!,#REF!,""))</f>
        <v>Home</v>
      </c>
      <c r="AR398" t="str">
        <f t="shared" si="638"/>
        <v>h</v>
      </c>
      <c r="AS398" t="str">
        <f t="shared" si="639"/>
        <v>Defensive</v>
      </c>
      <c r="AT398" t="str">
        <f t="shared" si="695"/>
        <v/>
      </c>
      <c r="AU398" t="str">
        <f t="shared" si="696"/>
        <v/>
      </c>
      <c r="AV398" t="str" cm="1">
        <f t="array" ref="AV398">IFERROR(IF(O398&lt;&gt;"",O398,IF(OR($S398="",$T398=""),"",IF(O398&lt;&gt;"",O398,IF($T398&lt;&gt;"",_xlfn._xlws.FILTER(O:O,($BT:$BT=$BT398)*($I:$I=$I398)*($T:$T=$T398)*($S:$S=_xlfn.MINIFS($S:$S,$T:$T,"="&amp;$T398)),"")))))&amp;"",IF(O398="","",""))&amp;""</f>
        <v>ZoneEntryDenial</v>
      </c>
      <c r="AW398" t="str" cm="1">
        <f t="array" ref="AW398">IFERROR(IF(P398&lt;&gt;"",P398,IF(OR($S398="",$T398=""),"",IF($T398&lt;&gt;"",_xlfn._xlws.FILTER(P:P,($BT:$BT=$BT398)*($I:$I=$I398)*($T:$T=$T398)*($S:$S=_xlfn.MINIFS($S:$S,$T:$T,"="&amp;$T398)),""))))&amp;"",IF(P398="","",""))&amp;""</f>
        <v/>
      </c>
      <c r="AX398" t="str" cm="1">
        <f t="array" ref="AX398">IFERROR(IF(Q398&lt;&gt;"",Q398,IF(OR($S398="",$T398=""),"",IF($T398&lt;&gt;"",_xlfn._xlws.FILTER(Q:Q,($BT:$BT=$BT398)*($I:$I=$I398)*($T:$T=$T398)*($S:$S=_xlfn.MINIFS($S:$S,$T:$T,"="&amp;$T398)),""))))&amp;"",IF(Q398="","",""))&amp;""</f>
        <v>s</v>
      </c>
      <c r="AY398" t="str" cm="1">
        <f t="array" ref="AY398">IFERROR(IF(R398&lt;&gt;"",R398,IF(OR($S398="",$T398=""),"",IF($T398&lt;&gt;"",_xlfn._xlws.FILTER(R:R,($BT:$BT=$BT398)*($I:$I=$I398)*($T:$T=$T398)*($S:$S=_xlfn.MINIFS($S:$S,$T:$T,"="&amp;$T398)),""))))&amp;"",IF(R398="","",""))&amp;""</f>
        <v/>
      </c>
      <c r="AZ398" s="6">
        <f t="shared" si="697"/>
        <v>34</v>
      </c>
      <c r="BA398">
        <f t="shared" ref="BA398:BC398" si="721">BA397</f>
        <v>18991</v>
      </c>
      <c r="BB398" t="str">
        <f t="shared" si="721"/>
        <v>Triple J</v>
      </c>
      <c r="BC398" t="str">
        <f t="shared" si="721"/>
        <v>Velodrome</v>
      </c>
      <c r="BD398" t="str">
        <f t="shared" si="699"/>
        <v>Zone_Entry_Exit</v>
      </c>
      <c r="BE398" t="str">
        <f t="shared" si="700"/>
        <v>Zone_Entryfailed</v>
      </c>
      <c r="BF398" t="str">
        <f t="shared" si="701"/>
        <v>ZoneEntry-DumpIn</v>
      </c>
      <c r="BG398" t="str">
        <f t="shared" si="683"/>
        <v>u</v>
      </c>
      <c r="BH398" cm="1">
        <f t="array" aca="1" ref="BH398" ca="1">IFERROR(_xlfn._xlws.FILTER(shifts!A:A,(shifts!B:B=events!Z398)*(shifts!AG:AG&gt;=events!BJ398)*(shifts!AH:AH&lt;=events!BK398)),BH397)</f>
        <v>13</v>
      </c>
      <c r="BI398" s="15">
        <f t="shared" si="702"/>
        <v>0</v>
      </c>
      <c r="BJ398">
        <f t="shared" si="703"/>
        <v>725</v>
      </c>
      <c r="BK398">
        <f t="shared" si="704"/>
        <v>725</v>
      </c>
      <c r="BL398" s="15">
        <f>SUMIFS(BI$2:BI398,K$2:K398,"=Intermission")+SUMIFS(BI$2:BI398,K$2:K398,"=Timeout")</f>
        <v>0</v>
      </c>
      <c r="BM398">
        <f t="shared" si="705"/>
        <v>0</v>
      </c>
      <c r="BN398" s="19">
        <f t="shared" si="706"/>
        <v>355</v>
      </c>
      <c r="BO398">
        <f t="shared" si="707"/>
        <v>350</v>
      </c>
      <c r="BP398" s="17">
        <f t="shared" si="708"/>
        <v>355</v>
      </c>
      <c r="BQ398" t="str">
        <f t="shared" si="709"/>
        <v>opp_team_player_2</v>
      </c>
      <c r="BR398">
        <f>COUNTIFS(S$3:S398,"="&amp;S398,AH$3:AH398,"="&amp;AH398)</f>
        <v>2</v>
      </c>
      <c r="BS398" t="str">
        <f>IFERROR(VLOOKUP(BA398&amp;BT398&amp;X398,game_rosters!U:W,3,FALSE),"")</f>
        <v>P100105</v>
      </c>
      <c r="BT398" t="str">
        <f t="shared" si="710"/>
        <v>Velodrome</v>
      </c>
    </row>
    <row r="399" spans="1:72" x14ac:dyDescent="0.2">
      <c r="A399">
        <f t="shared" si="685"/>
        <v>1</v>
      </c>
      <c r="D399" s="26" t="s">
        <v>729</v>
      </c>
      <c r="E399" s="4"/>
      <c r="F399" s="45"/>
      <c r="G399" s="4"/>
      <c r="H399" s="47"/>
      <c r="J399" s="26" t="str">
        <f t="shared" si="711"/>
        <v/>
      </c>
      <c r="K399" t="s">
        <v>9</v>
      </c>
      <c r="L399" t="s">
        <v>173</v>
      </c>
      <c r="M399" t="s">
        <v>365</v>
      </c>
      <c r="N399" t="str">
        <f t="shared" si="624"/>
        <v>u</v>
      </c>
      <c r="Q399" t="str">
        <f t="shared" si="618"/>
        <v/>
      </c>
      <c r="S399">
        <f>IF(A399=1,MAX($S$2:$S398)+1,IF(OR($I399&lt;&gt;"",A399="x"),$S398,""))</f>
        <v>199</v>
      </c>
      <c r="T399">
        <f>IF(D399=1,MAX($T$2:$T398)+1,IF(S399=S398,$T398,IF(D399="x",T398,IF(D398="x","",""))))</f>
        <v>25</v>
      </c>
      <c r="U399" t="str">
        <f>IF(B399=1,MAX($U$2:$U398)+1,IF(AND($T399&lt;&gt;"",$T399=$T398),$U398,IF(B399="x",U398,"")))</f>
        <v/>
      </c>
      <c r="V399" t="str">
        <f>IF(C399=1,MAX($V$2:$V398)+1,IF(AND($T399&lt;&gt;"",$T399=$T398),$U398,IF(C399="x",V398,"")))</f>
        <v/>
      </c>
      <c r="W399" t="str" cm="1">
        <f t="array" ref="W399">IFERROR(_xlfn._xlws.FILTER(game_rosters!AC:AC,(game_rosters!J:J=events!X399)*(K399&lt;&gt;"")),"")</f>
        <v>h</v>
      </c>
      <c r="X399" cm="1">
        <f t="array" ref="X399">IF($I399&lt;&gt;"",$I399,INDEX($I$1:$I399,ROW()-COUNTIFS($T$1:$T399,"="&amp;$T399,$S$1:$S399,"&lt;"&amp;$S399)))</f>
        <v>41</v>
      </c>
      <c r="Y399" cm="1">
        <f t="array" ref="Y399">IFERROR(IF(_xlfn._xlws.FILTER(game_rosters!$J:$J,(game_rosters!$G:$G=events!$AM399)*(game_rosters!$J:$J=events!$X399))&gt;0,1,""),"")</f>
        <v>1</v>
      </c>
      <c r="Z399" s="6">
        <f t="shared" si="686"/>
        <v>1</v>
      </c>
      <c r="AA399">
        <f t="shared" si="687"/>
        <v>1199</v>
      </c>
      <c r="AB399">
        <f t="shared" si="688"/>
        <v>9025</v>
      </c>
      <c r="AC399">
        <f t="shared" si="689"/>
        <v>9025</v>
      </c>
      <c r="AD399" t="str">
        <f t="shared" si="690"/>
        <v>12</v>
      </c>
      <c r="AE399" t="str">
        <f t="shared" si="691"/>
        <v>05</v>
      </c>
      <c r="AF399" t="str">
        <f t="shared" si="692"/>
        <v/>
      </c>
      <c r="AG399" t="str">
        <f t="shared" si="693"/>
        <v/>
      </c>
      <c r="AH399" t="str">
        <f t="shared" si="631"/>
        <v>e</v>
      </c>
      <c r="AI399" t="str">
        <f t="shared" si="717"/>
        <v>n</v>
      </c>
      <c r="AJ399" t="str">
        <f t="shared" si="717"/>
        <v>n</v>
      </c>
      <c r="AK399" t="str">
        <f t="shared" si="633"/>
        <v>n</v>
      </c>
      <c r="AL399" t="str">
        <f t="shared" si="634"/>
        <v/>
      </c>
      <c r="AM399" t="str">
        <f t="shared" si="694"/>
        <v>Home</v>
      </c>
      <c r="AN399" t="str">
        <f t="shared" si="635"/>
        <v>h</v>
      </c>
      <c r="AO399" t="str">
        <f t="shared" si="636"/>
        <v>n</v>
      </c>
      <c r="AP399" t="str">
        <f t="shared" si="637"/>
        <v>n</v>
      </c>
      <c r="AQ399" t="str">
        <f>IF(AM399&lt;&gt;"",AM399,IF($AC399=#REF!,#REF!,""))</f>
        <v>Home</v>
      </c>
      <c r="AR399" t="str">
        <f t="shared" si="638"/>
        <v>h</v>
      </c>
      <c r="AS399" t="str">
        <f t="shared" si="639"/>
        <v>Offensive</v>
      </c>
      <c r="AT399" t="str">
        <f t="shared" si="695"/>
        <v/>
      </c>
      <c r="AU399" t="str">
        <f t="shared" si="696"/>
        <v/>
      </c>
      <c r="AV399" t="str" cm="1">
        <f t="array" ref="AV399">IFERROR(IF(O399&lt;&gt;"",O399,IF(OR($S399="",$T399=""),"",IF(O399&lt;&gt;"",O399,IF($T399&lt;&gt;"",_xlfn._xlws.FILTER(O:O,($BT:$BT=$BT399)*($I:$I=$I399)*($T:$T=$T399)*($S:$S=_xlfn.MINIFS($S:$S,$T:$T,"="&amp;$T399)),"")))))&amp;"",IF(O399="","",""))&amp;""</f>
        <v/>
      </c>
      <c r="AW399" t="str" cm="1">
        <f t="array" ref="AW399">IFERROR(IF(P399&lt;&gt;"",P399,IF(OR($S399="",$T399=""),"",IF($T399&lt;&gt;"",_xlfn._xlws.FILTER(P:P,($BT:$BT=$BT399)*($I:$I=$I399)*($T:$T=$T399)*($S:$S=_xlfn.MINIFS($S:$S,$T:$T,"="&amp;$T399)),""))))&amp;"",IF(P399="","",""))&amp;""</f>
        <v/>
      </c>
      <c r="AX399" t="str" cm="1">
        <f t="array" ref="AX399">IFERROR(IF(Q399&lt;&gt;"",Q399,IF(OR($S399="",$T399=""),"",IF($T399&lt;&gt;"",_xlfn._xlws.FILTER(Q:Q,($BT:$BT=$BT399)*($I:$I=$I399)*($T:$T=$T399)*($S:$S=_xlfn.MINIFS($S:$S,$T:$T,"="&amp;$T399)),""))))&amp;"",IF(Q399="","",""))&amp;""</f>
        <v/>
      </c>
      <c r="AY399" t="str" cm="1">
        <f t="array" ref="AY399">IFERROR(IF(R399&lt;&gt;"",R399,IF(OR($S399="",$T399=""),"",IF($T399&lt;&gt;"",_xlfn._xlws.FILTER(R:R,($BT:$BT=$BT399)*($I:$I=$I399)*($T:$T=$T399)*($S:$S=_xlfn.MINIFS($S:$S,$T:$T,"="&amp;$T399)),""))))&amp;"",IF(R399="","",""))&amp;""</f>
        <v/>
      </c>
      <c r="AZ399" s="6">
        <f t="shared" si="697"/>
        <v>34</v>
      </c>
      <c r="BA399">
        <f t="shared" ref="BA399:BC399" si="722">BA398</f>
        <v>18991</v>
      </c>
      <c r="BB399" t="str">
        <f t="shared" si="722"/>
        <v>Triple J</v>
      </c>
      <c r="BC399" t="str">
        <f t="shared" si="722"/>
        <v>Velodrome</v>
      </c>
      <c r="BD399" t="str">
        <f t="shared" si="699"/>
        <v>Turnover</v>
      </c>
      <c r="BE399" t="str">
        <f t="shared" si="700"/>
        <v>Turnover_Giveaway</v>
      </c>
      <c r="BF399" t="str">
        <f t="shared" si="701"/>
        <v>Giveaway-AttemptedZoneClear/Dump</v>
      </c>
      <c r="BG399" t="str">
        <f t="shared" si="683"/>
        <v>u</v>
      </c>
      <c r="BH399" cm="1">
        <f t="array" aca="1" ref="BH399" ca="1">IFERROR(_xlfn._xlws.FILTER(shifts!A:A,(shifts!B:B=events!Z399)*(shifts!AG:AG&gt;=events!BJ399)*(shifts!AH:AH&lt;=events!BK399)),BH398)</f>
        <v>13</v>
      </c>
      <c r="BI399" s="15">
        <f t="shared" si="702"/>
        <v>0</v>
      </c>
      <c r="BJ399">
        <f t="shared" si="703"/>
        <v>725</v>
      </c>
      <c r="BK399">
        <f t="shared" si="704"/>
        <v>725</v>
      </c>
      <c r="BL399" s="15">
        <f>SUMIFS(BI$2:BI399,K$2:K399,"=Intermission")+SUMIFS(BI$2:BI399,K$2:K399,"=Timeout")</f>
        <v>0</v>
      </c>
      <c r="BM399">
        <f t="shared" si="705"/>
        <v>0</v>
      </c>
      <c r="BN399" s="19">
        <f t="shared" si="706"/>
        <v>355</v>
      </c>
      <c r="BO399">
        <f t="shared" si="707"/>
        <v>350</v>
      </c>
      <c r="BP399" s="17">
        <f t="shared" si="708"/>
        <v>355</v>
      </c>
      <c r="BQ399" t="str">
        <f t="shared" si="709"/>
        <v>event_team_player_1</v>
      </c>
      <c r="BR399">
        <f>COUNTIFS(S$3:S399,"="&amp;S399,AH$3:AH399,"="&amp;AH399)</f>
        <v>1</v>
      </c>
      <c r="BS399" t="str">
        <f>IFERROR(VLOOKUP(BA399&amp;BT399&amp;X399,game_rosters!U:W,3,FALSE),"")</f>
        <v>P100206</v>
      </c>
      <c r="BT399" t="str">
        <f t="shared" si="710"/>
        <v>Triple J</v>
      </c>
    </row>
    <row r="400" spans="1:72" x14ac:dyDescent="0.2">
      <c r="A400" t="str">
        <f t="shared" si="685"/>
        <v>x</v>
      </c>
      <c r="D400" s="26" t="s">
        <v>729</v>
      </c>
      <c r="E400" s="4"/>
      <c r="F400" s="45"/>
      <c r="G400" s="4"/>
      <c r="H400" s="47"/>
      <c r="J400" s="26" t="str">
        <f t="shared" si="711"/>
        <v/>
      </c>
      <c r="N400" t="str">
        <f t="shared" si="624"/>
        <v/>
      </c>
      <c r="Q400" t="str">
        <f t="shared" ref="Q400:Q463" si="723">IF(O400="","",IF(AND(N400&lt;&gt;"",OR(O400&lt;&gt;"",P400&lt;&gt;"")),N400,IF(OR(ISNUMBER(SEARCH("attemp",O400)),ISNUMBER(SEARCH("beat",O400)),ISNUMBER(SEARCH("mis",O400)),ISNUMBER(SEARCH("fail",O400)),ISNUMBER(SEARCH("loss",O400)),ISNUMBER(SEARCH("lost",O400)),ISNUMBER(SEARCH("attemp",P400)),ISNUMBER(SEARCH("mis",P400)),ISNUMBER(SEARCH("fail",P400)),ISNUMBER(SEARCH("loss",P400)),ISNUMBER(SEARCH("beat",P400)),ISNUMBER(SEARCH("lost",P400))),"u","")))</f>
        <v/>
      </c>
      <c r="S400">
        <f>IF(A400=1,MAX($S$2:$S399)+1,IF(OR($I400&lt;&gt;"",A400="x"),$S399,""))</f>
        <v>199</v>
      </c>
      <c r="T400">
        <f>IF(D400=1,MAX($T$2:$T399)+1,IF(S400=S399,$T399,IF(D400="x",T399,IF(D399="x","",""))))</f>
        <v>25</v>
      </c>
      <c r="U400" t="str">
        <f>IF(B400=1,MAX($U$2:$U399)+1,IF(AND($T400&lt;&gt;"",$T400=$T399),$U399,IF(B400="x",U399,"")))</f>
        <v/>
      </c>
      <c r="V400" t="str">
        <f>IF(C400=1,MAX($V$2:$V399)+1,IF(AND($T400&lt;&gt;"",$T400=$T399),$U399,IF(C400="x",V399,"")))</f>
        <v/>
      </c>
      <c r="W400" t="str" cm="1">
        <f t="array" ref="W400">IFERROR(_xlfn._xlws.FILTER(game_rosters!AC:AC,(game_rosters!J:J=events!X400)*(K400&lt;&gt;"")),"")</f>
        <v/>
      </c>
      <c r="X400" cm="1">
        <f t="array" ref="X400">IF($I400&lt;&gt;"",$I400,INDEX($I$1:$I400,ROW()-COUNTIFS($T$1:$T400,"="&amp;$T400,$S$1:$S400,"&lt;"&amp;$S400)))</f>
        <v>75</v>
      </c>
      <c r="Y400" t="str" cm="1">
        <f t="array" ref="Y400">IFERROR(IF(_xlfn._xlws.FILTER(game_rosters!$J:$J,(game_rosters!$G:$G=events!$AM400)*(game_rosters!$J:$J=events!$X400))&gt;0,1,""),"")</f>
        <v/>
      </c>
      <c r="Z400" s="6">
        <f t="shared" si="686"/>
        <v>1</v>
      </c>
      <c r="AA400">
        <f t="shared" si="687"/>
        <v>1199</v>
      </c>
      <c r="AB400">
        <f t="shared" si="688"/>
        <v>9025</v>
      </c>
      <c r="AC400">
        <f t="shared" si="689"/>
        <v>9025</v>
      </c>
      <c r="AD400" t="str">
        <f t="shared" si="690"/>
        <v>12</v>
      </c>
      <c r="AE400" t="str">
        <f t="shared" si="691"/>
        <v>05</v>
      </c>
      <c r="AF400" t="str">
        <f t="shared" si="692"/>
        <v/>
      </c>
      <c r="AG400" t="str">
        <f t="shared" si="693"/>
        <v/>
      </c>
      <c r="AH400" t="str">
        <f t="shared" si="631"/>
        <v>o</v>
      </c>
      <c r="AI400" t="str">
        <f t="shared" si="717"/>
        <v>n</v>
      </c>
      <c r="AJ400" t="str">
        <f t="shared" si="717"/>
        <v>n</v>
      </c>
      <c r="AK400" t="str">
        <f t="shared" si="633"/>
        <v/>
      </c>
      <c r="AL400" t="str">
        <f t="shared" si="634"/>
        <v/>
      </c>
      <c r="AM400" t="str">
        <f t="shared" si="694"/>
        <v>Home</v>
      </c>
      <c r="AN400" t="str">
        <f t="shared" si="635"/>
        <v>h</v>
      </c>
      <c r="AO400" t="str">
        <f t="shared" si="636"/>
        <v>n</v>
      </c>
      <c r="AP400" t="str">
        <f t="shared" si="637"/>
        <v>n</v>
      </c>
      <c r="AQ400" t="str">
        <f>IF(AM400&lt;&gt;"",AM400,IF($AC400=#REF!,#REF!,""))</f>
        <v>Home</v>
      </c>
      <c r="AR400" t="str">
        <f t="shared" si="638"/>
        <v>h</v>
      </c>
      <c r="AS400" t="str">
        <f t="shared" si="639"/>
        <v>Defensive</v>
      </c>
      <c r="AT400" t="str">
        <f t="shared" si="695"/>
        <v/>
      </c>
      <c r="AU400" t="str">
        <f t="shared" si="696"/>
        <v/>
      </c>
      <c r="AV400" t="str" cm="1">
        <f t="array" ref="AV400">IFERROR(IF(O400&lt;&gt;"",O400,IF(OR($S400="",$T400=""),"",IF(O400&lt;&gt;"",O400,IF($T400&lt;&gt;"",_xlfn._xlws.FILTER(O:O,($BT:$BT=$BT400)*($I:$I=$I400)*($T:$T=$T400)*($S:$S=_xlfn.MINIFS($S:$S,$T:$T,"="&amp;$T400)),"")))))&amp;"",IF(O400="","",""))&amp;""</f>
        <v/>
      </c>
      <c r="AW400" t="str" cm="1">
        <f t="array" ref="AW400">IFERROR(IF(P400&lt;&gt;"",P400,IF(OR($S400="",$T400=""),"",IF($T400&lt;&gt;"",_xlfn._xlws.FILTER(P:P,($BT:$BT=$BT400)*($I:$I=$I400)*($T:$T=$T400)*($S:$S=_xlfn.MINIFS($S:$S,$T:$T,"="&amp;$T400)),""))))&amp;"",IF(P400="","",""))&amp;""</f>
        <v/>
      </c>
      <c r="AX400" t="str" cm="1">
        <f t="array" ref="AX400">IFERROR(IF(Q400&lt;&gt;"",Q400,IF(OR($S400="",$T400=""),"",IF($T400&lt;&gt;"",_xlfn._xlws.FILTER(Q:Q,($BT:$BT=$BT400)*($I:$I=$I400)*($T:$T=$T400)*($S:$S=_xlfn.MINIFS($S:$S,$T:$T,"="&amp;$T400)),""))))&amp;"",IF(Q400="","",""))&amp;""</f>
        <v/>
      </c>
      <c r="AY400" t="str" cm="1">
        <f t="array" ref="AY400">IFERROR(IF(R400&lt;&gt;"",R400,IF(OR($S400="",$T400=""),"",IF($T400&lt;&gt;"",_xlfn._xlws.FILTER(R:R,($BT:$BT=$BT400)*($I:$I=$I400)*($T:$T=$T400)*($S:$S=_xlfn.MINIFS($S:$S,$T:$T,"="&amp;$T400)),""))))&amp;"",IF(R400="","",""))&amp;""</f>
        <v/>
      </c>
      <c r="AZ400" s="6">
        <f t="shared" si="697"/>
        <v>34</v>
      </c>
      <c r="BA400">
        <f t="shared" ref="BA400:BC400" si="724">BA399</f>
        <v>18991</v>
      </c>
      <c r="BB400" t="str">
        <f t="shared" si="724"/>
        <v>Triple J</v>
      </c>
      <c r="BC400" t="str">
        <f t="shared" si="724"/>
        <v>Velodrome</v>
      </c>
      <c r="BD400" t="str">
        <f t="shared" si="699"/>
        <v>Turnover</v>
      </c>
      <c r="BE400" t="str">
        <f t="shared" si="700"/>
        <v>Turnover_Giveaway</v>
      </c>
      <c r="BF400" t="str">
        <f t="shared" si="701"/>
        <v>Giveaway-AttemptedZoneClear/Dump</v>
      </c>
      <c r="BG400" t="str">
        <f t="shared" si="683"/>
        <v>u</v>
      </c>
      <c r="BH400" cm="1">
        <f t="array" aca="1" ref="BH400" ca="1">IFERROR(_xlfn._xlws.FILTER(shifts!A:A,(shifts!B:B=events!Z400)*(shifts!AG:AG&gt;=events!BJ400)*(shifts!AH:AH&lt;=events!BK400)),BH399)</f>
        <v>13</v>
      </c>
      <c r="BI400" s="15">
        <f t="shared" si="702"/>
        <v>0</v>
      </c>
      <c r="BJ400">
        <f t="shared" si="703"/>
        <v>725</v>
      </c>
      <c r="BK400">
        <f t="shared" si="704"/>
        <v>725</v>
      </c>
      <c r="BL400" s="15">
        <f>SUMIFS(BI$2:BI400,K$2:K400,"=Intermission")+SUMIFS(BI$2:BI400,K$2:K400,"=Timeout")</f>
        <v>0</v>
      </c>
      <c r="BM400">
        <f t="shared" si="705"/>
        <v>0</v>
      </c>
      <c r="BN400" s="19">
        <f t="shared" si="706"/>
        <v>355</v>
      </c>
      <c r="BO400">
        <f t="shared" si="707"/>
        <v>350</v>
      </c>
      <c r="BP400" s="17">
        <f t="shared" si="708"/>
        <v>355</v>
      </c>
      <c r="BQ400" t="str">
        <f t="shared" si="709"/>
        <v>opp_team_player_1</v>
      </c>
      <c r="BR400">
        <f>COUNTIFS(S$3:S400,"="&amp;S400,AH$3:AH400,"="&amp;AH400)</f>
        <v>1</v>
      </c>
      <c r="BS400" t="str">
        <f>IFERROR(VLOOKUP(BA400&amp;BT400&amp;X400,game_rosters!U:W,3,FALSE),"")</f>
        <v>P100039</v>
      </c>
      <c r="BT400" t="str">
        <f t="shared" si="710"/>
        <v>Velodrome</v>
      </c>
    </row>
    <row r="401" spans="1:72" x14ac:dyDescent="0.2">
      <c r="A401" t="str">
        <f t="shared" si="685"/>
        <v>x</v>
      </c>
      <c r="D401" s="26" t="s">
        <v>729</v>
      </c>
      <c r="E401" s="4"/>
      <c r="F401" s="45"/>
      <c r="G401" s="4"/>
      <c r="H401" s="47"/>
      <c r="J401" s="26" t="str">
        <f t="shared" si="711"/>
        <v/>
      </c>
      <c r="N401" t="str">
        <f t="shared" si="624"/>
        <v/>
      </c>
      <c r="Q401" t="str">
        <f t="shared" si="723"/>
        <v/>
      </c>
      <c r="S401">
        <f>IF(A401=1,MAX($S$2:$S400)+1,IF(OR($I401&lt;&gt;"",A401="x"),$S400,""))</f>
        <v>199</v>
      </c>
      <c r="T401">
        <f>IF(D401=1,MAX($T$2:$T400)+1,IF(S401=S400,$T400,IF(D401="x",T400,IF(D400="x","",""))))</f>
        <v>25</v>
      </c>
      <c r="U401" t="str">
        <f>IF(B401=1,MAX($U$2:$U400)+1,IF(AND($T401&lt;&gt;"",$T401=$T400),$U400,IF(B401="x",U400,"")))</f>
        <v/>
      </c>
      <c r="V401" t="str">
        <f>IF(C401=1,MAX($V$2:$V400)+1,IF(AND($T401&lt;&gt;"",$T401=$T400),$U400,IF(C401="x",V400,"")))</f>
        <v/>
      </c>
      <c r="W401" t="str" cm="1">
        <f t="array" ref="W401">IFERROR(_xlfn._xlws.FILTER(game_rosters!AC:AC,(game_rosters!J:J=events!X401)*(K401&lt;&gt;"")),"")</f>
        <v/>
      </c>
      <c r="X401" cm="1">
        <f t="array" ref="X401">IF($I401&lt;&gt;"",$I401,INDEX($I$1:$I401,ROW()-COUNTIFS($T$1:$T401,"="&amp;$T401,$S$1:$S401,"&lt;"&amp;$S401)))</f>
        <v>9</v>
      </c>
      <c r="Y401" t="str" cm="1">
        <f t="array" ref="Y401">IFERROR(IF(_xlfn._xlws.FILTER(game_rosters!$J:$J,(game_rosters!$G:$G=events!$AM401)*(game_rosters!$J:$J=events!$X401))&gt;0,1,""),"")</f>
        <v/>
      </c>
      <c r="Z401" s="6">
        <f t="shared" si="686"/>
        <v>1</v>
      </c>
      <c r="AA401">
        <f t="shared" si="687"/>
        <v>1199</v>
      </c>
      <c r="AB401">
        <f t="shared" si="688"/>
        <v>9025</v>
      </c>
      <c r="AC401">
        <f t="shared" si="689"/>
        <v>9025</v>
      </c>
      <c r="AD401" t="str">
        <f t="shared" si="690"/>
        <v>12</v>
      </c>
      <c r="AE401" t="str">
        <f t="shared" si="691"/>
        <v>05</v>
      </c>
      <c r="AF401" t="str">
        <f t="shared" si="692"/>
        <v/>
      </c>
      <c r="AG401" t="str">
        <f t="shared" si="693"/>
        <v/>
      </c>
      <c r="AH401" t="str">
        <f t="shared" si="631"/>
        <v>o</v>
      </c>
      <c r="AI401" t="str">
        <f t="shared" si="717"/>
        <v>n</v>
      </c>
      <c r="AJ401" t="str">
        <f t="shared" si="717"/>
        <v>n</v>
      </c>
      <c r="AK401" t="str">
        <f t="shared" si="633"/>
        <v/>
      </c>
      <c r="AL401" t="str">
        <f t="shared" si="634"/>
        <v/>
      </c>
      <c r="AM401" t="str">
        <f t="shared" si="694"/>
        <v>Home</v>
      </c>
      <c r="AN401" t="str">
        <f t="shared" si="635"/>
        <v>h</v>
      </c>
      <c r="AO401" t="str">
        <f t="shared" si="636"/>
        <v>n</v>
      </c>
      <c r="AP401" t="str">
        <f t="shared" si="637"/>
        <v>n</v>
      </c>
      <c r="AQ401" t="str">
        <f>IF(AM401&lt;&gt;"",AM401,IF($AC401=#REF!,#REF!,""))</f>
        <v>Home</v>
      </c>
      <c r="AR401" t="str">
        <f t="shared" si="638"/>
        <v>h</v>
      </c>
      <c r="AS401" t="str">
        <f t="shared" si="639"/>
        <v>Defensive</v>
      </c>
      <c r="AT401" t="str">
        <f t="shared" si="695"/>
        <v/>
      </c>
      <c r="AU401" t="str">
        <f t="shared" si="696"/>
        <v/>
      </c>
      <c r="AV401" t="str" cm="1">
        <f t="array" ref="AV401">IFERROR(IF(O401&lt;&gt;"",O401,IF(OR($S401="",$T401=""),"",IF(O401&lt;&gt;"",O401,IF($T401&lt;&gt;"",_xlfn._xlws.FILTER(O:O,($BT:$BT=$BT401)*($I:$I=$I401)*($T:$T=$T401)*($S:$S=_xlfn.MINIFS($S:$S,$T:$T,"="&amp;$T401)),"")))))&amp;"",IF(O401="","",""))&amp;""</f>
        <v/>
      </c>
      <c r="AW401" t="str" cm="1">
        <f t="array" ref="AW401">IFERROR(IF(P401&lt;&gt;"",P401,IF(OR($S401="",$T401=""),"",IF($T401&lt;&gt;"",_xlfn._xlws.FILTER(P:P,($BT:$BT=$BT401)*($I:$I=$I401)*($T:$T=$T401)*($S:$S=_xlfn.MINIFS($S:$S,$T:$T,"="&amp;$T401)),""))))&amp;"",IF(P401="","",""))&amp;""</f>
        <v/>
      </c>
      <c r="AX401" t="str" cm="1">
        <f t="array" ref="AX401">IFERROR(IF(Q401&lt;&gt;"",Q401,IF(OR($S401="",$T401=""),"",IF($T401&lt;&gt;"",_xlfn._xlws.FILTER(Q:Q,($BT:$BT=$BT401)*($I:$I=$I401)*($T:$T=$T401)*($S:$S=_xlfn.MINIFS($S:$S,$T:$T,"="&amp;$T401)),""))))&amp;"",IF(Q401="","",""))&amp;""</f>
        <v/>
      </c>
      <c r="AY401" t="str" cm="1">
        <f t="array" ref="AY401">IFERROR(IF(R401&lt;&gt;"",R401,IF(OR($S401="",$T401=""),"",IF($T401&lt;&gt;"",_xlfn._xlws.FILTER(R:R,($BT:$BT=$BT401)*($I:$I=$I401)*($T:$T=$T401)*($S:$S=_xlfn.MINIFS($S:$S,$T:$T,"="&amp;$T401)),""))))&amp;"",IF(R401="","",""))&amp;""</f>
        <v/>
      </c>
      <c r="AZ401" s="6">
        <f t="shared" si="697"/>
        <v>34</v>
      </c>
      <c r="BA401">
        <f t="shared" ref="BA401:BC401" si="725">BA400</f>
        <v>18991</v>
      </c>
      <c r="BB401" t="str">
        <f t="shared" si="725"/>
        <v>Triple J</v>
      </c>
      <c r="BC401" t="str">
        <f t="shared" si="725"/>
        <v>Velodrome</v>
      </c>
      <c r="BD401" t="str">
        <f t="shared" si="699"/>
        <v>Turnover</v>
      </c>
      <c r="BE401" t="str">
        <f t="shared" si="700"/>
        <v>Turnover_Giveaway</v>
      </c>
      <c r="BF401" t="str">
        <f t="shared" si="701"/>
        <v>Giveaway-AttemptedZoneClear/Dump</v>
      </c>
      <c r="BG401" t="str">
        <f t="shared" si="683"/>
        <v>u</v>
      </c>
      <c r="BH401" cm="1">
        <f t="array" aca="1" ref="BH401" ca="1">IFERROR(_xlfn._xlws.FILTER(shifts!A:A,(shifts!B:B=events!Z401)*(shifts!AG:AG&gt;=events!BJ401)*(shifts!AH:AH&lt;=events!BK401)),BH400)</f>
        <v>13</v>
      </c>
      <c r="BI401" s="15">
        <f t="shared" si="702"/>
        <v>0</v>
      </c>
      <c r="BJ401">
        <f t="shared" si="703"/>
        <v>725</v>
      </c>
      <c r="BK401">
        <f t="shared" si="704"/>
        <v>725</v>
      </c>
      <c r="BL401" s="15">
        <f>SUMIFS(BI$2:BI401,K$2:K401,"=Intermission")+SUMIFS(BI$2:BI401,K$2:K401,"=Timeout")</f>
        <v>0</v>
      </c>
      <c r="BM401">
        <f t="shared" si="705"/>
        <v>0</v>
      </c>
      <c r="BN401" s="19">
        <f t="shared" si="706"/>
        <v>355</v>
      </c>
      <c r="BO401">
        <f t="shared" si="707"/>
        <v>350</v>
      </c>
      <c r="BP401" s="17">
        <f t="shared" si="708"/>
        <v>355</v>
      </c>
      <c r="BQ401" t="str">
        <f t="shared" si="709"/>
        <v>opp_team_player_2</v>
      </c>
      <c r="BR401">
        <f>COUNTIFS(S$3:S401,"="&amp;S401,AH$3:AH401,"="&amp;AH401)</f>
        <v>2</v>
      </c>
      <c r="BS401" t="str">
        <f>IFERROR(VLOOKUP(BA401&amp;BT401&amp;X401,game_rosters!U:W,3,FALSE),"")</f>
        <v>P100105</v>
      </c>
      <c r="BT401" t="str">
        <f t="shared" si="710"/>
        <v>Velodrome</v>
      </c>
    </row>
    <row r="402" spans="1:72" x14ac:dyDescent="0.2">
      <c r="A402">
        <f t="shared" si="685"/>
        <v>1</v>
      </c>
      <c r="E402" s="4"/>
      <c r="F402" s="45" t="s">
        <v>1057</v>
      </c>
      <c r="G402" s="4"/>
      <c r="H402" s="47"/>
      <c r="I402" s="26">
        <v>9</v>
      </c>
      <c r="J402" s="26" t="s">
        <v>734</v>
      </c>
      <c r="K402" t="s">
        <v>13</v>
      </c>
      <c r="L402" t="s">
        <v>586</v>
      </c>
      <c r="N402" t="s">
        <v>594</v>
      </c>
      <c r="O402" t="s">
        <v>904</v>
      </c>
      <c r="Q402" t="str">
        <f t="shared" si="723"/>
        <v>u</v>
      </c>
      <c r="S402">
        <f>IF(A402=1,MAX($S$2:$S401)+1,IF(OR($I402&lt;&gt;"",A402="x"),$S401,""))</f>
        <v>200</v>
      </c>
      <c r="T402" t="str">
        <f>IF(D402=1,MAX($T$2:$T401)+1,IF(S402=S401,$T401,IF(D402="x",T401,IF(D401="x","",""))))</f>
        <v/>
      </c>
      <c r="U402" t="str">
        <f>IF(B402=1,MAX($U$2:$U401)+1,IF(AND($T402&lt;&gt;"",$T402=$T401),$U401,IF(B402="x",U401,"")))</f>
        <v/>
      </c>
      <c r="V402" t="str">
        <f>IF(C402=1,MAX($V$2:$V401)+1,IF(AND($T402&lt;&gt;"",$T402=$T401),$U401,IF(C402="x",V401,"")))</f>
        <v/>
      </c>
      <c r="W402" t="str" cm="1">
        <f t="array" ref="W402">IFERROR(_xlfn._xlws.FILTER(game_rosters!AC:AC,(game_rosters!J:J=events!X402)*(K402&lt;&gt;"")),"")</f>
        <v>a</v>
      </c>
      <c r="X402" cm="1">
        <f t="array" ref="X402">IF($I402&lt;&gt;"",$I402,INDEX($I$1:$I402,ROW()-COUNTIFS($T$1:$T402,"="&amp;$T402,$S$1:$S402,"&lt;"&amp;$S402)))</f>
        <v>9</v>
      </c>
      <c r="Y402" cm="1">
        <f t="array" ref="Y402">IFERROR(IF(_xlfn._xlws.FILTER(game_rosters!$J:$J,(game_rosters!$G:$G=events!$AM402)*(game_rosters!$J:$J=events!$X402))&gt;0,1,""),"")</f>
        <v>1</v>
      </c>
      <c r="Z402" s="6">
        <f t="shared" si="686"/>
        <v>1</v>
      </c>
      <c r="AA402">
        <f t="shared" si="687"/>
        <v>1200</v>
      </c>
      <c r="AB402" t="str">
        <f t="shared" si="688"/>
        <v/>
      </c>
      <c r="AC402">
        <f t="shared" si="689"/>
        <v>1200</v>
      </c>
      <c r="AD402" t="str">
        <f t="shared" si="690"/>
        <v>12</v>
      </c>
      <c r="AE402" t="str">
        <f t="shared" si="691"/>
        <v>03</v>
      </c>
      <c r="AF402" t="str">
        <f t="shared" si="692"/>
        <v/>
      </c>
      <c r="AG402" t="str">
        <f t="shared" si="693"/>
        <v/>
      </c>
      <c r="AH402" t="str">
        <f t="shared" si="631"/>
        <v>e</v>
      </c>
      <c r="AI402" t="str">
        <f t="shared" si="717"/>
        <v>n</v>
      </c>
      <c r="AJ402" t="str">
        <f t="shared" si="717"/>
        <v>n</v>
      </c>
      <c r="AK402" t="str">
        <f t="shared" si="633"/>
        <v>n</v>
      </c>
      <c r="AL402" t="str">
        <f t="shared" si="634"/>
        <v>n</v>
      </c>
      <c r="AM402" t="str">
        <f t="shared" si="694"/>
        <v>Away</v>
      </c>
      <c r="AN402" t="str">
        <f t="shared" si="635"/>
        <v>a</v>
      </c>
      <c r="AO402" t="str">
        <f t="shared" si="636"/>
        <v>n</v>
      </c>
      <c r="AP402" t="str">
        <f t="shared" si="637"/>
        <v>n</v>
      </c>
      <c r="AQ402" t="str">
        <f>IF(AM402&lt;&gt;"",AM402,IF($AC402=#REF!,#REF!,""))</f>
        <v>Away</v>
      </c>
      <c r="AR402" t="str">
        <f t="shared" si="638"/>
        <v>a</v>
      </c>
      <c r="AS402" t="str">
        <f t="shared" si="639"/>
        <v>Offensive</v>
      </c>
      <c r="AT402" t="str">
        <f t="shared" si="695"/>
        <v/>
      </c>
      <c r="AU402" t="str">
        <f t="shared" si="696"/>
        <v/>
      </c>
      <c r="AV402" t="str" cm="1">
        <f t="array" ref="AV402">IFERROR(IF(O402&lt;&gt;"",O402,IF(OR($S402="",$T402=""),"",IF(O402&lt;&gt;"",O402,IF($T402&lt;&gt;"",_xlfn._xlws.FILTER(O:O,($BT:$BT=$BT402)*($I:$I=$I402)*($T:$T=$T402)*($S:$S=_xlfn.MINIFS($S:$S,$T:$T,"="&amp;$T402)),"")))))&amp;"",IF(O402="","",""))&amp;""</f>
        <v>PuckRecoveryRetreivalDumpIn</v>
      </c>
      <c r="AW402" t="str" cm="1">
        <f t="array" ref="AW402">IFERROR(IF(P402&lt;&gt;"",P402,IF(OR($S402="",$T402=""),"",IF($T402&lt;&gt;"",_xlfn._xlws.FILTER(P:P,($BT:$BT=$BT402)*($I:$I=$I402)*($T:$T=$T402)*($S:$S=_xlfn.MINIFS($S:$S,$T:$T,"="&amp;$T402)),""))))&amp;"",IF(P402="","",""))&amp;""</f>
        <v/>
      </c>
      <c r="AX402" t="str" cm="1">
        <f t="array" ref="AX402">IFERROR(IF(Q402&lt;&gt;"",Q402,IF(OR($S402="",$T402=""),"",IF($T402&lt;&gt;"",_xlfn._xlws.FILTER(Q:Q,($BT:$BT=$BT402)*($I:$I=$I402)*($T:$T=$T402)*($S:$S=_xlfn.MINIFS($S:$S,$T:$T,"="&amp;$T402)),""))))&amp;"",IF(Q402="","",""))&amp;""</f>
        <v>u</v>
      </c>
      <c r="AY402" t="str" cm="1">
        <f t="array" ref="AY402">IFERROR(IF(R402&lt;&gt;"",R402,IF(OR($S402="",$T402=""),"",IF($T402&lt;&gt;"",_xlfn._xlws.FILTER(R:R,($BT:$BT=$BT402)*($I:$I=$I402)*($T:$T=$T402)*($S:$S=_xlfn.MINIFS($S:$S,$T:$T,"="&amp;$T402)),""))))&amp;"",IF(R402="","",""))&amp;""</f>
        <v/>
      </c>
      <c r="AZ402" s="6">
        <f t="shared" si="697"/>
        <v>34</v>
      </c>
      <c r="BA402">
        <f t="shared" ref="BA402:BC402" si="726">BA401</f>
        <v>18991</v>
      </c>
      <c r="BB402" t="str">
        <f t="shared" si="726"/>
        <v>Triple J</v>
      </c>
      <c r="BC402" t="str">
        <f t="shared" si="726"/>
        <v>Velodrome</v>
      </c>
      <c r="BD402" t="str">
        <f t="shared" si="699"/>
        <v>Possession</v>
      </c>
      <c r="BE402" t="str">
        <f t="shared" si="700"/>
        <v>PuckRetrieval</v>
      </c>
      <c r="BF402" t="str">
        <f t="shared" si="701"/>
        <v/>
      </c>
      <c r="BG402" t="str">
        <f t="shared" si="683"/>
        <v>u</v>
      </c>
      <c r="BH402" cm="1">
        <f t="array" aca="1" ref="BH402" ca="1">IFERROR(_xlfn._xlws.FILTER(shifts!A:A,(shifts!B:B=events!Z402)*(shifts!AG:AG&gt;=events!BJ402)*(shifts!AH:AH&lt;=events!BK402)),BH401)</f>
        <v>13</v>
      </c>
      <c r="BI402" s="15">
        <f t="shared" si="702"/>
        <v>0</v>
      </c>
      <c r="BJ402">
        <f t="shared" si="703"/>
        <v>723</v>
      </c>
      <c r="BK402">
        <f t="shared" si="704"/>
        <v>723</v>
      </c>
      <c r="BL402" s="15">
        <f>SUMIFS(BI$2:BI402,K$2:K402,"=Intermission")+SUMIFS(BI$2:BI402,K$2:K402,"=Timeout")</f>
        <v>0</v>
      </c>
      <c r="BM402">
        <f t="shared" si="705"/>
        <v>0</v>
      </c>
      <c r="BN402" s="19">
        <f t="shared" si="706"/>
        <v>357</v>
      </c>
      <c r="BO402">
        <f t="shared" si="707"/>
        <v>352</v>
      </c>
      <c r="BP402" s="17">
        <f t="shared" si="708"/>
        <v>357</v>
      </c>
      <c r="BQ402" t="str">
        <f t="shared" si="709"/>
        <v>event_team_player_1</v>
      </c>
      <c r="BR402">
        <f>COUNTIFS(S$3:S402,"="&amp;S402,AH$3:AH402,"="&amp;AH402)</f>
        <v>1</v>
      </c>
      <c r="BS402" t="str">
        <f>IFERROR(VLOOKUP(BA402&amp;BT402&amp;X402,game_rosters!U:W,3,FALSE),"")</f>
        <v>P100105</v>
      </c>
      <c r="BT402" t="str">
        <f t="shared" si="710"/>
        <v>Velodrome</v>
      </c>
    </row>
    <row r="403" spans="1:72" x14ac:dyDescent="0.2">
      <c r="A403">
        <f t="shared" si="685"/>
        <v>1</v>
      </c>
      <c r="E403" s="4"/>
      <c r="F403" s="45"/>
      <c r="G403" s="4"/>
      <c r="H403" s="47"/>
      <c r="I403" s="26">
        <v>9</v>
      </c>
      <c r="J403" s="26" t="s">
        <v>734</v>
      </c>
      <c r="K403" t="s">
        <v>9</v>
      </c>
      <c r="L403" t="s">
        <v>173</v>
      </c>
      <c r="M403" t="s">
        <v>365</v>
      </c>
      <c r="N403" t="str">
        <f t="shared" si="624"/>
        <v>u</v>
      </c>
      <c r="O403" t="s">
        <v>576</v>
      </c>
      <c r="Q403" t="str">
        <f t="shared" si="723"/>
        <v>u</v>
      </c>
      <c r="S403">
        <f>IF(A403=1,MAX($S$2:$S402)+1,IF(OR($I403&lt;&gt;"",A403="x"),$S402,""))</f>
        <v>201</v>
      </c>
      <c r="T403" t="str">
        <f>IF(D403=1,MAX($T$2:$T402)+1,IF(S403=S402,$T402,IF(D403="x",T402,IF(D402="x","",""))))</f>
        <v/>
      </c>
      <c r="U403" t="str">
        <f>IF(B403=1,MAX($U$2:$U402)+1,IF(AND($T403&lt;&gt;"",$T403=$T402),$U402,IF(B403="x",U402,"")))</f>
        <v/>
      </c>
      <c r="V403" t="str">
        <f>IF(C403=1,MAX($V$2:$V402)+1,IF(AND($T403&lt;&gt;"",$T403=$T402),$U402,IF(C403="x",V402,"")))</f>
        <v/>
      </c>
      <c r="W403" t="str" cm="1">
        <f t="array" ref="W403">IFERROR(_xlfn._xlws.FILTER(game_rosters!AC:AC,(game_rosters!J:J=events!X403)*(K403&lt;&gt;"")),"")</f>
        <v>a</v>
      </c>
      <c r="X403" cm="1">
        <f t="array" ref="X403">IF($I403&lt;&gt;"",$I403,INDEX($I$1:$I403,ROW()-COUNTIFS($T$1:$T403,"="&amp;$T403,$S$1:$S403,"&lt;"&amp;$S403)))</f>
        <v>9</v>
      </c>
      <c r="Y403" cm="1">
        <f t="array" ref="Y403">IFERROR(IF(_xlfn._xlws.FILTER(game_rosters!$J:$J,(game_rosters!$G:$G=events!$AM403)*(game_rosters!$J:$J=events!$X403))&gt;0,1,""),"")</f>
        <v>1</v>
      </c>
      <c r="Z403" s="6">
        <f t="shared" si="686"/>
        <v>1</v>
      </c>
      <c r="AA403">
        <f t="shared" si="687"/>
        <v>1201</v>
      </c>
      <c r="AB403" t="str">
        <f t="shared" si="688"/>
        <v/>
      </c>
      <c r="AC403">
        <f t="shared" si="689"/>
        <v>1201</v>
      </c>
      <c r="AD403" t="str">
        <f t="shared" si="690"/>
        <v>12</v>
      </c>
      <c r="AE403" t="str">
        <f t="shared" si="691"/>
        <v>03</v>
      </c>
      <c r="AF403" t="str">
        <f t="shared" si="692"/>
        <v/>
      </c>
      <c r="AG403" t="str">
        <f t="shared" si="693"/>
        <v/>
      </c>
      <c r="AH403" t="str">
        <f t="shared" si="631"/>
        <v>e</v>
      </c>
      <c r="AI403" t="str">
        <f t="shared" si="717"/>
        <v>n</v>
      </c>
      <c r="AJ403" t="str">
        <f t="shared" si="717"/>
        <v>n</v>
      </c>
      <c r="AK403" t="str">
        <f t="shared" si="633"/>
        <v>n</v>
      </c>
      <c r="AL403" t="str">
        <f t="shared" si="634"/>
        <v>n</v>
      </c>
      <c r="AM403" t="str">
        <f t="shared" si="694"/>
        <v>Away</v>
      </c>
      <c r="AN403" t="str">
        <f t="shared" si="635"/>
        <v>a</v>
      </c>
      <c r="AO403" t="str">
        <f t="shared" si="636"/>
        <v>n</v>
      </c>
      <c r="AP403" t="str">
        <f t="shared" si="637"/>
        <v>n</v>
      </c>
      <c r="AQ403" t="str">
        <f>IF(AM403&lt;&gt;"",AM403,IF($AC403=#REF!,#REF!,""))</f>
        <v>Away</v>
      </c>
      <c r="AR403" t="str">
        <f t="shared" si="638"/>
        <v>a</v>
      </c>
      <c r="AS403" t="str">
        <f t="shared" si="639"/>
        <v>Offensive</v>
      </c>
      <c r="AT403" t="str">
        <f t="shared" si="695"/>
        <v/>
      </c>
      <c r="AU403" t="str">
        <f t="shared" si="696"/>
        <v/>
      </c>
      <c r="AV403" t="str" cm="1">
        <f t="array" ref="AV403">IFERROR(IF(O403&lt;&gt;"",O403,IF(OR($S403="",$T403=""),"",IF(O403&lt;&gt;"",O403,IF($T403&lt;&gt;"",_xlfn._xlws.FILTER(O:O,($BT:$BT=$BT403)*($I:$I=$I403)*($T:$T=$T403)*($S:$S=_xlfn.MINIFS($S:$S,$T:$T,"="&amp;$T403)),"")))))&amp;"",IF(O403="","",""))&amp;""</f>
        <v>SecondTouch</v>
      </c>
      <c r="AW403" t="str" cm="1">
        <f t="array" ref="AW403">IFERROR(IF(P403&lt;&gt;"",P403,IF(OR($S403="",$T403=""),"",IF($T403&lt;&gt;"",_xlfn._xlws.FILTER(P:P,($BT:$BT=$BT403)*($I:$I=$I403)*($T:$T=$T403)*($S:$S=_xlfn.MINIFS($S:$S,$T:$T,"="&amp;$T403)),""))))&amp;"",IF(P403="","",""))&amp;""</f>
        <v/>
      </c>
      <c r="AX403" t="str" cm="1">
        <f t="array" ref="AX403">IFERROR(IF(Q403&lt;&gt;"",Q403,IF(OR($S403="",$T403=""),"",IF($T403&lt;&gt;"",_xlfn._xlws.FILTER(Q:Q,($BT:$BT=$BT403)*($I:$I=$I403)*($T:$T=$T403)*($S:$S=_xlfn.MINIFS($S:$S,$T:$T,"="&amp;$T403)),""))))&amp;"",IF(Q403="","",""))&amp;""</f>
        <v>u</v>
      </c>
      <c r="AY403" t="str" cm="1">
        <f t="array" ref="AY403">IFERROR(IF(R403&lt;&gt;"",R403,IF(OR($S403="",$T403=""),"",IF($T403&lt;&gt;"",_xlfn._xlws.FILTER(R:R,($BT:$BT=$BT403)*($I:$I=$I403)*($T:$T=$T403)*($S:$S=_xlfn.MINIFS($S:$S,$T:$T,"="&amp;$T403)),""))))&amp;"",IF(R403="","",""))&amp;""</f>
        <v/>
      </c>
      <c r="AZ403" s="6">
        <f t="shared" si="697"/>
        <v>34</v>
      </c>
      <c r="BA403">
        <f t="shared" ref="BA403:BC403" si="727">BA402</f>
        <v>18991</v>
      </c>
      <c r="BB403" t="str">
        <f t="shared" si="727"/>
        <v>Triple J</v>
      </c>
      <c r="BC403" t="str">
        <f t="shared" si="727"/>
        <v>Velodrome</v>
      </c>
      <c r="BD403" t="str">
        <f t="shared" si="699"/>
        <v>Turnover</v>
      </c>
      <c r="BE403" t="str">
        <f t="shared" si="700"/>
        <v>Turnover_Giveaway</v>
      </c>
      <c r="BF403" t="str">
        <f t="shared" si="701"/>
        <v>Giveaway-AttemptedZoneClear/Dump</v>
      </c>
      <c r="BG403" t="str">
        <f t="shared" si="683"/>
        <v>u</v>
      </c>
      <c r="BH403" cm="1">
        <f t="array" aca="1" ref="BH403" ca="1">IFERROR(_xlfn._xlws.FILTER(shifts!A:A,(shifts!B:B=events!Z403)*(shifts!AG:AG&gt;=events!BJ403)*(shifts!AH:AH&lt;=events!BK403)),BH402)</f>
        <v>13</v>
      </c>
      <c r="BI403" s="15">
        <f t="shared" si="702"/>
        <v>0</v>
      </c>
      <c r="BJ403">
        <f t="shared" si="703"/>
        <v>723</v>
      </c>
      <c r="BK403">
        <f t="shared" si="704"/>
        <v>723</v>
      </c>
      <c r="BL403" s="15">
        <f>SUMIFS(BI$2:BI403,K$2:K403,"=Intermission")+SUMIFS(BI$2:BI403,K$2:K403,"=Timeout")</f>
        <v>0</v>
      </c>
      <c r="BM403">
        <f t="shared" si="705"/>
        <v>0</v>
      </c>
      <c r="BN403" s="19">
        <f t="shared" si="706"/>
        <v>357</v>
      </c>
      <c r="BO403">
        <f t="shared" si="707"/>
        <v>352</v>
      </c>
      <c r="BP403" s="17">
        <f t="shared" si="708"/>
        <v>357</v>
      </c>
      <c r="BQ403" t="str">
        <f t="shared" si="709"/>
        <v>event_team_player_1</v>
      </c>
      <c r="BR403">
        <f>COUNTIFS(S$3:S403,"="&amp;S403,AH$3:AH403,"="&amp;AH403)</f>
        <v>1</v>
      </c>
      <c r="BS403" t="str">
        <f>IFERROR(VLOOKUP(BA403&amp;BT403&amp;X403,game_rosters!U:W,3,FALSE),"")</f>
        <v>P100105</v>
      </c>
      <c r="BT403" t="str">
        <f t="shared" si="710"/>
        <v>Velodrome</v>
      </c>
    </row>
    <row r="404" spans="1:72" x14ac:dyDescent="0.2">
      <c r="A404">
        <f t="shared" si="685"/>
        <v>1</v>
      </c>
      <c r="E404" s="4"/>
      <c r="F404" s="45" t="s">
        <v>1040</v>
      </c>
      <c r="G404" s="4"/>
      <c r="H404" s="47"/>
      <c r="I404" s="26">
        <v>19</v>
      </c>
      <c r="J404" s="26" t="s">
        <v>734</v>
      </c>
      <c r="K404" t="s">
        <v>13</v>
      </c>
      <c r="L404" t="s">
        <v>586</v>
      </c>
      <c r="N404" t="s">
        <v>594</v>
      </c>
      <c r="O404" t="s">
        <v>904</v>
      </c>
      <c r="Q404" t="str">
        <f t="shared" si="723"/>
        <v>u</v>
      </c>
      <c r="S404">
        <f>IF(A404=1,MAX($S$2:$S403)+1,IF(OR($I404&lt;&gt;"",A404="x"),$S403,""))</f>
        <v>202</v>
      </c>
      <c r="T404" t="str">
        <f>IF(D404=1,MAX($T$2:$T403)+1,IF(S404=S403,$T403,IF(D404="x",T403,IF(D403="x","",""))))</f>
        <v/>
      </c>
      <c r="U404" t="str">
        <f>IF(B404=1,MAX($U$2:$U403)+1,IF(AND($T404&lt;&gt;"",$T404=$T403),$U403,IF(B404="x",U403,"")))</f>
        <v/>
      </c>
      <c r="V404" t="str">
        <f>IF(C404=1,MAX($V$2:$V403)+1,IF(AND($T404&lt;&gt;"",$T404=$T403),$U403,IF(C404="x",V403,"")))</f>
        <v/>
      </c>
      <c r="W404" t="str" cm="1">
        <f t="array" ref="W404">IFERROR(_xlfn._xlws.FILTER(game_rosters!AC:AC,(game_rosters!J:J=events!X404)*(K404&lt;&gt;"")),"")</f>
        <v>h</v>
      </c>
      <c r="X404" cm="1">
        <f t="array" ref="X404">IF($I404&lt;&gt;"",$I404,INDEX($I$1:$I404,ROW()-COUNTIFS($T$1:$T404,"="&amp;$T404,$S$1:$S404,"&lt;"&amp;$S404)))</f>
        <v>19</v>
      </c>
      <c r="Y404" cm="1">
        <f t="array" ref="Y404">IFERROR(IF(_xlfn._xlws.FILTER(game_rosters!$J:$J,(game_rosters!$G:$G=events!$AM404)*(game_rosters!$J:$J=events!$X404))&gt;0,1,""),"")</f>
        <v>1</v>
      </c>
      <c r="Z404" s="6">
        <f t="shared" si="686"/>
        <v>1</v>
      </c>
      <c r="AA404">
        <f t="shared" si="687"/>
        <v>1202</v>
      </c>
      <c r="AB404" t="str">
        <f t="shared" si="688"/>
        <v/>
      </c>
      <c r="AC404">
        <f t="shared" si="689"/>
        <v>1202</v>
      </c>
      <c r="AD404" t="str">
        <f t="shared" si="690"/>
        <v>12</v>
      </c>
      <c r="AE404" t="str">
        <f t="shared" si="691"/>
        <v>02</v>
      </c>
      <c r="AF404" t="str">
        <f t="shared" si="692"/>
        <v/>
      </c>
      <c r="AG404" t="str">
        <f t="shared" si="693"/>
        <v/>
      </c>
      <c r="AH404" t="str">
        <f t="shared" si="631"/>
        <v>e</v>
      </c>
      <c r="AI404" t="str">
        <f t="shared" si="717"/>
        <v>n</v>
      </c>
      <c r="AJ404" t="str">
        <f t="shared" si="717"/>
        <v>n</v>
      </c>
      <c r="AK404" t="str">
        <f t="shared" si="633"/>
        <v>n</v>
      </c>
      <c r="AL404" t="str">
        <f t="shared" si="634"/>
        <v>n</v>
      </c>
      <c r="AM404" t="str">
        <f t="shared" si="694"/>
        <v>Home</v>
      </c>
      <c r="AN404" t="str">
        <f t="shared" si="635"/>
        <v>h</v>
      </c>
      <c r="AO404" t="str">
        <f t="shared" si="636"/>
        <v>n</v>
      </c>
      <c r="AP404" t="str">
        <f t="shared" si="637"/>
        <v>n</v>
      </c>
      <c r="AQ404" t="str">
        <f>IF(AM404&lt;&gt;"",AM404,IF($AC404=#REF!,#REF!,""))</f>
        <v>Home</v>
      </c>
      <c r="AR404" t="str">
        <f t="shared" si="638"/>
        <v>h</v>
      </c>
      <c r="AS404" t="str">
        <f t="shared" si="639"/>
        <v>Offensive</v>
      </c>
      <c r="AT404" t="str">
        <f t="shared" si="695"/>
        <v/>
      </c>
      <c r="AU404" t="str">
        <f t="shared" si="696"/>
        <v/>
      </c>
      <c r="AV404" t="str" cm="1">
        <f t="array" ref="AV404">IFERROR(IF(O404&lt;&gt;"",O404,IF(OR($S404="",$T404=""),"",IF(O404&lt;&gt;"",O404,IF($T404&lt;&gt;"",_xlfn._xlws.FILTER(O:O,($BT:$BT=$BT404)*($I:$I=$I404)*($T:$T=$T404)*($S:$S=_xlfn.MINIFS($S:$S,$T:$T,"="&amp;$T404)),"")))))&amp;"",IF(O404="","",""))&amp;""</f>
        <v>PuckRecoveryRetreivalDumpIn</v>
      </c>
      <c r="AW404" t="str" cm="1">
        <f t="array" ref="AW404">IFERROR(IF(P404&lt;&gt;"",P404,IF(OR($S404="",$T404=""),"",IF($T404&lt;&gt;"",_xlfn._xlws.FILTER(P:P,($BT:$BT=$BT404)*($I:$I=$I404)*($T:$T=$T404)*($S:$S=_xlfn.MINIFS($S:$S,$T:$T,"="&amp;$T404)),""))))&amp;"",IF(P404="","",""))&amp;""</f>
        <v/>
      </c>
      <c r="AX404" t="str" cm="1">
        <f t="array" ref="AX404">IFERROR(IF(Q404&lt;&gt;"",Q404,IF(OR($S404="",$T404=""),"",IF($T404&lt;&gt;"",_xlfn._xlws.FILTER(Q:Q,($BT:$BT=$BT404)*($I:$I=$I404)*($T:$T=$T404)*($S:$S=_xlfn.MINIFS($S:$S,$T:$T,"="&amp;$T404)),""))))&amp;"",IF(Q404="","",""))&amp;""</f>
        <v>u</v>
      </c>
      <c r="AY404" t="str" cm="1">
        <f t="array" ref="AY404">IFERROR(IF(R404&lt;&gt;"",R404,IF(OR($S404="",$T404=""),"",IF($T404&lt;&gt;"",_xlfn._xlws.FILTER(R:R,($BT:$BT=$BT404)*($I:$I=$I404)*($T:$T=$T404)*($S:$S=_xlfn.MINIFS($S:$S,$T:$T,"="&amp;$T404)),""))))&amp;"",IF(R404="","",""))&amp;""</f>
        <v/>
      </c>
      <c r="AZ404" s="6">
        <f t="shared" si="697"/>
        <v>34</v>
      </c>
      <c r="BA404">
        <f t="shared" ref="BA404:BC404" si="728">BA403</f>
        <v>18991</v>
      </c>
      <c r="BB404" t="str">
        <f t="shared" si="728"/>
        <v>Triple J</v>
      </c>
      <c r="BC404" t="str">
        <f t="shared" si="728"/>
        <v>Velodrome</v>
      </c>
      <c r="BD404" t="str">
        <f t="shared" si="699"/>
        <v>Possession</v>
      </c>
      <c r="BE404" t="str">
        <f t="shared" si="700"/>
        <v>PuckRetrieval</v>
      </c>
      <c r="BF404" t="str">
        <f t="shared" si="701"/>
        <v/>
      </c>
      <c r="BG404" t="str">
        <f t="shared" si="683"/>
        <v>u</v>
      </c>
      <c r="BH404" cm="1">
        <f t="array" aca="1" ref="BH404" ca="1">IFERROR(_xlfn._xlws.FILTER(shifts!A:A,(shifts!B:B=events!Z404)*(shifts!AG:AG&gt;=events!BJ404)*(shifts!AH:AH&lt;=events!BK404)),BH403)</f>
        <v>13</v>
      </c>
      <c r="BI404" s="15">
        <f t="shared" si="702"/>
        <v>0</v>
      </c>
      <c r="BJ404">
        <f t="shared" si="703"/>
        <v>722</v>
      </c>
      <c r="BK404">
        <f t="shared" si="704"/>
        <v>722</v>
      </c>
      <c r="BL404" s="15">
        <f>SUMIFS(BI$2:BI404,K$2:K404,"=Intermission")+SUMIFS(BI$2:BI404,K$2:K404,"=Timeout")</f>
        <v>0</v>
      </c>
      <c r="BM404">
        <f t="shared" si="705"/>
        <v>0</v>
      </c>
      <c r="BN404" s="19">
        <f t="shared" si="706"/>
        <v>358</v>
      </c>
      <c r="BO404">
        <f t="shared" si="707"/>
        <v>353</v>
      </c>
      <c r="BP404" s="17">
        <f t="shared" si="708"/>
        <v>358</v>
      </c>
      <c r="BQ404" t="str">
        <f t="shared" si="709"/>
        <v>event_team_player_1</v>
      </c>
      <c r="BR404">
        <f>COUNTIFS(S$3:S404,"="&amp;S404,AH$3:AH404,"="&amp;AH404)</f>
        <v>1</v>
      </c>
      <c r="BS404" t="str">
        <f>IFERROR(VLOOKUP(BA404&amp;BT404&amp;X404,game_rosters!U:W,3,FALSE),"")</f>
        <v>P100089</v>
      </c>
      <c r="BT404" t="str">
        <f t="shared" si="710"/>
        <v>Triple J</v>
      </c>
    </row>
    <row r="405" spans="1:72" x14ac:dyDescent="0.2">
      <c r="A405">
        <f t="shared" si="685"/>
        <v>1</v>
      </c>
      <c r="E405" s="4"/>
      <c r="F405" s="45"/>
      <c r="G405" s="4"/>
      <c r="H405" s="47"/>
      <c r="I405" s="26">
        <v>19</v>
      </c>
      <c r="J405" s="26" t="s">
        <v>734</v>
      </c>
      <c r="K405" t="s">
        <v>9</v>
      </c>
      <c r="L405" t="s">
        <v>173</v>
      </c>
      <c r="M405" t="s">
        <v>365</v>
      </c>
      <c r="N405" t="str">
        <f t="shared" ref="N405:N468" si="729">IF(K405="","",IF(K405="Goal","s",IF(AND(K405="Zone_Entry_Exit",OR(ISNUMBER(SEARCH("fail",L405)),ISNUMBER(SEARCH("FromExitClear",M405)),ISNUMBER(SEARCH("miss",M405)))),"u",IF(AND(K405="Zone_Entry_Exit",OR(NOT(ISNUMBER(SEARCH("fail",L405))),NOT(ISNUMBER(SEARCH("FromExitClear",M405))),NOT(ISNUMBER(SEARCH("miss",M405))))),"s",IF(AND(OR(K405="Shot",K405="Pass"),OR(ISNUMBER(SEARCH("complete",L405)),ISNUMBER(SEARCH("goal",L405)),ISNUMBER(SEARCH("OnNet",L405)))),"s",IF(L405="Turnover_Giveaway","u",IF(AND(OR(K405="Shot",K405="Pass"),OR(ISNUMBER(SEARCH("fail",L405)),NOT(ISNUMBER(SEARCH("complete",L405))),NOT(ISNUMBER(SEARCH("OnNet",L405))))),"u","")))))))</f>
        <v>u</v>
      </c>
      <c r="O405" t="s">
        <v>576</v>
      </c>
      <c r="Q405" t="str">
        <f t="shared" si="723"/>
        <v>u</v>
      </c>
      <c r="S405">
        <f>IF(A405=1,MAX($S$2:$S404)+1,IF(OR($I405&lt;&gt;"",A405="x"),$S404,""))</f>
        <v>203</v>
      </c>
      <c r="T405" t="str">
        <f>IF(D405=1,MAX($T$2:$T404)+1,IF(S405=S404,$T404,IF(D405="x",T404,IF(D404="x","",""))))</f>
        <v/>
      </c>
      <c r="U405" t="str">
        <f>IF(B405=1,MAX($U$2:$U404)+1,IF(AND($T405&lt;&gt;"",$T405=$T404),$U404,IF(B405="x",U404,"")))</f>
        <v/>
      </c>
      <c r="V405" t="str">
        <f>IF(C405=1,MAX($V$2:$V404)+1,IF(AND($T405&lt;&gt;"",$T405=$T404),$U404,IF(C405="x",V404,"")))</f>
        <v/>
      </c>
      <c r="W405" t="str" cm="1">
        <f t="array" ref="W405">IFERROR(_xlfn._xlws.FILTER(game_rosters!AC:AC,(game_rosters!J:J=events!X405)*(K405&lt;&gt;"")),"")</f>
        <v>h</v>
      </c>
      <c r="X405" cm="1">
        <f t="array" ref="X405">IF($I405&lt;&gt;"",$I405,INDEX($I$1:$I405,ROW()-COUNTIFS($T$1:$T405,"="&amp;$T405,$S$1:$S405,"&lt;"&amp;$S405)))</f>
        <v>19</v>
      </c>
      <c r="Y405" cm="1">
        <f t="array" ref="Y405">IFERROR(IF(_xlfn._xlws.FILTER(game_rosters!$J:$J,(game_rosters!$G:$G=events!$AM405)*(game_rosters!$J:$J=events!$X405))&gt;0,1,""),"")</f>
        <v>1</v>
      </c>
      <c r="Z405" s="6">
        <f t="shared" si="686"/>
        <v>1</v>
      </c>
      <c r="AA405">
        <f t="shared" si="687"/>
        <v>1203</v>
      </c>
      <c r="AB405" t="str">
        <f t="shared" si="688"/>
        <v/>
      </c>
      <c r="AC405">
        <f t="shared" si="689"/>
        <v>1203</v>
      </c>
      <c r="AD405" t="str">
        <f t="shared" si="690"/>
        <v>12</v>
      </c>
      <c r="AE405" t="str">
        <f t="shared" si="691"/>
        <v>02</v>
      </c>
      <c r="AF405" t="str">
        <f t="shared" si="692"/>
        <v/>
      </c>
      <c r="AG405" t="str">
        <f t="shared" si="693"/>
        <v/>
      </c>
      <c r="AH405" t="str">
        <f t="shared" si="631"/>
        <v>e</v>
      </c>
      <c r="AI405" t="str">
        <f t="shared" si="717"/>
        <v>n</v>
      </c>
      <c r="AJ405" t="str">
        <f t="shared" si="717"/>
        <v>n</v>
      </c>
      <c r="AK405" t="str">
        <f t="shared" si="633"/>
        <v>n</v>
      </c>
      <c r="AL405" t="str">
        <f t="shared" si="634"/>
        <v>n</v>
      </c>
      <c r="AM405" t="str">
        <f t="shared" si="694"/>
        <v>Home</v>
      </c>
      <c r="AN405" t="str">
        <f t="shared" si="635"/>
        <v>h</v>
      </c>
      <c r="AO405" t="str">
        <f t="shared" si="636"/>
        <v>n</v>
      </c>
      <c r="AP405" t="str">
        <f t="shared" si="637"/>
        <v>n</v>
      </c>
      <c r="AQ405" t="str">
        <f>IF(AM405&lt;&gt;"",AM405,IF($AC405=#REF!,#REF!,""))</f>
        <v>Home</v>
      </c>
      <c r="AR405" t="str">
        <f t="shared" si="638"/>
        <v>h</v>
      </c>
      <c r="AS405" t="str">
        <f t="shared" si="639"/>
        <v>Offensive</v>
      </c>
      <c r="AT405" t="str">
        <f t="shared" si="695"/>
        <v/>
      </c>
      <c r="AU405" t="str">
        <f t="shared" si="696"/>
        <v/>
      </c>
      <c r="AV405" t="str" cm="1">
        <f t="array" ref="AV405">IFERROR(IF(O405&lt;&gt;"",O405,IF(OR($S405="",$T405=""),"",IF(O405&lt;&gt;"",O405,IF($T405&lt;&gt;"",_xlfn._xlws.FILTER(O:O,($BT:$BT=$BT405)*($I:$I=$I405)*($T:$T=$T405)*($S:$S=_xlfn.MINIFS($S:$S,$T:$T,"="&amp;$T405)),"")))))&amp;"",IF(O405="","",""))&amp;""</f>
        <v>SecondTouch</v>
      </c>
      <c r="AW405" t="str" cm="1">
        <f t="array" ref="AW405">IFERROR(IF(P405&lt;&gt;"",P405,IF(OR($S405="",$T405=""),"",IF($T405&lt;&gt;"",_xlfn._xlws.FILTER(P:P,($BT:$BT=$BT405)*($I:$I=$I405)*($T:$T=$T405)*($S:$S=_xlfn.MINIFS($S:$S,$T:$T,"="&amp;$T405)),""))))&amp;"",IF(P405="","",""))&amp;""</f>
        <v/>
      </c>
      <c r="AX405" t="str" cm="1">
        <f t="array" ref="AX405">IFERROR(IF(Q405&lt;&gt;"",Q405,IF(OR($S405="",$T405=""),"",IF($T405&lt;&gt;"",_xlfn._xlws.FILTER(Q:Q,($BT:$BT=$BT405)*($I:$I=$I405)*($T:$T=$T405)*($S:$S=_xlfn.MINIFS($S:$S,$T:$T,"="&amp;$T405)),""))))&amp;"",IF(Q405="","",""))&amp;""</f>
        <v>u</v>
      </c>
      <c r="AY405" t="str" cm="1">
        <f t="array" ref="AY405">IFERROR(IF(R405&lt;&gt;"",R405,IF(OR($S405="",$T405=""),"",IF($T405&lt;&gt;"",_xlfn._xlws.FILTER(R:R,($BT:$BT=$BT405)*($I:$I=$I405)*($T:$T=$T405)*($S:$S=_xlfn.MINIFS($S:$S,$T:$T,"="&amp;$T405)),""))))&amp;"",IF(R405="","",""))&amp;""</f>
        <v/>
      </c>
      <c r="AZ405" s="6">
        <f t="shared" si="697"/>
        <v>34</v>
      </c>
      <c r="BA405">
        <f t="shared" ref="BA405:BC405" si="730">BA404</f>
        <v>18991</v>
      </c>
      <c r="BB405" t="str">
        <f t="shared" si="730"/>
        <v>Triple J</v>
      </c>
      <c r="BC405" t="str">
        <f t="shared" si="730"/>
        <v>Velodrome</v>
      </c>
      <c r="BD405" t="str">
        <f t="shared" si="699"/>
        <v>Turnover</v>
      </c>
      <c r="BE405" t="str">
        <f t="shared" si="700"/>
        <v>Turnover_Giveaway</v>
      </c>
      <c r="BF405" t="str">
        <f t="shared" si="701"/>
        <v>Giveaway-AttemptedZoneClear/Dump</v>
      </c>
      <c r="BG405" t="str">
        <f t="shared" si="683"/>
        <v>u</v>
      </c>
      <c r="BH405" cm="1">
        <f t="array" aca="1" ref="BH405" ca="1">IFERROR(_xlfn._xlws.FILTER(shifts!A:A,(shifts!B:B=events!Z405)*(shifts!AG:AG&gt;=events!BJ405)*(shifts!AH:AH&lt;=events!BK405)),BH404)</f>
        <v>13</v>
      </c>
      <c r="BI405" s="15">
        <f t="shared" si="702"/>
        <v>0</v>
      </c>
      <c r="BJ405">
        <f t="shared" si="703"/>
        <v>722</v>
      </c>
      <c r="BK405">
        <f t="shared" si="704"/>
        <v>722</v>
      </c>
      <c r="BL405" s="15">
        <f>SUMIFS(BI$2:BI405,K$2:K405,"=Intermission")+SUMIFS(BI$2:BI405,K$2:K405,"=Timeout")</f>
        <v>0</v>
      </c>
      <c r="BM405">
        <f t="shared" si="705"/>
        <v>0</v>
      </c>
      <c r="BN405" s="19">
        <f t="shared" si="706"/>
        <v>358</v>
      </c>
      <c r="BO405">
        <f t="shared" si="707"/>
        <v>353</v>
      </c>
      <c r="BP405" s="17">
        <f t="shared" si="708"/>
        <v>358</v>
      </c>
      <c r="BQ405" t="str">
        <f t="shared" si="709"/>
        <v>event_team_player_1</v>
      </c>
      <c r="BR405">
        <f>COUNTIFS(S$3:S405,"="&amp;S405,AH$3:AH405,"="&amp;AH405)</f>
        <v>1</v>
      </c>
      <c r="BS405" t="str">
        <f>IFERROR(VLOOKUP(BA405&amp;BT405&amp;X405,game_rosters!U:W,3,FALSE),"")</f>
        <v>P100089</v>
      </c>
      <c r="BT405" t="str">
        <f t="shared" si="710"/>
        <v>Triple J</v>
      </c>
    </row>
    <row r="406" spans="1:72" x14ac:dyDescent="0.2">
      <c r="A406">
        <f t="shared" si="685"/>
        <v>1</v>
      </c>
      <c r="D406" s="26">
        <v>1</v>
      </c>
      <c r="E406" s="4"/>
      <c r="F406" s="45"/>
      <c r="G406" s="4"/>
      <c r="H406" s="47"/>
      <c r="I406" s="26">
        <v>75</v>
      </c>
      <c r="J406" s="26" t="s">
        <v>734</v>
      </c>
      <c r="K406" t="s">
        <v>7</v>
      </c>
      <c r="L406" t="s">
        <v>182</v>
      </c>
      <c r="M406" t="s">
        <v>68</v>
      </c>
      <c r="N406" t="str">
        <f t="shared" si="729"/>
        <v>u</v>
      </c>
      <c r="O406" t="s">
        <v>576</v>
      </c>
      <c r="Q406" t="str">
        <f t="shared" si="723"/>
        <v>u</v>
      </c>
      <c r="S406">
        <f>IF(A406=1,MAX($S$2:$S405)+1,IF(OR($I406&lt;&gt;"",A406="x"),$S405,""))</f>
        <v>204</v>
      </c>
      <c r="T406">
        <f>IF(D406=1,MAX($T$2:$T405)+1,IF(S406=S405,$T405,IF(D406="x",T405,IF(D405="x","",""))))</f>
        <v>26</v>
      </c>
      <c r="U406" t="str">
        <f>IF(B406=1,MAX($U$2:$U405)+1,IF(AND($T406&lt;&gt;"",$T406=$T405),$U405,IF(B406="x",U405,"")))</f>
        <v/>
      </c>
      <c r="V406" t="str">
        <f>IF(C406=1,MAX($V$2:$V405)+1,IF(AND($T406&lt;&gt;"",$T406=$T405),$U405,IF(C406="x",V405,"")))</f>
        <v/>
      </c>
      <c r="W406" t="str" cm="1">
        <f t="array" ref="W406">IFERROR(_xlfn._xlws.FILTER(game_rosters!AC:AC,(game_rosters!J:J=events!X406)*(K406&lt;&gt;"")),"")</f>
        <v>a</v>
      </c>
      <c r="X406" cm="1">
        <f t="array" ref="X406">IF($I406&lt;&gt;"",$I406,INDEX($I$1:$I406,ROW()-COUNTIFS($T$1:$T406,"="&amp;$T406,$S$1:$S406,"&lt;"&amp;$S406)))</f>
        <v>75</v>
      </c>
      <c r="Y406" cm="1">
        <f t="array" ref="Y406">IFERROR(IF(_xlfn._xlws.FILTER(game_rosters!$J:$J,(game_rosters!$G:$G=events!$AM406)*(game_rosters!$J:$J=events!$X406))&gt;0,1,""),"")</f>
        <v>1</v>
      </c>
      <c r="Z406" s="6">
        <f t="shared" si="686"/>
        <v>1</v>
      </c>
      <c r="AA406">
        <f t="shared" si="687"/>
        <v>1204</v>
      </c>
      <c r="AB406">
        <f t="shared" si="688"/>
        <v>9026</v>
      </c>
      <c r="AC406">
        <f t="shared" si="689"/>
        <v>9026</v>
      </c>
      <c r="AD406" t="str">
        <f t="shared" si="690"/>
        <v>12</v>
      </c>
      <c r="AE406" t="str">
        <f t="shared" si="691"/>
        <v>02</v>
      </c>
      <c r="AF406" t="str">
        <f t="shared" si="692"/>
        <v/>
      </c>
      <c r="AG406" t="str">
        <f t="shared" si="693"/>
        <v/>
      </c>
      <c r="AH406" t="str">
        <f t="shared" si="631"/>
        <v>e</v>
      </c>
      <c r="AI406" t="str">
        <f t="shared" si="717"/>
        <v>n</v>
      </c>
      <c r="AJ406" t="str">
        <f t="shared" si="717"/>
        <v>n</v>
      </c>
      <c r="AK406" t="str">
        <f t="shared" si="633"/>
        <v>n</v>
      </c>
      <c r="AL406" t="str">
        <f t="shared" si="634"/>
        <v>n</v>
      </c>
      <c r="AM406" t="str">
        <f t="shared" si="694"/>
        <v>Away</v>
      </c>
      <c r="AN406" t="str">
        <f t="shared" si="635"/>
        <v>a</v>
      </c>
      <c r="AO406" t="str">
        <f t="shared" si="636"/>
        <v>n</v>
      </c>
      <c r="AP406" t="str">
        <f t="shared" si="637"/>
        <v>n</v>
      </c>
      <c r="AQ406" t="str">
        <f>IF(AM406&lt;&gt;"",AM406,IF($AC406=#REF!,#REF!,""))</f>
        <v>Away</v>
      </c>
      <c r="AR406" t="str">
        <f t="shared" si="638"/>
        <v>a</v>
      </c>
      <c r="AS406" t="str">
        <f t="shared" si="639"/>
        <v>Offensive</v>
      </c>
      <c r="AT406" t="str">
        <f t="shared" si="695"/>
        <v/>
      </c>
      <c r="AU406" t="str">
        <f t="shared" si="696"/>
        <v/>
      </c>
      <c r="AV406" t="str" cm="1">
        <f t="array" ref="AV406">IFERROR(IF(O406&lt;&gt;"",O406,IF(OR($S406="",$T406=""),"",IF(O406&lt;&gt;"",O406,IF($T406&lt;&gt;"",_xlfn._xlws.FILTER(O:O,($BT:$BT=$BT406)*($I:$I=$I406)*($T:$T=$T406)*($S:$S=_xlfn.MINIFS($S:$S,$T:$T,"="&amp;$T406)),"")))))&amp;"",IF(O406="","",""))&amp;""</f>
        <v>SecondTouch</v>
      </c>
      <c r="AW406" t="str" cm="1">
        <f t="array" ref="AW406">IFERROR(IF(P406&lt;&gt;"",P406,IF(OR($S406="",$T406=""),"",IF($T406&lt;&gt;"",_xlfn._xlws.FILTER(P:P,($BT:$BT=$BT406)*($I:$I=$I406)*($T:$T=$T406)*($S:$S=_xlfn.MINIFS($S:$S,$T:$T,"="&amp;$T406)),""))))&amp;"",IF(P406="","",""))&amp;""</f>
        <v/>
      </c>
      <c r="AX406" t="str" cm="1">
        <f t="array" ref="AX406">IFERROR(IF(Q406&lt;&gt;"",Q406,IF(OR($S406="",$T406=""),"",IF($T406&lt;&gt;"",_xlfn._xlws.FILTER(Q:Q,($BT:$BT=$BT406)*($I:$I=$I406)*($T:$T=$T406)*($S:$S=_xlfn.MINIFS($S:$S,$T:$T,"="&amp;$T406)),""))))&amp;"",IF(Q406="","",""))&amp;""</f>
        <v>u</v>
      </c>
      <c r="AY406" t="str" cm="1">
        <f t="array" ref="AY406">IFERROR(IF(R406&lt;&gt;"",R406,IF(OR($S406="",$T406=""),"",IF($T406&lt;&gt;"",_xlfn._xlws.FILTER(R:R,($BT:$BT=$BT406)*($I:$I=$I406)*($T:$T=$T406)*($S:$S=_xlfn.MINIFS($S:$S,$T:$T,"="&amp;$T406)),""))))&amp;"",IF(R406="","",""))&amp;""</f>
        <v/>
      </c>
      <c r="AZ406" s="6">
        <f t="shared" si="697"/>
        <v>34</v>
      </c>
      <c r="BA406">
        <f t="shared" ref="BA406:BC406" si="731">BA405</f>
        <v>18991</v>
      </c>
      <c r="BB406" t="str">
        <f t="shared" si="731"/>
        <v>Triple J</v>
      </c>
      <c r="BC406" t="str">
        <f t="shared" si="731"/>
        <v>Velodrome</v>
      </c>
      <c r="BD406" t="str">
        <f t="shared" si="699"/>
        <v>Pass</v>
      </c>
      <c r="BE406" t="str">
        <f t="shared" si="700"/>
        <v>Pass_Missed</v>
      </c>
      <c r="BF406" t="str">
        <f t="shared" si="701"/>
        <v>Pass-Forehand</v>
      </c>
      <c r="BG406" t="str">
        <f t="shared" si="683"/>
        <v>u</v>
      </c>
      <c r="BH406" cm="1">
        <f t="array" aca="1" ref="BH406" ca="1">IFERROR(_xlfn._xlws.FILTER(shifts!A:A,(shifts!B:B=events!Z406)*(shifts!AG:AG&gt;=events!BJ406)*(shifts!AH:AH&lt;=events!BK406)),BH405)</f>
        <v>13</v>
      </c>
      <c r="BI406" s="15">
        <f t="shared" si="702"/>
        <v>0</v>
      </c>
      <c r="BJ406">
        <f t="shared" si="703"/>
        <v>722</v>
      </c>
      <c r="BK406">
        <f t="shared" si="704"/>
        <v>722</v>
      </c>
      <c r="BL406" s="15">
        <f>SUMIFS(BI$2:BI406,K$2:K406,"=Intermission")+SUMIFS(BI$2:BI406,K$2:K406,"=Timeout")</f>
        <v>0</v>
      </c>
      <c r="BM406">
        <f t="shared" si="705"/>
        <v>0</v>
      </c>
      <c r="BN406" s="19">
        <f t="shared" si="706"/>
        <v>358</v>
      </c>
      <c r="BO406">
        <f t="shared" si="707"/>
        <v>353</v>
      </c>
      <c r="BP406" s="17">
        <f t="shared" si="708"/>
        <v>358</v>
      </c>
      <c r="BQ406" t="str">
        <f t="shared" si="709"/>
        <v>event_team_player_1</v>
      </c>
      <c r="BR406">
        <f>COUNTIFS(S$3:S406,"="&amp;S406,AH$3:AH406,"="&amp;AH406)</f>
        <v>1</v>
      </c>
      <c r="BS406" t="str">
        <f>IFERROR(VLOOKUP(BA406&amp;BT406&amp;X406,game_rosters!U:W,3,FALSE),"")</f>
        <v>P100039</v>
      </c>
      <c r="BT406" t="str">
        <f t="shared" si="710"/>
        <v>Velodrome</v>
      </c>
    </row>
    <row r="407" spans="1:72" x14ac:dyDescent="0.2">
      <c r="A407" t="str">
        <f t="shared" si="685"/>
        <v>x</v>
      </c>
      <c r="D407" s="26" t="s">
        <v>729</v>
      </c>
      <c r="E407" s="4"/>
      <c r="F407" s="45"/>
      <c r="G407" s="4"/>
      <c r="H407" s="47"/>
      <c r="I407" s="26">
        <v>9</v>
      </c>
      <c r="J407" s="26" t="str">
        <f t="shared" si="711"/>
        <v/>
      </c>
      <c r="N407" t="str">
        <f t="shared" si="729"/>
        <v/>
      </c>
      <c r="Q407" t="str">
        <f t="shared" si="723"/>
        <v/>
      </c>
      <c r="S407">
        <f>IF(A407=1,MAX($S$2:$S406)+1,IF(OR($I407&lt;&gt;"",A407="x"),$S406,""))</f>
        <v>204</v>
      </c>
      <c r="T407">
        <f>IF(D407=1,MAX($T$2:$T406)+1,IF(S407=S406,$T406,IF(D407="x",T406,IF(D406="x","",""))))</f>
        <v>26</v>
      </c>
      <c r="U407" t="str">
        <f>IF(B407=1,MAX($U$2:$U406)+1,IF(AND($T407&lt;&gt;"",$T407=$T406),$U406,IF(B407="x",U406,"")))</f>
        <v/>
      </c>
      <c r="V407" t="str">
        <f>IF(C407=1,MAX($V$2:$V406)+1,IF(AND($T407&lt;&gt;"",$T407=$T406),$U406,IF(C407="x",V406,"")))</f>
        <v/>
      </c>
      <c r="W407" t="str" cm="1">
        <f t="array" ref="W407">IFERROR(_xlfn._xlws.FILTER(game_rosters!AC:AC,(game_rosters!J:J=events!X407)*(K407&lt;&gt;"")),"")</f>
        <v/>
      </c>
      <c r="X407" cm="1">
        <f t="array" ref="X407">IF($I407&lt;&gt;"",$I407,INDEX($I$1:$I407,ROW()-COUNTIFS($T$1:$T407,"="&amp;$T407,$S$1:$S407,"&lt;"&amp;$S407)))</f>
        <v>9</v>
      </c>
      <c r="Y407" cm="1">
        <f t="array" ref="Y407">IFERROR(IF(_xlfn._xlws.FILTER(game_rosters!$J:$J,(game_rosters!$G:$G=events!$AM407)*(game_rosters!$J:$J=events!$X407))&gt;0,1,""),"")</f>
        <v>1</v>
      </c>
      <c r="Z407" s="6">
        <f t="shared" si="686"/>
        <v>1</v>
      </c>
      <c r="AA407">
        <f t="shared" si="687"/>
        <v>1204</v>
      </c>
      <c r="AB407">
        <f t="shared" si="688"/>
        <v>9026</v>
      </c>
      <c r="AC407">
        <f t="shared" si="689"/>
        <v>9026</v>
      </c>
      <c r="AD407" t="str">
        <f t="shared" si="690"/>
        <v>12</v>
      </c>
      <c r="AE407" t="str">
        <f t="shared" si="691"/>
        <v>02</v>
      </c>
      <c r="AF407" t="str">
        <f t="shared" si="692"/>
        <v/>
      </c>
      <c r="AG407" t="str">
        <f t="shared" si="693"/>
        <v/>
      </c>
      <c r="AH407" t="str">
        <f t="shared" si="631"/>
        <v>e</v>
      </c>
      <c r="AI407" t="str">
        <f t="shared" si="717"/>
        <v>n</v>
      </c>
      <c r="AJ407" t="str">
        <f t="shared" si="717"/>
        <v>n</v>
      </c>
      <c r="AK407" t="str">
        <f t="shared" si="633"/>
        <v/>
      </c>
      <c r="AL407" t="str">
        <f t="shared" si="634"/>
        <v/>
      </c>
      <c r="AM407" t="str">
        <f t="shared" si="694"/>
        <v>Away</v>
      </c>
      <c r="AN407" t="str">
        <f t="shared" si="635"/>
        <v>a</v>
      </c>
      <c r="AO407" t="str">
        <f t="shared" si="636"/>
        <v>n</v>
      </c>
      <c r="AP407" t="str">
        <f t="shared" si="637"/>
        <v>n</v>
      </c>
      <c r="AQ407" t="str">
        <f>IF(AM407&lt;&gt;"",AM407,IF($AC407=#REF!,#REF!,""))</f>
        <v>Away</v>
      </c>
      <c r="AR407" t="str">
        <f t="shared" si="638"/>
        <v>a</v>
      </c>
      <c r="AS407" t="str">
        <f t="shared" si="639"/>
        <v>Offensive</v>
      </c>
      <c r="AT407" t="str">
        <f t="shared" si="695"/>
        <v/>
      </c>
      <c r="AU407" t="str">
        <f t="shared" si="696"/>
        <v/>
      </c>
      <c r="AV407" t="str" cm="1">
        <f t="array" ref="AV407">IFERROR(IF(O407&lt;&gt;"",O407,IF(OR($S407="",$T407=""),"",IF(O407&lt;&gt;"",O407,IF($T407&lt;&gt;"",_xlfn._xlws.FILTER(O:O,($BT:$BT=$BT407)*($I:$I=$I407)*($T:$T=$T407)*($S:$S=_xlfn.MINIFS($S:$S,$T:$T,"="&amp;$T407)),"")))))&amp;"",IF(O407="","",""))&amp;""</f>
        <v/>
      </c>
      <c r="AW407" t="str" cm="1">
        <f t="array" ref="AW407">IFERROR(IF(P407&lt;&gt;"",P407,IF(OR($S407="",$T407=""),"",IF($T407&lt;&gt;"",_xlfn._xlws.FILTER(P:P,($BT:$BT=$BT407)*($I:$I=$I407)*($T:$T=$T407)*($S:$S=_xlfn.MINIFS($S:$S,$T:$T,"="&amp;$T407)),""))))&amp;"",IF(P407="","",""))&amp;""</f>
        <v/>
      </c>
      <c r="AX407" t="str" cm="1">
        <f t="array" ref="AX407">IFERROR(IF(Q407&lt;&gt;"",Q407,IF(OR($S407="",$T407=""),"",IF($T407&lt;&gt;"",_xlfn._xlws.FILTER(Q:Q,($BT:$BT=$BT407)*($I:$I=$I407)*($T:$T=$T407)*($S:$S=_xlfn.MINIFS($S:$S,$T:$T,"="&amp;$T407)),""))))&amp;"",IF(Q407="","",""))&amp;""</f>
        <v/>
      </c>
      <c r="AY407" t="str" cm="1">
        <f t="array" ref="AY407">IFERROR(IF(R407&lt;&gt;"",R407,IF(OR($S407="",$T407=""),"",IF($T407&lt;&gt;"",_xlfn._xlws.FILTER(R:R,($BT:$BT=$BT407)*($I:$I=$I407)*($T:$T=$T407)*($S:$S=_xlfn.MINIFS($S:$S,$T:$T,"="&amp;$T407)),""))))&amp;"",IF(R407="","",""))&amp;""</f>
        <v/>
      </c>
      <c r="AZ407" s="6">
        <f t="shared" si="697"/>
        <v>34</v>
      </c>
      <c r="BA407">
        <f t="shared" ref="BA407:BC407" si="732">BA406</f>
        <v>18991</v>
      </c>
      <c r="BB407" t="str">
        <f t="shared" si="732"/>
        <v>Triple J</v>
      </c>
      <c r="BC407" t="str">
        <f t="shared" si="732"/>
        <v>Velodrome</v>
      </c>
      <c r="BD407" t="str">
        <f t="shared" si="699"/>
        <v>Pass</v>
      </c>
      <c r="BE407" t="str">
        <f t="shared" si="700"/>
        <v>Pass_Missed</v>
      </c>
      <c r="BF407" t="str">
        <f t="shared" si="701"/>
        <v>Pass-Forehand</v>
      </c>
      <c r="BG407" t="str">
        <f t="shared" si="683"/>
        <v>u</v>
      </c>
      <c r="BH407" cm="1">
        <f t="array" aca="1" ref="BH407" ca="1">IFERROR(_xlfn._xlws.FILTER(shifts!A:A,(shifts!B:B=events!Z407)*(shifts!AG:AG&gt;=events!BJ407)*(shifts!AH:AH&lt;=events!BK407)),BH406)</f>
        <v>13</v>
      </c>
      <c r="BI407" s="15">
        <f t="shared" si="702"/>
        <v>0</v>
      </c>
      <c r="BJ407">
        <f t="shared" si="703"/>
        <v>722</v>
      </c>
      <c r="BK407">
        <f t="shared" si="704"/>
        <v>722</v>
      </c>
      <c r="BL407" s="15">
        <f>SUMIFS(BI$2:BI407,K$2:K407,"=Intermission")+SUMIFS(BI$2:BI407,K$2:K407,"=Timeout")</f>
        <v>0</v>
      </c>
      <c r="BM407">
        <f t="shared" si="705"/>
        <v>0</v>
      </c>
      <c r="BN407" s="19">
        <f t="shared" si="706"/>
        <v>358</v>
      </c>
      <c r="BO407">
        <f t="shared" si="707"/>
        <v>353</v>
      </c>
      <c r="BP407" s="17">
        <f t="shared" si="708"/>
        <v>358</v>
      </c>
      <c r="BQ407" t="str">
        <f t="shared" si="709"/>
        <v>event_team_player_2</v>
      </c>
      <c r="BR407">
        <f>COUNTIFS(S$3:S407,"="&amp;S407,AH$3:AH407,"="&amp;AH407)</f>
        <v>2</v>
      </c>
      <c r="BS407" t="str">
        <f>IFERROR(VLOOKUP(BA407&amp;BT407&amp;X407,game_rosters!U:W,3,FALSE),"")</f>
        <v>P100105</v>
      </c>
      <c r="BT407" t="str">
        <f t="shared" si="710"/>
        <v>Velodrome</v>
      </c>
    </row>
    <row r="408" spans="1:72" x14ac:dyDescent="0.2">
      <c r="A408">
        <f t="shared" si="685"/>
        <v>1</v>
      </c>
      <c r="D408" s="26" t="s">
        <v>729</v>
      </c>
      <c r="E408" s="4"/>
      <c r="F408" s="45"/>
      <c r="G408" s="4"/>
      <c r="H408" s="47"/>
      <c r="J408" s="26" t="str">
        <f t="shared" si="711"/>
        <v>o</v>
      </c>
      <c r="K408" t="s">
        <v>238</v>
      </c>
      <c r="L408" t="s">
        <v>174</v>
      </c>
      <c r="M408" t="s">
        <v>390</v>
      </c>
      <c r="N408" t="str">
        <f t="shared" si="729"/>
        <v>u</v>
      </c>
      <c r="Q408" t="str">
        <f t="shared" si="723"/>
        <v/>
      </c>
      <c r="S408">
        <f>IF(A408=1,MAX($S$2:$S407)+1,IF(OR($I408&lt;&gt;"",A408="x"),$S407,""))</f>
        <v>205</v>
      </c>
      <c r="T408">
        <f>IF(D408=1,MAX($T$2:$T407)+1,IF(S408=S407,$T407,IF(D408="x",T407,IF(D407="x","",""))))</f>
        <v>26</v>
      </c>
      <c r="U408" t="str">
        <f>IF(B408=1,MAX($U$2:$U407)+1,IF(AND($T408&lt;&gt;"",$T408=$T407),$U407,IF(B408="x",U407,"")))</f>
        <v/>
      </c>
      <c r="V408" t="str">
        <f>IF(C408=1,MAX($V$2:$V407)+1,IF(AND($T408&lt;&gt;"",$T408=$T407),$U407,IF(C408="x",V407,"")))</f>
        <v/>
      </c>
      <c r="W408" t="str" cm="1">
        <f t="array" ref="W408">IFERROR(_xlfn._xlws.FILTER(game_rosters!AC:AC,(game_rosters!J:J=events!X408)*(K408&lt;&gt;"")),"")</f>
        <v>a</v>
      </c>
      <c r="X408" cm="1">
        <f t="array" ref="X408">IF($I408&lt;&gt;"",$I408,INDEX($I$1:$I408,ROW()-COUNTIFS($T$1:$T408,"="&amp;$T408,$S$1:$S408,"&lt;"&amp;$S408)))</f>
        <v>75</v>
      </c>
      <c r="Y408" cm="1">
        <f t="array" ref="Y408">IFERROR(IF(_xlfn._xlws.FILTER(game_rosters!$J:$J,(game_rosters!$G:$G=events!$AM408)*(game_rosters!$J:$J=events!$X408))&gt;0,1,""),"")</f>
        <v>1</v>
      </c>
      <c r="Z408" s="6">
        <f t="shared" si="686"/>
        <v>1</v>
      </c>
      <c r="AA408">
        <f t="shared" si="687"/>
        <v>1205</v>
      </c>
      <c r="AB408">
        <f t="shared" si="688"/>
        <v>9026</v>
      </c>
      <c r="AC408">
        <f t="shared" si="689"/>
        <v>9026</v>
      </c>
      <c r="AD408" t="str">
        <f t="shared" si="690"/>
        <v>12</v>
      </c>
      <c r="AE408" t="str">
        <f t="shared" si="691"/>
        <v>02</v>
      </c>
      <c r="AF408" t="str">
        <f t="shared" si="692"/>
        <v/>
      </c>
      <c r="AG408" t="str">
        <f t="shared" si="693"/>
        <v/>
      </c>
      <c r="AH408" t="str">
        <f t="shared" si="631"/>
        <v>e</v>
      </c>
      <c r="AI408" t="str">
        <f t="shared" si="717"/>
        <v>o</v>
      </c>
      <c r="AJ408" t="str">
        <f t="shared" si="717"/>
        <v>o</v>
      </c>
      <c r="AK408" t="str">
        <f t="shared" si="633"/>
        <v>d</v>
      </c>
      <c r="AL408" t="str">
        <f t="shared" si="634"/>
        <v>o</v>
      </c>
      <c r="AM408" t="str">
        <f t="shared" si="694"/>
        <v>Away</v>
      </c>
      <c r="AN408" t="str">
        <f t="shared" si="635"/>
        <v>a</v>
      </c>
      <c r="AO408" t="str">
        <f t="shared" si="636"/>
        <v>d</v>
      </c>
      <c r="AP408" t="str">
        <f t="shared" si="637"/>
        <v>o</v>
      </c>
      <c r="AQ408" t="str">
        <f>IF(AM408&lt;&gt;"",AM408,IF($AC408=#REF!,#REF!,""))</f>
        <v>Away</v>
      </c>
      <c r="AR408" t="str">
        <f t="shared" si="638"/>
        <v>a</v>
      </c>
      <c r="AS408" t="str">
        <f t="shared" si="639"/>
        <v>Offensive</v>
      </c>
      <c r="AT408" t="str">
        <f t="shared" si="695"/>
        <v/>
      </c>
      <c r="AU408" t="str">
        <f t="shared" si="696"/>
        <v/>
      </c>
      <c r="AV408" t="str" cm="1">
        <f t="array" ref="AV408">IFERROR(IF(O408&lt;&gt;"",O408,IF(OR($S408="",$T408=""),"",IF(O408&lt;&gt;"",O408,IF($T408&lt;&gt;"",_xlfn._xlws.FILTER(O:O,($BT:$BT=$BT408)*($I:$I=$I408)*($T:$T=$T408)*($S:$S=_xlfn.MINIFS($S:$S,$T:$T,"="&amp;$T408)),"")))))&amp;"",IF(O408="","",""))&amp;""</f>
        <v/>
      </c>
      <c r="AW408" t="str" cm="1">
        <f t="array" ref="AW408">IFERROR(IF(P408&lt;&gt;"",P408,IF(OR($S408="",$T408=""),"",IF($T408&lt;&gt;"",_xlfn._xlws.FILTER(P:P,($BT:$BT=$BT408)*($I:$I=$I408)*($T:$T=$T408)*($S:$S=_xlfn.MINIFS($S:$S,$T:$T,"="&amp;$T408)),""))))&amp;"",IF(P408="","",""))&amp;""</f>
        <v/>
      </c>
      <c r="AX408" t="str" cm="1">
        <f t="array" ref="AX408">IFERROR(IF(Q408&lt;&gt;"",Q408,IF(OR($S408="",$T408=""),"",IF($T408&lt;&gt;"",_xlfn._xlws.FILTER(Q:Q,($BT:$BT=$BT408)*($I:$I=$I408)*($T:$T=$T408)*($S:$S=_xlfn.MINIFS($S:$S,$T:$T,"="&amp;$T408)),""))))&amp;"",IF(Q408="","",""))&amp;""</f>
        <v/>
      </c>
      <c r="AY408" t="str" cm="1">
        <f t="array" ref="AY408">IFERROR(IF(R408&lt;&gt;"",R408,IF(OR($S408="",$T408=""),"",IF($T408&lt;&gt;"",_xlfn._xlws.FILTER(R:R,($BT:$BT=$BT408)*($I:$I=$I408)*($T:$T=$T408)*($S:$S=_xlfn.MINIFS($S:$S,$T:$T,"="&amp;$T408)),""))))&amp;"",IF(R408="","",""))&amp;""</f>
        <v/>
      </c>
      <c r="AZ408" s="6">
        <f t="shared" si="697"/>
        <v>35</v>
      </c>
      <c r="BA408">
        <f t="shared" ref="BA408:BC408" si="733">BA407</f>
        <v>18991</v>
      </c>
      <c r="BB408" t="str">
        <f t="shared" si="733"/>
        <v>Triple J</v>
      </c>
      <c r="BC408" t="str">
        <f t="shared" si="733"/>
        <v>Velodrome</v>
      </c>
      <c r="BD408" t="str">
        <f t="shared" si="699"/>
        <v>Zone_Entry_Exit</v>
      </c>
      <c r="BE408" t="str">
        <f t="shared" si="700"/>
        <v>Zone_Entry</v>
      </c>
      <c r="BF408" t="str">
        <f t="shared" si="701"/>
        <v>ZoneEntry-PassMiss/Misplay</v>
      </c>
      <c r="BG408" t="str">
        <f t="shared" si="683"/>
        <v>u</v>
      </c>
      <c r="BH408" cm="1">
        <f t="array" aca="1" ref="BH408" ca="1">IFERROR(_xlfn._xlws.FILTER(shifts!A:A,(shifts!B:B=events!Z408)*(shifts!AG:AG&gt;=events!BJ408)*(shifts!AH:AH&lt;=events!BK408)),BH407)</f>
        <v>13</v>
      </c>
      <c r="BI408" s="15">
        <f t="shared" si="702"/>
        <v>0</v>
      </c>
      <c r="BJ408">
        <f t="shared" si="703"/>
        <v>722</v>
      </c>
      <c r="BK408">
        <f t="shared" si="704"/>
        <v>722</v>
      </c>
      <c r="BL408" s="15">
        <f>SUMIFS(BI$2:BI408,K$2:K408,"=Intermission")+SUMIFS(BI$2:BI408,K$2:K408,"=Timeout")</f>
        <v>0</v>
      </c>
      <c r="BM408">
        <f t="shared" si="705"/>
        <v>0</v>
      </c>
      <c r="BN408" s="19">
        <f t="shared" si="706"/>
        <v>358</v>
      </c>
      <c r="BO408">
        <f t="shared" si="707"/>
        <v>353</v>
      </c>
      <c r="BP408" s="17">
        <f t="shared" si="708"/>
        <v>358</v>
      </c>
      <c r="BQ408" t="str">
        <f t="shared" si="709"/>
        <v>event_team_player_1</v>
      </c>
      <c r="BR408">
        <f>COUNTIFS(S$3:S408,"="&amp;S408,AH$3:AH408,"="&amp;AH408)</f>
        <v>1</v>
      </c>
      <c r="BS408" t="str">
        <f>IFERROR(VLOOKUP(BA408&amp;BT408&amp;X408,game_rosters!U:W,3,FALSE),"")</f>
        <v>P100039</v>
      </c>
      <c r="BT408" t="str">
        <f t="shared" si="710"/>
        <v>Velodrome</v>
      </c>
    </row>
    <row r="409" spans="1:72" x14ac:dyDescent="0.2">
      <c r="A409" t="str">
        <f t="shared" si="685"/>
        <v>x</v>
      </c>
      <c r="D409" s="26" t="s">
        <v>729</v>
      </c>
      <c r="E409" s="4"/>
      <c r="F409" s="45"/>
      <c r="G409" s="4"/>
      <c r="H409" s="47"/>
      <c r="J409" s="26" t="str">
        <f t="shared" si="711"/>
        <v/>
      </c>
      <c r="N409" t="str">
        <f t="shared" si="729"/>
        <v/>
      </c>
      <c r="Q409" t="str">
        <f t="shared" si="723"/>
        <v/>
      </c>
      <c r="S409">
        <f>IF(A409=1,MAX($S$2:$S408)+1,IF(OR($I409&lt;&gt;"",A409="x"),$S408,""))</f>
        <v>205</v>
      </c>
      <c r="T409">
        <f>IF(D409=1,MAX($T$2:$T408)+1,IF(S409=S408,$T408,IF(D409="x",T408,IF(D408="x","",""))))</f>
        <v>26</v>
      </c>
      <c r="U409" t="str">
        <f>IF(B409=1,MAX($U$2:$U408)+1,IF(AND($T409&lt;&gt;"",$T409=$T408),$U408,IF(B409="x",U408,"")))</f>
        <v/>
      </c>
      <c r="V409" t="str">
        <f>IF(C409=1,MAX($V$2:$V408)+1,IF(AND($T409&lt;&gt;"",$T409=$T408),$U408,IF(C409="x",V408,"")))</f>
        <v/>
      </c>
      <c r="W409" t="str" cm="1">
        <f t="array" ref="W409">IFERROR(_xlfn._xlws.FILTER(game_rosters!AC:AC,(game_rosters!J:J=events!X409)*(K409&lt;&gt;"")),"")</f>
        <v/>
      </c>
      <c r="X409" cm="1">
        <f t="array" ref="X409">IF($I409&lt;&gt;"",$I409,INDEX($I$1:$I409,ROW()-COUNTIFS($T$1:$T409,"="&amp;$T409,$S$1:$S409,"&lt;"&amp;$S409)))</f>
        <v>9</v>
      </c>
      <c r="Y409" cm="1">
        <f t="array" ref="Y409">IFERROR(IF(_xlfn._xlws.FILTER(game_rosters!$J:$J,(game_rosters!$G:$G=events!$AM409)*(game_rosters!$J:$J=events!$X409))&gt;0,1,""),"")</f>
        <v>1</v>
      </c>
      <c r="Z409" s="6">
        <f t="shared" si="686"/>
        <v>1</v>
      </c>
      <c r="AA409">
        <f t="shared" si="687"/>
        <v>1205</v>
      </c>
      <c r="AB409">
        <f t="shared" si="688"/>
        <v>9026</v>
      </c>
      <c r="AC409">
        <f t="shared" si="689"/>
        <v>9026</v>
      </c>
      <c r="AD409" t="str">
        <f t="shared" si="690"/>
        <v>12</v>
      </c>
      <c r="AE409" t="str">
        <f t="shared" si="691"/>
        <v>02</v>
      </c>
      <c r="AF409" t="str">
        <f t="shared" si="692"/>
        <v/>
      </c>
      <c r="AG409" t="str">
        <f t="shared" si="693"/>
        <v/>
      </c>
      <c r="AH409" t="str">
        <f t="shared" si="631"/>
        <v>e</v>
      </c>
      <c r="AI409" t="str">
        <f t="shared" si="717"/>
        <v>o</v>
      </c>
      <c r="AJ409" t="str">
        <f t="shared" si="717"/>
        <v>o</v>
      </c>
      <c r="AK409" t="str">
        <f t="shared" si="633"/>
        <v/>
      </c>
      <c r="AL409" t="str">
        <f t="shared" si="634"/>
        <v/>
      </c>
      <c r="AM409" t="str">
        <f t="shared" si="694"/>
        <v>Away</v>
      </c>
      <c r="AN409" t="str">
        <f t="shared" si="635"/>
        <v>a</v>
      </c>
      <c r="AO409" t="str">
        <f t="shared" si="636"/>
        <v>d</v>
      </c>
      <c r="AP409" t="str">
        <f t="shared" si="637"/>
        <v>o</v>
      </c>
      <c r="AQ409" t="str">
        <f>IF(AM409&lt;&gt;"",AM409,IF($AC409=#REF!,#REF!,""))</f>
        <v>Away</v>
      </c>
      <c r="AR409" t="str">
        <f t="shared" si="638"/>
        <v>a</v>
      </c>
      <c r="AS409" t="str">
        <f t="shared" si="639"/>
        <v>Offensive</v>
      </c>
      <c r="AT409" t="str">
        <f t="shared" si="695"/>
        <v/>
      </c>
      <c r="AU409" t="str">
        <f t="shared" si="696"/>
        <v/>
      </c>
      <c r="AV409" t="str" cm="1">
        <f t="array" ref="AV409">IFERROR(IF(O409&lt;&gt;"",O409,IF(OR($S409="",$T409=""),"",IF(O409&lt;&gt;"",O409,IF($T409&lt;&gt;"",_xlfn._xlws.FILTER(O:O,($BT:$BT=$BT409)*($I:$I=$I409)*($T:$T=$T409)*($S:$S=_xlfn.MINIFS($S:$S,$T:$T,"="&amp;$T409)),"")))))&amp;"",IF(O409="","",""))&amp;""</f>
        <v/>
      </c>
      <c r="AW409" t="str" cm="1">
        <f t="array" ref="AW409">IFERROR(IF(P409&lt;&gt;"",P409,IF(OR($S409="",$T409=""),"",IF($T409&lt;&gt;"",_xlfn._xlws.FILTER(P:P,($BT:$BT=$BT409)*($I:$I=$I409)*($T:$T=$T409)*($S:$S=_xlfn.MINIFS($S:$S,$T:$T,"="&amp;$T409)),""))))&amp;"",IF(P409="","",""))&amp;""</f>
        <v/>
      </c>
      <c r="AX409" t="str" cm="1">
        <f t="array" ref="AX409">IFERROR(IF(Q409&lt;&gt;"",Q409,IF(OR($S409="",$T409=""),"",IF($T409&lt;&gt;"",_xlfn._xlws.FILTER(Q:Q,($BT:$BT=$BT409)*($I:$I=$I409)*($T:$T=$T409)*($S:$S=_xlfn.MINIFS($S:$S,$T:$T,"="&amp;$T409)),""))))&amp;"",IF(Q409="","",""))&amp;""</f>
        <v/>
      </c>
      <c r="AY409" t="str" cm="1">
        <f t="array" ref="AY409">IFERROR(IF(R409&lt;&gt;"",R409,IF(OR($S409="",$T409=""),"",IF($T409&lt;&gt;"",_xlfn._xlws.FILTER(R:R,($BT:$BT=$BT409)*($I:$I=$I409)*($T:$T=$T409)*($S:$S=_xlfn.MINIFS($S:$S,$T:$T,"="&amp;$T409)),""))))&amp;"",IF(R409="","",""))&amp;""</f>
        <v/>
      </c>
      <c r="AZ409" s="6">
        <f t="shared" si="697"/>
        <v>35</v>
      </c>
      <c r="BA409">
        <f t="shared" ref="BA409:BC409" si="734">BA408</f>
        <v>18991</v>
      </c>
      <c r="BB409" t="str">
        <f t="shared" si="734"/>
        <v>Triple J</v>
      </c>
      <c r="BC409" t="str">
        <f t="shared" si="734"/>
        <v>Velodrome</v>
      </c>
      <c r="BD409" t="str">
        <f t="shared" si="699"/>
        <v>Zone_Entry_Exit</v>
      </c>
      <c r="BE409" t="str">
        <f t="shared" si="700"/>
        <v>Zone_Entry</v>
      </c>
      <c r="BF409" t="str">
        <f t="shared" si="701"/>
        <v>ZoneEntry-PassMiss/Misplay</v>
      </c>
      <c r="BG409" t="str">
        <f t="shared" si="683"/>
        <v>u</v>
      </c>
      <c r="BH409" cm="1">
        <f t="array" aca="1" ref="BH409" ca="1">IFERROR(_xlfn._xlws.FILTER(shifts!A:A,(shifts!B:B=events!Z409)*(shifts!AG:AG&gt;=events!BJ409)*(shifts!AH:AH&lt;=events!BK409)),BH408)</f>
        <v>13</v>
      </c>
      <c r="BI409" s="15">
        <f t="shared" si="702"/>
        <v>0</v>
      </c>
      <c r="BJ409">
        <f t="shared" si="703"/>
        <v>722</v>
      </c>
      <c r="BK409">
        <f t="shared" si="704"/>
        <v>722</v>
      </c>
      <c r="BL409" s="15">
        <f>SUMIFS(BI$2:BI409,K$2:K409,"=Intermission")+SUMIFS(BI$2:BI409,K$2:K409,"=Timeout")</f>
        <v>0</v>
      </c>
      <c r="BM409">
        <f t="shared" si="705"/>
        <v>0</v>
      </c>
      <c r="BN409" s="19">
        <f t="shared" si="706"/>
        <v>358</v>
      </c>
      <c r="BO409">
        <f t="shared" si="707"/>
        <v>353</v>
      </c>
      <c r="BP409" s="17">
        <f t="shared" si="708"/>
        <v>358</v>
      </c>
      <c r="BQ409" t="str">
        <f t="shared" si="709"/>
        <v>event_team_player_2</v>
      </c>
      <c r="BR409">
        <f>COUNTIFS(S$3:S409,"="&amp;S409,AH$3:AH409,"="&amp;AH409)</f>
        <v>2</v>
      </c>
      <c r="BS409" t="str">
        <f>IFERROR(VLOOKUP(BA409&amp;BT409&amp;X409,game_rosters!U:W,3,FALSE),"")</f>
        <v>P100105</v>
      </c>
      <c r="BT409" t="str">
        <f t="shared" si="710"/>
        <v>Velodrome</v>
      </c>
    </row>
    <row r="410" spans="1:72" x14ac:dyDescent="0.2">
      <c r="A410">
        <f t="shared" si="685"/>
        <v>1</v>
      </c>
      <c r="D410" s="26" t="s">
        <v>729</v>
      </c>
      <c r="E410" s="4"/>
      <c r="F410" s="45"/>
      <c r="G410" s="4"/>
      <c r="H410" s="47"/>
      <c r="J410" s="26" t="str">
        <f t="shared" si="711"/>
        <v/>
      </c>
      <c r="K410" t="s">
        <v>9</v>
      </c>
      <c r="L410" t="s">
        <v>173</v>
      </c>
      <c r="M410" t="s">
        <v>74</v>
      </c>
      <c r="N410" t="str">
        <f t="shared" si="729"/>
        <v>u</v>
      </c>
      <c r="Q410" t="str">
        <f t="shared" si="723"/>
        <v/>
      </c>
      <c r="S410">
        <f>IF(A410=1,MAX($S$2:$S409)+1,IF(OR($I410&lt;&gt;"",A410="x"),$S409,""))</f>
        <v>206</v>
      </c>
      <c r="T410">
        <f>IF(D410=1,MAX($T$2:$T409)+1,IF(S410=S409,$T409,IF(D410="x",T409,IF(D409="x","",""))))</f>
        <v>26</v>
      </c>
      <c r="U410" t="str">
        <f>IF(B410=1,MAX($U$2:$U409)+1,IF(AND($T410&lt;&gt;"",$T410=$T409),$U409,IF(B410="x",U409,"")))</f>
        <v/>
      </c>
      <c r="V410" t="str">
        <f>IF(C410=1,MAX($V$2:$V409)+1,IF(AND($T410&lt;&gt;"",$T410=$T409),$U409,IF(C410="x",V409,"")))</f>
        <v/>
      </c>
      <c r="W410" t="str" cm="1">
        <f t="array" ref="W410">IFERROR(_xlfn._xlws.FILTER(game_rosters!AC:AC,(game_rosters!J:J=events!X410)*(K410&lt;&gt;"")),"")</f>
        <v>a</v>
      </c>
      <c r="X410" cm="1">
        <f t="array" ref="X410">IF($I410&lt;&gt;"",$I410,INDEX($I$1:$I410,ROW()-COUNTIFS($T$1:$T410,"="&amp;$T410,$S$1:$S410,"&lt;"&amp;$S410)))</f>
        <v>75</v>
      </c>
      <c r="Y410" cm="1">
        <f t="array" ref="Y410">IFERROR(IF(_xlfn._xlws.FILTER(game_rosters!$J:$J,(game_rosters!$G:$G=events!$AM410)*(game_rosters!$J:$J=events!$X410))&gt;0,1,""),"")</f>
        <v>1</v>
      </c>
      <c r="Z410" s="6">
        <f t="shared" si="686"/>
        <v>1</v>
      </c>
      <c r="AA410">
        <f t="shared" si="687"/>
        <v>1206</v>
      </c>
      <c r="AB410">
        <f t="shared" si="688"/>
        <v>9026</v>
      </c>
      <c r="AC410">
        <f t="shared" si="689"/>
        <v>9026</v>
      </c>
      <c r="AD410" t="str">
        <f t="shared" si="690"/>
        <v>12</v>
      </c>
      <c r="AE410" t="str">
        <f t="shared" si="691"/>
        <v>02</v>
      </c>
      <c r="AF410" t="str">
        <f t="shared" si="692"/>
        <v/>
      </c>
      <c r="AG410" t="str">
        <f t="shared" si="693"/>
        <v/>
      </c>
      <c r="AH410" t="str">
        <f t="shared" si="631"/>
        <v>e</v>
      </c>
      <c r="AI410" t="str">
        <f t="shared" si="717"/>
        <v>o</v>
      </c>
      <c r="AJ410" t="str">
        <f t="shared" si="717"/>
        <v>o</v>
      </c>
      <c r="AK410" t="str">
        <f t="shared" si="633"/>
        <v>d</v>
      </c>
      <c r="AL410" t="str">
        <f t="shared" si="634"/>
        <v/>
      </c>
      <c r="AM410" t="str">
        <f t="shared" si="694"/>
        <v>Away</v>
      </c>
      <c r="AN410" t="str">
        <f t="shared" si="635"/>
        <v>a</v>
      </c>
      <c r="AO410" t="str">
        <f t="shared" si="636"/>
        <v>d</v>
      </c>
      <c r="AP410" t="str">
        <f t="shared" si="637"/>
        <v>o</v>
      </c>
      <c r="AQ410" t="str">
        <f>IF(AM410&lt;&gt;"",AM410,IF($AC410=#REF!,#REF!,""))</f>
        <v>Away</v>
      </c>
      <c r="AR410" t="str">
        <f t="shared" si="638"/>
        <v>a</v>
      </c>
      <c r="AS410" t="str">
        <f t="shared" si="639"/>
        <v>Offensive</v>
      </c>
      <c r="AT410" t="str">
        <f t="shared" si="695"/>
        <v/>
      </c>
      <c r="AU410" t="str">
        <f t="shared" si="696"/>
        <v/>
      </c>
      <c r="AV410" t="str" cm="1">
        <f t="array" ref="AV410">IFERROR(IF(O410&lt;&gt;"",O410,IF(OR($S410="",$T410=""),"",IF(O410&lt;&gt;"",O410,IF($T410&lt;&gt;"",_xlfn._xlws.FILTER(O:O,($BT:$BT=$BT410)*($I:$I=$I410)*($T:$T=$T410)*($S:$S=_xlfn.MINIFS($S:$S,$T:$T,"="&amp;$T410)),"")))))&amp;"",IF(O410="","",""))&amp;""</f>
        <v/>
      </c>
      <c r="AW410" t="str" cm="1">
        <f t="array" ref="AW410">IFERROR(IF(P410&lt;&gt;"",P410,IF(OR($S410="",$T410=""),"",IF($T410&lt;&gt;"",_xlfn._xlws.FILTER(P:P,($BT:$BT=$BT410)*($I:$I=$I410)*($T:$T=$T410)*($S:$S=_xlfn.MINIFS($S:$S,$T:$T,"="&amp;$T410)),""))))&amp;"",IF(P410="","",""))&amp;""</f>
        <v/>
      </c>
      <c r="AX410" t="str" cm="1">
        <f t="array" ref="AX410">IFERROR(IF(Q410&lt;&gt;"",Q410,IF(OR($S410="",$T410=""),"",IF($T410&lt;&gt;"",_xlfn._xlws.FILTER(Q:Q,($BT:$BT=$BT410)*($I:$I=$I410)*($T:$T=$T410)*($S:$S=_xlfn.MINIFS($S:$S,$T:$T,"="&amp;$T410)),""))))&amp;"",IF(Q410="","",""))&amp;""</f>
        <v/>
      </c>
      <c r="AY410" t="str" cm="1">
        <f t="array" ref="AY410">IFERROR(IF(R410&lt;&gt;"",R410,IF(OR($S410="",$T410=""),"",IF($T410&lt;&gt;"",_xlfn._xlws.FILTER(R:R,($BT:$BT=$BT410)*($I:$I=$I410)*($T:$T=$T410)*($S:$S=_xlfn.MINIFS($S:$S,$T:$T,"="&amp;$T410)),""))))&amp;"",IF(R410="","",""))&amp;""</f>
        <v/>
      </c>
      <c r="AZ410" s="6">
        <f t="shared" si="697"/>
        <v>35</v>
      </c>
      <c r="BA410">
        <f t="shared" ref="BA410:BC410" si="735">BA409</f>
        <v>18991</v>
      </c>
      <c r="BB410" t="str">
        <f t="shared" si="735"/>
        <v>Triple J</v>
      </c>
      <c r="BC410" t="str">
        <f t="shared" si="735"/>
        <v>Velodrome</v>
      </c>
      <c r="BD410" t="str">
        <f t="shared" si="699"/>
        <v>Turnover</v>
      </c>
      <c r="BE410" t="str">
        <f t="shared" si="700"/>
        <v>Turnover_Giveaway</v>
      </c>
      <c r="BF410" t="str">
        <f t="shared" si="701"/>
        <v>Giveaway-PassMissed</v>
      </c>
      <c r="BG410" t="str">
        <f t="shared" si="683"/>
        <v>u</v>
      </c>
      <c r="BH410" cm="1">
        <f t="array" aca="1" ref="BH410" ca="1">IFERROR(_xlfn._xlws.FILTER(shifts!A:A,(shifts!B:B=events!Z410)*(shifts!AG:AG&gt;=events!BJ410)*(shifts!AH:AH&lt;=events!BK410)),BH409)</f>
        <v>13</v>
      </c>
      <c r="BI410" s="15">
        <f t="shared" si="702"/>
        <v>0</v>
      </c>
      <c r="BJ410">
        <f t="shared" si="703"/>
        <v>722</v>
      </c>
      <c r="BK410">
        <f t="shared" si="704"/>
        <v>722</v>
      </c>
      <c r="BL410" s="15">
        <f>SUMIFS(BI$2:BI410,K$2:K410,"=Intermission")+SUMIFS(BI$2:BI410,K$2:K410,"=Timeout")</f>
        <v>0</v>
      </c>
      <c r="BM410">
        <f t="shared" si="705"/>
        <v>0</v>
      </c>
      <c r="BN410" s="19">
        <f t="shared" si="706"/>
        <v>358</v>
      </c>
      <c r="BO410">
        <f t="shared" si="707"/>
        <v>353</v>
      </c>
      <c r="BP410" s="17">
        <f t="shared" si="708"/>
        <v>358</v>
      </c>
      <c r="BQ410" t="str">
        <f t="shared" si="709"/>
        <v>event_team_player_1</v>
      </c>
      <c r="BR410">
        <f>COUNTIFS(S$3:S410,"="&amp;S410,AH$3:AH410,"="&amp;AH410)</f>
        <v>1</v>
      </c>
      <c r="BS410" t="str">
        <f>IFERROR(VLOOKUP(BA410&amp;BT410&amp;X410,game_rosters!U:W,3,FALSE),"")</f>
        <v>P100039</v>
      </c>
      <c r="BT410" t="str">
        <f t="shared" si="710"/>
        <v>Velodrome</v>
      </c>
    </row>
    <row r="411" spans="1:72" x14ac:dyDescent="0.2">
      <c r="A411" t="str">
        <f t="shared" si="685"/>
        <v>x</v>
      </c>
      <c r="D411" s="26" t="s">
        <v>729</v>
      </c>
      <c r="E411" s="4"/>
      <c r="F411" s="45"/>
      <c r="G411" s="4"/>
      <c r="H411" s="47"/>
      <c r="J411" s="26" t="str">
        <f t="shared" si="711"/>
        <v/>
      </c>
      <c r="N411" t="str">
        <f t="shared" si="729"/>
        <v/>
      </c>
      <c r="Q411" t="str">
        <f t="shared" si="723"/>
        <v/>
      </c>
      <c r="S411">
        <f>IF(A411=1,MAX($S$2:$S410)+1,IF(OR($I411&lt;&gt;"",A411="x"),$S410,""))</f>
        <v>206</v>
      </c>
      <c r="T411">
        <f>IF(D411=1,MAX($T$2:$T410)+1,IF(S411=S410,$T410,IF(D411="x",T410,IF(D410="x","",""))))</f>
        <v>26</v>
      </c>
      <c r="U411" t="str">
        <f>IF(B411=1,MAX($U$2:$U410)+1,IF(AND($T411&lt;&gt;"",$T411=$T410),$U410,IF(B411="x",U410,"")))</f>
        <v/>
      </c>
      <c r="V411" t="str">
        <f>IF(C411=1,MAX($V$2:$V410)+1,IF(AND($T411&lt;&gt;"",$T411=$T410),$U410,IF(C411="x",V410,"")))</f>
        <v/>
      </c>
      <c r="W411" t="str" cm="1">
        <f t="array" ref="W411">IFERROR(_xlfn._xlws.FILTER(game_rosters!AC:AC,(game_rosters!J:J=events!X411)*(K411&lt;&gt;"")),"")</f>
        <v/>
      </c>
      <c r="X411" cm="1">
        <f t="array" ref="X411">IF($I411&lt;&gt;"",$I411,INDEX($I$1:$I411,ROW()-COUNTIFS($T$1:$T411,"="&amp;$T411,$S$1:$S411,"&lt;"&amp;$S411)))</f>
        <v>9</v>
      </c>
      <c r="Y411" cm="1">
        <f t="array" ref="Y411">IFERROR(IF(_xlfn._xlws.FILTER(game_rosters!$J:$J,(game_rosters!$G:$G=events!$AM411)*(game_rosters!$J:$J=events!$X411))&gt;0,1,""),"")</f>
        <v>1</v>
      </c>
      <c r="Z411" s="6">
        <f t="shared" si="686"/>
        <v>1</v>
      </c>
      <c r="AA411">
        <f t="shared" si="687"/>
        <v>1206</v>
      </c>
      <c r="AB411">
        <f t="shared" si="688"/>
        <v>9026</v>
      </c>
      <c r="AC411">
        <f t="shared" si="689"/>
        <v>9026</v>
      </c>
      <c r="AD411" t="str">
        <f t="shared" si="690"/>
        <v>12</v>
      </c>
      <c r="AE411" t="str">
        <f t="shared" si="691"/>
        <v>02</v>
      </c>
      <c r="AF411" t="str">
        <f t="shared" si="692"/>
        <v/>
      </c>
      <c r="AG411" t="str">
        <f t="shared" si="693"/>
        <v/>
      </c>
      <c r="AH411" t="str">
        <f t="shared" ref="AH411:AH474" si="736">IF(Y411="x","",IF(Y411=1,"e","o"))</f>
        <v>e</v>
      </c>
      <c r="AI411" t="str">
        <f t="shared" ref="AI411:AJ426" si="737">IF($J411&lt;&gt;"",$J411,IF($AC411=$AC410,AI410,""))</f>
        <v>o</v>
      </c>
      <c r="AJ411" t="str">
        <f t="shared" si="737"/>
        <v>o</v>
      </c>
      <c r="AK411" t="str">
        <f t="shared" ref="AK411:AK474" si="738">IF($W411="","",IF($AI411="","",IF($W411="h",$AI411,IF($AI411="n","n",IF(AND($W411="a",$AI411="d"),"o",IF(AND($W411="a",$AI411="o"),"d"))))))</f>
        <v/>
      </c>
      <c r="AL411" t="str">
        <f t="shared" ref="AL411:AL474" si="739">IF($W411="","",IF(J411="","",IF(AK411="n","n",IF(AK411="d","o",IF(AK411="o","d","")))))</f>
        <v/>
      </c>
      <c r="AM411" t="str">
        <f t="shared" si="694"/>
        <v>Away</v>
      </c>
      <c r="AN411" t="str">
        <f t="shared" ref="AN411:AN474" si="740">IF($W411&lt;&gt;"",$W411,IF($AC411=AC410,AN410,""))</f>
        <v>a</v>
      </c>
      <c r="AO411" t="str">
        <f t="shared" ref="AO411:AO474" si="741">IF(AK411&lt;&gt;"",AK411,IF($AC411=AC410,AO410,""))</f>
        <v>d</v>
      </c>
      <c r="AP411" t="str">
        <f t="shared" ref="AP411:AP474" si="742">IF(AL411&lt;&gt;"",AL411,IF($AC411=AC410,AP410,""))</f>
        <v>o</v>
      </c>
      <c r="AQ411" t="str">
        <f>IF(AM411&lt;&gt;"",AM411,IF($AC411=#REF!,#REF!,""))</f>
        <v>Away</v>
      </c>
      <c r="AR411" t="str">
        <f t="shared" ref="AR411:AR474" si="743">IF(AN411&lt;&gt;"",AN411,IF($AC411=AC410,AQ410,""))</f>
        <v>a</v>
      </c>
      <c r="AS411" t="str">
        <f t="shared" ref="AS411:AS474" si="744">IF(AND(AH411="e",OR(BD411="Save",BE411="Turnover_Takeaway",BE411="Play_Defensive")),"Defensive",IF(AND(AH411="o",OR(BD411="Save",BE411="Turnover_Takeaway",BE411="Play_Defensive")),"Offensive",IF(OR(BD411="Deadice",BD411="Stoppage",BD411="Intermission"),"",IF(AH411="e","Offensive",IF(AH411="o","Defensive","")))))</f>
        <v>Offensive</v>
      </c>
      <c r="AT411" t="str">
        <f t="shared" si="695"/>
        <v/>
      </c>
      <c r="AU411" t="str">
        <f t="shared" si="696"/>
        <v/>
      </c>
      <c r="AV411" t="str" cm="1">
        <f t="array" ref="AV411">IFERROR(IF(O411&lt;&gt;"",O411,IF(OR($S411="",$T411=""),"",IF(O411&lt;&gt;"",O411,IF($T411&lt;&gt;"",_xlfn._xlws.FILTER(O:O,($BT:$BT=$BT411)*($I:$I=$I411)*($T:$T=$T411)*($S:$S=_xlfn.MINIFS($S:$S,$T:$T,"="&amp;$T411)),"")))))&amp;"",IF(O411="","",""))&amp;""</f>
        <v/>
      </c>
      <c r="AW411" t="str" cm="1">
        <f t="array" ref="AW411">IFERROR(IF(P411&lt;&gt;"",P411,IF(OR($S411="",$T411=""),"",IF($T411&lt;&gt;"",_xlfn._xlws.FILTER(P:P,($BT:$BT=$BT411)*($I:$I=$I411)*($T:$T=$T411)*($S:$S=_xlfn.MINIFS($S:$S,$T:$T,"="&amp;$T411)),""))))&amp;"",IF(P411="","",""))&amp;""</f>
        <v/>
      </c>
      <c r="AX411" t="str" cm="1">
        <f t="array" ref="AX411">IFERROR(IF(Q411&lt;&gt;"",Q411,IF(OR($S411="",$T411=""),"",IF($T411&lt;&gt;"",_xlfn._xlws.FILTER(Q:Q,($BT:$BT=$BT411)*($I:$I=$I411)*($T:$T=$T411)*($S:$S=_xlfn.MINIFS($S:$S,$T:$T,"="&amp;$T411)),""))))&amp;"",IF(Q411="","",""))&amp;""</f>
        <v/>
      </c>
      <c r="AY411" t="str" cm="1">
        <f t="array" ref="AY411">IFERROR(IF(R411&lt;&gt;"",R411,IF(OR($S411="",$T411=""),"",IF($T411&lt;&gt;"",_xlfn._xlws.FILTER(R:R,($BT:$BT=$BT411)*($I:$I=$I411)*($T:$T=$T411)*($S:$S=_xlfn.MINIFS($S:$S,$T:$T,"="&amp;$T411)),""))))&amp;"",IF(R411="","",""))&amp;""</f>
        <v/>
      </c>
      <c r="AZ411" s="6">
        <f t="shared" si="697"/>
        <v>35</v>
      </c>
      <c r="BA411">
        <f t="shared" ref="BA411:BC411" si="745">BA410</f>
        <v>18991</v>
      </c>
      <c r="BB411" t="str">
        <f t="shared" si="745"/>
        <v>Triple J</v>
      </c>
      <c r="BC411" t="str">
        <f t="shared" si="745"/>
        <v>Velodrome</v>
      </c>
      <c r="BD411" t="str">
        <f t="shared" si="699"/>
        <v>Turnover</v>
      </c>
      <c r="BE411" t="str">
        <f t="shared" si="700"/>
        <v>Turnover_Giveaway</v>
      </c>
      <c r="BF411" t="str">
        <f t="shared" si="701"/>
        <v>Giveaway-PassMissed</v>
      </c>
      <c r="BG411" t="str">
        <f t="shared" si="683"/>
        <v>u</v>
      </c>
      <c r="BH411" cm="1">
        <f t="array" aca="1" ref="BH411" ca="1">IFERROR(_xlfn._xlws.FILTER(shifts!A:A,(shifts!B:B=events!Z411)*(shifts!AG:AG&gt;=events!BJ411)*(shifts!AH:AH&lt;=events!BK411)),BH410)</f>
        <v>13</v>
      </c>
      <c r="BI411" s="15">
        <f t="shared" si="702"/>
        <v>0</v>
      </c>
      <c r="BJ411">
        <f t="shared" si="703"/>
        <v>722</v>
      </c>
      <c r="BK411">
        <f t="shared" si="704"/>
        <v>722</v>
      </c>
      <c r="BL411" s="15">
        <f>SUMIFS(BI$2:BI411,K$2:K411,"=Intermission")+SUMIFS(BI$2:BI411,K$2:K411,"=Timeout")</f>
        <v>0</v>
      </c>
      <c r="BM411">
        <f t="shared" si="705"/>
        <v>0</v>
      </c>
      <c r="BN411" s="19">
        <f t="shared" si="706"/>
        <v>358</v>
      </c>
      <c r="BO411">
        <f t="shared" si="707"/>
        <v>353</v>
      </c>
      <c r="BP411" s="17">
        <f t="shared" si="708"/>
        <v>358</v>
      </c>
      <c r="BQ411" t="str">
        <f t="shared" si="709"/>
        <v>event_team_player_2</v>
      </c>
      <c r="BR411">
        <f>COUNTIFS(S$3:S411,"="&amp;S411,AH$3:AH411,"="&amp;AH411)</f>
        <v>2</v>
      </c>
      <c r="BS411" t="str">
        <f>IFERROR(VLOOKUP(BA411&amp;BT411&amp;X411,game_rosters!U:W,3,FALSE),"")</f>
        <v>P100105</v>
      </c>
      <c r="BT411" t="str">
        <f t="shared" si="710"/>
        <v>Velodrome</v>
      </c>
    </row>
    <row r="412" spans="1:72" x14ac:dyDescent="0.2">
      <c r="A412">
        <f t="shared" si="685"/>
        <v>1</v>
      </c>
      <c r="E412" s="4" t="s">
        <v>754</v>
      </c>
      <c r="F412" s="45" t="s">
        <v>1033</v>
      </c>
      <c r="G412" s="4"/>
      <c r="H412" s="47"/>
      <c r="I412" s="26">
        <v>19</v>
      </c>
      <c r="J412" s="26" t="s">
        <v>736</v>
      </c>
      <c r="K412" t="s">
        <v>13</v>
      </c>
      <c r="L412" t="s">
        <v>586</v>
      </c>
      <c r="N412" t="s">
        <v>595</v>
      </c>
      <c r="O412" t="s">
        <v>907</v>
      </c>
      <c r="Q412" t="str">
        <f t="shared" si="723"/>
        <v>s</v>
      </c>
      <c r="S412">
        <f>IF(A412=1,MAX($S$2:$S411)+1,IF(OR($I412&lt;&gt;"",A412="x"),$S411,""))</f>
        <v>207</v>
      </c>
      <c r="T412" t="str">
        <f>IF(D412=1,MAX($T$2:$T411)+1,IF(S412=S411,$T411,IF(D412="x",T411,IF(D411="x","",""))))</f>
        <v/>
      </c>
      <c r="U412" t="str">
        <f>IF(B412=1,MAX($U$2:$U411)+1,IF(AND($T412&lt;&gt;"",$T412=$T411),$U411,IF(B412="x",U411,"")))</f>
        <v/>
      </c>
      <c r="V412" t="str">
        <f>IF(C412=1,MAX($V$2:$V411)+1,IF(AND($T412&lt;&gt;"",$T412=$T411),$U411,IF(C412="x",V411,"")))</f>
        <v/>
      </c>
      <c r="W412" t="str" cm="1">
        <f t="array" ref="W412">IFERROR(_xlfn._xlws.FILTER(game_rosters!AC:AC,(game_rosters!J:J=events!X412)*(K412&lt;&gt;"")),"")</f>
        <v>h</v>
      </c>
      <c r="X412" cm="1">
        <f t="array" ref="X412">IF($I412&lt;&gt;"",$I412,INDEX($I$1:$I412,ROW()-COUNTIFS($T$1:$T412,"="&amp;$T412,$S$1:$S412,"&lt;"&amp;$S412)))</f>
        <v>19</v>
      </c>
      <c r="Y412" cm="1">
        <f t="array" ref="Y412">IFERROR(IF(_xlfn._xlws.FILTER(game_rosters!$J:$J,(game_rosters!$G:$G=events!$AM412)*(game_rosters!$J:$J=events!$X412))&gt;0,1,""),"")</f>
        <v>1</v>
      </c>
      <c r="Z412" s="6">
        <f t="shared" si="686"/>
        <v>1</v>
      </c>
      <c r="AA412">
        <f t="shared" si="687"/>
        <v>1207</v>
      </c>
      <c r="AB412" t="str">
        <f t="shared" si="688"/>
        <v/>
      </c>
      <c r="AC412">
        <f t="shared" si="689"/>
        <v>1207</v>
      </c>
      <c r="AD412" t="str">
        <f t="shared" si="690"/>
        <v>11</v>
      </c>
      <c r="AE412" t="str">
        <f t="shared" si="691"/>
        <v>57</v>
      </c>
      <c r="AF412" t="str">
        <f t="shared" si="692"/>
        <v/>
      </c>
      <c r="AG412" t="str">
        <f t="shared" si="693"/>
        <v/>
      </c>
      <c r="AH412" t="str">
        <f t="shared" si="736"/>
        <v>e</v>
      </c>
      <c r="AI412" t="str">
        <f t="shared" si="737"/>
        <v>d</v>
      </c>
      <c r="AJ412" t="str">
        <f t="shared" si="737"/>
        <v>d</v>
      </c>
      <c r="AK412" t="str">
        <f t="shared" si="738"/>
        <v>d</v>
      </c>
      <c r="AL412" t="str">
        <f t="shared" si="739"/>
        <v>o</v>
      </c>
      <c r="AM412" t="str">
        <f t="shared" si="694"/>
        <v>Home</v>
      </c>
      <c r="AN412" t="str">
        <f t="shared" si="740"/>
        <v>h</v>
      </c>
      <c r="AO412" t="str">
        <f t="shared" si="741"/>
        <v>d</v>
      </c>
      <c r="AP412" t="str">
        <f t="shared" si="742"/>
        <v>o</v>
      </c>
      <c r="AQ412" t="str">
        <f>IF(AM412&lt;&gt;"",AM412,IF($AC412=#REF!,#REF!,""))</f>
        <v>Home</v>
      </c>
      <c r="AR412" t="str">
        <f t="shared" si="743"/>
        <v>h</v>
      </c>
      <c r="AS412" t="str">
        <f t="shared" si="744"/>
        <v>Offensive</v>
      </c>
      <c r="AT412" t="str">
        <f t="shared" si="695"/>
        <v/>
      </c>
      <c r="AU412" t="str">
        <f t="shared" si="696"/>
        <v/>
      </c>
      <c r="AV412" t="str" cm="1">
        <f t="array" ref="AV412">IFERROR(IF(O412&lt;&gt;"",O412,IF(OR($S412="",$T412=""),"",IF(O412&lt;&gt;"",O412,IF($T412&lt;&gt;"",_xlfn._xlws.FILTER(O:O,($BT:$BT=$BT412)*($I:$I=$I412)*($T:$T=$T412)*($S:$S=_xlfn.MINIFS($S:$S,$T:$T,"="&amp;$T412)),"")))))&amp;"",IF(O412="","",""))&amp;""</f>
        <v>PuckRecoveryRetreivalPass</v>
      </c>
      <c r="AW412" t="str" cm="1">
        <f t="array" ref="AW412">IFERROR(IF(P412&lt;&gt;"",P412,IF(OR($S412="",$T412=""),"",IF($T412&lt;&gt;"",_xlfn._xlws.FILTER(P:P,($BT:$BT=$BT412)*($I:$I=$I412)*($T:$T=$T412)*($S:$S=_xlfn.MINIFS($S:$S,$T:$T,"="&amp;$T412)),""))))&amp;"",IF(P412="","",""))&amp;""</f>
        <v/>
      </c>
      <c r="AX412" t="str" cm="1">
        <f t="array" ref="AX412">IFERROR(IF(Q412&lt;&gt;"",Q412,IF(OR($S412="",$T412=""),"",IF($T412&lt;&gt;"",_xlfn._xlws.FILTER(Q:Q,($BT:$BT=$BT412)*($I:$I=$I412)*($T:$T=$T412)*($S:$S=_xlfn.MINIFS($S:$S,$T:$T,"="&amp;$T412)),""))))&amp;"",IF(Q412="","",""))&amp;""</f>
        <v>s</v>
      </c>
      <c r="AY412" t="str" cm="1">
        <f t="array" ref="AY412">IFERROR(IF(R412&lt;&gt;"",R412,IF(OR($S412="",$T412=""),"",IF($T412&lt;&gt;"",_xlfn._xlws.FILTER(R:R,($BT:$BT=$BT412)*($I:$I=$I412)*($T:$T=$T412)*($S:$S=_xlfn.MINIFS($S:$S,$T:$T,"="&amp;$T412)),""))))&amp;"",IF(R412="","",""))&amp;""</f>
        <v/>
      </c>
      <c r="AZ412" s="6">
        <f t="shared" si="697"/>
        <v>35</v>
      </c>
      <c r="BA412">
        <f t="shared" ref="BA412:BC412" si="746">BA411</f>
        <v>18991</v>
      </c>
      <c r="BB412" t="str">
        <f t="shared" si="746"/>
        <v>Triple J</v>
      </c>
      <c r="BC412" t="str">
        <f t="shared" si="746"/>
        <v>Velodrome</v>
      </c>
      <c r="BD412" t="str">
        <f t="shared" si="699"/>
        <v>Possession</v>
      </c>
      <c r="BE412" t="str">
        <f t="shared" si="700"/>
        <v>PuckRetrieval</v>
      </c>
      <c r="BF412" t="str">
        <f t="shared" si="701"/>
        <v/>
      </c>
      <c r="BG412" t="str">
        <f t="shared" si="683"/>
        <v>s</v>
      </c>
      <c r="BH412" cm="1">
        <f t="array" aca="1" ref="BH412" ca="1">IFERROR(_xlfn._xlws.FILTER(shifts!A:A,(shifts!B:B=events!Z412)*(shifts!AG:AG&gt;=events!BJ412)*(shifts!AH:AH&lt;=events!BK412)),BH411)</f>
        <v>13</v>
      </c>
      <c r="BI412" s="15">
        <f t="shared" si="702"/>
        <v>0</v>
      </c>
      <c r="BJ412">
        <f t="shared" si="703"/>
        <v>717</v>
      </c>
      <c r="BK412">
        <f t="shared" si="704"/>
        <v>717</v>
      </c>
      <c r="BL412" s="15">
        <f>SUMIFS(BI$2:BI412,K$2:K412,"=Intermission")+SUMIFS(BI$2:BI412,K$2:K412,"=Timeout")</f>
        <v>0</v>
      </c>
      <c r="BM412">
        <f t="shared" si="705"/>
        <v>0</v>
      </c>
      <c r="BN412" s="19">
        <f t="shared" si="706"/>
        <v>363</v>
      </c>
      <c r="BO412">
        <f t="shared" si="707"/>
        <v>358</v>
      </c>
      <c r="BP412" s="17">
        <f t="shared" si="708"/>
        <v>363</v>
      </c>
      <c r="BQ412" t="str">
        <f t="shared" si="709"/>
        <v>event_team_player_1</v>
      </c>
      <c r="BR412">
        <f>COUNTIFS(S$3:S412,"="&amp;S412,AH$3:AH412,"="&amp;AH412)</f>
        <v>1</v>
      </c>
      <c r="BS412" t="str">
        <f>IFERROR(VLOOKUP(BA412&amp;BT412&amp;X412,game_rosters!U:W,3,FALSE),"")</f>
        <v>P100089</v>
      </c>
      <c r="BT412" t="str">
        <f t="shared" si="710"/>
        <v>Triple J</v>
      </c>
    </row>
    <row r="413" spans="1:72" x14ac:dyDescent="0.2">
      <c r="A413">
        <f t="shared" si="685"/>
        <v>1</v>
      </c>
      <c r="E413" s="4"/>
      <c r="F413" s="45"/>
      <c r="G413" s="4" t="s">
        <v>754</v>
      </c>
      <c r="H413" s="47" t="s">
        <v>733</v>
      </c>
      <c r="I413" s="26">
        <v>19</v>
      </c>
      <c r="J413" s="26" t="s">
        <v>736</v>
      </c>
      <c r="K413" t="s">
        <v>238</v>
      </c>
      <c r="L413" t="s">
        <v>184</v>
      </c>
      <c r="M413" t="s">
        <v>88</v>
      </c>
      <c r="N413" t="str">
        <f t="shared" si="729"/>
        <v>s</v>
      </c>
      <c r="Q413" t="str">
        <f t="shared" si="723"/>
        <v/>
      </c>
      <c r="S413">
        <f>IF(A413=1,MAX($S$2:$S412)+1,IF(OR($I413&lt;&gt;"",A413="x"),$S412,""))</f>
        <v>208</v>
      </c>
      <c r="T413" t="str">
        <f>IF(D413=1,MAX($T$2:$T412)+1,IF(S413=S412,$T412,IF(D413="x",T412,IF(D412="x","",""))))</f>
        <v/>
      </c>
      <c r="U413" t="str">
        <f>IF(B413=1,MAX($U$2:$U412)+1,IF(AND($T413&lt;&gt;"",$T413=$T412),$U412,IF(B413="x",U412,"")))</f>
        <v/>
      </c>
      <c r="V413" t="str">
        <f>IF(C413=1,MAX($V$2:$V412)+1,IF(AND($T413&lt;&gt;"",$T413=$T412),$U412,IF(C413="x",V412,"")))</f>
        <v/>
      </c>
      <c r="W413" t="str" cm="1">
        <f t="array" ref="W413">IFERROR(_xlfn._xlws.FILTER(game_rosters!AC:AC,(game_rosters!J:J=events!X413)*(K413&lt;&gt;"")),"")</f>
        <v>h</v>
      </c>
      <c r="X413" cm="1">
        <f t="array" ref="X413">IF($I413&lt;&gt;"",$I413,INDEX($I$1:$I413,ROW()-COUNTIFS($T$1:$T413,"="&amp;$T413,$S$1:$S413,"&lt;"&amp;$S413)))</f>
        <v>19</v>
      </c>
      <c r="Y413" cm="1">
        <f t="array" ref="Y413">IFERROR(IF(_xlfn._xlws.FILTER(game_rosters!$J:$J,(game_rosters!$G:$G=events!$AM413)*(game_rosters!$J:$J=events!$X413))&gt;0,1,""),"")</f>
        <v>1</v>
      </c>
      <c r="Z413" s="6">
        <f t="shared" si="686"/>
        <v>1</v>
      </c>
      <c r="AA413">
        <f t="shared" si="687"/>
        <v>1208</v>
      </c>
      <c r="AB413" t="str">
        <f t="shared" si="688"/>
        <v/>
      </c>
      <c r="AC413">
        <f t="shared" si="689"/>
        <v>1208</v>
      </c>
      <c r="AD413" t="str">
        <f t="shared" si="690"/>
        <v>11</v>
      </c>
      <c r="AE413" t="str">
        <f t="shared" si="691"/>
        <v>57</v>
      </c>
      <c r="AF413" t="str">
        <f t="shared" si="692"/>
        <v>11</v>
      </c>
      <c r="AG413" t="str">
        <f t="shared" si="693"/>
        <v>56</v>
      </c>
      <c r="AH413" t="str">
        <f t="shared" si="736"/>
        <v>e</v>
      </c>
      <c r="AI413" t="str">
        <f t="shared" si="737"/>
        <v>d</v>
      </c>
      <c r="AJ413" t="str">
        <f t="shared" si="737"/>
        <v>d</v>
      </c>
      <c r="AK413" t="str">
        <f t="shared" si="738"/>
        <v>d</v>
      </c>
      <c r="AL413" t="str">
        <f t="shared" si="739"/>
        <v>o</v>
      </c>
      <c r="AM413" t="str">
        <f t="shared" si="694"/>
        <v>Home</v>
      </c>
      <c r="AN413" t="str">
        <f t="shared" si="740"/>
        <v>h</v>
      </c>
      <c r="AO413" t="str">
        <f t="shared" si="741"/>
        <v>d</v>
      </c>
      <c r="AP413" t="str">
        <f t="shared" si="742"/>
        <v>o</v>
      </c>
      <c r="AQ413" t="str">
        <f>IF(AM413&lt;&gt;"",AM413,IF($AC413=#REF!,#REF!,""))</f>
        <v>Home</v>
      </c>
      <c r="AR413" t="str">
        <f t="shared" si="743"/>
        <v>h</v>
      </c>
      <c r="AS413" t="str">
        <f t="shared" si="744"/>
        <v>Offensive</v>
      </c>
      <c r="AT413" t="str">
        <f t="shared" si="695"/>
        <v/>
      </c>
      <c r="AU413" t="str">
        <f t="shared" si="696"/>
        <v/>
      </c>
      <c r="AV413" t="str" cm="1">
        <f t="array" ref="AV413">IFERROR(IF(O413&lt;&gt;"",O413,IF(OR($S413="",$T413=""),"",IF(O413&lt;&gt;"",O413,IF($T413&lt;&gt;"",_xlfn._xlws.FILTER(O:O,($BT:$BT=$BT413)*($I:$I=$I413)*($T:$T=$T413)*($S:$S=_xlfn.MINIFS($S:$S,$T:$T,"="&amp;$T413)),"")))))&amp;"",IF(O413="","",""))&amp;""</f>
        <v/>
      </c>
      <c r="AW413" t="str" cm="1">
        <f t="array" ref="AW413">IFERROR(IF(P413&lt;&gt;"",P413,IF(OR($S413="",$T413=""),"",IF($T413&lt;&gt;"",_xlfn._xlws.FILTER(P:P,($BT:$BT=$BT413)*($I:$I=$I413)*($T:$T=$T413)*($S:$S=_xlfn.MINIFS($S:$S,$T:$T,"="&amp;$T413)),""))))&amp;"",IF(P413="","",""))&amp;""</f>
        <v/>
      </c>
      <c r="AX413" t="str" cm="1">
        <f t="array" ref="AX413">IFERROR(IF(Q413&lt;&gt;"",Q413,IF(OR($S413="",$T413=""),"",IF($T413&lt;&gt;"",_xlfn._xlws.FILTER(Q:Q,($BT:$BT=$BT413)*($I:$I=$I413)*($T:$T=$T413)*($S:$S=_xlfn.MINIFS($S:$S,$T:$T,"="&amp;$T413)),""))))&amp;"",IF(Q413="","",""))&amp;""</f>
        <v/>
      </c>
      <c r="AY413" t="str" cm="1">
        <f t="array" ref="AY413">IFERROR(IF(R413&lt;&gt;"",R413,IF(OR($S413="",$T413=""),"",IF($T413&lt;&gt;"",_xlfn._xlws.FILTER(R:R,($BT:$BT=$BT413)*($I:$I=$I413)*($T:$T=$T413)*($S:$S=_xlfn.MINIFS($S:$S,$T:$T,"="&amp;$T413)),""))))&amp;"",IF(R413="","",""))&amp;""</f>
        <v/>
      </c>
      <c r="AZ413" s="6">
        <f t="shared" si="697"/>
        <v>36</v>
      </c>
      <c r="BA413">
        <f t="shared" ref="BA413:BC413" si="747">BA412</f>
        <v>18991</v>
      </c>
      <c r="BB413" t="str">
        <f t="shared" si="747"/>
        <v>Triple J</v>
      </c>
      <c r="BC413" t="str">
        <f t="shared" si="747"/>
        <v>Velodrome</v>
      </c>
      <c r="BD413" t="str">
        <f t="shared" si="699"/>
        <v>Zone_Entry_Exit</v>
      </c>
      <c r="BE413" t="str">
        <f t="shared" si="700"/>
        <v>Zone_Exit</v>
      </c>
      <c r="BF413" t="str">
        <f t="shared" si="701"/>
        <v>ZoneExit-Rush</v>
      </c>
      <c r="BG413" t="str">
        <f t="shared" si="683"/>
        <v>s</v>
      </c>
      <c r="BH413" cm="1">
        <f t="array" aca="1" ref="BH413" ca="1">IFERROR(_xlfn._xlws.FILTER(shifts!A:A,(shifts!B:B=events!Z413)*(shifts!AG:AG&gt;=events!BJ413)*(shifts!AH:AH&lt;=events!BK413)),BH412)</f>
        <v>13</v>
      </c>
      <c r="BI413" s="15">
        <f t="shared" si="702"/>
        <v>1</v>
      </c>
      <c r="BJ413">
        <f t="shared" si="703"/>
        <v>717</v>
      </c>
      <c r="BK413">
        <f t="shared" si="704"/>
        <v>716</v>
      </c>
      <c r="BL413" s="15">
        <f>SUMIFS(BI$2:BI413,K$2:K413,"=Intermission")+SUMIFS(BI$2:BI413,K$2:K413,"=Timeout")</f>
        <v>0</v>
      </c>
      <c r="BM413">
        <f t="shared" si="705"/>
        <v>0</v>
      </c>
      <c r="BN413" s="19">
        <f t="shared" si="706"/>
        <v>363</v>
      </c>
      <c r="BO413">
        <f t="shared" si="707"/>
        <v>358</v>
      </c>
      <c r="BP413" s="17">
        <f t="shared" si="708"/>
        <v>364</v>
      </c>
      <c r="BQ413" t="str">
        <f t="shared" si="709"/>
        <v>event_team_player_1</v>
      </c>
      <c r="BR413">
        <f>COUNTIFS(S$3:S413,"="&amp;S413,AH$3:AH413,"="&amp;AH413)</f>
        <v>1</v>
      </c>
      <c r="BS413" t="str">
        <f>IFERROR(VLOOKUP(BA413&amp;BT413&amp;X413,game_rosters!U:W,3,FALSE),"")</f>
        <v>P100089</v>
      </c>
      <c r="BT413" t="str">
        <f t="shared" si="710"/>
        <v>Triple J</v>
      </c>
    </row>
    <row r="414" spans="1:72" x14ac:dyDescent="0.2">
      <c r="A414">
        <f t="shared" si="685"/>
        <v>1</v>
      </c>
      <c r="E414" s="4"/>
      <c r="F414" s="45"/>
      <c r="G414" s="4"/>
      <c r="H414" s="47" t="s">
        <v>1044</v>
      </c>
      <c r="I414" s="26">
        <v>19</v>
      </c>
      <c r="J414" s="26" t="s">
        <v>734</v>
      </c>
      <c r="K414" t="s">
        <v>13</v>
      </c>
      <c r="N414" t="str">
        <f t="shared" si="729"/>
        <v/>
      </c>
      <c r="Q414" t="str">
        <f t="shared" si="723"/>
        <v/>
      </c>
      <c r="R414" s="26">
        <v>1</v>
      </c>
      <c r="S414">
        <f>IF(A414=1,MAX($S$2:$S413)+1,IF(OR($I414&lt;&gt;"",A414="x"),$S413,""))</f>
        <v>209</v>
      </c>
      <c r="T414" t="str">
        <f>IF(D414=1,MAX($T$2:$T413)+1,IF(S414=S413,$T413,IF(D414="x",T413,IF(D413="x","",""))))</f>
        <v/>
      </c>
      <c r="U414" t="str">
        <f>IF(B414=1,MAX($U$2:$U413)+1,IF(AND($T414&lt;&gt;"",$T414=$T413),$U413,IF(B414="x",U413,"")))</f>
        <v/>
      </c>
      <c r="V414" t="str">
        <f>IF(C414=1,MAX($V$2:$V413)+1,IF(AND($T414&lt;&gt;"",$T414=$T413),$U413,IF(C414="x",V413,"")))</f>
        <v/>
      </c>
      <c r="W414" t="str" cm="1">
        <f t="array" ref="W414">IFERROR(_xlfn._xlws.FILTER(game_rosters!AC:AC,(game_rosters!J:J=events!X414)*(K414&lt;&gt;"")),"")</f>
        <v>h</v>
      </c>
      <c r="X414" cm="1">
        <f t="array" ref="X414">IF($I414&lt;&gt;"",$I414,INDEX($I$1:$I414,ROW()-COUNTIFS($T$1:$T414,"="&amp;$T414,$S$1:$S414,"&lt;"&amp;$S414)))</f>
        <v>19</v>
      </c>
      <c r="Y414" cm="1">
        <f t="array" ref="Y414">IFERROR(IF(_xlfn._xlws.FILTER(game_rosters!$J:$J,(game_rosters!$G:$G=events!$AM414)*(game_rosters!$J:$J=events!$X414))&gt;0,1,""),"")</f>
        <v>1</v>
      </c>
      <c r="Z414" s="6">
        <f t="shared" si="686"/>
        <v>1</v>
      </c>
      <c r="AA414">
        <f t="shared" si="687"/>
        <v>1209</v>
      </c>
      <c r="AB414" t="str">
        <f t="shared" si="688"/>
        <v/>
      </c>
      <c r="AC414">
        <f t="shared" si="689"/>
        <v>1209</v>
      </c>
      <c r="AD414" t="str">
        <f t="shared" si="690"/>
        <v>11</v>
      </c>
      <c r="AE414" t="str">
        <f t="shared" si="691"/>
        <v>56</v>
      </c>
      <c r="AF414" t="str">
        <f t="shared" si="692"/>
        <v>11</v>
      </c>
      <c r="AG414" t="str">
        <f t="shared" si="693"/>
        <v>52</v>
      </c>
      <c r="AH414" t="str">
        <f t="shared" si="736"/>
        <v>e</v>
      </c>
      <c r="AI414" t="str">
        <f t="shared" si="737"/>
        <v>n</v>
      </c>
      <c r="AJ414" t="str">
        <f t="shared" si="737"/>
        <v>n</v>
      </c>
      <c r="AK414" t="str">
        <f t="shared" si="738"/>
        <v>n</v>
      </c>
      <c r="AL414" t="str">
        <f t="shared" si="739"/>
        <v>n</v>
      </c>
      <c r="AM414" t="str">
        <f t="shared" si="694"/>
        <v>Home</v>
      </c>
      <c r="AN414" t="str">
        <f t="shared" si="740"/>
        <v>h</v>
      </c>
      <c r="AO414" t="str">
        <f t="shared" si="741"/>
        <v>n</v>
      </c>
      <c r="AP414" t="str">
        <f t="shared" si="742"/>
        <v>n</v>
      </c>
      <c r="AQ414" t="str">
        <f>IF(AM414&lt;&gt;"",AM414,IF($AC414=#REF!,#REF!,""))</f>
        <v>Home</v>
      </c>
      <c r="AR414" t="str">
        <f t="shared" si="743"/>
        <v>h</v>
      </c>
      <c r="AS414" t="str">
        <f t="shared" si="744"/>
        <v>Offensive</v>
      </c>
      <c r="AT414" t="str">
        <f t="shared" si="695"/>
        <v/>
      </c>
      <c r="AU414" t="str">
        <f t="shared" si="696"/>
        <v/>
      </c>
      <c r="AV414" t="str" cm="1">
        <f t="array" ref="AV414">IFERROR(IF(O414&lt;&gt;"",O414,IF(OR($S414="",$T414=""),"",IF(O414&lt;&gt;"",O414,IF($T414&lt;&gt;"",_xlfn._xlws.FILTER(O:O,($BT:$BT=$BT414)*($I:$I=$I414)*($T:$T=$T414)*($S:$S=_xlfn.MINIFS($S:$S,$T:$T,"="&amp;$T414)),"")))))&amp;"",IF(O414="","",""))&amp;""</f>
        <v/>
      </c>
      <c r="AW414" t="str" cm="1">
        <f t="array" ref="AW414">IFERROR(IF(P414&lt;&gt;"",P414,IF(OR($S414="",$T414=""),"",IF($T414&lt;&gt;"",_xlfn._xlws.FILTER(P:P,($BT:$BT=$BT414)*($I:$I=$I414)*($T:$T=$T414)*($S:$S=_xlfn.MINIFS($S:$S,$T:$T,"="&amp;$T414)),""))))&amp;"",IF(P414="","",""))&amp;""</f>
        <v/>
      </c>
      <c r="AX414" t="str" cm="1">
        <f t="array" ref="AX414">IFERROR(IF(Q414&lt;&gt;"",Q414,IF(OR($S414="",$T414=""),"",IF($T414&lt;&gt;"",_xlfn._xlws.FILTER(Q:Q,($BT:$BT=$BT414)*($I:$I=$I414)*($T:$T=$T414)*($S:$S=_xlfn.MINIFS($S:$S,$T:$T,"="&amp;$T414)),""))))&amp;"",IF(Q414="","",""))&amp;""</f>
        <v/>
      </c>
      <c r="AY414" t="str" cm="1">
        <f t="array" ref="AY414">IFERROR(IF(R414&lt;&gt;"",R414,IF(OR($S414="",$T414=""),"",IF($T414&lt;&gt;"",_xlfn._xlws.FILTER(R:R,($BT:$BT=$BT414)*($I:$I=$I414)*($T:$T=$T414)*($S:$S=_xlfn.MINIFS($S:$S,$T:$T,"="&amp;$T414)),""))))&amp;"",IF(R414="","",""))&amp;""</f>
        <v>1</v>
      </c>
      <c r="AZ414" s="6">
        <f t="shared" si="697"/>
        <v>36</v>
      </c>
      <c r="BA414">
        <f t="shared" ref="BA414:BC414" si="748">BA413</f>
        <v>18991</v>
      </c>
      <c r="BB414" t="str">
        <f t="shared" si="748"/>
        <v>Triple J</v>
      </c>
      <c r="BC414" t="str">
        <f t="shared" si="748"/>
        <v>Velodrome</v>
      </c>
      <c r="BD414" t="str">
        <f t="shared" si="699"/>
        <v>Possession</v>
      </c>
      <c r="BE414" t="str">
        <f t="shared" si="700"/>
        <v/>
      </c>
      <c r="BF414" t="str">
        <f t="shared" si="701"/>
        <v/>
      </c>
      <c r="BG414" t="str">
        <f t="shared" si="683"/>
        <v/>
      </c>
      <c r="BH414" cm="1">
        <f t="array" aca="1" ref="BH414" ca="1">IFERROR(_xlfn._xlws.FILTER(shifts!A:A,(shifts!B:B=events!Z414)*(shifts!AG:AG&gt;=events!BJ414)*(shifts!AH:AH&lt;=events!BK414)),BH413)</f>
        <v>13</v>
      </c>
      <c r="BI414" s="15">
        <f t="shared" si="702"/>
        <v>4</v>
      </c>
      <c r="BJ414">
        <f t="shared" si="703"/>
        <v>716</v>
      </c>
      <c r="BK414">
        <f t="shared" si="704"/>
        <v>712</v>
      </c>
      <c r="BL414" s="15">
        <f>SUMIFS(BI$2:BI414,K$2:K414,"=Intermission")+SUMIFS(BI$2:BI414,K$2:K414,"=Timeout")</f>
        <v>0</v>
      </c>
      <c r="BM414">
        <f t="shared" si="705"/>
        <v>0</v>
      </c>
      <c r="BN414" s="19">
        <f t="shared" si="706"/>
        <v>364</v>
      </c>
      <c r="BO414">
        <f t="shared" si="707"/>
        <v>359</v>
      </c>
      <c r="BP414" s="17">
        <f t="shared" si="708"/>
        <v>368</v>
      </c>
      <c r="BQ414" t="str">
        <f t="shared" si="709"/>
        <v>event_team_player_1</v>
      </c>
      <c r="BR414">
        <f>COUNTIFS(S$3:S414,"="&amp;S414,AH$3:AH414,"="&amp;AH414)</f>
        <v>1</v>
      </c>
      <c r="BS414" t="str">
        <f>IFERROR(VLOOKUP(BA414&amp;BT414&amp;X414,game_rosters!U:W,3,FALSE),"")</f>
        <v>P100089</v>
      </c>
      <c r="BT414" t="str">
        <f t="shared" si="710"/>
        <v>Triple J</v>
      </c>
    </row>
    <row r="415" spans="1:72" x14ac:dyDescent="0.2">
      <c r="A415" t="str">
        <f t="shared" si="685"/>
        <v/>
      </c>
      <c r="E415" s="4"/>
      <c r="F415" s="45"/>
      <c r="G415" s="4"/>
      <c r="H415" s="47"/>
      <c r="I415" s="26">
        <v>14</v>
      </c>
      <c r="J415" s="26" t="str">
        <f t="shared" si="711"/>
        <v/>
      </c>
      <c r="N415" t="str">
        <f t="shared" si="729"/>
        <v/>
      </c>
      <c r="Q415" t="str">
        <f t="shared" si="723"/>
        <v/>
      </c>
      <c r="R415" s="26">
        <v>1</v>
      </c>
      <c r="S415">
        <f>IF(A415=1,MAX($S$2:$S414)+1,IF(OR($I415&lt;&gt;"",A415="x"),$S414,""))</f>
        <v>209</v>
      </c>
      <c r="T415" t="str">
        <f>IF(D415=1,MAX($T$2:$T414)+1,IF(S415=S414,$T414,IF(D415="x",T414,IF(D414="x","",""))))</f>
        <v/>
      </c>
      <c r="U415" t="str">
        <f>IF(B415=1,MAX($U$2:$U414)+1,IF(AND($T415&lt;&gt;"",$T415=$T414),$U414,IF(B415="x",U414,"")))</f>
        <v/>
      </c>
      <c r="V415" t="str">
        <f>IF(C415=1,MAX($V$2:$V414)+1,IF(AND($T415&lt;&gt;"",$T415=$T414),$U414,IF(C415="x",V414,"")))</f>
        <v/>
      </c>
      <c r="W415" t="str" cm="1">
        <f t="array" ref="W415">IFERROR(_xlfn._xlws.FILTER(game_rosters!AC:AC,(game_rosters!J:J=events!X415)*(K415&lt;&gt;"")),"")</f>
        <v/>
      </c>
      <c r="X415" cm="1">
        <f t="array" ref="X415">IF($I415&lt;&gt;"",$I415,INDEX($I$1:$I415,ROW()-COUNTIFS($T$1:$T415,"="&amp;$T415,$S$1:$S415,"&lt;"&amp;$S415)))</f>
        <v>14</v>
      </c>
      <c r="Y415" t="str" cm="1">
        <f t="array" ref="Y415">IFERROR(IF(_xlfn._xlws.FILTER(game_rosters!$J:$J,(game_rosters!$G:$G=events!$AM415)*(game_rosters!$J:$J=events!$X415))&gt;0,1,""),"")</f>
        <v/>
      </c>
      <c r="Z415" s="6">
        <f t="shared" si="686"/>
        <v>1</v>
      </c>
      <c r="AA415">
        <f t="shared" si="687"/>
        <v>1209</v>
      </c>
      <c r="AB415" t="str">
        <f t="shared" si="688"/>
        <v/>
      </c>
      <c r="AC415">
        <f t="shared" si="689"/>
        <v>1209</v>
      </c>
      <c r="AD415" t="str">
        <f t="shared" si="690"/>
        <v>11</v>
      </c>
      <c r="AE415" t="str">
        <f t="shared" si="691"/>
        <v>56</v>
      </c>
      <c r="AF415" t="str">
        <f t="shared" si="692"/>
        <v>11</v>
      </c>
      <c r="AG415" t="str">
        <f t="shared" si="693"/>
        <v>52</v>
      </c>
      <c r="AH415" t="str">
        <f t="shared" si="736"/>
        <v>o</v>
      </c>
      <c r="AI415" t="str">
        <f t="shared" si="737"/>
        <v>n</v>
      </c>
      <c r="AJ415" t="str">
        <f t="shared" si="737"/>
        <v>n</v>
      </c>
      <c r="AK415" t="str">
        <f t="shared" si="738"/>
        <v/>
      </c>
      <c r="AL415" t="str">
        <f t="shared" si="739"/>
        <v/>
      </c>
      <c r="AM415" t="str">
        <f t="shared" si="694"/>
        <v>Home</v>
      </c>
      <c r="AN415" t="str">
        <f t="shared" si="740"/>
        <v>h</v>
      </c>
      <c r="AO415" t="str">
        <f t="shared" si="741"/>
        <v>n</v>
      </c>
      <c r="AP415" t="str">
        <f t="shared" si="742"/>
        <v>n</v>
      </c>
      <c r="AQ415" t="str">
        <f>IF(AM415&lt;&gt;"",AM415,IF($AC415=#REF!,#REF!,""))</f>
        <v>Home</v>
      </c>
      <c r="AR415" t="str">
        <f t="shared" si="743"/>
        <v>h</v>
      </c>
      <c r="AS415" t="str">
        <f t="shared" si="744"/>
        <v>Defensive</v>
      </c>
      <c r="AT415" t="str">
        <f t="shared" si="695"/>
        <v/>
      </c>
      <c r="AU415" t="str">
        <f t="shared" si="696"/>
        <v/>
      </c>
      <c r="AV415" t="str" cm="1">
        <f t="array" ref="AV415">IFERROR(IF(O415&lt;&gt;"",O415,IF(OR($S415="",$T415=""),"",IF(O415&lt;&gt;"",O415,IF($T415&lt;&gt;"",_xlfn._xlws.FILTER(O:O,($BT:$BT=$BT415)*($I:$I=$I415)*($T:$T=$T415)*($S:$S=_xlfn.MINIFS($S:$S,$T:$T,"="&amp;$T415)),"")))))&amp;"",IF(O415="","",""))&amp;""</f>
        <v/>
      </c>
      <c r="AW415" t="str" cm="1">
        <f t="array" ref="AW415">IFERROR(IF(P415&lt;&gt;"",P415,IF(OR($S415="",$T415=""),"",IF($T415&lt;&gt;"",_xlfn._xlws.FILTER(P:P,($BT:$BT=$BT415)*($I:$I=$I415)*($T:$T=$T415)*($S:$S=_xlfn.MINIFS($S:$S,$T:$T,"="&amp;$T415)),""))))&amp;"",IF(P415="","",""))&amp;""</f>
        <v/>
      </c>
      <c r="AX415" t="str" cm="1">
        <f t="array" ref="AX415">IFERROR(IF(Q415&lt;&gt;"",Q415,IF(OR($S415="",$T415=""),"",IF($T415&lt;&gt;"",_xlfn._xlws.FILTER(Q:Q,($BT:$BT=$BT415)*($I:$I=$I415)*($T:$T=$T415)*($S:$S=_xlfn.MINIFS($S:$S,$T:$T,"="&amp;$T415)),""))))&amp;"",IF(Q415="","",""))&amp;""</f>
        <v/>
      </c>
      <c r="AY415" t="str" cm="1">
        <f t="array" ref="AY415">IFERROR(IF(R415&lt;&gt;"",R415,IF(OR($S415="",$T415=""),"",IF($T415&lt;&gt;"",_xlfn._xlws.FILTER(R:R,($BT:$BT=$BT415)*($I:$I=$I415)*($T:$T=$T415)*($S:$S=_xlfn.MINIFS($S:$S,$T:$T,"="&amp;$T415)),""))))&amp;"",IF(R415="","",""))&amp;""</f>
        <v>1</v>
      </c>
      <c r="AZ415" s="6">
        <f t="shared" si="697"/>
        <v>36</v>
      </c>
      <c r="BA415">
        <f t="shared" ref="BA415:BC415" si="749">BA414</f>
        <v>18991</v>
      </c>
      <c r="BB415" t="str">
        <f t="shared" si="749"/>
        <v>Triple J</v>
      </c>
      <c r="BC415" t="str">
        <f t="shared" si="749"/>
        <v>Velodrome</v>
      </c>
      <c r="BD415" t="str">
        <f t="shared" si="699"/>
        <v>Possession</v>
      </c>
      <c r="BE415" t="str">
        <f t="shared" si="700"/>
        <v/>
      </c>
      <c r="BF415" t="str">
        <f t="shared" si="701"/>
        <v/>
      </c>
      <c r="BG415" t="str">
        <f t="shared" si="683"/>
        <v/>
      </c>
      <c r="BH415" cm="1">
        <f t="array" aca="1" ref="BH415" ca="1">IFERROR(_xlfn._xlws.FILTER(shifts!A:A,(shifts!B:B=events!Z415)*(shifts!AG:AG&gt;=events!BJ415)*(shifts!AH:AH&lt;=events!BK415)),BH414)</f>
        <v>13</v>
      </c>
      <c r="BI415" s="15">
        <f t="shared" si="702"/>
        <v>4</v>
      </c>
      <c r="BJ415">
        <f t="shared" si="703"/>
        <v>716</v>
      </c>
      <c r="BK415">
        <f t="shared" si="704"/>
        <v>712</v>
      </c>
      <c r="BL415" s="15">
        <f>SUMIFS(BI$2:BI415,K$2:K415,"=Intermission")+SUMIFS(BI$2:BI415,K$2:K415,"=Timeout")</f>
        <v>0</v>
      </c>
      <c r="BM415">
        <f t="shared" si="705"/>
        <v>0</v>
      </c>
      <c r="BN415" s="19">
        <f t="shared" si="706"/>
        <v>364</v>
      </c>
      <c r="BO415">
        <f t="shared" si="707"/>
        <v>359</v>
      </c>
      <c r="BP415" s="17">
        <f t="shared" si="708"/>
        <v>368</v>
      </c>
      <c r="BQ415" t="str">
        <f t="shared" si="709"/>
        <v>opp_team_player_1</v>
      </c>
      <c r="BR415">
        <f>COUNTIFS(S$3:S415,"="&amp;S415,AH$3:AH415,"="&amp;AH415)</f>
        <v>1</v>
      </c>
      <c r="BS415" t="str">
        <f>IFERROR(VLOOKUP(BA415&amp;BT415&amp;X415,game_rosters!U:W,3,FALSE),"")</f>
        <v>P100132</v>
      </c>
      <c r="BT415" t="str">
        <f t="shared" si="710"/>
        <v>Velodrome</v>
      </c>
    </row>
    <row r="416" spans="1:72" x14ac:dyDescent="0.2">
      <c r="A416">
        <f t="shared" si="685"/>
        <v>1</v>
      </c>
      <c r="E416" s="4"/>
      <c r="F416" s="45"/>
      <c r="G416" s="4"/>
      <c r="H416" s="47" t="s">
        <v>1060</v>
      </c>
      <c r="I416" s="26">
        <v>19</v>
      </c>
      <c r="J416" s="26" t="str">
        <f t="shared" si="711"/>
        <v>o</v>
      </c>
      <c r="K416" t="s">
        <v>238</v>
      </c>
      <c r="L416" t="s">
        <v>174</v>
      </c>
      <c r="M416" t="s">
        <v>85</v>
      </c>
      <c r="N416" t="str">
        <f t="shared" si="729"/>
        <v>s</v>
      </c>
      <c r="Q416" t="str">
        <f t="shared" si="723"/>
        <v/>
      </c>
      <c r="S416">
        <f>IF(A416=1,MAX($S$2:$S415)+1,IF(OR($I416&lt;&gt;"",A416="x"),$S415,""))</f>
        <v>210</v>
      </c>
      <c r="T416" t="str">
        <f>IF(D416=1,MAX($T$2:$T415)+1,IF(S416=S415,$T415,IF(D416="x",T415,IF(D415="x","",""))))</f>
        <v/>
      </c>
      <c r="U416" t="str">
        <f>IF(B416=1,MAX($U$2:$U415)+1,IF(AND($T416&lt;&gt;"",$T416=$T415),$U415,IF(B416="x",U415,"")))</f>
        <v/>
      </c>
      <c r="V416" t="str">
        <f>IF(C416=1,MAX($V$2:$V415)+1,IF(AND($T416&lt;&gt;"",$T416=$T415),$U415,IF(C416="x",V415,"")))</f>
        <v/>
      </c>
      <c r="W416" t="str" cm="1">
        <f t="array" ref="W416">IFERROR(_xlfn._xlws.FILTER(game_rosters!AC:AC,(game_rosters!J:J=events!X416)*(K416&lt;&gt;"")),"")</f>
        <v>h</v>
      </c>
      <c r="X416" cm="1">
        <f t="array" ref="X416">IF($I416&lt;&gt;"",$I416,INDEX($I$1:$I416,ROW()-COUNTIFS($T$1:$T416,"="&amp;$T416,$S$1:$S416,"&lt;"&amp;$S416)))</f>
        <v>19</v>
      </c>
      <c r="Y416" cm="1">
        <f t="array" ref="Y416">IFERROR(IF(_xlfn._xlws.FILTER(game_rosters!$J:$J,(game_rosters!$G:$G=events!$AM416)*(game_rosters!$J:$J=events!$X416))&gt;0,1,""),"")</f>
        <v>1</v>
      </c>
      <c r="Z416" s="6">
        <f t="shared" si="686"/>
        <v>1</v>
      </c>
      <c r="AA416">
        <f t="shared" si="687"/>
        <v>1210</v>
      </c>
      <c r="AB416" t="str">
        <f t="shared" si="688"/>
        <v/>
      </c>
      <c r="AC416">
        <f t="shared" si="689"/>
        <v>1210</v>
      </c>
      <c r="AD416" t="str">
        <f t="shared" si="690"/>
        <v>11</v>
      </c>
      <c r="AE416" t="str">
        <f t="shared" si="691"/>
        <v>52</v>
      </c>
      <c r="AF416" t="str">
        <f t="shared" si="692"/>
        <v>11</v>
      </c>
      <c r="AG416" t="str">
        <f t="shared" si="693"/>
        <v>51</v>
      </c>
      <c r="AH416" t="str">
        <f t="shared" si="736"/>
        <v>e</v>
      </c>
      <c r="AI416" t="str">
        <f t="shared" si="737"/>
        <v>o</v>
      </c>
      <c r="AJ416" t="str">
        <f t="shared" si="737"/>
        <v>o</v>
      </c>
      <c r="AK416" t="str">
        <f t="shared" si="738"/>
        <v>o</v>
      </c>
      <c r="AL416" t="str">
        <f t="shared" si="739"/>
        <v>d</v>
      </c>
      <c r="AM416" t="str">
        <f t="shared" si="694"/>
        <v>Home</v>
      </c>
      <c r="AN416" t="str">
        <f t="shared" si="740"/>
        <v>h</v>
      </c>
      <c r="AO416" t="str">
        <f t="shared" si="741"/>
        <v>o</v>
      </c>
      <c r="AP416" t="str">
        <f t="shared" si="742"/>
        <v>d</v>
      </c>
      <c r="AQ416" t="str">
        <f>IF(AM416&lt;&gt;"",AM416,IF($AC416=#REF!,#REF!,""))</f>
        <v>Home</v>
      </c>
      <c r="AR416" t="str">
        <f t="shared" si="743"/>
        <v>h</v>
      </c>
      <c r="AS416" t="str">
        <f t="shared" si="744"/>
        <v>Offensive</v>
      </c>
      <c r="AT416" t="str">
        <f t="shared" si="695"/>
        <v/>
      </c>
      <c r="AU416" t="str">
        <f t="shared" si="696"/>
        <v/>
      </c>
      <c r="AV416" t="str" cm="1">
        <f t="array" ref="AV416">IFERROR(IF(O416&lt;&gt;"",O416,IF(OR($S416="",$T416=""),"",IF(O416&lt;&gt;"",O416,IF($T416&lt;&gt;"",_xlfn._xlws.FILTER(O:O,($BT:$BT=$BT416)*($I:$I=$I416)*($T:$T=$T416)*($S:$S=_xlfn.MINIFS($S:$S,$T:$T,"="&amp;$T416)),"")))))&amp;"",IF(O416="","",""))&amp;""</f>
        <v/>
      </c>
      <c r="AW416" t="str" cm="1">
        <f t="array" ref="AW416">IFERROR(IF(P416&lt;&gt;"",P416,IF(OR($S416="",$T416=""),"",IF($T416&lt;&gt;"",_xlfn._xlws.FILTER(P:P,($BT:$BT=$BT416)*($I:$I=$I416)*($T:$T=$T416)*($S:$S=_xlfn.MINIFS($S:$S,$T:$T,"="&amp;$T416)),""))))&amp;"",IF(P416="","",""))&amp;""</f>
        <v/>
      </c>
      <c r="AX416" t="str" cm="1">
        <f t="array" ref="AX416">IFERROR(IF(Q416&lt;&gt;"",Q416,IF(OR($S416="",$T416=""),"",IF($T416&lt;&gt;"",_xlfn._xlws.FILTER(Q:Q,($BT:$BT=$BT416)*($I:$I=$I416)*($T:$T=$T416)*($S:$S=_xlfn.MINIFS($S:$S,$T:$T,"="&amp;$T416)),""))))&amp;"",IF(Q416="","",""))&amp;""</f>
        <v/>
      </c>
      <c r="AY416" t="str" cm="1">
        <f t="array" ref="AY416">IFERROR(IF(R416&lt;&gt;"",R416,IF(OR($S416="",$T416=""),"",IF($T416&lt;&gt;"",_xlfn._xlws.FILTER(R:R,($BT:$BT=$BT416)*($I:$I=$I416)*($T:$T=$T416)*($S:$S=_xlfn.MINIFS($S:$S,$T:$T,"="&amp;$T416)),""))))&amp;"",IF(R416="","",""))&amp;""</f>
        <v/>
      </c>
      <c r="AZ416" s="6">
        <f t="shared" si="697"/>
        <v>37</v>
      </c>
      <c r="BA416">
        <f t="shared" ref="BA416:BC416" si="750">BA415</f>
        <v>18991</v>
      </c>
      <c r="BB416" t="str">
        <f t="shared" si="750"/>
        <v>Triple J</v>
      </c>
      <c r="BC416" t="str">
        <f t="shared" si="750"/>
        <v>Velodrome</v>
      </c>
      <c r="BD416" t="str">
        <f t="shared" si="699"/>
        <v>Zone_Entry_Exit</v>
      </c>
      <c r="BE416" t="str">
        <f t="shared" si="700"/>
        <v>Zone_Entry</v>
      </c>
      <c r="BF416" t="str">
        <f t="shared" si="701"/>
        <v>ZoneEntry-Rush</v>
      </c>
      <c r="BG416" t="str">
        <f t="shared" si="683"/>
        <v>s</v>
      </c>
      <c r="BH416" cm="1">
        <f t="array" aca="1" ref="BH416" ca="1">IFERROR(_xlfn._xlws.FILTER(shifts!A:A,(shifts!B:B=events!Z416)*(shifts!AG:AG&gt;=events!BJ416)*(shifts!AH:AH&lt;=events!BK416)),BH415)</f>
        <v>13</v>
      </c>
      <c r="BI416" s="15">
        <f t="shared" si="702"/>
        <v>1</v>
      </c>
      <c r="BJ416">
        <f t="shared" si="703"/>
        <v>712</v>
      </c>
      <c r="BK416">
        <f t="shared" si="704"/>
        <v>711</v>
      </c>
      <c r="BL416" s="15">
        <f>SUMIFS(BI$2:BI416,K$2:K416,"=Intermission")+SUMIFS(BI$2:BI416,K$2:K416,"=Timeout")</f>
        <v>0</v>
      </c>
      <c r="BM416">
        <f t="shared" si="705"/>
        <v>0</v>
      </c>
      <c r="BN416" s="19">
        <f t="shared" si="706"/>
        <v>368</v>
      </c>
      <c r="BO416">
        <f t="shared" si="707"/>
        <v>363</v>
      </c>
      <c r="BP416" s="17">
        <f t="shared" si="708"/>
        <v>369</v>
      </c>
      <c r="BQ416" t="str">
        <f t="shared" si="709"/>
        <v>event_team_player_1</v>
      </c>
      <c r="BR416">
        <f>COUNTIFS(S$3:S416,"="&amp;S416,AH$3:AH416,"="&amp;AH416)</f>
        <v>1</v>
      </c>
      <c r="BS416" t="str">
        <f>IFERROR(VLOOKUP(BA416&amp;BT416&amp;X416,game_rosters!U:W,3,FALSE),"")</f>
        <v>P100089</v>
      </c>
      <c r="BT416" t="str">
        <f t="shared" si="710"/>
        <v>Triple J</v>
      </c>
    </row>
    <row r="417" spans="1:72" x14ac:dyDescent="0.2">
      <c r="A417" t="str">
        <f t="shared" si="685"/>
        <v/>
      </c>
      <c r="E417" s="4"/>
      <c r="F417" s="45"/>
      <c r="G417" s="4"/>
      <c r="H417" s="47"/>
      <c r="I417" s="26">
        <v>73</v>
      </c>
      <c r="J417" s="26" t="str">
        <f t="shared" si="711"/>
        <v/>
      </c>
      <c r="N417" t="str">
        <f t="shared" si="729"/>
        <v/>
      </c>
      <c r="Q417" t="str">
        <f t="shared" si="723"/>
        <v/>
      </c>
      <c r="S417">
        <f>IF(A417=1,MAX($S$2:$S416)+1,IF(OR($I417&lt;&gt;"",A417="x"),$S416,""))</f>
        <v>210</v>
      </c>
      <c r="T417" t="str">
        <f>IF(D417=1,MAX($T$2:$T416)+1,IF(S417=S416,$T416,IF(D417="x",T416,IF(D416="x","",""))))</f>
        <v/>
      </c>
      <c r="U417" t="str">
        <f>IF(B417=1,MAX($U$2:$U416)+1,IF(AND($T417&lt;&gt;"",$T417=$T416),$U416,IF(B417="x",U416,"")))</f>
        <v/>
      </c>
      <c r="V417" t="str">
        <f>IF(C417=1,MAX($V$2:$V416)+1,IF(AND($T417&lt;&gt;"",$T417=$T416),$U416,IF(C417="x",V416,"")))</f>
        <v/>
      </c>
      <c r="W417" t="str" cm="1">
        <f t="array" ref="W417">IFERROR(_xlfn._xlws.FILTER(game_rosters!AC:AC,(game_rosters!J:J=events!X417)*(K417&lt;&gt;"")),"")</f>
        <v/>
      </c>
      <c r="X417" cm="1">
        <f t="array" ref="X417">IF($I417&lt;&gt;"",$I417,INDEX($I$1:$I417,ROW()-COUNTIFS($T$1:$T417,"="&amp;$T417,$S$1:$S417,"&lt;"&amp;$S417)))</f>
        <v>73</v>
      </c>
      <c r="Y417" cm="1">
        <f t="array" ref="Y417">IFERROR(IF(_xlfn._xlws.FILTER(game_rosters!$J:$J,(game_rosters!$G:$G=events!$AM417)*(game_rosters!$J:$J=events!$X417))&gt;0,1,""),"")</f>
        <v>1</v>
      </c>
      <c r="Z417" s="6">
        <f t="shared" si="686"/>
        <v>1</v>
      </c>
      <c r="AA417">
        <f t="shared" si="687"/>
        <v>1210</v>
      </c>
      <c r="AB417" t="str">
        <f t="shared" si="688"/>
        <v/>
      </c>
      <c r="AC417">
        <f t="shared" si="689"/>
        <v>1210</v>
      </c>
      <c r="AD417" t="str">
        <f t="shared" si="690"/>
        <v>11</v>
      </c>
      <c r="AE417" t="str">
        <f t="shared" si="691"/>
        <v>52</v>
      </c>
      <c r="AF417" t="str">
        <f t="shared" si="692"/>
        <v>11</v>
      </c>
      <c r="AG417" t="str">
        <f t="shared" si="693"/>
        <v>51</v>
      </c>
      <c r="AH417" t="str">
        <f t="shared" si="736"/>
        <v>e</v>
      </c>
      <c r="AI417" t="str">
        <f t="shared" si="737"/>
        <v>o</v>
      </c>
      <c r="AJ417" t="str">
        <f t="shared" si="737"/>
        <v>o</v>
      </c>
      <c r="AK417" t="str">
        <f t="shared" si="738"/>
        <v/>
      </c>
      <c r="AL417" t="str">
        <f t="shared" si="739"/>
        <v/>
      </c>
      <c r="AM417" t="str">
        <f t="shared" si="694"/>
        <v>Home</v>
      </c>
      <c r="AN417" t="str">
        <f t="shared" si="740"/>
        <v>h</v>
      </c>
      <c r="AO417" t="str">
        <f t="shared" si="741"/>
        <v>o</v>
      </c>
      <c r="AP417" t="str">
        <f t="shared" si="742"/>
        <v>d</v>
      </c>
      <c r="AQ417" t="str">
        <f>IF(AM417&lt;&gt;"",AM417,IF($AC417=#REF!,#REF!,""))</f>
        <v>Home</v>
      </c>
      <c r="AR417" t="str">
        <f t="shared" si="743"/>
        <v>h</v>
      </c>
      <c r="AS417" t="str">
        <f t="shared" si="744"/>
        <v>Offensive</v>
      </c>
      <c r="AT417" t="str">
        <f t="shared" si="695"/>
        <v/>
      </c>
      <c r="AU417" t="str">
        <f t="shared" si="696"/>
        <v/>
      </c>
      <c r="AV417" t="str" cm="1">
        <f t="array" ref="AV417">IFERROR(IF(O417&lt;&gt;"",O417,IF(OR($S417="",$T417=""),"",IF(O417&lt;&gt;"",O417,IF($T417&lt;&gt;"",_xlfn._xlws.FILTER(O:O,($BT:$BT=$BT417)*($I:$I=$I417)*($T:$T=$T417)*($S:$S=_xlfn.MINIFS($S:$S,$T:$T,"="&amp;$T417)),"")))))&amp;"",IF(O417="","",""))&amp;""</f>
        <v/>
      </c>
      <c r="AW417" t="str" cm="1">
        <f t="array" ref="AW417">IFERROR(IF(P417&lt;&gt;"",P417,IF(OR($S417="",$T417=""),"",IF($T417&lt;&gt;"",_xlfn._xlws.FILTER(P:P,($BT:$BT=$BT417)*($I:$I=$I417)*($T:$T=$T417)*($S:$S=_xlfn.MINIFS($S:$S,$T:$T,"="&amp;$T417)),""))))&amp;"",IF(P417="","",""))&amp;""</f>
        <v/>
      </c>
      <c r="AX417" t="str" cm="1">
        <f t="array" ref="AX417">IFERROR(IF(Q417&lt;&gt;"",Q417,IF(OR($S417="",$T417=""),"",IF($T417&lt;&gt;"",_xlfn._xlws.FILTER(Q:Q,($BT:$BT=$BT417)*($I:$I=$I417)*($T:$T=$T417)*($S:$S=_xlfn.MINIFS($S:$S,$T:$T,"="&amp;$T417)),""))))&amp;"",IF(Q417="","",""))&amp;""</f>
        <v/>
      </c>
      <c r="AY417" t="str" cm="1">
        <f t="array" ref="AY417">IFERROR(IF(R417&lt;&gt;"",R417,IF(OR($S417="",$T417=""),"",IF($T417&lt;&gt;"",_xlfn._xlws.FILTER(R:R,($BT:$BT=$BT417)*($I:$I=$I417)*($T:$T=$T417)*($S:$S=_xlfn.MINIFS($S:$S,$T:$T,"="&amp;$T417)),""))))&amp;"",IF(R417="","",""))&amp;""</f>
        <v/>
      </c>
      <c r="AZ417" s="6">
        <f t="shared" si="697"/>
        <v>37</v>
      </c>
      <c r="BA417">
        <f t="shared" ref="BA417:BC417" si="751">BA416</f>
        <v>18991</v>
      </c>
      <c r="BB417" t="str">
        <f t="shared" si="751"/>
        <v>Triple J</v>
      </c>
      <c r="BC417" t="str">
        <f t="shared" si="751"/>
        <v>Velodrome</v>
      </c>
      <c r="BD417" t="str">
        <f t="shared" si="699"/>
        <v>Zone_Entry_Exit</v>
      </c>
      <c r="BE417" t="str">
        <f t="shared" si="700"/>
        <v>Zone_Entry</v>
      </c>
      <c r="BF417" t="str">
        <f t="shared" si="701"/>
        <v>ZoneEntry-Rush</v>
      </c>
      <c r="BG417" t="str">
        <f t="shared" si="683"/>
        <v>s</v>
      </c>
      <c r="BH417" cm="1">
        <f t="array" aca="1" ref="BH417" ca="1">IFERROR(_xlfn._xlws.FILTER(shifts!A:A,(shifts!B:B=events!Z417)*(shifts!AG:AG&gt;=events!BJ417)*(shifts!AH:AH&lt;=events!BK417)),BH416)</f>
        <v>13</v>
      </c>
      <c r="BI417" s="15">
        <f t="shared" si="702"/>
        <v>1</v>
      </c>
      <c r="BJ417">
        <f t="shared" si="703"/>
        <v>712</v>
      </c>
      <c r="BK417">
        <f t="shared" si="704"/>
        <v>711</v>
      </c>
      <c r="BL417" s="15">
        <f>SUMIFS(BI$2:BI417,K$2:K417,"=Intermission")+SUMIFS(BI$2:BI417,K$2:K417,"=Timeout")</f>
        <v>0</v>
      </c>
      <c r="BM417">
        <f t="shared" si="705"/>
        <v>0</v>
      </c>
      <c r="BN417" s="19">
        <f t="shared" si="706"/>
        <v>368</v>
      </c>
      <c r="BO417">
        <f t="shared" si="707"/>
        <v>363</v>
      </c>
      <c r="BP417" s="17">
        <f t="shared" si="708"/>
        <v>369</v>
      </c>
      <c r="BQ417" t="str">
        <f t="shared" si="709"/>
        <v>event_team_player_2</v>
      </c>
      <c r="BR417">
        <f>COUNTIFS(S$3:S417,"="&amp;S417,AH$3:AH417,"="&amp;AH417)</f>
        <v>2</v>
      </c>
      <c r="BS417" t="str">
        <f>IFERROR(VLOOKUP(BA417&amp;BT417&amp;X417,game_rosters!U:W,3,FALSE),"")</f>
        <v>P100021</v>
      </c>
      <c r="BT417" t="str">
        <f t="shared" si="710"/>
        <v>Triple J</v>
      </c>
    </row>
    <row r="418" spans="1:72" x14ac:dyDescent="0.2">
      <c r="A418" t="str">
        <f t="shared" si="685"/>
        <v/>
      </c>
      <c r="E418" s="4"/>
      <c r="F418" s="45"/>
      <c r="G418" s="4"/>
      <c r="H418" s="47"/>
      <c r="I418" s="26">
        <v>93</v>
      </c>
      <c r="J418" s="26" t="str">
        <f t="shared" si="711"/>
        <v/>
      </c>
      <c r="N418" t="str">
        <f t="shared" si="729"/>
        <v/>
      </c>
      <c r="Q418" t="str">
        <f t="shared" si="723"/>
        <v/>
      </c>
      <c r="S418">
        <f>IF(A418=1,MAX($S$2:$S417)+1,IF(OR($I418&lt;&gt;"",A418="x"),$S417,""))</f>
        <v>210</v>
      </c>
      <c r="T418" t="str">
        <f>IF(D418=1,MAX($T$2:$T417)+1,IF(S418=S417,$T417,IF(D418="x",T417,IF(D417="x","",""))))</f>
        <v/>
      </c>
      <c r="U418" t="str">
        <f>IF(B418=1,MAX($U$2:$U417)+1,IF(AND($T418&lt;&gt;"",$T418=$T417),$U417,IF(B418="x",U417,"")))</f>
        <v/>
      </c>
      <c r="V418" t="str">
        <f>IF(C418=1,MAX($V$2:$V417)+1,IF(AND($T418&lt;&gt;"",$T418=$T417),$U417,IF(C418="x",V417,"")))</f>
        <v/>
      </c>
      <c r="W418" t="str" cm="1">
        <f t="array" ref="W418">IFERROR(_xlfn._xlws.FILTER(game_rosters!AC:AC,(game_rosters!J:J=events!X418)*(K418&lt;&gt;"")),"")</f>
        <v/>
      </c>
      <c r="X418" cm="1">
        <f t="array" ref="X418">IF($I418&lt;&gt;"",$I418,INDEX($I$1:$I418,ROW()-COUNTIFS($T$1:$T418,"="&amp;$T418,$S$1:$S418,"&lt;"&amp;$S418)))</f>
        <v>93</v>
      </c>
      <c r="Y418" t="str" cm="1">
        <f t="array" ref="Y418">IFERROR(IF(_xlfn._xlws.FILTER(game_rosters!$J:$J,(game_rosters!$G:$G=events!$AM418)*(game_rosters!$J:$J=events!$X418))&gt;0,1,""),"")</f>
        <v/>
      </c>
      <c r="Z418" s="6">
        <f t="shared" si="686"/>
        <v>1</v>
      </c>
      <c r="AA418">
        <f t="shared" si="687"/>
        <v>1210</v>
      </c>
      <c r="AB418" t="str">
        <f t="shared" si="688"/>
        <v/>
      </c>
      <c r="AC418">
        <f t="shared" si="689"/>
        <v>1210</v>
      </c>
      <c r="AD418" t="str">
        <f t="shared" si="690"/>
        <v>11</v>
      </c>
      <c r="AE418" t="str">
        <f t="shared" si="691"/>
        <v>52</v>
      </c>
      <c r="AF418" t="str">
        <f t="shared" si="692"/>
        <v>11</v>
      </c>
      <c r="AG418" t="str">
        <f t="shared" si="693"/>
        <v>51</v>
      </c>
      <c r="AH418" t="str">
        <f t="shared" si="736"/>
        <v>o</v>
      </c>
      <c r="AI418" t="str">
        <f t="shared" si="737"/>
        <v>o</v>
      </c>
      <c r="AJ418" t="str">
        <f t="shared" si="737"/>
        <v>o</v>
      </c>
      <c r="AK418" t="str">
        <f t="shared" si="738"/>
        <v/>
      </c>
      <c r="AL418" t="str">
        <f t="shared" si="739"/>
        <v/>
      </c>
      <c r="AM418" t="str">
        <f t="shared" si="694"/>
        <v>Home</v>
      </c>
      <c r="AN418" t="str">
        <f t="shared" si="740"/>
        <v>h</v>
      </c>
      <c r="AO418" t="str">
        <f t="shared" si="741"/>
        <v>o</v>
      </c>
      <c r="AP418" t="str">
        <f t="shared" si="742"/>
        <v>d</v>
      </c>
      <c r="AQ418" t="str">
        <f>IF(AM418&lt;&gt;"",AM418,IF($AC418=#REF!,#REF!,""))</f>
        <v>Home</v>
      </c>
      <c r="AR418" t="str">
        <f t="shared" si="743"/>
        <v>h</v>
      </c>
      <c r="AS418" t="str">
        <f t="shared" si="744"/>
        <v>Defensive</v>
      </c>
      <c r="AT418" t="str">
        <f t="shared" si="695"/>
        <v/>
      </c>
      <c r="AU418" t="str">
        <f t="shared" si="696"/>
        <v/>
      </c>
      <c r="AV418" t="str" cm="1">
        <f t="array" ref="AV418">IFERROR(IF(O418&lt;&gt;"",O418,IF(OR($S418="",$T418=""),"",IF(O418&lt;&gt;"",O418,IF($T418&lt;&gt;"",_xlfn._xlws.FILTER(O:O,($BT:$BT=$BT418)*($I:$I=$I418)*($T:$T=$T418)*($S:$S=_xlfn.MINIFS($S:$S,$T:$T,"="&amp;$T418)),"")))))&amp;"",IF(O418="","",""))&amp;""</f>
        <v/>
      </c>
      <c r="AW418" t="str" cm="1">
        <f t="array" ref="AW418">IFERROR(IF(P418&lt;&gt;"",P418,IF(OR($S418="",$T418=""),"",IF($T418&lt;&gt;"",_xlfn._xlws.FILTER(P:P,($BT:$BT=$BT418)*($I:$I=$I418)*($T:$T=$T418)*($S:$S=_xlfn.MINIFS($S:$S,$T:$T,"="&amp;$T418)),""))))&amp;"",IF(P418="","",""))&amp;""</f>
        <v/>
      </c>
      <c r="AX418" t="str" cm="1">
        <f t="array" ref="AX418">IFERROR(IF(Q418&lt;&gt;"",Q418,IF(OR($S418="",$T418=""),"",IF($T418&lt;&gt;"",_xlfn._xlws.FILTER(Q:Q,($BT:$BT=$BT418)*($I:$I=$I418)*($T:$T=$T418)*($S:$S=_xlfn.MINIFS($S:$S,$T:$T,"="&amp;$T418)),""))))&amp;"",IF(Q418="","",""))&amp;""</f>
        <v/>
      </c>
      <c r="AY418" t="str" cm="1">
        <f t="array" ref="AY418">IFERROR(IF(R418&lt;&gt;"",R418,IF(OR($S418="",$T418=""),"",IF($T418&lt;&gt;"",_xlfn._xlws.FILTER(R:R,($BT:$BT=$BT418)*($I:$I=$I418)*($T:$T=$T418)*($S:$S=_xlfn.MINIFS($S:$S,$T:$T,"="&amp;$T418)),""))))&amp;"",IF(R418="","",""))&amp;""</f>
        <v/>
      </c>
      <c r="AZ418" s="6">
        <f t="shared" si="697"/>
        <v>37</v>
      </c>
      <c r="BA418">
        <f t="shared" ref="BA418:BC418" si="752">BA417</f>
        <v>18991</v>
      </c>
      <c r="BB418" t="str">
        <f t="shared" si="752"/>
        <v>Triple J</v>
      </c>
      <c r="BC418" t="str">
        <f t="shared" si="752"/>
        <v>Velodrome</v>
      </c>
      <c r="BD418" t="str">
        <f t="shared" si="699"/>
        <v>Zone_Entry_Exit</v>
      </c>
      <c r="BE418" t="str">
        <f t="shared" si="700"/>
        <v>Zone_Entry</v>
      </c>
      <c r="BF418" t="str">
        <f t="shared" si="701"/>
        <v>ZoneEntry-Rush</v>
      </c>
      <c r="BG418" t="str">
        <f t="shared" si="683"/>
        <v>s</v>
      </c>
      <c r="BH418" cm="1">
        <f t="array" aca="1" ref="BH418" ca="1">IFERROR(_xlfn._xlws.FILTER(shifts!A:A,(shifts!B:B=events!Z418)*(shifts!AG:AG&gt;=events!BJ418)*(shifts!AH:AH&lt;=events!BK418)),BH417)</f>
        <v>13</v>
      </c>
      <c r="BI418" s="15">
        <f t="shared" si="702"/>
        <v>1</v>
      </c>
      <c r="BJ418">
        <f t="shared" si="703"/>
        <v>712</v>
      </c>
      <c r="BK418">
        <f t="shared" si="704"/>
        <v>711</v>
      </c>
      <c r="BL418" s="15">
        <f>SUMIFS(BI$2:BI418,K$2:K418,"=Intermission")+SUMIFS(BI$2:BI418,K$2:K418,"=Timeout")</f>
        <v>0</v>
      </c>
      <c r="BM418">
        <f t="shared" si="705"/>
        <v>0</v>
      </c>
      <c r="BN418" s="19">
        <f t="shared" si="706"/>
        <v>368</v>
      </c>
      <c r="BO418">
        <f t="shared" si="707"/>
        <v>363</v>
      </c>
      <c r="BP418" s="17">
        <f t="shared" si="708"/>
        <v>369</v>
      </c>
      <c r="BQ418" t="str">
        <f t="shared" si="709"/>
        <v>opp_team_player_1</v>
      </c>
      <c r="BR418">
        <f>COUNTIFS(S$3:S418,"="&amp;S418,AH$3:AH418,"="&amp;AH418)</f>
        <v>1</v>
      </c>
      <c r="BS418" t="str">
        <f>IFERROR(VLOOKUP(BA418&amp;BT418&amp;X418,game_rosters!U:W,3,FALSE),"")</f>
        <v>P100093</v>
      </c>
      <c r="BT418" t="str">
        <f t="shared" si="710"/>
        <v>Velodrome</v>
      </c>
    </row>
    <row r="419" spans="1:72" x14ac:dyDescent="0.2">
      <c r="A419" t="str">
        <f t="shared" si="685"/>
        <v/>
      </c>
      <c r="E419" s="4"/>
      <c r="F419" s="45"/>
      <c r="G419" s="4"/>
      <c r="H419" s="47"/>
      <c r="I419" s="26">
        <v>9</v>
      </c>
      <c r="J419" s="26" t="str">
        <f t="shared" si="711"/>
        <v/>
      </c>
      <c r="N419" t="str">
        <f t="shared" si="729"/>
        <v/>
      </c>
      <c r="Q419" t="str">
        <f t="shared" si="723"/>
        <v/>
      </c>
      <c r="S419">
        <f>IF(A419=1,MAX($S$2:$S418)+1,IF(OR($I419&lt;&gt;"",A419="x"),$S418,""))</f>
        <v>210</v>
      </c>
      <c r="T419" t="str">
        <f>IF(D419=1,MAX($T$2:$T418)+1,IF(S419=S418,$T418,IF(D419="x",T418,IF(D418="x","",""))))</f>
        <v/>
      </c>
      <c r="U419" t="str">
        <f>IF(B419=1,MAX($U$2:$U418)+1,IF(AND($T419&lt;&gt;"",$T419=$T418),$U418,IF(B419="x",U418,"")))</f>
        <v/>
      </c>
      <c r="V419" t="str">
        <f>IF(C419=1,MAX($V$2:$V418)+1,IF(AND($T419&lt;&gt;"",$T419=$T418),$U418,IF(C419="x",V418,"")))</f>
        <v/>
      </c>
      <c r="W419" t="str" cm="1">
        <f t="array" ref="W419">IFERROR(_xlfn._xlws.FILTER(game_rosters!AC:AC,(game_rosters!J:J=events!X419)*(K419&lt;&gt;"")),"")</f>
        <v/>
      </c>
      <c r="X419" cm="1">
        <f t="array" ref="X419">IF($I419&lt;&gt;"",$I419,INDEX($I$1:$I419,ROW()-COUNTIFS($T$1:$T419,"="&amp;$T419,$S$1:$S419,"&lt;"&amp;$S419)))</f>
        <v>9</v>
      </c>
      <c r="Y419" t="str" cm="1">
        <f t="array" ref="Y419">IFERROR(IF(_xlfn._xlws.FILTER(game_rosters!$J:$J,(game_rosters!$G:$G=events!$AM419)*(game_rosters!$J:$J=events!$X419))&gt;0,1,""),"")</f>
        <v/>
      </c>
      <c r="Z419" s="6">
        <f t="shared" si="686"/>
        <v>1</v>
      </c>
      <c r="AA419">
        <f t="shared" si="687"/>
        <v>1210</v>
      </c>
      <c r="AB419" t="str">
        <f t="shared" si="688"/>
        <v/>
      </c>
      <c r="AC419">
        <f t="shared" si="689"/>
        <v>1210</v>
      </c>
      <c r="AD419" t="str">
        <f t="shared" si="690"/>
        <v>11</v>
      </c>
      <c r="AE419" t="str">
        <f t="shared" si="691"/>
        <v>52</v>
      </c>
      <c r="AF419" t="str">
        <f t="shared" si="692"/>
        <v>11</v>
      </c>
      <c r="AG419" t="str">
        <f t="shared" si="693"/>
        <v>51</v>
      </c>
      <c r="AH419" t="str">
        <f t="shared" si="736"/>
        <v>o</v>
      </c>
      <c r="AI419" t="str">
        <f t="shared" si="737"/>
        <v>o</v>
      </c>
      <c r="AJ419" t="str">
        <f t="shared" si="737"/>
        <v>o</v>
      </c>
      <c r="AK419" t="str">
        <f t="shared" si="738"/>
        <v/>
      </c>
      <c r="AL419" t="str">
        <f t="shared" si="739"/>
        <v/>
      </c>
      <c r="AM419" t="str">
        <f t="shared" si="694"/>
        <v>Home</v>
      </c>
      <c r="AN419" t="str">
        <f t="shared" si="740"/>
        <v>h</v>
      </c>
      <c r="AO419" t="str">
        <f t="shared" si="741"/>
        <v>o</v>
      </c>
      <c r="AP419" t="str">
        <f t="shared" si="742"/>
        <v>d</v>
      </c>
      <c r="AQ419" t="str">
        <f>IF(AM419&lt;&gt;"",AM419,IF($AC419=#REF!,#REF!,""))</f>
        <v>Home</v>
      </c>
      <c r="AR419" t="str">
        <f t="shared" si="743"/>
        <v>h</v>
      </c>
      <c r="AS419" t="str">
        <f t="shared" si="744"/>
        <v>Defensive</v>
      </c>
      <c r="AT419" t="str">
        <f t="shared" si="695"/>
        <v/>
      </c>
      <c r="AU419" t="str">
        <f t="shared" si="696"/>
        <v/>
      </c>
      <c r="AV419" t="str" cm="1">
        <f t="array" ref="AV419">IFERROR(IF(O419&lt;&gt;"",O419,IF(OR($S419="",$T419=""),"",IF(O419&lt;&gt;"",O419,IF($T419&lt;&gt;"",_xlfn._xlws.FILTER(O:O,($BT:$BT=$BT419)*($I:$I=$I419)*($T:$T=$T419)*($S:$S=_xlfn.MINIFS($S:$S,$T:$T,"="&amp;$T419)),"")))))&amp;"",IF(O419="","",""))&amp;""</f>
        <v/>
      </c>
      <c r="AW419" t="str" cm="1">
        <f t="array" ref="AW419">IFERROR(IF(P419&lt;&gt;"",P419,IF(OR($S419="",$T419=""),"",IF($T419&lt;&gt;"",_xlfn._xlws.FILTER(P:P,($BT:$BT=$BT419)*($I:$I=$I419)*($T:$T=$T419)*($S:$S=_xlfn.MINIFS($S:$S,$T:$T,"="&amp;$T419)),""))))&amp;"",IF(P419="","",""))&amp;""</f>
        <v/>
      </c>
      <c r="AX419" t="str" cm="1">
        <f t="array" ref="AX419">IFERROR(IF(Q419&lt;&gt;"",Q419,IF(OR($S419="",$T419=""),"",IF($T419&lt;&gt;"",_xlfn._xlws.FILTER(Q:Q,($BT:$BT=$BT419)*($I:$I=$I419)*($T:$T=$T419)*($S:$S=_xlfn.MINIFS($S:$S,$T:$T,"="&amp;$T419)),""))))&amp;"",IF(Q419="","",""))&amp;""</f>
        <v/>
      </c>
      <c r="AY419" t="str" cm="1">
        <f t="array" ref="AY419">IFERROR(IF(R419&lt;&gt;"",R419,IF(OR($S419="",$T419=""),"",IF($T419&lt;&gt;"",_xlfn._xlws.FILTER(R:R,($BT:$BT=$BT419)*($I:$I=$I419)*($T:$T=$T419)*($S:$S=_xlfn.MINIFS($S:$S,$T:$T,"="&amp;$T419)),""))))&amp;"",IF(R419="","",""))&amp;""</f>
        <v/>
      </c>
      <c r="AZ419" s="6">
        <f t="shared" si="697"/>
        <v>37</v>
      </c>
      <c r="BA419">
        <f t="shared" ref="BA419:BC419" si="753">BA418</f>
        <v>18991</v>
      </c>
      <c r="BB419" t="str">
        <f t="shared" si="753"/>
        <v>Triple J</v>
      </c>
      <c r="BC419" t="str">
        <f t="shared" si="753"/>
        <v>Velodrome</v>
      </c>
      <c r="BD419" t="str">
        <f t="shared" si="699"/>
        <v>Zone_Entry_Exit</v>
      </c>
      <c r="BE419" t="str">
        <f t="shared" si="700"/>
        <v>Zone_Entry</v>
      </c>
      <c r="BF419" t="str">
        <f t="shared" si="701"/>
        <v>ZoneEntry-Rush</v>
      </c>
      <c r="BG419" t="str">
        <f t="shared" si="683"/>
        <v>s</v>
      </c>
      <c r="BH419" cm="1">
        <f t="array" aca="1" ref="BH419" ca="1">IFERROR(_xlfn._xlws.FILTER(shifts!A:A,(shifts!B:B=events!Z419)*(shifts!AG:AG&gt;=events!BJ419)*(shifts!AH:AH&lt;=events!BK419)),BH418)</f>
        <v>13</v>
      </c>
      <c r="BI419" s="15">
        <f t="shared" si="702"/>
        <v>1</v>
      </c>
      <c r="BJ419">
        <f t="shared" si="703"/>
        <v>712</v>
      </c>
      <c r="BK419">
        <f t="shared" si="704"/>
        <v>711</v>
      </c>
      <c r="BL419" s="15">
        <f>SUMIFS(BI$2:BI419,K$2:K419,"=Intermission")+SUMIFS(BI$2:BI419,K$2:K419,"=Timeout")</f>
        <v>0</v>
      </c>
      <c r="BM419">
        <f t="shared" si="705"/>
        <v>0</v>
      </c>
      <c r="BN419" s="19">
        <f t="shared" si="706"/>
        <v>368</v>
      </c>
      <c r="BO419">
        <f t="shared" si="707"/>
        <v>363</v>
      </c>
      <c r="BP419" s="17">
        <f t="shared" si="708"/>
        <v>369</v>
      </c>
      <c r="BQ419" t="str">
        <f t="shared" si="709"/>
        <v>opp_team_player_2</v>
      </c>
      <c r="BR419">
        <f>COUNTIFS(S$3:S419,"="&amp;S419,AH$3:AH419,"="&amp;AH419)</f>
        <v>2</v>
      </c>
      <c r="BS419" t="str">
        <f>IFERROR(VLOOKUP(BA419&amp;BT419&amp;X419,game_rosters!U:W,3,FALSE),"")</f>
        <v>P100105</v>
      </c>
      <c r="BT419" t="str">
        <f t="shared" si="710"/>
        <v>Velodrome</v>
      </c>
    </row>
    <row r="420" spans="1:72" x14ac:dyDescent="0.2">
      <c r="A420">
        <f t="shared" si="685"/>
        <v>1</v>
      </c>
      <c r="E420" s="4"/>
      <c r="F420" s="45" t="s">
        <v>1045</v>
      </c>
      <c r="G420" s="4"/>
      <c r="H420" s="47"/>
      <c r="I420" s="26">
        <v>19</v>
      </c>
      <c r="J420" s="26" t="s">
        <v>368</v>
      </c>
      <c r="K420" t="s">
        <v>7</v>
      </c>
      <c r="L420" t="s">
        <v>172</v>
      </c>
      <c r="N420" t="str">
        <f t="shared" si="729"/>
        <v>s</v>
      </c>
      <c r="Q420" t="str">
        <f t="shared" si="723"/>
        <v/>
      </c>
      <c r="S420">
        <f>IF(A420=1,MAX($S$2:$S419)+1,IF(OR($I420&lt;&gt;"",A420="x"),$S419,""))</f>
        <v>211</v>
      </c>
      <c r="T420" t="str">
        <f>IF(D420=1,MAX($T$2:$T419)+1,IF(S420=S419,$T419,IF(D420="x",T419,IF(D419="x","",""))))</f>
        <v/>
      </c>
      <c r="U420" t="str">
        <f>IF(B420=1,MAX($U$2:$U419)+1,IF(AND($T420&lt;&gt;"",$T420=$T419),$U419,IF(B420="x",U419,"")))</f>
        <v/>
      </c>
      <c r="V420" t="str">
        <f>IF(C420=1,MAX($V$2:$V419)+1,IF(AND($T420&lt;&gt;"",$T420=$T419),$U419,IF(C420="x",V419,"")))</f>
        <v/>
      </c>
      <c r="W420" t="str" cm="1">
        <f t="array" ref="W420">IFERROR(_xlfn._xlws.FILTER(game_rosters!AC:AC,(game_rosters!J:J=events!X420)*(K420&lt;&gt;"")),"")</f>
        <v>h</v>
      </c>
      <c r="X420" cm="1">
        <f t="array" ref="X420">IF($I420&lt;&gt;"",$I420,INDEX($I$1:$I420,ROW()-COUNTIFS($T$1:$T420,"="&amp;$T420,$S$1:$S420,"&lt;"&amp;$S420)))</f>
        <v>19</v>
      </c>
      <c r="Y420" cm="1">
        <f t="array" ref="Y420">IFERROR(IF(_xlfn._xlws.FILTER(game_rosters!$J:$J,(game_rosters!$G:$G=events!$AM420)*(game_rosters!$J:$J=events!$X420))&gt;0,1,""),"")</f>
        <v>1</v>
      </c>
      <c r="Z420" s="6">
        <f t="shared" si="686"/>
        <v>1</v>
      </c>
      <c r="AA420">
        <f t="shared" si="687"/>
        <v>1211</v>
      </c>
      <c r="AB420" t="str">
        <f t="shared" si="688"/>
        <v/>
      </c>
      <c r="AC420">
        <f t="shared" si="689"/>
        <v>1211</v>
      </c>
      <c r="AD420" t="str">
        <f t="shared" si="690"/>
        <v>11</v>
      </c>
      <c r="AE420" t="str">
        <f t="shared" si="691"/>
        <v>50</v>
      </c>
      <c r="AF420" t="str">
        <f t="shared" si="692"/>
        <v/>
      </c>
      <c r="AG420" t="str">
        <f t="shared" si="693"/>
        <v/>
      </c>
      <c r="AH420" t="str">
        <f t="shared" si="736"/>
        <v>e</v>
      </c>
      <c r="AI420" t="str">
        <f t="shared" si="737"/>
        <v>o</v>
      </c>
      <c r="AJ420" t="str">
        <f t="shared" si="737"/>
        <v>o</v>
      </c>
      <c r="AK420" t="str">
        <f t="shared" si="738"/>
        <v>o</v>
      </c>
      <c r="AL420" t="str">
        <f t="shared" si="739"/>
        <v>d</v>
      </c>
      <c r="AM420" t="str">
        <f t="shared" si="694"/>
        <v>Home</v>
      </c>
      <c r="AN420" t="str">
        <f t="shared" si="740"/>
        <v>h</v>
      </c>
      <c r="AO420" t="str">
        <f t="shared" si="741"/>
        <v>o</v>
      </c>
      <c r="AP420" t="str">
        <f t="shared" si="742"/>
        <v>d</v>
      </c>
      <c r="AQ420" t="str">
        <f>IF(AM420&lt;&gt;"",AM420,IF($AC420=#REF!,#REF!,""))</f>
        <v>Home</v>
      </c>
      <c r="AR420" t="str">
        <f t="shared" si="743"/>
        <v>h</v>
      </c>
      <c r="AS420" t="str">
        <f t="shared" si="744"/>
        <v>Offensive</v>
      </c>
      <c r="AT420" t="str">
        <f t="shared" si="695"/>
        <v/>
      </c>
      <c r="AU420" t="str">
        <f t="shared" si="696"/>
        <v/>
      </c>
      <c r="AV420" t="str" cm="1">
        <f t="array" ref="AV420">IFERROR(IF(O420&lt;&gt;"",O420,IF(OR($S420="",$T420=""),"",IF(O420&lt;&gt;"",O420,IF($T420&lt;&gt;"",_xlfn._xlws.FILTER(O:O,($BT:$BT=$BT420)*($I:$I=$I420)*($T:$T=$T420)*($S:$S=_xlfn.MINIFS($S:$S,$T:$T,"="&amp;$T420)),"")))))&amp;"",IF(O420="","",""))&amp;""</f>
        <v/>
      </c>
      <c r="AW420" t="str" cm="1">
        <f t="array" ref="AW420">IFERROR(IF(P420&lt;&gt;"",P420,IF(OR($S420="",$T420=""),"",IF($T420&lt;&gt;"",_xlfn._xlws.FILTER(P:P,($BT:$BT=$BT420)*($I:$I=$I420)*($T:$T=$T420)*($S:$S=_xlfn.MINIFS($S:$S,$T:$T,"="&amp;$T420)),""))))&amp;"",IF(P420="","",""))&amp;""</f>
        <v/>
      </c>
      <c r="AX420" t="str" cm="1">
        <f t="array" ref="AX420">IFERROR(IF(Q420&lt;&gt;"",Q420,IF(OR($S420="",$T420=""),"",IF($T420&lt;&gt;"",_xlfn._xlws.FILTER(Q:Q,($BT:$BT=$BT420)*($I:$I=$I420)*($T:$T=$T420)*($S:$S=_xlfn.MINIFS($S:$S,$T:$T,"="&amp;$T420)),""))))&amp;"",IF(Q420="","",""))&amp;""</f>
        <v/>
      </c>
      <c r="AY420" t="str" cm="1">
        <f t="array" ref="AY420">IFERROR(IF(R420&lt;&gt;"",R420,IF(OR($S420="",$T420=""),"",IF($T420&lt;&gt;"",_xlfn._xlws.FILTER(R:R,($BT:$BT=$BT420)*($I:$I=$I420)*($T:$T=$T420)*($S:$S=_xlfn.MINIFS($S:$S,$T:$T,"="&amp;$T420)),""))))&amp;"",IF(R420="","",""))&amp;""</f>
        <v/>
      </c>
      <c r="AZ420" s="6">
        <f t="shared" si="697"/>
        <v>37</v>
      </c>
      <c r="BA420">
        <f t="shared" ref="BA420:BC420" si="754">BA419</f>
        <v>18991</v>
      </c>
      <c r="BB420" t="str">
        <f t="shared" si="754"/>
        <v>Triple J</v>
      </c>
      <c r="BC420" t="str">
        <f t="shared" si="754"/>
        <v>Velodrome</v>
      </c>
      <c r="BD420" t="str">
        <f t="shared" si="699"/>
        <v>Pass</v>
      </c>
      <c r="BE420" t="str">
        <f t="shared" si="700"/>
        <v>Pass_Completed</v>
      </c>
      <c r="BF420" t="str">
        <f t="shared" si="701"/>
        <v/>
      </c>
      <c r="BG420" t="str">
        <f t="shared" si="683"/>
        <v>s</v>
      </c>
      <c r="BH420" cm="1">
        <f t="array" aca="1" ref="BH420" ca="1">IFERROR(_xlfn._xlws.FILTER(shifts!A:A,(shifts!B:B=events!Z420)*(shifts!AG:AG&gt;=events!BJ420)*(shifts!AH:AH&lt;=events!BK420)),BH419)</f>
        <v>13</v>
      </c>
      <c r="BI420" s="15">
        <f t="shared" si="702"/>
        <v>0</v>
      </c>
      <c r="BJ420">
        <f t="shared" si="703"/>
        <v>710</v>
      </c>
      <c r="BK420">
        <f t="shared" si="704"/>
        <v>710</v>
      </c>
      <c r="BL420" s="15">
        <f>SUMIFS(BI$2:BI420,K$2:K420,"=Intermission")+SUMIFS(BI$2:BI420,K$2:K420,"=Timeout")</f>
        <v>0</v>
      </c>
      <c r="BM420">
        <f t="shared" si="705"/>
        <v>0</v>
      </c>
      <c r="BN420" s="19">
        <f t="shared" si="706"/>
        <v>370</v>
      </c>
      <c r="BO420">
        <f t="shared" si="707"/>
        <v>365</v>
      </c>
      <c r="BP420" s="17">
        <f t="shared" si="708"/>
        <v>370</v>
      </c>
      <c r="BQ420" t="str">
        <f t="shared" si="709"/>
        <v>event_team_player_1</v>
      </c>
      <c r="BR420">
        <f>COUNTIFS(S$3:S420,"="&amp;S420,AH$3:AH420,"="&amp;AH420)</f>
        <v>1</v>
      </c>
      <c r="BS420" t="str">
        <f>IFERROR(VLOOKUP(BA420&amp;BT420&amp;X420,game_rosters!U:W,3,FALSE),"")</f>
        <v>P100089</v>
      </c>
      <c r="BT420" t="str">
        <f t="shared" si="710"/>
        <v>Triple J</v>
      </c>
    </row>
    <row r="421" spans="1:72" x14ac:dyDescent="0.2">
      <c r="A421" t="str">
        <f t="shared" si="685"/>
        <v/>
      </c>
      <c r="E421" s="4"/>
      <c r="F421" s="45"/>
      <c r="G421" s="4"/>
      <c r="H421" s="47"/>
      <c r="I421" s="26">
        <v>73</v>
      </c>
      <c r="J421" s="26" t="str">
        <f t="shared" si="711"/>
        <v/>
      </c>
      <c r="N421" t="str">
        <f t="shared" si="729"/>
        <v/>
      </c>
      <c r="Q421" t="str">
        <f t="shared" si="723"/>
        <v/>
      </c>
      <c r="S421">
        <f>IF(A421=1,MAX($S$2:$S420)+1,IF(OR($I421&lt;&gt;"",A421="x"),$S420,""))</f>
        <v>211</v>
      </c>
      <c r="T421" t="str">
        <f>IF(D421=1,MAX($T$2:$T420)+1,IF(S421=S420,$T420,IF(D421="x",T420,IF(D420="x","",""))))</f>
        <v/>
      </c>
      <c r="U421" t="str">
        <f>IF(B421=1,MAX($U$2:$U420)+1,IF(AND($T421&lt;&gt;"",$T421=$T420),$U420,IF(B421="x",U420,"")))</f>
        <v/>
      </c>
      <c r="V421" t="str">
        <f>IF(C421=1,MAX($V$2:$V420)+1,IF(AND($T421&lt;&gt;"",$T421=$T420),$U420,IF(C421="x",V420,"")))</f>
        <v/>
      </c>
      <c r="W421" t="str" cm="1">
        <f t="array" ref="W421">IFERROR(_xlfn._xlws.FILTER(game_rosters!AC:AC,(game_rosters!J:J=events!X421)*(K421&lt;&gt;"")),"")</f>
        <v/>
      </c>
      <c r="X421" cm="1">
        <f t="array" ref="X421">IF($I421&lt;&gt;"",$I421,INDEX($I$1:$I421,ROW()-COUNTIFS($T$1:$T421,"="&amp;$T421,$S$1:$S421,"&lt;"&amp;$S421)))</f>
        <v>73</v>
      </c>
      <c r="Y421" cm="1">
        <f t="array" ref="Y421">IFERROR(IF(_xlfn._xlws.FILTER(game_rosters!$J:$J,(game_rosters!$G:$G=events!$AM421)*(game_rosters!$J:$J=events!$X421))&gt;0,1,""),"")</f>
        <v>1</v>
      </c>
      <c r="Z421" s="6">
        <f t="shared" si="686"/>
        <v>1</v>
      </c>
      <c r="AA421">
        <f t="shared" si="687"/>
        <v>1211</v>
      </c>
      <c r="AB421" t="str">
        <f t="shared" si="688"/>
        <v/>
      </c>
      <c r="AC421">
        <f t="shared" si="689"/>
        <v>1211</v>
      </c>
      <c r="AD421" t="str">
        <f t="shared" si="690"/>
        <v>11</v>
      </c>
      <c r="AE421" t="str">
        <f t="shared" si="691"/>
        <v>50</v>
      </c>
      <c r="AF421" t="str">
        <f t="shared" si="692"/>
        <v/>
      </c>
      <c r="AG421" t="str">
        <f t="shared" si="693"/>
        <v/>
      </c>
      <c r="AH421" t="str">
        <f t="shared" si="736"/>
        <v>e</v>
      </c>
      <c r="AI421" t="str">
        <f t="shared" si="737"/>
        <v>o</v>
      </c>
      <c r="AJ421" t="str">
        <f t="shared" si="737"/>
        <v>o</v>
      </c>
      <c r="AK421" t="str">
        <f t="shared" si="738"/>
        <v/>
      </c>
      <c r="AL421" t="str">
        <f t="shared" si="739"/>
        <v/>
      </c>
      <c r="AM421" t="str">
        <f t="shared" si="694"/>
        <v>Home</v>
      </c>
      <c r="AN421" t="str">
        <f t="shared" si="740"/>
        <v>h</v>
      </c>
      <c r="AO421" t="str">
        <f t="shared" si="741"/>
        <v>o</v>
      </c>
      <c r="AP421" t="str">
        <f t="shared" si="742"/>
        <v>d</v>
      </c>
      <c r="AQ421" t="str">
        <f>IF(AM421&lt;&gt;"",AM421,IF($AC421=#REF!,#REF!,""))</f>
        <v>Home</v>
      </c>
      <c r="AR421" t="str">
        <f t="shared" si="743"/>
        <v>h</v>
      </c>
      <c r="AS421" t="str">
        <f t="shared" si="744"/>
        <v>Offensive</v>
      </c>
      <c r="AT421" t="str">
        <f t="shared" si="695"/>
        <v/>
      </c>
      <c r="AU421" t="str">
        <f t="shared" si="696"/>
        <v/>
      </c>
      <c r="AV421" t="str" cm="1">
        <f t="array" ref="AV421">IFERROR(IF(O421&lt;&gt;"",O421,IF(OR($S421="",$T421=""),"",IF(O421&lt;&gt;"",O421,IF($T421&lt;&gt;"",_xlfn._xlws.FILTER(O:O,($BT:$BT=$BT421)*($I:$I=$I421)*($T:$T=$T421)*($S:$S=_xlfn.MINIFS($S:$S,$T:$T,"="&amp;$T421)),"")))))&amp;"",IF(O421="","",""))&amp;""</f>
        <v/>
      </c>
      <c r="AW421" t="str" cm="1">
        <f t="array" ref="AW421">IFERROR(IF(P421&lt;&gt;"",P421,IF(OR($S421="",$T421=""),"",IF($T421&lt;&gt;"",_xlfn._xlws.FILTER(P:P,($BT:$BT=$BT421)*($I:$I=$I421)*($T:$T=$T421)*($S:$S=_xlfn.MINIFS($S:$S,$T:$T,"="&amp;$T421)),""))))&amp;"",IF(P421="","",""))&amp;""</f>
        <v/>
      </c>
      <c r="AX421" t="str" cm="1">
        <f t="array" ref="AX421">IFERROR(IF(Q421&lt;&gt;"",Q421,IF(OR($S421="",$T421=""),"",IF($T421&lt;&gt;"",_xlfn._xlws.FILTER(Q:Q,($BT:$BT=$BT421)*($I:$I=$I421)*($T:$T=$T421)*($S:$S=_xlfn.MINIFS($S:$S,$T:$T,"="&amp;$T421)),""))))&amp;"",IF(Q421="","",""))&amp;""</f>
        <v/>
      </c>
      <c r="AY421" t="str" cm="1">
        <f t="array" ref="AY421">IFERROR(IF(R421&lt;&gt;"",R421,IF(OR($S421="",$T421=""),"",IF($T421&lt;&gt;"",_xlfn._xlws.FILTER(R:R,($BT:$BT=$BT421)*($I:$I=$I421)*($T:$T=$T421)*($S:$S=_xlfn.MINIFS($S:$S,$T:$T,"="&amp;$T421)),""))))&amp;"",IF(R421="","",""))&amp;""</f>
        <v/>
      </c>
      <c r="AZ421" s="6">
        <f t="shared" si="697"/>
        <v>37</v>
      </c>
      <c r="BA421">
        <f t="shared" ref="BA421:BC421" si="755">BA420</f>
        <v>18991</v>
      </c>
      <c r="BB421" t="str">
        <f t="shared" si="755"/>
        <v>Triple J</v>
      </c>
      <c r="BC421" t="str">
        <f t="shared" si="755"/>
        <v>Velodrome</v>
      </c>
      <c r="BD421" t="str">
        <f t="shared" si="699"/>
        <v>Pass</v>
      </c>
      <c r="BE421" t="str">
        <f t="shared" si="700"/>
        <v>Pass_Completed</v>
      </c>
      <c r="BF421" t="str">
        <f t="shared" si="701"/>
        <v/>
      </c>
      <c r="BG421" t="str">
        <f t="shared" si="683"/>
        <v>s</v>
      </c>
      <c r="BH421" cm="1">
        <f t="array" aca="1" ref="BH421" ca="1">IFERROR(_xlfn._xlws.FILTER(shifts!A:A,(shifts!B:B=events!Z421)*(shifts!AG:AG&gt;=events!BJ421)*(shifts!AH:AH&lt;=events!BK421)),BH420)</f>
        <v>13</v>
      </c>
      <c r="BI421" s="15">
        <f t="shared" si="702"/>
        <v>0</v>
      </c>
      <c r="BJ421">
        <f t="shared" si="703"/>
        <v>710</v>
      </c>
      <c r="BK421">
        <f t="shared" si="704"/>
        <v>710</v>
      </c>
      <c r="BL421" s="15">
        <f>SUMIFS(BI$2:BI421,K$2:K421,"=Intermission")+SUMIFS(BI$2:BI421,K$2:K421,"=Timeout")</f>
        <v>0</v>
      </c>
      <c r="BM421">
        <f t="shared" si="705"/>
        <v>0</v>
      </c>
      <c r="BN421" s="19">
        <f t="shared" si="706"/>
        <v>370</v>
      </c>
      <c r="BO421">
        <f t="shared" si="707"/>
        <v>365</v>
      </c>
      <c r="BP421" s="17">
        <f t="shared" si="708"/>
        <v>370</v>
      </c>
      <c r="BQ421" t="str">
        <f t="shared" si="709"/>
        <v>event_team_player_2</v>
      </c>
      <c r="BR421">
        <f>COUNTIFS(S$3:S421,"="&amp;S421,AH$3:AH421,"="&amp;AH421)</f>
        <v>2</v>
      </c>
      <c r="BS421" t="str">
        <f>IFERROR(VLOOKUP(BA421&amp;BT421&amp;X421,game_rosters!U:W,3,FALSE),"")</f>
        <v>P100021</v>
      </c>
      <c r="BT421" t="str">
        <f t="shared" si="710"/>
        <v>Triple J</v>
      </c>
    </row>
    <row r="422" spans="1:72" x14ac:dyDescent="0.2">
      <c r="A422">
        <f t="shared" si="685"/>
        <v>1</v>
      </c>
      <c r="E422" s="4"/>
      <c r="F422" s="45"/>
      <c r="G422" s="4"/>
      <c r="H422" s="47" t="s">
        <v>751</v>
      </c>
      <c r="I422" s="26">
        <v>73</v>
      </c>
      <c r="J422" s="26" t="s">
        <v>368</v>
      </c>
      <c r="K422" t="s">
        <v>13</v>
      </c>
      <c r="N422" t="str">
        <f t="shared" si="729"/>
        <v/>
      </c>
      <c r="Q422" t="str">
        <f t="shared" si="723"/>
        <v/>
      </c>
      <c r="R422" s="26">
        <v>1</v>
      </c>
      <c r="S422">
        <f>IF(A422=1,MAX($S$2:$S421)+1,IF(OR($I422&lt;&gt;"",A422="x"),$S421,""))</f>
        <v>212</v>
      </c>
      <c r="T422" t="str">
        <f>IF(D422=1,MAX($T$2:$T421)+1,IF(S422=S421,$T421,IF(D422="x",T421,IF(D421="x","",""))))</f>
        <v/>
      </c>
      <c r="U422" t="str">
        <f>IF(B422=1,MAX($U$2:$U421)+1,IF(AND($T422&lt;&gt;"",$T422=$T421),$U421,IF(B422="x",U421,"")))</f>
        <v/>
      </c>
      <c r="V422" t="str">
        <f>IF(C422=1,MAX($V$2:$V421)+1,IF(AND($T422&lt;&gt;"",$T422=$T421),$U421,IF(C422="x",V421,"")))</f>
        <v/>
      </c>
      <c r="W422" t="str" cm="1">
        <f t="array" ref="W422">IFERROR(_xlfn._xlws.FILTER(game_rosters!AC:AC,(game_rosters!J:J=events!X422)*(K422&lt;&gt;"")),"")</f>
        <v>h</v>
      </c>
      <c r="X422" cm="1">
        <f t="array" ref="X422">IF($I422&lt;&gt;"",$I422,INDEX($I$1:$I422,ROW()-COUNTIFS($T$1:$T422,"="&amp;$T422,$S$1:$S422,"&lt;"&amp;$S422)))</f>
        <v>73</v>
      </c>
      <c r="Y422" cm="1">
        <f t="array" ref="Y422">IFERROR(IF(_xlfn._xlws.FILTER(game_rosters!$J:$J,(game_rosters!$G:$G=events!$AM422)*(game_rosters!$J:$J=events!$X422))&gt;0,1,""),"")</f>
        <v>1</v>
      </c>
      <c r="Z422" s="6">
        <f t="shared" si="686"/>
        <v>1</v>
      </c>
      <c r="AA422">
        <f t="shared" si="687"/>
        <v>1212</v>
      </c>
      <c r="AB422" t="str">
        <f t="shared" si="688"/>
        <v/>
      </c>
      <c r="AC422">
        <f t="shared" si="689"/>
        <v>1212</v>
      </c>
      <c r="AD422" t="str">
        <f t="shared" si="690"/>
        <v>11</v>
      </c>
      <c r="AE422" t="str">
        <f t="shared" si="691"/>
        <v>50</v>
      </c>
      <c r="AF422" t="str">
        <f t="shared" si="692"/>
        <v>11</v>
      </c>
      <c r="AG422" t="str">
        <f t="shared" si="693"/>
        <v>49</v>
      </c>
      <c r="AH422" t="str">
        <f t="shared" si="736"/>
        <v>e</v>
      </c>
      <c r="AI422" t="str">
        <f t="shared" si="737"/>
        <v>o</v>
      </c>
      <c r="AJ422" t="str">
        <f t="shared" si="737"/>
        <v>o</v>
      </c>
      <c r="AK422" t="str">
        <f t="shared" si="738"/>
        <v>o</v>
      </c>
      <c r="AL422" t="str">
        <f t="shared" si="739"/>
        <v>d</v>
      </c>
      <c r="AM422" t="str">
        <f t="shared" si="694"/>
        <v>Home</v>
      </c>
      <c r="AN422" t="str">
        <f t="shared" si="740"/>
        <v>h</v>
      </c>
      <c r="AO422" t="str">
        <f t="shared" si="741"/>
        <v>o</v>
      </c>
      <c r="AP422" t="str">
        <f t="shared" si="742"/>
        <v>d</v>
      </c>
      <c r="AQ422" t="str">
        <f>IF(AM422&lt;&gt;"",AM422,IF($AC422=#REF!,#REF!,""))</f>
        <v>Home</v>
      </c>
      <c r="AR422" t="str">
        <f t="shared" si="743"/>
        <v>h</v>
      </c>
      <c r="AS422" t="str">
        <f t="shared" si="744"/>
        <v>Offensive</v>
      </c>
      <c r="AT422" t="str">
        <f t="shared" si="695"/>
        <v/>
      </c>
      <c r="AU422" t="str">
        <f t="shared" si="696"/>
        <v/>
      </c>
      <c r="AV422" t="str" cm="1">
        <f t="array" ref="AV422">IFERROR(IF(O422&lt;&gt;"",O422,IF(OR($S422="",$T422=""),"",IF(O422&lt;&gt;"",O422,IF($T422&lt;&gt;"",_xlfn._xlws.FILTER(O:O,($BT:$BT=$BT422)*($I:$I=$I422)*($T:$T=$T422)*($S:$S=_xlfn.MINIFS($S:$S,$T:$T,"="&amp;$T422)),"")))))&amp;"",IF(O422="","",""))&amp;""</f>
        <v/>
      </c>
      <c r="AW422" t="str" cm="1">
        <f t="array" ref="AW422">IFERROR(IF(P422&lt;&gt;"",P422,IF(OR($S422="",$T422=""),"",IF($T422&lt;&gt;"",_xlfn._xlws.FILTER(P:P,($BT:$BT=$BT422)*($I:$I=$I422)*($T:$T=$T422)*($S:$S=_xlfn.MINIFS($S:$S,$T:$T,"="&amp;$T422)),""))))&amp;"",IF(P422="","",""))&amp;""</f>
        <v/>
      </c>
      <c r="AX422" t="str" cm="1">
        <f t="array" ref="AX422">IFERROR(IF(Q422&lt;&gt;"",Q422,IF(OR($S422="",$T422=""),"",IF($T422&lt;&gt;"",_xlfn._xlws.FILTER(Q:Q,($BT:$BT=$BT422)*($I:$I=$I422)*($T:$T=$T422)*($S:$S=_xlfn.MINIFS($S:$S,$T:$T,"="&amp;$T422)),""))))&amp;"",IF(Q422="","",""))&amp;""</f>
        <v/>
      </c>
      <c r="AY422" t="str" cm="1">
        <f t="array" ref="AY422">IFERROR(IF(R422&lt;&gt;"",R422,IF(OR($S422="",$T422=""),"",IF($T422&lt;&gt;"",_xlfn._xlws.FILTER(R:R,($BT:$BT=$BT422)*($I:$I=$I422)*($T:$T=$T422)*($S:$S=_xlfn.MINIFS($S:$S,$T:$T,"="&amp;$T422)),""))))&amp;"",IF(R422="","",""))&amp;""</f>
        <v>1</v>
      </c>
      <c r="AZ422" s="6">
        <f t="shared" si="697"/>
        <v>37</v>
      </c>
      <c r="BA422">
        <f t="shared" ref="BA422:BC422" si="756">BA421</f>
        <v>18991</v>
      </c>
      <c r="BB422" t="str">
        <f t="shared" si="756"/>
        <v>Triple J</v>
      </c>
      <c r="BC422" t="str">
        <f t="shared" si="756"/>
        <v>Velodrome</v>
      </c>
      <c r="BD422" t="str">
        <f t="shared" si="699"/>
        <v>Possession</v>
      </c>
      <c r="BE422" t="str">
        <f t="shared" si="700"/>
        <v/>
      </c>
      <c r="BF422" t="str">
        <f t="shared" si="701"/>
        <v/>
      </c>
      <c r="BG422" t="str">
        <f t="shared" si="683"/>
        <v/>
      </c>
      <c r="BH422" cm="1">
        <f t="array" aca="1" ref="BH422" ca="1">IFERROR(_xlfn._xlws.FILTER(shifts!A:A,(shifts!B:B=events!Z422)*(shifts!AG:AG&gt;=events!BJ422)*(shifts!AH:AH&lt;=events!BK422)),BH421)</f>
        <v>13</v>
      </c>
      <c r="BI422" s="15">
        <f t="shared" si="702"/>
        <v>1</v>
      </c>
      <c r="BJ422">
        <f t="shared" si="703"/>
        <v>710</v>
      </c>
      <c r="BK422">
        <f t="shared" si="704"/>
        <v>709</v>
      </c>
      <c r="BL422" s="15">
        <f>SUMIFS(BI$2:BI422,K$2:K422,"=Intermission")+SUMIFS(BI$2:BI422,K$2:K422,"=Timeout")</f>
        <v>0</v>
      </c>
      <c r="BM422">
        <f t="shared" si="705"/>
        <v>0</v>
      </c>
      <c r="BN422" s="19">
        <f t="shared" si="706"/>
        <v>370</v>
      </c>
      <c r="BO422">
        <f t="shared" si="707"/>
        <v>365</v>
      </c>
      <c r="BP422" s="17">
        <f t="shared" si="708"/>
        <v>371</v>
      </c>
      <c r="BQ422" t="str">
        <f t="shared" si="709"/>
        <v>event_team_player_1</v>
      </c>
      <c r="BR422">
        <f>COUNTIFS(S$3:S422,"="&amp;S422,AH$3:AH422,"="&amp;AH422)</f>
        <v>1</v>
      </c>
      <c r="BS422" t="str">
        <f>IFERROR(VLOOKUP(BA422&amp;BT422&amp;X422,game_rosters!U:W,3,FALSE),"")</f>
        <v>P100021</v>
      </c>
      <c r="BT422" t="str">
        <f t="shared" si="710"/>
        <v>Triple J</v>
      </c>
    </row>
    <row r="423" spans="1:72" x14ac:dyDescent="0.2">
      <c r="A423" t="str">
        <f t="shared" si="685"/>
        <v/>
      </c>
      <c r="E423" s="4"/>
      <c r="F423" s="45"/>
      <c r="G423" s="4"/>
      <c r="H423" s="47"/>
      <c r="I423" s="26">
        <v>93</v>
      </c>
      <c r="J423" s="26" t="str">
        <f t="shared" si="711"/>
        <v/>
      </c>
      <c r="N423" t="str">
        <f t="shared" si="729"/>
        <v/>
      </c>
      <c r="Q423" t="str">
        <f t="shared" si="723"/>
        <v/>
      </c>
      <c r="R423" s="26">
        <v>1</v>
      </c>
      <c r="S423">
        <f>IF(A423=1,MAX($S$2:$S422)+1,IF(OR($I423&lt;&gt;"",A423="x"),$S422,""))</f>
        <v>212</v>
      </c>
      <c r="T423" t="str">
        <f>IF(D423=1,MAX($T$2:$T422)+1,IF(S423=S422,$T422,IF(D423="x",T422,IF(D422="x","",""))))</f>
        <v/>
      </c>
      <c r="U423" t="str">
        <f>IF(B423=1,MAX($U$2:$U422)+1,IF(AND($T423&lt;&gt;"",$T423=$T422),$U422,IF(B423="x",U422,"")))</f>
        <v/>
      </c>
      <c r="V423" t="str">
        <f>IF(C423=1,MAX($V$2:$V422)+1,IF(AND($T423&lt;&gt;"",$T423=$T422),$U422,IF(C423="x",V422,"")))</f>
        <v/>
      </c>
      <c r="W423" t="str" cm="1">
        <f t="array" ref="W423">IFERROR(_xlfn._xlws.FILTER(game_rosters!AC:AC,(game_rosters!J:J=events!X423)*(K423&lt;&gt;"")),"")</f>
        <v/>
      </c>
      <c r="X423" cm="1">
        <f t="array" ref="X423">IF($I423&lt;&gt;"",$I423,INDEX($I$1:$I423,ROW()-COUNTIFS($T$1:$T423,"="&amp;$T423,$S$1:$S423,"&lt;"&amp;$S423)))</f>
        <v>93</v>
      </c>
      <c r="Y423" t="str" cm="1">
        <f t="array" ref="Y423">IFERROR(IF(_xlfn._xlws.FILTER(game_rosters!$J:$J,(game_rosters!$G:$G=events!$AM423)*(game_rosters!$J:$J=events!$X423))&gt;0,1,""),"")</f>
        <v/>
      </c>
      <c r="Z423" s="6">
        <f t="shared" si="686"/>
        <v>1</v>
      </c>
      <c r="AA423">
        <f t="shared" si="687"/>
        <v>1212</v>
      </c>
      <c r="AB423" t="str">
        <f t="shared" si="688"/>
        <v/>
      </c>
      <c r="AC423">
        <f t="shared" si="689"/>
        <v>1212</v>
      </c>
      <c r="AD423" t="str">
        <f t="shared" si="690"/>
        <v>11</v>
      </c>
      <c r="AE423" t="str">
        <f t="shared" si="691"/>
        <v>50</v>
      </c>
      <c r="AF423" t="str">
        <f t="shared" si="692"/>
        <v>11</v>
      </c>
      <c r="AG423" t="str">
        <f t="shared" si="693"/>
        <v>49</v>
      </c>
      <c r="AH423" t="str">
        <f t="shared" si="736"/>
        <v>o</v>
      </c>
      <c r="AI423" t="str">
        <f t="shared" si="737"/>
        <v>o</v>
      </c>
      <c r="AJ423" t="str">
        <f t="shared" si="737"/>
        <v>o</v>
      </c>
      <c r="AK423" t="str">
        <f t="shared" si="738"/>
        <v/>
      </c>
      <c r="AL423" t="str">
        <f t="shared" si="739"/>
        <v/>
      </c>
      <c r="AM423" t="str">
        <f t="shared" si="694"/>
        <v>Home</v>
      </c>
      <c r="AN423" t="str">
        <f t="shared" si="740"/>
        <v>h</v>
      </c>
      <c r="AO423" t="str">
        <f t="shared" si="741"/>
        <v>o</v>
      </c>
      <c r="AP423" t="str">
        <f t="shared" si="742"/>
        <v>d</v>
      </c>
      <c r="AQ423" t="str">
        <f>IF(AM423&lt;&gt;"",AM423,IF($AC423=#REF!,#REF!,""))</f>
        <v>Home</v>
      </c>
      <c r="AR423" t="str">
        <f t="shared" si="743"/>
        <v>h</v>
      </c>
      <c r="AS423" t="str">
        <f t="shared" si="744"/>
        <v>Defensive</v>
      </c>
      <c r="AT423" t="str">
        <f t="shared" si="695"/>
        <v/>
      </c>
      <c r="AU423" t="str">
        <f t="shared" si="696"/>
        <v/>
      </c>
      <c r="AV423" t="str" cm="1">
        <f t="array" ref="AV423">IFERROR(IF(O423&lt;&gt;"",O423,IF(OR($S423="",$T423=""),"",IF(O423&lt;&gt;"",O423,IF($T423&lt;&gt;"",_xlfn._xlws.FILTER(O:O,($BT:$BT=$BT423)*($I:$I=$I423)*($T:$T=$T423)*($S:$S=_xlfn.MINIFS($S:$S,$T:$T,"="&amp;$T423)),"")))))&amp;"",IF(O423="","",""))&amp;""</f>
        <v/>
      </c>
      <c r="AW423" t="str" cm="1">
        <f t="array" ref="AW423">IFERROR(IF(P423&lt;&gt;"",P423,IF(OR($S423="",$T423=""),"",IF($T423&lt;&gt;"",_xlfn._xlws.FILTER(P:P,($BT:$BT=$BT423)*($I:$I=$I423)*($T:$T=$T423)*($S:$S=_xlfn.MINIFS($S:$S,$T:$T,"="&amp;$T423)),""))))&amp;"",IF(P423="","",""))&amp;""</f>
        <v/>
      </c>
      <c r="AX423" t="str" cm="1">
        <f t="array" ref="AX423">IFERROR(IF(Q423&lt;&gt;"",Q423,IF(OR($S423="",$T423=""),"",IF($T423&lt;&gt;"",_xlfn._xlws.FILTER(Q:Q,($BT:$BT=$BT423)*($I:$I=$I423)*($T:$T=$T423)*($S:$S=_xlfn.MINIFS($S:$S,$T:$T,"="&amp;$T423)),""))))&amp;"",IF(Q423="","",""))&amp;""</f>
        <v/>
      </c>
      <c r="AY423" t="str" cm="1">
        <f t="array" ref="AY423">IFERROR(IF(R423&lt;&gt;"",R423,IF(OR($S423="",$T423=""),"",IF($T423&lt;&gt;"",_xlfn._xlws.FILTER(R:R,($BT:$BT=$BT423)*($I:$I=$I423)*($T:$T=$T423)*($S:$S=_xlfn.MINIFS($S:$S,$T:$T,"="&amp;$T423)),""))))&amp;"",IF(R423="","",""))&amp;""</f>
        <v>1</v>
      </c>
      <c r="AZ423" s="6">
        <f t="shared" si="697"/>
        <v>37</v>
      </c>
      <c r="BA423">
        <f t="shared" ref="BA423:BC423" si="757">BA422</f>
        <v>18991</v>
      </c>
      <c r="BB423" t="str">
        <f t="shared" si="757"/>
        <v>Triple J</v>
      </c>
      <c r="BC423" t="str">
        <f t="shared" si="757"/>
        <v>Velodrome</v>
      </c>
      <c r="BD423" t="str">
        <f t="shared" si="699"/>
        <v>Possession</v>
      </c>
      <c r="BE423" t="str">
        <f t="shared" si="700"/>
        <v/>
      </c>
      <c r="BF423" t="str">
        <f t="shared" si="701"/>
        <v/>
      </c>
      <c r="BG423" t="str">
        <f t="shared" si="683"/>
        <v/>
      </c>
      <c r="BH423" cm="1">
        <f t="array" aca="1" ref="BH423" ca="1">IFERROR(_xlfn._xlws.FILTER(shifts!A:A,(shifts!B:B=events!Z423)*(shifts!AG:AG&gt;=events!BJ423)*(shifts!AH:AH&lt;=events!BK423)),BH422)</f>
        <v>13</v>
      </c>
      <c r="BI423" s="15">
        <f t="shared" si="702"/>
        <v>1</v>
      </c>
      <c r="BJ423">
        <f t="shared" si="703"/>
        <v>710</v>
      </c>
      <c r="BK423">
        <f t="shared" si="704"/>
        <v>709</v>
      </c>
      <c r="BL423" s="15">
        <f>SUMIFS(BI$2:BI423,K$2:K423,"=Intermission")+SUMIFS(BI$2:BI423,K$2:K423,"=Timeout")</f>
        <v>0</v>
      </c>
      <c r="BM423">
        <f t="shared" si="705"/>
        <v>0</v>
      </c>
      <c r="BN423" s="19">
        <f t="shared" si="706"/>
        <v>370</v>
      </c>
      <c r="BO423">
        <f t="shared" si="707"/>
        <v>365</v>
      </c>
      <c r="BP423" s="17">
        <f t="shared" si="708"/>
        <v>371</v>
      </c>
      <c r="BQ423" t="str">
        <f t="shared" si="709"/>
        <v>opp_team_player_1</v>
      </c>
      <c r="BR423">
        <f>COUNTIFS(S$3:S423,"="&amp;S423,AH$3:AH423,"="&amp;AH423)</f>
        <v>1</v>
      </c>
      <c r="BS423" t="str">
        <f>IFERROR(VLOOKUP(BA423&amp;BT423&amp;X423,game_rosters!U:W,3,FALSE),"")</f>
        <v>P100093</v>
      </c>
      <c r="BT423" t="str">
        <f t="shared" si="710"/>
        <v>Velodrome</v>
      </c>
    </row>
    <row r="424" spans="1:72" x14ac:dyDescent="0.2">
      <c r="A424">
        <f t="shared" si="685"/>
        <v>1</v>
      </c>
      <c r="D424" s="26">
        <v>1</v>
      </c>
      <c r="E424" s="4"/>
      <c r="F424" s="45"/>
      <c r="G424" s="4"/>
      <c r="H424" s="47"/>
      <c r="I424" s="26">
        <v>73</v>
      </c>
      <c r="J424" s="26" t="str">
        <f t="shared" si="711"/>
        <v>o</v>
      </c>
      <c r="K424" t="s">
        <v>6</v>
      </c>
      <c r="L424" t="s">
        <v>205</v>
      </c>
      <c r="M424" t="s">
        <v>51</v>
      </c>
      <c r="N424" t="str">
        <f t="shared" si="729"/>
        <v>s</v>
      </c>
      <c r="Q424" t="str">
        <f t="shared" si="723"/>
        <v/>
      </c>
      <c r="R424" s="26">
        <v>1</v>
      </c>
      <c r="S424">
        <f>IF(A424=1,MAX($S$2:$S423)+1,IF(OR($I424&lt;&gt;"",A424="x"),$S423,""))</f>
        <v>213</v>
      </c>
      <c r="T424">
        <f>IF(D424=1,MAX($T$2:$T423)+1,IF(S424=S423,$T423,IF(D424="x",T423,IF(D423="x","",""))))</f>
        <v>27</v>
      </c>
      <c r="U424" t="str">
        <f>IF(B424=1,MAX($U$2:$U423)+1,IF(AND($T424&lt;&gt;"",$T424=$T423),$U423,IF(B424="x",U423,"")))</f>
        <v/>
      </c>
      <c r="V424" t="str">
        <f>IF(C424=1,MAX($V$2:$V423)+1,IF(AND($T424&lt;&gt;"",$T424=$T423),$U423,IF(C424="x",V423,"")))</f>
        <v/>
      </c>
      <c r="W424" t="str" cm="1">
        <f t="array" ref="W424">IFERROR(_xlfn._xlws.FILTER(game_rosters!AC:AC,(game_rosters!J:J=events!X424)*(K424&lt;&gt;"")),"")</f>
        <v>h</v>
      </c>
      <c r="X424" cm="1">
        <f t="array" ref="X424">IF($I424&lt;&gt;"",$I424,INDEX($I$1:$I424,ROW()-COUNTIFS($T$1:$T424,"="&amp;$T424,$S$1:$S424,"&lt;"&amp;$S424)))</f>
        <v>73</v>
      </c>
      <c r="Y424" cm="1">
        <f t="array" ref="Y424">IFERROR(IF(_xlfn._xlws.FILTER(game_rosters!$J:$J,(game_rosters!$G:$G=events!$AM424)*(game_rosters!$J:$J=events!$X424))&gt;0,1,""),"")</f>
        <v>1</v>
      </c>
      <c r="Z424" s="6">
        <f t="shared" si="686"/>
        <v>1</v>
      </c>
      <c r="AA424">
        <f t="shared" si="687"/>
        <v>1213</v>
      </c>
      <c r="AB424">
        <f t="shared" si="688"/>
        <v>9027</v>
      </c>
      <c r="AC424">
        <f t="shared" si="689"/>
        <v>9027</v>
      </c>
      <c r="AD424" t="str">
        <f t="shared" si="690"/>
        <v>11</v>
      </c>
      <c r="AE424" t="str">
        <f t="shared" si="691"/>
        <v>49</v>
      </c>
      <c r="AF424" t="str">
        <f t="shared" si="692"/>
        <v/>
      </c>
      <c r="AG424" t="str">
        <f t="shared" si="693"/>
        <v/>
      </c>
      <c r="AH424" t="str">
        <f t="shared" si="736"/>
        <v>e</v>
      </c>
      <c r="AI424" t="str">
        <f t="shared" si="737"/>
        <v>o</v>
      </c>
      <c r="AJ424" t="str">
        <f t="shared" si="737"/>
        <v>o</v>
      </c>
      <c r="AK424" t="str">
        <f t="shared" si="738"/>
        <v>o</v>
      </c>
      <c r="AL424" t="str">
        <f t="shared" si="739"/>
        <v>d</v>
      </c>
      <c r="AM424" t="str">
        <f t="shared" si="694"/>
        <v>Home</v>
      </c>
      <c r="AN424" t="str">
        <f t="shared" si="740"/>
        <v>h</v>
      </c>
      <c r="AO424" t="str">
        <f t="shared" si="741"/>
        <v>o</v>
      </c>
      <c r="AP424" t="str">
        <f t="shared" si="742"/>
        <v>d</v>
      </c>
      <c r="AQ424" t="str">
        <f>IF(AM424&lt;&gt;"",AM424,IF($AC424=#REF!,#REF!,""))</f>
        <v>Home</v>
      </c>
      <c r="AR424" t="str">
        <f t="shared" si="743"/>
        <v>h</v>
      </c>
      <c r="AS424" t="str">
        <f t="shared" si="744"/>
        <v>Offensive</v>
      </c>
      <c r="AT424" t="str">
        <f t="shared" si="695"/>
        <v/>
      </c>
      <c r="AU424" t="str">
        <f t="shared" si="696"/>
        <v/>
      </c>
      <c r="AV424" t="str" cm="1">
        <f t="array" ref="AV424">IFERROR(IF(O424&lt;&gt;"",O424,IF(OR($S424="",$T424=""),"",IF(O424&lt;&gt;"",O424,IF($T424&lt;&gt;"",_xlfn._xlws.FILTER(O:O,($BT:$BT=$BT424)*($I:$I=$I424)*($T:$T=$T424)*($S:$S=_xlfn.MINIFS($S:$S,$T:$T,"="&amp;$T424)),"")))))&amp;"",IF(O424="","",""))&amp;""</f>
        <v/>
      </c>
      <c r="AW424" t="str" cm="1">
        <f t="array" ref="AW424">IFERROR(IF(P424&lt;&gt;"",P424,IF(OR($S424="",$T424=""),"",IF($T424&lt;&gt;"",_xlfn._xlws.FILTER(P:P,($BT:$BT=$BT424)*($I:$I=$I424)*($T:$T=$T424)*($S:$S=_xlfn.MINIFS($S:$S,$T:$T,"="&amp;$T424)),""))))&amp;"",IF(P424="","",""))&amp;""</f>
        <v/>
      </c>
      <c r="AX424" t="str" cm="1">
        <f t="array" ref="AX424">IFERROR(IF(Q424&lt;&gt;"",Q424,IF(OR($S424="",$T424=""),"",IF($T424&lt;&gt;"",_xlfn._xlws.FILTER(Q:Q,($BT:$BT=$BT424)*($I:$I=$I424)*($T:$T=$T424)*($S:$S=_xlfn.MINIFS($S:$S,$T:$T,"="&amp;$T424)),""))))&amp;"",IF(Q424="","",""))&amp;""</f>
        <v/>
      </c>
      <c r="AY424" t="str" cm="1">
        <f t="array" ref="AY424">IFERROR(IF(R424&lt;&gt;"",R424,IF(OR($S424="",$T424=""),"",IF($T424&lt;&gt;"",_xlfn._xlws.FILTER(R:R,($BT:$BT=$BT424)*($I:$I=$I424)*($T:$T=$T424)*($S:$S=_xlfn.MINIFS($S:$S,$T:$T,"="&amp;$T424)),""))))&amp;"",IF(R424="","",""))&amp;""</f>
        <v>1</v>
      </c>
      <c r="AZ424" s="6">
        <f t="shared" si="697"/>
        <v>37</v>
      </c>
      <c r="BA424">
        <f t="shared" ref="BA424:BC424" si="758">BA423</f>
        <v>18991</v>
      </c>
      <c r="BB424" t="str">
        <f t="shared" si="758"/>
        <v>Triple J</v>
      </c>
      <c r="BC424" t="str">
        <f t="shared" si="758"/>
        <v>Velodrome</v>
      </c>
      <c r="BD424" t="str">
        <f t="shared" si="699"/>
        <v>Shot</v>
      </c>
      <c r="BE424" t="str">
        <f t="shared" si="700"/>
        <v>Shot_OnNetSaved</v>
      </c>
      <c r="BF424" t="str">
        <f t="shared" si="701"/>
        <v>Shot-Wrist</v>
      </c>
      <c r="BG424" t="str">
        <f t="shared" si="683"/>
        <v>s</v>
      </c>
      <c r="BH424" cm="1">
        <f t="array" aca="1" ref="BH424" ca="1">IFERROR(_xlfn._xlws.FILTER(shifts!A:A,(shifts!B:B=events!Z424)*(shifts!AG:AG&gt;=events!BJ424)*(shifts!AH:AH&lt;=events!BK424)),BH423)</f>
        <v>13</v>
      </c>
      <c r="BI424" s="15">
        <f t="shared" si="702"/>
        <v>0</v>
      </c>
      <c r="BJ424">
        <f t="shared" si="703"/>
        <v>709</v>
      </c>
      <c r="BK424">
        <f t="shared" si="704"/>
        <v>709</v>
      </c>
      <c r="BL424" s="15">
        <f>SUMIFS(BI$2:BI424,K$2:K424,"=Intermission")+SUMIFS(BI$2:BI424,K$2:K424,"=Timeout")</f>
        <v>0</v>
      </c>
      <c r="BM424">
        <f t="shared" si="705"/>
        <v>0</v>
      </c>
      <c r="BN424" s="19">
        <f t="shared" si="706"/>
        <v>371</v>
      </c>
      <c r="BO424">
        <f t="shared" si="707"/>
        <v>366</v>
      </c>
      <c r="BP424" s="17">
        <f t="shared" si="708"/>
        <v>371</v>
      </c>
      <c r="BQ424" t="str">
        <f t="shared" si="709"/>
        <v>event_team_player_1</v>
      </c>
      <c r="BR424">
        <f>COUNTIFS(S$3:S424,"="&amp;S424,AH$3:AH424,"="&amp;AH424)</f>
        <v>1</v>
      </c>
      <c r="BS424" t="str">
        <f>IFERROR(VLOOKUP(BA424&amp;BT424&amp;X424,game_rosters!U:W,3,FALSE),"")</f>
        <v>P100021</v>
      </c>
      <c r="BT424" t="str">
        <f t="shared" si="710"/>
        <v>Triple J</v>
      </c>
    </row>
    <row r="425" spans="1:72" x14ac:dyDescent="0.2">
      <c r="A425" t="str">
        <f t="shared" si="685"/>
        <v>x</v>
      </c>
      <c r="D425" s="26" t="s">
        <v>729</v>
      </c>
      <c r="E425" s="4"/>
      <c r="F425" s="45"/>
      <c r="G425" s="4"/>
      <c r="H425" s="47"/>
      <c r="I425" s="26">
        <v>39</v>
      </c>
      <c r="J425" s="26" t="str">
        <f t="shared" si="711"/>
        <v/>
      </c>
      <c r="N425" t="str">
        <f t="shared" si="729"/>
        <v/>
      </c>
      <c r="Q425" t="str">
        <f t="shared" si="723"/>
        <v/>
      </c>
      <c r="S425">
        <f>IF(A425=1,MAX($S$2:$S424)+1,IF(OR($I425&lt;&gt;"",A425="x"),$S424,""))</f>
        <v>213</v>
      </c>
      <c r="T425">
        <f>IF(D425=1,MAX($T$2:$T424)+1,IF(S425=S424,$T424,IF(D425="x",T424,IF(D424="x","",""))))</f>
        <v>27</v>
      </c>
      <c r="U425" t="str">
        <f>IF(B425=1,MAX($U$2:$U424)+1,IF(AND($T425&lt;&gt;"",$T425=$T424),$U424,IF(B425="x",U424,"")))</f>
        <v/>
      </c>
      <c r="V425" t="str">
        <f>IF(C425=1,MAX($V$2:$V424)+1,IF(AND($T425&lt;&gt;"",$T425=$T424),$U424,IF(C425="x",V424,"")))</f>
        <v/>
      </c>
      <c r="W425" t="str" cm="1">
        <f t="array" ref="W425">IFERROR(_xlfn._xlws.FILTER(game_rosters!AC:AC,(game_rosters!J:J=events!X425)*(K425&lt;&gt;"")),"")</f>
        <v/>
      </c>
      <c r="X425" cm="1">
        <f t="array" ref="X425">IF($I425&lt;&gt;"",$I425,INDEX($I$1:$I425,ROW()-COUNTIFS($T$1:$T425,"="&amp;$T425,$S$1:$S425,"&lt;"&amp;$S425)))</f>
        <v>39</v>
      </c>
      <c r="Y425" t="str" cm="1">
        <f t="array" ref="Y425">IFERROR(IF(_xlfn._xlws.FILTER(game_rosters!$J:$J,(game_rosters!$G:$G=events!$AM425)*(game_rosters!$J:$J=events!$X425))&gt;0,1,""),"")</f>
        <v/>
      </c>
      <c r="Z425" s="6">
        <f t="shared" si="686"/>
        <v>1</v>
      </c>
      <c r="AA425">
        <f t="shared" si="687"/>
        <v>1213</v>
      </c>
      <c r="AB425">
        <f t="shared" si="688"/>
        <v>9027</v>
      </c>
      <c r="AC425">
        <f t="shared" si="689"/>
        <v>9027</v>
      </c>
      <c r="AD425" t="str">
        <f t="shared" si="690"/>
        <v>11</v>
      </c>
      <c r="AE425" t="str">
        <f t="shared" si="691"/>
        <v>49</v>
      </c>
      <c r="AF425" t="str">
        <f t="shared" si="692"/>
        <v/>
      </c>
      <c r="AG425" t="str">
        <f t="shared" si="693"/>
        <v/>
      </c>
      <c r="AH425" t="str">
        <f t="shared" si="736"/>
        <v>o</v>
      </c>
      <c r="AI425" t="str">
        <f t="shared" si="737"/>
        <v>o</v>
      </c>
      <c r="AJ425" t="str">
        <f t="shared" si="737"/>
        <v>o</v>
      </c>
      <c r="AK425" t="str">
        <f t="shared" si="738"/>
        <v/>
      </c>
      <c r="AL425" t="str">
        <f t="shared" si="739"/>
        <v/>
      </c>
      <c r="AM425" t="str">
        <f t="shared" si="694"/>
        <v>Home</v>
      </c>
      <c r="AN425" t="str">
        <f t="shared" si="740"/>
        <v>h</v>
      </c>
      <c r="AO425" t="str">
        <f t="shared" si="741"/>
        <v>o</v>
      </c>
      <c r="AP425" t="str">
        <f t="shared" si="742"/>
        <v>d</v>
      </c>
      <c r="AQ425" t="str">
        <f>IF(AM425&lt;&gt;"",AM425,IF($AC425=#REF!,#REF!,""))</f>
        <v>Home</v>
      </c>
      <c r="AR425" t="str">
        <f t="shared" si="743"/>
        <v>h</v>
      </c>
      <c r="AS425" t="str">
        <f t="shared" si="744"/>
        <v>Defensive</v>
      </c>
      <c r="AT425" t="str">
        <f t="shared" si="695"/>
        <v/>
      </c>
      <c r="AU425" t="str">
        <f t="shared" si="696"/>
        <v/>
      </c>
      <c r="AV425" t="str" cm="1">
        <f t="array" ref="AV425">IFERROR(IF(O425&lt;&gt;"",O425,IF(OR($S425="",$T425=""),"",IF(O425&lt;&gt;"",O425,IF($T425&lt;&gt;"",_xlfn._xlws.FILTER(O:O,($BT:$BT=$BT425)*($I:$I=$I425)*($T:$T=$T425)*($S:$S=_xlfn.MINIFS($S:$S,$T:$T,"="&amp;$T425)),"")))))&amp;"",IF(O425="","",""))&amp;""</f>
        <v/>
      </c>
      <c r="AW425" t="str" cm="1">
        <f t="array" ref="AW425">IFERROR(IF(P425&lt;&gt;"",P425,IF(OR($S425="",$T425=""),"",IF($T425&lt;&gt;"",_xlfn._xlws.FILTER(P:P,($BT:$BT=$BT425)*($I:$I=$I425)*($T:$T=$T425)*($S:$S=_xlfn.MINIFS($S:$S,$T:$T,"="&amp;$T425)),""))))&amp;"",IF(P425="","",""))&amp;""</f>
        <v/>
      </c>
      <c r="AX425" t="str" cm="1">
        <f t="array" ref="AX425">IFERROR(IF(Q425&lt;&gt;"",Q425,IF(OR($S425="",$T425=""),"",IF($T425&lt;&gt;"",_xlfn._xlws.FILTER(Q:Q,($BT:$BT=$BT425)*($I:$I=$I425)*($T:$T=$T425)*($S:$S=_xlfn.MINIFS($S:$S,$T:$T,"="&amp;$T425)),""))))&amp;"",IF(Q425="","",""))&amp;""</f>
        <v/>
      </c>
      <c r="AY425" t="str" cm="1">
        <f t="array" ref="AY425">IFERROR(IF(R425&lt;&gt;"",R425,IF(OR($S425="",$T425=""),"",IF($T425&lt;&gt;"",_xlfn._xlws.FILTER(R:R,($BT:$BT=$BT425)*($I:$I=$I425)*($T:$T=$T425)*($S:$S=_xlfn.MINIFS($S:$S,$T:$T,"="&amp;$T425)),""))))&amp;"",IF(R425="","",""))&amp;""</f>
        <v/>
      </c>
      <c r="AZ425" s="6">
        <f t="shared" si="697"/>
        <v>37</v>
      </c>
      <c r="BA425">
        <f t="shared" ref="BA425:BC425" si="759">BA424</f>
        <v>18991</v>
      </c>
      <c r="BB425" t="str">
        <f t="shared" si="759"/>
        <v>Triple J</v>
      </c>
      <c r="BC425" t="str">
        <f t="shared" si="759"/>
        <v>Velodrome</v>
      </c>
      <c r="BD425" t="str">
        <f t="shared" si="699"/>
        <v>Shot</v>
      </c>
      <c r="BE425" t="str">
        <f t="shared" si="700"/>
        <v>Shot_OnNetSaved</v>
      </c>
      <c r="BF425" t="str">
        <f t="shared" si="701"/>
        <v>Shot-Wrist</v>
      </c>
      <c r="BG425" t="str">
        <f t="shared" si="683"/>
        <v>s</v>
      </c>
      <c r="BH425" cm="1">
        <f t="array" aca="1" ref="BH425" ca="1">IFERROR(_xlfn._xlws.FILTER(shifts!A:A,(shifts!B:B=events!Z425)*(shifts!AG:AG&gt;=events!BJ425)*(shifts!AH:AH&lt;=events!BK425)),BH424)</f>
        <v>13</v>
      </c>
      <c r="BI425" s="15">
        <f t="shared" si="702"/>
        <v>0</v>
      </c>
      <c r="BJ425">
        <f t="shared" si="703"/>
        <v>709</v>
      </c>
      <c r="BK425">
        <f t="shared" si="704"/>
        <v>709</v>
      </c>
      <c r="BL425" s="15">
        <f>SUMIFS(BI$2:BI425,K$2:K425,"=Intermission")+SUMIFS(BI$2:BI425,K$2:K425,"=Timeout")</f>
        <v>0</v>
      </c>
      <c r="BM425">
        <f t="shared" si="705"/>
        <v>0</v>
      </c>
      <c r="BN425" s="19">
        <f t="shared" si="706"/>
        <v>371</v>
      </c>
      <c r="BO425">
        <f t="shared" si="707"/>
        <v>366</v>
      </c>
      <c r="BP425" s="17">
        <f t="shared" si="708"/>
        <v>371</v>
      </c>
      <c r="BQ425" t="str">
        <f t="shared" si="709"/>
        <v>opp_team_player_1</v>
      </c>
      <c r="BR425">
        <f>COUNTIFS(S$3:S425,"="&amp;S425,AH$3:AH425,"="&amp;AH425)</f>
        <v>1</v>
      </c>
      <c r="BS425" t="str">
        <f>IFERROR(VLOOKUP(BA425&amp;BT425&amp;X425,game_rosters!U:W,3,FALSE),"")</f>
        <v>P100016</v>
      </c>
      <c r="BT425" t="str">
        <f t="shared" si="710"/>
        <v>Velodrome</v>
      </c>
    </row>
    <row r="426" spans="1:72" x14ac:dyDescent="0.2">
      <c r="A426" t="str">
        <f t="shared" si="685"/>
        <v>x</v>
      </c>
      <c r="D426" s="26" t="s">
        <v>729</v>
      </c>
      <c r="E426" s="4"/>
      <c r="F426" s="45"/>
      <c r="G426" s="4"/>
      <c r="H426" s="47"/>
      <c r="I426" s="26">
        <v>93</v>
      </c>
      <c r="J426" s="26" t="str">
        <f t="shared" si="711"/>
        <v/>
      </c>
      <c r="N426" t="str">
        <f t="shared" si="729"/>
        <v/>
      </c>
      <c r="Q426" t="str">
        <f t="shared" si="723"/>
        <v/>
      </c>
      <c r="R426" s="26">
        <v>1</v>
      </c>
      <c r="S426">
        <f>IF(A426=1,MAX($S$2:$S425)+1,IF(OR($I426&lt;&gt;"",A426="x"),$S425,""))</f>
        <v>213</v>
      </c>
      <c r="T426">
        <f>IF(D426=1,MAX($T$2:$T425)+1,IF(S426=S425,$T425,IF(D426="x",T425,IF(D425="x","",""))))</f>
        <v>27</v>
      </c>
      <c r="U426" t="str">
        <f>IF(B426=1,MAX($U$2:$U425)+1,IF(AND($T426&lt;&gt;"",$T426=$T425),$U425,IF(B426="x",U425,"")))</f>
        <v/>
      </c>
      <c r="V426" t="str">
        <f>IF(C426=1,MAX($V$2:$V425)+1,IF(AND($T426&lt;&gt;"",$T426=$T425),$U425,IF(C426="x",V425,"")))</f>
        <v/>
      </c>
      <c r="W426" t="str" cm="1">
        <f t="array" ref="W426">IFERROR(_xlfn._xlws.FILTER(game_rosters!AC:AC,(game_rosters!J:J=events!X426)*(K426&lt;&gt;"")),"")</f>
        <v/>
      </c>
      <c r="X426" cm="1">
        <f t="array" ref="X426">IF($I426&lt;&gt;"",$I426,INDEX($I$1:$I426,ROW()-COUNTIFS($T$1:$T426,"="&amp;$T426,$S$1:$S426,"&lt;"&amp;$S426)))</f>
        <v>93</v>
      </c>
      <c r="Y426" t="str" cm="1">
        <f t="array" ref="Y426">IFERROR(IF(_xlfn._xlws.FILTER(game_rosters!$J:$J,(game_rosters!$G:$G=events!$AM426)*(game_rosters!$J:$J=events!$X426))&gt;0,1,""),"")</f>
        <v/>
      </c>
      <c r="Z426" s="6">
        <f t="shared" si="686"/>
        <v>1</v>
      </c>
      <c r="AA426">
        <f t="shared" si="687"/>
        <v>1213</v>
      </c>
      <c r="AB426">
        <f t="shared" si="688"/>
        <v>9027</v>
      </c>
      <c r="AC426">
        <f t="shared" si="689"/>
        <v>9027</v>
      </c>
      <c r="AD426" t="str">
        <f t="shared" si="690"/>
        <v>11</v>
      </c>
      <c r="AE426" t="str">
        <f t="shared" si="691"/>
        <v>49</v>
      </c>
      <c r="AF426" t="str">
        <f t="shared" si="692"/>
        <v/>
      </c>
      <c r="AG426" t="str">
        <f t="shared" si="693"/>
        <v/>
      </c>
      <c r="AH426" t="str">
        <f t="shared" si="736"/>
        <v>o</v>
      </c>
      <c r="AI426" t="str">
        <f t="shared" si="737"/>
        <v>o</v>
      </c>
      <c r="AJ426" t="str">
        <f t="shared" si="737"/>
        <v>o</v>
      </c>
      <c r="AK426" t="str">
        <f t="shared" si="738"/>
        <v/>
      </c>
      <c r="AL426" t="str">
        <f t="shared" si="739"/>
        <v/>
      </c>
      <c r="AM426" t="str">
        <f t="shared" si="694"/>
        <v>Home</v>
      </c>
      <c r="AN426" t="str">
        <f t="shared" si="740"/>
        <v>h</v>
      </c>
      <c r="AO426" t="str">
        <f t="shared" si="741"/>
        <v>o</v>
      </c>
      <c r="AP426" t="str">
        <f t="shared" si="742"/>
        <v>d</v>
      </c>
      <c r="AQ426" t="str">
        <f>IF(AM426&lt;&gt;"",AM426,IF($AC426=#REF!,#REF!,""))</f>
        <v>Home</v>
      </c>
      <c r="AR426" t="str">
        <f t="shared" si="743"/>
        <v>h</v>
      </c>
      <c r="AS426" t="str">
        <f t="shared" si="744"/>
        <v>Defensive</v>
      </c>
      <c r="AT426" t="str">
        <f t="shared" si="695"/>
        <v/>
      </c>
      <c r="AU426" t="str">
        <f t="shared" si="696"/>
        <v/>
      </c>
      <c r="AV426" t="str" cm="1">
        <f t="array" ref="AV426">IFERROR(IF(O426&lt;&gt;"",O426,IF(OR($S426="",$T426=""),"",IF(O426&lt;&gt;"",O426,IF($T426&lt;&gt;"",_xlfn._xlws.FILTER(O:O,($BT:$BT=$BT426)*($I:$I=$I426)*($T:$T=$T426)*($S:$S=_xlfn.MINIFS($S:$S,$T:$T,"="&amp;$T426)),"")))))&amp;"",IF(O426="","",""))&amp;""</f>
        <v/>
      </c>
      <c r="AW426" t="str" cm="1">
        <f t="array" ref="AW426">IFERROR(IF(P426&lt;&gt;"",P426,IF(OR($S426="",$T426=""),"",IF($T426&lt;&gt;"",_xlfn._xlws.FILTER(P:P,($BT:$BT=$BT426)*($I:$I=$I426)*($T:$T=$T426)*($S:$S=_xlfn.MINIFS($S:$S,$T:$T,"="&amp;$T426)),""))))&amp;"",IF(P426="","",""))&amp;""</f>
        <v/>
      </c>
      <c r="AX426" t="str" cm="1">
        <f t="array" ref="AX426">IFERROR(IF(Q426&lt;&gt;"",Q426,IF(OR($S426="",$T426=""),"",IF($T426&lt;&gt;"",_xlfn._xlws.FILTER(Q:Q,($BT:$BT=$BT426)*($I:$I=$I426)*($T:$T=$T426)*($S:$S=_xlfn.MINIFS($S:$S,$T:$T,"="&amp;$T426)),""))))&amp;"",IF(Q426="","",""))&amp;""</f>
        <v/>
      </c>
      <c r="AY426" t="str" cm="1">
        <f t="array" ref="AY426">IFERROR(IF(R426&lt;&gt;"",R426,IF(OR($S426="",$T426=""),"",IF($T426&lt;&gt;"",_xlfn._xlws.FILTER(R:R,($BT:$BT=$BT426)*($I:$I=$I426)*($T:$T=$T426)*($S:$S=_xlfn.MINIFS($S:$S,$T:$T,"="&amp;$T426)),""))))&amp;"",IF(R426="","",""))&amp;""</f>
        <v>1</v>
      </c>
      <c r="AZ426" s="6">
        <f t="shared" si="697"/>
        <v>37</v>
      </c>
      <c r="BA426">
        <f t="shared" ref="BA426:BC426" si="760">BA425</f>
        <v>18991</v>
      </c>
      <c r="BB426" t="str">
        <f t="shared" si="760"/>
        <v>Triple J</v>
      </c>
      <c r="BC426" t="str">
        <f t="shared" si="760"/>
        <v>Velodrome</v>
      </c>
      <c r="BD426" t="str">
        <f t="shared" si="699"/>
        <v>Shot</v>
      </c>
      <c r="BE426" t="str">
        <f t="shared" si="700"/>
        <v>Shot_OnNetSaved</v>
      </c>
      <c r="BF426" t="str">
        <f t="shared" si="701"/>
        <v>Shot-Wrist</v>
      </c>
      <c r="BG426" t="str">
        <f t="shared" si="683"/>
        <v>s</v>
      </c>
      <c r="BH426" cm="1">
        <f t="array" aca="1" ref="BH426" ca="1">IFERROR(_xlfn._xlws.FILTER(shifts!A:A,(shifts!B:B=events!Z426)*(shifts!AG:AG&gt;=events!BJ426)*(shifts!AH:AH&lt;=events!BK426)),BH425)</f>
        <v>13</v>
      </c>
      <c r="BI426" s="15">
        <f t="shared" si="702"/>
        <v>0</v>
      </c>
      <c r="BJ426">
        <f t="shared" si="703"/>
        <v>709</v>
      </c>
      <c r="BK426">
        <f t="shared" si="704"/>
        <v>709</v>
      </c>
      <c r="BL426" s="15">
        <f>SUMIFS(BI$2:BI426,K$2:K426,"=Intermission")+SUMIFS(BI$2:BI426,K$2:K426,"=Timeout")</f>
        <v>0</v>
      </c>
      <c r="BM426">
        <f t="shared" si="705"/>
        <v>0</v>
      </c>
      <c r="BN426" s="19">
        <f t="shared" si="706"/>
        <v>371</v>
      </c>
      <c r="BO426">
        <f t="shared" si="707"/>
        <v>366</v>
      </c>
      <c r="BP426" s="17">
        <f t="shared" si="708"/>
        <v>371</v>
      </c>
      <c r="BQ426" t="str">
        <f t="shared" si="709"/>
        <v>opp_team_player_2</v>
      </c>
      <c r="BR426">
        <f>COUNTIFS(S$3:S426,"="&amp;S426,AH$3:AH426,"="&amp;AH426)</f>
        <v>2</v>
      </c>
      <c r="BS426" t="str">
        <f>IFERROR(VLOOKUP(BA426&amp;BT426&amp;X426,game_rosters!U:W,3,FALSE),"")</f>
        <v>P100093</v>
      </c>
      <c r="BT426" t="str">
        <f t="shared" si="710"/>
        <v>Velodrome</v>
      </c>
    </row>
    <row r="427" spans="1:72" x14ac:dyDescent="0.2">
      <c r="A427">
        <f t="shared" si="685"/>
        <v>1</v>
      </c>
      <c r="D427" s="26" t="s">
        <v>729</v>
      </c>
      <c r="E427" s="4"/>
      <c r="F427" s="45"/>
      <c r="G427" s="4"/>
      <c r="H427" s="47"/>
      <c r="I427" s="26">
        <v>39</v>
      </c>
      <c r="J427" s="26" t="str">
        <f t="shared" si="711"/>
        <v>d</v>
      </c>
      <c r="K427" t="s">
        <v>15</v>
      </c>
      <c r="L427" t="s">
        <v>179</v>
      </c>
      <c r="M427" t="s">
        <v>100</v>
      </c>
      <c r="N427" t="str">
        <f t="shared" si="729"/>
        <v/>
      </c>
      <c r="Q427" t="str">
        <f t="shared" si="723"/>
        <v/>
      </c>
      <c r="S427">
        <f>IF(A427=1,MAX($S$2:$S426)+1,IF(OR($I427&lt;&gt;"",A427="x"),$S426,""))</f>
        <v>214</v>
      </c>
      <c r="T427">
        <f>IF(D427=1,MAX($T$2:$T426)+1,IF(S427=S426,$T426,IF(D427="x",T426,IF(D426="x","",""))))</f>
        <v>27</v>
      </c>
      <c r="U427" t="str">
        <f>IF(B427=1,MAX($U$2:$U426)+1,IF(AND($T427&lt;&gt;"",$T427=$T426),$U426,IF(B427="x",U426,"")))</f>
        <v/>
      </c>
      <c r="V427" t="str">
        <f>IF(C427=1,MAX($V$2:$V426)+1,IF(AND($T427&lt;&gt;"",$T427=$T426),$U426,IF(C427="x",V426,"")))</f>
        <v/>
      </c>
      <c r="W427" t="str" cm="1">
        <f t="array" ref="W427">IFERROR(_xlfn._xlws.FILTER(game_rosters!AC:AC,(game_rosters!J:J=events!X427)*(K427&lt;&gt;"")),"")</f>
        <v>a</v>
      </c>
      <c r="X427" cm="1">
        <f t="array" ref="X427">IF($I427&lt;&gt;"",$I427,INDEX($I$1:$I427,ROW()-COUNTIFS($T$1:$T427,"="&amp;$T427,$S$1:$S427,"&lt;"&amp;$S427)))</f>
        <v>39</v>
      </c>
      <c r="Y427" cm="1">
        <f t="array" ref="Y427">IFERROR(IF(_xlfn._xlws.FILTER(game_rosters!$J:$J,(game_rosters!$G:$G=events!$AM427)*(game_rosters!$J:$J=events!$X427))&gt;0,1,""),"")</f>
        <v>1</v>
      </c>
      <c r="Z427" s="6">
        <f t="shared" si="686"/>
        <v>1</v>
      </c>
      <c r="AA427">
        <f t="shared" si="687"/>
        <v>1214</v>
      </c>
      <c r="AB427">
        <f t="shared" si="688"/>
        <v>9027</v>
      </c>
      <c r="AC427">
        <f t="shared" si="689"/>
        <v>9027</v>
      </c>
      <c r="AD427" t="str">
        <f t="shared" si="690"/>
        <v>11</v>
      </c>
      <c r="AE427" t="str">
        <f t="shared" si="691"/>
        <v>49</v>
      </c>
      <c r="AF427" t="str">
        <f t="shared" si="692"/>
        <v/>
      </c>
      <c r="AG427" t="str">
        <f t="shared" si="693"/>
        <v/>
      </c>
      <c r="AH427" t="str">
        <f t="shared" si="736"/>
        <v>e</v>
      </c>
      <c r="AI427" t="str">
        <f t="shared" ref="AI427:AJ442" si="761">IF($J427&lt;&gt;"",$J427,IF($AC427=$AC426,AI426,""))</f>
        <v>d</v>
      </c>
      <c r="AJ427" t="str">
        <f t="shared" si="761"/>
        <v>d</v>
      </c>
      <c r="AK427" t="str">
        <f t="shared" si="738"/>
        <v>o</v>
      </c>
      <c r="AL427" t="str">
        <f t="shared" si="739"/>
        <v>d</v>
      </c>
      <c r="AM427" t="str">
        <f t="shared" si="694"/>
        <v>Away</v>
      </c>
      <c r="AN427" t="str">
        <f t="shared" si="740"/>
        <v>a</v>
      </c>
      <c r="AO427" t="str">
        <f t="shared" si="741"/>
        <v>o</v>
      </c>
      <c r="AP427" t="str">
        <f t="shared" si="742"/>
        <v>d</v>
      </c>
      <c r="AQ427" t="str">
        <f>IF(AM427&lt;&gt;"",AM427,IF($AC427=#REF!,#REF!,""))</f>
        <v>Away</v>
      </c>
      <c r="AR427" t="str">
        <f t="shared" si="743"/>
        <v>a</v>
      </c>
      <c r="AS427" t="str">
        <f t="shared" si="744"/>
        <v>Defensive</v>
      </c>
      <c r="AT427" t="str">
        <f t="shared" si="695"/>
        <v/>
      </c>
      <c r="AU427" t="str">
        <f t="shared" si="696"/>
        <v/>
      </c>
      <c r="AV427" t="str" cm="1">
        <f t="array" ref="AV427">IFERROR(IF(O427&lt;&gt;"",O427,IF(OR($S427="",$T427=""),"",IF(O427&lt;&gt;"",O427,IF($T427&lt;&gt;"",_xlfn._xlws.FILTER(O:O,($BT:$BT=$BT427)*($I:$I=$I427)*($T:$T=$T427)*($S:$S=_xlfn.MINIFS($S:$S,$T:$T,"="&amp;$T427)),"")))))&amp;"",IF(O427="","",""))&amp;""</f>
        <v/>
      </c>
      <c r="AW427" t="str" cm="1">
        <f t="array" ref="AW427">IFERROR(IF(P427&lt;&gt;"",P427,IF(OR($S427="",$T427=""),"",IF($T427&lt;&gt;"",_xlfn._xlws.FILTER(P:P,($BT:$BT=$BT427)*($I:$I=$I427)*($T:$T=$T427)*($S:$S=_xlfn.MINIFS($S:$S,$T:$T,"="&amp;$T427)),""))))&amp;"",IF(P427="","",""))&amp;""</f>
        <v/>
      </c>
      <c r="AX427" t="str" cm="1">
        <f t="array" ref="AX427">IFERROR(IF(Q427&lt;&gt;"",Q427,IF(OR($S427="",$T427=""),"",IF($T427&lt;&gt;"",_xlfn._xlws.FILTER(Q:Q,($BT:$BT=$BT427)*($I:$I=$I427)*($T:$T=$T427)*($S:$S=_xlfn.MINIFS($S:$S,$T:$T,"="&amp;$T427)),""))))&amp;"",IF(Q427="","",""))&amp;""</f>
        <v/>
      </c>
      <c r="AY427" t="str" cm="1">
        <f t="array" ref="AY427">IFERROR(IF(R427&lt;&gt;"",R427,IF(OR($S427="",$T427=""),"",IF($T427&lt;&gt;"",_xlfn._xlws.FILTER(R:R,($BT:$BT=$BT427)*($I:$I=$I427)*($T:$T=$T427)*($S:$S=_xlfn.MINIFS($S:$S,$T:$T,"="&amp;$T427)),""))))&amp;"",IF(R427="","",""))&amp;""</f>
        <v/>
      </c>
      <c r="AZ427" s="6">
        <f t="shared" si="697"/>
        <v>37</v>
      </c>
      <c r="BA427">
        <f t="shared" ref="BA427:BC427" si="762">BA426</f>
        <v>18991</v>
      </c>
      <c r="BB427" t="str">
        <f t="shared" si="762"/>
        <v>Triple J</v>
      </c>
      <c r="BC427" t="str">
        <f t="shared" si="762"/>
        <v>Velodrome</v>
      </c>
      <c r="BD427" t="str">
        <f t="shared" si="699"/>
        <v>Save</v>
      </c>
      <c r="BE427" t="str">
        <f t="shared" si="700"/>
        <v>Save_Rebound</v>
      </c>
      <c r="BF427" t="str">
        <f t="shared" si="701"/>
        <v>Save-Butterfly</v>
      </c>
      <c r="BG427" t="str">
        <f t="shared" si="683"/>
        <v/>
      </c>
      <c r="BH427" cm="1">
        <f t="array" aca="1" ref="BH427" ca="1">IFERROR(_xlfn._xlws.FILTER(shifts!A:A,(shifts!B:B=events!Z427)*(shifts!AG:AG&gt;=events!BJ427)*(shifts!AH:AH&lt;=events!BK427)),BH426)</f>
        <v>13</v>
      </c>
      <c r="BI427" s="15">
        <f t="shared" si="702"/>
        <v>0</v>
      </c>
      <c r="BJ427">
        <f t="shared" si="703"/>
        <v>709</v>
      </c>
      <c r="BK427">
        <f t="shared" si="704"/>
        <v>709</v>
      </c>
      <c r="BL427" s="15">
        <f>SUMIFS(BI$2:BI427,K$2:K427,"=Intermission")+SUMIFS(BI$2:BI427,K$2:K427,"=Timeout")</f>
        <v>0</v>
      </c>
      <c r="BM427">
        <f t="shared" si="705"/>
        <v>0</v>
      </c>
      <c r="BN427" s="19">
        <f t="shared" si="706"/>
        <v>371</v>
      </c>
      <c r="BO427">
        <f t="shared" si="707"/>
        <v>366</v>
      </c>
      <c r="BP427" s="17">
        <f t="shared" si="708"/>
        <v>371</v>
      </c>
      <c r="BQ427" t="str">
        <f t="shared" si="709"/>
        <v>event_team_player_1</v>
      </c>
      <c r="BR427">
        <f>COUNTIFS(S$3:S427,"="&amp;S427,AH$3:AH427,"="&amp;AH427)</f>
        <v>1</v>
      </c>
      <c r="BS427" t="str">
        <f>IFERROR(VLOOKUP(BA427&amp;BT427&amp;X427,game_rosters!U:W,3,FALSE),"")</f>
        <v>P100016</v>
      </c>
      <c r="BT427" t="str">
        <f t="shared" si="710"/>
        <v>Velodrome</v>
      </c>
    </row>
    <row r="428" spans="1:72" x14ac:dyDescent="0.2">
      <c r="A428" t="str">
        <f t="shared" si="685"/>
        <v>x</v>
      </c>
      <c r="D428" s="26" t="s">
        <v>729</v>
      </c>
      <c r="E428" s="4"/>
      <c r="F428" s="45"/>
      <c r="G428" s="4"/>
      <c r="H428" s="47"/>
      <c r="I428" s="26">
        <v>93</v>
      </c>
      <c r="J428" s="26" t="str">
        <f t="shared" si="711"/>
        <v/>
      </c>
      <c r="N428" t="str">
        <f t="shared" si="729"/>
        <v/>
      </c>
      <c r="Q428" t="str">
        <f t="shared" si="723"/>
        <v/>
      </c>
      <c r="S428">
        <f>IF(A428=1,MAX($S$2:$S427)+1,IF(OR($I428&lt;&gt;"",A428="x"),$S427,""))</f>
        <v>214</v>
      </c>
      <c r="T428">
        <f>IF(D428=1,MAX($T$2:$T427)+1,IF(S428=S427,$T427,IF(D428="x",T427,IF(D427="x","",""))))</f>
        <v>27</v>
      </c>
      <c r="U428" t="str">
        <f>IF(B428=1,MAX($U$2:$U427)+1,IF(AND($T428&lt;&gt;"",$T428=$T427),$U427,IF(B428="x",U427,"")))</f>
        <v/>
      </c>
      <c r="V428" t="str">
        <f>IF(C428=1,MAX($V$2:$V427)+1,IF(AND($T428&lt;&gt;"",$T428=$T427),$U427,IF(C428="x",V427,"")))</f>
        <v/>
      </c>
      <c r="W428" t="str" cm="1">
        <f t="array" ref="W428">IFERROR(_xlfn._xlws.FILTER(game_rosters!AC:AC,(game_rosters!J:J=events!X428)*(K428&lt;&gt;"")),"")</f>
        <v/>
      </c>
      <c r="X428" cm="1">
        <f t="array" ref="X428">IF($I428&lt;&gt;"",$I428,INDEX($I$1:$I428,ROW()-COUNTIFS($T$1:$T428,"="&amp;$T428,$S$1:$S428,"&lt;"&amp;$S428)))</f>
        <v>93</v>
      </c>
      <c r="Y428" cm="1">
        <f t="array" ref="Y428">IFERROR(IF(_xlfn._xlws.FILTER(game_rosters!$J:$J,(game_rosters!$G:$G=events!$AM428)*(game_rosters!$J:$J=events!$X428))&gt;0,1,""),"")</f>
        <v>1</v>
      </c>
      <c r="Z428" s="6">
        <f t="shared" si="686"/>
        <v>1</v>
      </c>
      <c r="AA428">
        <f t="shared" si="687"/>
        <v>1214</v>
      </c>
      <c r="AB428">
        <f t="shared" si="688"/>
        <v>9027</v>
      </c>
      <c r="AC428">
        <f t="shared" si="689"/>
        <v>9027</v>
      </c>
      <c r="AD428" t="str">
        <f t="shared" si="690"/>
        <v>11</v>
      </c>
      <c r="AE428" t="str">
        <f t="shared" si="691"/>
        <v>49</v>
      </c>
      <c r="AF428" t="str">
        <f t="shared" si="692"/>
        <v/>
      </c>
      <c r="AG428" t="str">
        <f t="shared" si="693"/>
        <v/>
      </c>
      <c r="AH428" t="str">
        <f t="shared" si="736"/>
        <v>e</v>
      </c>
      <c r="AI428" t="str">
        <f t="shared" si="761"/>
        <v>d</v>
      </c>
      <c r="AJ428" t="str">
        <f t="shared" si="761"/>
        <v>d</v>
      </c>
      <c r="AK428" t="str">
        <f t="shared" si="738"/>
        <v/>
      </c>
      <c r="AL428" t="str">
        <f t="shared" si="739"/>
        <v/>
      </c>
      <c r="AM428" t="str">
        <f t="shared" si="694"/>
        <v>Away</v>
      </c>
      <c r="AN428" t="str">
        <f t="shared" si="740"/>
        <v>a</v>
      </c>
      <c r="AO428" t="str">
        <f t="shared" si="741"/>
        <v>o</v>
      </c>
      <c r="AP428" t="str">
        <f t="shared" si="742"/>
        <v>d</v>
      </c>
      <c r="AQ428" t="str">
        <f>IF(AM428&lt;&gt;"",AM428,IF($AC428=#REF!,#REF!,""))</f>
        <v>Away</v>
      </c>
      <c r="AR428" t="str">
        <f t="shared" si="743"/>
        <v>a</v>
      </c>
      <c r="AS428" t="str">
        <f t="shared" si="744"/>
        <v>Defensive</v>
      </c>
      <c r="AT428" t="str">
        <f t="shared" si="695"/>
        <v/>
      </c>
      <c r="AU428" t="str">
        <f t="shared" si="696"/>
        <v/>
      </c>
      <c r="AV428" t="str" cm="1">
        <f t="array" ref="AV428">IFERROR(IF(O428&lt;&gt;"",O428,IF(OR($S428="",$T428=""),"",IF(O428&lt;&gt;"",O428,IF($T428&lt;&gt;"",_xlfn._xlws.FILTER(O:O,($BT:$BT=$BT428)*($I:$I=$I428)*($T:$T=$T428)*($S:$S=_xlfn.MINIFS($S:$S,$T:$T,"="&amp;$T428)),"")))))&amp;"",IF(O428="","",""))&amp;""</f>
        <v/>
      </c>
      <c r="AW428" t="str" cm="1">
        <f t="array" ref="AW428">IFERROR(IF(P428&lt;&gt;"",P428,IF(OR($S428="",$T428=""),"",IF($T428&lt;&gt;"",_xlfn._xlws.FILTER(P:P,($BT:$BT=$BT428)*($I:$I=$I428)*($T:$T=$T428)*($S:$S=_xlfn.MINIFS($S:$S,$T:$T,"="&amp;$T428)),""))))&amp;"",IF(P428="","",""))&amp;""</f>
        <v/>
      </c>
      <c r="AX428" t="str" cm="1">
        <f t="array" ref="AX428">IFERROR(IF(Q428&lt;&gt;"",Q428,IF(OR($S428="",$T428=""),"",IF($T428&lt;&gt;"",_xlfn._xlws.FILTER(Q:Q,($BT:$BT=$BT428)*($I:$I=$I428)*($T:$T=$T428)*($S:$S=_xlfn.MINIFS($S:$S,$T:$T,"="&amp;$T428)),""))))&amp;"",IF(Q428="","",""))&amp;""</f>
        <v/>
      </c>
      <c r="AY428" t="str" cm="1">
        <f t="array" ref="AY428">IFERROR(IF(R428&lt;&gt;"",R428,IF(OR($S428="",$T428=""),"",IF($T428&lt;&gt;"",_xlfn._xlws.FILTER(R:R,($BT:$BT=$BT428)*($I:$I=$I428)*($T:$T=$T428)*($S:$S=_xlfn.MINIFS($S:$S,$T:$T,"="&amp;$T428)),""))))&amp;"",IF(R428="","",""))&amp;""</f>
        <v>1</v>
      </c>
      <c r="AZ428" s="6">
        <f t="shared" si="697"/>
        <v>37</v>
      </c>
      <c r="BA428">
        <f t="shared" ref="BA428:BC428" si="763">BA427</f>
        <v>18991</v>
      </c>
      <c r="BB428" t="str">
        <f t="shared" si="763"/>
        <v>Triple J</v>
      </c>
      <c r="BC428" t="str">
        <f t="shared" si="763"/>
        <v>Velodrome</v>
      </c>
      <c r="BD428" t="str">
        <f t="shared" si="699"/>
        <v>Save</v>
      </c>
      <c r="BE428" t="str">
        <f t="shared" si="700"/>
        <v>Save_Rebound</v>
      </c>
      <c r="BF428" t="str">
        <f t="shared" si="701"/>
        <v>Save-Butterfly</v>
      </c>
      <c r="BG428" t="str">
        <f t="shared" si="683"/>
        <v/>
      </c>
      <c r="BH428" cm="1">
        <f t="array" aca="1" ref="BH428" ca="1">IFERROR(_xlfn._xlws.FILTER(shifts!A:A,(shifts!B:B=events!Z428)*(shifts!AG:AG&gt;=events!BJ428)*(shifts!AH:AH&lt;=events!BK428)),BH427)</f>
        <v>13</v>
      </c>
      <c r="BI428" s="15">
        <f t="shared" si="702"/>
        <v>0</v>
      </c>
      <c r="BJ428">
        <f t="shared" si="703"/>
        <v>709</v>
      </c>
      <c r="BK428">
        <f t="shared" si="704"/>
        <v>709</v>
      </c>
      <c r="BL428" s="15">
        <f>SUMIFS(BI$2:BI428,K$2:K428,"=Intermission")+SUMIFS(BI$2:BI428,K$2:K428,"=Timeout")</f>
        <v>0</v>
      </c>
      <c r="BM428">
        <f t="shared" si="705"/>
        <v>0</v>
      </c>
      <c r="BN428" s="19">
        <f t="shared" si="706"/>
        <v>371</v>
      </c>
      <c r="BO428">
        <f t="shared" si="707"/>
        <v>366</v>
      </c>
      <c r="BP428" s="17">
        <f t="shared" si="708"/>
        <v>371</v>
      </c>
      <c r="BQ428" t="str">
        <f t="shared" si="709"/>
        <v>event_team_player_2</v>
      </c>
      <c r="BR428">
        <f>COUNTIFS(S$3:S428,"="&amp;S428,AH$3:AH428,"="&amp;AH428)</f>
        <v>2</v>
      </c>
      <c r="BS428" t="str">
        <f>IFERROR(VLOOKUP(BA428&amp;BT428&amp;X428,game_rosters!U:W,3,FALSE),"")</f>
        <v>P100093</v>
      </c>
      <c r="BT428" t="str">
        <f t="shared" si="710"/>
        <v>Velodrome</v>
      </c>
    </row>
    <row r="429" spans="1:72" x14ac:dyDescent="0.2">
      <c r="A429" t="str">
        <f t="shared" si="685"/>
        <v>x</v>
      </c>
      <c r="D429" s="26" t="s">
        <v>729</v>
      </c>
      <c r="E429" s="4"/>
      <c r="F429" s="45"/>
      <c r="G429" s="4"/>
      <c r="H429" s="47"/>
      <c r="I429" s="26">
        <v>73</v>
      </c>
      <c r="J429" s="26" t="str">
        <f t="shared" si="711"/>
        <v/>
      </c>
      <c r="N429" t="str">
        <f t="shared" si="729"/>
        <v/>
      </c>
      <c r="Q429" t="str">
        <f t="shared" si="723"/>
        <v/>
      </c>
      <c r="S429">
        <f>IF(A429=1,MAX($S$2:$S428)+1,IF(OR($I429&lt;&gt;"",A429="x"),$S428,""))</f>
        <v>214</v>
      </c>
      <c r="T429">
        <f>IF(D429=1,MAX($T$2:$T428)+1,IF(S429=S428,$T428,IF(D429="x",T428,IF(D428="x","",""))))</f>
        <v>27</v>
      </c>
      <c r="U429" t="str">
        <f>IF(B429=1,MAX($U$2:$U428)+1,IF(AND($T429&lt;&gt;"",$T429=$T428),$U428,IF(B429="x",U428,"")))</f>
        <v/>
      </c>
      <c r="V429" t="str">
        <f>IF(C429=1,MAX($V$2:$V428)+1,IF(AND($T429&lt;&gt;"",$T429=$T428),$U428,IF(C429="x",V428,"")))</f>
        <v/>
      </c>
      <c r="W429" t="str" cm="1">
        <f t="array" ref="W429">IFERROR(_xlfn._xlws.FILTER(game_rosters!AC:AC,(game_rosters!J:J=events!X429)*(K429&lt;&gt;"")),"")</f>
        <v/>
      </c>
      <c r="X429" cm="1">
        <f t="array" ref="X429">IF($I429&lt;&gt;"",$I429,INDEX($I$1:$I429,ROW()-COUNTIFS($T$1:$T429,"="&amp;$T429,$S$1:$S429,"&lt;"&amp;$S429)))</f>
        <v>73</v>
      </c>
      <c r="Y429" t="str" cm="1">
        <f t="array" ref="Y429">IFERROR(IF(_xlfn._xlws.FILTER(game_rosters!$J:$J,(game_rosters!$G:$G=events!$AM429)*(game_rosters!$J:$J=events!$X429))&gt;0,1,""),"")</f>
        <v/>
      </c>
      <c r="Z429" s="6">
        <f t="shared" si="686"/>
        <v>1</v>
      </c>
      <c r="AA429">
        <f t="shared" si="687"/>
        <v>1214</v>
      </c>
      <c r="AB429">
        <f t="shared" si="688"/>
        <v>9027</v>
      </c>
      <c r="AC429">
        <f t="shared" si="689"/>
        <v>9027</v>
      </c>
      <c r="AD429" t="str">
        <f t="shared" si="690"/>
        <v>11</v>
      </c>
      <c r="AE429" t="str">
        <f t="shared" si="691"/>
        <v>49</v>
      </c>
      <c r="AF429" t="str">
        <f t="shared" si="692"/>
        <v/>
      </c>
      <c r="AG429" t="str">
        <f t="shared" si="693"/>
        <v/>
      </c>
      <c r="AH429" t="str">
        <f t="shared" si="736"/>
        <v>o</v>
      </c>
      <c r="AI429" t="str">
        <f t="shared" si="761"/>
        <v>d</v>
      </c>
      <c r="AJ429" t="str">
        <f t="shared" si="761"/>
        <v>d</v>
      </c>
      <c r="AK429" t="str">
        <f t="shared" si="738"/>
        <v/>
      </c>
      <c r="AL429" t="str">
        <f t="shared" si="739"/>
        <v/>
      </c>
      <c r="AM429" t="str">
        <f t="shared" si="694"/>
        <v>Away</v>
      </c>
      <c r="AN429" t="str">
        <f t="shared" si="740"/>
        <v>a</v>
      </c>
      <c r="AO429" t="str">
        <f t="shared" si="741"/>
        <v>o</v>
      </c>
      <c r="AP429" t="str">
        <f t="shared" si="742"/>
        <v>d</v>
      </c>
      <c r="AQ429" t="str">
        <f>IF(AM429&lt;&gt;"",AM429,IF($AC429=#REF!,#REF!,""))</f>
        <v>Away</v>
      </c>
      <c r="AR429" t="str">
        <f t="shared" si="743"/>
        <v>a</v>
      </c>
      <c r="AS429" t="str">
        <f t="shared" si="744"/>
        <v>Offensive</v>
      </c>
      <c r="AT429" t="str">
        <f t="shared" si="695"/>
        <v/>
      </c>
      <c r="AU429" t="str">
        <f t="shared" si="696"/>
        <v/>
      </c>
      <c r="AV429" t="str" cm="1">
        <f t="array" ref="AV429">IFERROR(IF(O429&lt;&gt;"",O429,IF(OR($S429="",$T429=""),"",IF(O429&lt;&gt;"",O429,IF($T429&lt;&gt;"",_xlfn._xlws.FILTER(O:O,($BT:$BT=$BT429)*($I:$I=$I429)*($T:$T=$T429)*($S:$S=_xlfn.MINIFS($S:$S,$T:$T,"="&amp;$T429)),"")))))&amp;"",IF(O429="","",""))&amp;""</f>
        <v/>
      </c>
      <c r="AW429" t="str" cm="1">
        <f t="array" ref="AW429">IFERROR(IF(P429&lt;&gt;"",P429,IF(OR($S429="",$T429=""),"",IF($T429&lt;&gt;"",_xlfn._xlws.FILTER(P:P,($BT:$BT=$BT429)*($I:$I=$I429)*($T:$T=$T429)*($S:$S=_xlfn.MINIFS($S:$S,$T:$T,"="&amp;$T429)),""))))&amp;"",IF(P429="","",""))&amp;""</f>
        <v/>
      </c>
      <c r="AX429" t="str" cm="1">
        <f t="array" ref="AX429">IFERROR(IF(Q429&lt;&gt;"",Q429,IF(OR($S429="",$T429=""),"",IF($T429&lt;&gt;"",_xlfn._xlws.FILTER(Q:Q,($BT:$BT=$BT429)*($I:$I=$I429)*($T:$T=$T429)*($S:$S=_xlfn.MINIFS($S:$S,$T:$T,"="&amp;$T429)),""))))&amp;"",IF(Q429="","",""))&amp;""</f>
        <v/>
      </c>
      <c r="AY429" t="str" cm="1">
        <f t="array" ref="AY429">IFERROR(IF(R429&lt;&gt;"",R429,IF(OR($S429="",$T429=""),"",IF($T429&lt;&gt;"",_xlfn._xlws.FILTER(R:R,($BT:$BT=$BT429)*($I:$I=$I429)*($T:$T=$T429)*($S:$S=_xlfn.MINIFS($S:$S,$T:$T,"="&amp;$T429)),""))))&amp;"",IF(R429="","",""))&amp;""</f>
        <v>1</v>
      </c>
      <c r="AZ429" s="6">
        <f t="shared" si="697"/>
        <v>37</v>
      </c>
      <c r="BA429">
        <f t="shared" ref="BA429:BC429" si="764">BA428</f>
        <v>18991</v>
      </c>
      <c r="BB429" t="str">
        <f t="shared" si="764"/>
        <v>Triple J</v>
      </c>
      <c r="BC429" t="str">
        <f t="shared" si="764"/>
        <v>Velodrome</v>
      </c>
      <c r="BD429" t="str">
        <f t="shared" si="699"/>
        <v>Save</v>
      </c>
      <c r="BE429" t="str">
        <f t="shared" si="700"/>
        <v>Save_Rebound</v>
      </c>
      <c r="BF429" t="str">
        <f t="shared" si="701"/>
        <v>Save-Butterfly</v>
      </c>
      <c r="BG429" t="str">
        <f t="shared" si="683"/>
        <v/>
      </c>
      <c r="BH429" cm="1">
        <f t="array" aca="1" ref="BH429" ca="1">IFERROR(_xlfn._xlws.FILTER(shifts!A:A,(shifts!B:B=events!Z429)*(shifts!AG:AG&gt;=events!BJ429)*(shifts!AH:AH&lt;=events!BK429)),BH428)</f>
        <v>13</v>
      </c>
      <c r="BI429" s="15">
        <f t="shared" si="702"/>
        <v>0</v>
      </c>
      <c r="BJ429">
        <f t="shared" si="703"/>
        <v>709</v>
      </c>
      <c r="BK429">
        <f t="shared" si="704"/>
        <v>709</v>
      </c>
      <c r="BL429" s="15">
        <f>SUMIFS(BI$2:BI429,K$2:K429,"=Intermission")+SUMIFS(BI$2:BI429,K$2:K429,"=Timeout")</f>
        <v>0</v>
      </c>
      <c r="BM429">
        <f t="shared" si="705"/>
        <v>0</v>
      </c>
      <c r="BN429" s="19">
        <f t="shared" si="706"/>
        <v>371</v>
      </c>
      <c r="BO429">
        <f t="shared" si="707"/>
        <v>366</v>
      </c>
      <c r="BP429" s="17">
        <f t="shared" si="708"/>
        <v>371</v>
      </c>
      <c r="BQ429" t="str">
        <f t="shared" si="709"/>
        <v>opp_team_player_1</v>
      </c>
      <c r="BR429">
        <f>COUNTIFS(S$3:S429,"="&amp;S429,AH$3:AH429,"="&amp;AH429)</f>
        <v>1</v>
      </c>
      <c r="BS429" t="str">
        <f>IFERROR(VLOOKUP(BA429&amp;BT429&amp;X429,game_rosters!U:W,3,FALSE),"")</f>
        <v>P100021</v>
      </c>
      <c r="BT429" t="str">
        <f t="shared" si="710"/>
        <v>Triple J</v>
      </c>
    </row>
    <row r="430" spans="1:72" x14ac:dyDescent="0.2">
      <c r="A430">
        <f t="shared" si="685"/>
        <v>1</v>
      </c>
      <c r="D430" s="26" t="s">
        <v>729</v>
      </c>
      <c r="E430" s="4"/>
      <c r="F430" s="45"/>
      <c r="G430" s="4"/>
      <c r="H430" s="47"/>
      <c r="I430" s="26">
        <v>39</v>
      </c>
      <c r="J430" s="26" t="str">
        <f t="shared" si="711"/>
        <v>d</v>
      </c>
      <c r="K430" t="s">
        <v>231</v>
      </c>
      <c r="L430" t="s">
        <v>232</v>
      </c>
      <c r="N430" t="str">
        <f t="shared" si="729"/>
        <v/>
      </c>
      <c r="Q430" t="str">
        <f t="shared" si="723"/>
        <v/>
      </c>
      <c r="S430">
        <f>IF(A430=1,MAX($S$2:$S429)+1,IF(OR($I430&lt;&gt;"",A430="x"),$S429,""))</f>
        <v>215</v>
      </c>
      <c r="T430">
        <f>IF(D430=1,MAX($T$2:$T429)+1,IF(S430=S429,$T429,IF(D430="x",T429,IF(D429="x","",""))))</f>
        <v>27</v>
      </c>
      <c r="U430" t="str">
        <f>IF(B430=1,MAX($U$2:$U429)+1,IF(AND($T430&lt;&gt;"",$T430=$T429),$U429,IF(B430="x",U429,"")))</f>
        <v/>
      </c>
      <c r="V430" t="str">
        <f>IF(C430=1,MAX($V$2:$V429)+1,IF(AND($T430&lt;&gt;"",$T430=$T429),$U429,IF(C430="x",V429,"")))</f>
        <v/>
      </c>
      <c r="W430" t="str" cm="1">
        <f t="array" ref="W430">IFERROR(_xlfn._xlws.FILTER(game_rosters!AC:AC,(game_rosters!J:J=events!X430)*(K430&lt;&gt;"")),"")</f>
        <v>a</v>
      </c>
      <c r="X430" cm="1">
        <f t="array" ref="X430">IF($I430&lt;&gt;"",$I430,INDEX($I$1:$I430,ROW()-COUNTIFS($T$1:$T430,"="&amp;$T430,$S$1:$S430,"&lt;"&amp;$S430)))</f>
        <v>39</v>
      </c>
      <c r="Y430" cm="1">
        <f t="array" ref="Y430">IFERROR(IF(_xlfn._xlws.FILTER(game_rosters!$J:$J,(game_rosters!$G:$G=events!$AM430)*(game_rosters!$J:$J=events!$X430))&gt;0,1,""),"")</f>
        <v>1</v>
      </c>
      <c r="Z430" s="6">
        <f t="shared" si="686"/>
        <v>1</v>
      </c>
      <c r="AA430">
        <f t="shared" si="687"/>
        <v>1215</v>
      </c>
      <c r="AB430">
        <f t="shared" si="688"/>
        <v>9027</v>
      </c>
      <c r="AC430">
        <f t="shared" si="689"/>
        <v>9027</v>
      </c>
      <c r="AD430" t="str">
        <f t="shared" si="690"/>
        <v>11</v>
      </c>
      <c r="AE430" t="str">
        <f t="shared" si="691"/>
        <v>49</v>
      </c>
      <c r="AF430" t="str">
        <f t="shared" si="692"/>
        <v/>
      </c>
      <c r="AG430" t="str">
        <f t="shared" si="693"/>
        <v/>
      </c>
      <c r="AH430" t="str">
        <f t="shared" si="736"/>
        <v>e</v>
      </c>
      <c r="AI430" t="str">
        <f t="shared" si="761"/>
        <v>d</v>
      </c>
      <c r="AJ430" t="str">
        <f t="shared" si="761"/>
        <v>d</v>
      </c>
      <c r="AK430" t="str">
        <f t="shared" si="738"/>
        <v>o</v>
      </c>
      <c r="AL430" t="str">
        <f t="shared" si="739"/>
        <v>d</v>
      </c>
      <c r="AM430" t="str">
        <f t="shared" si="694"/>
        <v>Away</v>
      </c>
      <c r="AN430" t="str">
        <f t="shared" si="740"/>
        <v>a</v>
      </c>
      <c r="AO430" t="str">
        <f t="shared" si="741"/>
        <v>o</v>
      </c>
      <c r="AP430" t="str">
        <f t="shared" si="742"/>
        <v>d</v>
      </c>
      <c r="AQ430" t="str">
        <f>IF(AM430&lt;&gt;"",AM430,IF($AC430=#REF!,#REF!,""))</f>
        <v>Away</v>
      </c>
      <c r="AR430" t="str">
        <f t="shared" si="743"/>
        <v>a</v>
      </c>
      <c r="AS430" t="str">
        <f t="shared" si="744"/>
        <v>Offensive</v>
      </c>
      <c r="AT430" t="str">
        <f t="shared" si="695"/>
        <v/>
      </c>
      <c r="AU430" t="str">
        <f t="shared" si="696"/>
        <v/>
      </c>
      <c r="AV430" t="str" cm="1">
        <f t="array" ref="AV430">IFERROR(IF(O430&lt;&gt;"",O430,IF(OR($S430="",$T430=""),"",IF(O430&lt;&gt;"",O430,IF($T430&lt;&gt;"",_xlfn._xlws.FILTER(O:O,($BT:$BT=$BT430)*($I:$I=$I430)*($T:$T=$T430)*($S:$S=_xlfn.MINIFS($S:$S,$T:$T,"="&amp;$T430)),"")))))&amp;"",IF(O430="","",""))&amp;""</f>
        <v/>
      </c>
      <c r="AW430" t="str" cm="1">
        <f t="array" ref="AW430">IFERROR(IF(P430&lt;&gt;"",P430,IF(OR($S430="",$T430=""),"",IF($T430&lt;&gt;"",_xlfn._xlws.FILTER(P:P,($BT:$BT=$BT430)*($I:$I=$I430)*($T:$T=$T430)*($S:$S=_xlfn.MINIFS($S:$S,$T:$T,"="&amp;$T430)),""))))&amp;"",IF(P430="","",""))&amp;""</f>
        <v/>
      </c>
      <c r="AX430" t="str" cm="1">
        <f t="array" ref="AX430">IFERROR(IF(Q430&lt;&gt;"",Q430,IF(OR($S430="",$T430=""),"",IF($T430&lt;&gt;"",_xlfn._xlws.FILTER(Q:Q,($BT:$BT=$BT430)*($I:$I=$I430)*($T:$T=$T430)*($S:$S=_xlfn.MINIFS($S:$S,$T:$T,"="&amp;$T430)),""))))&amp;"",IF(Q430="","",""))&amp;""</f>
        <v/>
      </c>
      <c r="AY430" t="str" cm="1">
        <f t="array" ref="AY430">IFERROR(IF(R430&lt;&gt;"",R430,IF(OR($S430="",$T430=""),"",IF($T430&lt;&gt;"",_xlfn._xlws.FILTER(R:R,($BT:$BT=$BT430)*($I:$I=$I430)*($T:$T=$T430)*($S:$S=_xlfn.MINIFS($S:$S,$T:$T,"="&amp;$T430)),""))))&amp;"",IF(R430="","",""))&amp;""</f>
        <v/>
      </c>
      <c r="AZ430" s="6">
        <f t="shared" si="697"/>
        <v>37</v>
      </c>
      <c r="BA430">
        <f t="shared" ref="BA430:BC430" si="765">BA429</f>
        <v>18991</v>
      </c>
      <c r="BB430" t="str">
        <f t="shared" si="765"/>
        <v>Triple J</v>
      </c>
      <c r="BC430" t="str">
        <f t="shared" si="765"/>
        <v>Velodrome</v>
      </c>
      <c r="BD430" t="str">
        <f t="shared" si="699"/>
        <v>Rebound</v>
      </c>
      <c r="BE430" t="str">
        <f t="shared" si="700"/>
        <v>Rebound_TeamRecovered</v>
      </c>
      <c r="BF430" t="str">
        <f t="shared" si="701"/>
        <v/>
      </c>
      <c r="BG430" t="str">
        <f t="shared" si="683"/>
        <v/>
      </c>
      <c r="BH430" cm="1">
        <f t="array" aca="1" ref="BH430" ca="1">IFERROR(_xlfn._xlws.FILTER(shifts!A:A,(shifts!B:B=events!Z430)*(shifts!AG:AG&gt;=events!BJ430)*(shifts!AH:AH&lt;=events!BK430)),BH429)</f>
        <v>13</v>
      </c>
      <c r="BI430" s="15">
        <f t="shared" si="702"/>
        <v>0</v>
      </c>
      <c r="BJ430">
        <f t="shared" si="703"/>
        <v>709</v>
      </c>
      <c r="BK430">
        <f t="shared" si="704"/>
        <v>709</v>
      </c>
      <c r="BL430" s="15">
        <f>SUMIFS(BI$2:BI430,K$2:K430,"=Intermission")+SUMIFS(BI$2:BI430,K$2:K430,"=Timeout")</f>
        <v>0</v>
      </c>
      <c r="BM430">
        <f t="shared" si="705"/>
        <v>0</v>
      </c>
      <c r="BN430" s="19">
        <f t="shared" si="706"/>
        <v>371</v>
      </c>
      <c r="BO430">
        <f t="shared" si="707"/>
        <v>366</v>
      </c>
      <c r="BP430" s="17">
        <f t="shared" si="708"/>
        <v>371</v>
      </c>
      <c r="BQ430" t="str">
        <f t="shared" si="709"/>
        <v>event_team_player_1</v>
      </c>
      <c r="BR430">
        <f>COUNTIFS(S$3:S430,"="&amp;S430,AH$3:AH430,"="&amp;AH430)</f>
        <v>1</v>
      </c>
      <c r="BS430" t="str">
        <f>IFERROR(VLOOKUP(BA430&amp;BT430&amp;X430,game_rosters!U:W,3,FALSE),"")</f>
        <v>P100016</v>
      </c>
      <c r="BT430" t="str">
        <f t="shared" si="710"/>
        <v>Velodrome</v>
      </c>
    </row>
    <row r="431" spans="1:72" x14ac:dyDescent="0.2">
      <c r="A431">
        <f t="shared" si="685"/>
        <v>1</v>
      </c>
      <c r="E431" s="4"/>
      <c r="F431" s="45" t="s">
        <v>1049</v>
      </c>
      <c r="G431" s="4"/>
      <c r="H431" s="47" t="s">
        <v>1029</v>
      </c>
      <c r="I431" s="26">
        <v>93</v>
      </c>
      <c r="J431" s="26" t="s">
        <v>736</v>
      </c>
      <c r="K431" t="s">
        <v>13</v>
      </c>
      <c r="L431" t="s">
        <v>586</v>
      </c>
      <c r="N431" t="s">
        <v>595</v>
      </c>
      <c r="O431" t="s">
        <v>908</v>
      </c>
      <c r="Q431" t="s">
        <v>595</v>
      </c>
      <c r="R431" s="26">
        <v>1</v>
      </c>
      <c r="S431">
        <f>IF(A431=1,MAX($S$2:$S430)+1,IF(OR($I431&lt;&gt;"",A431="x"),$S430,""))</f>
        <v>216</v>
      </c>
      <c r="T431" t="str">
        <f>IF(D431=1,MAX($T$2:$T430)+1,IF(S431=S430,$T430,IF(D431="x",T430,IF(D430="x","",""))))</f>
        <v/>
      </c>
      <c r="U431" t="str">
        <f>IF(B431=1,MAX($U$2:$U430)+1,IF(AND($T431&lt;&gt;"",$T431=$T430),$U430,IF(B431="x",U430,"")))</f>
        <v/>
      </c>
      <c r="V431" t="str">
        <f>IF(C431=1,MAX($V$2:$V430)+1,IF(AND($T431&lt;&gt;"",$T431=$T430),$U430,IF(C431="x",V430,"")))</f>
        <v/>
      </c>
      <c r="W431" t="str" cm="1">
        <f t="array" ref="W431">IFERROR(_xlfn._xlws.FILTER(game_rosters!AC:AC,(game_rosters!J:J=events!X431)*(K431&lt;&gt;"")),"")</f>
        <v>a</v>
      </c>
      <c r="X431" cm="1">
        <f t="array" ref="X431">IF($I431&lt;&gt;"",$I431,INDEX($I$1:$I431,ROW()-COUNTIFS($T$1:$T431,"="&amp;$T431,$S$1:$S431,"&lt;"&amp;$S431)))</f>
        <v>93</v>
      </c>
      <c r="Y431" cm="1">
        <f t="array" ref="Y431">IFERROR(IF(_xlfn._xlws.FILTER(game_rosters!$J:$J,(game_rosters!$G:$G=events!$AM431)*(game_rosters!$J:$J=events!$X431))&gt;0,1,""),"")</f>
        <v>1</v>
      </c>
      <c r="Z431" s="6">
        <f t="shared" si="686"/>
        <v>1</v>
      </c>
      <c r="AA431">
        <f t="shared" si="687"/>
        <v>1216</v>
      </c>
      <c r="AB431" t="str">
        <f t="shared" si="688"/>
        <v/>
      </c>
      <c r="AC431">
        <f t="shared" si="689"/>
        <v>1216</v>
      </c>
      <c r="AD431" t="str">
        <f t="shared" si="690"/>
        <v>11</v>
      </c>
      <c r="AE431" t="str">
        <f t="shared" si="691"/>
        <v>45</v>
      </c>
      <c r="AF431" t="str">
        <f t="shared" si="692"/>
        <v>11</v>
      </c>
      <c r="AG431" t="str">
        <f t="shared" si="693"/>
        <v>44</v>
      </c>
      <c r="AH431" t="str">
        <f t="shared" si="736"/>
        <v>e</v>
      </c>
      <c r="AI431" t="str">
        <f t="shared" si="761"/>
        <v>d</v>
      </c>
      <c r="AJ431" t="str">
        <f t="shared" si="761"/>
        <v>d</v>
      </c>
      <c r="AK431" t="str">
        <f t="shared" si="738"/>
        <v>o</v>
      </c>
      <c r="AL431" t="str">
        <f t="shared" si="739"/>
        <v>d</v>
      </c>
      <c r="AM431" t="str">
        <f t="shared" si="694"/>
        <v>Away</v>
      </c>
      <c r="AN431" t="str">
        <f t="shared" si="740"/>
        <v>a</v>
      </c>
      <c r="AO431" t="str">
        <f t="shared" si="741"/>
        <v>o</v>
      </c>
      <c r="AP431" t="str">
        <f t="shared" si="742"/>
        <v>d</v>
      </c>
      <c r="AQ431" t="str">
        <f>IF(AM431&lt;&gt;"",AM431,IF($AC431=#REF!,#REF!,""))</f>
        <v>Away</v>
      </c>
      <c r="AR431" t="str">
        <f t="shared" si="743"/>
        <v>a</v>
      </c>
      <c r="AS431" t="str">
        <f t="shared" si="744"/>
        <v>Offensive</v>
      </c>
      <c r="AT431" t="str">
        <f t="shared" si="695"/>
        <v/>
      </c>
      <c r="AU431" t="str">
        <f t="shared" si="696"/>
        <v/>
      </c>
      <c r="AV431" t="str" cm="1">
        <f t="array" ref="AV431">IFERROR(IF(O431&lt;&gt;"",O431,IF(OR($S431="",$T431=""),"",IF(O431&lt;&gt;"",O431,IF($T431&lt;&gt;"",_xlfn._xlws.FILTER(O:O,($BT:$BT=$BT431)*($I:$I=$I431)*($T:$T=$T431)*($S:$S=_xlfn.MINIFS($S:$S,$T:$T,"="&amp;$T431)),"")))))&amp;"",IF(O431="","",""))&amp;""</f>
        <v>PuckRecoveryRetreivalRebound</v>
      </c>
      <c r="AW431" t="str" cm="1">
        <f t="array" ref="AW431">IFERROR(IF(P431&lt;&gt;"",P431,IF(OR($S431="",$T431=""),"",IF($T431&lt;&gt;"",_xlfn._xlws.FILTER(P:P,($BT:$BT=$BT431)*($I:$I=$I431)*($T:$T=$T431)*($S:$S=_xlfn.MINIFS($S:$S,$T:$T,"="&amp;$T431)),""))))&amp;"",IF(P431="","",""))&amp;""</f>
        <v/>
      </c>
      <c r="AX431" t="str" cm="1">
        <f t="array" ref="AX431">IFERROR(IF(Q431&lt;&gt;"",Q431,IF(OR($S431="",$T431=""),"",IF($T431&lt;&gt;"",_xlfn._xlws.FILTER(Q:Q,($BT:$BT=$BT431)*($I:$I=$I431)*($T:$T=$T431)*($S:$S=_xlfn.MINIFS($S:$S,$T:$T,"="&amp;$T431)),""))))&amp;"",IF(Q431="","",""))&amp;""</f>
        <v>s</v>
      </c>
      <c r="AY431" t="str" cm="1">
        <f t="array" ref="AY431">IFERROR(IF(R431&lt;&gt;"",R431,IF(OR($S431="",$T431=""),"",IF($T431&lt;&gt;"",_xlfn._xlws.FILTER(R:R,($BT:$BT=$BT431)*($I:$I=$I431)*($T:$T=$T431)*($S:$S=_xlfn.MINIFS($S:$S,$T:$T,"="&amp;$T431)),""))))&amp;"",IF(R431="","",""))&amp;""</f>
        <v>1</v>
      </c>
      <c r="AZ431" s="6">
        <f t="shared" si="697"/>
        <v>37</v>
      </c>
      <c r="BA431">
        <f t="shared" ref="BA431:BC431" si="766">BA430</f>
        <v>18991</v>
      </c>
      <c r="BB431" t="str">
        <f t="shared" si="766"/>
        <v>Triple J</v>
      </c>
      <c r="BC431" t="str">
        <f t="shared" si="766"/>
        <v>Velodrome</v>
      </c>
      <c r="BD431" t="str">
        <f t="shared" si="699"/>
        <v>Possession</v>
      </c>
      <c r="BE431" t="str">
        <f t="shared" si="700"/>
        <v>PuckRetrieval</v>
      </c>
      <c r="BF431" t="str">
        <f t="shared" si="701"/>
        <v/>
      </c>
      <c r="BG431" t="str">
        <f t="shared" si="683"/>
        <v>s</v>
      </c>
      <c r="BH431" cm="1">
        <f t="array" aca="1" ref="BH431" ca="1">IFERROR(_xlfn._xlws.FILTER(shifts!A:A,(shifts!B:B=events!Z431)*(shifts!AG:AG&gt;=events!BJ431)*(shifts!AH:AH&lt;=events!BK431)),BH430)</f>
        <v>13</v>
      </c>
      <c r="BI431" s="15">
        <f t="shared" si="702"/>
        <v>1</v>
      </c>
      <c r="BJ431">
        <f t="shared" si="703"/>
        <v>705</v>
      </c>
      <c r="BK431">
        <f t="shared" si="704"/>
        <v>704</v>
      </c>
      <c r="BL431" s="15">
        <f>SUMIFS(BI$2:BI431,K$2:K431,"=Intermission")+SUMIFS(BI$2:BI431,K$2:K431,"=Timeout")</f>
        <v>0</v>
      </c>
      <c r="BM431">
        <f t="shared" si="705"/>
        <v>0</v>
      </c>
      <c r="BN431" s="19">
        <f t="shared" si="706"/>
        <v>375</v>
      </c>
      <c r="BO431">
        <f t="shared" si="707"/>
        <v>370</v>
      </c>
      <c r="BP431" s="17">
        <f t="shared" si="708"/>
        <v>376</v>
      </c>
      <c r="BQ431" t="str">
        <f t="shared" si="709"/>
        <v>event_team_player_1</v>
      </c>
      <c r="BR431">
        <f>COUNTIFS(S$3:S431,"="&amp;S431,AH$3:AH431,"="&amp;AH431)</f>
        <v>1</v>
      </c>
      <c r="BS431" t="str">
        <f>IFERROR(VLOOKUP(BA431&amp;BT431&amp;X431,game_rosters!U:W,3,FALSE),"")</f>
        <v>P100093</v>
      </c>
      <c r="BT431" t="str">
        <f t="shared" si="710"/>
        <v>Velodrome</v>
      </c>
    </row>
    <row r="432" spans="1:72" x14ac:dyDescent="0.2">
      <c r="A432" t="str">
        <f t="shared" si="685"/>
        <v/>
      </c>
      <c r="E432" s="4"/>
      <c r="F432" s="45"/>
      <c r="G432" s="4"/>
      <c r="H432" s="47"/>
      <c r="I432" s="26">
        <v>19</v>
      </c>
      <c r="J432" s="26" t="str">
        <f t="shared" si="711"/>
        <v/>
      </c>
      <c r="N432" t="str">
        <f t="shared" si="729"/>
        <v/>
      </c>
      <c r="O432" t="s">
        <v>908</v>
      </c>
      <c r="Q432" t="s">
        <v>594</v>
      </c>
      <c r="R432" s="26">
        <v>1</v>
      </c>
      <c r="S432">
        <f>IF(A432=1,MAX($S$2:$S431)+1,IF(OR($I432&lt;&gt;"",A432="x"),$S431,""))</f>
        <v>216</v>
      </c>
      <c r="T432" t="str">
        <f>IF(D432=1,MAX($T$2:$T431)+1,IF(S432=S431,$T431,IF(D432="x",T431,IF(D431="x","",""))))</f>
        <v/>
      </c>
      <c r="U432" t="str">
        <f>IF(B432=1,MAX($U$2:$U431)+1,IF(AND($T432&lt;&gt;"",$T432=$T431),$U431,IF(B432="x",U431,"")))</f>
        <v/>
      </c>
      <c r="V432" t="str">
        <f>IF(C432=1,MAX($V$2:$V431)+1,IF(AND($T432&lt;&gt;"",$T432=$T431),$U431,IF(C432="x",V431,"")))</f>
        <v/>
      </c>
      <c r="W432" t="str" cm="1">
        <f t="array" ref="W432">IFERROR(_xlfn._xlws.FILTER(game_rosters!AC:AC,(game_rosters!J:J=events!X432)*(K432&lt;&gt;"")),"")</f>
        <v/>
      </c>
      <c r="X432" cm="1">
        <f t="array" ref="X432">IF($I432&lt;&gt;"",$I432,INDEX($I$1:$I432,ROW()-COUNTIFS($T$1:$T432,"="&amp;$T432,$S$1:$S432,"&lt;"&amp;$S432)))</f>
        <v>19</v>
      </c>
      <c r="Y432" t="str" cm="1">
        <f t="array" ref="Y432">IFERROR(IF(_xlfn._xlws.FILTER(game_rosters!$J:$J,(game_rosters!$G:$G=events!$AM432)*(game_rosters!$J:$J=events!$X432))&gt;0,1,""),"")</f>
        <v/>
      </c>
      <c r="Z432" s="6">
        <f t="shared" si="686"/>
        <v>1</v>
      </c>
      <c r="AA432">
        <f t="shared" si="687"/>
        <v>1216</v>
      </c>
      <c r="AB432" t="str">
        <f t="shared" si="688"/>
        <v/>
      </c>
      <c r="AC432">
        <f t="shared" si="689"/>
        <v>1216</v>
      </c>
      <c r="AD432" t="str">
        <f t="shared" si="690"/>
        <v>11</v>
      </c>
      <c r="AE432" t="str">
        <f t="shared" si="691"/>
        <v>45</v>
      </c>
      <c r="AF432" t="str">
        <f t="shared" si="692"/>
        <v>11</v>
      </c>
      <c r="AG432" t="str">
        <f t="shared" si="693"/>
        <v>44</v>
      </c>
      <c r="AH432" t="str">
        <f t="shared" si="736"/>
        <v>o</v>
      </c>
      <c r="AI432" t="str">
        <f t="shared" si="761"/>
        <v>d</v>
      </c>
      <c r="AJ432" t="str">
        <f t="shared" si="761"/>
        <v>d</v>
      </c>
      <c r="AK432" t="str">
        <f t="shared" si="738"/>
        <v/>
      </c>
      <c r="AL432" t="str">
        <f t="shared" si="739"/>
        <v/>
      </c>
      <c r="AM432" t="str">
        <f t="shared" si="694"/>
        <v>Away</v>
      </c>
      <c r="AN432" t="str">
        <f t="shared" si="740"/>
        <v>a</v>
      </c>
      <c r="AO432" t="str">
        <f t="shared" si="741"/>
        <v>o</v>
      </c>
      <c r="AP432" t="str">
        <f t="shared" si="742"/>
        <v>d</v>
      </c>
      <c r="AQ432" t="str">
        <f>IF(AM432&lt;&gt;"",AM432,IF($AC432=#REF!,#REF!,""))</f>
        <v>Away</v>
      </c>
      <c r="AR432" t="str">
        <f t="shared" si="743"/>
        <v>a</v>
      </c>
      <c r="AS432" t="str">
        <f t="shared" si="744"/>
        <v>Defensive</v>
      </c>
      <c r="AT432" t="str">
        <f t="shared" si="695"/>
        <v/>
      </c>
      <c r="AU432" t="str">
        <f t="shared" si="696"/>
        <v/>
      </c>
      <c r="AV432" t="str" cm="1">
        <f t="array" ref="AV432">IFERROR(IF(O432&lt;&gt;"",O432,IF(OR($S432="",$T432=""),"",IF(O432&lt;&gt;"",O432,IF($T432&lt;&gt;"",_xlfn._xlws.FILTER(O:O,($BT:$BT=$BT432)*($I:$I=$I432)*($T:$T=$T432)*($S:$S=_xlfn.MINIFS($S:$S,$T:$T,"="&amp;$T432)),"")))))&amp;"",IF(O432="","",""))&amp;""</f>
        <v>PuckRecoveryRetreivalRebound</v>
      </c>
      <c r="AW432" t="str" cm="1">
        <f t="array" ref="AW432">IFERROR(IF(P432&lt;&gt;"",P432,IF(OR($S432="",$T432=""),"",IF($T432&lt;&gt;"",_xlfn._xlws.FILTER(P:P,($BT:$BT=$BT432)*($I:$I=$I432)*($T:$T=$T432)*($S:$S=_xlfn.MINIFS($S:$S,$T:$T,"="&amp;$T432)),""))))&amp;"",IF(P432="","",""))&amp;""</f>
        <v/>
      </c>
      <c r="AX432" t="str" cm="1">
        <f t="array" ref="AX432">IFERROR(IF(Q432&lt;&gt;"",Q432,IF(OR($S432="",$T432=""),"",IF($T432&lt;&gt;"",_xlfn._xlws.FILTER(Q:Q,($BT:$BT=$BT432)*($I:$I=$I432)*($T:$T=$T432)*($S:$S=_xlfn.MINIFS($S:$S,$T:$T,"="&amp;$T432)),""))))&amp;"",IF(Q432="","",""))&amp;""</f>
        <v>u</v>
      </c>
      <c r="AY432" t="str" cm="1">
        <f t="array" ref="AY432">IFERROR(IF(R432&lt;&gt;"",R432,IF(OR($S432="",$T432=""),"",IF($T432&lt;&gt;"",_xlfn._xlws.FILTER(R:R,($BT:$BT=$BT432)*($I:$I=$I432)*($T:$T=$T432)*($S:$S=_xlfn.MINIFS($S:$S,$T:$T,"="&amp;$T432)),""))))&amp;"",IF(R432="","",""))&amp;""</f>
        <v>1</v>
      </c>
      <c r="AZ432" s="6">
        <f t="shared" si="697"/>
        <v>37</v>
      </c>
      <c r="BA432">
        <f t="shared" ref="BA432:BC432" si="767">BA431</f>
        <v>18991</v>
      </c>
      <c r="BB432" t="str">
        <f t="shared" si="767"/>
        <v>Triple J</v>
      </c>
      <c r="BC432" t="str">
        <f t="shared" si="767"/>
        <v>Velodrome</v>
      </c>
      <c r="BD432" t="str">
        <f t="shared" si="699"/>
        <v>Possession</v>
      </c>
      <c r="BE432" t="str">
        <f t="shared" si="700"/>
        <v>PuckRetrieval</v>
      </c>
      <c r="BF432" t="str">
        <f t="shared" si="701"/>
        <v/>
      </c>
      <c r="BG432" t="str">
        <f t="shared" si="683"/>
        <v>s</v>
      </c>
      <c r="BH432" cm="1">
        <f t="array" aca="1" ref="BH432" ca="1">IFERROR(_xlfn._xlws.FILTER(shifts!A:A,(shifts!B:B=events!Z432)*(shifts!AG:AG&gt;=events!BJ432)*(shifts!AH:AH&lt;=events!BK432)),BH431)</f>
        <v>13</v>
      </c>
      <c r="BI432" s="15">
        <f t="shared" si="702"/>
        <v>1</v>
      </c>
      <c r="BJ432">
        <f t="shared" si="703"/>
        <v>705</v>
      </c>
      <c r="BK432">
        <f t="shared" si="704"/>
        <v>704</v>
      </c>
      <c r="BL432" s="15">
        <f>SUMIFS(BI$2:BI432,K$2:K432,"=Intermission")+SUMIFS(BI$2:BI432,K$2:K432,"=Timeout")</f>
        <v>0</v>
      </c>
      <c r="BM432">
        <f t="shared" si="705"/>
        <v>0</v>
      </c>
      <c r="BN432" s="19">
        <f t="shared" si="706"/>
        <v>375</v>
      </c>
      <c r="BO432">
        <f t="shared" si="707"/>
        <v>370</v>
      </c>
      <c r="BP432" s="17">
        <f t="shared" si="708"/>
        <v>376</v>
      </c>
      <c r="BQ432" t="str">
        <f t="shared" si="709"/>
        <v>opp_team_player_1</v>
      </c>
      <c r="BR432">
        <f>COUNTIFS(S$3:S432,"="&amp;S432,AH$3:AH432,"="&amp;AH432)</f>
        <v>1</v>
      </c>
      <c r="BS432" t="str">
        <f>IFERROR(VLOOKUP(BA432&amp;BT432&amp;X432,game_rosters!U:W,3,FALSE),"")</f>
        <v>P100089</v>
      </c>
      <c r="BT432" t="str">
        <f t="shared" si="710"/>
        <v>Triple J</v>
      </c>
    </row>
    <row r="433" spans="1:72" x14ac:dyDescent="0.2">
      <c r="A433">
        <f t="shared" si="685"/>
        <v>1</v>
      </c>
      <c r="E433" s="4"/>
      <c r="F433" s="45"/>
      <c r="G433" s="4"/>
      <c r="H433" s="47"/>
      <c r="I433" s="26">
        <v>93</v>
      </c>
      <c r="J433" s="26" t="s">
        <v>736</v>
      </c>
      <c r="K433" t="s">
        <v>7</v>
      </c>
      <c r="L433" t="s">
        <v>172</v>
      </c>
      <c r="M433" t="s">
        <v>68</v>
      </c>
      <c r="N433" t="str">
        <f t="shared" si="729"/>
        <v>s</v>
      </c>
      <c r="Q433" t="str">
        <f t="shared" si="723"/>
        <v/>
      </c>
      <c r="R433" s="26">
        <v>1</v>
      </c>
      <c r="S433">
        <f>IF(A433=1,MAX($S$2:$S432)+1,IF(OR($I433&lt;&gt;"",A433="x"),$S432,""))</f>
        <v>217</v>
      </c>
      <c r="T433" t="str">
        <f>IF(D433=1,MAX($T$2:$T432)+1,IF(S433=S432,$T432,IF(D433="x",T432,IF(D432="x","",""))))</f>
        <v/>
      </c>
      <c r="U433" t="str">
        <f>IF(B433=1,MAX($U$2:$U432)+1,IF(AND($T433&lt;&gt;"",$T433=$T432),$U432,IF(B433="x",U432,"")))</f>
        <v/>
      </c>
      <c r="V433" t="str">
        <f>IF(C433=1,MAX($V$2:$V432)+1,IF(AND($T433&lt;&gt;"",$T433=$T432),$U432,IF(C433="x",V432,"")))</f>
        <v/>
      </c>
      <c r="W433" t="str" cm="1">
        <f t="array" ref="W433">IFERROR(_xlfn._xlws.FILTER(game_rosters!AC:AC,(game_rosters!J:J=events!X433)*(K433&lt;&gt;"")),"")</f>
        <v>a</v>
      </c>
      <c r="X433" cm="1">
        <f t="array" ref="X433">IF($I433&lt;&gt;"",$I433,INDEX($I$1:$I433,ROW()-COUNTIFS($T$1:$T433,"="&amp;$T433,$S$1:$S433,"&lt;"&amp;$S433)))</f>
        <v>93</v>
      </c>
      <c r="Y433" cm="1">
        <f t="array" ref="Y433">IFERROR(IF(_xlfn._xlws.FILTER(game_rosters!$J:$J,(game_rosters!$G:$G=events!$AM433)*(game_rosters!$J:$J=events!$X433))&gt;0,1,""),"")</f>
        <v>1</v>
      </c>
      <c r="Z433" s="6">
        <f t="shared" si="686"/>
        <v>1</v>
      </c>
      <c r="AA433">
        <f t="shared" si="687"/>
        <v>1217</v>
      </c>
      <c r="AB433" t="str">
        <f t="shared" si="688"/>
        <v/>
      </c>
      <c r="AC433">
        <f t="shared" si="689"/>
        <v>1217</v>
      </c>
      <c r="AD433" t="str">
        <f t="shared" si="690"/>
        <v>11</v>
      </c>
      <c r="AE433" t="str">
        <f t="shared" si="691"/>
        <v>44</v>
      </c>
      <c r="AF433" t="str">
        <f t="shared" si="692"/>
        <v/>
      </c>
      <c r="AG433" t="str">
        <f t="shared" si="693"/>
        <v/>
      </c>
      <c r="AH433" t="str">
        <f t="shared" si="736"/>
        <v>e</v>
      </c>
      <c r="AI433" t="str">
        <f t="shared" si="761"/>
        <v>d</v>
      </c>
      <c r="AJ433" t="str">
        <f t="shared" si="761"/>
        <v>d</v>
      </c>
      <c r="AK433" t="str">
        <f t="shared" si="738"/>
        <v>o</v>
      </c>
      <c r="AL433" t="str">
        <f t="shared" si="739"/>
        <v>d</v>
      </c>
      <c r="AM433" t="str">
        <f t="shared" si="694"/>
        <v>Away</v>
      </c>
      <c r="AN433" t="str">
        <f t="shared" si="740"/>
        <v>a</v>
      </c>
      <c r="AO433" t="str">
        <f t="shared" si="741"/>
        <v>o</v>
      </c>
      <c r="AP433" t="str">
        <f t="shared" si="742"/>
        <v>d</v>
      </c>
      <c r="AQ433" t="str">
        <f>IF(AM433&lt;&gt;"",AM433,IF($AC433=#REF!,#REF!,""))</f>
        <v>Away</v>
      </c>
      <c r="AR433" t="str">
        <f t="shared" si="743"/>
        <v>a</v>
      </c>
      <c r="AS433" t="str">
        <f t="shared" si="744"/>
        <v>Offensive</v>
      </c>
      <c r="AT433" t="str">
        <f t="shared" si="695"/>
        <v/>
      </c>
      <c r="AU433" t="str">
        <f t="shared" si="696"/>
        <v/>
      </c>
      <c r="AV433" t="str" cm="1">
        <f t="array" ref="AV433">IFERROR(IF(O433&lt;&gt;"",O433,IF(OR($S433="",$T433=""),"",IF(O433&lt;&gt;"",O433,IF($T433&lt;&gt;"",_xlfn._xlws.FILTER(O:O,($BT:$BT=$BT433)*($I:$I=$I433)*($T:$T=$T433)*($S:$S=_xlfn.MINIFS($S:$S,$T:$T,"="&amp;$T433)),"")))))&amp;"",IF(O433="","",""))&amp;""</f>
        <v/>
      </c>
      <c r="AW433" t="str" cm="1">
        <f t="array" ref="AW433">IFERROR(IF(P433&lt;&gt;"",P433,IF(OR($S433="",$T433=""),"",IF($T433&lt;&gt;"",_xlfn._xlws.FILTER(P:P,($BT:$BT=$BT433)*($I:$I=$I433)*($T:$T=$T433)*($S:$S=_xlfn.MINIFS($S:$S,$T:$T,"="&amp;$T433)),""))))&amp;"",IF(P433="","",""))&amp;""</f>
        <v/>
      </c>
      <c r="AX433" t="str" cm="1">
        <f t="array" ref="AX433">IFERROR(IF(Q433&lt;&gt;"",Q433,IF(OR($S433="",$T433=""),"",IF($T433&lt;&gt;"",_xlfn._xlws.FILTER(Q:Q,($BT:$BT=$BT433)*($I:$I=$I433)*($T:$T=$T433)*($S:$S=_xlfn.MINIFS($S:$S,$T:$T,"="&amp;$T433)),""))))&amp;"",IF(Q433="","",""))&amp;""</f>
        <v/>
      </c>
      <c r="AY433" t="str" cm="1">
        <f t="array" ref="AY433">IFERROR(IF(R433&lt;&gt;"",R433,IF(OR($S433="",$T433=""),"",IF($T433&lt;&gt;"",_xlfn._xlws.FILTER(R:R,($BT:$BT=$BT433)*($I:$I=$I433)*($T:$T=$T433)*($S:$S=_xlfn.MINIFS($S:$S,$T:$T,"="&amp;$T433)),""))))&amp;"",IF(R433="","",""))&amp;""</f>
        <v>1</v>
      </c>
      <c r="AZ433" s="6">
        <f t="shared" si="697"/>
        <v>37</v>
      </c>
      <c r="BA433">
        <f t="shared" ref="BA433:BC433" si="768">BA432</f>
        <v>18991</v>
      </c>
      <c r="BB433" t="str">
        <f t="shared" si="768"/>
        <v>Triple J</v>
      </c>
      <c r="BC433" t="str">
        <f t="shared" si="768"/>
        <v>Velodrome</v>
      </c>
      <c r="BD433" t="str">
        <f t="shared" si="699"/>
        <v>Pass</v>
      </c>
      <c r="BE433" t="str">
        <f t="shared" si="700"/>
        <v>Pass_Completed</v>
      </c>
      <c r="BF433" t="str">
        <f t="shared" si="701"/>
        <v>Pass-Forehand</v>
      </c>
      <c r="BG433" t="str">
        <f t="shared" si="683"/>
        <v>s</v>
      </c>
      <c r="BH433" cm="1">
        <f t="array" aca="1" ref="BH433" ca="1">IFERROR(_xlfn._xlws.FILTER(shifts!A:A,(shifts!B:B=events!Z433)*(shifts!AG:AG&gt;=events!BJ433)*(shifts!AH:AH&lt;=events!BK433)),BH432)</f>
        <v>13</v>
      </c>
      <c r="BI433" s="15">
        <f t="shared" si="702"/>
        <v>0</v>
      </c>
      <c r="BJ433">
        <f t="shared" si="703"/>
        <v>704</v>
      </c>
      <c r="BK433">
        <f t="shared" si="704"/>
        <v>704</v>
      </c>
      <c r="BL433" s="15">
        <f>SUMIFS(BI$2:BI433,K$2:K433,"=Intermission")+SUMIFS(BI$2:BI433,K$2:K433,"=Timeout")</f>
        <v>0</v>
      </c>
      <c r="BM433">
        <f t="shared" si="705"/>
        <v>0</v>
      </c>
      <c r="BN433" s="19">
        <f t="shared" si="706"/>
        <v>376</v>
      </c>
      <c r="BO433">
        <f t="shared" si="707"/>
        <v>371</v>
      </c>
      <c r="BP433" s="17">
        <f t="shared" si="708"/>
        <v>376</v>
      </c>
      <c r="BQ433" t="str">
        <f t="shared" si="709"/>
        <v>event_team_player_1</v>
      </c>
      <c r="BR433">
        <f>COUNTIFS(S$3:S433,"="&amp;S433,AH$3:AH433,"="&amp;AH433)</f>
        <v>1</v>
      </c>
      <c r="BS433" t="str">
        <f>IFERROR(VLOOKUP(BA433&amp;BT433&amp;X433,game_rosters!U:W,3,FALSE),"")</f>
        <v>P100093</v>
      </c>
      <c r="BT433" t="str">
        <f t="shared" si="710"/>
        <v>Velodrome</v>
      </c>
    </row>
    <row r="434" spans="1:72" x14ac:dyDescent="0.2">
      <c r="A434" t="str">
        <f t="shared" si="685"/>
        <v/>
      </c>
      <c r="E434" s="4"/>
      <c r="F434" s="45"/>
      <c r="G434" s="4"/>
      <c r="H434" s="47"/>
      <c r="I434" s="26">
        <v>87</v>
      </c>
      <c r="J434" s="26" t="str">
        <f t="shared" si="711"/>
        <v/>
      </c>
      <c r="N434" t="str">
        <f t="shared" si="729"/>
        <v/>
      </c>
      <c r="Q434" t="str">
        <f t="shared" si="723"/>
        <v/>
      </c>
      <c r="S434">
        <f>IF(A434=1,MAX($S$2:$S433)+1,IF(OR($I434&lt;&gt;"",A434="x"),$S433,""))</f>
        <v>217</v>
      </c>
      <c r="T434" t="str">
        <f>IF(D434=1,MAX($T$2:$T433)+1,IF(S434=S433,$T433,IF(D434="x",T433,IF(D433="x","",""))))</f>
        <v/>
      </c>
      <c r="U434" t="str">
        <f>IF(B434=1,MAX($U$2:$U433)+1,IF(AND($T434&lt;&gt;"",$T434=$T433),$U433,IF(B434="x",U433,"")))</f>
        <v/>
      </c>
      <c r="V434" t="str">
        <f>IF(C434=1,MAX($V$2:$V433)+1,IF(AND($T434&lt;&gt;"",$T434=$T433),$U433,IF(C434="x",V433,"")))</f>
        <v/>
      </c>
      <c r="W434" t="str" cm="1">
        <f t="array" ref="W434">IFERROR(_xlfn._xlws.FILTER(game_rosters!AC:AC,(game_rosters!J:J=events!X434)*(K434&lt;&gt;"")),"")</f>
        <v/>
      </c>
      <c r="X434" cm="1">
        <f t="array" ref="X434">IF($I434&lt;&gt;"",$I434,INDEX($I$1:$I434,ROW()-COUNTIFS($T$1:$T434,"="&amp;$T434,$S$1:$S434,"&lt;"&amp;$S434)))</f>
        <v>87</v>
      </c>
      <c r="Y434" cm="1">
        <f t="array" ref="Y434">IFERROR(IF(_xlfn._xlws.FILTER(game_rosters!$J:$J,(game_rosters!$G:$G=events!$AM434)*(game_rosters!$J:$J=events!$X434))&gt;0,1,""),"")</f>
        <v>1</v>
      </c>
      <c r="Z434" s="6">
        <f t="shared" si="686"/>
        <v>1</v>
      </c>
      <c r="AA434">
        <f t="shared" si="687"/>
        <v>1217</v>
      </c>
      <c r="AB434" t="str">
        <f t="shared" si="688"/>
        <v/>
      </c>
      <c r="AC434">
        <f t="shared" si="689"/>
        <v>1217</v>
      </c>
      <c r="AD434" t="str">
        <f t="shared" si="690"/>
        <v>11</v>
      </c>
      <c r="AE434" t="str">
        <f t="shared" si="691"/>
        <v>44</v>
      </c>
      <c r="AF434" t="str">
        <f t="shared" si="692"/>
        <v/>
      </c>
      <c r="AG434" t="str">
        <f t="shared" si="693"/>
        <v/>
      </c>
      <c r="AH434" t="str">
        <f t="shared" si="736"/>
        <v>e</v>
      </c>
      <c r="AI434" t="str">
        <f t="shared" si="761"/>
        <v>d</v>
      </c>
      <c r="AJ434" t="str">
        <f t="shared" si="761"/>
        <v>d</v>
      </c>
      <c r="AK434" t="str">
        <f t="shared" si="738"/>
        <v/>
      </c>
      <c r="AL434" t="str">
        <f t="shared" si="739"/>
        <v/>
      </c>
      <c r="AM434" t="str">
        <f t="shared" si="694"/>
        <v>Away</v>
      </c>
      <c r="AN434" t="str">
        <f t="shared" si="740"/>
        <v>a</v>
      </c>
      <c r="AO434" t="str">
        <f t="shared" si="741"/>
        <v>o</v>
      </c>
      <c r="AP434" t="str">
        <f t="shared" si="742"/>
        <v>d</v>
      </c>
      <c r="AQ434" t="str">
        <f>IF(AM434&lt;&gt;"",AM434,IF($AC434=#REF!,#REF!,""))</f>
        <v>Away</v>
      </c>
      <c r="AR434" t="str">
        <f t="shared" si="743"/>
        <v>a</v>
      </c>
      <c r="AS434" t="str">
        <f t="shared" si="744"/>
        <v>Offensive</v>
      </c>
      <c r="AT434" t="str">
        <f t="shared" si="695"/>
        <v/>
      </c>
      <c r="AU434" t="str">
        <f t="shared" si="696"/>
        <v/>
      </c>
      <c r="AV434" t="str" cm="1">
        <f t="array" ref="AV434">IFERROR(IF(O434&lt;&gt;"",O434,IF(OR($S434="",$T434=""),"",IF(O434&lt;&gt;"",O434,IF($T434&lt;&gt;"",_xlfn._xlws.FILTER(O:O,($BT:$BT=$BT434)*($I:$I=$I434)*($T:$T=$T434)*($S:$S=_xlfn.MINIFS($S:$S,$T:$T,"="&amp;$T434)),"")))))&amp;"",IF(O434="","",""))&amp;""</f>
        <v/>
      </c>
      <c r="AW434" t="str" cm="1">
        <f t="array" ref="AW434">IFERROR(IF(P434&lt;&gt;"",P434,IF(OR($S434="",$T434=""),"",IF($T434&lt;&gt;"",_xlfn._xlws.FILTER(P:P,($BT:$BT=$BT434)*($I:$I=$I434)*($T:$T=$T434)*($S:$S=_xlfn.MINIFS($S:$S,$T:$T,"="&amp;$T434)),""))))&amp;"",IF(P434="","",""))&amp;""</f>
        <v/>
      </c>
      <c r="AX434" t="str" cm="1">
        <f t="array" ref="AX434">IFERROR(IF(Q434&lt;&gt;"",Q434,IF(OR($S434="",$T434=""),"",IF($T434&lt;&gt;"",_xlfn._xlws.FILTER(Q:Q,($BT:$BT=$BT434)*($I:$I=$I434)*($T:$T=$T434)*($S:$S=_xlfn.MINIFS($S:$S,$T:$T,"="&amp;$T434)),""))))&amp;"",IF(Q434="","",""))&amp;""</f>
        <v/>
      </c>
      <c r="AY434" t="str" cm="1">
        <f t="array" ref="AY434">IFERROR(IF(R434&lt;&gt;"",R434,IF(OR($S434="",$T434=""),"",IF($T434&lt;&gt;"",_xlfn._xlws.FILTER(R:R,($BT:$BT=$BT434)*($I:$I=$I434)*($T:$T=$T434)*($S:$S=_xlfn.MINIFS($S:$S,$T:$T,"="&amp;$T434)),""))))&amp;"",IF(R434="","",""))&amp;""</f>
        <v/>
      </c>
      <c r="AZ434" s="6">
        <f t="shared" si="697"/>
        <v>37</v>
      </c>
      <c r="BA434">
        <f t="shared" ref="BA434:BC434" si="769">BA433</f>
        <v>18991</v>
      </c>
      <c r="BB434" t="str">
        <f t="shared" si="769"/>
        <v>Triple J</v>
      </c>
      <c r="BC434" t="str">
        <f t="shared" si="769"/>
        <v>Velodrome</v>
      </c>
      <c r="BD434" t="str">
        <f t="shared" si="699"/>
        <v>Pass</v>
      </c>
      <c r="BE434" t="str">
        <f t="shared" si="700"/>
        <v>Pass_Completed</v>
      </c>
      <c r="BF434" t="str">
        <f t="shared" si="701"/>
        <v>Pass-Forehand</v>
      </c>
      <c r="BG434" t="str">
        <f t="shared" si="683"/>
        <v>s</v>
      </c>
      <c r="BH434" cm="1">
        <f t="array" aca="1" ref="BH434" ca="1">IFERROR(_xlfn._xlws.FILTER(shifts!A:A,(shifts!B:B=events!Z434)*(shifts!AG:AG&gt;=events!BJ434)*(shifts!AH:AH&lt;=events!BK434)),BH433)</f>
        <v>13</v>
      </c>
      <c r="BI434" s="15">
        <f t="shared" si="702"/>
        <v>0</v>
      </c>
      <c r="BJ434">
        <f t="shared" si="703"/>
        <v>704</v>
      </c>
      <c r="BK434">
        <f t="shared" si="704"/>
        <v>704</v>
      </c>
      <c r="BL434" s="15">
        <f>SUMIFS(BI$2:BI434,K$2:K434,"=Intermission")+SUMIFS(BI$2:BI434,K$2:K434,"=Timeout")</f>
        <v>0</v>
      </c>
      <c r="BM434">
        <f t="shared" si="705"/>
        <v>0</v>
      </c>
      <c r="BN434" s="19">
        <f t="shared" si="706"/>
        <v>376</v>
      </c>
      <c r="BO434">
        <f t="shared" si="707"/>
        <v>371</v>
      </c>
      <c r="BP434" s="17">
        <f t="shared" si="708"/>
        <v>376</v>
      </c>
      <c r="BQ434" t="str">
        <f t="shared" si="709"/>
        <v>event_team_player_2</v>
      </c>
      <c r="BR434">
        <f>COUNTIFS(S$3:S434,"="&amp;S434,AH$3:AH434,"="&amp;AH434)</f>
        <v>2</v>
      </c>
      <c r="BS434" t="str">
        <f>IFERROR(VLOOKUP(BA434&amp;BT434&amp;X434,game_rosters!U:W,3,FALSE),"")</f>
        <v>P100159</v>
      </c>
      <c r="BT434" t="str">
        <f t="shared" si="710"/>
        <v>Velodrome</v>
      </c>
    </row>
    <row r="435" spans="1:72" x14ac:dyDescent="0.2">
      <c r="A435" t="str">
        <f t="shared" si="685"/>
        <v/>
      </c>
      <c r="E435" s="4"/>
      <c r="F435" s="45"/>
      <c r="G435" s="4"/>
      <c r="H435" s="47"/>
      <c r="I435" s="26">
        <v>19</v>
      </c>
      <c r="J435" s="26" t="str">
        <f t="shared" si="711"/>
        <v/>
      </c>
      <c r="N435" t="str">
        <f t="shared" si="729"/>
        <v/>
      </c>
      <c r="O435" t="s">
        <v>567</v>
      </c>
      <c r="Q435" t="str">
        <f t="shared" si="723"/>
        <v/>
      </c>
      <c r="R435" s="26">
        <v>1</v>
      </c>
      <c r="S435">
        <f>IF(A435=1,MAX($S$2:$S434)+1,IF(OR($I435&lt;&gt;"",A435="x"),$S434,""))</f>
        <v>217</v>
      </c>
      <c r="T435" t="str">
        <f>IF(D435=1,MAX($T$2:$T434)+1,IF(S435=S434,$T434,IF(D435="x",T434,IF(D434="x","",""))))</f>
        <v/>
      </c>
      <c r="U435" t="str">
        <f>IF(B435=1,MAX($U$2:$U434)+1,IF(AND($T435&lt;&gt;"",$T435=$T434),$U434,IF(B435="x",U434,"")))</f>
        <v/>
      </c>
      <c r="V435" t="str">
        <f>IF(C435=1,MAX($V$2:$V434)+1,IF(AND($T435&lt;&gt;"",$T435=$T434),$U434,IF(C435="x",V434,"")))</f>
        <v/>
      </c>
      <c r="W435" t="str" cm="1">
        <f t="array" ref="W435">IFERROR(_xlfn._xlws.FILTER(game_rosters!AC:AC,(game_rosters!J:J=events!X435)*(K435&lt;&gt;"")),"")</f>
        <v/>
      </c>
      <c r="X435" cm="1">
        <f t="array" ref="X435">IF($I435&lt;&gt;"",$I435,INDEX($I$1:$I435,ROW()-COUNTIFS($T$1:$T435,"="&amp;$T435,$S$1:$S435,"&lt;"&amp;$S435)))</f>
        <v>19</v>
      </c>
      <c r="Y435" t="str" cm="1">
        <f t="array" ref="Y435">IFERROR(IF(_xlfn._xlws.FILTER(game_rosters!$J:$J,(game_rosters!$G:$G=events!$AM435)*(game_rosters!$J:$J=events!$X435))&gt;0,1,""),"")</f>
        <v/>
      </c>
      <c r="Z435" s="6">
        <f t="shared" si="686"/>
        <v>1</v>
      </c>
      <c r="AA435">
        <f t="shared" si="687"/>
        <v>1217</v>
      </c>
      <c r="AB435" t="str">
        <f t="shared" si="688"/>
        <v/>
      </c>
      <c r="AC435">
        <f t="shared" si="689"/>
        <v>1217</v>
      </c>
      <c r="AD435" t="str">
        <f t="shared" si="690"/>
        <v>11</v>
      </c>
      <c r="AE435" t="str">
        <f t="shared" si="691"/>
        <v>44</v>
      </c>
      <c r="AF435" t="str">
        <f t="shared" si="692"/>
        <v/>
      </c>
      <c r="AG435" t="str">
        <f t="shared" si="693"/>
        <v/>
      </c>
      <c r="AH435" t="str">
        <f t="shared" si="736"/>
        <v>o</v>
      </c>
      <c r="AI435" t="str">
        <f t="shared" si="761"/>
        <v>d</v>
      </c>
      <c r="AJ435" t="str">
        <f t="shared" si="761"/>
        <v>d</v>
      </c>
      <c r="AK435" t="str">
        <f t="shared" si="738"/>
        <v/>
      </c>
      <c r="AL435" t="str">
        <f t="shared" si="739"/>
        <v/>
      </c>
      <c r="AM435" t="str">
        <f t="shared" si="694"/>
        <v>Away</v>
      </c>
      <c r="AN435" t="str">
        <f t="shared" si="740"/>
        <v>a</v>
      </c>
      <c r="AO435" t="str">
        <f t="shared" si="741"/>
        <v>o</v>
      </c>
      <c r="AP435" t="str">
        <f t="shared" si="742"/>
        <v>d</v>
      </c>
      <c r="AQ435" t="str">
        <f>IF(AM435&lt;&gt;"",AM435,IF($AC435=#REF!,#REF!,""))</f>
        <v>Away</v>
      </c>
      <c r="AR435" t="str">
        <f t="shared" si="743"/>
        <v>a</v>
      </c>
      <c r="AS435" t="str">
        <f t="shared" si="744"/>
        <v>Defensive</v>
      </c>
      <c r="AT435" t="str">
        <f t="shared" si="695"/>
        <v/>
      </c>
      <c r="AU435" t="str">
        <f t="shared" si="696"/>
        <v/>
      </c>
      <c r="AV435" t="str" cm="1">
        <f t="array" ref="AV435">IFERROR(IF(O435&lt;&gt;"",O435,IF(OR($S435="",$T435=""),"",IF(O435&lt;&gt;"",O435,IF($T435&lt;&gt;"",_xlfn._xlws.FILTER(O:O,($BT:$BT=$BT435)*($I:$I=$I435)*($T:$T=$T435)*($S:$S=_xlfn.MINIFS($S:$S,$T:$T,"="&amp;$T435)),"")))))&amp;"",IF(O435="","",""))&amp;""</f>
        <v>StickCheck</v>
      </c>
      <c r="AW435" t="str" cm="1">
        <f t="array" ref="AW435">IFERROR(IF(P435&lt;&gt;"",P435,IF(OR($S435="",$T435=""),"",IF($T435&lt;&gt;"",_xlfn._xlws.FILTER(P:P,($BT:$BT=$BT435)*($I:$I=$I435)*($T:$T=$T435)*($S:$S=_xlfn.MINIFS($S:$S,$T:$T,"="&amp;$T435)),""))))&amp;"",IF(P435="","",""))&amp;""</f>
        <v/>
      </c>
      <c r="AX435" t="str" cm="1">
        <f t="array" ref="AX435">IFERROR(IF(Q435&lt;&gt;"",Q435,IF(OR($S435="",$T435=""),"",IF($T435&lt;&gt;"",_xlfn._xlws.FILTER(Q:Q,($BT:$BT=$BT435)*($I:$I=$I435)*($T:$T=$T435)*($S:$S=_xlfn.MINIFS($S:$S,$T:$T,"="&amp;$T435)),""))))&amp;"",IF(Q435="","",""))&amp;""</f>
        <v/>
      </c>
      <c r="AY435" t="str" cm="1">
        <f t="array" ref="AY435">IFERROR(IF(R435&lt;&gt;"",R435,IF(OR($S435="",$T435=""),"",IF($T435&lt;&gt;"",_xlfn._xlws.FILTER(R:R,($BT:$BT=$BT435)*($I:$I=$I435)*($T:$T=$T435)*($S:$S=_xlfn.MINIFS($S:$S,$T:$T,"="&amp;$T435)),""))))&amp;"",IF(R435="","",""))&amp;""</f>
        <v>1</v>
      </c>
      <c r="AZ435" s="6">
        <f t="shared" si="697"/>
        <v>37</v>
      </c>
      <c r="BA435">
        <f t="shared" ref="BA435:BC435" si="770">BA434</f>
        <v>18991</v>
      </c>
      <c r="BB435" t="str">
        <f t="shared" si="770"/>
        <v>Triple J</v>
      </c>
      <c r="BC435" t="str">
        <f t="shared" si="770"/>
        <v>Velodrome</v>
      </c>
      <c r="BD435" t="str">
        <f t="shared" si="699"/>
        <v>Pass</v>
      </c>
      <c r="BE435" t="str">
        <f t="shared" si="700"/>
        <v>Pass_Completed</v>
      </c>
      <c r="BF435" t="str">
        <f t="shared" si="701"/>
        <v>Pass-Forehand</v>
      </c>
      <c r="BG435" t="str">
        <f t="shared" si="683"/>
        <v>s</v>
      </c>
      <c r="BH435" cm="1">
        <f t="array" aca="1" ref="BH435" ca="1">IFERROR(_xlfn._xlws.FILTER(shifts!A:A,(shifts!B:B=events!Z435)*(shifts!AG:AG&gt;=events!BJ435)*(shifts!AH:AH&lt;=events!BK435)),BH434)</f>
        <v>13</v>
      </c>
      <c r="BI435" s="15">
        <f t="shared" si="702"/>
        <v>0</v>
      </c>
      <c r="BJ435">
        <f t="shared" si="703"/>
        <v>704</v>
      </c>
      <c r="BK435">
        <f t="shared" si="704"/>
        <v>704</v>
      </c>
      <c r="BL435" s="15">
        <f>SUMIFS(BI$2:BI435,K$2:K435,"=Intermission")+SUMIFS(BI$2:BI435,K$2:K435,"=Timeout")</f>
        <v>0</v>
      </c>
      <c r="BM435">
        <f t="shared" si="705"/>
        <v>0</v>
      </c>
      <c r="BN435" s="19">
        <f t="shared" si="706"/>
        <v>376</v>
      </c>
      <c r="BO435">
        <f t="shared" si="707"/>
        <v>371</v>
      </c>
      <c r="BP435" s="17">
        <f t="shared" si="708"/>
        <v>376</v>
      </c>
      <c r="BQ435" t="str">
        <f t="shared" si="709"/>
        <v>opp_team_player_1</v>
      </c>
      <c r="BR435">
        <f>COUNTIFS(S$3:S435,"="&amp;S435,AH$3:AH435,"="&amp;AH435)</f>
        <v>1</v>
      </c>
      <c r="BS435" t="str">
        <f>IFERROR(VLOOKUP(BA435&amp;BT435&amp;X435,game_rosters!U:W,3,FALSE),"")</f>
        <v>P100089</v>
      </c>
      <c r="BT435" t="str">
        <f t="shared" si="710"/>
        <v>Triple J</v>
      </c>
    </row>
    <row r="436" spans="1:72" x14ac:dyDescent="0.2">
      <c r="A436">
        <f t="shared" si="685"/>
        <v>1</v>
      </c>
      <c r="E436" s="4"/>
      <c r="F436" s="45"/>
      <c r="G436" s="4"/>
      <c r="H436" s="47" t="s">
        <v>1032</v>
      </c>
      <c r="I436" s="26">
        <v>87</v>
      </c>
      <c r="J436" s="26" t="s">
        <v>736</v>
      </c>
      <c r="K436" t="s">
        <v>13</v>
      </c>
      <c r="N436" t="str">
        <f t="shared" si="729"/>
        <v/>
      </c>
      <c r="Q436" t="str">
        <f t="shared" si="723"/>
        <v/>
      </c>
      <c r="S436">
        <f>IF(A436=1,MAX($S$2:$S435)+1,IF(OR($I436&lt;&gt;"",A436="x"),$S435,""))</f>
        <v>218</v>
      </c>
      <c r="T436" t="str">
        <f>IF(D436=1,MAX($T$2:$T435)+1,IF(S436=S435,$T435,IF(D436="x",T435,IF(D435="x","",""))))</f>
        <v/>
      </c>
      <c r="U436" t="str">
        <f>IF(B436=1,MAX($U$2:$U435)+1,IF(AND($T436&lt;&gt;"",$T436=$T435),$U435,IF(B436="x",U435,"")))</f>
        <v/>
      </c>
      <c r="V436" t="str">
        <f>IF(C436=1,MAX($V$2:$V435)+1,IF(AND($T436&lt;&gt;"",$T436=$T435),$U435,IF(C436="x",V435,"")))</f>
        <v/>
      </c>
      <c r="W436" t="str" cm="1">
        <f t="array" ref="W436">IFERROR(_xlfn._xlws.FILTER(game_rosters!AC:AC,(game_rosters!J:J=events!X436)*(K436&lt;&gt;"")),"")</f>
        <v>a</v>
      </c>
      <c r="X436" cm="1">
        <f t="array" ref="X436">IF($I436&lt;&gt;"",$I436,INDEX($I$1:$I436,ROW()-COUNTIFS($T$1:$T436,"="&amp;$T436,$S$1:$S436,"&lt;"&amp;$S436)))</f>
        <v>87</v>
      </c>
      <c r="Y436" cm="1">
        <f t="array" ref="Y436">IFERROR(IF(_xlfn._xlws.FILTER(game_rosters!$J:$J,(game_rosters!$G:$G=events!$AM436)*(game_rosters!$J:$J=events!$X436))&gt;0,1,""),"")</f>
        <v>1</v>
      </c>
      <c r="Z436" s="6">
        <f t="shared" si="686"/>
        <v>1</v>
      </c>
      <c r="AA436">
        <f t="shared" si="687"/>
        <v>1218</v>
      </c>
      <c r="AB436" t="str">
        <f t="shared" si="688"/>
        <v/>
      </c>
      <c r="AC436">
        <f t="shared" si="689"/>
        <v>1218</v>
      </c>
      <c r="AD436" t="str">
        <f t="shared" si="690"/>
        <v>11</v>
      </c>
      <c r="AE436" t="str">
        <f t="shared" si="691"/>
        <v>44</v>
      </c>
      <c r="AF436" t="str">
        <f t="shared" si="692"/>
        <v>11</v>
      </c>
      <c r="AG436" t="str">
        <f t="shared" si="693"/>
        <v>42</v>
      </c>
      <c r="AH436" t="str">
        <f t="shared" si="736"/>
        <v>e</v>
      </c>
      <c r="AI436" t="str">
        <f t="shared" si="761"/>
        <v>d</v>
      </c>
      <c r="AJ436" t="str">
        <f t="shared" si="761"/>
        <v>d</v>
      </c>
      <c r="AK436" t="str">
        <f t="shared" si="738"/>
        <v>o</v>
      </c>
      <c r="AL436" t="str">
        <f t="shared" si="739"/>
        <v>d</v>
      </c>
      <c r="AM436" t="str">
        <f t="shared" si="694"/>
        <v>Away</v>
      </c>
      <c r="AN436" t="str">
        <f t="shared" si="740"/>
        <v>a</v>
      </c>
      <c r="AO436" t="str">
        <f t="shared" si="741"/>
        <v>o</v>
      </c>
      <c r="AP436" t="str">
        <f t="shared" si="742"/>
        <v>d</v>
      </c>
      <c r="AQ436" t="str">
        <f>IF(AM436&lt;&gt;"",AM436,IF($AC436=#REF!,#REF!,""))</f>
        <v>Away</v>
      </c>
      <c r="AR436" t="str">
        <f t="shared" si="743"/>
        <v>a</v>
      </c>
      <c r="AS436" t="str">
        <f t="shared" si="744"/>
        <v>Offensive</v>
      </c>
      <c r="AT436" t="str">
        <f t="shared" si="695"/>
        <v/>
      </c>
      <c r="AU436" t="str">
        <f t="shared" si="696"/>
        <v/>
      </c>
      <c r="AV436" t="str" cm="1">
        <f t="array" ref="AV436">IFERROR(IF(O436&lt;&gt;"",O436,IF(OR($S436="",$T436=""),"",IF(O436&lt;&gt;"",O436,IF($T436&lt;&gt;"",_xlfn._xlws.FILTER(O:O,($BT:$BT=$BT436)*($I:$I=$I436)*($T:$T=$T436)*($S:$S=_xlfn.MINIFS($S:$S,$T:$T,"="&amp;$T436)),"")))))&amp;"",IF(O436="","",""))&amp;""</f>
        <v/>
      </c>
      <c r="AW436" t="str" cm="1">
        <f t="array" ref="AW436">IFERROR(IF(P436&lt;&gt;"",P436,IF(OR($S436="",$T436=""),"",IF($T436&lt;&gt;"",_xlfn._xlws.FILTER(P:P,($BT:$BT=$BT436)*($I:$I=$I436)*($T:$T=$T436)*($S:$S=_xlfn.MINIFS($S:$S,$T:$T,"="&amp;$T436)),""))))&amp;"",IF(P436="","",""))&amp;""</f>
        <v/>
      </c>
      <c r="AX436" t="str" cm="1">
        <f t="array" ref="AX436">IFERROR(IF(Q436&lt;&gt;"",Q436,IF(OR($S436="",$T436=""),"",IF($T436&lt;&gt;"",_xlfn._xlws.FILTER(Q:Q,($BT:$BT=$BT436)*($I:$I=$I436)*($T:$T=$T436)*($S:$S=_xlfn.MINIFS($S:$S,$T:$T,"="&amp;$T436)),""))))&amp;"",IF(Q436="","",""))&amp;""</f>
        <v/>
      </c>
      <c r="AY436" t="str" cm="1">
        <f t="array" ref="AY436">IFERROR(IF(R436&lt;&gt;"",R436,IF(OR($S436="",$T436=""),"",IF($T436&lt;&gt;"",_xlfn._xlws.FILTER(R:R,($BT:$BT=$BT436)*($I:$I=$I436)*($T:$T=$T436)*($S:$S=_xlfn.MINIFS($S:$S,$T:$T,"="&amp;$T436)),""))))&amp;"",IF(R436="","",""))&amp;""</f>
        <v/>
      </c>
      <c r="AZ436" s="6">
        <f t="shared" si="697"/>
        <v>37</v>
      </c>
      <c r="BA436">
        <f t="shared" ref="BA436:BC436" si="771">BA435</f>
        <v>18991</v>
      </c>
      <c r="BB436" t="str">
        <f t="shared" si="771"/>
        <v>Triple J</v>
      </c>
      <c r="BC436" t="str">
        <f t="shared" si="771"/>
        <v>Velodrome</v>
      </c>
      <c r="BD436" t="str">
        <f t="shared" si="699"/>
        <v>Possession</v>
      </c>
      <c r="BE436" t="str">
        <f t="shared" si="700"/>
        <v/>
      </c>
      <c r="BF436" t="str">
        <f t="shared" si="701"/>
        <v/>
      </c>
      <c r="BG436" t="str">
        <f t="shared" si="683"/>
        <v/>
      </c>
      <c r="BH436" cm="1">
        <f t="array" aca="1" ref="BH436" ca="1">IFERROR(_xlfn._xlws.FILTER(shifts!A:A,(shifts!B:B=events!Z436)*(shifts!AG:AG&gt;=events!BJ436)*(shifts!AH:AH&lt;=events!BK436)),BH435)</f>
        <v>13</v>
      </c>
      <c r="BI436" s="15">
        <f t="shared" si="702"/>
        <v>2</v>
      </c>
      <c r="BJ436">
        <f t="shared" si="703"/>
        <v>704</v>
      </c>
      <c r="BK436">
        <f t="shared" si="704"/>
        <v>702</v>
      </c>
      <c r="BL436" s="15">
        <f>SUMIFS(BI$2:BI436,K$2:K436,"=Intermission")+SUMIFS(BI$2:BI436,K$2:K436,"=Timeout")</f>
        <v>0</v>
      </c>
      <c r="BM436">
        <f t="shared" si="705"/>
        <v>0</v>
      </c>
      <c r="BN436" s="19">
        <f t="shared" si="706"/>
        <v>376</v>
      </c>
      <c r="BO436">
        <f t="shared" si="707"/>
        <v>371</v>
      </c>
      <c r="BP436" s="17">
        <f t="shared" si="708"/>
        <v>378</v>
      </c>
      <c r="BQ436" t="str">
        <f t="shared" si="709"/>
        <v>event_team_player_1</v>
      </c>
      <c r="BR436">
        <f>COUNTIFS(S$3:S436,"="&amp;S436,AH$3:AH436,"="&amp;AH436)</f>
        <v>1</v>
      </c>
      <c r="BS436" t="str">
        <f>IFERROR(VLOOKUP(BA436&amp;BT436&amp;X436,game_rosters!U:W,3,FALSE),"")</f>
        <v>P100159</v>
      </c>
      <c r="BT436" t="str">
        <f t="shared" si="710"/>
        <v>Velodrome</v>
      </c>
    </row>
    <row r="437" spans="1:72" x14ac:dyDescent="0.2">
      <c r="A437">
        <f t="shared" si="685"/>
        <v>1</v>
      </c>
      <c r="E437" s="4"/>
      <c r="F437" s="45"/>
      <c r="G437" s="4"/>
      <c r="H437" s="47" t="s">
        <v>1037</v>
      </c>
      <c r="I437" s="26">
        <v>87</v>
      </c>
      <c r="J437" s="26" t="str">
        <f t="shared" si="711"/>
        <v>d</v>
      </c>
      <c r="K437" t="s">
        <v>238</v>
      </c>
      <c r="L437" t="s">
        <v>184</v>
      </c>
      <c r="M437" t="s">
        <v>88</v>
      </c>
      <c r="N437" t="str">
        <f t="shared" si="729"/>
        <v>s</v>
      </c>
      <c r="O437" t="s">
        <v>150</v>
      </c>
      <c r="Q437" t="str">
        <f t="shared" si="723"/>
        <v>s</v>
      </c>
      <c r="R437" s="26">
        <v>1</v>
      </c>
      <c r="S437">
        <f>IF(A437=1,MAX($S$2:$S436)+1,IF(OR($I437&lt;&gt;"",A437="x"),$S436,""))</f>
        <v>219</v>
      </c>
      <c r="T437" t="str">
        <f>IF(D437=1,MAX($T$2:$T436)+1,IF(S437=S436,$T436,IF(D437="x",T436,IF(D436="x","",""))))</f>
        <v/>
      </c>
      <c r="U437" t="str">
        <f>IF(B437=1,MAX($U$2:$U436)+1,IF(AND($T437&lt;&gt;"",$T437=$T436),$U436,IF(B437="x",U436,"")))</f>
        <v/>
      </c>
      <c r="V437" t="str">
        <f>IF(C437=1,MAX($V$2:$V436)+1,IF(AND($T437&lt;&gt;"",$T437=$T436),$U436,IF(C437="x",V436,"")))</f>
        <v/>
      </c>
      <c r="W437" t="str" cm="1">
        <f t="array" ref="W437">IFERROR(_xlfn._xlws.FILTER(game_rosters!AC:AC,(game_rosters!J:J=events!X437)*(K437&lt;&gt;"")),"")</f>
        <v>a</v>
      </c>
      <c r="X437" cm="1">
        <f t="array" ref="X437">IF($I437&lt;&gt;"",$I437,INDEX($I$1:$I437,ROW()-COUNTIFS($T$1:$T437,"="&amp;$T437,$S$1:$S437,"&lt;"&amp;$S437)))</f>
        <v>87</v>
      </c>
      <c r="Y437" cm="1">
        <f t="array" ref="Y437">IFERROR(IF(_xlfn._xlws.FILTER(game_rosters!$J:$J,(game_rosters!$G:$G=events!$AM437)*(game_rosters!$J:$J=events!$X437))&gt;0,1,""),"")</f>
        <v>1</v>
      </c>
      <c r="Z437" s="6">
        <f t="shared" si="686"/>
        <v>1</v>
      </c>
      <c r="AA437">
        <f t="shared" si="687"/>
        <v>1219</v>
      </c>
      <c r="AB437" t="str">
        <f t="shared" si="688"/>
        <v/>
      </c>
      <c r="AC437">
        <f t="shared" si="689"/>
        <v>1219</v>
      </c>
      <c r="AD437" t="str">
        <f t="shared" si="690"/>
        <v>11</v>
      </c>
      <c r="AE437" t="str">
        <f t="shared" si="691"/>
        <v>42</v>
      </c>
      <c r="AF437" t="str">
        <f t="shared" si="692"/>
        <v>11</v>
      </c>
      <c r="AG437" t="str">
        <f t="shared" si="693"/>
        <v>41</v>
      </c>
      <c r="AH437" t="str">
        <f t="shared" si="736"/>
        <v>e</v>
      </c>
      <c r="AI437" t="str">
        <f t="shared" si="761"/>
        <v>d</v>
      </c>
      <c r="AJ437" t="str">
        <f t="shared" si="761"/>
        <v>d</v>
      </c>
      <c r="AK437" t="str">
        <f t="shared" si="738"/>
        <v>o</v>
      </c>
      <c r="AL437" t="str">
        <f t="shared" si="739"/>
        <v>d</v>
      </c>
      <c r="AM437" t="str">
        <f t="shared" si="694"/>
        <v>Away</v>
      </c>
      <c r="AN437" t="str">
        <f t="shared" si="740"/>
        <v>a</v>
      </c>
      <c r="AO437" t="str">
        <f t="shared" si="741"/>
        <v>o</v>
      </c>
      <c r="AP437" t="str">
        <f t="shared" si="742"/>
        <v>d</v>
      </c>
      <c r="AQ437" t="str">
        <f>IF(AM437&lt;&gt;"",AM437,IF($AC437=#REF!,#REF!,""))</f>
        <v>Away</v>
      </c>
      <c r="AR437" t="str">
        <f t="shared" si="743"/>
        <v>a</v>
      </c>
      <c r="AS437" t="str">
        <f t="shared" si="744"/>
        <v>Offensive</v>
      </c>
      <c r="AT437" t="str">
        <f t="shared" si="695"/>
        <v/>
      </c>
      <c r="AU437" t="str">
        <f t="shared" si="696"/>
        <v/>
      </c>
      <c r="AV437" t="str" cm="1">
        <f t="array" ref="AV437">IFERROR(IF(O437&lt;&gt;"",O437,IF(OR($S437="",$T437=""),"",IF(O437&lt;&gt;"",O437,IF($T437&lt;&gt;"",_xlfn._xlws.FILTER(O:O,($BT:$BT=$BT437)*($I:$I=$I437)*($T:$T=$T437)*($S:$S=_xlfn.MINIFS($S:$S,$T:$T,"="&amp;$T437)),"")))))&amp;"",IF(O437="","",""))&amp;""</f>
        <v>Deke</v>
      </c>
      <c r="AW437" t="str" cm="1">
        <f t="array" ref="AW437">IFERROR(IF(P437&lt;&gt;"",P437,IF(OR($S437="",$T437=""),"",IF($T437&lt;&gt;"",_xlfn._xlws.FILTER(P:P,($BT:$BT=$BT437)*($I:$I=$I437)*($T:$T=$T437)*($S:$S=_xlfn.MINIFS($S:$S,$T:$T,"="&amp;$T437)),""))))&amp;"",IF(P437="","",""))&amp;""</f>
        <v/>
      </c>
      <c r="AX437" t="str" cm="1">
        <f t="array" ref="AX437">IFERROR(IF(Q437&lt;&gt;"",Q437,IF(OR($S437="",$T437=""),"",IF($T437&lt;&gt;"",_xlfn._xlws.FILTER(Q:Q,($BT:$BT=$BT437)*($I:$I=$I437)*($T:$T=$T437)*($S:$S=_xlfn.MINIFS($S:$S,$T:$T,"="&amp;$T437)),""))))&amp;"",IF(Q437="","",""))&amp;""</f>
        <v>s</v>
      </c>
      <c r="AY437" t="str" cm="1">
        <f t="array" ref="AY437">IFERROR(IF(R437&lt;&gt;"",R437,IF(OR($S437="",$T437=""),"",IF($T437&lt;&gt;"",_xlfn._xlws.FILTER(R:R,($BT:$BT=$BT437)*($I:$I=$I437)*($T:$T=$T437)*($S:$S=_xlfn.MINIFS($S:$S,$T:$T,"="&amp;$T437)),""))))&amp;"",IF(R437="","",""))&amp;""</f>
        <v>1</v>
      </c>
      <c r="AZ437" s="6">
        <f t="shared" si="697"/>
        <v>38</v>
      </c>
      <c r="BA437">
        <f t="shared" ref="BA437:BC437" si="772">BA436</f>
        <v>18991</v>
      </c>
      <c r="BB437" t="str">
        <f t="shared" si="772"/>
        <v>Triple J</v>
      </c>
      <c r="BC437" t="str">
        <f t="shared" si="772"/>
        <v>Velodrome</v>
      </c>
      <c r="BD437" t="str">
        <f t="shared" si="699"/>
        <v>Zone_Entry_Exit</v>
      </c>
      <c r="BE437" t="str">
        <f t="shared" si="700"/>
        <v>Zone_Exit</v>
      </c>
      <c r="BF437" t="str">
        <f t="shared" si="701"/>
        <v>ZoneExit-Rush</v>
      </c>
      <c r="BG437" t="str">
        <f t="shared" si="683"/>
        <v>s</v>
      </c>
      <c r="BH437" cm="1">
        <f t="array" aca="1" ref="BH437" ca="1">IFERROR(_xlfn._xlws.FILTER(shifts!A:A,(shifts!B:B=events!Z437)*(shifts!AG:AG&gt;=events!BJ437)*(shifts!AH:AH&lt;=events!BK437)),BH436)</f>
        <v>13</v>
      </c>
      <c r="BI437" s="15">
        <f t="shared" si="702"/>
        <v>1</v>
      </c>
      <c r="BJ437">
        <f t="shared" si="703"/>
        <v>702</v>
      </c>
      <c r="BK437">
        <f t="shared" si="704"/>
        <v>701</v>
      </c>
      <c r="BL437" s="15">
        <f>SUMIFS(BI$2:BI437,K$2:K437,"=Intermission")+SUMIFS(BI$2:BI437,K$2:K437,"=Timeout")</f>
        <v>0</v>
      </c>
      <c r="BM437">
        <f t="shared" si="705"/>
        <v>0</v>
      </c>
      <c r="BN437" s="19">
        <f t="shared" si="706"/>
        <v>378</v>
      </c>
      <c r="BO437">
        <f t="shared" si="707"/>
        <v>373</v>
      </c>
      <c r="BP437" s="17">
        <f t="shared" si="708"/>
        <v>379</v>
      </c>
      <c r="BQ437" t="str">
        <f t="shared" si="709"/>
        <v>event_team_player_1</v>
      </c>
      <c r="BR437">
        <f>COUNTIFS(S$3:S437,"="&amp;S437,AH$3:AH437,"="&amp;AH437)</f>
        <v>1</v>
      </c>
      <c r="BS437" t="str">
        <f>IFERROR(VLOOKUP(BA437&amp;BT437&amp;X437,game_rosters!U:W,3,FALSE),"")</f>
        <v>P100159</v>
      </c>
      <c r="BT437" t="str">
        <f t="shared" si="710"/>
        <v>Velodrome</v>
      </c>
    </row>
    <row r="438" spans="1:72" x14ac:dyDescent="0.2">
      <c r="A438" t="str">
        <f t="shared" si="685"/>
        <v/>
      </c>
      <c r="E438" s="4"/>
      <c r="F438" s="45"/>
      <c r="G438" s="4"/>
      <c r="H438" s="47"/>
      <c r="I438" s="26">
        <v>12</v>
      </c>
      <c r="J438" s="26" t="str">
        <f t="shared" si="711"/>
        <v/>
      </c>
      <c r="N438" t="str">
        <f t="shared" si="729"/>
        <v/>
      </c>
      <c r="O438" t="s">
        <v>164</v>
      </c>
      <c r="Q438" t="str">
        <f t="shared" si="723"/>
        <v>u</v>
      </c>
      <c r="R438" s="26">
        <v>1</v>
      </c>
      <c r="S438">
        <f>IF(A438=1,MAX($S$2:$S437)+1,IF(OR($I438&lt;&gt;"",A438="x"),$S437,""))</f>
        <v>219</v>
      </c>
      <c r="T438" t="str">
        <f>IF(D438=1,MAX($T$2:$T437)+1,IF(S438=S437,$T437,IF(D438="x",T437,IF(D437="x","",""))))</f>
        <v/>
      </c>
      <c r="U438" t="str">
        <f>IF(B438=1,MAX($U$2:$U437)+1,IF(AND($T438&lt;&gt;"",$T438=$T437),$U437,IF(B438="x",U437,"")))</f>
        <v/>
      </c>
      <c r="V438" t="str">
        <f>IF(C438=1,MAX($V$2:$V437)+1,IF(AND($T438&lt;&gt;"",$T438=$T437),$U437,IF(C438="x",V437,"")))</f>
        <v/>
      </c>
      <c r="W438" t="str" cm="1">
        <f t="array" ref="W438">IFERROR(_xlfn._xlws.FILTER(game_rosters!AC:AC,(game_rosters!J:J=events!X438)*(K438&lt;&gt;"")),"")</f>
        <v/>
      </c>
      <c r="X438" cm="1">
        <f t="array" ref="X438">IF($I438&lt;&gt;"",$I438,INDEX($I$1:$I438,ROW()-COUNTIFS($T$1:$T438,"="&amp;$T438,$S$1:$S438,"&lt;"&amp;$S438)))</f>
        <v>12</v>
      </c>
      <c r="Y438" t="str" cm="1">
        <f t="array" ref="Y438">IFERROR(IF(_xlfn._xlws.FILTER(game_rosters!$J:$J,(game_rosters!$G:$G=events!$AM438)*(game_rosters!$J:$J=events!$X438))&gt;0,1,""),"")</f>
        <v/>
      </c>
      <c r="Z438" s="6">
        <f t="shared" si="686"/>
        <v>1</v>
      </c>
      <c r="AA438">
        <f t="shared" si="687"/>
        <v>1219</v>
      </c>
      <c r="AB438" t="str">
        <f t="shared" si="688"/>
        <v/>
      </c>
      <c r="AC438">
        <f t="shared" si="689"/>
        <v>1219</v>
      </c>
      <c r="AD438" t="str">
        <f t="shared" si="690"/>
        <v>11</v>
      </c>
      <c r="AE438" t="str">
        <f t="shared" si="691"/>
        <v>42</v>
      </c>
      <c r="AF438" t="str">
        <f t="shared" si="692"/>
        <v>11</v>
      </c>
      <c r="AG438" t="str">
        <f t="shared" si="693"/>
        <v>41</v>
      </c>
      <c r="AH438" t="str">
        <f t="shared" si="736"/>
        <v>o</v>
      </c>
      <c r="AI438" t="str">
        <f t="shared" si="761"/>
        <v>d</v>
      </c>
      <c r="AJ438" t="str">
        <f t="shared" si="761"/>
        <v>d</v>
      </c>
      <c r="AK438" t="str">
        <f t="shared" si="738"/>
        <v/>
      </c>
      <c r="AL438" t="str">
        <f t="shared" si="739"/>
        <v/>
      </c>
      <c r="AM438" t="str">
        <f t="shared" si="694"/>
        <v>Away</v>
      </c>
      <c r="AN438" t="str">
        <f t="shared" si="740"/>
        <v>a</v>
      </c>
      <c r="AO438" t="str">
        <f t="shared" si="741"/>
        <v>o</v>
      </c>
      <c r="AP438" t="str">
        <f t="shared" si="742"/>
        <v>d</v>
      </c>
      <c r="AQ438" t="str">
        <f>IF(AM438&lt;&gt;"",AM438,IF($AC438=#REF!,#REF!,""))</f>
        <v>Away</v>
      </c>
      <c r="AR438" t="str">
        <f t="shared" si="743"/>
        <v>a</v>
      </c>
      <c r="AS438" t="str">
        <f t="shared" si="744"/>
        <v>Defensive</v>
      </c>
      <c r="AT438" t="str">
        <f t="shared" si="695"/>
        <v/>
      </c>
      <c r="AU438" t="str">
        <f t="shared" si="696"/>
        <v/>
      </c>
      <c r="AV438" t="str" cm="1">
        <f t="array" ref="AV438">IFERROR(IF(O438&lt;&gt;"",O438,IF(OR($S438="",$T438=""),"",IF(O438&lt;&gt;"",O438,IF($T438&lt;&gt;"",_xlfn._xlws.FILTER(O:O,($BT:$BT=$BT438)*($I:$I=$I438)*($T:$T=$T438)*($S:$S=_xlfn.MINIFS($S:$S,$T:$T,"="&amp;$T438)),"")))))&amp;"",IF(O438="","",""))&amp;""</f>
        <v>BeatDeke</v>
      </c>
      <c r="AW438" t="str" cm="1">
        <f t="array" ref="AW438">IFERROR(IF(P438&lt;&gt;"",P438,IF(OR($S438="",$T438=""),"",IF($T438&lt;&gt;"",_xlfn._xlws.FILTER(P:P,($BT:$BT=$BT438)*($I:$I=$I438)*($T:$T=$T438)*($S:$S=_xlfn.MINIFS($S:$S,$T:$T,"="&amp;$T438)),""))))&amp;"",IF(P438="","",""))&amp;""</f>
        <v/>
      </c>
      <c r="AX438" t="str" cm="1">
        <f t="array" ref="AX438">IFERROR(IF(Q438&lt;&gt;"",Q438,IF(OR($S438="",$T438=""),"",IF($T438&lt;&gt;"",_xlfn._xlws.FILTER(Q:Q,($BT:$BT=$BT438)*($I:$I=$I438)*($T:$T=$T438)*($S:$S=_xlfn.MINIFS($S:$S,$T:$T,"="&amp;$T438)),""))))&amp;"",IF(Q438="","",""))&amp;""</f>
        <v>u</v>
      </c>
      <c r="AY438" t="str" cm="1">
        <f t="array" ref="AY438">IFERROR(IF(R438&lt;&gt;"",R438,IF(OR($S438="",$T438=""),"",IF($T438&lt;&gt;"",_xlfn._xlws.FILTER(R:R,($BT:$BT=$BT438)*($I:$I=$I438)*($T:$T=$T438)*($S:$S=_xlfn.MINIFS($S:$S,$T:$T,"="&amp;$T438)),""))))&amp;"",IF(R438="","",""))&amp;""</f>
        <v>1</v>
      </c>
      <c r="AZ438" s="6">
        <f t="shared" si="697"/>
        <v>38</v>
      </c>
      <c r="BA438">
        <f t="shared" ref="BA438:BC438" si="773">BA437</f>
        <v>18991</v>
      </c>
      <c r="BB438" t="str">
        <f t="shared" si="773"/>
        <v>Triple J</v>
      </c>
      <c r="BC438" t="str">
        <f t="shared" si="773"/>
        <v>Velodrome</v>
      </c>
      <c r="BD438" t="str">
        <f t="shared" si="699"/>
        <v>Zone_Entry_Exit</v>
      </c>
      <c r="BE438" t="str">
        <f t="shared" si="700"/>
        <v>Zone_Exit</v>
      </c>
      <c r="BF438" t="str">
        <f t="shared" si="701"/>
        <v>ZoneExit-Rush</v>
      </c>
      <c r="BG438" t="str">
        <f t="shared" si="683"/>
        <v>s</v>
      </c>
      <c r="BH438" cm="1">
        <f t="array" aca="1" ref="BH438" ca="1">IFERROR(_xlfn._xlws.FILTER(shifts!A:A,(shifts!B:B=events!Z438)*(shifts!AG:AG&gt;=events!BJ438)*(shifts!AH:AH&lt;=events!BK438)),BH437)</f>
        <v>13</v>
      </c>
      <c r="BI438" s="15">
        <f t="shared" si="702"/>
        <v>1</v>
      </c>
      <c r="BJ438">
        <f t="shared" si="703"/>
        <v>702</v>
      </c>
      <c r="BK438">
        <f t="shared" si="704"/>
        <v>701</v>
      </c>
      <c r="BL438" s="15">
        <f>SUMIFS(BI$2:BI438,K$2:K438,"=Intermission")+SUMIFS(BI$2:BI438,K$2:K438,"=Timeout")</f>
        <v>0</v>
      </c>
      <c r="BM438">
        <f t="shared" si="705"/>
        <v>0</v>
      </c>
      <c r="BN438" s="19">
        <f t="shared" si="706"/>
        <v>378</v>
      </c>
      <c r="BO438">
        <f t="shared" si="707"/>
        <v>373</v>
      </c>
      <c r="BP438" s="17">
        <f t="shared" si="708"/>
        <v>379</v>
      </c>
      <c r="BQ438" t="str">
        <f t="shared" si="709"/>
        <v>opp_team_player_1</v>
      </c>
      <c r="BR438">
        <f>COUNTIFS(S$3:S438,"="&amp;S438,AH$3:AH438,"="&amp;AH438)</f>
        <v>1</v>
      </c>
      <c r="BS438" t="str">
        <f>IFERROR(VLOOKUP(BA438&amp;BT438&amp;X438,game_rosters!U:W,3,FALSE),"")</f>
        <v/>
      </c>
      <c r="BT438" t="str">
        <f t="shared" si="710"/>
        <v>Triple J</v>
      </c>
    </row>
    <row r="439" spans="1:72" x14ac:dyDescent="0.2">
      <c r="A439">
        <f t="shared" si="685"/>
        <v>1</v>
      </c>
      <c r="E439" s="4"/>
      <c r="F439" s="45"/>
      <c r="G439" s="4"/>
      <c r="H439" s="47" t="s">
        <v>749</v>
      </c>
      <c r="I439" s="26">
        <v>87</v>
      </c>
      <c r="J439" s="26" t="s">
        <v>734</v>
      </c>
      <c r="K439" t="s">
        <v>13</v>
      </c>
      <c r="N439" t="str">
        <f t="shared" si="729"/>
        <v/>
      </c>
      <c r="Q439" t="str">
        <f t="shared" si="723"/>
        <v/>
      </c>
      <c r="S439">
        <f>IF(A439=1,MAX($S$2:$S438)+1,IF(OR($I439&lt;&gt;"",A439="x"),$S438,""))</f>
        <v>220</v>
      </c>
      <c r="T439" t="str">
        <f>IF(D439=1,MAX($T$2:$T438)+1,IF(S439=S438,$T438,IF(D439="x",T438,IF(D438="x","",""))))</f>
        <v/>
      </c>
      <c r="U439" t="str">
        <f>IF(B439=1,MAX($U$2:$U438)+1,IF(AND($T439&lt;&gt;"",$T439=$T438),$U438,IF(B439="x",U438,"")))</f>
        <v/>
      </c>
      <c r="V439" t="str">
        <f>IF(C439=1,MAX($V$2:$V438)+1,IF(AND($T439&lt;&gt;"",$T439=$T438),$U438,IF(C439="x",V438,"")))</f>
        <v/>
      </c>
      <c r="W439" t="str" cm="1">
        <f t="array" ref="W439">IFERROR(_xlfn._xlws.FILTER(game_rosters!AC:AC,(game_rosters!J:J=events!X439)*(K439&lt;&gt;"")),"")</f>
        <v>a</v>
      </c>
      <c r="X439" cm="1">
        <f t="array" ref="X439">IF($I439&lt;&gt;"",$I439,INDEX($I$1:$I439,ROW()-COUNTIFS($T$1:$T439,"="&amp;$T439,$S$1:$S439,"&lt;"&amp;$S439)))</f>
        <v>87</v>
      </c>
      <c r="Y439" cm="1">
        <f t="array" ref="Y439">IFERROR(IF(_xlfn._xlws.FILTER(game_rosters!$J:$J,(game_rosters!$G:$G=events!$AM439)*(game_rosters!$J:$J=events!$X439))&gt;0,1,""),"")</f>
        <v>1</v>
      </c>
      <c r="Z439" s="6">
        <f t="shared" si="686"/>
        <v>1</v>
      </c>
      <c r="AA439">
        <f t="shared" si="687"/>
        <v>1220</v>
      </c>
      <c r="AB439" t="str">
        <f t="shared" si="688"/>
        <v/>
      </c>
      <c r="AC439">
        <f t="shared" si="689"/>
        <v>1220</v>
      </c>
      <c r="AD439" t="str">
        <f t="shared" si="690"/>
        <v>11</v>
      </c>
      <c r="AE439" t="str">
        <f t="shared" si="691"/>
        <v>41</v>
      </c>
      <c r="AF439" t="str">
        <f t="shared" si="692"/>
        <v>11</v>
      </c>
      <c r="AG439" t="str">
        <f t="shared" si="693"/>
        <v>39</v>
      </c>
      <c r="AH439" t="str">
        <f t="shared" si="736"/>
        <v>e</v>
      </c>
      <c r="AI439" t="str">
        <f t="shared" si="761"/>
        <v>n</v>
      </c>
      <c r="AJ439" t="str">
        <f t="shared" si="761"/>
        <v>n</v>
      </c>
      <c r="AK439" t="str">
        <f t="shared" si="738"/>
        <v>n</v>
      </c>
      <c r="AL439" t="str">
        <f t="shared" si="739"/>
        <v>n</v>
      </c>
      <c r="AM439" t="str">
        <f t="shared" si="694"/>
        <v>Away</v>
      </c>
      <c r="AN439" t="str">
        <f t="shared" si="740"/>
        <v>a</v>
      </c>
      <c r="AO439" t="str">
        <f t="shared" si="741"/>
        <v>n</v>
      </c>
      <c r="AP439" t="str">
        <f t="shared" si="742"/>
        <v>n</v>
      </c>
      <c r="AQ439" t="str">
        <f>IF(AM439&lt;&gt;"",AM439,IF($AC439=#REF!,#REF!,""))</f>
        <v>Away</v>
      </c>
      <c r="AR439" t="str">
        <f t="shared" si="743"/>
        <v>a</v>
      </c>
      <c r="AS439" t="str">
        <f t="shared" si="744"/>
        <v>Offensive</v>
      </c>
      <c r="AT439" t="str">
        <f t="shared" si="695"/>
        <v/>
      </c>
      <c r="AU439" t="str">
        <f t="shared" si="696"/>
        <v/>
      </c>
      <c r="AV439" t="str" cm="1">
        <f t="array" ref="AV439">IFERROR(IF(O439&lt;&gt;"",O439,IF(OR($S439="",$T439=""),"",IF(O439&lt;&gt;"",O439,IF($T439&lt;&gt;"",_xlfn._xlws.FILTER(O:O,($BT:$BT=$BT439)*($I:$I=$I439)*($T:$T=$T439)*($S:$S=_xlfn.MINIFS($S:$S,$T:$T,"="&amp;$T439)),"")))))&amp;"",IF(O439="","",""))&amp;""</f>
        <v/>
      </c>
      <c r="AW439" t="str" cm="1">
        <f t="array" ref="AW439">IFERROR(IF(P439&lt;&gt;"",P439,IF(OR($S439="",$T439=""),"",IF($T439&lt;&gt;"",_xlfn._xlws.FILTER(P:P,($BT:$BT=$BT439)*($I:$I=$I439)*($T:$T=$T439)*($S:$S=_xlfn.MINIFS($S:$S,$T:$T,"="&amp;$T439)),""))))&amp;"",IF(P439="","",""))&amp;""</f>
        <v/>
      </c>
      <c r="AX439" t="str" cm="1">
        <f t="array" ref="AX439">IFERROR(IF(Q439&lt;&gt;"",Q439,IF(OR($S439="",$T439=""),"",IF($T439&lt;&gt;"",_xlfn._xlws.FILTER(Q:Q,($BT:$BT=$BT439)*($I:$I=$I439)*($T:$T=$T439)*($S:$S=_xlfn.MINIFS($S:$S,$T:$T,"="&amp;$T439)),""))))&amp;"",IF(Q439="","",""))&amp;""</f>
        <v/>
      </c>
      <c r="AY439" t="str" cm="1">
        <f t="array" ref="AY439">IFERROR(IF(R439&lt;&gt;"",R439,IF(OR($S439="",$T439=""),"",IF($T439&lt;&gt;"",_xlfn._xlws.FILTER(R:R,($BT:$BT=$BT439)*($I:$I=$I439)*($T:$T=$T439)*($S:$S=_xlfn.MINIFS($S:$S,$T:$T,"="&amp;$T439)),""))))&amp;"",IF(R439="","",""))&amp;""</f>
        <v/>
      </c>
      <c r="AZ439" s="6">
        <f t="shared" si="697"/>
        <v>38</v>
      </c>
      <c r="BA439">
        <f t="shared" ref="BA439:BC439" si="774">BA438</f>
        <v>18991</v>
      </c>
      <c r="BB439" t="str">
        <f t="shared" si="774"/>
        <v>Triple J</v>
      </c>
      <c r="BC439" t="str">
        <f t="shared" si="774"/>
        <v>Velodrome</v>
      </c>
      <c r="BD439" t="str">
        <f t="shared" si="699"/>
        <v>Possession</v>
      </c>
      <c r="BE439" t="str">
        <f t="shared" si="700"/>
        <v/>
      </c>
      <c r="BF439" t="str">
        <f t="shared" si="701"/>
        <v/>
      </c>
      <c r="BG439" t="str">
        <f t="shared" si="683"/>
        <v/>
      </c>
      <c r="BH439" cm="1">
        <f t="array" aca="1" ref="BH439" ca="1">IFERROR(_xlfn._xlws.FILTER(shifts!A:A,(shifts!B:B=events!Z439)*(shifts!AG:AG&gt;=events!BJ439)*(shifts!AH:AH&lt;=events!BK439)),BH438)</f>
        <v>14</v>
      </c>
      <c r="BI439" s="15">
        <f t="shared" si="702"/>
        <v>2</v>
      </c>
      <c r="BJ439">
        <f t="shared" si="703"/>
        <v>701</v>
      </c>
      <c r="BK439">
        <f t="shared" si="704"/>
        <v>699</v>
      </c>
      <c r="BL439" s="15">
        <f>SUMIFS(BI$2:BI439,K$2:K439,"=Intermission")+SUMIFS(BI$2:BI439,K$2:K439,"=Timeout")</f>
        <v>0</v>
      </c>
      <c r="BM439">
        <f t="shared" si="705"/>
        <v>0</v>
      </c>
      <c r="BN439" s="19">
        <f t="shared" si="706"/>
        <v>379</v>
      </c>
      <c r="BO439">
        <f t="shared" si="707"/>
        <v>374</v>
      </c>
      <c r="BP439" s="17">
        <f t="shared" si="708"/>
        <v>381</v>
      </c>
      <c r="BQ439" t="str">
        <f t="shared" si="709"/>
        <v>event_team_player_1</v>
      </c>
      <c r="BR439">
        <f>COUNTIFS(S$3:S439,"="&amp;S439,AH$3:AH439,"="&amp;AH439)</f>
        <v>1</v>
      </c>
      <c r="BS439" t="str">
        <f>IFERROR(VLOOKUP(BA439&amp;BT439&amp;X439,game_rosters!U:W,3,FALSE),"")</f>
        <v>P100159</v>
      </c>
      <c r="BT439" t="str">
        <f t="shared" si="710"/>
        <v>Velodrome</v>
      </c>
    </row>
    <row r="440" spans="1:72" x14ac:dyDescent="0.2">
      <c r="A440">
        <f t="shared" si="685"/>
        <v>1</v>
      </c>
      <c r="E440" s="4"/>
      <c r="F440" s="45"/>
      <c r="G440" s="4"/>
      <c r="H440" s="47" t="s">
        <v>1062</v>
      </c>
      <c r="I440" s="26">
        <v>87</v>
      </c>
      <c r="J440" s="26" t="str">
        <f t="shared" si="711"/>
        <v>o</v>
      </c>
      <c r="K440" t="s">
        <v>238</v>
      </c>
      <c r="L440" t="s">
        <v>174</v>
      </c>
      <c r="M440" t="s">
        <v>85</v>
      </c>
      <c r="N440" t="str">
        <f t="shared" si="729"/>
        <v>s</v>
      </c>
      <c r="O440" t="s">
        <v>144</v>
      </c>
      <c r="Q440" t="str">
        <f t="shared" si="723"/>
        <v>s</v>
      </c>
      <c r="R440" s="26">
        <v>1</v>
      </c>
      <c r="S440">
        <f>IF(A440=1,MAX($S$2:$S439)+1,IF(OR($I440&lt;&gt;"",A440="x"),$S439,""))</f>
        <v>221</v>
      </c>
      <c r="T440" t="str">
        <f>IF(D440=1,MAX($T$2:$T439)+1,IF(S440=S439,$T439,IF(D440="x",T439,IF(D439="x","",""))))</f>
        <v/>
      </c>
      <c r="U440" t="str">
        <f>IF(B440=1,MAX($U$2:$U439)+1,IF(AND($T440&lt;&gt;"",$T440=$T439),$U439,IF(B440="x",U439,"")))</f>
        <v/>
      </c>
      <c r="V440" t="str">
        <f>IF(C440=1,MAX($V$2:$V439)+1,IF(AND($T440&lt;&gt;"",$T440=$T439),$U439,IF(C440="x",V439,"")))</f>
        <v/>
      </c>
      <c r="W440" t="str" cm="1">
        <f t="array" ref="W440">IFERROR(_xlfn._xlws.FILTER(game_rosters!AC:AC,(game_rosters!J:J=events!X440)*(K440&lt;&gt;"")),"")</f>
        <v>a</v>
      </c>
      <c r="X440" cm="1">
        <f t="array" ref="X440">IF($I440&lt;&gt;"",$I440,INDEX($I$1:$I440,ROW()-COUNTIFS($T$1:$T440,"="&amp;$T440,$S$1:$S440,"&lt;"&amp;$S440)))</f>
        <v>87</v>
      </c>
      <c r="Y440" cm="1">
        <f t="array" ref="Y440">IFERROR(IF(_xlfn._xlws.FILTER(game_rosters!$J:$J,(game_rosters!$G:$G=events!$AM440)*(game_rosters!$J:$J=events!$X440))&gt;0,1,""),"")</f>
        <v>1</v>
      </c>
      <c r="Z440" s="6">
        <f t="shared" si="686"/>
        <v>1</v>
      </c>
      <c r="AA440">
        <f t="shared" si="687"/>
        <v>1221</v>
      </c>
      <c r="AB440" t="str">
        <f t="shared" si="688"/>
        <v/>
      </c>
      <c r="AC440">
        <f t="shared" si="689"/>
        <v>1221</v>
      </c>
      <c r="AD440" t="str">
        <f t="shared" si="690"/>
        <v>11</v>
      </c>
      <c r="AE440" t="str">
        <f t="shared" si="691"/>
        <v>39</v>
      </c>
      <c r="AF440" t="str">
        <f t="shared" si="692"/>
        <v>11</v>
      </c>
      <c r="AG440" t="str">
        <f t="shared" si="693"/>
        <v>36</v>
      </c>
      <c r="AH440" t="str">
        <f t="shared" si="736"/>
        <v>e</v>
      </c>
      <c r="AI440" t="str">
        <f t="shared" si="761"/>
        <v>o</v>
      </c>
      <c r="AJ440" t="str">
        <f t="shared" si="761"/>
        <v>o</v>
      </c>
      <c r="AK440" t="str">
        <f t="shared" si="738"/>
        <v>d</v>
      </c>
      <c r="AL440" t="str">
        <f t="shared" si="739"/>
        <v>o</v>
      </c>
      <c r="AM440" t="str">
        <f t="shared" si="694"/>
        <v>Away</v>
      </c>
      <c r="AN440" t="str">
        <f t="shared" si="740"/>
        <v>a</v>
      </c>
      <c r="AO440" t="str">
        <f t="shared" si="741"/>
        <v>d</v>
      </c>
      <c r="AP440" t="str">
        <f t="shared" si="742"/>
        <v>o</v>
      </c>
      <c r="AQ440" t="str">
        <f>IF(AM440&lt;&gt;"",AM440,IF($AC440=#REF!,#REF!,""))</f>
        <v>Away</v>
      </c>
      <c r="AR440" t="str">
        <f t="shared" si="743"/>
        <v>a</v>
      </c>
      <c r="AS440" t="str">
        <f t="shared" si="744"/>
        <v>Offensive</v>
      </c>
      <c r="AT440" t="str">
        <f t="shared" si="695"/>
        <v/>
      </c>
      <c r="AU440" t="str">
        <f t="shared" si="696"/>
        <v/>
      </c>
      <c r="AV440" t="str" cm="1">
        <f t="array" ref="AV440">IFERROR(IF(O440&lt;&gt;"",O440,IF(OR($S440="",$T440=""),"",IF(O440&lt;&gt;"",O440,IF($T440&lt;&gt;"",_xlfn._xlws.FILTER(O:O,($BT:$BT=$BT440)*($I:$I=$I440)*($T:$T=$T440)*($S:$S=_xlfn.MINIFS($S:$S,$T:$T,"="&amp;$T440)),"")))))&amp;"",IF(O440="","",""))&amp;""</f>
        <v>DriveWide</v>
      </c>
      <c r="AW440" t="str" cm="1">
        <f t="array" ref="AW440">IFERROR(IF(P440&lt;&gt;"",P440,IF(OR($S440="",$T440=""),"",IF($T440&lt;&gt;"",_xlfn._xlws.FILTER(P:P,($BT:$BT=$BT440)*($I:$I=$I440)*($T:$T=$T440)*($S:$S=_xlfn.MINIFS($S:$S,$T:$T,"="&amp;$T440)),""))))&amp;"",IF(P440="","",""))&amp;""</f>
        <v/>
      </c>
      <c r="AX440" t="str" cm="1">
        <f t="array" ref="AX440">IFERROR(IF(Q440&lt;&gt;"",Q440,IF(OR($S440="",$T440=""),"",IF($T440&lt;&gt;"",_xlfn._xlws.FILTER(Q:Q,($BT:$BT=$BT440)*($I:$I=$I440)*($T:$T=$T440)*($S:$S=_xlfn.MINIFS($S:$S,$T:$T,"="&amp;$T440)),""))))&amp;"",IF(Q440="","",""))&amp;""</f>
        <v>s</v>
      </c>
      <c r="AY440" t="str" cm="1">
        <f t="array" ref="AY440">IFERROR(IF(R440&lt;&gt;"",R440,IF(OR($S440="",$T440=""),"",IF($T440&lt;&gt;"",_xlfn._xlws.FILTER(R:R,($BT:$BT=$BT440)*($I:$I=$I440)*($T:$T=$T440)*($S:$S=_xlfn.MINIFS($S:$S,$T:$T,"="&amp;$T440)),""))))&amp;"",IF(R440="","",""))&amp;""</f>
        <v>1</v>
      </c>
      <c r="AZ440" s="6">
        <f t="shared" si="697"/>
        <v>39</v>
      </c>
      <c r="BA440">
        <f t="shared" ref="BA440:BC440" si="775">BA439</f>
        <v>18991</v>
      </c>
      <c r="BB440" t="str">
        <f t="shared" si="775"/>
        <v>Triple J</v>
      </c>
      <c r="BC440" t="str">
        <f t="shared" si="775"/>
        <v>Velodrome</v>
      </c>
      <c r="BD440" t="str">
        <f t="shared" si="699"/>
        <v>Zone_Entry_Exit</v>
      </c>
      <c r="BE440" t="str">
        <f t="shared" si="700"/>
        <v>Zone_Entry</v>
      </c>
      <c r="BF440" t="str">
        <f t="shared" si="701"/>
        <v>ZoneEntry-Rush</v>
      </c>
      <c r="BG440" t="str">
        <f t="shared" si="683"/>
        <v>s</v>
      </c>
      <c r="BH440" cm="1">
        <f t="array" aca="1" ref="BH440" ca="1">IFERROR(_xlfn._xlws.FILTER(shifts!A:A,(shifts!B:B=events!Z440)*(shifts!AG:AG&gt;=events!BJ440)*(shifts!AH:AH&lt;=events!BK440)),BH439)</f>
        <v>14</v>
      </c>
      <c r="BI440" s="15">
        <f t="shared" si="702"/>
        <v>3</v>
      </c>
      <c r="BJ440">
        <f t="shared" si="703"/>
        <v>699</v>
      </c>
      <c r="BK440">
        <f t="shared" si="704"/>
        <v>696</v>
      </c>
      <c r="BL440" s="15">
        <f>SUMIFS(BI$2:BI440,K$2:K440,"=Intermission")+SUMIFS(BI$2:BI440,K$2:K440,"=Timeout")</f>
        <v>0</v>
      </c>
      <c r="BM440">
        <f t="shared" si="705"/>
        <v>0</v>
      </c>
      <c r="BN440" s="19">
        <f t="shared" si="706"/>
        <v>381</v>
      </c>
      <c r="BO440">
        <f t="shared" si="707"/>
        <v>376</v>
      </c>
      <c r="BP440" s="17">
        <f t="shared" si="708"/>
        <v>384</v>
      </c>
      <c r="BQ440" t="str">
        <f t="shared" si="709"/>
        <v>event_team_player_1</v>
      </c>
      <c r="BR440">
        <f>COUNTIFS(S$3:S440,"="&amp;S440,AH$3:AH440,"="&amp;AH440)</f>
        <v>1</v>
      </c>
      <c r="BS440" t="str">
        <f>IFERROR(VLOOKUP(BA440&amp;BT440&amp;X440,game_rosters!U:W,3,FALSE),"")</f>
        <v>P100159</v>
      </c>
      <c r="BT440" t="str">
        <f t="shared" si="710"/>
        <v>Velodrome</v>
      </c>
    </row>
    <row r="441" spans="1:72" x14ac:dyDescent="0.2">
      <c r="A441" t="str">
        <f t="shared" si="685"/>
        <v/>
      </c>
      <c r="E441" s="4"/>
      <c r="F441" s="45"/>
      <c r="G441" s="4"/>
      <c r="H441" s="47"/>
      <c r="I441" s="26">
        <v>41</v>
      </c>
      <c r="J441" s="26" t="str">
        <f t="shared" si="711"/>
        <v/>
      </c>
      <c r="N441" t="str">
        <f t="shared" si="729"/>
        <v/>
      </c>
      <c r="Q441" t="str">
        <f t="shared" si="723"/>
        <v/>
      </c>
      <c r="R441" s="26">
        <v>1</v>
      </c>
      <c r="S441">
        <f>IF(A441=1,MAX($S$2:$S440)+1,IF(OR($I441&lt;&gt;"",A441="x"),$S440,""))</f>
        <v>221</v>
      </c>
      <c r="T441" t="str">
        <f>IF(D441=1,MAX($T$2:$T440)+1,IF(S441=S440,$T440,IF(D441="x",T440,IF(D440="x","",""))))</f>
        <v/>
      </c>
      <c r="U441" t="str">
        <f>IF(B441=1,MAX($U$2:$U440)+1,IF(AND($T441&lt;&gt;"",$T441=$T440),$U440,IF(B441="x",U440,"")))</f>
        <v/>
      </c>
      <c r="V441" t="str">
        <f>IF(C441=1,MAX($V$2:$V440)+1,IF(AND($T441&lt;&gt;"",$T441=$T440),$U440,IF(C441="x",V440,"")))</f>
        <v/>
      </c>
      <c r="W441" t="str" cm="1">
        <f t="array" ref="W441">IFERROR(_xlfn._xlws.FILTER(game_rosters!AC:AC,(game_rosters!J:J=events!X441)*(K441&lt;&gt;"")),"")</f>
        <v/>
      </c>
      <c r="X441" cm="1">
        <f t="array" ref="X441">IF($I441&lt;&gt;"",$I441,INDEX($I$1:$I441,ROW()-COUNTIFS($T$1:$T441,"="&amp;$T441,$S$1:$S441,"&lt;"&amp;$S441)))</f>
        <v>41</v>
      </c>
      <c r="Y441" t="str" cm="1">
        <f t="array" ref="Y441">IFERROR(IF(_xlfn._xlws.FILTER(game_rosters!$J:$J,(game_rosters!$G:$G=events!$AM441)*(game_rosters!$J:$J=events!$X441))&gt;0,1,""),"")</f>
        <v/>
      </c>
      <c r="Z441" s="6">
        <f t="shared" si="686"/>
        <v>1</v>
      </c>
      <c r="AA441">
        <f t="shared" si="687"/>
        <v>1221</v>
      </c>
      <c r="AB441" t="str">
        <f t="shared" si="688"/>
        <v/>
      </c>
      <c r="AC441">
        <f t="shared" si="689"/>
        <v>1221</v>
      </c>
      <c r="AD441" t="str">
        <f t="shared" si="690"/>
        <v>11</v>
      </c>
      <c r="AE441" t="str">
        <f t="shared" si="691"/>
        <v>39</v>
      </c>
      <c r="AF441" t="str">
        <f t="shared" si="692"/>
        <v>11</v>
      </c>
      <c r="AG441" t="str">
        <f t="shared" si="693"/>
        <v>36</v>
      </c>
      <c r="AH441" t="str">
        <f t="shared" si="736"/>
        <v>o</v>
      </c>
      <c r="AI441" t="str">
        <f t="shared" si="761"/>
        <v>o</v>
      </c>
      <c r="AJ441" t="str">
        <f t="shared" si="761"/>
        <v>o</v>
      </c>
      <c r="AK441" t="str">
        <f t="shared" si="738"/>
        <v/>
      </c>
      <c r="AL441" t="str">
        <f t="shared" si="739"/>
        <v/>
      </c>
      <c r="AM441" t="str">
        <f t="shared" si="694"/>
        <v>Away</v>
      </c>
      <c r="AN441" t="str">
        <f t="shared" si="740"/>
        <v>a</v>
      </c>
      <c r="AO441" t="str">
        <f t="shared" si="741"/>
        <v>d</v>
      </c>
      <c r="AP441" t="str">
        <f t="shared" si="742"/>
        <v>o</v>
      </c>
      <c r="AQ441" t="str">
        <f>IF(AM441&lt;&gt;"",AM441,IF($AC441=#REF!,#REF!,""))</f>
        <v>Away</v>
      </c>
      <c r="AR441" t="str">
        <f t="shared" si="743"/>
        <v>a</v>
      </c>
      <c r="AS441" t="str">
        <f t="shared" si="744"/>
        <v>Defensive</v>
      </c>
      <c r="AT441" t="str">
        <f t="shared" si="695"/>
        <v/>
      </c>
      <c r="AU441" t="str">
        <f t="shared" si="696"/>
        <v/>
      </c>
      <c r="AV441" t="str" cm="1">
        <f t="array" ref="AV441">IFERROR(IF(O441&lt;&gt;"",O441,IF(OR($S441="",$T441=""),"",IF(O441&lt;&gt;"",O441,IF($T441&lt;&gt;"",_xlfn._xlws.FILTER(O:O,($BT:$BT=$BT441)*($I:$I=$I441)*($T:$T=$T441)*($S:$S=_xlfn.MINIFS($S:$S,$T:$T,"="&amp;$T441)),"")))))&amp;"",IF(O441="","",""))&amp;""</f>
        <v/>
      </c>
      <c r="AW441" t="str" cm="1">
        <f t="array" ref="AW441">IFERROR(IF(P441&lt;&gt;"",P441,IF(OR($S441="",$T441=""),"",IF($T441&lt;&gt;"",_xlfn._xlws.FILTER(P:P,($BT:$BT=$BT441)*($I:$I=$I441)*($T:$T=$T441)*($S:$S=_xlfn.MINIFS($S:$S,$T:$T,"="&amp;$T441)),""))))&amp;"",IF(P441="","",""))&amp;""</f>
        <v/>
      </c>
      <c r="AX441" t="str" cm="1">
        <f t="array" ref="AX441">IFERROR(IF(Q441&lt;&gt;"",Q441,IF(OR($S441="",$T441=""),"",IF($T441&lt;&gt;"",_xlfn._xlws.FILTER(Q:Q,($BT:$BT=$BT441)*($I:$I=$I441)*($T:$T=$T441)*($S:$S=_xlfn.MINIFS($S:$S,$T:$T,"="&amp;$T441)),""))))&amp;"",IF(Q441="","",""))&amp;""</f>
        <v/>
      </c>
      <c r="AY441" t="str" cm="1">
        <f t="array" ref="AY441">IFERROR(IF(R441&lt;&gt;"",R441,IF(OR($S441="",$T441=""),"",IF($T441&lt;&gt;"",_xlfn._xlws.FILTER(R:R,($BT:$BT=$BT441)*($I:$I=$I441)*($T:$T=$T441)*($S:$S=_xlfn.MINIFS($S:$S,$T:$T,"="&amp;$T441)),""))))&amp;"",IF(R441="","",""))&amp;""</f>
        <v>1</v>
      </c>
      <c r="AZ441" s="6">
        <f t="shared" si="697"/>
        <v>39</v>
      </c>
      <c r="BA441">
        <f t="shared" ref="BA441:BC441" si="776">BA440</f>
        <v>18991</v>
      </c>
      <c r="BB441" t="str">
        <f t="shared" si="776"/>
        <v>Triple J</v>
      </c>
      <c r="BC441" t="str">
        <f t="shared" si="776"/>
        <v>Velodrome</v>
      </c>
      <c r="BD441" t="str">
        <f t="shared" si="699"/>
        <v>Zone_Entry_Exit</v>
      </c>
      <c r="BE441" t="str">
        <f t="shared" si="700"/>
        <v>Zone_Entry</v>
      </c>
      <c r="BF441" t="str">
        <f t="shared" si="701"/>
        <v>ZoneEntry-Rush</v>
      </c>
      <c r="BG441" t="str">
        <f t="shared" si="683"/>
        <v>s</v>
      </c>
      <c r="BH441" cm="1">
        <f t="array" aca="1" ref="BH441" ca="1">IFERROR(_xlfn._xlws.FILTER(shifts!A:A,(shifts!B:B=events!Z441)*(shifts!AG:AG&gt;=events!BJ441)*(shifts!AH:AH&lt;=events!BK441)),BH440)</f>
        <v>14</v>
      </c>
      <c r="BI441" s="15">
        <f t="shared" si="702"/>
        <v>3</v>
      </c>
      <c r="BJ441">
        <f t="shared" si="703"/>
        <v>699</v>
      </c>
      <c r="BK441">
        <f t="shared" si="704"/>
        <v>696</v>
      </c>
      <c r="BL441" s="15">
        <f>SUMIFS(BI$2:BI441,K$2:K441,"=Intermission")+SUMIFS(BI$2:BI441,K$2:K441,"=Timeout")</f>
        <v>0</v>
      </c>
      <c r="BM441">
        <f t="shared" si="705"/>
        <v>0</v>
      </c>
      <c r="BN441" s="19">
        <f t="shared" si="706"/>
        <v>381</v>
      </c>
      <c r="BO441">
        <f t="shared" si="707"/>
        <v>376</v>
      </c>
      <c r="BP441" s="17">
        <f t="shared" si="708"/>
        <v>384</v>
      </c>
      <c r="BQ441" t="str">
        <f t="shared" si="709"/>
        <v>opp_team_player_1</v>
      </c>
      <c r="BR441">
        <f>COUNTIFS(S$3:S441,"="&amp;S441,AH$3:AH441,"="&amp;AH441)</f>
        <v>1</v>
      </c>
      <c r="BS441" t="str">
        <f>IFERROR(VLOOKUP(BA441&amp;BT441&amp;X441,game_rosters!U:W,3,FALSE),"")</f>
        <v>P100206</v>
      </c>
      <c r="BT441" t="str">
        <f t="shared" si="710"/>
        <v>Triple J</v>
      </c>
    </row>
    <row r="442" spans="1:72" x14ac:dyDescent="0.2">
      <c r="A442">
        <f t="shared" si="685"/>
        <v>1</v>
      </c>
      <c r="E442" s="4"/>
      <c r="F442" s="45"/>
      <c r="G442" s="4"/>
      <c r="H442" s="47" t="s">
        <v>750</v>
      </c>
      <c r="I442" s="26">
        <v>87</v>
      </c>
      <c r="J442" s="26" t="s">
        <v>368</v>
      </c>
      <c r="K442" t="s">
        <v>13</v>
      </c>
      <c r="N442" t="str">
        <f t="shared" si="729"/>
        <v/>
      </c>
      <c r="O442" t="s">
        <v>149</v>
      </c>
      <c r="Q442" t="str">
        <f t="shared" si="723"/>
        <v/>
      </c>
      <c r="S442">
        <f>IF(A442=1,MAX($S$2:$S441)+1,IF(OR($I442&lt;&gt;"",A442="x"),$S441,""))</f>
        <v>222</v>
      </c>
      <c r="T442" t="str">
        <f>IF(D442=1,MAX($T$2:$T441)+1,IF(S442=S441,$T441,IF(D442="x",T441,IF(D441="x","",""))))</f>
        <v/>
      </c>
      <c r="U442" t="str">
        <f>IF(B442=1,MAX($U$2:$U441)+1,IF(AND($T442&lt;&gt;"",$T442=$T441),$U441,IF(B442="x",U441,"")))</f>
        <v/>
      </c>
      <c r="V442" t="str">
        <f>IF(C442=1,MAX($V$2:$V441)+1,IF(AND($T442&lt;&gt;"",$T442=$T441),$U441,IF(C442="x",V441,"")))</f>
        <v/>
      </c>
      <c r="W442" t="str" cm="1">
        <f t="array" ref="W442">IFERROR(_xlfn._xlws.FILTER(game_rosters!AC:AC,(game_rosters!J:J=events!X442)*(K442&lt;&gt;"")),"")</f>
        <v>a</v>
      </c>
      <c r="X442" cm="1">
        <f t="array" ref="X442">IF($I442&lt;&gt;"",$I442,INDEX($I$1:$I442,ROW()-COUNTIFS($T$1:$T442,"="&amp;$T442,$S$1:$S442,"&lt;"&amp;$S442)))</f>
        <v>87</v>
      </c>
      <c r="Y442" cm="1">
        <f t="array" ref="Y442">IFERROR(IF(_xlfn._xlws.FILTER(game_rosters!$J:$J,(game_rosters!$G:$G=events!$AM442)*(game_rosters!$J:$J=events!$X442))&gt;0,1,""),"")</f>
        <v>1</v>
      </c>
      <c r="Z442" s="6">
        <f t="shared" si="686"/>
        <v>1</v>
      </c>
      <c r="AA442">
        <f t="shared" si="687"/>
        <v>1222</v>
      </c>
      <c r="AB442" t="str">
        <f t="shared" si="688"/>
        <v/>
      </c>
      <c r="AC442">
        <f t="shared" si="689"/>
        <v>1222</v>
      </c>
      <c r="AD442" t="str">
        <f t="shared" si="690"/>
        <v>11</v>
      </c>
      <c r="AE442" t="str">
        <f t="shared" si="691"/>
        <v>36</v>
      </c>
      <c r="AF442" t="str">
        <f t="shared" si="692"/>
        <v>11</v>
      </c>
      <c r="AG442" t="str">
        <f t="shared" si="693"/>
        <v>35</v>
      </c>
      <c r="AH442" t="str">
        <f t="shared" si="736"/>
        <v>e</v>
      </c>
      <c r="AI442" t="str">
        <f t="shared" si="761"/>
        <v>o</v>
      </c>
      <c r="AJ442" t="str">
        <f t="shared" si="761"/>
        <v>o</v>
      </c>
      <c r="AK442" t="str">
        <f t="shared" si="738"/>
        <v>d</v>
      </c>
      <c r="AL442" t="str">
        <f t="shared" si="739"/>
        <v>o</v>
      </c>
      <c r="AM442" t="str">
        <f t="shared" si="694"/>
        <v>Away</v>
      </c>
      <c r="AN442" t="str">
        <f t="shared" si="740"/>
        <v>a</v>
      </c>
      <c r="AO442" t="str">
        <f t="shared" si="741"/>
        <v>d</v>
      </c>
      <c r="AP442" t="str">
        <f t="shared" si="742"/>
        <v>o</v>
      </c>
      <c r="AQ442" t="str">
        <f>IF(AM442&lt;&gt;"",AM442,IF($AC442=#REF!,#REF!,""))</f>
        <v>Away</v>
      </c>
      <c r="AR442" t="str">
        <f t="shared" si="743"/>
        <v>a</v>
      </c>
      <c r="AS442" t="str">
        <f t="shared" si="744"/>
        <v>Offensive</v>
      </c>
      <c r="AT442" t="str">
        <f t="shared" si="695"/>
        <v/>
      </c>
      <c r="AU442" t="str">
        <f t="shared" si="696"/>
        <v/>
      </c>
      <c r="AV442" t="str" cm="1">
        <f t="array" ref="AV442">IFERROR(IF(O442&lt;&gt;"",O442,IF(OR($S442="",$T442=""),"",IF(O442&lt;&gt;"",O442,IF($T442&lt;&gt;"",_xlfn._xlws.FILTER(O:O,($BT:$BT=$BT442)*($I:$I=$I442)*($T:$T=$T442)*($S:$S=_xlfn.MINIFS($S:$S,$T:$T,"="&amp;$T442)),"")))))&amp;"",IF(O442="","",""))&amp;""</f>
        <v>Delay</v>
      </c>
      <c r="AW442" t="str" cm="1">
        <f t="array" ref="AW442">IFERROR(IF(P442&lt;&gt;"",P442,IF(OR($S442="",$T442=""),"",IF($T442&lt;&gt;"",_xlfn._xlws.FILTER(P:P,($BT:$BT=$BT442)*($I:$I=$I442)*($T:$T=$T442)*($S:$S=_xlfn.MINIFS($S:$S,$T:$T,"="&amp;$T442)),""))))&amp;"",IF(P442="","",""))&amp;""</f>
        <v/>
      </c>
      <c r="AX442" t="str" cm="1">
        <f t="array" ref="AX442">IFERROR(IF(Q442&lt;&gt;"",Q442,IF(OR($S442="",$T442=""),"",IF($T442&lt;&gt;"",_xlfn._xlws.FILTER(Q:Q,($BT:$BT=$BT442)*($I:$I=$I442)*($T:$T=$T442)*($S:$S=_xlfn.MINIFS($S:$S,$T:$T,"="&amp;$T442)),""))))&amp;"",IF(Q442="","",""))&amp;""</f>
        <v/>
      </c>
      <c r="AY442" t="str" cm="1">
        <f t="array" ref="AY442">IFERROR(IF(R442&lt;&gt;"",R442,IF(OR($S442="",$T442=""),"",IF($T442&lt;&gt;"",_xlfn._xlws.FILTER(R:R,($BT:$BT=$BT442)*($I:$I=$I442)*($T:$T=$T442)*($S:$S=_xlfn.MINIFS($S:$S,$T:$T,"="&amp;$T442)),""))))&amp;"",IF(R442="","",""))&amp;""</f>
        <v/>
      </c>
      <c r="AZ442" s="6">
        <f t="shared" si="697"/>
        <v>39</v>
      </c>
      <c r="BA442">
        <f t="shared" ref="BA442:BC442" si="777">BA441</f>
        <v>18991</v>
      </c>
      <c r="BB442" t="str">
        <f t="shared" si="777"/>
        <v>Triple J</v>
      </c>
      <c r="BC442" t="str">
        <f t="shared" si="777"/>
        <v>Velodrome</v>
      </c>
      <c r="BD442" t="str">
        <f t="shared" si="699"/>
        <v>Possession</v>
      </c>
      <c r="BE442" t="str">
        <f t="shared" si="700"/>
        <v/>
      </c>
      <c r="BF442" t="str">
        <f t="shared" si="701"/>
        <v/>
      </c>
      <c r="BG442" t="str">
        <f t="shared" si="683"/>
        <v/>
      </c>
      <c r="BH442" cm="1">
        <f t="array" aca="1" ref="BH442" ca="1">IFERROR(_xlfn._xlws.FILTER(shifts!A:A,(shifts!B:B=events!Z442)*(shifts!AG:AG&gt;=events!BJ442)*(shifts!AH:AH&lt;=events!BK442)),BH441)</f>
        <v>14</v>
      </c>
      <c r="BI442" s="15">
        <f t="shared" si="702"/>
        <v>1</v>
      </c>
      <c r="BJ442">
        <f t="shared" si="703"/>
        <v>696</v>
      </c>
      <c r="BK442">
        <f t="shared" si="704"/>
        <v>695</v>
      </c>
      <c r="BL442" s="15">
        <f>SUMIFS(BI$2:BI442,K$2:K442,"=Intermission")+SUMIFS(BI$2:BI442,K$2:K442,"=Timeout")</f>
        <v>0</v>
      </c>
      <c r="BM442">
        <f t="shared" si="705"/>
        <v>0</v>
      </c>
      <c r="BN442" s="19">
        <f t="shared" si="706"/>
        <v>384</v>
      </c>
      <c r="BO442">
        <f t="shared" si="707"/>
        <v>379</v>
      </c>
      <c r="BP442" s="17">
        <f t="shared" si="708"/>
        <v>385</v>
      </c>
      <c r="BQ442" t="str">
        <f t="shared" si="709"/>
        <v>event_team_player_1</v>
      </c>
      <c r="BR442">
        <f>COUNTIFS(S$3:S442,"="&amp;S442,AH$3:AH442,"="&amp;AH442)</f>
        <v>1</v>
      </c>
      <c r="BS442" t="str">
        <f>IFERROR(VLOOKUP(BA442&amp;BT442&amp;X442,game_rosters!U:W,3,FALSE),"")</f>
        <v>P100159</v>
      </c>
      <c r="BT442" t="str">
        <f t="shared" si="710"/>
        <v>Velodrome</v>
      </c>
    </row>
    <row r="443" spans="1:72" x14ac:dyDescent="0.2">
      <c r="A443" t="str">
        <f t="shared" si="685"/>
        <v/>
      </c>
      <c r="E443" s="4"/>
      <c r="F443" s="45"/>
      <c r="G443" s="4"/>
      <c r="H443" s="47"/>
      <c r="I443" s="26">
        <v>41</v>
      </c>
      <c r="J443" s="26" t="str">
        <f t="shared" si="711"/>
        <v/>
      </c>
      <c r="N443" t="str">
        <f t="shared" si="729"/>
        <v/>
      </c>
      <c r="Q443" t="str">
        <f t="shared" si="723"/>
        <v/>
      </c>
      <c r="S443">
        <f>IF(A443=1,MAX($S$2:$S442)+1,IF(OR($I443&lt;&gt;"",A443="x"),$S442,""))</f>
        <v>222</v>
      </c>
      <c r="T443" t="str">
        <f>IF(D443=1,MAX($T$2:$T442)+1,IF(S443=S442,$T442,IF(D443="x",T442,IF(D442="x","",""))))</f>
        <v/>
      </c>
      <c r="U443" t="str">
        <f>IF(B443=1,MAX($U$2:$U442)+1,IF(AND($T443&lt;&gt;"",$T443=$T442),$U442,IF(B443="x",U442,"")))</f>
        <v/>
      </c>
      <c r="V443" t="str">
        <f>IF(C443=1,MAX($V$2:$V442)+1,IF(AND($T443&lt;&gt;"",$T443=$T442),$U442,IF(C443="x",V442,"")))</f>
        <v/>
      </c>
      <c r="W443" t="str" cm="1">
        <f t="array" ref="W443">IFERROR(_xlfn._xlws.FILTER(game_rosters!AC:AC,(game_rosters!J:J=events!X443)*(K443&lt;&gt;"")),"")</f>
        <v/>
      </c>
      <c r="X443" cm="1">
        <f t="array" ref="X443">IF($I443&lt;&gt;"",$I443,INDEX($I$1:$I443,ROW()-COUNTIFS($T$1:$T443,"="&amp;$T443,$S$1:$S443,"&lt;"&amp;$S443)))</f>
        <v>41</v>
      </c>
      <c r="Y443" t="str" cm="1">
        <f t="array" ref="Y443">IFERROR(IF(_xlfn._xlws.FILTER(game_rosters!$J:$J,(game_rosters!$G:$G=events!$AM443)*(game_rosters!$J:$J=events!$X443))&gt;0,1,""),"")</f>
        <v/>
      </c>
      <c r="Z443" s="6">
        <f t="shared" si="686"/>
        <v>1</v>
      </c>
      <c r="AA443">
        <f t="shared" si="687"/>
        <v>1222</v>
      </c>
      <c r="AB443" t="str">
        <f t="shared" si="688"/>
        <v/>
      </c>
      <c r="AC443">
        <f t="shared" si="689"/>
        <v>1222</v>
      </c>
      <c r="AD443" t="str">
        <f t="shared" si="690"/>
        <v>11</v>
      </c>
      <c r="AE443" t="str">
        <f t="shared" si="691"/>
        <v>36</v>
      </c>
      <c r="AF443" t="str">
        <f t="shared" si="692"/>
        <v>11</v>
      </c>
      <c r="AG443" t="str">
        <f t="shared" si="693"/>
        <v>35</v>
      </c>
      <c r="AH443" t="str">
        <f t="shared" si="736"/>
        <v>o</v>
      </c>
      <c r="AI443" t="str">
        <f t="shared" ref="AI443:AJ458" si="778">IF($J443&lt;&gt;"",$J443,IF($AC443=$AC442,AI442,""))</f>
        <v>o</v>
      </c>
      <c r="AJ443" t="str">
        <f t="shared" si="778"/>
        <v>o</v>
      </c>
      <c r="AK443" t="str">
        <f t="shared" si="738"/>
        <v/>
      </c>
      <c r="AL443" t="str">
        <f t="shared" si="739"/>
        <v/>
      </c>
      <c r="AM443" t="str">
        <f t="shared" si="694"/>
        <v>Away</v>
      </c>
      <c r="AN443" t="str">
        <f t="shared" si="740"/>
        <v>a</v>
      </c>
      <c r="AO443" t="str">
        <f t="shared" si="741"/>
        <v>d</v>
      </c>
      <c r="AP443" t="str">
        <f t="shared" si="742"/>
        <v>o</v>
      </c>
      <c r="AQ443" t="str">
        <f>IF(AM443&lt;&gt;"",AM443,IF($AC443=#REF!,#REF!,""))</f>
        <v>Away</v>
      </c>
      <c r="AR443" t="str">
        <f t="shared" si="743"/>
        <v>a</v>
      </c>
      <c r="AS443" t="str">
        <f t="shared" si="744"/>
        <v>Defensive</v>
      </c>
      <c r="AT443" t="str">
        <f t="shared" si="695"/>
        <v/>
      </c>
      <c r="AU443" t="str">
        <f t="shared" si="696"/>
        <v/>
      </c>
      <c r="AV443" t="str" cm="1">
        <f t="array" ref="AV443">IFERROR(IF(O443&lt;&gt;"",O443,IF(OR($S443="",$T443=""),"",IF(O443&lt;&gt;"",O443,IF($T443&lt;&gt;"",_xlfn._xlws.FILTER(O:O,($BT:$BT=$BT443)*($I:$I=$I443)*($T:$T=$T443)*($S:$S=_xlfn.MINIFS($S:$S,$T:$T,"="&amp;$T443)),"")))))&amp;"",IF(O443="","",""))&amp;""</f>
        <v/>
      </c>
      <c r="AW443" t="str" cm="1">
        <f t="array" ref="AW443">IFERROR(IF(P443&lt;&gt;"",P443,IF(OR($S443="",$T443=""),"",IF($T443&lt;&gt;"",_xlfn._xlws.FILTER(P:P,($BT:$BT=$BT443)*($I:$I=$I443)*($T:$T=$T443)*($S:$S=_xlfn.MINIFS($S:$S,$T:$T,"="&amp;$T443)),""))))&amp;"",IF(P443="","",""))&amp;""</f>
        <v/>
      </c>
      <c r="AX443" t="str" cm="1">
        <f t="array" ref="AX443">IFERROR(IF(Q443&lt;&gt;"",Q443,IF(OR($S443="",$T443=""),"",IF($T443&lt;&gt;"",_xlfn._xlws.FILTER(Q:Q,($BT:$BT=$BT443)*($I:$I=$I443)*($T:$T=$T443)*($S:$S=_xlfn.MINIFS($S:$S,$T:$T,"="&amp;$T443)),""))))&amp;"",IF(Q443="","",""))&amp;""</f>
        <v/>
      </c>
      <c r="AY443" t="str" cm="1">
        <f t="array" ref="AY443">IFERROR(IF(R443&lt;&gt;"",R443,IF(OR($S443="",$T443=""),"",IF($T443&lt;&gt;"",_xlfn._xlws.FILTER(R:R,($BT:$BT=$BT443)*($I:$I=$I443)*($T:$T=$T443)*($S:$S=_xlfn.MINIFS($S:$S,$T:$T,"="&amp;$T443)),""))))&amp;"",IF(R443="","",""))&amp;""</f>
        <v/>
      </c>
      <c r="AZ443" s="6">
        <f t="shared" si="697"/>
        <v>39</v>
      </c>
      <c r="BA443">
        <f t="shared" ref="BA443:BC443" si="779">BA442</f>
        <v>18991</v>
      </c>
      <c r="BB443" t="str">
        <f t="shared" si="779"/>
        <v>Triple J</v>
      </c>
      <c r="BC443" t="str">
        <f t="shared" si="779"/>
        <v>Velodrome</v>
      </c>
      <c r="BD443" t="str">
        <f t="shared" si="699"/>
        <v>Possession</v>
      </c>
      <c r="BE443" t="str">
        <f t="shared" si="700"/>
        <v/>
      </c>
      <c r="BF443" t="str">
        <f t="shared" si="701"/>
        <v/>
      </c>
      <c r="BG443" t="str">
        <f t="shared" si="683"/>
        <v/>
      </c>
      <c r="BH443" cm="1">
        <f t="array" aca="1" ref="BH443" ca="1">IFERROR(_xlfn._xlws.FILTER(shifts!A:A,(shifts!B:B=events!Z443)*(shifts!AG:AG&gt;=events!BJ443)*(shifts!AH:AH&lt;=events!BK443)),BH442)</f>
        <v>14</v>
      </c>
      <c r="BI443" s="15">
        <f t="shared" si="702"/>
        <v>1</v>
      </c>
      <c r="BJ443">
        <f t="shared" si="703"/>
        <v>696</v>
      </c>
      <c r="BK443">
        <f t="shared" si="704"/>
        <v>695</v>
      </c>
      <c r="BL443" s="15">
        <f>SUMIFS(BI$2:BI443,K$2:K443,"=Intermission")+SUMIFS(BI$2:BI443,K$2:K443,"=Timeout")</f>
        <v>0</v>
      </c>
      <c r="BM443">
        <f t="shared" si="705"/>
        <v>0</v>
      </c>
      <c r="BN443" s="19">
        <f t="shared" si="706"/>
        <v>384</v>
      </c>
      <c r="BO443">
        <f t="shared" si="707"/>
        <v>379</v>
      </c>
      <c r="BP443" s="17">
        <f t="shared" si="708"/>
        <v>385</v>
      </c>
      <c r="BQ443" t="str">
        <f t="shared" si="709"/>
        <v>opp_team_player_1</v>
      </c>
      <c r="BR443">
        <f>COUNTIFS(S$3:S443,"="&amp;S443,AH$3:AH443,"="&amp;AH443)</f>
        <v>1</v>
      </c>
      <c r="BS443" t="str">
        <f>IFERROR(VLOOKUP(BA443&amp;BT443&amp;X443,game_rosters!U:W,3,FALSE),"")</f>
        <v>P100206</v>
      </c>
      <c r="BT443" t="str">
        <f t="shared" si="710"/>
        <v>Triple J</v>
      </c>
    </row>
    <row r="444" spans="1:72" x14ac:dyDescent="0.2">
      <c r="A444">
        <f t="shared" si="685"/>
        <v>1</v>
      </c>
      <c r="D444" s="26">
        <v>1</v>
      </c>
      <c r="E444" s="4"/>
      <c r="F444" s="45"/>
      <c r="G444" s="4"/>
      <c r="H444" s="47"/>
      <c r="I444" s="26">
        <v>87</v>
      </c>
      <c r="J444" s="26" t="s">
        <v>368</v>
      </c>
      <c r="K444" t="s">
        <v>7</v>
      </c>
      <c r="L444" t="s">
        <v>192</v>
      </c>
      <c r="M444" t="s">
        <v>68</v>
      </c>
      <c r="N444" t="str">
        <f t="shared" si="729"/>
        <v>u</v>
      </c>
      <c r="Q444" t="str">
        <f t="shared" si="723"/>
        <v/>
      </c>
      <c r="R444" s="26">
        <v>1</v>
      </c>
      <c r="S444">
        <f>IF(A444=1,MAX($S$2:$S443)+1,IF(OR($I444&lt;&gt;"",A444="x"),$S443,""))</f>
        <v>223</v>
      </c>
      <c r="T444">
        <f>IF(D444=1,MAX($T$2:$T443)+1,IF(S444=S443,$T443,IF(D444="x",T443,IF(D443="x","",""))))</f>
        <v>28</v>
      </c>
      <c r="U444" t="str">
        <f>IF(B444=1,MAX($U$2:$U443)+1,IF(AND($T444&lt;&gt;"",$T444=$T443),$U443,IF(B444="x",U443,"")))</f>
        <v/>
      </c>
      <c r="V444" t="str">
        <f>IF(C444=1,MAX($V$2:$V443)+1,IF(AND($T444&lt;&gt;"",$T444=$T443),$U443,IF(C444="x",V443,"")))</f>
        <v/>
      </c>
      <c r="W444" t="str" cm="1">
        <f t="array" ref="W444">IFERROR(_xlfn._xlws.FILTER(game_rosters!AC:AC,(game_rosters!J:J=events!X444)*(K444&lt;&gt;"")),"")</f>
        <v>a</v>
      </c>
      <c r="X444" cm="1">
        <f t="array" ref="X444">IF($I444&lt;&gt;"",$I444,INDEX($I$1:$I444,ROW()-COUNTIFS($T$1:$T444,"="&amp;$T444,$S$1:$S444,"&lt;"&amp;$S444)))</f>
        <v>87</v>
      </c>
      <c r="Y444" cm="1">
        <f t="array" ref="Y444">IFERROR(IF(_xlfn._xlws.FILTER(game_rosters!$J:$J,(game_rosters!$G:$G=events!$AM444)*(game_rosters!$J:$J=events!$X444))&gt;0,1,""),"")</f>
        <v>1</v>
      </c>
      <c r="Z444" s="6">
        <f t="shared" si="686"/>
        <v>1</v>
      </c>
      <c r="AA444">
        <f t="shared" si="687"/>
        <v>1223</v>
      </c>
      <c r="AB444">
        <f t="shared" si="688"/>
        <v>9028</v>
      </c>
      <c r="AC444">
        <f t="shared" si="689"/>
        <v>9028</v>
      </c>
      <c r="AD444" t="str">
        <f t="shared" si="690"/>
        <v>11</v>
      </c>
      <c r="AE444" t="str">
        <f t="shared" si="691"/>
        <v>35</v>
      </c>
      <c r="AF444" t="str">
        <f t="shared" si="692"/>
        <v/>
      </c>
      <c r="AG444" t="str">
        <f t="shared" si="693"/>
        <v/>
      </c>
      <c r="AH444" t="str">
        <f t="shared" si="736"/>
        <v>e</v>
      </c>
      <c r="AI444" t="str">
        <f t="shared" si="778"/>
        <v>o</v>
      </c>
      <c r="AJ444" t="str">
        <f t="shared" si="778"/>
        <v>o</v>
      </c>
      <c r="AK444" t="str">
        <f t="shared" si="738"/>
        <v>d</v>
      </c>
      <c r="AL444" t="str">
        <f t="shared" si="739"/>
        <v>o</v>
      </c>
      <c r="AM444" t="str">
        <f t="shared" si="694"/>
        <v>Away</v>
      </c>
      <c r="AN444" t="str">
        <f t="shared" si="740"/>
        <v>a</v>
      </c>
      <c r="AO444" t="str">
        <f t="shared" si="741"/>
        <v>d</v>
      </c>
      <c r="AP444" t="str">
        <f t="shared" si="742"/>
        <v>o</v>
      </c>
      <c r="AQ444" t="str">
        <f>IF(AM444&lt;&gt;"",AM444,IF($AC444=#REF!,#REF!,""))</f>
        <v>Away</v>
      </c>
      <c r="AR444" t="str">
        <f t="shared" si="743"/>
        <v>a</v>
      </c>
      <c r="AS444" t="str">
        <f t="shared" si="744"/>
        <v>Offensive</v>
      </c>
      <c r="AT444" t="str">
        <f t="shared" si="695"/>
        <v/>
      </c>
      <c r="AU444" t="str">
        <f t="shared" si="696"/>
        <v/>
      </c>
      <c r="AV444" t="str" cm="1">
        <f t="array" ref="AV444">IFERROR(IF(O444&lt;&gt;"",O444,IF(OR($S444="",$T444=""),"",IF(O444&lt;&gt;"",O444,IF($T444&lt;&gt;"",_xlfn._xlws.FILTER(O:O,($BT:$BT=$BT444)*($I:$I=$I444)*($T:$T=$T444)*($S:$S=_xlfn.MINIFS($S:$S,$T:$T,"="&amp;$T444)),"")))))&amp;"",IF(O444="","",""))&amp;""</f>
        <v/>
      </c>
      <c r="AW444" t="str" cm="1">
        <f t="array" ref="AW444">IFERROR(IF(P444&lt;&gt;"",P444,IF(OR($S444="",$T444=""),"",IF($T444&lt;&gt;"",_xlfn._xlws.FILTER(P:P,($BT:$BT=$BT444)*($I:$I=$I444)*($T:$T=$T444)*($S:$S=_xlfn.MINIFS($S:$S,$T:$T,"="&amp;$T444)),""))))&amp;"",IF(P444="","",""))&amp;""</f>
        <v/>
      </c>
      <c r="AX444" t="str" cm="1">
        <f t="array" ref="AX444">IFERROR(IF(Q444&lt;&gt;"",Q444,IF(OR($S444="",$T444=""),"",IF($T444&lt;&gt;"",_xlfn._xlws.FILTER(Q:Q,($BT:$BT=$BT444)*($I:$I=$I444)*($T:$T=$T444)*($S:$S=_xlfn.MINIFS($S:$S,$T:$T,"="&amp;$T444)),""))))&amp;"",IF(Q444="","",""))&amp;""</f>
        <v/>
      </c>
      <c r="AY444" t="str" cm="1">
        <f t="array" ref="AY444">IFERROR(IF(R444&lt;&gt;"",R444,IF(OR($S444="",$T444=""),"",IF($T444&lt;&gt;"",_xlfn._xlws.FILTER(R:R,($BT:$BT=$BT444)*($I:$I=$I444)*($T:$T=$T444)*($S:$S=_xlfn.MINIFS($S:$S,$T:$T,"="&amp;$T444)),""))))&amp;"",IF(R444="","",""))&amp;""</f>
        <v>1</v>
      </c>
      <c r="AZ444" s="6">
        <f t="shared" si="697"/>
        <v>39</v>
      </c>
      <c r="BA444">
        <f t="shared" ref="BA444:BC444" si="780">BA443</f>
        <v>18991</v>
      </c>
      <c r="BB444" t="str">
        <f t="shared" si="780"/>
        <v>Triple J</v>
      </c>
      <c r="BC444" t="str">
        <f t="shared" si="780"/>
        <v>Velodrome</v>
      </c>
      <c r="BD444" t="str">
        <f t="shared" si="699"/>
        <v>Pass</v>
      </c>
      <c r="BE444" t="str">
        <f t="shared" si="700"/>
        <v>Pass_Deflected</v>
      </c>
      <c r="BF444" t="str">
        <f t="shared" si="701"/>
        <v>Pass-Forehand</v>
      </c>
      <c r="BG444" t="str">
        <f t="shared" si="683"/>
        <v>u</v>
      </c>
      <c r="BH444" cm="1">
        <f t="array" aca="1" ref="BH444" ca="1">IFERROR(_xlfn._xlws.FILTER(shifts!A:A,(shifts!B:B=events!Z444)*(shifts!AG:AG&gt;=events!BJ444)*(shifts!AH:AH&lt;=events!BK444)),BH443)</f>
        <v>14</v>
      </c>
      <c r="BI444" s="15">
        <f t="shared" si="702"/>
        <v>0</v>
      </c>
      <c r="BJ444">
        <f t="shared" si="703"/>
        <v>695</v>
      </c>
      <c r="BK444">
        <f t="shared" si="704"/>
        <v>695</v>
      </c>
      <c r="BL444" s="15">
        <f>SUMIFS(BI$2:BI444,K$2:K444,"=Intermission")+SUMIFS(BI$2:BI444,K$2:K444,"=Timeout")</f>
        <v>0</v>
      </c>
      <c r="BM444">
        <f t="shared" si="705"/>
        <v>0</v>
      </c>
      <c r="BN444" s="19">
        <f t="shared" si="706"/>
        <v>385</v>
      </c>
      <c r="BO444">
        <f t="shared" si="707"/>
        <v>380</v>
      </c>
      <c r="BP444" s="17">
        <f t="shared" si="708"/>
        <v>385</v>
      </c>
      <c r="BQ444" t="str">
        <f t="shared" si="709"/>
        <v>event_team_player_1</v>
      </c>
      <c r="BR444">
        <f>COUNTIFS(S$3:S444,"="&amp;S444,AH$3:AH444,"="&amp;AH444)</f>
        <v>1</v>
      </c>
      <c r="BS444" t="str">
        <f>IFERROR(VLOOKUP(BA444&amp;BT444&amp;X444,game_rosters!U:W,3,FALSE),"")</f>
        <v>P100159</v>
      </c>
      <c r="BT444" t="str">
        <f t="shared" si="710"/>
        <v>Velodrome</v>
      </c>
    </row>
    <row r="445" spans="1:72" x14ac:dyDescent="0.2">
      <c r="A445" t="str">
        <f t="shared" si="685"/>
        <v>x</v>
      </c>
      <c r="D445" s="26" t="s">
        <v>729</v>
      </c>
      <c r="E445" s="4"/>
      <c r="F445" s="45"/>
      <c r="G445" s="4"/>
      <c r="H445" s="47"/>
      <c r="I445" s="26">
        <v>93</v>
      </c>
      <c r="J445" s="26" t="str">
        <f t="shared" si="711"/>
        <v/>
      </c>
      <c r="N445" t="str">
        <f t="shared" si="729"/>
        <v/>
      </c>
      <c r="Q445" t="str">
        <f t="shared" si="723"/>
        <v/>
      </c>
      <c r="S445">
        <f>IF(A445=1,MAX($S$2:$S444)+1,IF(OR($I445&lt;&gt;"",A445="x"),$S444,""))</f>
        <v>223</v>
      </c>
      <c r="T445">
        <f>IF(D445=1,MAX($T$2:$T444)+1,IF(S445=S444,$T444,IF(D445="x",T444,IF(D444="x","",""))))</f>
        <v>28</v>
      </c>
      <c r="U445" t="str">
        <f>IF(B445=1,MAX($U$2:$U444)+1,IF(AND($T445&lt;&gt;"",$T445=$T444),$U444,IF(B445="x",U444,"")))</f>
        <v/>
      </c>
      <c r="V445" t="str">
        <f>IF(C445=1,MAX($V$2:$V444)+1,IF(AND($T445&lt;&gt;"",$T445=$T444),$U444,IF(C445="x",V444,"")))</f>
        <v/>
      </c>
      <c r="W445" t="str" cm="1">
        <f t="array" ref="W445">IFERROR(_xlfn._xlws.FILTER(game_rosters!AC:AC,(game_rosters!J:J=events!X445)*(K445&lt;&gt;"")),"")</f>
        <v/>
      </c>
      <c r="X445" cm="1">
        <f t="array" ref="X445">IF($I445&lt;&gt;"",$I445,INDEX($I$1:$I445,ROW()-COUNTIFS($T$1:$T445,"="&amp;$T445,$S$1:$S445,"&lt;"&amp;$S445)))</f>
        <v>93</v>
      </c>
      <c r="Y445" cm="1">
        <f t="array" ref="Y445">IFERROR(IF(_xlfn._xlws.FILTER(game_rosters!$J:$J,(game_rosters!$G:$G=events!$AM445)*(game_rosters!$J:$J=events!$X445))&gt;0,1,""),"")</f>
        <v>1</v>
      </c>
      <c r="Z445" s="6">
        <f t="shared" si="686"/>
        <v>1</v>
      </c>
      <c r="AA445">
        <f t="shared" si="687"/>
        <v>1223</v>
      </c>
      <c r="AB445">
        <f t="shared" si="688"/>
        <v>9028</v>
      </c>
      <c r="AC445">
        <f t="shared" si="689"/>
        <v>9028</v>
      </c>
      <c r="AD445" t="str">
        <f t="shared" si="690"/>
        <v>11</v>
      </c>
      <c r="AE445" t="str">
        <f t="shared" si="691"/>
        <v>35</v>
      </c>
      <c r="AF445" t="str">
        <f t="shared" si="692"/>
        <v/>
      </c>
      <c r="AG445" t="str">
        <f t="shared" si="693"/>
        <v/>
      </c>
      <c r="AH445" t="str">
        <f t="shared" si="736"/>
        <v>e</v>
      </c>
      <c r="AI445" t="str">
        <f t="shared" si="778"/>
        <v>o</v>
      </c>
      <c r="AJ445" t="str">
        <f t="shared" si="778"/>
        <v>o</v>
      </c>
      <c r="AK445" t="str">
        <f t="shared" si="738"/>
        <v/>
      </c>
      <c r="AL445" t="str">
        <f t="shared" si="739"/>
        <v/>
      </c>
      <c r="AM445" t="str">
        <f t="shared" si="694"/>
        <v>Away</v>
      </c>
      <c r="AN445" t="str">
        <f t="shared" si="740"/>
        <v>a</v>
      </c>
      <c r="AO445" t="str">
        <f t="shared" si="741"/>
        <v>d</v>
      </c>
      <c r="AP445" t="str">
        <f t="shared" si="742"/>
        <v>o</v>
      </c>
      <c r="AQ445" t="str">
        <f>IF(AM445&lt;&gt;"",AM445,IF($AC445=#REF!,#REF!,""))</f>
        <v>Away</v>
      </c>
      <c r="AR445" t="str">
        <f t="shared" si="743"/>
        <v>a</v>
      </c>
      <c r="AS445" t="str">
        <f t="shared" si="744"/>
        <v>Offensive</v>
      </c>
      <c r="AT445" t="str">
        <f t="shared" si="695"/>
        <v/>
      </c>
      <c r="AU445" t="str">
        <f t="shared" si="696"/>
        <v/>
      </c>
      <c r="AV445" t="str" cm="1">
        <f t="array" ref="AV445">IFERROR(IF(O445&lt;&gt;"",O445,IF(OR($S445="",$T445=""),"",IF(O445&lt;&gt;"",O445,IF($T445&lt;&gt;"",_xlfn._xlws.FILTER(O:O,($BT:$BT=$BT445)*($I:$I=$I445)*($T:$T=$T445)*($S:$S=_xlfn.MINIFS($S:$S,$T:$T,"="&amp;$T445)),"")))))&amp;"",IF(O445="","",""))&amp;""</f>
        <v/>
      </c>
      <c r="AW445" t="str" cm="1">
        <f t="array" ref="AW445">IFERROR(IF(P445&lt;&gt;"",P445,IF(OR($S445="",$T445=""),"",IF($T445&lt;&gt;"",_xlfn._xlws.FILTER(P:P,($BT:$BT=$BT445)*($I:$I=$I445)*($T:$T=$T445)*($S:$S=_xlfn.MINIFS($S:$S,$T:$T,"="&amp;$T445)),""))))&amp;"",IF(P445="","",""))&amp;""</f>
        <v/>
      </c>
      <c r="AX445" t="str" cm="1">
        <f t="array" ref="AX445">IFERROR(IF(Q445&lt;&gt;"",Q445,IF(OR($S445="",$T445=""),"",IF($T445&lt;&gt;"",_xlfn._xlws.FILTER(Q:Q,($BT:$BT=$BT445)*($I:$I=$I445)*($T:$T=$T445)*($S:$S=_xlfn.MINIFS($S:$S,$T:$T,"="&amp;$T445)),""))))&amp;"",IF(Q445="","",""))&amp;""</f>
        <v/>
      </c>
      <c r="AY445" t="str" cm="1">
        <f t="array" ref="AY445">IFERROR(IF(R445&lt;&gt;"",R445,IF(OR($S445="",$T445=""),"",IF($T445&lt;&gt;"",_xlfn._xlws.FILTER(R:R,($BT:$BT=$BT445)*($I:$I=$I445)*($T:$T=$T445)*($S:$S=_xlfn.MINIFS($S:$S,$T:$T,"="&amp;$T445)),""))))&amp;"",IF(R445="","",""))&amp;""</f>
        <v/>
      </c>
      <c r="AZ445" s="6">
        <f t="shared" si="697"/>
        <v>39</v>
      </c>
      <c r="BA445">
        <f t="shared" ref="BA445:BC445" si="781">BA444</f>
        <v>18991</v>
      </c>
      <c r="BB445" t="str">
        <f t="shared" si="781"/>
        <v>Triple J</v>
      </c>
      <c r="BC445" t="str">
        <f t="shared" si="781"/>
        <v>Velodrome</v>
      </c>
      <c r="BD445" t="str">
        <f t="shared" si="699"/>
        <v>Pass</v>
      </c>
      <c r="BE445" t="str">
        <f t="shared" si="700"/>
        <v>Pass_Deflected</v>
      </c>
      <c r="BF445" t="str">
        <f t="shared" si="701"/>
        <v>Pass-Forehand</v>
      </c>
      <c r="BG445" t="str">
        <f t="shared" si="683"/>
        <v>u</v>
      </c>
      <c r="BH445" cm="1">
        <f t="array" aca="1" ref="BH445" ca="1">IFERROR(_xlfn._xlws.FILTER(shifts!A:A,(shifts!B:B=events!Z445)*(shifts!AG:AG&gt;=events!BJ445)*(shifts!AH:AH&lt;=events!BK445)),BH444)</f>
        <v>14</v>
      </c>
      <c r="BI445" s="15">
        <f t="shared" si="702"/>
        <v>0</v>
      </c>
      <c r="BJ445">
        <f t="shared" si="703"/>
        <v>695</v>
      </c>
      <c r="BK445">
        <f t="shared" si="704"/>
        <v>695</v>
      </c>
      <c r="BL445" s="15">
        <f>SUMIFS(BI$2:BI445,K$2:K445,"=Intermission")+SUMIFS(BI$2:BI445,K$2:K445,"=Timeout")</f>
        <v>0</v>
      </c>
      <c r="BM445">
        <f t="shared" si="705"/>
        <v>0</v>
      </c>
      <c r="BN445" s="19">
        <f t="shared" si="706"/>
        <v>385</v>
      </c>
      <c r="BO445">
        <f t="shared" si="707"/>
        <v>380</v>
      </c>
      <c r="BP445" s="17">
        <f t="shared" si="708"/>
        <v>385</v>
      </c>
      <c r="BQ445" t="str">
        <f t="shared" si="709"/>
        <v>event_team_player_2</v>
      </c>
      <c r="BR445">
        <f>COUNTIFS(S$3:S445,"="&amp;S445,AH$3:AH445,"="&amp;AH445)</f>
        <v>2</v>
      </c>
      <c r="BS445" t="str">
        <f>IFERROR(VLOOKUP(BA445&amp;BT445&amp;X445,game_rosters!U:W,3,FALSE),"")</f>
        <v>P100093</v>
      </c>
      <c r="BT445" t="str">
        <f t="shared" si="710"/>
        <v>Velodrome</v>
      </c>
    </row>
    <row r="446" spans="1:72" x14ac:dyDescent="0.2">
      <c r="A446" t="str">
        <f t="shared" si="685"/>
        <v>x</v>
      </c>
      <c r="D446" s="26" t="s">
        <v>729</v>
      </c>
      <c r="E446" s="4"/>
      <c r="F446" s="45"/>
      <c r="G446" s="4"/>
      <c r="H446" s="47"/>
      <c r="I446" s="26">
        <v>41</v>
      </c>
      <c r="J446" s="26" t="str">
        <f t="shared" si="711"/>
        <v/>
      </c>
      <c r="N446" t="str">
        <f t="shared" si="729"/>
        <v/>
      </c>
      <c r="Q446" t="str">
        <f t="shared" si="723"/>
        <v/>
      </c>
      <c r="R446" s="26">
        <v>1</v>
      </c>
      <c r="S446">
        <f>IF(A446=1,MAX($S$2:$S445)+1,IF(OR($I446&lt;&gt;"",A446="x"),$S445,""))</f>
        <v>223</v>
      </c>
      <c r="T446">
        <f>IF(D446=1,MAX($T$2:$T445)+1,IF(S446=S445,$T445,IF(D446="x",T445,IF(D445="x","",""))))</f>
        <v>28</v>
      </c>
      <c r="U446" t="str">
        <f>IF(B446=1,MAX($U$2:$U445)+1,IF(AND($T446&lt;&gt;"",$T446=$T445),$U445,IF(B446="x",U445,"")))</f>
        <v/>
      </c>
      <c r="V446" t="str">
        <f>IF(C446=1,MAX($V$2:$V445)+1,IF(AND($T446&lt;&gt;"",$T446=$T445),$U445,IF(C446="x",V445,"")))</f>
        <v/>
      </c>
      <c r="W446" t="str" cm="1">
        <f t="array" ref="W446">IFERROR(_xlfn._xlws.FILTER(game_rosters!AC:AC,(game_rosters!J:J=events!X446)*(K446&lt;&gt;"")),"")</f>
        <v/>
      </c>
      <c r="X446" cm="1">
        <f t="array" ref="X446">IF($I446&lt;&gt;"",$I446,INDEX($I$1:$I446,ROW()-COUNTIFS($T$1:$T446,"="&amp;$T446,$S$1:$S446,"&lt;"&amp;$S446)))</f>
        <v>41</v>
      </c>
      <c r="Y446" t="str" cm="1">
        <f t="array" ref="Y446">IFERROR(IF(_xlfn._xlws.FILTER(game_rosters!$J:$J,(game_rosters!$G:$G=events!$AM446)*(game_rosters!$J:$J=events!$X446))&gt;0,1,""),"")</f>
        <v/>
      </c>
      <c r="Z446" s="6">
        <f t="shared" si="686"/>
        <v>1</v>
      </c>
      <c r="AA446">
        <f t="shared" si="687"/>
        <v>1223</v>
      </c>
      <c r="AB446">
        <f t="shared" si="688"/>
        <v>9028</v>
      </c>
      <c r="AC446">
        <f t="shared" si="689"/>
        <v>9028</v>
      </c>
      <c r="AD446" t="str">
        <f t="shared" si="690"/>
        <v>11</v>
      </c>
      <c r="AE446" t="str">
        <f t="shared" si="691"/>
        <v>35</v>
      </c>
      <c r="AF446" t="str">
        <f t="shared" si="692"/>
        <v/>
      </c>
      <c r="AG446" t="str">
        <f t="shared" si="693"/>
        <v/>
      </c>
      <c r="AH446" t="str">
        <f t="shared" si="736"/>
        <v>o</v>
      </c>
      <c r="AI446" t="str">
        <f t="shared" si="778"/>
        <v>o</v>
      </c>
      <c r="AJ446" t="str">
        <f t="shared" si="778"/>
        <v>o</v>
      </c>
      <c r="AK446" t="str">
        <f t="shared" si="738"/>
        <v/>
      </c>
      <c r="AL446" t="str">
        <f t="shared" si="739"/>
        <v/>
      </c>
      <c r="AM446" t="str">
        <f t="shared" si="694"/>
        <v>Away</v>
      </c>
      <c r="AN446" t="str">
        <f t="shared" si="740"/>
        <v>a</v>
      </c>
      <c r="AO446" t="str">
        <f t="shared" si="741"/>
        <v>d</v>
      </c>
      <c r="AP446" t="str">
        <f t="shared" si="742"/>
        <v>o</v>
      </c>
      <c r="AQ446" t="str">
        <f>IF(AM446&lt;&gt;"",AM446,IF($AC446=#REF!,#REF!,""))</f>
        <v>Away</v>
      </c>
      <c r="AR446" t="str">
        <f t="shared" si="743"/>
        <v>a</v>
      </c>
      <c r="AS446" t="str">
        <f t="shared" si="744"/>
        <v>Defensive</v>
      </c>
      <c r="AT446" t="str">
        <f t="shared" si="695"/>
        <v/>
      </c>
      <c r="AU446" t="str">
        <f t="shared" si="696"/>
        <v/>
      </c>
      <c r="AV446" t="str" cm="1">
        <f t="array" ref="AV446">IFERROR(IF(O446&lt;&gt;"",O446,IF(OR($S446="",$T446=""),"",IF(O446&lt;&gt;"",O446,IF($T446&lt;&gt;"",_xlfn._xlws.FILTER(O:O,($BT:$BT=$BT446)*($I:$I=$I446)*($T:$T=$T446)*($S:$S=_xlfn.MINIFS($S:$S,$T:$T,"="&amp;$T446)),"")))))&amp;"",IF(O446="","",""))&amp;""</f>
        <v/>
      </c>
      <c r="AW446" t="str" cm="1">
        <f t="array" ref="AW446">IFERROR(IF(P446&lt;&gt;"",P446,IF(OR($S446="",$T446=""),"",IF($T446&lt;&gt;"",_xlfn._xlws.FILTER(P:P,($BT:$BT=$BT446)*($I:$I=$I446)*($T:$T=$T446)*($S:$S=_xlfn.MINIFS($S:$S,$T:$T,"="&amp;$T446)),""))))&amp;"",IF(P446="","",""))&amp;""</f>
        <v/>
      </c>
      <c r="AX446" t="str" cm="1">
        <f t="array" ref="AX446">IFERROR(IF(Q446&lt;&gt;"",Q446,IF(OR($S446="",$T446=""),"",IF($T446&lt;&gt;"",_xlfn._xlws.FILTER(Q:Q,($BT:$BT=$BT446)*($I:$I=$I446)*($T:$T=$T446)*($S:$S=_xlfn.MINIFS($S:$S,$T:$T,"="&amp;$T446)),""))))&amp;"",IF(Q446="","",""))&amp;""</f>
        <v/>
      </c>
      <c r="AY446" t="str" cm="1">
        <f t="array" ref="AY446">IFERROR(IF(R446&lt;&gt;"",R446,IF(OR($S446="",$T446=""),"",IF($T446&lt;&gt;"",_xlfn._xlws.FILTER(R:R,($BT:$BT=$BT446)*($I:$I=$I446)*($T:$T=$T446)*($S:$S=_xlfn.MINIFS($S:$S,$T:$T,"="&amp;$T446)),""))))&amp;"",IF(R446="","",""))&amp;""</f>
        <v>1</v>
      </c>
      <c r="AZ446" s="6">
        <f t="shared" si="697"/>
        <v>39</v>
      </c>
      <c r="BA446">
        <f t="shared" ref="BA446:BC446" si="782">BA445</f>
        <v>18991</v>
      </c>
      <c r="BB446" t="str">
        <f t="shared" si="782"/>
        <v>Triple J</v>
      </c>
      <c r="BC446" t="str">
        <f t="shared" si="782"/>
        <v>Velodrome</v>
      </c>
      <c r="BD446" t="str">
        <f t="shared" si="699"/>
        <v>Pass</v>
      </c>
      <c r="BE446" t="str">
        <f t="shared" si="700"/>
        <v>Pass_Deflected</v>
      </c>
      <c r="BF446" t="str">
        <f t="shared" si="701"/>
        <v>Pass-Forehand</v>
      </c>
      <c r="BG446" t="str">
        <f t="shared" si="683"/>
        <v>u</v>
      </c>
      <c r="BH446" cm="1">
        <f t="array" aca="1" ref="BH446" ca="1">IFERROR(_xlfn._xlws.FILTER(shifts!A:A,(shifts!B:B=events!Z446)*(shifts!AG:AG&gt;=events!BJ446)*(shifts!AH:AH&lt;=events!BK446)),BH445)</f>
        <v>14</v>
      </c>
      <c r="BI446" s="15">
        <f t="shared" si="702"/>
        <v>0</v>
      </c>
      <c r="BJ446">
        <f t="shared" si="703"/>
        <v>695</v>
      </c>
      <c r="BK446">
        <f t="shared" si="704"/>
        <v>695</v>
      </c>
      <c r="BL446" s="15">
        <f>SUMIFS(BI$2:BI446,K$2:K446,"=Intermission")+SUMIFS(BI$2:BI446,K$2:K446,"=Timeout")</f>
        <v>0</v>
      </c>
      <c r="BM446">
        <f t="shared" si="705"/>
        <v>0</v>
      </c>
      <c r="BN446" s="19">
        <f t="shared" si="706"/>
        <v>385</v>
      </c>
      <c r="BO446">
        <f t="shared" si="707"/>
        <v>380</v>
      </c>
      <c r="BP446" s="17">
        <f t="shared" si="708"/>
        <v>385</v>
      </c>
      <c r="BQ446" t="str">
        <f t="shared" si="709"/>
        <v>opp_team_player_1</v>
      </c>
      <c r="BR446">
        <f>COUNTIFS(S$3:S446,"="&amp;S446,AH$3:AH446,"="&amp;AH446)</f>
        <v>1</v>
      </c>
      <c r="BS446" t="str">
        <f>IFERROR(VLOOKUP(BA446&amp;BT446&amp;X446,game_rosters!U:W,3,FALSE),"")</f>
        <v>P100206</v>
      </c>
      <c r="BT446" t="str">
        <f t="shared" si="710"/>
        <v>Triple J</v>
      </c>
    </row>
    <row r="447" spans="1:72" x14ac:dyDescent="0.2">
      <c r="A447">
        <f t="shared" si="685"/>
        <v>1</v>
      </c>
      <c r="D447" s="26" t="s">
        <v>729</v>
      </c>
      <c r="E447" s="4"/>
      <c r="F447" s="45"/>
      <c r="G447" s="4"/>
      <c r="H447" s="47"/>
      <c r="J447" s="26" t="s">
        <v>368</v>
      </c>
      <c r="K447" t="s">
        <v>9</v>
      </c>
      <c r="L447" t="s">
        <v>173</v>
      </c>
      <c r="M447" t="s">
        <v>75</v>
      </c>
      <c r="N447" t="str">
        <f t="shared" si="729"/>
        <v>u</v>
      </c>
      <c r="Q447" t="str">
        <f t="shared" si="723"/>
        <v/>
      </c>
      <c r="S447">
        <f>IF(A447=1,MAX($S$2:$S446)+1,IF(OR($I447&lt;&gt;"",A447="x"),$S446,""))</f>
        <v>224</v>
      </c>
      <c r="T447">
        <f>IF(D447=1,MAX($T$2:$T446)+1,IF(S447=S446,$T446,IF(D447="x",T446,IF(D446="x","",""))))</f>
        <v>28</v>
      </c>
      <c r="U447" t="str">
        <f>IF(B447=1,MAX($U$2:$U446)+1,IF(AND($T447&lt;&gt;"",$T447=$T446),$U446,IF(B447="x",U446,"")))</f>
        <v/>
      </c>
      <c r="V447" t="str">
        <f>IF(C447=1,MAX($V$2:$V446)+1,IF(AND($T447&lt;&gt;"",$T447=$T446),$U446,IF(C447="x",V446,"")))</f>
        <v/>
      </c>
      <c r="W447" t="str" cm="1">
        <f t="array" ref="W447">IFERROR(_xlfn._xlws.FILTER(game_rosters!AC:AC,(game_rosters!J:J=events!X447)*(K447&lt;&gt;"")),"")</f>
        <v>a</v>
      </c>
      <c r="X447" cm="1">
        <f t="array" ref="X447">IF($I447&lt;&gt;"",$I447,INDEX($I$1:$I447,ROW()-COUNTIFS($T$1:$T447,"="&amp;$T447,$S$1:$S447,"&lt;"&amp;$S447)))</f>
        <v>87</v>
      </c>
      <c r="Y447" cm="1">
        <f t="array" ref="Y447">IFERROR(IF(_xlfn._xlws.FILTER(game_rosters!$J:$J,(game_rosters!$G:$G=events!$AM447)*(game_rosters!$J:$J=events!$X447))&gt;0,1,""),"")</f>
        <v>1</v>
      </c>
      <c r="Z447" s="6">
        <f t="shared" si="686"/>
        <v>1</v>
      </c>
      <c r="AA447">
        <f t="shared" si="687"/>
        <v>1224</v>
      </c>
      <c r="AB447">
        <f t="shared" si="688"/>
        <v>9028</v>
      </c>
      <c r="AC447">
        <f t="shared" si="689"/>
        <v>9028</v>
      </c>
      <c r="AD447" t="str">
        <f t="shared" si="690"/>
        <v>11</v>
      </c>
      <c r="AE447" t="str">
        <f t="shared" si="691"/>
        <v>35</v>
      </c>
      <c r="AF447" t="str">
        <f t="shared" si="692"/>
        <v/>
      </c>
      <c r="AG447" t="str">
        <f t="shared" si="693"/>
        <v/>
      </c>
      <c r="AH447" t="str">
        <f t="shared" si="736"/>
        <v>e</v>
      </c>
      <c r="AI447" t="str">
        <f t="shared" si="778"/>
        <v>o</v>
      </c>
      <c r="AJ447" t="str">
        <f t="shared" si="778"/>
        <v>o</v>
      </c>
      <c r="AK447" t="str">
        <f t="shared" si="738"/>
        <v>d</v>
      </c>
      <c r="AL447" t="str">
        <f t="shared" si="739"/>
        <v>o</v>
      </c>
      <c r="AM447" t="str">
        <f t="shared" si="694"/>
        <v>Away</v>
      </c>
      <c r="AN447" t="str">
        <f t="shared" si="740"/>
        <v>a</v>
      </c>
      <c r="AO447" t="str">
        <f t="shared" si="741"/>
        <v>d</v>
      </c>
      <c r="AP447" t="str">
        <f t="shared" si="742"/>
        <v>o</v>
      </c>
      <c r="AQ447" t="str">
        <f>IF(AM447&lt;&gt;"",AM447,IF($AC447=#REF!,#REF!,""))</f>
        <v>Away</v>
      </c>
      <c r="AR447" t="str">
        <f t="shared" si="743"/>
        <v>a</v>
      </c>
      <c r="AS447" t="str">
        <f t="shared" si="744"/>
        <v>Offensive</v>
      </c>
      <c r="AT447" t="str">
        <f t="shared" si="695"/>
        <v/>
      </c>
      <c r="AU447" t="str">
        <f t="shared" si="696"/>
        <v/>
      </c>
      <c r="AV447" t="str" cm="1">
        <f t="array" ref="AV447">IFERROR(IF(O447&lt;&gt;"",O447,IF(OR($S447="",$T447=""),"",IF(O447&lt;&gt;"",O447,IF($T447&lt;&gt;"",_xlfn._xlws.FILTER(O:O,($BT:$BT=$BT447)*($I:$I=$I447)*($T:$T=$T447)*($S:$S=_xlfn.MINIFS($S:$S,$T:$T,"="&amp;$T447)),"")))))&amp;"",IF(O447="","",""))&amp;""</f>
        <v/>
      </c>
      <c r="AW447" t="str" cm="1">
        <f t="array" ref="AW447">IFERROR(IF(P447&lt;&gt;"",P447,IF(OR($S447="",$T447=""),"",IF($T447&lt;&gt;"",_xlfn._xlws.FILTER(P:P,($BT:$BT=$BT447)*($I:$I=$I447)*($T:$T=$T447)*($S:$S=_xlfn.MINIFS($S:$S,$T:$T,"="&amp;$T447)),""))))&amp;"",IF(P447="","",""))&amp;""</f>
        <v/>
      </c>
      <c r="AX447" t="str" cm="1">
        <f t="array" ref="AX447">IFERROR(IF(Q447&lt;&gt;"",Q447,IF(OR($S447="",$T447=""),"",IF($T447&lt;&gt;"",_xlfn._xlws.FILTER(Q:Q,($BT:$BT=$BT447)*($I:$I=$I447)*($T:$T=$T447)*($S:$S=_xlfn.MINIFS($S:$S,$T:$T,"="&amp;$T447)),""))))&amp;"",IF(Q447="","",""))&amp;""</f>
        <v/>
      </c>
      <c r="AY447" t="str" cm="1">
        <f t="array" ref="AY447">IFERROR(IF(R447&lt;&gt;"",R447,IF(OR($S447="",$T447=""),"",IF($T447&lt;&gt;"",_xlfn._xlws.FILTER(R:R,($BT:$BT=$BT447)*($I:$I=$I447)*($T:$T=$T447)*($S:$S=_xlfn.MINIFS($S:$S,$T:$T,"="&amp;$T447)),""))))&amp;"",IF(R447="","",""))&amp;""</f>
        <v/>
      </c>
      <c r="AZ447" s="6">
        <f t="shared" si="697"/>
        <v>39</v>
      </c>
      <c r="BA447">
        <f t="shared" ref="BA447:BC447" si="783">BA446</f>
        <v>18991</v>
      </c>
      <c r="BB447" t="str">
        <f t="shared" si="783"/>
        <v>Triple J</v>
      </c>
      <c r="BC447" t="str">
        <f t="shared" si="783"/>
        <v>Velodrome</v>
      </c>
      <c r="BD447" t="str">
        <f t="shared" si="699"/>
        <v>Turnover</v>
      </c>
      <c r="BE447" t="str">
        <f t="shared" si="700"/>
        <v>Turnover_Giveaway</v>
      </c>
      <c r="BF447" t="str">
        <f t="shared" si="701"/>
        <v>Giveaway-PassBlocked</v>
      </c>
      <c r="BG447" t="str">
        <f t="shared" si="683"/>
        <v>u</v>
      </c>
      <c r="BH447" cm="1">
        <f t="array" aca="1" ref="BH447" ca="1">IFERROR(_xlfn._xlws.FILTER(shifts!A:A,(shifts!B:B=events!Z447)*(shifts!AG:AG&gt;=events!BJ447)*(shifts!AH:AH&lt;=events!BK447)),BH446)</f>
        <v>14</v>
      </c>
      <c r="BI447" s="15">
        <f t="shared" si="702"/>
        <v>0</v>
      </c>
      <c r="BJ447">
        <f t="shared" si="703"/>
        <v>695</v>
      </c>
      <c r="BK447">
        <f t="shared" si="704"/>
        <v>695</v>
      </c>
      <c r="BL447" s="15">
        <f>SUMIFS(BI$2:BI447,K$2:K447,"=Intermission")+SUMIFS(BI$2:BI447,K$2:K447,"=Timeout")</f>
        <v>0</v>
      </c>
      <c r="BM447">
        <f t="shared" si="705"/>
        <v>0</v>
      </c>
      <c r="BN447" s="19">
        <f t="shared" si="706"/>
        <v>385</v>
      </c>
      <c r="BO447">
        <f t="shared" si="707"/>
        <v>380</v>
      </c>
      <c r="BP447" s="17">
        <f t="shared" si="708"/>
        <v>385</v>
      </c>
      <c r="BQ447" t="str">
        <f t="shared" si="709"/>
        <v>event_team_player_1</v>
      </c>
      <c r="BR447">
        <f>COUNTIFS(S$3:S447,"="&amp;S447,AH$3:AH447,"="&amp;AH447)</f>
        <v>1</v>
      </c>
      <c r="BS447" t="str">
        <f>IFERROR(VLOOKUP(BA447&amp;BT447&amp;X447,game_rosters!U:W,3,FALSE),"")</f>
        <v>P100159</v>
      </c>
      <c r="BT447" t="str">
        <f t="shared" si="710"/>
        <v>Velodrome</v>
      </c>
    </row>
    <row r="448" spans="1:72" x14ac:dyDescent="0.2">
      <c r="A448" t="str">
        <f t="shared" si="685"/>
        <v>x</v>
      </c>
      <c r="D448" s="26" t="s">
        <v>729</v>
      </c>
      <c r="E448" s="4"/>
      <c r="F448" s="45"/>
      <c r="G448" s="4"/>
      <c r="H448" s="47"/>
      <c r="J448" s="26" t="str">
        <f t="shared" si="711"/>
        <v/>
      </c>
      <c r="N448" t="str">
        <f t="shared" si="729"/>
        <v/>
      </c>
      <c r="Q448" t="str">
        <f t="shared" si="723"/>
        <v/>
      </c>
      <c r="S448">
        <f>IF(A448=1,MAX($S$2:$S447)+1,IF(OR($I448&lt;&gt;"",A448="x"),$S447,""))</f>
        <v>224</v>
      </c>
      <c r="T448">
        <f>IF(D448=1,MAX($T$2:$T447)+1,IF(S448=S447,$T447,IF(D448="x",T447,IF(D447="x","",""))))</f>
        <v>28</v>
      </c>
      <c r="U448" t="str">
        <f>IF(B448=1,MAX($U$2:$U447)+1,IF(AND($T448&lt;&gt;"",$T448=$T447),$U447,IF(B448="x",U447,"")))</f>
        <v/>
      </c>
      <c r="V448" t="str">
        <f>IF(C448=1,MAX($V$2:$V447)+1,IF(AND($T448&lt;&gt;"",$T448=$T447),$U447,IF(C448="x",V447,"")))</f>
        <v/>
      </c>
      <c r="W448" t="str" cm="1">
        <f t="array" ref="W448">IFERROR(_xlfn._xlws.FILTER(game_rosters!AC:AC,(game_rosters!J:J=events!X448)*(K448&lt;&gt;"")),"")</f>
        <v/>
      </c>
      <c r="X448" cm="1">
        <f t="array" ref="X448">IF($I448&lt;&gt;"",$I448,INDEX($I$1:$I448,ROW()-COUNTIFS($T$1:$T448,"="&amp;$T448,$S$1:$S448,"&lt;"&amp;$S448)))</f>
        <v>93</v>
      </c>
      <c r="Y448" cm="1">
        <f t="array" ref="Y448">IFERROR(IF(_xlfn._xlws.FILTER(game_rosters!$J:$J,(game_rosters!$G:$G=events!$AM448)*(game_rosters!$J:$J=events!$X448))&gt;0,1,""),"")</f>
        <v>1</v>
      </c>
      <c r="Z448" s="6">
        <f t="shared" si="686"/>
        <v>1</v>
      </c>
      <c r="AA448">
        <f t="shared" si="687"/>
        <v>1224</v>
      </c>
      <c r="AB448">
        <f t="shared" si="688"/>
        <v>9028</v>
      </c>
      <c r="AC448">
        <f t="shared" si="689"/>
        <v>9028</v>
      </c>
      <c r="AD448" t="str">
        <f t="shared" si="690"/>
        <v>11</v>
      </c>
      <c r="AE448" t="str">
        <f t="shared" si="691"/>
        <v>35</v>
      </c>
      <c r="AF448" t="str">
        <f t="shared" si="692"/>
        <v/>
      </c>
      <c r="AG448" t="str">
        <f t="shared" si="693"/>
        <v/>
      </c>
      <c r="AH448" t="str">
        <f t="shared" si="736"/>
        <v>e</v>
      </c>
      <c r="AI448" t="str">
        <f t="shared" si="778"/>
        <v>o</v>
      </c>
      <c r="AJ448" t="str">
        <f t="shared" si="778"/>
        <v>o</v>
      </c>
      <c r="AK448" t="str">
        <f t="shared" si="738"/>
        <v/>
      </c>
      <c r="AL448" t="str">
        <f t="shared" si="739"/>
        <v/>
      </c>
      <c r="AM448" t="str">
        <f t="shared" si="694"/>
        <v>Away</v>
      </c>
      <c r="AN448" t="str">
        <f t="shared" si="740"/>
        <v>a</v>
      </c>
      <c r="AO448" t="str">
        <f t="shared" si="741"/>
        <v>d</v>
      </c>
      <c r="AP448" t="str">
        <f t="shared" si="742"/>
        <v>o</v>
      </c>
      <c r="AQ448" t="str">
        <f>IF(AM448&lt;&gt;"",AM448,IF($AC448=#REF!,#REF!,""))</f>
        <v>Away</v>
      </c>
      <c r="AR448" t="str">
        <f t="shared" si="743"/>
        <v>a</v>
      </c>
      <c r="AS448" t="str">
        <f t="shared" si="744"/>
        <v>Offensive</v>
      </c>
      <c r="AT448" t="str">
        <f t="shared" si="695"/>
        <v/>
      </c>
      <c r="AU448" t="str">
        <f t="shared" si="696"/>
        <v/>
      </c>
      <c r="AV448" t="str" cm="1">
        <f t="array" ref="AV448">IFERROR(IF(O448&lt;&gt;"",O448,IF(OR($S448="",$T448=""),"",IF(O448&lt;&gt;"",O448,IF($T448&lt;&gt;"",_xlfn._xlws.FILTER(O:O,($BT:$BT=$BT448)*($I:$I=$I448)*($T:$T=$T448)*($S:$S=_xlfn.MINIFS($S:$S,$T:$T,"="&amp;$T448)),"")))))&amp;"",IF(O448="","",""))&amp;""</f>
        <v/>
      </c>
      <c r="AW448" t="str" cm="1">
        <f t="array" ref="AW448">IFERROR(IF(P448&lt;&gt;"",P448,IF(OR($S448="",$T448=""),"",IF($T448&lt;&gt;"",_xlfn._xlws.FILTER(P:P,($BT:$BT=$BT448)*($I:$I=$I448)*($T:$T=$T448)*($S:$S=_xlfn.MINIFS($S:$S,$T:$T,"="&amp;$T448)),""))))&amp;"",IF(P448="","",""))&amp;""</f>
        <v/>
      </c>
      <c r="AX448" t="str" cm="1">
        <f t="array" ref="AX448">IFERROR(IF(Q448&lt;&gt;"",Q448,IF(OR($S448="",$T448=""),"",IF($T448&lt;&gt;"",_xlfn._xlws.FILTER(Q:Q,($BT:$BT=$BT448)*($I:$I=$I448)*($T:$T=$T448)*($S:$S=_xlfn.MINIFS($S:$S,$T:$T,"="&amp;$T448)),""))))&amp;"",IF(Q448="","",""))&amp;""</f>
        <v/>
      </c>
      <c r="AY448" t="str" cm="1">
        <f t="array" ref="AY448">IFERROR(IF(R448&lt;&gt;"",R448,IF(OR($S448="",$T448=""),"",IF($T448&lt;&gt;"",_xlfn._xlws.FILTER(R:R,($BT:$BT=$BT448)*($I:$I=$I448)*($T:$T=$T448)*($S:$S=_xlfn.MINIFS($S:$S,$T:$T,"="&amp;$T448)),""))))&amp;"",IF(R448="","",""))&amp;""</f>
        <v/>
      </c>
      <c r="AZ448" s="6">
        <f t="shared" si="697"/>
        <v>39</v>
      </c>
      <c r="BA448">
        <f t="shared" ref="BA448:BC448" si="784">BA447</f>
        <v>18991</v>
      </c>
      <c r="BB448" t="str">
        <f t="shared" si="784"/>
        <v>Triple J</v>
      </c>
      <c r="BC448" t="str">
        <f t="shared" si="784"/>
        <v>Velodrome</v>
      </c>
      <c r="BD448" t="str">
        <f t="shared" si="699"/>
        <v>Turnover</v>
      </c>
      <c r="BE448" t="str">
        <f t="shared" si="700"/>
        <v>Turnover_Giveaway</v>
      </c>
      <c r="BF448" t="str">
        <f t="shared" si="701"/>
        <v>Giveaway-PassBlocked</v>
      </c>
      <c r="BG448" t="str">
        <f t="shared" si="683"/>
        <v>u</v>
      </c>
      <c r="BH448" cm="1">
        <f t="array" aca="1" ref="BH448" ca="1">IFERROR(_xlfn._xlws.FILTER(shifts!A:A,(shifts!B:B=events!Z448)*(shifts!AG:AG&gt;=events!BJ448)*(shifts!AH:AH&lt;=events!BK448)),BH447)</f>
        <v>14</v>
      </c>
      <c r="BI448" s="15">
        <f t="shared" si="702"/>
        <v>0</v>
      </c>
      <c r="BJ448">
        <f t="shared" si="703"/>
        <v>695</v>
      </c>
      <c r="BK448">
        <f t="shared" si="704"/>
        <v>695</v>
      </c>
      <c r="BL448" s="15">
        <f>SUMIFS(BI$2:BI448,K$2:K448,"=Intermission")+SUMIFS(BI$2:BI448,K$2:K448,"=Timeout")</f>
        <v>0</v>
      </c>
      <c r="BM448">
        <f t="shared" si="705"/>
        <v>0</v>
      </c>
      <c r="BN448" s="19">
        <f t="shared" si="706"/>
        <v>385</v>
      </c>
      <c r="BO448">
        <f t="shared" si="707"/>
        <v>380</v>
      </c>
      <c r="BP448" s="17">
        <f t="shared" si="708"/>
        <v>385</v>
      </c>
      <c r="BQ448" t="str">
        <f t="shared" si="709"/>
        <v>event_team_player_2</v>
      </c>
      <c r="BR448">
        <f>COUNTIFS(S$3:S448,"="&amp;S448,AH$3:AH448,"="&amp;AH448)</f>
        <v>2</v>
      </c>
      <c r="BS448" t="str">
        <f>IFERROR(VLOOKUP(BA448&amp;BT448&amp;X448,game_rosters!U:W,3,FALSE),"")</f>
        <v>P100093</v>
      </c>
      <c r="BT448" t="str">
        <f t="shared" si="710"/>
        <v>Velodrome</v>
      </c>
    </row>
    <row r="449" spans="1:72" x14ac:dyDescent="0.2">
      <c r="A449" t="str">
        <f t="shared" si="685"/>
        <v>x</v>
      </c>
      <c r="D449" s="26" t="s">
        <v>729</v>
      </c>
      <c r="E449" s="4"/>
      <c r="F449" s="45"/>
      <c r="G449" s="4"/>
      <c r="H449" s="47"/>
      <c r="J449" s="26" t="str">
        <f t="shared" si="711"/>
        <v/>
      </c>
      <c r="N449" t="str">
        <f t="shared" si="729"/>
        <v/>
      </c>
      <c r="Q449" t="str">
        <f t="shared" si="723"/>
        <v/>
      </c>
      <c r="S449">
        <f>IF(A449=1,MAX($S$2:$S448)+1,IF(OR($I449&lt;&gt;"",A449="x"),$S448,""))</f>
        <v>224</v>
      </c>
      <c r="T449">
        <f>IF(D449=1,MAX($T$2:$T448)+1,IF(S449=S448,$T448,IF(D449="x",T448,IF(D448="x","",""))))</f>
        <v>28</v>
      </c>
      <c r="U449" t="str">
        <f>IF(B449=1,MAX($U$2:$U448)+1,IF(AND($T449&lt;&gt;"",$T449=$T448),$U448,IF(B449="x",U448,"")))</f>
        <v/>
      </c>
      <c r="V449" t="str">
        <f>IF(C449=1,MAX($V$2:$V448)+1,IF(AND($T449&lt;&gt;"",$T449=$T448),$U448,IF(C449="x",V448,"")))</f>
        <v/>
      </c>
      <c r="W449" t="str" cm="1">
        <f t="array" ref="W449">IFERROR(_xlfn._xlws.FILTER(game_rosters!AC:AC,(game_rosters!J:J=events!X449)*(K449&lt;&gt;"")),"")</f>
        <v/>
      </c>
      <c r="X449" cm="1">
        <f t="array" ref="X449">IF($I449&lt;&gt;"",$I449,INDEX($I$1:$I449,ROW()-COUNTIFS($T$1:$T449,"="&amp;$T449,$S$1:$S449,"&lt;"&amp;$S449)))</f>
        <v>41</v>
      </c>
      <c r="Y449" t="str" cm="1">
        <f t="array" ref="Y449">IFERROR(IF(_xlfn._xlws.FILTER(game_rosters!$J:$J,(game_rosters!$G:$G=events!$AM449)*(game_rosters!$J:$J=events!$X449))&gt;0,1,""),"")</f>
        <v/>
      </c>
      <c r="Z449" s="6">
        <f t="shared" si="686"/>
        <v>1</v>
      </c>
      <c r="AA449">
        <f t="shared" si="687"/>
        <v>1224</v>
      </c>
      <c r="AB449">
        <f t="shared" si="688"/>
        <v>9028</v>
      </c>
      <c r="AC449">
        <f t="shared" si="689"/>
        <v>9028</v>
      </c>
      <c r="AD449" t="str">
        <f t="shared" si="690"/>
        <v>11</v>
      </c>
      <c r="AE449" t="str">
        <f t="shared" si="691"/>
        <v>35</v>
      </c>
      <c r="AF449" t="str">
        <f t="shared" si="692"/>
        <v/>
      </c>
      <c r="AG449" t="str">
        <f t="shared" si="693"/>
        <v/>
      </c>
      <c r="AH449" t="str">
        <f t="shared" si="736"/>
        <v>o</v>
      </c>
      <c r="AI449" t="str">
        <f t="shared" si="778"/>
        <v>o</v>
      </c>
      <c r="AJ449" t="str">
        <f t="shared" si="778"/>
        <v>o</v>
      </c>
      <c r="AK449" t="str">
        <f t="shared" si="738"/>
        <v/>
      </c>
      <c r="AL449" t="str">
        <f t="shared" si="739"/>
        <v/>
      </c>
      <c r="AM449" t="str">
        <f t="shared" si="694"/>
        <v>Away</v>
      </c>
      <c r="AN449" t="str">
        <f t="shared" si="740"/>
        <v>a</v>
      </c>
      <c r="AO449" t="str">
        <f t="shared" si="741"/>
        <v>d</v>
      </c>
      <c r="AP449" t="str">
        <f t="shared" si="742"/>
        <v>o</v>
      </c>
      <c r="AQ449" t="str">
        <f>IF(AM449&lt;&gt;"",AM449,IF($AC449=#REF!,#REF!,""))</f>
        <v>Away</v>
      </c>
      <c r="AR449" t="str">
        <f t="shared" si="743"/>
        <v>a</v>
      </c>
      <c r="AS449" t="str">
        <f t="shared" si="744"/>
        <v>Defensive</v>
      </c>
      <c r="AT449" t="str">
        <f t="shared" si="695"/>
        <v/>
      </c>
      <c r="AU449" t="str">
        <f t="shared" si="696"/>
        <v/>
      </c>
      <c r="AV449" t="str" cm="1">
        <f t="array" ref="AV449">IFERROR(IF(O449&lt;&gt;"",O449,IF(OR($S449="",$T449=""),"",IF(O449&lt;&gt;"",O449,IF($T449&lt;&gt;"",_xlfn._xlws.FILTER(O:O,($BT:$BT=$BT449)*($I:$I=$I449)*($T:$T=$T449)*($S:$S=_xlfn.MINIFS($S:$S,$T:$T,"="&amp;$T449)),"")))))&amp;"",IF(O449="","",""))&amp;""</f>
        <v/>
      </c>
      <c r="AW449" t="str" cm="1">
        <f t="array" ref="AW449">IFERROR(IF(P449&lt;&gt;"",P449,IF(OR($S449="",$T449=""),"",IF($T449&lt;&gt;"",_xlfn._xlws.FILTER(P:P,($BT:$BT=$BT449)*($I:$I=$I449)*($T:$T=$T449)*($S:$S=_xlfn.MINIFS($S:$S,$T:$T,"="&amp;$T449)),""))))&amp;"",IF(P449="","",""))&amp;""</f>
        <v/>
      </c>
      <c r="AX449" t="str" cm="1">
        <f t="array" ref="AX449">IFERROR(IF(Q449&lt;&gt;"",Q449,IF(OR($S449="",$T449=""),"",IF($T449&lt;&gt;"",_xlfn._xlws.FILTER(Q:Q,($BT:$BT=$BT449)*($I:$I=$I449)*($T:$T=$T449)*($S:$S=_xlfn.MINIFS($S:$S,$T:$T,"="&amp;$T449)),""))))&amp;"",IF(Q449="","",""))&amp;""</f>
        <v/>
      </c>
      <c r="AY449" t="str" cm="1">
        <f t="array" ref="AY449">IFERROR(IF(R449&lt;&gt;"",R449,IF(OR($S449="",$T449=""),"",IF($T449&lt;&gt;"",_xlfn._xlws.FILTER(R:R,($BT:$BT=$BT449)*($I:$I=$I449)*($T:$T=$T449)*($S:$S=_xlfn.MINIFS($S:$S,$T:$T,"="&amp;$T449)),""))))&amp;"",IF(R449="","",""))&amp;""</f>
        <v/>
      </c>
      <c r="AZ449" s="6">
        <f t="shared" si="697"/>
        <v>39</v>
      </c>
      <c r="BA449">
        <f t="shared" ref="BA449:BC449" si="785">BA448</f>
        <v>18991</v>
      </c>
      <c r="BB449" t="str">
        <f t="shared" si="785"/>
        <v>Triple J</v>
      </c>
      <c r="BC449" t="str">
        <f t="shared" si="785"/>
        <v>Velodrome</v>
      </c>
      <c r="BD449" t="str">
        <f t="shared" si="699"/>
        <v>Turnover</v>
      </c>
      <c r="BE449" t="str">
        <f t="shared" si="700"/>
        <v>Turnover_Giveaway</v>
      </c>
      <c r="BF449" t="str">
        <f t="shared" si="701"/>
        <v>Giveaway-PassBlocked</v>
      </c>
      <c r="BG449" t="str">
        <f t="shared" si="683"/>
        <v>u</v>
      </c>
      <c r="BH449" cm="1">
        <f t="array" aca="1" ref="BH449" ca="1">IFERROR(_xlfn._xlws.FILTER(shifts!A:A,(shifts!B:B=events!Z449)*(shifts!AG:AG&gt;=events!BJ449)*(shifts!AH:AH&lt;=events!BK449)),BH448)</f>
        <v>14</v>
      </c>
      <c r="BI449" s="15">
        <f t="shared" si="702"/>
        <v>0</v>
      </c>
      <c r="BJ449">
        <f t="shared" si="703"/>
        <v>695</v>
      </c>
      <c r="BK449">
        <f t="shared" si="704"/>
        <v>695</v>
      </c>
      <c r="BL449" s="15">
        <f>SUMIFS(BI$2:BI449,K$2:K449,"=Intermission")+SUMIFS(BI$2:BI449,K$2:K449,"=Timeout")</f>
        <v>0</v>
      </c>
      <c r="BM449">
        <f t="shared" si="705"/>
        <v>0</v>
      </c>
      <c r="BN449" s="19">
        <f t="shared" si="706"/>
        <v>385</v>
      </c>
      <c r="BO449">
        <f t="shared" si="707"/>
        <v>380</v>
      </c>
      <c r="BP449" s="17">
        <f t="shared" si="708"/>
        <v>385</v>
      </c>
      <c r="BQ449" t="str">
        <f t="shared" si="709"/>
        <v>opp_team_player_1</v>
      </c>
      <c r="BR449">
        <f>COUNTIFS(S$3:S449,"="&amp;S449,AH$3:AH449,"="&amp;AH449)</f>
        <v>1</v>
      </c>
      <c r="BS449" t="str">
        <f>IFERROR(VLOOKUP(BA449&amp;BT449&amp;X449,game_rosters!U:W,3,FALSE),"")</f>
        <v>P100206</v>
      </c>
      <c r="BT449" t="str">
        <f t="shared" si="710"/>
        <v>Triple J</v>
      </c>
    </row>
    <row r="450" spans="1:72" x14ac:dyDescent="0.2">
      <c r="A450">
        <f t="shared" si="685"/>
        <v>1</v>
      </c>
      <c r="E450" s="4"/>
      <c r="F450" s="45" t="s">
        <v>1043</v>
      </c>
      <c r="G450" s="4"/>
      <c r="H450" s="47" t="s">
        <v>1048</v>
      </c>
      <c r="I450" s="26">
        <v>21</v>
      </c>
      <c r="J450" s="26" t="s">
        <v>736</v>
      </c>
      <c r="K450" t="s">
        <v>13</v>
      </c>
      <c r="L450" t="s">
        <v>586</v>
      </c>
      <c r="N450" t="str">
        <f t="shared" si="729"/>
        <v/>
      </c>
      <c r="O450" t="s">
        <v>907</v>
      </c>
      <c r="Q450" t="str">
        <f t="shared" si="723"/>
        <v/>
      </c>
      <c r="S450">
        <f>IF(A450=1,MAX($S$2:$S449)+1,IF(OR($I450&lt;&gt;"",A450="x"),$S449,""))</f>
        <v>225</v>
      </c>
      <c r="T450" t="str">
        <f>IF(D450=1,MAX($T$2:$T449)+1,IF(S450=S449,$T449,IF(D450="x",T449,IF(D449="x","",""))))</f>
        <v/>
      </c>
      <c r="U450" t="str">
        <f>IF(B450=1,MAX($U$2:$U449)+1,IF(AND($T450&lt;&gt;"",$T450=$T449),$U449,IF(B450="x",U449,"")))</f>
        <v/>
      </c>
      <c r="V450" t="str">
        <f>IF(C450=1,MAX($V$2:$V449)+1,IF(AND($T450&lt;&gt;"",$T450=$T449),$U449,IF(C450="x",V449,"")))</f>
        <v/>
      </c>
      <c r="W450" t="str" cm="1">
        <f t="array" ref="W450">IFERROR(_xlfn._xlws.FILTER(game_rosters!AC:AC,(game_rosters!J:J=events!X450)*(K450&lt;&gt;"")),"")</f>
        <v>h</v>
      </c>
      <c r="X450" cm="1">
        <f t="array" ref="X450">IF($I450&lt;&gt;"",$I450,INDEX($I$1:$I450,ROW()-COUNTIFS($T$1:$T450,"="&amp;$T450,$S$1:$S450,"&lt;"&amp;$S450)))</f>
        <v>21</v>
      </c>
      <c r="Y450">
        <v>1</v>
      </c>
      <c r="Z450" s="6">
        <f t="shared" si="686"/>
        <v>1</v>
      </c>
      <c r="AA450">
        <f t="shared" si="687"/>
        <v>1225</v>
      </c>
      <c r="AB450" t="str">
        <f t="shared" si="688"/>
        <v/>
      </c>
      <c r="AC450">
        <f t="shared" si="689"/>
        <v>1225</v>
      </c>
      <c r="AD450" t="str">
        <f t="shared" si="690"/>
        <v>11</v>
      </c>
      <c r="AE450" t="str">
        <f t="shared" si="691"/>
        <v>33</v>
      </c>
      <c r="AF450" t="str">
        <f t="shared" si="692"/>
        <v>11</v>
      </c>
      <c r="AG450" t="str">
        <f t="shared" si="693"/>
        <v>32</v>
      </c>
      <c r="AH450" t="str">
        <f t="shared" si="736"/>
        <v>e</v>
      </c>
      <c r="AI450" t="str">
        <f t="shared" si="778"/>
        <v>d</v>
      </c>
      <c r="AJ450" t="str">
        <f t="shared" si="778"/>
        <v>d</v>
      </c>
      <c r="AK450" t="str">
        <f t="shared" si="738"/>
        <v>d</v>
      </c>
      <c r="AL450" t="str">
        <f t="shared" si="739"/>
        <v>o</v>
      </c>
      <c r="AM450" t="str">
        <f t="shared" si="694"/>
        <v>Home</v>
      </c>
      <c r="AN450" t="str">
        <f t="shared" si="740"/>
        <v>h</v>
      </c>
      <c r="AO450" t="str">
        <f t="shared" si="741"/>
        <v>d</v>
      </c>
      <c r="AP450" t="str">
        <f t="shared" si="742"/>
        <v>o</v>
      </c>
      <c r="AQ450" t="str">
        <f>IF(AM450&lt;&gt;"",AM450,IF($AC450=#REF!,#REF!,""))</f>
        <v>Home</v>
      </c>
      <c r="AR450" t="str">
        <f t="shared" ref="AR450:AR452" si="786">IF(AN450&lt;&gt;"",AN450,IF($AC450=AC449,AQ449,""))</f>
        <v>h</v>
      </c>
      <c r="AS450" t="str">
        <f t="shared" si="744"/>
        <v>Offensive</v>
      </c>
      <c r="AT450" t="str">
        <f t="shared" si="695"/>
        <v/>
      </c>
      <c r="AU450" t="str">
        <f t="shared" si="696"/>
        <v/>
      </c>
      <c r="AV450" t="str" cm="1">
        <f t="array" ref="AV450">IFERROR(IF(O450&lt;&gt;"",O450,IF(OR($S450="",$T450=""),"",IF(O450&lt;&gt;"",O450,IF($T450&lt;&gt;"",_xlfn._xlws.FILTER(O:O,($BT:$BT=$BT450)*($I:$I=$I450)*($T:$T=$T450)*($S:$S=_xlfn.MINIFS($S:$S,$T:$T,"="&amp;$T450)),"")))))&amp;"",IF(O450="","",""))&amp;""</f>
        <v>PuckRecoveryRetreivalPass</v>
      </c>
      <c r="AW450" t="str" cm="1">
        <f t="array" ref="AW450">IFERROR(IF(P450&lt;&gt;"",P450,IF(OR($S450="",$T450=""),"",IF($T450&lt;&gt;"",_xlfn._xlws.FILTER(P:P,($BT:$BT=$BT450)*($I:$I=$I450)*($T:$T=$T450)*($S:$S=_xlfn.MINIFS($S:$S,$T:$T,"="&amp;$T450)),""))))&amp;"",IF(P450="","",""))&amp;""</f>
        <v/>
      </c>
      <c r="AX450" t="str" cm="1">
        <f t="array" ref="AX450">IFERROR(IF(Q450&lt;&gt;"",Q450,IF(OR($S450="",$T450=""),"",IF($T450&lt;&gt;"",_xlfn._xlws.FILTER(Q:Q,($BT:$BT=$BT450)*($I:$I=$I450)*($T:$T=$T450)*($S:$S=_xlfn.MINIFS($S:$S,$T:$T,"="&amp;$T450)),""))))&amp;"",IF(Q450="","",""))&amp;""</f>
        <v/>
      </c>
      <c r="AY450" t="str" cm="1">
        <f t="array" ref="AY450">IFERROR(IF(R450&lt;&gt;"",R450,IF(OR($S450="",$T450=""),"",IF($T450&lt;&gt;"",_xlfn._xlws.FILTER(R:R,($BT:$BT=$BT450)*($I:$I=$I450)*($T:$T=$T450)*($S:$S=_xlfn.MINIFS($S:$S,$T:$T,"="&amp;$T450)),""))))&amp;"",IF(R450="","",""))&amp;""</f>
        <v/>
      </c>
      <c r="AZ450" s="6">
        <f t="shared" si="697"/>
        <v>39</v>
      </c>
      <c r="BA450">
        <f t="shared" ref="BA450:BC450" si="787">BA449</f>
        <v>18991</v>
      </c>
      <c r="BB450" t="str">
        <f t="shared" si="787"/>
        <v>Triple J</v>
      </c>
      <c r="BC450" t="str">
        <f t="shared" si="787"/>
        <v>Velodrome</v>
      </c>
      <c r="BD450" t="str">
        <f t="shared" si="699"/>
        <v>Possession</v>
      </c>
      <c r="BE450" t="str">
        <f t="shared" si="700"/>
        <v>PuckRetrieval</v>
      </c>
      <c r="BF450" t="str">
        <f t="shared" si="701"/>
        <v/>
      </c>
      <c r="BG450" t="str">
        <f t="shared" si="683"/>
        <v/>
      </c>
      <c r="BH450" cm="1">
        <f t="array" aca="1" ref="BH450" ca="1">IFERROR(_xlfn._xlws.FILTER(shifts!A:A,(shifts!B:B=events!Z450)*(shifts!AG:AG&gt;=events!BJ450)*(shifts!AH:AH&lt;=events!BK450)),BH449)</f>
        <v>14</v>
      </c>
      <c r="BI450" s="15">
        <f t="shared" si="702"/>
        <v>1</v>
      </c>
      <c r="BJ450">
        <f t="shared" si="703"/>
        <v>693</v>
      </c>
      <c r="BK450">
        <f t="shared" si="704"/>
        <v>692</v>
      </c>
      <c r="BL450" s="15">
        <f>SUMIFS(BI$2:BI450,K$2:K450,"=Intermission")+SUMIFS(BI$2:BI450,K$2:K450,"=Timeout")</f>
        <v>0</v>
      </c>
      <c r="BM450">
        <f t="shared" si="705"/>
        <v>0</v>
      </c>
      <c r="BN450" s="19">
        <f t="shared" si="706"/>
        <v>387</v>
      </c>
      <c r="BO450">
        <f t="shared" si="707"/>
        <v>382</v>
      </c>
      <c r="BP450" s="17">
        <f t="shared" si="708"/>
        <v>388</v>
      </c>
      <c r="BQ450" t="str">
        <f t="shared" si="709"/>
        <v>event_team_player_1</v>
      </c>
      <c r="BR450">
        <f>COUNTIFS(S$3:S450,"="&amp;S450,AH$3:AH450,"="&amp;AH450)</f>
        <v>1</v>
      </c>
      <c r="BS450" t="str">
        <f>IFERROR(VLOOKUP(BA450&amp;BT450&amp;X450,game_rosters!U:W,3,FALSE),"")</f>
        <v>P100019</v>
      </c>
      <c r="BT450" t="str">
        <f t="shared" si="710"/>
        <v>Triple J</v>
      </c>
    </row>
    <row r="451" spans="1:72" x14ac:dyDescent="0.2">
      <c r="A451">
        <f t="shared" si="685"/>
        <v>1</v>
      </c>
      <c r="D451" s="26">
        <v>1</v>
      </c>
      <c r="E451" s="4"/>
      <c r="F451" s="45"/>
      <c r="G451" s="4"/>
      <c r="H451" s="47"/>
      <c r="I451" s="26">
        <v>21</v>
      </c>
      <c r="J451" s="26" t="s">
        <v>736</v>
      </c>
      <c r="K451" t="s">
        <v>238</v>
      </c>
      <c r="L451" t="s">
        <v>184</v>
      </c>
      <c r="M451" t="s">
        <v>374</v>
      </c>
      <c r="N451" t="str">
        <f t="shared" si="729"/>
        <v>s</v>
      </c>
      <c r="Q451" t="str">
        <f t="shared" si="723"/>
        <v/>
      </c>
      <c r="R451" s="26">
        <v>1</v>
      </c>
      <c r="S451">
        <f>IF(A451=1,MAX($S$2:$S450)+1,IF(OR($I451&lt;&gt;"",A451="x"),$S450,""))</f>
        <v>226</v>
      </c>
      <c r="T451">
        <f>IF(D451=1,MAX($T$2:$T450)+1,IF(S451=S450,$T450,IF(D451="x",T450,IF(D450="x","",""))))</f>
        <v>29</v>
      </c>
      <c r="U451" t="str">
        <f>IF(B451=1,MAX($U$2:$U450)+1,IF(AND($T451&lt;&gt;"",$T451=$T450),$U450,IF(B451="x",U450,"")))</f>
        <v/>
      </c>
      <c r="V451" t="str">
        <f>IF(C451=1,MAX($V$2:$V450)+1,IF(AND($T451&lt;&gt;"",$T451=$T450),$U450,IF(C451="x",V450,"")))</f>
        <v/>
      </c>
      <c r="W451" t="str" cm="1">
        <f t="array" ref="W451">IFERROR(_xlfn._xlws.FILTER(game_rosters!AC:AC,(game_rosters!J:J=events!X451)*(K451&lt;&gt;"")),"")</f>
        <v>h</v>
      </c>
      <c r="X451" cm="1">
        <f t="array" ref="X451">IF($I451&lt;&gt;"",$I451,INDEX($I$1:$I451,ROW()-COUNTIFS($T$1:$T451,"="&amp;$T451,$S$1:$S451,"&lt;"&amp;$S451)))</f>
        <v>21</v>
      </c>
      <c r="Y451">
        <v>1</v>
      </c>
      <c r="Z451" s="6">
        <f t="shared" si="686"/>
        <v>1</v>
      </c>
      <c r="AA451">
        <f t="shared" si="687"/>
        <v>1226</v>
      </c>
      <c r="AB451">
        <f t="shared" si="688"/>
        <v>9029</v>
      </c>
      <c r="AC451">
        <f t="shared" si="689"/>
        <v>9029</v>
      </c>
      <c r="AD451" t="str">
        <f t="shared" si="690"/>
        <v>11</v>
      </c>
      <c r="AE451" t="str">
        <f t="shared" si="691"/>
        <v>32</v>
      </c>
      <c r="AF451" t="str">
        <f t="shared" si="692"/>
        <v/>
      </c>
      <c r="AG451" t="str">
        <f t="shared" si="693"/>
        <v/>
      </c>
      <c r="AH451" t="str">
        <f t="shared" si="736"/>
        <v>e</v>
      </c>
      <c r="AI451" t="str">
        <f t="shared" si="778"/>
        <v>d</v>
      </c>
      <c r="AJ451" t="str">
        <f t="shared" si="778"/>
        <v>d</v>
      </c>
      <c r="AK451" t="str">
        <f t="shared" si="738"/>
        <v>d</v>
      </c>
      <c r="AL451" t="str">
        <f t="shared" si="739"/>
        <v>o</v>
      </c>
      <c r="AM451" t="str">
        <f t="shared" si="694"/>
        <v>Home</v>
      </c>
      <c r="AN451" t="str">
        <f t="shared" si="740"/>
        <v>h</v>
      </c>
      <c r="AO451" t="str">
        <f t="shared" si="741"/>
        <v>d</v>
      </c>
      <c r="AP451" t="str">
        <f t="shared" si="742"/>
        <v>o</v>
      </c>
      <c r="AQ451" t="str">
        <f>IF(AM451&lt;&gt;"",AM451,IF($AC451=#REF!,#REF!,""))</f>
        <v>Home</v>
      </c>
      <c r="AR451" t="str">
        <f t="shared" si="786"/>
        <v>h</v>
      </c>
      <c r="AS451" t="str">
        <f t="shared" si="744"/>
        <v>Offensive</v>
      </c>
      <c r="AT451" t="str">
        <f t="shared" si="695"/>
        <v/>
      </c>
      <c r="AU451" t="str">
        <f t="shared" si="696"/>
        <v/>
      </c>
      <c r="AV451" t="str" cm="1">
        <f t="array" ref="AV451">IFERROR(IF(O451&lt;&gt;"",O451,IF(OR($S451="",$T451=""),"",IF(O451&lt;&gt;"",O451,IF($T451&lt;&gt;"",_xlfn._xlws.FILTER(O:O,($BT:$BT=$BT451)*($I:$I=$I451)*($T:$T=$T451)*($S:$S=_xlfn.MINIFS($S:$S,$T:$T,"="&amp;$T451)),"")))))&amp;"",IF(O451="","",""))&amp;""</f>
        <v/>
      </c>
      <c r="AW451" t="str" cm="1">
        <f t="array" ref="AW451">IFERROR(IF(P451&lt;&gt;"",P451,IF(OR($S451="",$T451=""),"",IF($T451&lt;&gt;"",_xlfn._xlws.FILTER(P:P,($BT:$BT=$BT451)*($I:$I=$I451)*($T:$T=$T451)*($S:$S=_xlfn.MINIFS($S:$S,$T:$T,"="&amp;$T451)),""))))&amp;"",IF(P451="","",""))&amp;""</f>
        <v/>
      </c>
      <c r="AX451" t="str" cm="1">
        <f t="array" ref="AX451">IFERROR(IF(Q451&lt;&gt;"",Q451,IF(OR($S451="",$T451=""),"",IF($T451&lt;&gt;"",_xlfn._xlws.FILTER(Q:Q,($BT:$BT=$BT451)*($I:$I=$I451)*($T:$T=$T451)*($S:$S=_xlfn.MINIFS($S:$S,$T:$T,"="&amp;$T451)),""))))&amp;"",IF(Q451="","",""))&amp;""</f>
        <v/>
      </c>
      <c r="AY451" t="str" cm="1">
        <f t="array" ref="AY451">IFERROR(IF(R451&lt;&gt;"",R451,IF(OR($S451="",$T451=""),"",IF($T451&lt;&gt;"",_xlfn._xlws.FILTER(R:R,($BT:$BT=$BT451)*($I:$I=$I451)*($T:$T=$T451)*($S:$S=_xlfn.MINIFS($S:$S,$T:$T,"="&amp;$T451)),""))))&amp;"",IF(R451="","",""))&amp;""</f>
        <v>1</v>
      </c>
      <c r="AZ451" s="6">
        <f t="shared" si="697"/>
        <v>40</v>
      </c>
      <c r="BA451">
        <f t="shared" ref="BA451:BC451" si="788">BA450</f>
        <v>18991</v>
      </c>
      <c r="BB451" t="str">
        <f t="shared" si="788"/>
        <v>Triple J</v>
      </c>
      <c r="BC451" t="str">
        <f t="shared" si="788"/>
        <v>Velodrome</v>
      </c>
      <c r="BD451" t="str">
        <f t="shared" si="699"/>
        <v>Zone_Entry_Exit</v>
      </c>
      <c r="BE451" t="str">
        <f t="shared" si="700"/>
        <v>Zone_Exit</v>
      </c>
      <c r="BF451" t="str">
        <f t="shared" si="701"/>
        <v>ZoneExit-Chip</v>
      </c>
      <c r="BG451" t="str">
        <f t="shared" ref="BG451:BG514" si="789">IF($N451&lt;&gt;"",$N451,IF($S451=$S450,BG450,""))</f>
        <v>s</v>
      </c>
      <c r="BH451" cm="1">
        <f t="array" aca="1" ref="BH451" ca="1">IFERROR(_xlfn._xlws.FILTER(shifts!A:A,(shifts!B:B=events!Z451)*(shifts!AG:AG&gt;=events!BJ451)*(shifts!AH:AH&lt;=events!BK451)),BH450)</f>
        <v>14</v>
      </c>
      <c r="BI451" s="15">
        <f t="shared" si="702"/>
        <v>0</v>
      </c>
      <c r="BJ451">
        <f t="shared" si="703"/>
        <v>692</v>
      </c>
      <c r="BK451">
        <f t="shared" si="704"/>
        <v>692</v>
      </c>
      <c r="BL451" s="15">
        <f>SUMIFS(BI$2:BI451,K$2:K451,"=Intermission")+SUMIFS(BI$2:BI451,K$2:K451,"=Timeout")</f>
        <v>0</v>
      </c>
      <c r="BM451">
        <f t="shared" si="705"/>
        <v>0</v>
      </c>
      <c r="BN451" s="19">
        <f t="shared" si="706"/>
        <v>388</v>
      </c>
      <c r="BO451">
        <f t="shared" si="707"/>
        <v>383</v>
      </c>
      <c r="BP451" s="17">
        <f t="shared" si="708"/>
        <v>388</v>
      </c>
      <c r="BQ451" t="str">
        <f t="shared" si="709"/>
        <v>event_team_player_1</v>
      </c>
      <c r="BR451">
        <f>COUNTIFS(S$3:S451,"="&amp;S451,AH$3:AH451,"="&amp;AH451)</f>
        <v>1</v>
      </c>
      <c r="BS451" t="str">
        <f>IFERROR(VLOOKUP(BA451&amp;BT451&amp;X451,game_rosters!U:W,3,FALSE),"")</f>
        <v>P100019</v>
      </c>
      <c r="BT451" t="str">
        <f t="shared" si="710"/>
        <v>Triple J</v>
      </c>
    </row>
    <row r="452" spans="1:72" x14ac:dyDescent="0.2">
      <c r="A452" t="str">
        <f t="shared" si="685"/>
        <v>x</v>
      </c>
      <c r="D452" s="26" t="s">
        <v>729</v>
      </c>
      <c r="E452" s="4"/>
      <c r="F452" s="45"/>
      <c r="G452" s="4"/>
      <c r="H452" s="47"/>
      <c r="I452" s="26">
        <v>93</v>
      </c>
      <c r="J452" s="26" t="str">
        <f t="shared" si="711"/>
        <v/>
      </c>
      <c r="N452" t="str">
        <f t="shared" si="729"/>
        <v/>
      </c>
      <c r="O452" t="s">
        <v>766</v>
      </c>
      <c r="Q452" t="str">
        <f t="shared" si="723"/>
        <v>u</v>
      </c>
      <c r="R452" s="26">
        <v>1</v>
      </c>
      <c r="S452">
        <f>IF(A452=1,MAX($S$2:$S451)+1,IF(OR($I452&lt;&gt;"",A452="x"),$S451,""))</f>
        <v>226</v>
      </c>
      <c r="T452">
        <f>IF(D452=1,MAX($T$2:$T451)+1,IF(S452=S451,$T451,IF(D452="x",T451,IF(D451="x","",""))))</f>
        <v>29</v>
      </c>
      <c r="U452" t="str">
        <f>IF(B452=1,MAX($U$2:$U451)+1,IF(AND($T452&lt;&gt;"",$T452=$T451),$U451,IF(B452="x",U451,"")))</f>
        <v/>
      </c>
      <c r="V452" t="str">
        <f>IF(C452=1,MAX($V$2:$V451)+1,IF(AND($T452&lt;&gt;"",$T452=$T451),$U451,IF(C452="x",V451,"")))</f>
        <v/>
      </c>
      <c r="W452" t="str" cm="1">
        <f t="array" ref="W452">IFERROR(_xlfn._xlws.FILTER(game_rosters!AC:AC,(game_rosters!J:J=events!X452)*(K452&lt;&gt;"")),"")</f>
        <v/>
      </c>
      <c r="X452" cm="1">
        <f t="array" ref="X452">IF($I452&lt;&gt;"",$I452,INDEX($I$1:$I452,ROW()-COUNTIFS($T$1:$T452,"="&amp;$T452,$S$1:$S452,"&lt;"&amp;$S452)))</f>
        <v>93</v>
      </c>
      <c r="Y452" t="str" cm="1">
        <f t="array" ref="Y452">IFERROR(IF(_xlfn._xlws.FILTER(game_rosters!$J:$J,(game_rosters!$G:$G=events!$AM452)*(game_rosters!$J:$J=events!$X452))&gt;0,1,""),"")</f>
        <v/>
      </c>
      <c r="Z452" s="6">
        <f t="shared" si="686"/>
        <v>1</v>
      </c>
      <c r="AA452">
        <f t="shared" si="687"/>
        <v>1226</v>
      </c>
      <c r="AB452">
        <f t="shared" si="688"/>
        <v>9029</v>
      </c>
      <c r="AC452">
        <f t="shared" si="689"/>
        <v>9029</v>
      </c>
      <c r="AD452" t="str">
        <f t="shared" si="690"/>
        <v>11</v>
      </c>
      <c r="AE452" t="str">
        <f t="shared" si="691"/>
        <v>32</v>
      </c>
      <c r="AF452" t="str">
        <f t="shared" si="692"/>
        <v/>
      </c>
      <c r="AG452" t="str">
        <f t="shared" si="693"/>
        <v/>
      </c>
      <c r="AH452" t="str">
        <f t="shared" si="736"/>
        <v>o</v>
      </c>
      <c r="AI452" t="str">
        <f t="shared" si="778"/>
        <v>d</v>
      </c>
      <c r="AJ452" t="str">
        <f t="shared" si="778"/>
        <v>d</v>
      </c>
      <c r="AK452" t="str">
        <f t="shared" si="738"/>
        <v/>
      </c>
      <c r="AL452" t="str">
        <f t="shared" si="739"/>
        <v/>
      </c>
      <c r="AM452" t="str">
        <f t="shared" si="694"/>
        <v>Home</v>
      </c>
      <c r="AN452" t="str">
        <f t="shared" si="740"/>
        <v>h</v>
      </c>
      <c r="AO452" t="str">
        <f t="shared" si="741"/>
        <v>d</v>
      </c>
      <c r="AP452" t="str">
        <f t="shared" si="742"/>
        <v>o</v>
      </c>
      <c r="AQ452" t="str">
        <f>IF(AM452&lt;&gt;"",AM452,IF($AC452=#REF!,#REF!,""))</f>
        <v>Home</v>
      </c>
      <c r="AR452" t="str">
        <f t="shared" si="786"/>
        <v>h</v>
      </c>
      <c r="AS452" t="str">
        <f t="shared" si="744"/>
        <v>Defensive</v>
      </c>
      <c r="AT452" t="str">
        <f t="shared" si="695"/>
        <v/>
      </c>
      <c r="AU452" t="str">
        <f t="shared" si="696"/>
        <v/>
      </c>
      <c r="AV452" t="str" cm="1">
        <f t="array" ref="AV452">IFERROR(IF(O452&lt;&gt;"",O452,IF(OR($S452="",$T452=""),"",IF(O452&lt;&gt;"",O452,IF($T452&lt;&gt;"",_xlfn._xlws.FILTER(O:O,($BT:$BT=$BT452)*($I:$I=$I452)*($T:$T=$T452)*($S:$S=_xlfn.MINIFS($S:$S,$T:$T,"="&amp;$T452)),"")))))&amp;"",IF(O452="","",""))&amp;""</f>
        <v>AttemptedKeepin</v>
      </c>
      <c r="AW452" t="str" cm="1">
        <f t="array" ref="AW452">IFERROR(IF(P452&lt;&gt;"",P452,IF(OR($S452="",$T452=""),"",IF($T452&lt;&gt;"",_xlfn._xlws.FILTER(P:P,($BT:$BT=$BT452)*($I:$I=$I452)*($T:$T=$T452)*($S:$S=_xlfn.MINIFS($S:$S,$T:$T,"="&amp;$T452)),""))))&amp;"",IF(P452="","",""))&amp;""</f>
        <v/>
      </c>
      <c r="AX452" t="str" cm="1">
        <f t="array" ref="AX452">IFERROR(IF(Q452&lt;&gt;"",Q452,IF(OR($S452="",$T452=""),"",IF($T452&lt;&gt;"",_xlfn._xlws.FILTER(Q:Q,($BT:$BT=$BT452)*($I:$I=$I452)*($T:$T=$T452)*($S:$S=_xlfn.MINIFS($S:$S,$T:$T,"="&amp;$T452)),""))))&amp;"",IF(Q452="","",""))&amp;""</f>
        <v>u</v>
      </c>
      <c r="AY452" t="str" cm="1">
        <f t="array" ref="AY452">IFERROR(IF(R452&lt;&gt;"",R452,IF(OR($S452="",$T452=""),"",IF($T452&lt;&gt;"",_xlfn._xlws.FILTER(R:R,($BT:$BT=$BT452)*($I:$I=$I452)*($T:$T=$T452)*($S:$S=_xlfn.MINIFS($S:$S,$T:$T,"="&amp;$T452)),""))))&amp;"",IF(R452="","",""))&amp;""</f>
        <v>1</v>
      </c>
      <c r="AZ452" s="6">
        <f t="shared" si="697"/>
        <v>40</v>
      </c>
      <c r="BA452">
        <f t="shared" ref="BA452:BC452" si="790">BA451</f>
        <v>18991</v>
      </c>
      <c r="BB452" t="str">
        <f t="shared" si="790"/>
        <v>Triple J</v>
      </c>
      <c r="BC452" t="str">
        <f t="shared" si="790"/>
        <v>Velodrome</v>
      </c>
      <c r="BD452" t="str">
        <f t="shared" si="699"/>
        <v>Zone_Entry_Exit</v>
      </c>
      <c r="BE452" t="str">
        <f t="shared" si="700"/>
        <v>Zone_Exit</v>
      </c>
      <c r="BF452" t="str">
        <f t="shared" si="701"/>
        <v>ZoneExit-Chip</v>
      </c>
      <c r="BG452" t="str">
        <f t="shared" si="789"/>
        <v>s</v>
      </c>
      <c r="BH452" cm="1">
        <f t="array" aca="1" ref="BH452" ca="1">IFERROR(_xlfn._xlws.FILTER(shifts!A:A,(shifts!B:B=events!Z452)*(shifts!AG:AG&gt;=events!BJ452)*(shifts!AH:AH&lt;=events!BK452)),BH451)</f>
        <v>14</v>
      </c>
      <c r="BI452" s="15">
        <f t="shared" si="702"/>
        <v>0</v>
      </c>
      <c r="BJ452">
        <f t="shared" si="703"/>
        <v>692</v>
      </c>
      <c r="BK452">
        <f t="shared" si="704"/>
        <v>692</v>
      </c>
      <c r="BL452" s="15">
        <f>SUMIFS(BI$2:BI452,K$2:K452,"=Intermission")+SUMIFS(BI$2:BI452,K$2:K452,"=Timeout")</f>
        <v>0</v>
      </c>
      <c r="BM452">
        <f t="shared" si="705"/>
        <v>0</v>
      </c>
      <c r="BN452" s="19">
        <f t="shared" si="706"/>
        <v>388</v>
      </c>
      <c r="BO452">
        <f t="shared" si="707"/>
        <v>383</v>
      </c>
      <c r="BP452" s="17">
        <f t="shared" si="708"/>
        <v>388</v>
      </c>
      <c r="BQ452" t="str">
        <f t="shared" si="709"/>
        <v>opp_team_player_1</v>
      </c>
      <c r="BR452">
        <f>COUNTIFS(S$3:S452,"="&amp;S452,AH$3:AH452,"="&amp;AH452)</f>
        <v>1</v>
      </c>
      <c r="BS452" t="str">
        <f>IFERROR(VLOOKUP(BA452&amp;BT452&amp;X452,game_rosters!U:W,3,FALSE),"")</f>
        <v>P100093</v>
      </c>
      <c r="BT452" t="str">
        <f t="shared" si="710"/>
        <v>Velodrome</v>
      </c>
    </row>
    <row r="453" spans="1:72" x14ac:dyDescent="0.2">
      <c r="A453">
        <f t="shared" ref="A453:A516" si="791">IF(K453&lt;&gt;"",1,IF(D453="x","x",""))</f>
        <v>1</v>
      </c>
      <c r="D453" s="26" t="s">
        <v>729</v>
      </c>
      <c r="E453" s="4"/>
      <c r="F453" s="45"/>
      <c r="G453" s="4"/>
      <c r="H453" s="47"/>
      <c r="I453" s="26">
        <v>93</v>
      </c>
      <c r="J453" s="26" t="s">
        <v>368</v>
      </c>
      <c r="K453" t="s">
        <v>238</v>
      </c>
      <c r="L453" t="s">
        <v>658</v>
      </c>
      <c r="M453" t="s">
        <v>91</v>
      </c>
      <c r="N453" t="str">
        <f t="shared" si="729"/>
        <v>u</v>
      </c>
      <c r="Q453" t="str">
        <f t="shared" si="723"/>
        <v/>
      </c>
      <c r="R453" s="26">
        <v>1</v>
      </c>
      <c r="S453">
        <f>IF(A453=1,MAX($S$2:$S452)+1,IF(OR($I453&lt;&gt;"",A453="x"),$S452,""))</f>
        <v>227</v>
      </c>
      <c r="T453">
        <f>IF(D453=1,MAX($T$2:$T452)+1,IF(S453=S452,$T452,IF(D453="x",T452,IF(D452="x","",""))))</f>
        <v>29</v>
      </c>
      <c r="U453" t="str">
        <f>IF(B453=1,MAX($U$2:$U452)+1,IF(AND($T453&lt;&gt;"",$T453=$T452),$U452,IF(B453="x",U452,"")))</f>
        <v/>
      </c>
      <c r="V453" t="str">
        <f>IF(C453=1,MAX($V$2:$V452)+1,IF(AND($T453&lt;&gt;"",$T453=$T452),$U452,IF(C453="x",V452,"")))</f>
        <v/>
      </c>
      <c r="W453" t="str" cm="1">
        <f t="array" ref="W453">IFERROR(_xlfn._xlws.FILTER(game_rosters!AC:AC,(game_rosters!J:J=events!X453)*(K453&lt;&gt;"")),"")</f>
        <v>a</v>
      </c>
      <c r="X453" cm="1">
        <f t="array" ref="X453">IF($I453&lt;&gt;"",$I453,INDEX($I$1:$I453,ROW()-COUNTIFS($T$1:$T453,"="&amp;$T453,$S$1:$S453,"&lt;"&amp;$S453)))</f>
        <v>93</v>
      </c>
      <c r="Y453" cm="1">
        <f t="array" ref="Y453">IFERROR(IF(_xlfn._xlws.FILTER(game_rosters!$J:$J,(game_rosters!$G:$G=events!$AM453)*(game_rosters!$J:$J=events!$X453))&gt;0,1,""),"")</f>
        <v>1</v>
      </c>
      <c r="Z453" s="6">
        <f t="shared" ref="Z453:Z516" si="792">IF(K453="Intermission",Z452+1,Z452)</f>
        <v>1</v>
      </c>
      <c r="AA453">
        <f t="shared" ref="AA453:AA516" si="793">S453+1000</f>
        <v>1227</v>
      </c>
      <c r="AB453">
        <f t="shared" ref="AB453:AB516" si="794">IF(T453&lt;&gt;"",9000+T453,"")</f>
        <v>9029</v>
      </c>
      <c r="AC453">
        <f t="shared" ref="AC453:AC516" si="795">IF(AB453&lt;&gt;"",AB453,S453+1000)</f>
        <v>9029</v>
      </c>
      <c r="AD453" t="str">
        <f t="shared" ref="AD453:AD516" si="796">IF(E453&lt;&gt;"",E453,IF($AC453=$AC452,AD452,IF(AF452&lt;&gt;"",AF452,IF(AD452&lt;&gt;"",AD452,""))))</f>
        <v>11</v>
      </c>
      <c r="AE453" t="str">
        <f t="shared" ref="AE453:AE516" si="797">IF(F453&lt;&gt;"",F453,IF($AC453=$AC452,AE452,IF(AG452&lt;&gt;"",AG452,IF(AE452&lt;&gt;"",AE452,""))))</f>
        <v>32</v>
      </c>
      <c r="AF453" t="str">
        <f t="shared" ref="AF453:AF516" si="798">IF(G453&lt;&gt;"",G453,IF($AC453=$AC452,AF452,IF(H453="","",AD453)))</f>
        <v/>
      </c>
      <c r="AG453" t="str">
        <f t="shared" ref="AG453:AG516" si="799">IF(H453&lt;&gt;"",H453,IF($S453=$S452,AG452,""))</f>
        <v/>
      </c>
      <c r="AH453" t="str">
        <f t="shared" si="736"/>
        <v>e</v>
      </c>
      <c r="AI453" t="str">
        <f t="shared" si="778"/>
        <v>o</v>
      </c>
      <c r="AJ453" t="str">
        <f t="shared" si="778"/>
        <v>o</v>
      </c>
      <c r="AK453" t="str">
        <f t="shared" si="738"/>
        <v>d</v>
      </c>
      <c r="AL453" t="str">
        <f t="shared" si="739"/>
        <v>o</v>
      </c>
      <c r="AM453" t="str">
        <f t="shared" ref="AM453:AM516" si="800">IF(AN453="H","Home",IF(AN453="A","Away",""))</f>
        <v>Away</v>
      </c>
      <c r="AN453" t="str">
        <f t="shared" si="740"/>
        <v>a</v>
      </c>
      <c r="AO453" t="str">
        <f t="shared" si="741"/>
        <v>d</v>
      </c>
      <c r="AP453" t="str">
        <f t="shared" si="742"/>
        <v>o</v>
      </c>
      <c r="AQ453" t="str">
        <f>IF(AM453&lt;&gt;"",AM453,IF($AC453=#REF!,#REF!,""))</f>
        <v>Away</v>
      </c>
      <c r="AR453" t="str">
        <f t="shared" si="743"/>
        <v>a</v>
      </c>
      <c r="AS453" t="str">
        <f t="shared" si="744"/>
        <v>Offensive</v>
      </c>
      <c r="AT453" t="str">
        <f t="shared" ref="AT453:AT516" si="801">IF(U453&lt;&gt;"",U453+5000,"")</f>
        <v/>
      </c>
      <c r="AU453" t="str">
        <f t="shared" ref="AU453:AU516" si="802">IF(V453&lt;&gt;"",V453+6000,"")</f>
        <v/>
      </c>
      <c r="AV453" t="str" cm="1">
        <f t="array" ref="AV453">IFERROR(IF(O453&lt;&gt;"",O453,IF(OR($S453="",$T453=""),"",IF(O453&lt;&gt;"",O453,IF($T453&lt;&gt;"",_xlfn._xlws.FILTER(O:O,($BT:$BT=$BT453)*($I:$I=$I453)*($T:$T=$T453)*($S:$S=_xlfn.MINIFS($S:$S,$T:$T,"="&amp;$T453)),"")))))&amp;"",IF(O453="","",""))&amp;""</f>
        <v>AttemptedKeepin</v>
      </c>
      <c r="AW453" t="str" cm="1">
        <f t="array" ref="AW453">IFERROR(IF(P453&lt;&gt;"",P453,IF(OR($S453="",$T453=""),"",IF($T453&lt;&gt;"",_xlfn._xlws.FILTER(P:P,($BT:$BT=$BT453)*($I:$I=$I453)*($T:$T=$T453)*($S:$S=_xlfn.MINIFS($S:$S,$T:$T,"="&amp;$T453)),""))))&amp;"",IF(P453="","",""))&amp;""</f>
        <v/>
      </c>
      <c r="AX453" t="str" cm="1">
        <f t="array" ref="AX453">IFERROR(IF(Q453&lt;&gt;"",Q453,IF(OR($S453="",$T453=""),"",IF($T453&lt;&gt;"",_xlfn._xlws.FILTER(Q:Q,($BT:$BT=$BT453)*($I:$I=$I453)*($T:$T=$T453)*($S:$S=_xlfn.MINIFS($S:$S,$T:$T,"="&amp;$T453)),""))))&amp;"",IF(Q453="","",""))&amp;""</f>
        <v>u</v>
      </c>
      <c r="AY453" t="str" cm="1">
        <f t="array" ref="AY453">IFERROR(IF(R453&lt;&gt;"",R453,IF(OR($S453="",$T453=""),"",IF($T453&lt;&gt;"",_xlfn._xlws.FILTER(R:R,($BT:$BT=$BT453)*($I:$I=$I453)*($T:$T=$T453)*($S:$S=_xlfn.MINIFS($S:$S,$T:$T,"="&amp;$T453)),""))))&amp;"",IF(R453="","",""))&amp;""</f>
        <v>1</v>
      </c>
      <c r="AZ453" s="6">
        <f t="shared" ref="AZ453:AZ516" si="803">IF(OR(L453="Zone_Entry",L453="Zone_Exit"),AZ452+1,AZ452)</f>
        <v>40</v>
      </c>
      <c r="BA453">
        <f t="shared" ref="BA453:BC453" si="804">BA452</f>
        <v>18991</v>
      </c>
      <c r="BB453" t="str">
        <f t="shared" si="804"/>
        <v>Triple J</v>
      </c>
      <c r="BC453" t="str">
        <f t="shared" si="804"/>
        <v>Velodrome</v>
      </c>
      <c r="BD453" t="str">
        <f t="shared" ref="BD453:BD516" si="805">IF($K453&lt;&gt;"",$K453,IF($S453=$S452,BD452,""))</f>
        <v>Zone_Entry_Exit</v>
      </c>
      <c r="BE453" t="str">
        <f t="shared" ref="BE453:BE516" si="806">IF(L453&lt;&gt;"",L453,IF($S453=$S452,BE452,""))</f>
        <v>Zone_KeepinFailed</v>
      </c>
      <c r="BF453" t="str">
        <f t="shared" ref="BF453:BF516" si="807">IF(M453&lt;&gt;"",M453,IF($S453=$S452,BF452,""))</f>
        <v>Zone-KeepIn</v>
      </c>
      <c r="BG453" t="str">
        <f t="shared" si="789"/>
        <v>u</v>
      </c>
      <c r="BH453" cm="1">
        <f t="array" aca="1" ref="BH453" ca="1">IFERROR(_xlfn._xlws.FILTER(shifts!A:A,(shifts!B:B=events!Z453)*(shifts!AG:AG&gt;=events!BJ453)*(shifts!AH:AH&lt;=events!BK453)),BH452)</f>
        <v>14</v>
      </c>
      <c r="BI453" s="15">
        <f t="shared" ref="BI453:BI516" si="808">IF(AND(AF453="",AG453=""),0,((AD453*60)+AE453)-((AF453*60)+AG453))</f>
        <v>0</v>
      </c>
      <c r="BJ453">
        <f t="shared" ref="BJ453:BJ516" si="809">(AD453*60)+AE453</f>
        <v>692</v>
      </c>
      <c r="BK453">
        <f t="shared" ref="BK453:BK516" si="810">IF(AND(AF453="",AG453=""),BJ453,((AF453*60)+AG453))</f>
        <v>692</v>
      </c>
      <c r="BL453" s="15">
        <f>SUMIFS(BI$2:BI453,K$2:K453,"=Intermission")+SUMIFS(BI$2:BI453,K$2:K453,"=Timeout")</f>
        <v>0</v>
      </c>
      <c r="BM453">
        <f t="shared" ref="BM453:BM516" si="811">IF(Z453=1,0,IF(Z453=2,1080+BL453,IF(Z453=3,(1080*2)+BL453,0)))</f>
        <v>0</v>
      </c>
      <c r="BN453" s="19">
        <f t="shared" ref="BN453:BN516" si="812">IF(K453="Intermission",BN452,((1080)-((AD453*60)+AE453))+BM453)</f>
        <v>388</v>
      </c>
      <c r="BO453">
        <f t="shared" ref="BO453:BO516" si="813">IF(BN453&lt;5,0,BN453-5)</f>
        <v>383</v>
      </c>
      <c r="BP453" s="17">
        <f t="shared" ref="BP453:BP516" si="814">BO453+BI453+5</f>
        <v>388</v>
      </c>
      <c r="BQ453" t="str">
        <f t="shared" ref="BQ453:BQ516" si="815">IF(AH453="e","event_team_player_"&amp;BR453,IF(AH453="o","opp_team_player_"&amp;BR453,""))</f>
        <v>event_team_player_1</v>
      </c>
      <c r="BR453">
        <f>COUNTIFS(S$3:S453,"="&amp;S453,AH$3:AH453,"="&amp;AH453)</f>
        <v>1</v>
      </c>
      <c r="BS453" t="str">
        <f>IFERROR(VLOOKUP(BA453&amp;BT453&amp;X453,game_rosters!U:W,3,FALSE),"")</f>
        <v>P100093</v>
      </c>
      <c r="BT453" t="str">
        <f t="shared" ref="BT453:BT516" si="816">IF(AQ453="","",IF(AND(AQ453="Away",AH453="e"),BC453,IF(AND(AQ453="Home",AH453="e"),BB453,IF(AND(AQ453="Away",AH453="o"),BB453,IF(AND(AQ453="Home",AH453="o"),BC453)))))</f>
        <v>Velodrome</v>
      </c>
    </row>
    <row r="454" spans="1:72" x14ac:dyDescent="0.2">
      <c r="A454" t="str">
        <f t="shared" si="791"/>
        <v>x</v>
      </c>
      <c r="D454" s="26" t="s">
        <v>729</v>
      </c>
      <c r="E454" s="4"/>
      <c r="F454" s="45"/>
      <c r="G454" s="4"/>
      <c r="H454" s="47"/>
      <c r="I454" s="26">
        <v>21</v>
      </c>
      <c r="J454" s="26" t="str">
        <f t="shared" ref="J454:J517" si="817">IF(OR(K454="Goal",K454="Shot",L454="Zone_Entry",M454="Stoppage-Goal",M453="Stoppage-Goal"),"o",IF(OR(K454="Save",K454="Rebound",L454="Zone_Exit",M454="Stoppage-GoalieStoppage",M453="Stoppage-GoalieStoppage"),"d",IF(OR(L454="Faceoff_AfterGoal",L454="Faceoff_PeriodStart",698="Faceoff_GameStart",M453="Stoppage-Goal"),"n","")))</f>
        <v/>
      </c>
      <c r="N454" t="str">
        <f t="shared" si="729"/>
        <v/>
      </c>
      <c r="Q454" t="str">
        <f t="shared" si="723"/>
        <v/>
      </c>
      <c r="R454" s="26">
        <v>1</v>
      </c>
      <c r="S454">
        <f>IF(A454=1,MAX($S$2:$S453)+1,IF(OR($I454&lt;&gt;"",A454="x"),$S453,""))</f>
        <v>227</v>
      </c>
      <c r="T454">
        <f>IF(D454=1,MAX($T$2:$T453)+1,IF(S454=S453,$T453,IF(D454="x",T453,IF(D453="x","",""))))</f>
        <v>29</v>
      </c>
      <c r="U454" t="str">
        <f>IF(B454=1,MAX($U$2:$U453)+1,IF(AND($T454&lt;&gt;"",$T454=$T453),$U453,IF(B454="x",U453,"")))</f>
        <v/>
      </c>
      <c r="V454" t="str">
        <f>IF(C454=1,MAX($V$2:$V453)+1,IF(AND($T454&lt;&gt;"",$T454=$T453),$U453,IF(C454="x",V453,"")))</f>
        <v/>
      </c>
      <c r="W454" t="str" cm="1">
        <f t="array" ref="W454">IFERROR(_xlfn._xlws.FILTER(game_rosters!AC:AC,(game_rosters!J:J=events!X454)*(K454&lt;&gt;"")),"")</f>
        <v/>
      </c>
      <c r="X454" cm="1">
        <f t="array" ref="X454">IF($I454&lt;&gt;"",$I454,INDEX($I$1:$I454,ROW()-COUNTIFS($T$1:$T454,"="&amp;$T454,$S$1:$S454,"&lt;"&amp;$S454)))</f>
        <v>21</v>
      </c>
      <c r="Y454" t="str" cm="1">
        <f t="array" ref="Y454">IFERROR(IF(_xlfn._xlws.FILTER(game_rosters!$J:$J,(game_rosters!$G:$G=events!$AM454)*(game_rosters!$J:$J=events!$X454))&gt;0,1,""),"")</f>
        <v/>
      </c>
      <c r="Z454" s="6">
        <f t="shared" si="792"/>
        <v>1</v>
      </c>
      <c r="AA454">
        <f t="shared" si="793"/>
        <v>1227</v>
      </c>
      <c r="AB454">
        <f t="shared" si="794"/>
        <v>9029</v>
      </c>
      <c r="AC454">
        <f t="shared" si="795"/>
        <v>9029</v>
      </c>
      <c r="AD454" t="str">
        <f t="shared" si="796"/>
        <v>11</v>
      </c>
      <c r="AE454" t="str">
        <f t="shared" si="797"/>
        <v>32</v>
      </c>
      <c r="AF454" t="str">
        <f t="shared" si="798"/>
        <v/>
      </c>
      <c r="AG454" t="str">
        <f t="shared" si="799"/>
        <v/>
      </c>
      <c r="AH454" t="str">
        <f t="shared" si="736"/>
        <v>o</v>
      </c>
      <c r="AI454" t="str">
        <f t="shared" si="778"/>
        <v>o</v>
      </c>
      <c r="AJ454" t="str">
        <f t="shared" si="778"/>
        <v>o</v>
      </c>
      <c r="AK454" t="str">
        <f t="shared" si="738"/>
        <v/>
      </c>
      <c r="AL454" t="str">
        <f t="shared" si="739"/>
        <v/>
      </c>
      <c r="AM454" t="str">
        <f t="shared" si="800"/>
        <v>Away</v>
      </c>
      <c r="AN454" t="str">
        <f t="shared" si="740"/>
        <v>a</v>
      </c>
      <c r="AO454" t="str">
        <f t="shared" si="741"/>
        <v>d</v>
      </c>
      <c r="AP454" t="str">
        <f t="shared" si="742"/>
        <v>o</v>
      </c>
      <c r="AQ454" t="str">
        <f>IF(AM454&lt;&gt;"",AM454,IF($AC454=#REF!,#REF!,""))</f>
        <v>Away</v>
      </c>
      <c r="AR454" t="str">
        <f t="shared" si="743"/>
        <v>a</v>
      </c>
      <c r="AS454" t="str">
        <f t="shared" si="744"/>
        <v>Defensive</v>
      </c>
      <c r="AT454" t="str">
        <f t="shared" si="801"/>
        <v/>
      </c>
      <c r="AU454" t="str">
        <f t="shared" si="802"/>
        <v/>
      </c>
      <c r="AV454" t="str" cm="1">
        <f t="array" ref="AV454">IFERROR(IF(O454&lt;&gt;"",O454,IF(OR($S454="",$T454=""),"",IF(O454&lt;&gt;"",O454,IF($T454&lt;&gt;"",_xlfn._xlws.FILTER(O:O,($BT:$BT=$BT454)*($I:$I=$I454)*($T:$T=$T454)*($S:$S=_xlfn.MINIFS($S:$S,$T:$T,"="&amp;$T454)),"")))))&amp;"",IF(O454="","",""))&amp;""</f>
        <v/>
      </c>
      <c r="AW454" t="str" cm="1">
        <f t="array" ref="AW454">IFERROR(IF(P454&lt;&gt;"",P454,IF(OR($S454="",$T454=""),"",IF($T454&lt;&gt;"",_xlfn._xlws.FILTER(P:P,($BT:$BT=$BT454)*($I:$I=$I454)*($T:$T=$T454)*($S:$S=_xlfn.MINIFS($S:$S,$T:$T,"="&amp;$T454)),""))))&amp;"",IF(P454="","",""))&amp;""</f>
        <v/>
      </c>
      <c r="AX454" t="str" cm="1">
        <f t="array" ref="AX454">IFERROR(IF(Q454&lt;&gt;"",Q454,IF(OR($S454="",$T454=""),"",IF($T454&lt;&gt;"",_xlfn._xlws.FILTER(Q:Q,($BT:$BT=$BT454)*($I:$I=$I454)*($T:$T=$T454)*($S:$S=_xlfn.MINIFS($S:$S,$T:$T,"="&amp;$T454)),""))))&amp;"",IF(Q454="","",""))&amp;""</f>
        <v/>
      </c>
      <c r="AY454" t="str" cm="1">
        <f t="array" ref="AY454">IFERROR(IF(R454&lt;&gt;"",R454,IF(OR($S454="",$T454=""),"",IF($T454&lt;&gt;"",_xlfn._xlws.FILTER(R:R,($BT:$BT=$BT454)*($I:$I=$I454)*($T:$T=$T454)*($S:$S=_xlfn.MINIFS($S:$S,$T:$T,"="&amp;$T454)),""))))&amp;"",IF(R454="","",""))&amp;""</f>
        <v>1</v>
      </c>
      <c r="AZ454" s="6">
        <f t="shared" si="803"/>
        <v>40</v>
      </c>
      <c r="BA454">
        <f t="shared" ref="BA454:BC454" si="818">BA453</f>
        <v>18991</v>
      </c>
      <c r="BB454" t="str">
        <f t="shared" si="818"/>
        <v>Triple J</v>
      </c>
      <c r="BC454" t="str">
        <f t="shared" si="818"/>
        <v>Velodrome</v>
      </c>
      <c r="BD454" t="str">
        <f t="shared" si="805"/>
        <v>Zone_Entry_Exit</v>
      </c>
      <c r="BE454" t="str">
        <f t="shared" si="806"/>
        <v>Zone_KeepinFailed</v>
      </c>
      <c r="BF454" t="str">
        <f t="shared" si="807"/>
        <v>Zone-KeepIn</v>
      </c>
      <c r="BG454" t="str">
        <f t="shared" si="789"/>
        <v>u</v>
      </c>
      <c r="BH454" cm="1">
        <f t="array" aca="1" ref="BH454" ca="1">IFERROR(_xlfn._xlws.FILTER(shifts!A:A,(shifts!B:B=events!Z454)*(shifts!AG:AG&gt;=events!BJ454)*(shifts!AH:AH&lt;=events!BK454)),BH453)</f>
        <v>14</v>
      </c>
      <c r="BI454" s="15">
        <f t="shared" si="808"/>
        <v>0</v>
      </c>
      <c r="BJ454">
        <f t="shared" si="809"/>
        <v>692</v>
      </c>
      <c r="BK454">
        <f t="shared" si="810"/>
        <v>692</v>
      </c>
      <c r="BL454" s="15">
        <f>SUMIFS(BI$2:BI454,K$2:K454,"=Intermission")+SUMIFS(BI$2:BI454,K$2:K454,"=Timeout")</f>
        <v>0</v>
      </c>
      <c r="BM454">
        <f t="shared" si="811"/>
        <v>0</v>
      </c>
      <c r="BN454" s="19">
        <f t="shared" si="812"/>
        <v>388</v>
      </c>
      <c r="BO454">
        <f t="shared" si="813"/>
        <v>383</v>
      </c>
      <c r="BP454" s="17">
        <f t="shared" si="814"/>
        <v>388</v>
      </c>
      <c r="BQ454" t="str">
        <f t="shared" si="815"/>
        <v>opp_team_player_1</v>
      </c>
      <c r="BR454">
        <f>COUNTIFS(S$3:S454,"="&amp;S454,AH$3:AH454,"="&amp;AH454)</f>
        <v>1</v>
      </c>
      <c r="BS454" t="str">
        <f>IFERROR(VLOOKUP(BA454&amp;BT454&amp;X454,game_rosters!U:W,3,FALSE),"")</f>
        <v>P100019</v>
      </c>
      <c r="BT454" t="str">
        <f t="shared" si="816"/>
        <v>Triple J</v>
      </c>
    </row>
    <row r="455" spans="1:72" x14ac:dyDescent="0.2">
      <c r="A455">
        <f t="shared" si="791"/>
        <v>1</v>
      </c>
      <c r="D455" s="26" t="s">
        <v>729</v>
      </c>
      <c r="E455" s="4"/>
      <c r="F455" s="45"/>
      <c r="G455" s="4"/>
      <c r="H455" s="47"/>
      <c r="I455" s="26">
        <v>21</v>
      </c>
      <c r="J455" s="26" t="s">
        <v>736</v>
      </c>
      <c r="K455" t="s">
        <v>238</v>
      </c>
      <c r="L455" t="s">
        <v>174</v>
      </c>
      <c r="M455" t="s">
        <v>375</v>
      </c>
      <c r="N455" t="str">
        <f t="shared" si="729"/>
        <v>u</v>
      </c>
      <c r="Q455" t="str">
        <f t="shared" si="723"/>
        <v/>
      </c>
      <c r="R455" s="26">
        <v>1</v>
      </c>
      <c r="S455">
        <f>IF(A455=1,MAX($S$2:$S454)+1,IF(OR($I455&lt;&gt;"",A455="x"),$S454,""))</f>
        <v>228</v>
      </c>
      <c r="T455">
        <f>IF(D455=1,MAX($T$2:$T454)+1,IF(S455=S454,$T454,IF(D455="x",T454,IF(D454="x","",""))))</f>
        <v>29</v>
      </c>
      <c r="U455" t="str">
        <f>IF(B455=1,MAX($U$2:$U454)+1,IF(AND($T455&lt;&gt;"",$T455=$T454),$U454,IF(B455="x",U454,"")))</f>
        <v/>
      </c>
      <c r="V455" t="str">
        <f>IF(C455=1,MAX($V$2:$V454)+1,IF(AND($T455&lt;&gt;"",$T455=$T454),$U454,IF(C455="x",V454,"")))</f>
        <v/>
      </c>
      <c r="W455" t="str" cm="1">
        <f t="array" ref="W455">IFERROR(_xlfn._xlws.FILTER(game_rosters!AC:AC,(game_rosters!J:J=events!X455)*(K455&lt;&gt;"")),"")</f>
        <v>h</v>
      </c>
      <c r="X455" cm="1">
        <f t="array" ref="X455">IF($I455&lt;&gt;"",$I455,INDEX($I$1:$I455,ROW()-COUNTIFS($T$1:$T455,"="&amp;$T455,$S$1:$S455,"&lt;"&amp;$S455)))</f>
        <v>21</v>
      </c>
      <c r="Y455">
        <v>1</v>
      </c>
      <c r="Z455" s="6">
        <f t="shared" si="792"/>
        <v>1</v>
      </c>
      <c r="AA455">
        <f t="shared" si="793"/>
        <v>1228</v>
      </c>
      <c r="AB455">
        <f t="shared" si="794"/>
        <v>9029</v>
      </c>
      <c r="AC455">
        <f t="shared" si="795"/>
        <v>9029</v>
      </c>
      <c r="AD455" t="str">
        <f t="shared" si="796"/>
        <v>11</v>
      </c>
      <c r="AE455" t="str">
        <f t="shared" si="797"/>
        <v>32</v>
      </c>
      <c r="AF455" t="str">
        <f t="shared" si="798"/>
        <v/>
      </c>
      <c r="AG455" t="str">
        <f t="shared" si="799"/>
        <v/>
      </c>
      <c r="AH455" t="str">
        <f t="shared" si="736"/>
        <v>e</v>
      </c>
      <c r="AI455" t="str">
        <f t="shared" si="778"/>
        <v>d</v>
      </c>
      <c r="AJ455" t="str">
        <f t="shared" si="778"/>
        <v>d</v>
      </c>
      <c r="AK455" t="str">
        <f t="shared" si="738"/>
        <v>d</v>
      </c>
      <c r="AL455" t="str">
        <f t="shared" si="739"/>
        <v>o</v>
      </c>
      <c r="AM455" t="str">
        <f t="shared" si="800"/>
        <v>Home</v>
      </c>
      <c r="AN455" t="str">
        <f t="shared" si="740"/>
        <v>h</v>
      </c>
      <c r="AO455" t="str">
        <f t="shared" si="741"/>
        <v>d</v>
      </c>
      <c r="AP455" t="str">
        <f t="shared" si="742"/>
        <v>o</v>
      </c>
      <c r="AQ455" t="str">
        <f>IF(AM455&lt;&gt;"",AM455,IF($AC455=#REF!,#REF!,""))</f>
        <v>Home</v>
      </c>
      <c r="AR455" t="str">
        <f t="shared" si="743"/>
        <v>h</v>
      </c>
      <c r="AS455" t="str">
        <f t="shared" si="744"/>
        <v>Offensive</v>
      </c>
      <c r="AT455" t="str">
        <f t="shared" si="801"/>
        <v/>
      </c>
      <c r="AU455" t="str">
        <f t="shared" si="802"/>
        <v/>
      </c>
      <c r="AV455" t="str" cm="1">
        <f t="array" ref="AV455">IFERROR(IF(O455&lt;&gt;"",O455,IF(OR($S455="",$T455=""),"",IF(O455&lt;&gt;"",O455,IF($T455&lt;&gt;"",_xlfn._xlws.FILTER(O:O,($BT:$BT=$BT455)*($I:$I=$I455)*($T:$T=$T455)*($S:$S=_xlfn.MINIFS($S:$S,$T:$T,"="&amp;$T455)),"")))))&amp;"",IF(O455="","",""))&amp;""</f>
        <v/>
      </c>
      <c r="AW455" t="str" cm="1">
        <f t="array" ref="AW455">IFERROR(IF(P455&lt;&gt;"",P455,IF(OR($S455="",$T455=""),"",IF($T455&lt;&gt;"",_xlfn._xlws.FILTER(P:P,($BT:$BT=$BT455)*($I:$I=$I455)*($T:$T=$T455)*($S:$S=_xlfn.MINIFS($S:$S,$T:$T,"="&amp;$T455)),""))))&amp;"",IF(P455="","",""))&amp;""</f>
        <v/>
      </c>
      <c r="AX455" t="str" cm="1">
        <f t="array" ref="AX455">IFERROR(IF(Q455&lt;&gt;"",Q455,IF(OR($S455="",$T455=""),"",IF($T455&lt;&gt;"",_xlfn._xlws.FILTER(Q:Q,($BT:$BT=$BT455)*($I:$I=$I455)*($T:$T=$T455)*($S:$S=_xlfn.MINIFS($S:$S,$T:$T,"="&amp;$T455)),""))))&amp;"",IF(Q455="","",""))&amp;""</f>
        <v/>
      </c>
      <c r="AY455" t="str" cm="1">
        <f t="array" ref="AY455">IFERROR(IF(R455&lt;&gt;"",R455,IF(OR($S455="",$T455=""),"",IF($T455&lt;&gt;"",_xlfn._xlws.FILTER(R:R,($BT:$BT=$BT455)*($I:$I=$I455)*($T:$T=$T455)*($S:$S=_xlfn.MINIFS($S:$S,$T:$T,"="&amp;$T455)),""))))&amp;"",IF(R455="","",""))&amp;""</f>
        <v>1</v>
      </c>
      <c r="AZ455" s="6">
        <f t="shared" si="803"/>
        <v>41</v>
      </c>
      <c r="BA455">
        <f t="shared" ref="BA455:BC455" si="819">BA454</f>
        <v>18991</v>
      </c>
      <c r="BB455" t="str">
        <f t="shared" si="819"/>
        <v>Triple J</v>
      </c>
      <c r="BC455" t="str">
        <f t="shared" si="819"/>
        <v>Velodrome</v>
      </c>
      <c r="BD455" t="str">
        <f t="shared" si="805"/>
        <v>Zone_Entry_Exit</v>
      </c>
      <c r="BE455" t="str">
        <f t="shared" si="806"/>
        <v>Zone_Entry</v>
      </c>
      <c r="BF455" t="str">
        <f t="shared" si="807"/>
        <v>ZoneEntry-FromExitClear</v>
      </c>
      <c r="BG455" t="str">
        <f t="shared" si="789"/>
        <v>u</v>
      </c>
      <c r="BH455" cm="1">
        <f t="array" aca="1" ref="BH455" ca="1">IFERROR(_xlfn._xlws.FILTER(shifts!A:A,(shifts!B:B=events!Z455)*(shifts!AG:AG&gt;=events!BJ455)*(shifts!AH:AH&lt;=events!BK455)),BH454)</f>
        <v>14</v>
      </c>
      <c r="BI455" s="15">
        <f t="shared" si="808"/>
        <v>0</v>
      </c>
      <c r="BJ455">
        <f t="shared" si="809"/>
        <v>692</v>
      </c>
      <c r="BK455">
        <f t="shared" si="810"/>
        <v>692</v>
      </c>
      <c r="BL455" s="15">
        <f>SUMIFS(BI$2:BI455,K$2:K455,"=Intermission")+SUMIFS(BI$2:BI455,K$2:K455,"=Timeout")</f>
        <v>0</v>
      </c>
      <c r="BM455">
        <f t="shared" si="811"/>
        <v>0</v>
      </c>
      <c r="BN455" s="19">
        <f t="shared" si="812"/>
        <v>388</v>
      </c>
      <c r="BO455">
        <f t="shared" si="813"/>
        <v>383</v>
      </c>
      <c r="BP455" s="17">
        <f t="shared" si="814"/>
        <v>388</v>
      </c>
      <c r="BQ455" t="str">
        <f t="shared" si="815"/>
        <v>event_team_player_1</v>
      </c>
      <c r="BR455">
        <f>COUNTIFS(S$3:S455,"="&amp;S455,AH$3:AH455,"="&amp;AH455)</f>
        <v>1</v>
      </c>
      <c r="BS455" t="str">
        <f>IFERROR(VLOOKUP(BA455&amp;BT455&amp;X455,game_rosters!U:W,3,FALSE),"")</f>
        <v>P100019</v>
      </c>
      <c r="BT455" t="str">
        <f t="shared" si="816"/>
        <v>Triple J</v>
      </c>
    </row>
    <row r="456" spans="1:72" x14ac:dyDescent="0.2">
      <c r="A456" t="str">
        <f t="shared" si="791"/>
        <v>x</v>
      </c>
      <c r="D456" s="26" t="s">
        <v>729</v>
      </c>
      <c r="E456" s="4"/>
      <c r="F456" s="45"/>
      <c r="G456" s="4"/>
      <c r="H456" s="47"/>
      <c r="I456" s="26">
        <v>93</v>
      </c>
      <c r="J456" s="26" t="str">
        <f t="shared" si="817"/>
        <v/>
      </c>
      <c r="N456" t="str">
        <f t="shared" si="729"/>
        <v/>
      </c>
      <c r="Q456" t="str">
        <f t="shared" si="723"/>
        <v/>
      </c>
      <c r="R456" s="26">
        <v>1</v>
      </c>
      <c r="S456">
        <f>IF(A456=1,MAX($S$2:$S455)+1,IF(OR($I456&lt;&gt;"",A456="x"),$S455,""))</f>
        <v>228</v>
      </c>
      <c r="T456">
        <f>IF(D456=1,MAX($T$2:$T455)+1,IF(S456=S455,$T455,IF(D456="x",T455,IF(D455="x","",""))))</f>
        <v>29</v>
      </c>
      <c r="U456" t="str">
        <f>IF(B456=1,MAX($U$2:$U455)+1,IF(AND($T456&lt;&gt;"",$T456=$T455),$U455,IF(B456="x",U455,"")))</f>
        <v/>
      </c>
      <c r="V456" t="str">
        <f>IF(C456=1,MAX($V$2:$V455)+1,IF(AND($T456&lt;&gt;"",$T456=$T455),$U455,IF(C456="x",V455,"")))</f>
        <v/>
      </c>
      <c r="W456" t="str" cm="1">
        <f t="array" ref="W456">IFERROR(_xlfn._xlws.FILTER(game_rosters!AC:AC,(game_rosters!J:J=events!X456)*(K456&lt;&gt;"")),"")</f>
        <v/>
      </c>
      <c r="X456" cm="1">
        <f t="array" ref="X456">IF($I456&lt;&gt;"",$I456,INDEX($I$1:$I456,ROW()-COUNTIFS($T$1:$T456,"="&amp;$T456,$S$1:$S456,"&lt;"&amp;$S456)))</f>
        <v>93</v>
      </c>
      <c r="Y456" t="str" cm="1">
        <f t="array" ref="Y456">IFERROR(IF(_xlfn._xlws.FILTER(game_rosters!$J:$J,(game_rosters!$G:$G=events!$AM456)*(game_rosters!$J:$J=events!$X456))&gt;0,1,""),"")</f>
        <v/>
      </c>
      <c r="Z456" s="6">
        <f t="shared" si="792"/>
        <v>1</v>
      </c>
      <c r="AA456">
        <f t="shared" si="793"/>
        <v>1228</v>
      </c>
      <c r="AB456">
        <f t="shared" si="794"/>
        <v>9029</v>
      </c>
      <c r="AC456">
        <f t="shared" si="795"/>
        <v>9029</v>
      </c>
      <c r="AD456" t="str">
        <f t="shared" si="796"/>
        <v>11</v>
      </c>
      <c r="AE456" t="str">
        <f t="shared" si="797"/>
        <v>32</v>
      </c>
      <c r="AF456" t="str">
        <f t="shared" si="798"/>
        <v/>
      </c>
      <c r="AG456" t="str">
        <f t="shared" si="799"/>
        <v/>
      </c>
      <c r="AH456" t="str">
        <f t="shared" si="736"/>
        <v>o</v>
      </c>
      <c r="AI456" t="str">
        <f t="shared" si="778"/>
        <v>d</v>
      </c>
      <c r="AJ456" t="str">
        <f t="shared" si="778"/>
        <v>d</v>
      </c>
      <c r="AK456" t="str">
        <f t="shared" si="738"/>
        <v/>
      </c>
      <c r="AL456" t="str">
        <f t="shared" si="739"/>
        <v/>
      </c>
      <c r="AM456" t="str">
        <f t="shared" si="800"/>
        <v>Home</v>
      </c>
      <c r="AN456" t="str">
        <f t="shared" si="740"/>
        <v>h</v>
      </c>
      <c r="AO456" t="str">
        <f t="shared" si="741"/>
        <v>d</v>
      </c>
      <c r="AP456" t="str">
        <f t="shared" si="742"/>
        <v>o</v>
      </c>
      <c r="AQ456" t="str">
        <f>IF(AM456&lt;&gt;"",AM456,IF($AC456=#REF!,#REF!,""))</f>
        <v>Home</v>
      </c>
      <c r="AR456" t="str">
        <f t="shared" si="743"/>
        <v>h</v>
      </c>
      <c r="AS456" t="str">
        <f t="shared" si="744"/>
        <v>Defensive</v>
      </c>
      <c r="AT456" t="str">
        <f t="shared" si="801"/>
        <v/>
      </c>
      <c r="AU456" t="str">
        <f t="shared" si="802"/>
        <v/>
      </c>
      <c r="AV456" t="str" cm="1">
        <f t="array" ref="AV456">IFERROR(IF(O456&lt;&gt;"",O456,IF(OR($S456="",$T456=""),"",IF(O456&lt;&gt;"",O456,IF($T456&lt;&gt;"",_xlfn._xlws.FILTER(O:O,($BT:$BT=$BT456)*($I:$I=$I456)*($T:$T=$T456)*($S:$S=_xlfn.MINIFS($S:$S,$T:$T,"="&amp;$T456)),"")))))&amp;"",IF(O456="","",""))&amp;""</f>
        <v>AttemptedKeepin</v>
      </c>
      <c r="AW456" t="str" cm="1">
        <f t="array" ref="AW456">IFERROR(IF(P456&lt;&gt;"",P456,IF(OR($S456="",$T456=""),"",IF($T456&lt;&gt;"",_xlfn._xlws.FILTER(P:P,($BT:$BT=$BT456)*($I:$I=$I456)*($T:$T=$T456)*($S:$S=_xlfn.MINIFS($S:$S,$T:$T,"="&amp;$T456)),""))))&amp;"",IF(P456="","",""))&amp;""</f>
        <v/>
      </c>
      <c r="AX456" t="str" cm="1">
        <f t="array" ref="AX456">IFERROR(IF(Q456&lt;&gt;"",Q456,IF(OR($S456="",$T456=""),"",IF($T456&lt;&gt;"",_xlfn._xlws.FILTER(Q:Q,($BT:$BT=$BT456)*($I:$I=$I456)*($T:$T=$T456)*($S:$S=_xlfn.MINIFS($S:$S,$T:$T,"="&amp;$T456)),""))))&amp;"",IF(Q456="","",""))&amp;""</f>
        <v>u</v>
      </c>
      <c r="AY456" t="str" cm="1">
        <f t="array" ref="AY456">IFERROR(IF(R456&lt;&gt;"",R456,IF(OR($S456="",$T456=""),"",IF($T456&lt;&gt;"",_xlfn._xlws.FILTER(R:R,($BT:$BT=$BT456)*($I:$I=$I456)*($T:$T=$T456)*($S:$S=_xlfn.MINIFS($S:$S,$T:$T,"="&amp;$T456)),""))))&amp;"",IF(R456="","",""))&amp;""</f>
        <v>1</v>
      </c>
      <c r="AZ456" s="6">
        <f t="shared" si="803"/>
        <v>41</v>
      </c>
      <c r="BA456">
        <f t="shared" ref="BA456:BC456" si="820">BA455</f>
        <v>18991</v>
      </c>
      <c r="BB456" t="str">
        <f t="shared" si="820"/>
        <v>Triple J</v>
      </c>
      <c r="BC456" t="str">
        <f t="shared" si="820"/>
        <v>Velodrome</v>
      </c>
      <c r="BD456" t="str">
        <f t="shared" si="805"/>
        <v>Zone_Entry_Exit</v>
      </c>
      <c r="BE456" t="str">
        <f t="shared" si="806"/>
        <v>Zone_Entry</v>
      </c>
      <c r="BF456" t="str">
        <f t="shared" si="807"/>
        <v>ZoneEntry-FromExitClear</v>
      </c>
      <c r="BG456" t="str">
        <f t="shared" si="789"/>
        <v>u</v>
      </c>
      <c r="BH456" cm="1">
        <f t="array" aca="1" ref="BH456" ca="1">IFERROR(_xlfn._xlws.FILTER(shifts!A:A,(shifts!B:B=events!Z456)*(shifts!AG:AG&gt;=events!BJ456)*(shifts!AH:AH&lt;=events!BK456)),BH455)</f>
        <v>14</v>
      </c>
      <c r="BI456" s="15">
        <f t="shared" si="808"/>
        <v>0</v>
      </c>
      <c r="BJ456">
        <f t="shared" si="809"/>
        <v>692</v>
      </c>
      <c r="BK456">
        <f t="shared" si="810"/>
        <v>692</v>
      </c>
      <c r="BL456" s="15">
        <f>SUMIFS(BI$2:BI456,K$2:K456,"=Intermission")+SUMIFS(BI$2:BI456,K$2:K456,"=Timeout")</f>
        <v>0</v>
      </c>
      <c r="BM456">
        <f t="shared" si="811"/>
        <v>0</v>
      </c>
      <c r="BN456" s="19">
        <f t="shared" si="812"/>
        <v>388</v>
      </c>
      <c r="BO456">
        <f t="shared" si="813"/>
        <v>383</v>
      </c>
      <c r="BP456" s="17">
        <f t="shared" si="814"/>
        <v>388</v>
      </c>
      <c r="BQ456" t="str">
        <f t="shared" si="815"/>
        <v>opp_team_player_1</v>
      </c>
      <c r="BR456">
        <f>COUNTIFS(S$3:S456,"="&amp;S456,AH$3:AH456,"="&amp;AH456)</f>
        <v>1</v>
      </c>
      <c r="BS456" t="str">
        <f>IFERROR(VLOOKUP(BA456&amp;BT456&amp;X456,game_rosters!U:W,3,FALSE),"")</f>
        <v>P100093</v>
      </c>
      <c r="BT456" t="str">
        <f t="shared" si="816"/>
        <v>Velodrome</v>
      </c>
    </row>
    <row r="457" spans="1:72" x14ac:dyDescent="0.2">
      <c r="A457">
        <f t="shared" si="791"/>
        <v>1</v>
      </c>
      <c r="D457" s="26" t="s">
        <v>729</v>
      </c>
      <c r="E457" s="4"/>
      <c r="F457" s="45"/>
      <c r="G457" s="4"/>
      <c r="H457" s="47"/>
      <c r="I457" s="26">
        <v>21</v>
      </c>
      <c r="J457" s="26" t="s">
        <v>736</v>
      </c>
      <c r="K457" t="s">
        <v>9</v>
      </c>
      <c r="L457" t="s">
        <v>173</v>
      </c>
      <c r="M457" t="s">
        <v>383</v>
      </c>
      <c r="N457" t="str">
        <f t="shared" si="729"/>
        <v>u</v>
      </c>
      <c r="Q457" t="str">
        <f t="shared" si="723"/>
        <v/>
      </c>
      <c r="R457" s="26">
        <v>1</v>
      </c>
      <c r="S457">
        <f>IF(A457=1,MAX($S$2:$S456)+1,IF(OR($I457&lt;&gt;"",A457="x"),$S456,""))</f>
        <v>229</v>
      </c>
      <c r="T457">
        <f>IF(D457=1,MAX($T$2:$T456)+1,IF(S457=S456,$T456,IF(D457="x",T456,IF(D456="x","",""))))</f>
        <v>29</v>
      </c>
      <c r="U457" t="str">
        <f>IF(B457=1,MAX($U$2:$U456)+1,IF(AND($T457&lt;&gt;"",$T457=$T456),$U456,IF(B457="x",U456,"")))</f>
        <v/>
      </c>
      <c r="V457" t="str">
        <f>IF(C457=1,MAX($V$2:$V456)+1,IF(AND($T457&lt;&gt;"",$T457=$T456),$U456,IF(C457="x",V456,"")))</f>
        <v/>
      </c>
      <c r="W457" t="str" cm="1">
        <f t="array" ref="W457">IFERROR(_xlfn._xlws.FILTER(game_rosters!AC:AC,(game_rosters!J:J=events!X457)*(K457&lt;&gt;"")),"")</f>
        <v>h</v>
      </c>
      <c r="X457" cm="1">
        <f t="array" ref="X457">IF($I457&lt;&gt;"",$I457,INDEX($I$1:$I457,ROW()-COUNTIFS($T$1:$T457,"="&amp;$T457,$S$1:$S457,"&lt;"&amp;$S457)))</f>
        <v>21</v>
      </c>
      <c r="Y457">
        <v>1</v>
      </c>
      <c r="Z457" s="6">
        <f t="shared" si="792"/>
        <v>1</v>
      </c>
      <c r="AA457">
        <f t="shared" si="793"/>
        <v>1229</v>
      </c>
      <c r="AB457">
        <f t="shared" si="794"/>
        <v>9029</v>
      </c>
      <c r="AC457">
        <f t="shared" si="795"/>
        <v>9029</v>
      </c>
      <c r="AD457" t="str">
        <f t="shared" si="796"/>
        <v>11</v>
      </c>
      <c r="AE457" t="str">
        <f t="shared" si="797"/>
        <v>32</v>
      </c>
      <c r="AF457" t="str">
        <f t="shared" si="798"/>
        <v/>
      </c>
      <c r="AG457" t="str">
        <f t="shared" si="799"/>
        <v/>
      </c>
      <c r="AH457" t="str">
        <f t="shared" si="736"/>
        <v>e</v>
      </c>
      <c r="AI457" t="str">
        <f t="shared" si="778"/>
        <v>d</v>
      </c>
      <c r="AJ457" t="str">
        <f t="shared" si="778"/>
        <v>d</v>
      </c>
      <c r="AK457" t="str">
        <f t="shared" si="738"/>
        <v>d</v>
      </c>
      <c r="AL457" t="str">
        <f t="shared" si="739"/>
        <v>o</v>
      </c>
      <c r="AM457" t="str">
        <f t="shared" si="800"/>
        <v>Home</v>
      </c>
      <c r="AN457" t="str">
        <f t="shared" si="740"/>
        <v>h</v>
      </c>
      <c r="AO457" t="str">
        <f t="shared" si="741"/>
        <v>d</v>
      </c>
      <c r="AP457" t="str">
        <f t="shared" si="742"/>
        <v>o</v>
      </c>
      <c r="AQ457" t="str">
        <f>IF(AM457&lt;&gt;"",AM457,IF($AC457=#REF!,#REF!,""))</f>
        <v>Home</v>
      </c>
      <c r="AR457" t="str">
        <f t="shared" si="743"/>
        <v>h</v>
      </c>
      <c r="AS457" t="str">
        <f t="shared" si="744"/>
        <v>Offensive</v>
      </c>
      <c r="AT457" t="str">
        <f t="shared" si="801"/>
        <v/>
      </c>
      <c r="AU457" t="str">
        <f t="shared" si="802"/>
        <v/>
      </c>
      <c r="AV457" t="str" cm="1">
        <f t="array" ref="AV457">IFERROR(IF(O457&lt;&gt;"",O457,IF(OR($S457="",$T457=""),"",IF(O457&lt;&gt;"",O457,IF($T457&lt;&gt;"",_xlfn._xlws.FILTER(O:O,($BT:$BT=$BT457)*($I:$I=$I457)*($T:$T=$T457)*($S:$S=_xlfn.MINIFS($S:$S,$T:$T,"="&amp;$T457)),"")))))&amp;"",IF(O457="","",""))&amp;""</f>
        <v/>
      </c>
      <c r="AW457" t="str" cm="1">
        <f t="array" ref="AW457">IFERROR(IF(P457&lt;&gt;"",P457,IF(OR($S457="",$T457=""),"",IF($T457&lt;&gt;"",_xlfn._xlws.FILTER(P:P,($BT:$BT=$BT457)*($I:$I=$I457)*($T:$T=$T457)*($S:$S=_xlfn.MINIFS($S:$S,$T:$T,"="&amp;$T457)),""))))&amp;"",IF(P457="","",""))&amp;""</f>
        <v/>
      </c>
      <c r="AX457" t="str" cm="1">
        <f t="array" ref="AX457">IFERROR(IF(Q457&lt;&gt;"",Q457,IF(OR($S457="",$T457=""),"",IF($T457&lt;&gt;"",_xlfn._xlws.FILTER(Q:Q,($BT:$BT=$BT457)*($I:$I=$I457)*($T:$T=$T457)*($S:$S=_xlfn.MINIFS($S:$S,$T:$T,"="&amp;$T457)),""))))&amp;"",IF(Q457="","",""))&amp;""</f>
        <v/>
      </c>
      <c r="AY457" t="str" cm="1">
        <f t="array" ref="AY457">IFERROR(IF(R457&lt;&gt;"",R457,IF(OR($S457="",$T457=""),"",IF($T457&lt;&gt;"",_xlfn._xlws.FILTER(R:R,($BT:$BT=$BT457)*($I:$I=$I457)*($T:$T=$T457)*($S:$S=_xlfn.MINIFS($S:$S,$T:$T,"="&amp;$T457)),""))))&amp;"",IF(R457="","",""))&amp;""</f>
        <v>1</v>
      </c>
      <c r="AZ457" s="6">
        <f t="shared" si="803"/>
        <v>41</v>
      </c>
      <c r="BA457">
        <f t="shared" ref="BA457:BC457" si="821">BA456</f>
        <v>18991</v>
      </c>
      <c r="BB457" t="str">
        <f t="shared" si="821"/>
        <v>Triple J</v>
      </c>
      <c r="BC457" t="str">
        <f t="shared" si="821"/>
        <v>Velodrome</v>
      </c>
      <c r="BD457" t="str">
        <f t="shared" si="805"/>
        <v>Turnover</v>
      </c>
      <c r="BE457" t="str">
        <f t="shared" si="806"/>
        <v>Turnover_Giveaway</v>
      </c>
      <c r="BF457" t="str">
        <f t="shared" si="807"/>
        <v>Giveaway-ZoneEntry/ExitMisplay</v>
      </c>
      <c r="BG457" t="str">
        <f t="shared" si="789"/>
        <v>u</v>
      </c>
      <c r="BH457" cm="1">
        <f t="array" aca="1" ref="BH457" ca="1">IFERROR(_xlfn._xlws.FILTER(shifts!A:A,(shifts!B:B=events!Z457)*(shifts!AG:AG&gt;=events!BJ457)*(shifts!AH:AH&lt;=events!BK457)),BH456)</f>
        <v>14</v>
      </c>
      <c r="BI457" s="15">
        <f t="shared" si="808"/>
        <v>0</v>
      </c>
      <c r="BJ457">
        <f t="shared" si="809"/>
        <v>692</v>
      </c>
      <c r="BK457">
        <f t="shared" si="810"/>
        <v>692</v>
      </c>
      <c r="BL457" s="15">
        <f>SUMIFS(BI$2:BI457,K$2:K457,"=Intermission")+SUMIFS(BI$2:BI457,K$2:K457,"=Timeout")</f>
        <v>0</v>
      </c>
      <c r="BM457">
        <f t="shared" si="811"/>
        <v>0</v>
      </c>
      <c r="BN457" s="19">
        <f t="shared" si="812"/>
        <v>388</v>
      </c>
      <c r="BO457">
        <f t="shared" si="813"/>
        <v>383</v>
      </c>
      <c r="BP457" s="17">
        <f t="shared" si="814"/>
        <v>388</v>
      </c>
      <c r="BQ457" t="str">
        <f t="shared" si="815"/>
        <v>event_team_player_1</v>
      </c>
      <c r="BR457">
        <f>COUNTIFS(S$3:S457,"="&amp;S457,AH$3:AH457,"="&amp;AH457)</f>
        <v>1</v>
      </c>
      <c r="BS457" t="str">
        <f>IFERROR(VLOOKUP(BA457&amp;BT457&amp;X457,game_rosters!U:W,3,FALSE),"")</f>
        <v>P100019</v>
      </c>
      <c r="BT457" t="str">
        <f t="shared" si="816"/>
        <v>Triple J</v>
      </c>
    </row>
    <row r="458" spans="1:72" x14ac:dyDescent="0.2">
      <c r="A458" t="str">
        <f t="shared" si="791"/>
        <v>x</v>
      </c>
      <c r="D458" s="26" t="s">
        <v>729</v>
      </c>
      <c r="E458" s="4"/>
      <c r="F458" s="45"/>
      <c r="G458" s="4"/>
      <c r="H458" s="47"/>
      <c r="J458" s="26" t="str">
        <f t="shared" si="817"/>
        <v/>
      </c>
      <c r="N458" t="str">
        <f t="shared" si="729"/>
        <v/>
      </c>
      <c r="Q458" t="str">
        <f t="shared" si="723"/>
        <v/>
      </c>
      <c r="R458" s="26">
        <v>1</v>
      </c>
      <c r="S458">
        <f>IF(A458=1,MAX($S$2:$S457)+1,IF(OR($I458&lt;&gt;"",A458="x"),$S457,""))</f>
        <v>229</v>
      </c>
      <c r="T458">
        <f>IF(D458=1,MAX($T$2:$T457)+1,IF(S458=S457,$T457,IF(D458="x",T457,IF(D457="x","",""))))</f>
        <v>29</v>
      </c>
      <c r="U458" t="str">
        <f>IF(B458=1,MAX($U$2:$U457)+1,IF(AND($T458&lt;&gt;"",$T458=$T457),$U457,IF(B458="x",U457,"")))</f>
        <v/>
      </c>
      <c r="V458" t="str">
        <f>IF(C458=1,MAX($V$2:$V457)+1,IF(AND($T458&lt;&gt;"",$T458=$T457),$U457,IF(C458="x",V457,"")))</f>
        <v/>
      </c>
      <c r="W458" t="str" cm="1">
        <f t="array" ref="W458">IFERROR(_xlfn._xlws.FILTER(game_rosters!AC:AC,(game_rosters!J:J=events!X458)*(K458&lt;&gt;"")),"")</f>
        <v/>
      </c>
      <c r="X458" cm="1">
        <f t="array" ref="X458">IF($I458&lt;&gt;"",$I458,INDEX($I$1:$I458,ROW()-COUNTIFS($T$1:$T458,"="&amp;$T458,$S$1:$S458,"&lt;"&amp;$S458)))</f>
        <v>93</v>
      </c>
      <c r="Y458" t="str" cm="1">
        <f t="array" ref="Y458">IFERROR(IF(_xlfn._xlws.FILTER(game_rosters!$J:$J,(game_rosters!$G:$G=events!$AM458)*(game_rosters!$J:$J=events!$X458))&gt;0,1,""),"")</f>
        <v/>
      </c>
      <c r="Z458" s="6">
        <f t="shared" si="792"/>
        <v>1</v>
      </c>
      <c r="AA458">
        <f t="shared" si="793"/>
        <v>1229</v>
      </c>
      <c r="AB458">
        <f t="shared" si="794"/>
        <v>9029</v>
      </c>
      <c r="AC458">
        <f t="shared" si="795"/>
        <v>9029</v>
      </c>
      <c r="AD458" t="str">
        <f t="shared" si="796"/>
        <v>11</v>
      </c>
      <c r="AE458" t="str">
        <f t="shared" si="797"/>
        <v>32</v>
      </c>
      <c r="AF458" t="str">
        <f t="shared" si="798"/>
        <v/>
      </c>
      <c r="AG458" t="str">
        <f t="shared" si="799"/>
        <v/>
      </c>
      <c r="AH458" t="str">
        <f t="shared" si="736"/>
        <v>o</v>
      </c>
      <c r="AI458" t="str">
        <f t="shared" si="778"/>
        <v>d</v>
      </c>
      <c r="AJ458" t="str">
        <f t="shared" si="778"/>
        <v>d</v>
      </c>
      <c r="AK458" t="str">
        <f t="shared" si="738"/>
        <v/>
      </c>
      <c r="AL458" t="str">
        <f t="shared" si="739"/>
        <v/>
      </c>
      <c r="AM458" t="str">
        <f t="shared" si="800"/>
        <v>Home</v>
      </c>
      <c r="AN458" t="str">
        <f t="shared" si="740"/>
        <v>h</v>
      </c>
      <c r="AO458" t="str">
        <f t="shared" si="741"/>
        <v>d</v>
      </c>
      <c r="AP458" t="str">
        <f t="shared" si="742"/>
        <v>o</v>
      </c>
      <c r="AQ458" t="str">
        <f>IF(AM458&lt;&gt;"",AM458,IF($AC458=#REF!,#REF!,""))</f>
        <v>Home</v>
      </c>
      <c r="AR458" t="str">
        <f t="shared" si="743"/>
        <v>h</v>
      </c>
      <c r="AS458" t="str">
        <f t="shared" si="744"/>
        <v>Defensive</v>
      </c>
      <c r="AT458" t="str">
        <f t="shared" si="801"/>
        <v/>
      </c>
      <c r="AU458" t="str">
        <f t="shared" si="802"/>
        <v/>
      </c>
      <c r="AV458" t="str" cm="1">
        <f t="array" ref="AV458">IFERROR(IF(O458&lt;&gt;"",O458,IF(OR($S458="",$T458=""),"",IF(O458&lt;&gt;"",O458,IF($T458&lt;&gt;"",_xlfn._xlws.FILTER(O:O,($BT:$BT=$BT458)*($I:$I=$I458)*($T:$T=$T458)*($S:$S=_xlfn.MINIFS($S:$S,$T:$T,"="&amp;$T458)),"")))))&amp;"",IF(O458="","",""))&amp;""</f>
        <v/>
      </c>
      <c r="AW458" t="str" cm="1">
        <f t="array" ref="AW458">IFERROR(IF(P458&lt;&gt;"",P458,IF(OR($S458="",$T458=""),"",IF($T458&lt;&gt;"",_xlfn._xlws.FILTER(P:P,($BT:$BT=$BT458)*($I:$I=$I458)*($T:$T=$T458)*($S:$S=_xlfn.MINIFS($S:$S,$T:$T,"="&amp;$T458)),""))))&amp;"",IF(P458="","",""))&amp;""</f>
        <v/>
      </c>
      <c r="AX458" t="str" cm="1">
        <f t="array" ref="AX458">IFERROR(IF(Q458&lt;&gt;"",Q458,IF(OR($S458="",$T458=""),"",IF($T458&lt;&gt;"",_xlfn._xlws.FILTER(Q:Q,($BT:$BT=$BT458)*($I:$I=$I458)*($T:$T=$T458)*($S:$S=_xlfn.MINIFS($S:$S,$T:$T,"="&amp;$T458)),""))))&amp;"",IF(Q458="","",""))&amp;""</f>
        <v/>
      </c>
      <c r="AY458" t="str" cm="1">
        <f t="array" ref="AY458">IFERROR(IF(R458&lt;&gt;"",R458,IF(OR($S458="",$T458=""),"",IF($T458&lt;&gt;"",_xlfn._xlws.FILTER(R:R,($BT:$BT=$BT458)*($I:$I=$I458)*($T:$T=$T458)*($S:$S=_xlfn.MINIFS($S:$S,$T:$T,"="&amp;$T458)),""))))&amp;"",IF(R458="","",""))&amp;""</f>
        <v>1</v>
      </c>
      <c r="AZ458" s="6">
        <f t="shared" si="803"/>
        <v>41</v>
      </c>
      <c r="BA458">
        <f t="shared" ref="BA458:BC458" si="822">BA457</f>
        <v>18991</v>
      </c>
      <c r="BB458" t="str">
        <f t="shared" si="822"/>
        <v>Triple J</v>
      </c>
      <c r="BC458" t="str">
        <f t="shared" si="822"/>
        <v>Velodrome</v>
      </c>
      <c r="BD458" t="str">
        <f t="shared" si="805"/>
        <v>Turnover</v>
      </c>
      <c r="BE458" t="str">
        <f t="shared" si="806"/>
        <v>Turnover_Giveaway</v>
      </c>
      <c r="BF458" t="str">
        <f t="shared" si="807"/>
        <v>Giveaway-ZoneEntry/ExitMisplay</v>
      </c>
      <c r="BG458" t="str">
        <f t="shared" si="789"/>
        <v>u</v>
      </c>
      <c r="BH458" cm="1">
        <f t="array" aca="1" ref="BH458" ca="1">IFERROR(_xlfn._xlws.FILTER(shifts!A:A,(shifts!B:B=events!Z458)*(shifts!AG:AG&gt;=events!BJ458)*(shifts!AH:AH&lt;=events!BK458)),BH457)</f>
        <v>14</v>
      </c>
      <c r="BI458" s="15">
        <f t="shared" si="808"/>
        <v>0</v>
      </c>
      <c r="BJ458">
        <f t="shared" si="809"/>
        <v>692</v>
      </c>
      <c r="BK458">
        <f t="shared" si="810"/>
        <v>692</v>
      </c>
      <c r="BL458" s="15">
        <f>SUMIFS(BI$2:BI458,K$2:K458,"=Intermission")+SUMIFS(BI$2:BI458,K$2:K458,"=Timeout")</f>
        <v>0</v>
      </c>
      <c r="BM458">
        <f t="shared" si="811"/>
        <v>0</v>
      </c>
      <c r="BN458" s="19">
        <f t="shared" si="812"/>
        <v>388</v>
      </c>
      <c r="BO458">
        <f t="shared" si="813"/>
        <v>383</v>
      </c>
      <c r="BP458" s="17">
        <f t="shared" si="814"/>
        <v>388</v>
      </c>
      <c r="BQ458" t="str">
        <f t="shared" si="815"/>
        <v>opp_team_player_1</v>
      </c>
      <c r="BR458">
        <f>COUNTIFS(S$3:S458,"="&amp;S458,AH$3:AH458,"="&amp;AH458)</f>
        <v>1</v>
      </c>
      <c r="BS458" t="str">
        <f>IFERROR(VLOOKUP(BA458&amp;BT458&amp;X458,game_rosters!U:W,3,FALSE),"")</f>
        <v>P100093</v>
      </c>
      <c r="BT458" t="str">
        <f t="shared" si="816"/>
        <v>Velodrome</v>
      </c>
    </row>
    <row r="459" spans="1:72" x14ac:dyDescent="0.2">
      <c r="A459">
        <f t="shared" si="791"/>
        <v>1</v>
      </c>
      <c r="E459" s="4"/>
      <c r="F459" s="45" t="s">
        <v>1039</v>
      </c>
      <c r="G459" s="4"/>
      <c r="H459" s="47" t="s">
        <v>739</v>
      </c>
      <c r="I459" s="26">
        <v>84</v>
      </c>
      <c r="J459" s="26" t="s">
        <v>736</v>
      </c>
      <c r="K459" t="s">
        <v>13</v>
      </c>
      <c r="L459" t="s">
        <v>586</v>
      </c>
      <c r="N459" t="str">
        <f t="shared" si="729"/>
        <v/>
      </c>
      <c r="O459" t="s">
        <v>904</v>
      </c>
      <c r="Q459" t="str">
        <f t="shared" si="723"/>
        <v/>
      </c>
      <c r="S459">
        <f>IF(A459=1,MAX($S$2:$S458)+1,IF(OR($I459&lt;&gt;"",A459="x"),$S458,""))</f>
        <v>230</v>
      </c>
      <c r="T459" t="str">
        <f>IF(D459=1,MAX($T$2:$T458)+1,IF(S459=S458,$T458,IF(D459="x",T458,IF(D458="x","",""))))</f>
        <v/>
      </c>
      <c r="U459" t="str">
        <f>IF(B459=1,MAX($U$2:$U458)+1,IF(AND($T459&lt;&gt;"",$T459=$T458),$U458,IF(B459="x",U458,"")))</f>
        <v/>
      </c>
      <c r="V459" t="str">
        <f>IF(C459=1,MAX($V$2:$V458)+1,IF(AND($T459&lt;&gt;"",$T459=$T458),$U458,IF(C459="x",V458,"")))</f>
        <v/>
      </c>
      <c r="W459" t="str" cm="1">
        <f t="array" ref="W459">IFERROR(_xlfn._xlws.FILTER(game_rosters!AC:AC,(game_rosters!J:J=events!X459)*(K459&lt;&gt;"")),"")</f>
        <v>a</v>
      </c>
      <c r="X459" cm="1">
        <f t="array" ref="X459">IF($I459&lt;&gt;"",$I459,INDEX($I$1:$I459,ROW()-COUNTIFS($T$1:$T459,"="&amp;$T459,$S$1:$S459,"&lt;"&amp;$S459)))</f>
        <v>84</v>
      </c>
      <c r="Y459" cm="1">
        <f t="array" ref="Y459">IFERROR(IF(_xlfn._xlws.FILTER(game_rosters!$J:$J,(game_rosters!$G:$G=events!$AM459)*(game_rosters!$J:$J=events!$X459))&gt;0,1,""),"")</f>
        <v>1</v>
      </c>
      <c r="Z459" s="6">
        <f t="shared" si="792"/>
        <v>1</v>
      </c>
      <c r="AA459">
        <f t="shared" si="793"/>
        <v>1230</v>
      </c>
      <c r="AB459" t="str">
        <f t="shared" si="794"/>
        <v/>
      </c>
      <c r="AC459">
        <f t="shared" si="795"/>
        <v>1230</v>
      </c>
      <c r="AD459" t="str">
        <f t="shared" si="796"/>
        <v>11</v>
      </c>
      <c r="AE459" t="str">
        <f t="shared" si="797"/>
        <v>27</v>
      </c>
      <c r="AF459" t="str">
        <f t="shared" si="798"/>
        <v>11</v>
      </c>
      <c r="AG459" t="str">
        <f t="shared" si="799"/>
        <v>26</v>
      </c>
      <c r="AH459" t="str">
        <f t="shared" si="736"/>
        <v>e</v>
      </c>
      <c r="AI459" t="str">
        <f t="shared" ref="AI459:AJ474" si="823">IF($J459&lt;&gt;"",$J459,IF($AC459=$AC458,AI458,""))</f>
        <v>d</v>
      </c>
      <c r="AJ459" t="str">
        <f t="shared" si="823"/>
        <v>d</v>
      </c>
      <c r="AK459" t="str">
        <f t="shared" si="738"/>
        <v>o</v>
      </c>
      <c r="AL459" t="str">
        <f t="shared" si="739"/>
        <v>d</v>
      </c>
      <c r="AM459" t="str">
        <f t="shared" si="800"/>
        <v>Away</v>
      </c>
      <c r="AN459" t="str">
        <f t="shared" si="740"/>
        <v>a</v>
      </c>
      <c r="AO459" t="str">
        <f t="shared" si="741"/>
        <v>o</v>
      </c>
      <c r="AP459" t="str">
        <f t="shared" si="742"/>
        <v>d</v>
      </c>
      <c r="AQ459" t="str">
        <f>IF(AM459&lt;&gt;"",AM459,IF($AC459=#REF!,#REF!,""))</f>
        <v>Away</v>
      </c>
      <c r="AR459" t="str">
        <f t="shared" si="743"/>
        <v>a</v>
      </c>
      <c r="AS459" t="str">
        <f t="shared" si="744"/>
        <v>Offensive</v>
      </c>
      <c r="AT459" t="str">
        <f t="shared" si="801"/>
        <v/>
      </c>
      <c r="AU459" t="str">
        <f t="shared" si="802"/>
        <v/>
      </c>
      <c r="AV459" t="str" cm="1">
        <f t="array" ref="AV459">IFERROR(IF(O459&lt;&gt;"",O459,IF(OR($S459="",$T459=""),"",IF(O459&lt;&gt;"",O459,IF($T459&lt;&gt;"",_xlfn._xlws.FILTER(O:O,($BT:$BT=$BT459)*($I:$I=$I459)*($T:$T=$T459)*($S:$S=_xlfn.MINIFS($S:$S,$T:$T,"="&amp;$T459)),"")))))&amp;"",IF(O459="","",""))&amp;""</f>
        <v>PuckRecoveryRetreivalDumpIn</v>
      </c>
      <c r="AW459" t="str" cm="1">
        <f t="array" ref="AW459">IFERROR(IF(P459&lt;&gt;"",P459,IF(OR($S459="",$T459=""),"",IF($T459&lt;&gt;"",_xlfn._xlws.FILTER(P:P,($BT:$BT=$BT459)*($I:$I=$I459)*($T:$T=$T459)*($S:$S=_xlfn.MINIFS($S:$S,$T:$T,"="&amp;$T459)),""))))&amp;"",IF(P459="","",""))&amp;""</f>
        <v/>
      </c>
      <c r="AX459" t="str" cm="1">
        <f t="array" ref="AX459">IFERROR(IF(Q459&lt;&gt;"",Q459,IF(OR($S459="",$T459=""),"",IF($T459&lt;&gt;"",_xlfn._xlws.FILTER(Q:Q,($BT:$BT=$BT459)*($I:$I=$I459)*($T:$T=$T459)*($S:$S=_xlfn.MINIFS($S:$S,$T:$T,"="&amp;$T459)),""))))&amp;"",IF(Q459="","",""))&amp;""</f>
        <v/>
      </c>
      <c r="AY459" t="str" cm="1">
        <f t="array" ref="AY459">IFERROR(IF(R459&lt;&gt;"",R459,IF(OR($S459="",$T459=""),"",IF($T459&lt;&gt;"",_xlfn._xlws.FILTER(R:R,($BT:$BT=$BT459)*($I:$I=$I459)*($T:$T=$T459)*($S:$S=_xlfn.MINIFS($S:$S,$T:$T,"="&amp;$T459)),""))))&amp;"",IF(R459="","",""))&amp;""</f>
        <v/>
      </c>
      <c r="AZ459" s="6">
        <f t="shared" si="803"/>
        <v>41</v>
      </c>
      <c r="BA459">
        <f t="shared" ref="BA459:BC459" si="824">BA458</f>
        <v>18991</v>
      </c>
      <c r="BB459" t="str">
        <f t="shared" si="824"/>
        <v>Triple J</v>
      </c>
      <c r="BC459" t="str">
        <f t="shared" si="824"/>
        <v>Velodrome</v>
      </c>
      <c r="BD459" t="str">
        <f t="shared" si="805"/>
        <v>Possession</v>
      </c>
      <c r="BE459" t="str">
        <f t="shared" si="806"/>
        <v>PuckRetrieval</v>
      </c>
      <c r="BF459" t="str">
        <f t="shared" si="807"/>
        <v/>
      </c>
      <c r="BG459" t="str">
        <f t="shared" si="789"/>
        <v/>
      </c>
      <c r="BH459" cm="1">
        <f t="array" aca="1" ref="BH459" ca="1">IFERROR(_xlfn._xlws.FILTER(shifts!A:A,(shifts!B:B=events!Z459)*(shifts!AG:AG&gt;=events!BJ459)*(shifts!AH:AH&lt;=events!BK459)),BH458)</f>
        <v>15</v>
      </c>
      <c r="BI459" s="15">
        <f t="shared" si="808"/>
        <v>1</v>
      </c>
      <c r="BJ459">
        <f t="shared" si="809"/>
        <v>687</v>
      </c>
      <c r="BK459">
        <f t="shared" si="810"/>
        <v>686</v>
      </c>
      <c r="BL459" s="15">
        <f>SUMIFS(BI$2:BI459,K$2:K459,"=Intermission")+SUMIFS(BI$2:BI459,K$2:K459,"=Timeout")</f>
        <v>0</v>
      </c>
      <c r="BM459">
        <f t="shared" si="811"/>
        <v>0</v>
      </c>
      <c r="BN459" s="19">
        <f t="shared" si="812"/>
        <v>393</v>
      </c>
      <c r="BO459">
        <f t="shared" si="813"/>
        <v>388</v>
      </c>
      <c r="BP459" s="17">
        <f t="shared" si="814"/>
        <v>394</v>
      </c>
      <c r="BQ459" t="str">
        <f t="shared" si="815"/>
        <v>event_team_player_1</v>
      </c>
      <c r="BR459">
        <f>COUNTIFS(S$3:S459,"="&amp;S459,AH$3:AH459,"="&amp;AH459)</f>
        <v>1</v>
      </c>
      <c r="BS459" t="str">
        <f>IFERROR(VLOOKUP(BA459&amp;BT459&amp;X459,game_rosters!U:W,3,FALSE),"")</f>
        <v>P100198</v>
      </c>
      <c r="BT459" t="str">
        <f t="shared" si="816"/>
        <v>Velodrome</v>
      </c>
    </row>
    <row r="460" spans="1:72" x14ac:dyDescent="0.2">
      <c r="A460">
        <f t="shared" si="791"/>
        <v>1</v>
      </c>
      <c r="E460" s="4"/>
      <c r="F460" s="45"/>
      <c r="G460" s="4"/>
      <c r="H460" s="47" t="s">
        <v>1034</v>
      </c>
      <c r="I460" s="26">
        <v>84</v>
      </c>
      <c r="J460" s="26" t="s">
        <v>736</v>
      </c>
      <c r="K460" t="s">
        <v>13</v>
      </c>
      <c r="L460" t="s">
        <v>574</v>
      </c>
      <c r="N460" t="str">
        <f t="shared" si="729"/>
        <v/>
      </c>
      <c r="O460" t="s">
        <v>548</v>
      </c>
      <c r="P460" t="s">
        <v>551</v>
      </c>
      <c r="Q460" t="str">
        <f t="shared" si="723"/>
        <v/>
      </c>
      <c r="S460">
        <f>IF(A460=1,MAX($S$2:$S459)+1,IF(OR($I460&lt;&gt;"",A460="x"),$S459,""))</f>
        <v>231</v>
      </c>
      <c r="T460" t="str">
        <f>IF(D460=1,MAX($T$2:$T459)+1,IF(S460=S459,$T459,IF(D460="x",T459,IF(D459="x","",""))))</f>
        <v/>
      </c>
      <c r="U460" t="str">
        <f>IF(B460=1,MAX($U$2:$U459)+1,IF(AND($T460&lt;&gt;"",$T460=$T459),$U459,IF(B460="x",U459,"")))</f>
        <v/>
      </c>
      <c r="V460" t="str">
        <f>IF(C460=1,MAX($V$2:$V459)+1,IF(AND($T460&lt;&gt;"",$T460=$T459),$U459,IF(C460="x",V459,"")))</f>
        <v/>
      </c>
      <c r="W460" t="str" cm="1">
        <f t="array" ref="W460">IFERROR(_xlfn._xlws.FILTER(game_rosters!AC:AC,(game_rosters!J:J=events!X460)*(K460&lt;&gt;"")),"")</f>
        <v>a</v>
      </c>
      <c r="X460" cm="1">
        <f t="array" ref="X460">IF($I460&lt;&gt;"",$I460,INDEX($I$1:$I460,ROW()-COUNTIFS($T$1:$T460,"="&amp;$T460,$S$1:$S460,"&lt;"&amp;$S460)))</f>
        <v>84</v>
      </c>
      <c r="Y460" cm="1">
        <f t="array" ref="Y460">IFERROR(IF(_xlfn._xlws.FILTER(game_rosters!$J:$J,(game_rosters!$G:$G=events!$AM460)*(game_rosters!$J:$J=events!$X460))&gt;0,1,""),"")</f>
        <v>1</v>
      </c>
      <c r="Z460" s="6">
        <f t="shared" si="792"/>
        <v>1</v>
      </c>
      <c r="AA460">
        <f t="shared" si="793"/>
        <v>1231</v>
      </c>
      <c r="AB460" t="str">
        <f t="shared" si="794"/>
        <v/>
      </c>
      <c r="AC460">
        <f t="shared" si="795"/>
        <v>1231</v>
      </c>
      <c r="AD460" t="str">
        <f t="shared" si="796"/>
        <v>11</v>
      </c>
      <c r="AE460" t="str">
        <f t="shared" si="797"/>
        <v>26</v>
      </c>
      <c r="AF460" t="str">
        <f t="shared" si="798"/>
        <v>11</v>
      </c>
      <c r="AG460" t="str">
        <f t="shared" si="799"/>
        <v>24</v>
      </c>
      <c r="AH460" t="str">
        <f t="shared" si="736"/>
        <v>e</v>
      </c>
      <c r="AI460" t="str">
        <f t="shared" si="823"/>
        <v>d</v>
      </c>
      <c r="AJ460" t="str">
        <f t="shared" si="823"/>
        <v>d</v>
      </c>
      <c r="AK460" t="str">
        <f t="shared" si="738"/>
        <v>o</v>
      </c>
      <c r="AL460" t="str">
        <f t="shared" si="739"/>
        <v>d</v>
      </c>
      <c r="AM460" t="str">
        <f t="shared" si="800"/>
        <v>Away</v>
      </c>
      <c r="AN460" t="str">
        <f t="shared" si="740"/>
        <v>a</v>
      </c>
      <c r="AO460" t="str">
        <f t="shared" si="741"/>
        <v>o</v>
      </c>
      <c r="AP460" t="str">
        <f t="shared" si="742"/>
        <v>d</v>
      </c>
      <c r="AQ460" t="str">
        <f>IF(AM460&lt;&gt;"",AM460,IF($AC460=#REF!,#REF!,""))</f>
        <v>Away</v>
      </c>
      <c r="AR460" t="str">
        <f t="shared" si="743"/>
        <v>a</v>
      </c>
      <c r="AS460" t="str">
        <f t="shared" si="744"/>
        <v>Offensive</v>
      </c>
      <c r="AT460" t="str">
        <f t="shared" si="801"/>
        <v/>
      </c>
      <c r="AU460" t="str">
        <f t="shared" si="802"/>
        <v/>
      </c>
      <c r="AV460" t="str" cm="1">
        <f t="array" ref="AV460">IFERROR(IF(O460&lt;&gt;"",O460,IF(OR($S460="",$T460=""),"",IF(O460&lt;&gt;"",O460,IF($T460&lt;&gt;"",_xlfn._xlws.FILTER(O:O,($BT:$BT=$BT460)*($I:$I=$I460)*($T:$T=$T460)*($S:$S=_xlfn.MINIFS($S:$S,$T:$T,"="&amp;$T460)),"")))))&amp;"",IF(O460="","",""))&amp;""</f>
        <v>CutBack</v>
      </c>
      <c r="AW460" t="str" cm="1">
        <f t="array" ref="AW460">IFERROR(IF(P460&lt;&gt;"",P460,IF(OR($S460="",$T460=""),"",IF($T460&lt;&gt;"",_xlfn._xlws.FILTER(P:P,($BT:$BT=$BT460)*($I:$I=$I460)*($T:$T=$T460)*($S:$S=_xlfn.MINIFS($S:$S,$T:$T,"="&amp;$T460)),""))))&amp;"",IF(P460="","",""))&amp;""</f>
        <v>Reverse</v>
      </c>
      <c r="AX460" t="str" cm="1">
        <f t="array" ref="AX460">IFERROR(IF(Q460&lt;&gt;"",Q460,IF(OR($S460="",$T460=""),"",IF($T460&lt;&gt;"",_xlfn._xlws.FILTER(Q:Q,($BT:$BT=$BT460)*($I:$I=$I460)*($T:$T=$T460)*($S:$S=_xlfn.MINIFS($S:$S,$T:$T,"="&amp;$T460)),""))))&amp;"",IF(Q460="","",""))&amp;""</f>
        <v/>
      </c>
      <c r="AY460" t="str" cm="1">
        <f t="array" ref="AY460">IFERROR(IF(R460&lt;&gt;"",R460,IF(OR($S460="",$T460=""),"",IF($T460&lt;&gt;"",_xlfn._xlws.FILTER(R:R,($BT:$BT=$BT460)*($I:$I=$I460)*($T:$T=$T460)*($S:$S=_xlfn.MINIFS($S:$S,$T:$T,"="&amp;$T460)),""))))&amp;"",IF(R460="","",""))&amp;""</f>
        <v/>
      </c>
      <c r="AZ460" s="6">
        <f t="shared" si="803"/>
        <v>41</v>
      </c>
      <c r="BA460">
        <f t="shared" ref="BA460:BC460" si="825">BA459</f>
        <v>18991</v>
      </c>
      <c r="BB460" t="str">
        <f t="shared" si="825"/>
        <v>Triple J</v>
      </c>
      <c r="BC460" t="str">
        <f t="shared" si="825"/>
        <v>Velodrome</v>
      </c>
      <c r="BD460" t="str">
        <f t="shared" si="805"/>
        <v>Possession</v>
      </c>
      <c r="BE460" t="str">
        <f t="shared" si="806"/>
        <v>Regroup</v>
      </c>
      <c r="BF460" t="str">
        <f t="shared" si="807"/>
        <v/>
      </c>
      <c r="BG460" t="str">
        <f t="shared" si="789"/>
        <v/>
      </c>
      <c r="BH460" cm="1">
        <f t="array" aca="1" ref="BH460" ca="1">IFERROR(_xlfn._xlws.FILTER(shifts!A:A,(shifts!B:B=events!Z460)*(shifts!AG:AG&gt;=events!BJ460)*(shifts!AH:AH&lt;=events!BK460)),BH459)</f>
        <v>15</v>
      </c>
      <c r="BI460" s="15">
        <f t="shared" si="808"/>
        <v>2</v>
      </c>
      <c r="BJ460">
        <f t="shared" si="809"/>
        <v>686</v>
      </c>
      <c r="BK460">
        <f t="shared" si="810"/>
        <v>684</v>
      </c>
      <c r="BL460" s="15">
        <f>SUMIFS(BI$2:BI460,K$2:K460,"=Intermission")+SUMIFS(BI$2:BI460,K$2:K460,"=Timeout")</f>
        <v>0</v>
      </c>
      <c r="BM460">
        <f t="shared" si="811"/>
        <v>0</v>
      </c>
      <c r="BN460" s="19">
        <f t="shared" si="812"/>
        <v>394</v>
      </c>
      <c r="BO460">
        <f t="shared" si="813"/>
        <v>389</v>
      </c>
      <c r="BP460" s="17">
        <f t="shared" si="814"/>
        <v>396</v>
      </c>
      <c r="BQ460" t="str">
        <f t="shared" si="815"/>
        <v>event_team_player_1</v>
      </c>
      <c r="BR460">
        <f>COUNTIFS(S$3:S460,"="&amp;S460,AH$3:AH460,"="&amp;AH460)</f>
        <v>1</v>
      </c>
      <c r="BS460" t="str">
        <f>IFERROR(VLOOKUP(BA460&amp;BT460&amp;X460,game_rosters!U:W,3,FALSE),"")</f>
        <v>P100198</v>
      </c>
      <c r="BT460" t="str">
        <f t="shared" si="816"/>
        <v>Velodrome</v>
      </c>
    </row>
    <row r="461" spans="1:72" x14ac:dyDescent="0.2">
      <c r="A461" t="str">
        <f t="shared" si="791"/>
        <v/>
      </c>
      <c r="E461" s="4"/>
      <c r="F461" s="45"/>
      <c r="G461" s="4"/>
      <c r="H461" s="47"/>
      <c r="I461" s="26">
        <v>41</v>
      </c>
      <c r="J461" s="26" t="str">
        <f t="shared" si="817"/>
        <v/>
      </c>
      <c r="N461" t="str">
        <f t="shared" si="729"/>
        <v/>
      </c>
      <c r="Q461" t="str">
        <f t="shared" si="723"/>
        <v/>
      </c>
      <c r="S461">
        <f>IF(A461=1,MAX($S$2:$S460)+1,IF(OR($I461&lt;&gt;"",A461="x"),$S460,""))</f>
        <v>231</v>
      </c>
      <c r="T461" t="str">
        <f>IF(D461=1,MAX($T$2:$T460)+1,IF(S461=S460,$T460,IF(D461="x",T460,IF(D460="x","",""))))</f>
        <v/>
      </c>
      <c r="U461" t="str">
        <f>IF(B461=1,MAX($U$2:$U460)+1,IF(AND($T461&lt;&gt;"",$T461=$T460),$U460,IF(B461="x",U460,"")))</f>
        <v/>
      </c>
      <c r="V461" t="str">
        <f>IF(C461=1,MAX($V$2:$V460)+1,IF(AND($T461&lt;&gt;"",$T461=$T460),$U460,IF(C461="x",V460,"")))</f>
        <v/>
      </c>
      <c r="W461" t="str" cm="1">
        <f t="array" ref="W461">IFERROR(_xlfn._xlws.FILTER(game_rosters!AC:AC,(game_rosters!J:J=events!X461)*(K461&lt;&gt;"")),"")</f>
        <v/>
      </c>
      <c r="X461" cm="1">
        <f t="array" ref="X461">IF($I461&lt;&gt;"",$I461,INDEX($I$1:$I461,ROW()-COUNTIFS($T$1:$T461,"="&amp;$T461,$S$1:$S461,"&lt;"&amp;$S461)))</f>
        <v>41</v>
      </c>
      <c r="Y461" t="str" cm="1">
        <f t="array" ref="Y461">IFERROR(IF(_xlfn._xlws.FILTER(game_rosters!$J:$J,(game_rosters!$G:$G=events!$AM461)*(game_rosters!$J:$J=events!$X461))&gt;0,1,""),"")</f>
        <v/>
      </c>
      <c r="Z461" s="6">
        <f t="shared" si="792"/>
        <v>1</v>
      </c>
      <c r="AA461">
        <f t="shared" si="793"/>
        <v>1231</v>
      </c>
      <c r="AB461" t="str">
        <f t="shared" si="794"/>
        <v/>
      </c>
      <c r="AC461">
        <f t="shared" si="795"/>
        <v>1231</v>
      </c>
      <c r="AD461" t="str">
        <f t="shared" si="796"/>
        <v>11</v>
      </c>
      <c r="AE461" t="str">
        <f t="shared" si="797"/>
        <v>26</v>
      </c>
      <c r="AF461" t="str">
        <f t="shared" si="798"/>
        <v>11</v>
      </c>
      <c r="AG461" t="str">
        <f t="shared" si="799"/>
        <v>24</v>
      </c>
      <c r="AH461" t="str">
        <f t="shared" si="736"/>
        <v>o</v>
      </c>
      <c r="AI461" t="str">
        <f t="shared" si="823"/>
        <v>d</v>
      </c>
      <c r="AJ461" t="str">
        <f t="shared" si="823"/>
        <v>d</v>
      </c>
      <c r="AK461" t="str">
        <f t="shared" si="738"/>
        <v/>
      </c>
      <c r="AL461" t="str">
        <f t="shared" si="739"/>
        <v/>
      </c>
      <c r="AM461" t="str">
        <f t="shared" si="800"/>
        <v>Away</v>
      </c>
      <c r="AN461" t="str">
        <f t="shared" si="740"/>
        <v>a</v>
      </c>
      <c r="AO461" t="str">
        <f t="shared" si="741"/>
        <v>o</v>
      </c>
      <c r="AP461" t="str">
        <f t="shared" si="742"/>
        <v>d</v>
      </c>
      <c r="AQ461" t="str">
        <f>IF(AM461&lt;&gt;"",AM461,IF($AC461=#REF!,#REF!,""))</f>
        <v>Away</v>
      </c>
      <c r="AR461" t="str">
        <f t="shared" si="743"/>
        <v>a</v>
      </c>
      <c r="AS461" t="str">
        <f t="shared" si="744"/>
        <v>Defensive</v>
      </c>
      <c r="AT461" t="str">
        <f t="shared" si="801"/>
        <v/>
      </c>
      <c r="AU461" t="str">
        <f t="shared" si="802"/>
        <v/>
      </c>
      <c r="AV461" t="str" cm="1">
        <f t="array" ref="AV461">IFERROR(IF(O461&lt;&gt;"",O461,IF(OR($S461="",$T461=""),"",IF(O461&lt;&gt;"",O461,IF($T461&lt;&gt;"",_xlfn._xlws.FILTER(O:O,($BT:$BT=$BT461)*($I:$I=$I461)*($T:$T=$T461)*($S:$S=_xlfn.MINIFS($S:$S,$T:$T,"="&amp;$T461)),"")))))&amp;"",IF(O461="","",""))&amp;""</f>
        <v/>
      </c>
      <c r="AW461" t="str" cm="1">
        <f t="array" ref="AW461">IFERROR(IF(P461&lt;&gt;"",P461,IF(OR($S461="",$T461=""),"",IF($T461&lt;&gt;"",_xlfn._xlws.FILTER(P:P,($BT:$BT=$BT461)*($I:$I=$I461)*($T:$T=$T461)*($S:$S=_xlfn.MINIFS($S:$S,$T:$T,"="&amp;$T461)),""))))&amp;"",IF(P461="","",""))&amp;""</f>
        <v/>
      </c>
      <c r="AX461" t="str" cm="1">
        <f t="array" ref="AX461">IFERROR(IF(Q461&lt;&gt;"",Q461,IF(OR($S461="",$T461=""),"",IF($T461&lt;&gt;"",_xlfn._xlws.FILTER(Q:Q,($BT:$BT=$BT461)*($I:$I=$I461)*($T:$T=$T461)*($S:$S=_xlfn.MINIFS($S:$S,$T:$T,"="&amp;$T461)),""))))&amp;"",IF(Q461="","",""))&amp;""</f>
        <v/>
      </c>
      <c r="AY461" t="str" cm="1">
        <f t="array" ref="AY461">IFERROR(IF(R461&lt;&gt;"",R461,IF(OR($S461="",$T461=""),"",IF($T461&lt;&gt;"",_xlfn._xlws.FILTER(R:R,($BT:$BT=$BT461)*($I:$I=$I461)*($T:$T=$T461)*($S:$S=_xlfn.MINIFS($S:$S,$T:$T,"="&amp;$T461)),""))))&amp;"",IF(R461="","",""))&amp;""</f>
        <v/>
      </c>
      <c r="AZ461" s="6">
        <f t="shared" si="803"/>
        <v>41</v>
      </c>
      <c r="BA461">
        <f t="shared" ref="BA461:BC461" si="826">BA460</f>
        <v>18991</v>
      </c>
      <c r="BB461" t="str">
        <f t="shared" si="826"/>
        <v>Triple J</v>
      </c>
      <c r="BC461" t="str">
        <f t="shared" si="826"/>
        <v>Velodrome</v>
      </c>
      <c r="BD461" t="str">
        <f t="shared" si="805"/>
        <v>Possession</v>
      </c>
      <c r="BE461" t="str">
        <f t="shared" si="806"/>
        <v>Regroup</v>
      </c>
      <c r="BF461" t="str">
        <f t="shared" si="807"/>
        <v/>
      </c>
      <c r="BG461" t="str">
        <f t="shared" si="789"/>
        <v/>
      </c>
      <c r="BH461" cm="1">
        <f t="array" aca="1" ref="BH461" ca="1">IFERROR(_xlfn._xlws.FILTER(shifts!A:A,(shifts!B:B=events!Z461)*(shifts!AG:AG&gt;=events!BJ461)*(shifts!AH:AH&lt;=events!BK461)),BH460)</f>
        <v>15</v>
      </c>
      <c r="BI461" s="15">
        <f t="shared" si="808"/>
        <v>2</v>
      </c>
      <c r="BJ461">
        <f t="shared" si="809"/>
        <v>686</v>
      </c>
      <c r="BK461">
        <f t="shared" si="810"/>
        <v>684</v>
      </c>
      <c r="BL461" s="15">
        <f>SUMIFS(BI$2:BI461,K$2:K461,"=Intermission")+SUMIFS(BI$2:BI461,K$2:K461,"=Timeout")</f>
        <v>0</v>
      </c>
      <c r="BM461">
        <f t="shared" si="811"/>
        <v>0</v>
      </c>
      <c r="BN461" s="19">
        <f t="shared" si="812"/>
        <v>394</v>
      </c>
      <c r="BO461">
        <f t="shared" si="813"/>
        <v>389</v>
      </c>
      <c r="BP461" s="17">
        <f t="shared" si="814"/>
        <v>396</v>
      </c>
      <c r="BQ461" t="str">
        <f t="shared" si="815"/>
        <v>opp_team_player_1</v>
      </c>
      <c r="BR461">
        <f>COUNTIFS(S$3:S461,"="&amp;S461,AH$3:AH461,"="&amp;AH461)</f>
        <v>1</v>
      </c>
      <c r="BS461" t="str">
        <f>IFERROR(VLOOKUP(BA461&amp;BT461&amp;X461,game_rosters!U:W,3,FALSE),"")</f>
        <v>P100206</v>
      </c>
      <c r="BT461" t="str">
        <f t="shared" si="816"/>
        <v>Triple J</v>
      </c>
    </row>
    <row r="462" spans="1:72" x14ac:dyDescent="0.2">
      <c r="A462">
        <f t="shared" si="791"/>
        <v>1</v>
      </c>
      <c r="E462" s="4"/>
      <c r="F462" s="45"/>
      <c r="G462" s="4"/>
      <c r="H462" s="47"/>
      <c r="I462" s="26">
        <v>84</v>
      </c>
      <c r="J462" s="26" t="s">
        <v>736</v>
      </c>
      <c r="K462" t="s">
        <v>7</v>
      </c>
      <c r="L462" t="s">
        <v>172</v>
      </c>
      <c r="M462" t="s">
        <v>68</v>
      </c>
      <c r="N462" t="str">
        <f t="shared" si="729"/>
        <v>s</v>
      </c>
      <c r="Q462" t="str">
        <f t="shared" si="723"/>
        <v/>
      </c>
      <c r="S462">
        <f>IF(A462=1,MAX($S$2:$S461)+1,IF(OR($I462&lt;&gt;"",A462="x"),$S461,""))</f>
        <v>232</v>
      </c>
      <c r="T462" t="str">
        <f>IF(D462=1,MAX($T$2:$T461)+1,IF(S462=S461,$T461,IF(D462="x",T461,IF(D461="x","",""))))</f>
        <v/>
      </c>
      <c r="U462" t="str">
        <f>IF(B462=1,MAX($U$2:$U461)+1,IF(AND($T462&lt;&gt;"",$T462=$T461),$U461,IF(B462="x",U461,"")))</f>
        <v/>
      </c>
      <c r="V462" t="str">
        <f>IF(C462=1,MAX($V$2:$V461)+1,IF(AND($T462&lt;&gt;"",$T462=$T461),$U461,IF(C462="x",V461,"")))</f>
        <v/>
      </c>
      <c r="W462" t="str" cm="1">
        <f t="array" ref="W462">IFERROR(_xlfn._xlws.FILTER(game_rosters!AC:AC,(game_rosters!J:J=events!X462)*(K462&lt;&gt;"")),"")</f>
        <v>a</v>
      </c>
      <c r="X462" cm="1">
        <f t="array" ref="X462">IF($I462&lt;&gt;"",$I462,INDEX($I$1:$I462,ROW()-COUNTIFS($T$1:$T462,"="&amp;$T462,$S$1:$S462,"&lt;"&amp;$S462)))</f>
        <v>84</v>
      </c>
      <c r="Y462" cm="1">
        <f t="array" ref="Y462">IFERROR(IF(_xlfn._xlws.FILTER(game_rosters!$J:$J,(game_rosters!$G:$G=events!$AM462)*(game_rosters!$J:$J=events!$X462))&gt;0,1,""),"")</f>
        <v>1</v>
      </c>
      <c r="Z462" s="6">
        <f t="shared" si="792"/>
        <v>1</v>
      </c>
      <c r="AA462">
        <f t="shared" si="793"/>
        <v>1232</v>
      </c>
      <c r="AB462" t="str">
        <f t="shared" si="794"/>
        <v/>
      </c>
      <c r="AC462">
        <f t="shared" si="795"/>
        <v>1232</v>
      </c>
      <c r="AD462" t="str">
        <f t="shared" si="796"/>
        <v>11</v>
      </c>
      <c r="AE462" t="str">
        <f t="shared" si="797"/>
        <v>24</v>
      </c>
      <c r="AF462" t="str">
        <f t="shared" si="798"/>
        <v/>
      </c>
      <c r="AG462" t="str">
        <f t="shared" si="799"/>
        <v/>
      </c>
      <c r="AH462" t="str">
        <f t="shared" si="736"/>
        <v>e</v>
      </c>
      <c r="AI462" t="str">
        <f t="shared" si="823"/>
        <v>d</v>
      </c>
      <c r="AJ462" t="str">
        <f t="shared" si="823"/>
        <v>d</v>
      </c>
      <c r="AK462" t="str">
        <f t="shared" si="738"/>
        <v>o</v>
      </c>
      <c r="AL462" t="str">
        <f t="shared" si="739"/>
        <v>d</v>
      </c>
      <c r="AM462" t="str">
        <f t="shared" si="800"/>
        <v>Away</v>
      </c>
      <c r="AN462" t="str">
        <f t="shared" si="740"/>
        <v>a</v>
      </c>
      <c r="AO462" t="str">
        <f t="shared" si="741"/>
        <v>o</v>
      </c>
      <c r="AP462" t="str">
        <f t="shared" si="742"/>
        <v>d</v>
      </c>
      <c r="AQ462" t="str">
        <f>IF(AM462&lt;&gt;"",AM462,IF($AC462=#REF!,#REF!,""))</f>
        <v>Away</v>
      </c>
      <c r="AR462" t="str">
        <f t="shared" si="743"/>
        <v>a</v>
      </c>
      <c r="AS462" t="str">
        <f t="shared" si="744"/>
        <v>Offensive</v>
      </c>
      <c r="AT462" t="str">
        <f t="shared" si="801"/>
        <v/>
      </c>
      <c r="AU462" t="str">
        <f t="shared" si="802"/>
        <v/>
      </c>
      <c r="AV462" t="str" cm="1">
        <f t="array" ref="AV462">IFERROR(IF(O462&lt;&gt;"",O462,IF(OR($S462="",$T462=""),"",IF(O462&lt;&gt;"",O462,IF($T462&lt;&gt;"",_xlfn._xlws.FILTER(O:O,($BT:$BT=$BT462)*($I:$I=$I462)*($T:$T=$T462)*($S:$S=_xlfn.MINIFS($S:$S,$T:$T,"="&amp;$T462)),"")))))&amp;"",IF(O462="","",""))&amp;""</f>
        <v/>
      </c>
      <c r="AW462" t="str" cm="1">
        <f t="array" ref="AW462">IFERROR(IF(P462&lt;&gt;"",P462,IF(OR($S462="",$T462=""),"",IF($T462&lt;&gt;"",_xlfn._xlws.FILTER(P:P,($BT:$BT=$BT462)*($I:$I=$I462)*($T:$T=$T462)*($S:$S=_xlfn.MINIFS($S:$S,$T:$T,"="&amp;$T462)),""))))&amp;"",IF(P462="","",""))&amp;""</f>
        <v/>
      </c>
      <c r="AX462" t="str" cm="1">
        <f t="array" ref="AX462">IFERROR(IF(Q462&lt;&gt;"",Q462,IF(OR($S462="",$T462=""),"",IF($T462&lt;&gt;"",_xlfn._xlws.FILTER(Q:Q,($BT:$BT=$BT462)*($I:$I=$I462)*($T:$T=$T462)*($S:$S=_xlfn.MINIFS($S:$S,$T:$T,"="&amp;$T462)),""))))&amp;"",IF(Q462="","",""))&amp;""</f>
        <v/>
      </c>
      <c r="AY462" t="str" cm="1">
        <f t="array" ref="AY462">IFERROR(IF(R462&lt;&gt;"",R462,IF(OR($S462="",$T462=""),"",IF($T462&lt;&gt;"",_xlfn._xlws.FILTER(R:R,($BT:$BT=$BT462)*($I:$I=$I462)*($T:$T=$T462)*($S:$S=_xlfn.MINIFS($S:$S,$T:$T,"="&amp;$T462)),""))))&amp;"",IF(R462="","",""))&amp;""</f>
        <v/>
      </c>
      <c r="AZ462" s="6">
        <f t="shared" si="803"/>
        <v>41</v>
      </c>
      <c r="BA462">
        <f t="shared" ref="BA462:BC462" si="827">BA461</f>
        <v>18991</v>
      </c>
      <c r="BB462" t="str">
        <f t="shared" si="827"/>
        <v>Triple J</v>
      </c>
      <c r="BC462" t="str">
        <f t="shared" si="827"/>
        <v>Velodrome</v>
      </c>
      <c r="BD462" t="str">
        <f t="shared" si="805"/>
        <v>Pass</v>
      </c>
      <c r="BE462" t="str">
        <f t="shared" si="806"/>
        <v>Pass_Completed</v>
      </c>
      <c r="BF462" t="str">
        <f t="shared" si="807"/>
        <v>Pass-Forehand</v>
      </c>
      <c r="BG462" t="str">
        <f t="shared" si="789"/>
        <v>s</v>
      </c>
      <c r="BH462" cm="1">
        <f t="array" aca="1" ref="BH462" ca="1">IFERROR(_xlfn._xlws.FILTER(shifts!A:A,(shifts!B:B=events!Z462)*(shifts!AG:AG&gt;=events!BJ462)*(shifts!AH:AH&lt;=events!BK462)),BH461)</f>
        <v>15</v>
      </c>
      <c r="BI462" s="15">
        <f t="shared" si="808"/>
        <v>0</v>
      </c>
      <c r="BJ462">
        <f t="shared" si="809"/>
        <v>684</v>
      </c>
      <c r="BK462">
        <f t="shared" si="810"/>
        <v>684</v>
      </c>
      <c r="BL462" s="15">
        <f>SUMIFS(BI$2:BI462,K$2:K462,"=Intermission")+SUMIFS(BI$2:BI462,K$2:K462,"=Timeout")</f>
        <v>0</v>
      </c>
      <c r="BM462">
        <f t="shared" si="811"/>
        <v>0</v>
      </c>
      <c r="BN462" s="19">
        <f t="shared" si="812"/>
        <v>396</v>
      </c>
      <c r="BO462">
        <f t="shared" si="813"/>
        <v>391</v>
      </c>
      <c r="BP462" s="17">
        <f t="shared" si="814"/>
        <v>396</v>
      </c>
      <c r="BQ462" t="str">
        <f t="shared" si="815"/>
        <v>event_team_player_1</v>
      </c>
      <c r="BR462">
        <f>COUNTIFS(S$3:S462,"="&amp;S462,AH$3:AH462,"="&amp;AH462)</f>
        <v>1</v>
      </c>
      <c r="BS462" t="str">
        <f>IFERROR(VLOOKUP(BA462&amp;BT462&amp;X462,game_rosters!U:W,3,FALSE),"")</f>
        <v>P100198</v>
      </c>
      <c r="BT462" t="str">
        <f t="shared" si="816"/>
        <v>Velodrome</v>
      </c>
    </row>
    <row r="463" spans="1:72" x14ac:dyDescent="0.2">
      <c r="A463" t="str">
        <f t="shared" si="791"/>
        <v/>
      </c>
      <c r="E463" s="4"/>
      <c r="F463" s="45"/>
      <c r="G463" s="4"/>
      <c r="H463" s="47"/>
      <c r="I463" s="26">
        <v>93</v>
      </c>
      <c r="J463" s="26" t="str">
        <f t="shared" si="817"/>
        <v/>
      </c>
      <c r="N463" t="str">
        <f t="shared" si="729"/>
        <v/>
      </c>
      <c r="Q463" t="str">
        <f t="shared" si="723"/>
        <v/>
      </c>
      <c r="S463">
        <f>IF(A463=1,MAX($S$2:$S462)+1,IF(OR($I463&lt;&gt;"",A463="x"),$S462,""))</f>
        <v>232</v>
      </c>
      <c r="T463" t="str">
        <f>IF(D463=1,MAX($T$2:$T462)+1,IF(S463=S462,$T462,IF(D463="x",T462,IF(D462="x","",""))))</f>
        <v/>
      </c>
      <c r="U463" t="str">
        <f>IF(B463=1,MAX($U$2:$U462)+1,IF(AND($T463&lt;&gt;"",$T463=$T462),$U462,IF(B463="x",U462,"")))</f>
        <v/>
      </c>
      <c r="V463" t="str">
        <f>IF(C463=1,MAX($V$2:$V462)+1,IF(AND($T463&lt;&gt;"",$T463=$T462),$U462,IF(C463="x",V462,"")))</f>
        <v/>
      </c>
      <c r="W463" t="str" cm="1">
        <f t="array" ref="W463">IFERROR(_xlfn._xlws.FILTER(game_rosters!AC:AC,(game_rosters!J:J=events!X463)*(K463&lt;&gt;"")),"")</f>
        <v/>
      </c>
      <c r="X463" cm="1">
        <f t="array" ref="X463">IF($I463&lt;&gt;"",$I463,INDEX($I$1:$I463,ROW()-COUNTIFS($T$1:$T463,"="&amp;$T463,$S$1:$S463,"&lt;"&amp;$S463)))</f>
        <v>93</v>
      </c>
      <c r="Y463" cm="1">
        <f t="array" ref="Y463">IFERROR(IF(_xlfn._xlws.FILTER(game_rosters!$J:$J,(game_rosters!$G:$G=events!$AM463)*(game_rosters!$J:$J=events!$X463))&gt;0,1,""),"")</f>
        <v>1</v>
      </c>
      <c r="Z463" s="6">
        <f t="shared" si="792"/>
        <v>1</v>
      </c>
      <c r="AA463">
        <f t="shared" si="793"/>
        <v>1232</v>
      </c>
      <c r="AB463" t="str">
        <f t="shared" si="794"/>
        <v/>
      </c>
      <c r="AC463">
        <f t="shared" si="795"/>
        <v>1232</v>
      </c>
      <c r="AD463" t="str">
        <f t="shared" si="796"/>
        <v>11</v>
      </c>
      <c r="AE463" t="str">
        <f t="shared" si="797"/>
        <v>24</v>
      </c>
      <c r="AF463" t="str">
        <f t="shared" si="798"/>
        <v/>
      </c>
      <c r="AG463" t="str">
        <f t="shared" si="799"/>
        <v/>
      </c>
      <c r="AH463" t="str">
        <f t="shared" si="736"/>
        <v>e</v>
      </c>
      <c r="AI463" t="str">
        <f t="shared" si="823"/>
        <v>d</v>
      </c>
      <c r="AJ463" t="str">
        <f t="shared" si="823"/>
        <v>d</v>
      </c>
      <c r="AK463" t="str">
        <f t="shared" si="738"/>
        <v/>
      </c>
      <c r="AL463" t="str">
        <f t="shared" si="739"/>
        <v/>
      </c>
      <c r="AM463" t="str">
        <f t="shared" si="800"/>
        <v>Away</v>
      </c>
      <c r="AN463" t="str">
        <f t="shared" si="740"/>
        <v>a</v>
      </c>
      <c r="AO463" t="str">
        <f t="shared" si="741"/>
        <v>o</v>
      </c>
      <c r="AP463" t="str">
        <f t="shared" si="742"/>
        <v>d</v>
      </c>
      <c r="AQ463" t="str">
        <f>IF(AM463&lt;&gt;"",AM463,IF($AC463=#REF!,#REF!,""))</f>
        <v>Away</v>
      </c>
      <c r="AR463" t="str">
        <f t="shared" si="743"/>
        <v>a</v>
      </c>
      <c r="AS463" t="str">
        <f t="shared" si="744"/>
        <v>Offensive</v>
      </c>
      <c r="AT463" t="str">
        <f t="shared" si="801"/>
        <v/>
      </c>
      <c r="AU463" t="str">
        <f t="shared" si="802"/>
        <v/>
      </c>
      <c r="AV463" t="str" cm="1">
        <f t="array" ref="AV463">IFERROR(IF(O463&lt;&gt;"",O463,IF(OR($S463="",$T463=""),"",IF(O463&lt;&gt;"",O463,IF($T463&lt;&gt;"",_xlfn._xlws.FILTER(O:O,($BT:$BT=$BT463)*($I:$I=$I463)*($T:$T=$T463)*($S:$S=_xlfn.MINIFS($S:$S,$T:$T,"="&amp;$T463)),"")))))&amp;"",IF(O463="","",""))&amp;""</f>
        <v/>
      </c>
      <c r="AW463" t="str" cm="1">
        <f t="array" ref="AW463">IFERROR(IF(P463&lt;&gt;"",P463,IF(OR($S463="",$T463=""),"",IF($T463&lt;&gt;"",_xlfn._xlws.FILTER(P:P,($BT:$BT=$BT463)*($I:$I=$I463)*($T:$T=$T463)*($S:$S=_xlfn.MINIFS($S:$S,$T:$T,"="&amp;$T463)),""))))&amp;"",IF(P463="","",""))&amp;""</f>
        <v/>
      </c>
      <c r="AX463" t="str" cm="1">
        <f t="array" ref="AX463">IFERROR(IF(Q463&lt;&gt;"",Q463,IF(OR($S463="",$T463=""),"",IF($T463&lt;&gt;"",_xlfn._xlws.FILTER(Q:Q,($BT:$BT=$BT463)*($I:$I=$I463)*($T:$T=$T463)*($S:$S=_xlfn.MINIFS($S:$S,$T:$T,"="&amp;$T463)),""))))&amp;"",IF(Q463="","",""))&amp;""</f>
        <v/>
      </c>
      <c r="AY463" t="str" cm="1">
        <f t="array" ref="AY463">IFERROR(IF(R463&lt;&gt;"",R463,IF(OR($S463="",$T463=""),"",IF($T463&lt;&gt;"",_xlfn._xlws.FILTER(R:R,($BT:$BT=$BT463)*($I:$I=$I463)*($T:$T=$T463)*($S:$S=_xlfn.MINIFS($S:$S,$T:$T,"="&amp;$T463)),""))))&amp;"",IF(R463="","",""))&amp;""</f>
        <v/>
      </c>
      <c r="AZ463" s="6">
        <f t="shared" si="803"/>
        <v>41</v>
      </c>
      <c r="BA463">
        <f t="shared" ref="BA463:BC463" si="828">BA462</f>
        <v>18991</v>
      </c>
      <c r="BB463" t="str">
        <f t="shared" si="828"/>
        <v>Triple J</v>
      </c>
      <c r="BC463" t="str">
        <f t="shared" si="828"/>
        <v>Velodrome</v>
      </c>
      <c r="BD463" t="str">
        <f t="shared" si="805"/>
        <v>Pass</v>
      </c>
      <c r="BE463" t="str">
        <f t="shared" si="806"/>
        <v>Pass_Completed</v>
      </c>
      <c r="BF463" t="str">
        <f t="shared" si="807"/>
        <v>Pass-Forehand</v>
      </c>
      <c r="BG463" t="str">
        <f t="shared" si="789"/>
        <v>s</v>
      </c>
      <c r="BH463" cm="1">
        <f t="array" aca="1" ref="BH463" ca="1">IFERROR(_xlfn._xlws.FILTER(shifts!A:A,(shifts!B:B=events!Z463)*(shifts!AG:AG&gt;=events!BJ463)*(shifts!AH:AH&lt;=events!BK463)),BH462)</f>
        <v>15</v>
      </c>
      <c r="BI463" s="15">
        <f t="shared" si="808"/>
        <v>0</v>
      </c>
      <c r="BJ463">
        <f t="shared" si="809"/>
        <v>684</v>
      </c>
      <c r="BK463">
        <f t="shared" si="810"/>
        <v>684</v>
      </c>
      <c r="BL463" s="15">
        <f>SUMIFS(BI$2:BI463,K$2:K463,"=Intermission")+SUMIFS(BI$2:BI463,K$2:K463,"=Timeout")</f>
        <v>0</v>
      </c>
      <c r="BM463">
        <f t="shared" si="811"/>
        <v>0</v>
      </c>
      <c r="BN463" s="19">
        <f t="shared" si="812"/>
        <v>396</v>
      </c>
      <c r="BO463">
        <f t="shared" si="813"/>
        <v>391</v>
      </c>
      <c r="BP463" s="17">
        <f t="shared" si="814"/>
        <v>396</v>
      </c>
      <c r="BQ463" t="str">
        <f t="shared" si="815"/>
        <v>event_team_player_2</v>
      </c>
      <c r="BR463">
        <f>COUNTIFS(S$3:S463,"="&amp;S463,AH$3:AH463,"="&amp;AH463)</f>
        <v>2</v>
      </c>
      <c r="BS463" t="str">
        <f>IFERROR(VLOOKUP(BA463&amp;BT463&amp;X463,game_rosters!U:W,3,FALSE),"")</f>
        <v>P100093</v>
      </c>
      <c r="BT463" t="str">
        <f t="shared" si="816"/>
        <v>Velodrome</v>
      </c>
    </row>
    <row r="464" spans="1:72" x14ac:dyDescent="0.2">
      <c r="A464">
        <f t="shared" si="791"/>
        <v>1</v>
      </c>
      <c r="D464" s="26">
        <v>1</v>
      </c>
      <c r="E464" s="4"/>
      <c r="F464" s="45"/>
      <c r="G464" s="4"/>
      <c r="H464" s="47"/>
      <c r="I464" s="26">
        <v>93</v>
      </c>
      <c r="J464" s="26" t="s">
        <v>736</v>
      </c>
      <c r="K464" t="s">
        <v>7</v>
      </c>
      <c r="L464" t="s">
        <v>182</v>
      </c>
      <c r="M464" t="s">
        <v>68</v>
      </c>
      <c r="N464" t="str">
        <f t="shared" si="729"/>
        <v>u</v>
      </c>
      <c r="O464" t="s">
        <v>576</v>
      </c>
      <c r="Q464" t="str">
        <f t="shared" ref="Q464:Q527" si="829">IF(O464="","",IF(AND(N464&lt;&gt;"",OR(O464&lt;&gt;"",P464&lt;&gt;"")),N464,IF(OR(ISNUMBER(SEARCH("attemp",O464)),ISNUMBER(SEARCH("beat",O464)),ISNUMBER(SEARCH("mis",O464)),ISNUMBER(SEARCH("fail",O464)),ISNUMBER(SEARCH("loss",O464)),ISNUMBER(SEARCH("lost",O464)),ISNUMBER(SEARCH("attemp",P464)),ISNUMBER(SEARCH("mis",P464)),ISNUMBER(SEARCH("fail",P464)),ISNUMBER(SEARCH("loss",P464)),ISNUMBER(SEARCH("beat",P464)),ISNUMBER(SEARCH("lost",P464))),"u","")))</f>
        <v>u</v>
      </c>
      <c r="R464" s="26">
        <v>1</v>
      </c>
      <c r="S464">
        <f>IF(A464=1,MAX($S$2:$S463)+1,IF(OR($I464&lt;&gt;"",A464="x"),$S463,""))</f>
        <v>233</v>
      </c>
      <c r="T464">
        <f>IF(D464=1,MAX($T$2:$T463)+1,IF(S464=S463,$T463,IF(D464="x",T463,IF(D463="x","",""))))</f>
        <v>30</v>
      </c>
      <c r="U464" t="str">
        <f>IF(B464=1,MAX($U$2:$U463)+1,IF(AND($T464&lt;&gt;"",$T464=$T463),$U463,IF(B464="x",U463,"")))</f>
        <v/>
      </c>
      <c r="V464" t="str">
        <f>IF(C464=1,MAX($V$2:$V463)+1,IF(AND($T464&lt;&gt;"",$T464=$T463),$U463,IF(C464="x",V463,"")))</f>
        <v/>
      </c>
      <c r="W464" t="str" cm="1">
        <f t="array" ref="W464">IFERROR(_xlfn._xlws.FILTER(game_rosters!AC:AC,(game_rosters!J:J=events!X464)*(K464&lt;&gt;"")),"")</f>
        <v>a</v>
      </c>
      <c r="X464" cm="1">
        <f t="array" ref="X464">IF($I464&lt;&gt;"",$I464,INDEX($I$1:$I464,ROW()-COUNTIFS($T$1:$T464,"="&amp;$T464,$S$1:$S464,"&lt;"&amp;$S464)))</f>
        <v>93</v>
      </c>
      <c r="Y464" cm="1">
        <f t="array" ref="Y464">IFERROR(IF(_xlfn._xlws.FILTER(game_rosters!$J:$J,(game_rosters!$G:$G=events!$AM464)*(game_rosters!$J:$J=events!$X464))&gt;0,1,""),"")</f>
        <v>1</v>
      </c>
      <c r="Z464" s="6">
        <f t="shared" si="792"/>
        <v>1</v>
      </c>
      <c r="AA464">
        <f t="shared" si="793"/>
        <v>1233</v>
      </c>
      <c r="AB464">
        <f t="shared" si="794"/>
        <v>9030</v>
      </c>
      <c r="AC464">
        <f t="shared" si="795"/>
        <v>9030</v>
      </c>
      <c r="AD464" t="str">
        <f t="shared" si="796"/>
        <v>11</v>
      </c>
      <c r="AE464" t="str">
        <f t="shared" si="797"/>
        <v>24</v>
      </c>
      <c r="AF464" t="str">
        <f t="shared" si="798"/>
        <v/>
      </c>
      <c r="AG464" t="str">
        <f t="shared" si="799"/>
        <v/>
      </c>
      <c r="AH464" t="str">
        <f t="shared" si="736"/>
        <v>e</v>
      </c>
      <c r="AI464" t="str">
        <f t="shared" si="823"/>
        <v>d</v>
      </c>
      <c r="AJ464" t="str">
        <f t="shared" si="823"/>
        <v>d</v>
      </c>
      <c r="AK464" t="str">
        <f t="shared" si="738"/>
        <v>o</v>
      </c>
      <c r="AL464" t="str">
        <f t="shared" si="739"/>
        <v>d</v>
      </c>
      <c r="AM464" t="str">
        <f t="shared" si="800"/>
        <v>Away</v>
      </c>
      <c r="AN464" t="str">
        <f t="shared" si="740"/>
        <v>a</v>
      </c>
      <c r="AO464" t="str">
        <f t="shared" si="741"/>
        <v>o</v>
      </c>
      <c r="AP464" t="str">
        <f t="shared" si="742"/>
        <v>d</v>
      </c>
      <c r="AQ464" t="str">
        <f>IF(AM464&lt;&gt;"",AM464,IF($AC464=#REF!,#REF!,""))</f>
        <v>Away</v>
      </c>
      <c r="AR464" t="str">
        <f t="shared" si="743"/>
        <v>a</v>
      </c>
      <c r="AS464" t="str">
        <f t="shared" si="744"/>
        <v>Offensive</v>
      </c>
      <c r="AT464" t="str">
        <f t="shared" si="801"/>
        <v/>
      </c>
      <c r="AU464" t="str">
        <f t="shared" si="802"/>
        <v/>
      </c>
      <c r="AV464" t="str" cm="1">
        <f t="array" ref="AV464">IFERROR(IF(O464&lt;&gt;"",O464,IF(OR($S464="",$T464=""),"",IF(O464&lt;&gt;"",O464,IF($T464&lt;&gt;"",_xlfn._xlws.FILTER(O:O,($BT:$BT=$BT464)*($I:$I=$I464)*($T:$T=$T464)*($S:$S=_xlfn.MINIFS($S:$S,$T:$T,"="&amp;$T464)),"")))))&amp;"",IF(O464="","",""))&amp;""</f>
        <v>SecondTouch</v>
      </c>
      <c r="AW464" t="str" cm="1">
        <f t="array" ref="AW464">IFERROR(IF(P464&lt;&gt;"",P464,IF(OR($S464="",$T464=""),"",IF($T464&lt;&gt;"",_xlfn._xlws.FILTER(P:P,($BT:$BT=$BT464)*($I:$I=$I464)*($T:$T=$T464)*($S:$S=_xlfn.MINIFS($S:$S,$T:$T,"="&amp;$T464)),""))))&amp;"",IF(P464="","",""))&amp;""</f>
        <v/>
      </c>
      <c r="AX464" t="str" cm="1">
        <f t="array" ref="AX464">IFERROR(IF(Q464&lt;&gt;"",Q464,IF(OR($S464="",$T464=""),"",IF($T464&lt;&gt;"",_xlfn._xlws.FILTER(Q:Q,($BT:$BT=$BT464)*($I:$I=$I464)*($T:$T=$T464)*($S:$S=_xlfn.MINIFS($S:$S,$T:$T,"="&amp;$T464)),""))))&amp;"",IF(Q464="","",""))&amp;""</f>
        <v>u</v>
      </c>
      <c r="AY464" t="str" cm="1">
        <f t="array" ref="AY464">IFERROR(IF(R464&lt;&gt;"",R464,IF(OR($S464="",$T464=""),"",IF($T464&lt;&gt;"",_xlfn._xlws.FILTER(R:R,($BT:$BT=$BT464)*($I:$I=$I464)*($T:$T=$T464)*($S:$S=_xlfn.MINIFS($S:$S,$T:$T,"="&amp;$T464)),""))))&amp;"",IF(R464="","",""))&amp;""</f>
        <v>1</v>
      </c>
      <c r="AZ464" s="6">
        <f t="shared" si="803"/>
        <v>41</v>
      </c>
      <c r="BA464">
        <f t="shared" ref="BA464:BC464" si="830">BA463</f>
        <v>18991</v>
      </c>
      <c r="BB464" t="str">
        <f t="shared" si="830"/>
        <v>Triple J</v>
      </c>
      <c r="BC464" t="str">
        <f t="shared" si="830"/>
        <v>Velodrome</v>
      </c>
      <c r="BD464" t="str">
        <f t="shared" si="805"/>
        <v>Pass</v>
      </c>
      <c r="BE464" t="str">
        <f t="shared" si="806"/>
        <v>Pass_Missed</v>
      </c>
      <c r="BF464" t="str">
        <f t="shared" si="807"/>
        <v>Pass-Forehand</v>
      </c>
      <c r="BG464" t="str">
        <f t="shared" si="789"/>
        <v>u</v>
      </c>
      <c r="BH464" cm="1">
        <f t="array" aca="1" ref="BH464" ca="1">IFERROR(_xlfn._xlws.FILTER(shifts!A:A,(shifts!B:B=events!Z464)*(shifts!AG:AG&gt;=events!BJ464)*(shifts!AH:AH&lt;=events!BK464)),BH463)</f>
        <v>15</v>
      </c>
      <c r="BI464" s="15">
        <f t="shared" si="808"/>
        <v>0</v>
      </c>
      <c r="BJ464">
        <f t="shared" si="809"/>
        <v>684</v>
      </c>
      <c r="BK464">
        <f t="shared" si="810"/>
        <v>684</v>
      </c>
      <c r="BL464" s="15">
        <f>SUMIFS(BI$2:BI464,K$2:K464,"=Intermission")+SUMIFS(BI$2:BI464,K$2:K464,"=Timeout")</f>
        <v>0</v>
      </c>
      <c r="BM464">
        <f t="shared" si="811"/>
        <v>0</v>
      </c>
      <c r="BN464" s="19">
        <f t="shared" si="812"/>
        <v>396</v>
      </c>
      <c r="BO464">
        <f t="shared" si="813"/>
        <v>391</v>
      </c>
      <c r="BP464" s="17">
        <f t="shared" si="814"/>
        <v>396</v>
      </c>
      <c r="BQ464" t="str">
        <f t="shared" si="815"/>
        <v>event_team_player_1</v>
      </c>
      <c r="BR464">
        <f>COUNTIFS(S$3:S464,"="&amp;S464,AH$3:AH464,"="&amp;AH464)</f>
        <v>1</v>
      </c>
      <c r="BS464" t="str">
        <f>IFERROR(VLOOKUP(BA464&amp;BT464&amp;X464,game_rosters!U:W,3,FALSE),"")</f>
        <v>P100093</v>
      </c>
      <c r="BT464" t="str">
        <f t="shared" si="816"/>
        <v>Velodrome</v>
      </c>
    </row>
    <row r="465" spans="1:72" x14ac:dyDescent="0.2">
      <c r="A465" t="str">
        <f t="shared" si="791"/>
        <v>x</v>
      </c>
      <c r="D465" s="26" t="s">
        <v>729</v>
      </c>
      <c r="E465" s="4"/>
      <c r="F465" s="45"/>
      <c r="G465" s="4"/>
      <c r="H465" s="47"/>
      <c r="I465" s="26">
        <v>14</v>
      </c>
      <c r="J465" s="26" t="str">
        <f t="shared" si="817"/>
        <v/>
      </c>
      <c r="N465" t="str">
        <f t="shared" si="729"/>
        <v/>
      </c>
      <c r="Q465" t="str">
        <f t="shared" si="829"/>
        <v/>
      </c>
      <c r="S465">
        <f>IF(A465=1,MAX($S$2:$S464)+1,IF(OR($I465&lt;&gt;"",A465="x"),$S464,""))</f>
        <v>233</v>
      </c>
      <c r="T465">
        <f>IF(D465=1,MAX($T$2:$T464)+1,IF(S465=S464,$T464,IF(D465="x",T464,IF(D464="x","",""))))</f>
        <v>30</v>
      </c>
      <c r="U465" t="str">
        <f>IF(B465=1,MAX($U$2:$U464)+1,IF(AND($T465&lt;&gt;"",$T465=$T464),$U464,IF(B465="x",U464,"")))</f>
        <v/>
      </c>
      <c r="V465" t="str">
        <f>IF(C465=1,MAX($V$2:$V464)+1,IF(AND($T465&lt;&gt;"",$T465=$T464),$U464,IF(C465="x",V464,"")))</f>
        <v/>
      </c>
      <c r="W465" t="str" cm="1">
        <f t="array" ref="W465">IFERROR(_xlfn._xlws.FILTER(game_rosters!AC:AC,(game_rosters!J:J=events!X465)*(K465&lt;&gt;"")),"")</f>
        <v/>
      </c>
      <c r="X465" cm="1">
        <f t="array" ref="X465">IF($I465&lt;&gt;"",$I465,INDEX($I$1:$I465,ROW()-COUNTIFS($T$1:$T465,"="&amp;$T465,$S$1:$S465,"&lt;"&amp;$S465)))</f>
        <v>14</v>
      </c>
      <c r="Y465" cm="1">
        <f t="array" ref="Y465">IFERROR(IF(_xlfn._xlws.FILTER(game_rosters!$J:$J,(game_rosters!$G:$G=events!$AM465)*(game_rosters!$J:$J=events!$X465))&gt;0,1,""),"")</f>
        <v>1</v>
      </c>
      <c r="Z465" s="6">
        <f t="shared" si="792"/>
        <v>1</v>
      </c>
      <c r="AA465">
        <f t="shared" si="793"/>
        <v>1233</v>
      </c>
      <c r="AB465">
        <f t="shared" si="794"/>
        <v>9030</v>
      </c>
      <c r="AC465">
        <f t="shared" si="795"/>
        <v>9030</v>
      </c>
      <c r="AD465" t="str">
        <f t="shared" si="796"/>
        <v>11</v>
      </c>
      <c r="AE465" t="str">
        <f t="shared" si="797"/>
        <v>24</v>
      </c>
      <c r="AF465" t="str">
        <f t="shared" si="798"/>
        <v/>
      </c>
      <c r="AG465" t="str">
        <f t="shared" si="799"/>
        <v/>
      </c>
      <c r="AH465" t="str">
        <f t="shared" si="736"/>
        <v>e</v>
      </c>
      <c r="AI465" t="str">
        <f t="shared" si="823"/>
        <v>d</v>
      </c>
      <c r="AJ465" t="str">
        <f t="shared" si="823"/>
        <v>d</v>
      </c>
      <c r="AK465" t="str">
        <f t="shared" si="738"/>
        <v/>
      </c>
      <c r="AL465" t="str">
        <f t="shared" si="739"/>
        <v/>
      </c>
      <c r="AM465" t="str">
        <f t="shared" si="800"/>
        <v>Away</v>
      </c>
      <c r="AN465" t="str">
        <f t="shared" si="740"/>
        <v>a</v>
      </c>
      <c r="AO465" t="str">
        <f t="shared" si="741"/>
        <v>o</v>
      </c>
      <c r="AP465" t="str">
        <f t="shared" si="742"/>
        <v>d</v>
      </c>
      <c r="AQ465" t="str">
        <f>IF(AM465&lt;&gt;"",AM465,IF($AC465=#REF!,#REF!,""))</f>
        <v>Away</v>
      </c>
      <c r="AR465" t="str">
        <f t="shared" si="743"/>
        <v>a</v>
      </c>
      <c r="AS465" t="str">
        <f t="shared" si="744"/>
        <v>Offensive</v>
      </c>
      <c r="AT465" t="str">
        <f t="shared" si="801"/>
        <v/>
      </c>
      <c r="AU465" t="str">
        <f t="shared" si="802"/>
        <v/>
      </c>
      <c r="AV465" t="str" cm="1">
        <f t="array" ref="AV465">IFERROR(IF(O465&lt;&gt;"",O465,IF(OR($S465="",$T465=""),"",IF(O465&lt;&gt;"",O465,IF($T465&lt;&gt;"",_xlfn._xlws.FILTER(O:O,($BT:$BT=$BT465)*($I:$I=$I465)*($T:$T=$T465)*($S:$S=_xlfn.MINIFS($S:$S,$T:$T,"="&amp;$T465)),"")))))&amp;"",IF(O465="","",""))&amp;""</f>
        <v/>
      </c>
      <c r="AW465" t="str" cm="1">
        <f t="array" ref="AW465">IFERROR(IF(P465&lt;&gt;"",P465,IF(OR($S465="",$T465=""),"",IF($T465&lt;&gt;"",_xlfn._xlws.FILTER(P:P,($BT:$BT=$BT465)*($I:$I=$I465)*($T:$T=$T465)*($S:$S=_xlfn.MINIFS($S:$S,$T:$T,"="&amp;$T465)),""))))&amp;"",IF(P465="","",""))&amp;""</f>
        <v/>
      </c>
      <c r="AX465" t="str" cm="1">
        <f t="array" ref="AX465">IFERROR(IF(Q465&lt;&gt;"",Q465,IF(OR($S465="",$T465=""),"",IF($T465&lt;&gt;"",_xlfn._xlws.FILTER(Q:Q,($BT:$BT=$BT465)*($I:$I=$I465)*($T:$T=$T465)*($S:$S=_xlfn.MINIFS($S:$S,$T:$T,"="&amp;$T465)),""))))&amp;"",IF(Q465="","",""))&amp;""</f>
        <v/>
      </c>
      <c r="AY465" t="str" cm="1">
        <f t="array" ref="AY465">IFERROR(IF(R465&lt;&gt;"",R465,IF(OR($S465="",$T465=""),"",IF($T465&lt;&gt;"",_xlfn._xlws.FILTER(R:R,($BT:$BT=$BT465)*($I:$I=$I465)*($T:$T=$T465)*($S:$S=_xlfn.MINIFS($S:$S,$T:$T,"="&amp;$T465)),""))))&amp;"",IF(R465="","",""))&amp;""</f>
        <v/>
      </c>
      <c r="AZ465" s="6">
        <f t="shared" si="803"/>
        <v>41</v>
      </c>
      <c r="BA465">
        <f t="shared" ref="BA465:BC465" si="831">BA464</f>
        <v>18991</v>
      </c>
      <c r="BB465" t="str">
        <f t="shared" si="831"/>
        <v>Triple J</v>
      </c>
      <c r="BC465" t="str">
        <f t="shared" si="831"/>
        <v>Velodrome</v>
      </c>
      <c r="BD465" t="str">
        <f t="shared" si="805"/>
        <v>Pass</v>
      </c>
      <c r="BE465" t="str">
        <f t="shared" si="806"/>
        <v>Pass_Missed</v>
      </c>
      <c r="BF465" t="str">
        <f t="shared" si="807"/>
        <v>Pass-Forehand</v>
      </c>
      <c r="BG465" t="str">
        <f t="shared" si="789"/>
        <v>u</v>
      </c>
      <c r="BH465" cm="1">
        <f t="array" aca="1" ref="BH465" ca="1">IFERROR(_xlfn._xlws.FILTER(shifts!A:A,(shifts!B:B=events!Z465)*(shifts!AG:AG&gt;=events!BJ465)*(shifts!AH:AH&lt;=events!BK465)),BH464)</f>
        <v>15</v>
      </c>
      <c r="BI465" s="15">
        <f t="shared" si="808"/>
        <v>0</v>
      </c>
      <c r="BJ465">
        <f t="shared" si="809"/>
        <v>684</v>
      </c>
      <c r="BK465">
        <f t="shared" si="810"/>
        <v>684</v>
      </c>
      <c r="BL465" s="15">
        <f>SUMIFS(BI$2:BI465,K$2:K465,"=Intermission")+SUMIFS(BI$2:BI465,K$2:K465,"=Timeout")</f>
        <v>0</v>
      </c>
      <c r="BM465">
        <f t="shared" si="811"/>
        <v>0</v>
      </c>
      <c r="BN465" s="19">
        <f t="shared" si="812"/>
        <v>396</v>
      </c>
      <c r="BO465">
        <f t="shared" si="813"/>
        <v>391</v>
      </c>
      <c r="BP465" s="17">
        <f t="shared" si="814"/>
        <v>396</v>
      </c>
      <c r="BQ465" t="str">
        <f t="shared" si="815"/>
        <v>event_team_player_2</v>
      </c>
      <c r="BR465">
        <f>COUNTIFS(S$3:S465,"="&amp;S465,AH$3:AH465,"="&amp;AH465)</f>
        <v>2</v>
      </c>
      <c r="BS465" t="str">
        <f>IFERROR(VLOOKUP(BA465&amp;BT465&amp;X465,game_rosters!U:W,3,FALSE),"")</f>
        <v>P100132</v>
      </c>
      <c r="BT465" t="str">
        <f t="shared" si="816"/>
        <v>Velodrome</v>
      </c>
    </row>
    <row r="466" spans="1:72" x14ac:dyDescent="0.2">
      <c r="A466" t="str">
        <f t="shared" si="791"/>
        <v>x</v>
      </c>
      <c r="D466" s="26" t="s">
        <v>729</v>
      </c>
      <c r="E466" s="4"/>
      <c r="F466" s="45"/>
      <c r="G466" s="4"/>
      <c r="H466" s="47"/>
      <c r="I466" s="26">
        <v>21</v>
      </c>
      <c r="J466" s="26" t="str">
        <f t="shared" si="817"/>
        <v/>
      </c>
      <c r="N466" t="str">
        <f t="shared" si="729"/>
        <v/>
      </c>
      <c r="O466" t="s">
        <v>566</v>
      </c>
      <c r="Q466" t="str">
        <f t="shared" si="829"/>
        <v/>
      </c>
      <c r="R466" s="26">
        <v>1</v>
      </c>
      <c r="S466">
        <f>IF(A466=1,MAX($S$2:$S465)+1,IF(OR($I466&lt;&gt;"",A466="x"),$S465,""))</f>
        <v>233</v>
      </c>
      <c r="T466">
        <f>IF(D466=1,MAX($T$2:$T465)+1,IF(S466=S465,$T465,IF(D466="x",T465,IF(D465="x","",""))))</f>
        <v>30</v>
      </c>
      <c r="U466" t="str">
        <f>IF(B466=1,MAX($U$2:$U465)+1,IF(AND($T466&lt;&gt;"",$T466=$T465),$U465,IF(B466="x",U465,"")))</f>
        <v/>
      </c>
      <c r="V466" t="str">
        <f>IF(C466=1,MAX($V$2:$V465)+1,IF(AND($T466&lt;&gt;"",$T466=$T465),$U465,IF(C466="x",V465,"")))</f>
        <v/>
      </c>
      <c r="W466" t="str" cm="1">
        <f t="array" ref="W466">IFERROR(_xlfn._xlws.FILTER(game_rosters!AC:AC,(game_rosters!J:J=events!X466)*(K466&lt;&gt;"")),"")</f>
        <v/>
      </c>
      <c r="X466" cm="1">
        <f t="array" ref="X466">IF($I466&lt;&gt;"",$I466,INDEX($I$1:$I466,ROW()-COUNTIFS($T$1:$T466,"="&amp;$T466,$S$1:$S466,"&lt;"&amp;$S466)))</f>
        <v>21</v>
      </c>
      <c r="Y466" t="str" cm="1">
        <f t="array" ref="Y466">IFERROR(IF(_xlfn._xlws.FILTER(game_rosters!$J:$J,(game_rosters!$G:$G=events!$AM466)*(game_rosters!$J:$J=events!$X466))&gt;0,1,""),"")</f>
        <v/>
      </c>
      <c r="Z466" s="6">
        <f t="shared" si="792"/>
        <v>1</v>
      </c>
      <c r="AA466">
        <f t="shared" si="793"/>
        <v>1233</v>
      </c>
      <c r="AB466">
        <f t="shared" si="794"/>
        <v>9030</v>
      </c>
      <c r="AC466">
        <f t="shared" si="795"/>
        <v>9030</v>
      </c>
      <c r="AD466" t="str">
        <f t="shared" si="796"/>
        <v>11</v>
      </c>
      <c r="AE466" t="str">
        <f t="shared" si="797"/>
        <v>24</v>
      </c>
      <c r="AF466" t="str">
        <f t="shared" si="798"/>
        <v/>
      </c>
      <c r="AG466" t="str">
        <f t="shared" si="799"/>
        <v/>
      </c>
      <c r="AH466" t="str">
        <f t="shared" si="736"/>
        <v>o</v>
      </c>
      <c r="AI466" t="str">
        <f t="shared" si="823"/>
        <v>d</v>
      </c>
      <c r="AJ466" t="str">
        <f t="shared" si="823"/>
        <v>d</v>
      </c>
      <c r="AK466" t="str">
        <f t="shared" si="738"/>
        <v/>
      </c>
      <c r="AL466" t="str">
        <f t="shared" si="739"/>
        <v/>
      </c>
      <c r="AM466" t="str">
        <f t="shared" si="800"/>
        <v>Away</v>
      </c>
      <c r="AN466" t="str">
        <f t="shared" si="740"/>
        <v>a</v>
      </c>
      <c r="AO466" t="str">
        <f t="shared" si="741"/>
        <v>o</v>
      </c>
      <c r="AP466" t="str">
        <f t="shared" si="742"/>
        <v>d</v>
      </c>
      <c r="AQ466" t="str">
        <f>IF(AM466&lt;&gt;"",AM466,IF($AC466=#REF!,#REF!,""))</f>
        <v>Away</v>
      </c>
      <c r="AR466" t="str">
        <f t="shared" si="743"/>
        <v>a</v>
      </c>
      <c r="AS466" t="str">
        <f t="shared" si="744"/>
        <v>Defensive</v>
      </c>
      <c r="AT466" t="str">
        <f t="shared" si="801"/>
        <v/>
      </c>
      <c r="AU466" t="str">
        <f t="shared" si="802"/>
        <v/>
      </c>
      <c r="AV466" t="str" cm="1">
        <f t="array" ref="AV466">IFERROR(IF(O466&lt;&gt;"",O466,IF(OR($S466="",$T466=""),"",IF(O466&lt;&gt;"",O466,IF($T466&lt;&gt;"",_xlfn._xlws.FILTER(O:O,($BT:$BT=$BT466)*($I:$I=$I466)*($T:$T=$T466)*($S:$S=_xlfn.MINIFS($S:$S,$T:$T,"="&amp;$T466)),"")))))&amp;"",IF(O466="","",""))&amp;""</f>
        <v>InShotPassLane</v>
      </c>
      <c r="AW466" t="str" cm="1">
        <f t="array" ref="AW466">IFERROR(IF(P466&lt;&gt;"",P466,IF(OR($S466="",$T466=""),"",IF($T466&lt;&gt;"",_xlfn._xlws.FILTER(P:P,($BT:$BT=$BT466)*($I:$I=$I466)*($T:$T=$T466)*($S:$S=_xlfn.MINIFS($S:$S,$T:$T,"="&amp;$T466)),""))))&amp;"",IF(P466="","",""))&amp;""</f>
        <v/>
      </c>
      <c r="AX466" t="str" cm="1">
        <f t="array" ref="AX466">IFERROR(IF(Q466&lt;&gt;"",Q466,IF(OR($S466="",$T466=""),"",IF($T466&lt;&gt;"",_xlfn._xlws.FILTER(Q:Q,($BT:$BT=$BT466)*($I:$I=$I466)*($T:$T=$T466)*($S:$S=_xlfn.MINIFS($S:$S,$T:$T,"="&amp;$T466)),""))))&amp;"",IF(Q466="","",""))&amp;""</f>
        <v/>
      </c>
      <c r="AY466" t="str" cm="1">
        <f t="array" ref="AY466">IFERROR(IF(R466&lt;&gt;"",R466,IF(OR($S466="",$T466=""),"",IF($T466&lt;&gt;"",_xlfn._xlws.FILTER(R:R,($BT:$BT=$BT466)*($I:$I=$I466)*($T:$T=$T466)*($S:$S=_xlfn.MINIFS($S:$S,$T:$T,"="&amp;$T466)),""))))&amp;"",IF(R466="","",""))&amp;""</f>
        <v>1</v>
      </c>
      <c r="AZ466" s="6">
        <f t="shared" si="803"/>
        <v>41</v>
      </c>
      <c r="BA466">
        <f t="shared" ref="BA466:BC466" si="832">BA465</f>
        <v>18991</v>
      </c>
      <c r="BB466" t="str">
        <f t="shared" si="832"/>
        <v>Triple J</v>
      </c>
      <c r="BC466" t="str">
        <f t="shared" si="832"/>
        <v>Velodrome</v>
      </c>
      <c r="BD466" t="str">
        <f t="shared" si="805"/>
        <v>Pass</v>
      </c>
      <c r="BE466" t="str">
        <f t="shared" si="806"/>
        <v>Pass_Missed</v>
      </c>
      <c r="BF466" t="str">
        <f t="shared" si="807"/>
        <v>Pass-Forehand</v>
      </c>
      <c r="BG466" t="str">
        <f t="shared" si="789"/>
        <v>u</v>
      </c>
      <c r="BH466" cm="1">
        <f t="array" aca="1" ref="BH466" ca="1">IFERROR(_xlfn._xlws.FILTER(shifts!A:A,(shifts!B:B=events!Z466)*(shifts!AG:AG&gt;=events!BJ466)*(shifts!AH:AH&lt;=events!BK466)),BH465)</f>
        <v>15</v>
      </c>
      <c r="BI466" s="15">
        <f t="shared" si="808"/>
        <v>0</v>
      </c>
      <c r="BJ466">
        <f t="shared" si="809"/>
        <v>684</v>
      </c>
      <c r="BK466">
        <f t="shared" si="810"/>
        <v>684</v>
      </c>
      <c r="BL466" s="15">
        <f>SUMIFS(BI$2:BI466,K$2:K466,"=Intermission")+SUMIFS(BI$2:BI466,K$2:K466,"=Timeout")</f>
        <v>0</v>
      </c>
      <c r="BM466">
        <f t="shared" si="811"/>
        <v>0</v>
      </c>
      <c r="BN466" s="19">
        <f t="shared" si="812"/>
        <v>396</v>
      </c>
      <c r="BO466">
        <f t="shared" si="813"/>
        <v>391</v>
      </c>
      <c r="BP466" s="17">
        <f t="shared" si="814"/>
        <v>396</v>
      </c>
      <c r="BQ466" t="str">
        <f t="shared" si="815"/>
        <v>opp_team_player_1</v>
      </c>
      <c r="BR466">
        <f>COUNTIFS(S$3:S466,"="&amp;S466,AH$3:AH466,"="&amp;AH466)</f>
        <v>1</v>
      </c>
      <c r="BS466" t="str">
        <f>IFERROR(VLOOKUP(BA466&amp;BT466&amp;X466,game_rosters!U:W,3,FALSE),"")</f>
        <v>P100019</v>
      </c>
      <c r="BT466" t="str">
        <f t="shared" si="816"/>
        <v>Triple J</v>
      </c>
    </row>
    <row r="467" spans="1:72" x14ac:dyDescent="0.2">
      <c r="A467">
        <f t="shared" si="791"/>
        <v>1</v>
      </c>
      <c r="D467" s="26" t="s">
        <v>729</v>
      </c>
      <c r="E467" s="4"/>
      <c r="F467" s="45"/>
      <c r="G467" s="4"/>
      <c r="H467" s="47"/>
      <c r="J467" s="26" t="str">
        <f t="shared" si="817"/>
        <v>d</v>
      </c>
      <c r="K467" t="s">
        <v>238</v>
      </c>
      <c r="L467" t="s">
        <v>184</v>
      </c>
      <c r="M467" t="s">
        <v>376</v>
      </c>
      <c r="N467" t="str">
        <f t="shared" si="729"/>
        <v>u</v>
      </c>
      <c r="Q467" t="str">
        <f t="shared" si="829"/>
        <v/>
      </c>
      <c r="S467">
        <f>IF(A467=1,MAX($S$2:$S466)+1,IF(OR($I467&lt;&gt;"",A467="x"),$S466,""))</f>
        <v>234</v>
      </c>
      <c r="T467">
        <f>IF(D467=1,MAX($T$2:$T466)+1,IF(S467=S466,$T466,IF(D467="x",T466,IF(D466="x","",""))))</f>
        <v>30</v>
      </c>
      <c r="U467" t="str">
        <f>IF(B467=1,MAX($U$2:$U466)+1,IF(AND($T467&lt;&gt;"",$T467=$T466),$U466,IF(B467="x",U466,"")))</f>
        <v/>
      </c>
      <c r="V467" t="str">
        <f>IF(C467=1,MAX($V$2:$V466)+1,IF(AND($T467&lt;&gt;"",$T467=$T466),$U466,IF(C467="x",V466,"")))</f>
        <v/>
      </c>
      <c r="W467" t="str" cm="1">
        <f t="array" ref="W467">IFERROR(_xlfn._xlws.FILTER(game_rosters!AC:AC,(game_rosters!J:J=events!X467)*(K467&lt;&gt;"")),"")</f>
        <v>a</v>
      </c>
      <c r="X467" cm="1">
        <f t="array" ref="X467">IF($I467&lt;&gt;"",$I467,INDEX($I$1:$I467,ROW()-COUNTIFS($T$1:$T467,"="&amp;$T467,$S$1:$S467,"&lt;"&amp;$S467)))</f>
        <v>93</v>
      </c>
      <c r="Y467" cm="1">
        <f t="array" ref="Y467">IFERROR(IF(_xlfn._xlws.FILTER(game_rosters!$J:$J,(game_rosters!$G:$G=events!$AM467)*(game_rosters!$J:$J=events!$X467))&gt;0,1,""),"")</f>
        <v>1</v>
      </c>
      <c r="Z467" s="6">
        <f t="shared" si="792"/>
        <v>1</v>
      </c>
      <c r="AA467">
        <f t="shared" si="793"/>
        <v>1234</v>
      </c>
      <c r="AB467">
        <f t="shared" si="794"/>
        <v>9030</v>
      </c>
      <c r="AC467">
        <f t="shared" si="795"/>
        <v>9030</v>
      </c>
      <c r="AD467" t="str">
        <f t="shared" si="796"/>
        <v>11</v>
      </c>
      <c r="AE467" t="str">
        <f t="shared" si="797"/>
        <v>24</v>
      </c>
      <c r="AF467" t="str">
        <f t="shared" si="798"/>
        <v/>
      </c>
      <c r="AG467" t="str">
        <f t="shared" si="799"/>
        <v/>
      </c>
      <c r="AH467" t="str">
        <f t="shared" si="736"/>
        <v>e</v>
      </c>
      <c r="AI467" t="str">
        <f t="shared" si="823"/>
        <v>d</v>
      </c>
      <c r="AJ467" t="str">
        <f t="shared" si="823"/>
        <v>d</v>
      </c>
      <c r="AK467" t="str">
        <f t="shared" si="738"/>
        <v>o</v>
      </c>
      <c r="AL467" t="str">
        <f t="shared" si="739"/>
        <v>d</v>
      </c>
      <c r="AM467" t="str">
        <f t="shared" si="800"/>
        <v>Away</v>
      </c>
      <c r="AN467" t="str">
        <f t="shared" si="740"/>
        <v>a</v>
      </c>
      <c r="AO467" t="str">
        <f t="shared" si="741"/>
        <v>o</v>
      </c>
      <c r="AP467" t="str">
        <f t="shared" si="742"/>
        <v>d</v>
      </c>
      <c r="AQ467" t="str">
        <f>IF(AM467&lt;&gt;"",AM467,IF($AC467=#REF!,#REF!,""))</f>
        <v>Away</v>
      </c>
      <c r="AR467" t="str">
        <f t="shared" si="743"/>
        <v>a</v>
      </c>
      <c r="AS467" t="str">
        <f t="shared" si="744"/>
        <v>Offensive</v>
      </c>
      <c r="AT467" t="str">
        <f t="shared" si="801"/>
        <v/>
      </c>
      <c r="AU467" t="str">
        <f t="shared" si="802"/>
        <v/>
      </c>
      <c r="AV467" t="str" cm="1">
        <f t="array" ref="AV467">IFERROR(IF(O467&lt;&gt;"",O467,IF(OR($S467="",$T467=""),"",IF(O467&lt;&gt;"",O467,IF($T467&lt;&gt;"",_xlfn._xlws.FILTER(O:O,($BT:$BT=$BT467)*($I:$I=$I467)*($T:$T=$T467)*($S:$S=_xlfn.MINIFS($S:$S,$T:$T,"="&amp;$T467)),"")))))&amp;"",IF(O467="","",""))&amp;""</f>
        <v/>
      </c>
      <c r="AW467" t="str" cm="1">
        <f t="array" ref="AW467">IFERROR(IF(P467&lt;&gt;"",P467,IF(OR($S467="",$T467=""),"",IF($T467&lt;&gt;"",_xlfn._xlws.FILTER(P:P,($BT:$BT=$BT467)*($I:$I=$I467)*($T:$T=$T467)*($S:$S=_xlfn.MINIFS($S:$S,$T:$T,"="&amp;$T467)),""))))&amp;"",IF(P467="","",""))&amp;""</f>
        <v/>
      </c>
      <c r="AX467" t="str" cm="1">
        <f t="array" ref="AX467">IFERROR(IF(Q467&lt;&gt;"",Q467,IF(OR($S467="",$T467=""),"",IF($T467&lt;&gt;"",_xlfn._xlws.FILTER(Q:Q,($BT:$BT=$BT467)*($I:$I=$I467)*($T:$T=$T467)*($S:$S=_xlfn.MINIFS($S:$S,$T:$T,"="&amp;$T467)),""))))&amp;"",IF(Q467="","",""))&amp;""</f>
        <v/>
      </c>
      <c r="AY467" t="str" cm="1">
        <f t="array" ref="AY467">IFERROR(IF(R467&lt;&gt;"",R467,IF(OR($S467="",$T467=""),"",IF($T467&lt;&gt;"",_xlfn._xlws.FILTER(R:R,($BT:$BT=$BT467)*($I:$I=$I467)*($T:$T=$T467)*($S:$S=_xlfn.MINIFS($S:$S,$T:$T,"="&amp;$T467)),""))))&amp;"",IF(R467="","",""))&amp;""</f>
        <v/>
      </c>
      <c r="AZ467" s="6">
        <f t="shared" si="803"/>
        <v>42</v>
      </c>
      <c r="BA467">
        <f t="shared" ref="BA467:BC467" si="833">BA466</f>
        <v>18991</v>
      </c>
      <c r="BB467" t="str">
        <f t="shared" si="833"/>
        <v>Triple J</v>
      </c>
      <c r="BC467" t="str">
        <f t="shared" si="833"/>
        <v>Velodrome</v>
      </c>
      <c r="BD467" t="str">
        <f t="shared" si="805"/>
        <v>Zone_Entry_Exit</v>
      </c>
      <c r="BE467" t="str">
        <f t="shared" si="806"/>
        <v>Zone_Exit</v>
      </c>
      <c r="BF467" t="str">
        <f t="shared" si="807"/>
        <v>ZoneExit-PassMiss/Misplay</v>
      </c>
      <c r="BG467" t="str">
        <f t="shared" si="789"/>
        <v>u</v>
      </c>
      <c r="BH467" cm="1">
        <f t="array" aca="1" ref="BH467" ca="1">IFERROR(_xlfn._xlws.FILTER(shifts!A:A,(shifts!B:B=events!Z467)*(shifts!AG:AG&gt;=events!BJ467)*(shifts!AH:AH&lt;=events!BK467)),BH466)</f>
        <v>15</v>
      </c>
      <c r="BI467" s="15">
        <f t="shared" si="808"/>
        <v>0</v>
      </c>
      <c r="BJ467">
        <f t="shared" si="809"/>
        <v>684</v>
      </c>
      <c r="BK467">
        <f t="shared" si="810"/>
        <v>684</v>
      </c>
      <c r="BL467" s="15">
        <f>SUMIFS(BI$2:BI467,K$2:K467,"=Intermission")+SUMIFS(BI$2:BI467,K$2:K467,"=Timeout")</f>
        <v>0</v>
      </c>
      <c r="BM467">
        <f t="shared" si="811"/>
        <v>0</v>
      </c>
      <c r="BN467" s="19">
        <f t="shared" si="812"/>
        <v>396</v>
      </c>
      <c r="BO467">
        <f t="shared" si="813"/>
        <v>391</v>
      </c>
      <c r="BP467" s="17">
        <f t="shared" si="814"/>
        <v>396</v>
      </c>
      <c r="BQ467" t="str">
        <f t="shared" si="815"/>
        <v>event_team_player_1</v>
      </c>
      <c r="BR467">
        <f>COUNTIFS(S$3:S467,"="&amp;S467,AH$3:AH467,"="&amp;AH467)</f>
        <v>1</v>
      </c>
      <c r="BS467" t="str">
        <f>IFERROR(VLOOKUP(BA467&amp;BT467&amp;X467,game_rosters!U:W,3,FALSE),"")</f>
        <v>P100093</v>
      </c>
      <c r="BT467" t="str">
        <f t="shared" si="816"/>
        <v>Velodrome</v>
      </c>
    </row>
    <row r="468" spans="1:72" x14ac:dyDescent="0.2">
      <c r="A468" t="str">
        <f t="shared" si="791"/>
        <v>x</v>
      </c>
      <c r="D468" s="26" t="s">
        <v>729</v>
      </c>
      <c r="E468" s="4"/>
      <c r="F468" s="45"/>
      <c r="G468" s="4"/>
      <c r="H468" s="47"/>
      <c r="J468" s="26" t="str">
        <f t="shared" si="817"/>
        <v/>
      </c>
      <c r="N468" t="str">
        <f t="shared" si="729"/>
        <v/>
      </c>
      <c r="Q468" t="str">
        <f t="shared" si="829"/>
        <v/>
      </c>
      <c r="S468">
        <f>IF(A468=1,MAX($S$2:$S467)+1,IF(OR($I468&lt;&gt;"",A468="x"),$S467,""))</f>
        <v>234</v>
      </c>
      <c r="T468">
        <f>IF(D468=1,MAX($T$2:$T467)+1,IF(S468=S467,$T467,IF(D468="x",T467,IF(D467="x","",""))))</f>
        <v>30</v>
      </c>
      <c r="U468" t="str">
        <f>IF(B468=1,MAX($U$2:$U467)+1,IF(AND($T468&lt;&gt;"",$T468=$T467),$U467,IF(B468="x",U467,"")))</f>
        <v/>
      </c>
      <c r="V468" t="str">
        <f>IF(C468=1,MAX($V$2:$V467)+1,IF(AND($T468&lt;&gt;"",$T468=$T467),$U467,IF(C468="x",V467,"")))</f>
        <v/>
      </c>
      <c r="W468" t="str" cm="1">
        <f t="array" ref="W468">IFERROR(_xlfn._xlws.FILTER(game_rosters!AC:AC,(game_rosters!J:J=events!X468)*(K468&lt;&gt;"")),"")</f>
        <v/>
      </c>
      <c r="X468" cm="1">
        <f t="array" ref="X468">IF($I468&lt;&gt;"",$I468,INDEX($I$1:$I468,ROW()-COUNTIFS($T$1:$T468,"="&amp;$T468,$S$1:$S468,"&lt;"&amp;$S468)))</f>
        <v>14</v>
      </c>
      <c r="Y468" cm="1">
        <f t="array" ref="Y468">IFERROR(IF(_xlfn._xlws.FILTER(game_rosters!$J:$J,(game_rosters!$G:$G=events!$AM468)*(game_rosters!$J:$J=events!$X468))&gt;0,1,""),"")</f>
        <v>1</v>
      </c>
      <c r="Z468" s="6">
        <f t="shared" si="792"/>
        <v>1</v>
      </c>
      <c r="AA468">
        <f t="shared" si="793"/>
        <v>1234</v>
      </c>
      <c r="AB468">
        <f t="shared" si="794"/>
        <v>9030</v>
      </c>
      <c r="AC468">
        <f t="shared" si="795"/>
        <v>9030</v>
      </c>
      <c r="AD468" t="str">
        <f t="shared" si="796"/>
        <v>11</v>
      </c>
      <c r="AE468" t="str">
        <f t="shared" si="797"/>
        <v>24</v>
      </c>
      <c r="AF468" t="str">
        <f t="shared" si="798"/>
        <v/>
      </c>
      <c r="AG468" t="str">
        <f t="shared" si="799"/>
        <v/>
      </c>
      <c r="AH468" t="str">
        <f t="shared" si="736"/>
        <v>e</v>
      </c>
      <c r="AI468" t="str">
        <f t="shared" si="823"/>
        <v>d</v>
      </c>
      <c r="AJ468" t="str">
        <f t="shared" si="823"/>
        <v>d</v>
      </c>
      <c r="AK468" t="str">
        <f t="shared" si="738"/>
        <v/>
      </c>
      <c r="AL468" t="str">
        <f t="shared" si="739"/>
        <v/>
      </c>
      <c r="AM468" t="str">
        <f t="shared" si="800"/>
        <v>Away</v>
      </c>
      <c r="AN468" t="str">
        <f t="shared" si="740"/>
        <v>a</v>
      </c>
      <c r="AO468" t="str">
        <f t="shared" si="741"/>
        <v>o</v>
      </c>
      <c r="AP468" t="str">
        <f t="shared" si="742"/>
        <v>d</v>
      </c>
      <c r="AQ468" t="str">
        <f>IF(AM468&lt;&gt;"",AM468,IF($AC468=#REF!,#REF!,""))</f>
        <v>Away</v>
      </c>
      <c r="AR468" t="str">
        <f t="shared" si="743"/>
        <v>a</v>
      </c>
      <c r="AS468" t="str">
        <f t="shared" si="744"/>
        <v>Offensive</v>
      </c>
      <c r="AT468" t="str">
        <f t="shared" si="801"/>
        <v/>
      </c>
      <c r="AU468" t="str">
        <f t="shared" si="802"/>
        <v/>
      </c>
      <c r="AV468" t="str" cm="1">
        <f t="array" ref="AV468">IFERROR(IF(O468&lt;&gt;"",O468,IF(OR($S468="",$T468=""),"",IF(O468&lt;&gt;"",O468,IF($T468&lt;&gt;"",_xlfn._xlws.FILTER(O:O,($BT:$BT=$BT468)*($I:$I=$I468)*($T:$T=$T468)*($S:$S=_xlfn.MINIFS($S:$S,$T:$T,"="&amp;$T468)),"")))))&amp;"",IF(O468="","",""))&amp;""</f>
        <v/>
      </c>
      <c r="AW468" t="str" cm="1">
        <f t="array" ref="AW468">IFERROR(IF(P468&lt;&gt;"",P468,IF(OR($S468="",$T468=""),"",IF($T468&lt;&gt;"",_xlfn._xlws.FILTER(P:P,($BT:$BT=$BT468)*($I:$I=$I468)*($T:$T=$T468)*($S:$S=_xlfn.MINIFS($S:$S,$T:$T,"="&amp;$T468)),""))))&amp;"",IF(P468="","",""))&amp;""</f>
        <v/>
      </c>
      <c r="AX468" t="str" cm="1">
        <f t="array" ref="AX468">IFERROR(IF(Q468&lt;&gt;"",Q468,IF(OR($S468="",$T468=""),"",IF($T468&lt;&gt;"",_xlfn._xlws.FILTER(Q:Q,($BT:$BT=$BT468)*($I:$I=$I468)*($T:$T=$T468)*($S:$S=_xlfn.MINIFS($S:$S,$T:$T,"="&amp;$T468)),""))))&amp;"",IF(Q468="","",""))&amp;""</f>
        <v/>
      </c>
      <c r="AY468" t="str" cm="1">
        <f t="array" ref="AY468">IFERROR(IF(R468&lt;&gt;"",R468,IF(OR($S468="",$T468=""),"",IF($T468&lt;&gt;"",_xlfn._xlws.FILTER(R:R,($BT:$BT=$BT468)*($I:$I=$I468)*($T:$T=$T468)*($S:$S=_xlfn.MINIFS($S:$S,$T:$T,"="&amp;$T468)),""))))&amp;"",IF(R468="","",""))&amp;""</f>
        <v/>
      </c>
      <c r="AZ468" s="6">
        <f t="shared" si="803"/>
        <v>42</v>
      </c>
      <c r="BA468">
        <f t="shared" ref="BA468:BC468" si="834">BA467</f>
        <v>18991</v>
      </c>
      <c r="BB468" t="str">
        <f t="shared" si="834"/>
        <v>Triple J</v>
      </c>
      <c r="BC468" t="str">
        <f t="shared" si="834"/>
        <v>Velodrome</v>
      </c>
      <c r="BD468" t="str">
        <f t="shared" si="805"/>
        <v>Zone_Entry_Exit</v>
      </c>
      <c r="BE468" t="str">
        <f t="shared" si="806"/>
        <v>Zone_Exit</v>
      </c>
      <c r="BF468" t="str">
        <f t="shared" si="807"/>
        <v>ZoneExit-PassMiss/Misplay</v>
      </c>
      <c r="BG468" t="str">
        <f t="shared" si="789"/>
        <v>u</v>
      </c>
      <c r="BH468" cm="1">
        <f t="array" aca="1" ref="BH468" ca="1">IFERROR(_xlfn._xlws.FILTER(shifts!A:A,(shifts!B:B=events!Z468)*(shifts!AG:AG&gt;=events!BJ468)*(shifts!AH:AH&lt;=events!BK468)),BH467)</f>
        <v>15</v>
      </c>
      <c r="BI468" s="15">
        <f t="shared" si="808"/>
        <v>0</v>
      </c>
      <c r="BJ468">
        <f t="shared" si="809"/>
        <v>684</v>
      </c>
      <c r="BK468">
        <f t="shared" si="810"/>
        <v>684</v>
      </c>
      <c r="BL468" s="15">
        <f>SUMIFS(BI$2:BI468,K$2:K468,"=Intermission")+SUMIFS(BI$2:BI468,K$2:K468,"=Timeout")</f>
        <v>0</v>
      </c>
      <c r="BM468">
        <f t="shared" si="811"/>
        <v>0</v>
      </c>
      <c r="BN468" s="19">
        <f t="shared" si="812"/>
        <v>396</v>
      </c>
      <c r="BO468">
        <f t="shared" si="813"/>
        <v>391</v>
      </c>
      <c r="BP468" s="17">
        <f t="shared" si="814"/>
        <v>396</v>
      </c>
      <c r="BQ468" t="str">
        <f t="shared" si="815"/>
        <v>event_team_player_2</v>
      </c>
      <c r="BR468">
        <f>COUNTIFS(S$3:S468,"="&amp;S468,AH$3:AH468,"="&amp;AH468)</f>
        <v>2</v>
      </c>
      <c r="BS468" t="str">
        <f>IFERROR(VLOOKUP(BA468&amp;BT468&amp;X468,game_rosters!U:W,3,FALSE),"")</f>
        <v>P100132</v>
      </c>
      <c r="BT468" t="str">
        <f t="shared" si="816"/>
        <v>Velodrome</v>
      </c>
    </row>
    <row r="469" spans="1:72" x14ac:dyDescent="0.2">
      <c r="A469" t="str">
        <f t="shared" si="791"/>
        <v>x</v>
      </c>
      <c r="D469" s="26" t="s">
        <v>729</v>
      </c>
      <c r="E469" s="4"/>
      <c r="F469" s="45"/>
      <c r="G469" s="4"/>
      <c r="H469" s="47"/>
      <c r="J469" s="26" t="str">
        <f t="shared" si="817"/>
        <v/>
      </c>
      <c r="N469" t="str">
        <f t="shared" ref="N469:N532" si="835">IF(K469="","",IF(K469="Goal","s",IF(AND(K469="Zone_Entry_Exit",OR(ISNUMBER(SEARCH("fail",L469)),ISNUMBER(SEARCH("FromExitClear",M469)),ISNUMBER(SEARCH("miss",M469)))),"u",IF(AND(K469="Zone_Entry_Exit",OR(NOT(ISNUMBER(SEARCH("fail",L469))),NOT(ISNUMBER(SEARCH("FromExitClear",M469))),NOT(ISNUMBER(SEARCH("miss",M469))))),"s",IF(AND(OR(K469="Shot",K469="Pass"),OR(ISNUMBER(SEARCH("complete",L469)),ISNUMBER(SEARCH("goal",L469)),ISNUMBER(SEARCH("OnNet",L469)))),"s",IF(L469="Turnover_Giveaway","u",IF(AND(OR(K469="Shot",K469="Pass"),OR(ISNUMBER(SEARCH("fail",L469)),NOT(ISNUMBER(SEARCH("complete",L469))),NOT(ISNUMBER(SEARCH("OnNet",L469))))),"u","")))))))</f>
        <v/>
      </c>
      <c r="Q469" t="str">
        <f t="shared" si="829"/>
        <v/>
      </c>
      <c r="S469">
        <f>IF(A469=1,MAX($S$2:$S468)+1,IF(OR($I469&lt;&gt;"",A469="x"),$S468,""))</f>
        <v>234</v>
      </c>
      <c r="T469">
        <f>IF(D469=1,MAX($T$2:$T468)+1,IF(S469=S468,$T468,IF(D469="x",T468,IF(D468="x","",""))))</f>
        <v>30</v>
      </c>
      <c r="U469" t="str">
        <f>IF(B469=1,MAX($U$2:$U468)+1,IF(AND($T469&lt;&gt;"",$T469=$T468),$U468,IF(B469="x",U468,"")))</f>
        <v/>
      </c>
      <c r="V469" t="str">
        <f>IF(C469=1,MAX($V$2:$V468)+1,IF(AND($T469&lt;&gt;"",$T469=$T468),$U468,IF(C469="x",V468,"")))</f>
        <v/>
      </c>
      <c r="W469" t="str" cm="1">
        <f t="array" ref="W469">IFERROR(_xlfn._xlws.FILTER(game_rosters!AC:AC,(game_rosters!J:J=events!X469)*(K469&lt;&gt;"")),"")</f>
        <v/>
      </c>
      <c r="X469" cm="1">
        <f t="array" ref="X469">IF($I469&lt;&gt;"",$I469,INDEX($I$1:$I469,ROW()-COUNTIFS($T$1:$T469,"="&amp;$T469,$S$1:$S469,"&lt;"&amp;$S469)))</f>
        <v>21</v>
      </c>
      <c r="Y469" t="str" cm="1">
        <f t="array" ref="Y469">IFERROR(IF(_xlfn._xlws.FILTER(game_rosters!$J:$J,(game_rosters!$G:$G=events!$AM469)*(game_rosters!$J:$J=events!$X469))&gt;0,1,""),"")</f>
        <v/>
      </c>
      <c r="Z469" s="6">
        <f t="shared" si="792"/>
        <v>1</v>
      </c>
      <c r="AA469">
        <f t="shared" si="793"/>
        <v>1234</v>
      </c>
      <c r="AB469">
        <f t="shared" si="794"/>
        <v>9030</v>
      </c>
      <c r="AC469">
        <f t="shared" si="795"/>
        <v>9030</v>
      </c>
      <c r="AD469" t="str">
        <f t="shared" si="796"/>
        <v>11</v>
      </c>
      <c r="AE469" t="str">
        <f t="shared" si="797"/>
        <v>24</v>
      </c>
      <c r="AF469" t="str">
        <f t="shared" si="798"/>
        <v/>
      </c>
      <c r="AG469" t="str">
        <f t="shared" si="799"/>
        <v/>
      </c>
      <c r="AH469" t="str">
        <f t="shared" si="736"/>
        <v>o</v>
      </c>
      <c r="AI469" t="str">
        <f t="shared" si="823"/>
        <v>d</v>
      </c>
      <c r="AJ469" t="str">
        <f t="shared" si="823"/>
        <v>d</v>
      </c>
      <c r="AK469" t="str">
        <f t="shared" si="738"/>
        <v/>
      </c>
      <c r="AL469" t="str">
        <f t="shared" si="739"/>
        <v/>
      </c>
      <c r="AM469" t="str">
        <f t="shared" si="800"/>
        <v>Away</v>
      </c>
      <c r="AN469" t="str">
        <f t="shared" si="740"/>
        <v>a</v>
      </c>
      <c r="AO469" t="str">
        <f t="shared" si="741"/>
        <v>o</v>
      </c>
      <c r="AP469" t="str">
        <f t="shared" si="742"/>
        <v>d</v>
      </c>
      <c r="AQ469" t="str">
        <f>IF(AM469&lt;&gt;"",AM469,IF($AC469=#REF!,#REF!,""))</f>
        <v>Away</v>
      </c>
      <c r="AR469" t="str">
        <f t="shared" si="743"/>
        <v>a</v>
      </c>
      <c r="AS469" t="str">
        <f t="shared" si="744"/>
        <v>Defensive</v>
      </c>
      <c r="AT469" t="str">
        <f t="shared" si="801"/>
        <v/>
      </c>
      <c r="AU469" t="str">
        <f t="shared" si="802"/>
        <v/>
      </c>
      <c r="AV469" t="str" cm="1">
        <f t="array" ref="AV469">IFERROR(IF(O469&lt;&gt;"",O469,IF(OR($S469="",$T469=""),"",IF(O469&lt;&gt;"",O469,IF($T469&lt;&gt;"",_xlfn._xlws.FILTER(O:O,($BT:$BT=$BT469)*($I:$I=$I469)*($T:$T=$T469)*($S:$S=_xlfn.MINIFS($S:$S,$T:$T,"="&amp;$T469)),"")))))&amp;"",IF(O469="","",""))&amp;""</f>
        <v/>
      </c>
      <c r="AW469" t="str" cm="1">
        <f t="array" ref="AW469">IFERROR(IF(P469&lt;&gt;"",P469,IF(OR($S469="",$T469=""),"",IF($T469&lt;&gt;"",_xlfn._xlws.FILTER(P:P,($BT:$BT=$BT469)*($I:$I=$I469)*($T:$T=$T469)*($S:$S=_xlfn.MINIFS($S:$S,$T:$T,"="&amp;$T469)),""))))&amp;"",IF(P469="","",""))&amp;""</f>
        <v/>
      </c>
      <c r="AX469" t="str" cm="1">
        <f t="array" ref="AX469">IFERROR(IF(Q469&lt;&gt;"",Q469,IF(OR($S469="",$T469=""),"",IF($T469&lt;&gt;"",_xlfn._xlws.FILTER(Q:Q,($BT:$BT=$BT469)*($I:$I=$I469)*($T:$T=$T469)*($S:$S=_xlfn.MINIFS($S:$S,$T:$T,"="&amp;$T469)),""))))&amp;"",IF(Q469="","",""))&amp;""</f>
        <v/>
      </c>
      <c r="AY469" t="str" cm="1">
        <f t="array" ref="AY469">IFERROR(IF(R469&lt;&gt;"",R469,IF(OR($S469="",$T469=""),"",IF($T469&lt;&gt;"",_xlfn._xlws.FILTER(R:R,($BT:$BT=$BT469)*($I:$I=$I469)*($T:$T=$T469)*($S:$S=_xlfn.MINIFS($S:$S,$T:$T,"="&amp;$T469)),""))))&amp;"",IF(R469="","",""))&amp;""</f>
        <v/>
      </c>
      <c r="AZ469" s="6">
        <f t="shared" si="803"/>
        <v>42</v>
      </c>
      <c r="BA469">
        <f t="shared" ref="BA469:BC469" si="836">BA468</f>
        <v>18991</v>
      </c>
      <c r="BB469" t="str">
        <f t="shared" si="836"/>
        <v>Triple J</v>
      </c>
      <c r="BC469" t="str">
        <f t="shared" si="836"/>
        <v>Velodrome</v>
      </c>
      <c r="BD469" t="str">
        <f t="shared" si="805"/>
        <v>Zone_Entry_Exit</v>
      </c>
      <c r="BE469" t="str">
        <f t="shared" si="806"/>
        <v>Zone_Exit</v>
      </c>
      <c r="BF469" t="str">
        <f t="shared" si="807"/>
        <v>ZoneExit-PassMiss/Misplay</v>
      </c>
      <c r="BG469" t="str">
        <f t="shared" si="789"/>
        <v>u</v>
      </c>
      <c r="BH469" cm="1">
        <f t="array" aca="1" ref="BH469" ca="1">IFERROR(_xlfn._xlws.FILTER(shifts!A:A,(shifts!B:B=events!Z469)*(shifts!AG:AG&gt;=events!BJ469)*(shifts!AH:AH&lt;=events!BK469)),BH468)</f>
        <v>15</v>
      </c>
      <c r="BI469" s="15">
        <f t="shared" si="808"/>
        <v>0</v>
      </c>
      <c r="BJ469">
        <f t="shared" si="809"/>
        <v>684</v>
      </c>
      <c r="BK469">
        <f t="shared" si="810"/>
        <v>684</v>
      </c>
      <c r="BL469" s="15">
        <f>SUMIFS(BI$2:BI469,K$2:K469,"=Intermission")+SUMIFS(BI$2:BI469,K$2:K469,"=Timeout")</f>
        <v>0</v>
      </c>
      <c r="BM469">
        <f t="shared" si="811"/>
        <v>0</v>
      </c>
      <c r="BN469" s="19">
        <f t="shared" si="812"/>
        <v>396</v>
      </c>
      <c r="BO469">
        <f t="shared" si="813"/>
        <v>391</v>
      </c>
      <c r="BP469" s="17">
        <f t="shared" si="814"/>
        <v>396</v>
      </c>
      <c r="BQ469" t="str">
        <f t="shared" si="815"/>
        <v>opp_team_player_1</v>
      </c>
      <c r="BR469">
        <f>COUNTIFS(S$3:S469,"="&amp;S469,AH$3:AH469,"="&amp;AH469)</f>
        <v>1</v>
      </c>
      <c r="BS469" t="str">
        <f>IFERROR(VLOOKUP(BA469&amp;BT469&amp;X469,game_rosters!U:W,3,FALSE),"")</f>
        <v>P100019</v>
      </c>
      <c r="BT469" t="str">
        <f t="shared" si="816"/>
        <v>Triple J</v>
      </c>
    </row>
    <row r="470" spans="1:72" x14ac:dyDescent="0.2">
      <c r="A470">
        <f t="shared" si="791"/>
        <v>1</v>
      </c>
      <c r="D470" s="26" t="s">
        <v>729</v>
      </c>
      <c r="E470" s="4"/>
      <c r="F470" s="45"/>
      <c r="G470" s="4"/>
      <c r="H470" s="47"/>
      <c r="J470" s="26" t="s">
        <v>736</v>
      </c>
      <c r="K470" t="s">
        <v>238</v>
      </c>
      <c r="L470" t="s">
        <v>174</v>
      </c>
      <c r="M470" t="s">
        <v>390</v>
      </c>
      <c r="N470" t="str">
        <f t="shared" si="835"/>
        <v>u</v>
      </c>
      <c r="Q470" t="str">
        <f t="shared" si="829"/>
        <v/>
      </c>
      <c r="S470">
        <f>IF(A470=1,MAX($S$2:$S469)+1,IF(OR($I470&lt;&gt;"",A470="x"),$S469,""))</f>
        <v>235</v>
      </c>
      <c r="T470">
        <f>IF(D470=1,MAX($T$2:$T469)+1,IF(S470=S469,$T469,IF(D470="x",T469,IF(D469="x","",""))))</f>
        <v>30</v>
      </c>
      <c r="U470" t="str">
        <f>IF(B470=1,MAX($U$2:$U469)+1,IF(AND($T470&lt;&gt;"",$T470=$T469),$U469,IF(B470="x",U469,"")))</f>
        <v/>
      </c>
      <c r="V470" t="str">
        <f>IF(C470=1,MAX($V$2:$V469)+1,IF(AND($T470&lt;&gt;"",$T470=$T469),$U469,IF(C470="x",V469,"")))</f>
        <v/>
      </c>
      <c r="W470" t="str" cm="1">
        <f t="array" ref="W470">IFERROR(_xlfn._xlws.FILTER(game_rosters!AC:AC,(game_rosters!J:J=events!X470)*(K470&lt;&gt;"")),"")</f>
        <v>a</v>
      </c>
      <c r="X470" cm="1">
        <f t="array" ref="X470">IF($I470&lt;&gt;"",$I470,INDEX($I$1:$I470,ROW()-COUNTIFS($T$1:$T470,"="&amp;$T470,$S$1:$S470,"&lt;"&amp;$S470)))</f>
        <v>93</v>
      </c>
      <c r="Y470" cm="1">
        <f t="array" ref="Y470">IFERROR(IF(_xlfn._xlws.FILTER(game_rosters!$J:$J,(game_rosters!$G:$G=events!$AM470)*(game_rosters!$J:$J=events!$X470))&gt;0,1,""),"")</f>
        <v>1</v>
      </c>
      <c r="Z470" s="6">
        <f t="shared" si="792"/>
        <v>1</v>
      </c>
      <c r="AA470">
        <f t="shared" si="793"/>
        <v>1235</v>
      </c>
      <c r="AB470">
        <f t="shared" si="794"/>
        <v>9030</v>
      </c>
      <c r="AC470">
        <f t="shared" si="795"/>
        <v>9030</v>
      </c>
      <c r="AD470" t="str">
        <f t="shared" si="796"/>
        <v>11</v>
      </c>
      <c r="AE470" t="str">
        <f t="shared" si="797"/>
        <v>24</v>
      </c>
      <c r="AF470" t="str">
        <f t="shared" si="798"/>
        <v/>
      </c>
      <c r="AG470" t="str">
        <f t="shared" si="799"/>
        <v/>
      </c>
      <c r="AH470" t="str">
        <f t="shared" si="736"/>
        <v>e</v>
      </c>
      <c r="AI470" t="str">
        <f t="shared" si="823"/>
        <v>d</v>
      </c>
      <c r="AJ470" t="str">
        <f t="shared" si="823"/>
        <v>d</v>
      </c>
      <c r="AK470" t="str">
        <f t="shared" si="738"/>
        <v>o</v>
      </c>
      <c r="AL470" t="str">
        <f t="shared" si="739"/>
        <v>d</v>
      </c>
      <c r="AM470" t="str">
        <f t="shared" si="800"/>
        <v>Away</v>
      </c>
      <c r="AN470" t="str">
        <f t="shared" si="740"/>
        <v>a</v>
      </c>
      <c r="AO470" t="str">
        <f t="shared" si="741"/>
        <v>o</v>
      </c>
      <c r="AP470" t="str">
        <f t="shared" si="742"/>
        <v>d</v>
      </c>
      <c r="AQ470" t="str">
        <f>IF(AM470&lt;&gt;"",AM470,IF($AC470=#REF!,#REF!,""))</f>
        <v>Away</v>
      </c>
      <c r="AR470" t="str">
        <f t="shared" si="743"/>
        <v>a</v>
      </c>
      <c r="AS470" t="str">
        <f t="shared" si="744"/>
        <v>Offensive</v>
      </c>
      <c r="AT470" t="str">
        <f t="shared" si="801"/>
        <v/>
      </c>
      <c r="AU470" t="str">
        <f t="shared" si="802"/>
        <v/>
      </c>
      <c r="AV470" t="str" cm="1">
        <f t="array" ref="AV470">IFERROR(IF(O470&lt;&gt;"",O470,IF(OR($S470="",$T470=""),"",IF(O470&lt;&gt;"",O470,IF($T470&lt;&gt;"",_xlfn._xlws.FILTER(O:O,($BT:$BT=$BT470)*($I:$I=$I470)*($T:$T=$T470)*($S:$S=_xlfn.MINIFS($S:$S,$T:$T,"="&amp;$T470)),"")))))&amp;"",IF(O470="","",""))&amp;""</f>
        <v/>
      </c>
      <c r="AW470" t="str" cm="1">
        <f t="array" ref="AW470">IFERROR(IF(P470&lt;&gt;"",P470,IF(OR($S470="",$T470=""),"",IF($T470&lt;&gt;"",_xlfn._xlws.FILTER(P:P,($BT:$BT=$BT470)*($I:$I=$I470)*($T:$T=$T470)*($S:$S=_xlfn.MINIFS($S:$S,$T:$T,"="&amp;$T470)),""))))&amp;"",IF(P470="","",""))&amp;""</f>
        <v/>
      </c>
      <c r="AX470" t="str" cm="1">
        <f t="array" ref="AX470">IFERROR(IF(Q470&lt;&gt;"",Q470,IF(OR($S470="",$T470=""),"",IF($T470&lt;&gt;"",_xlfn._xlws.FILTER(Q:Q,($BT:$BT=$BT470)*($I:$I=$I470)*($T:$T=$T470)*($S:$S=_xlfn.MINIFS($S:$S,$T:$T,"="&amp;$T470)),""))))&amp;"",IF(Q470="","",""))&amp;""</f>
        <v/>
      </c>
      <c r="AY470" t="str" cm="1">
        <f t="array" ref="AY470">IFERROR(IF(R470&lt;&gt;"",R470,IF(OR($S470="",$T470=""),"",IF($T470&lt;&gt;"",_xlfn._xlws.FILTER(R:R,($BT:$BT=$BT470)*($I:$I=$I470)*($T:$T=$T470)*($S:$S=_xlfn.MINIFS($S:$S,$T:$T,"="&amp;$T470)),""))))&amp;"",IF(R470="","",""))&amp;""</f>
        <v/>
      </c>
      <c r="AZ470" s="6">
        <f t="shared" si="803"/>
        <v>43</v>
      </c>
      <c r="BA470">
        <f t="shared" ref="BA470:BC470" si="837">BA469</f>
        <v>18991</v>
      </c>
      <c r="BB470" t="str">
        <f t="shared" si="837"/>
        <v>Triple J</v>
      </c>
      <c r="BC470" t="str">
        <f t="shared" si="837"/>
        <v>Velodrome</v>
      </c>
      <c r="BD470" t="str">
        <f t="shared" si="805"/>
        <v>Zone_Entry_Exit</v>
      </c>
      <c r="BE470" t="str">
        <f t="shared" si="806"/>
        <v>Zone_Entry</v>
      </c>
      <c r="BF470" t="str">
        <f t="shared" si="807"/>
        <v>ZoneEntry-PassMiss/Misplay</v>
      </c>
      <c r="BG470" t="str">
        <f t="shared" si="789"/>
        <v>u</v>
      </c>
      <c r="BH470" cm="1">
        <f t="array" aca="1" ref="BH470" ca="1">IFERROR(_xlfn._xlws.FILTER(shifts!A:A,(shifts!B:B=events!Z470)*(shifts!AG:AG&gt;=events!BJ470)*(shifts!AH:AH&lt;=events!BK470)),BH469)</f>
        <v>15</v>
      </c>
      <c r="BI470" s="15">
        <f t="shared" si="808"/>
        <v>0</v>
      </c>
      <c r="BJ470">
        <f t="shared" si="809"/>
        <v>684</v>
      </c>
      <c r="BK470">
        <f t="shared" si="810"/>
        <v>684</v>
      </c>
      <c r="BL470" s="15">
        <f>SUMIFS(BI$2:BI470,K$2:K470,"=Intermission")+SUMIFS(BI$2:BI470,K$2:K470,"=Timeout")</f>
        <v>0</v>
      </c>
      <c r="BM470">
        <f t="shared" si="811"/>
        <v>0</v>
      </c>
      <c r="BN470" s="19">
        <f t="shared" si="812"/>
        <v>396</v>
      </c>
      <c r="BO470">
        <f t="shared" si="813"/>
        <v>391</v>
      </c>
      <c r="BP470" s="17">
        <f t="shared" si="814"/>
        <v>396</v>
      </c>
      <c r="BQ470" t="str">
        <f t="shared" si="815"/>
        <v>event_team_player_1</v>
      </c>
      <c r="BR470">
        <f>COUNTIFS(S$3:S470,"="&amp;S470,AH$3:AH470,"="&amp;AH470)</f>
        <v>1</v>
      </c>
      <c r="BS470" t="str">
        <f>IFERROR(VLOOKUP(BA470&amp;BT470&amp;X470,game_rosters!U:W,3,FALSE),"")</f>
        <v>P100093</v>
      </c>
      <c r="BT470" t="str">
        <f t="shared" si="816"/>
        <v>Velodrome</v>
      </c>
    </row>
    <row r="471" spans="1:72" x14ac:dyDescent="0.2">
      <c r="A471" t="str">
        <f t="shared" si="791"/>
        <v>x</v>
      </c>
      <c r="D471" s="26" t="s">
        <v>729</v>
      </c>
      <c r="E471" s="4"/>
      <c r="F471" s="45"/>
      <c r="G471" s="4"/>
      <c r="H471" s="47"/>
      <c r="J471" s="26" t="str">
        <f t="shared" si="817"/>
        <v/>
      </c>
      <c r="N471" t="str">
        <f t="shared" si="835"/>
        <v/>
      </c>
      <c r="Q471" t="str">
        <f t="shared" si="829"/>
        <v/>
      </c>
      <c r="S471">
        <f>IF(A471=1,MAX($S$2:$S470)+1,IF(OR($I471&lt;&gt;"",A471="x"),$S470,""))</f>
        <v>235</v>
      </c>
      <c r="T471">
        <f>IF(D471=1,MAX($T$2:$T470)+1,IF(S471=S470,$T470,IF(D471="x",T470,IF(D470="x","",""))))</f>
        <v>30</v>
      </c>
      <c r="U471" t="str">
        <f>IF(B471=1,MAX($U$2:$U470)+1,IF(AND($T471&lt;&gt;"",$T471=$T470),$U470,IF(B471="x",U470,"")))</f>
        <v/>
      </c>
      <c r="V471" t="str">
        <f>IF(C471=1,MAX($V$2:$V470)+1,IF(AND($T471&lt;&gt;"",$T471=$T470),$U470,IF(C471="x",V470,"")))</f>
        <v/>
      </c>
      <c r="W471" t="str" cm="1">
        <f t="array" ref="W471">IFERROR(_xlfn._xlws.FILTER(game_rosters!AC:AC,(game_rosters!J:J=events!X471)*(K471&lt;&gt;"")),"")</f>
        <v/>
      </c>
      <c r="X471" cm="1">
        <f t="array" ref="X471">IF($I471&lt;&gt;"",$I471,INDEX($I$1:$I471,ROW()-COUNTIFS($T$1:$T471,"="&amp;$T471,$S$1:$S471,"&lt;"&amp;$S471)))</f>
        <v>14</v>
      </c>
      <c r="Y471" cm="1">
        <f t="array" ref="Y471">IFERROR(IF(_xlfn._xlws.FILTER(game_rosters!$J:$J,(game_rosters!$G:$G=events!$AM471)*(game_rosters!$J:$J=events!$X471))&gt;0,1,""),"")</f>
        <v>1</v>
      </c>
      <c r="Z471" s="6">
        <f t="shared" si="792"/>
        <v>1</v>
      </c>
      <c r="AA471">
        <f t="shared" si="793"/>
        <v>1235</v>
      </c>
      <c r="AB471">
        <f t="shared" si="794"/>
        <v>9030</v>
      </c>
      <c r="AC471">
        <f t="shared" si="795"/>
        <v>9030</v>
      </c>
      <c r="AD471" t="str">
        <f t="shared" si="796"/>
        <v>11</v>
      </c>
      <c r="AE471" t="str">
        <f t="shared" si="797"/>
        <v>24</v>
      </c>
      <c r="AF471" t="str">
        <f t="shared" si="798"/>
        <v/>
      </c>
      <c r="AG471" t="str">
        <f t="shared" si="799"/>
        <v/>
      </c>
      <c r="AH471" t="str">
        <f t="shared" si="736"/>
        <v>e</v>
      </c>
      <c r="AI471" t="str">
        <f t="shared" si="823"/>
        <v>d</v>
      </c>
      <c r="AJ471" t="str">
        <f t="shared" si="823"/>
        <v>d</v>
      </c>
      <c r="AK471" t="str">
        <f t="shared" si="738"/>
        <v/>
      </c>
      <c r="AL471" t="str">
        <f t="shared" si="739"/>
        <v/>
      </c>
      <c r="AM471" t="str">
        <f t="shared" si="800"/>
        <v>Away</v>
      </c>
      <c r="AN471" t="str">
        <f t="shared" si="740"/>
        <v>a</v>
      </c>
      <c r="AO471" t="str">
        <f t="shared" si="741"/>
        <v>o</v>
      </c>
      <c r="AP471" t="str">
        <f t="shared" si="742"/>
        <v>d</v>
      </c>
      <c r="AQ471" t="str">
        <f>IF(AM471&lt;&gt;"",AM471,IF($AC471=#REF!,#REF!,""))</f>
        <v>Away</v>
      </c>
      <c r="AR471" t="str">
        <f t="shared" si="743"/>
        <v>a</v>
      </c>
      <c r="AS471" t="str">
        <f t="shared" si="744"/>
        <v>Offensive</v>
      </c>
      <c r="AT471" t="str">
        <f t="shared" si="801"/>
        <v/>
      </c>
      <c r="AU471" t="str">
        <f t="shared" si="802"/>
        <v/>
      </c>
      <c r="AV471" t="str" cm="1">
        <f t="array" ref="AV471">IFERROR(IF(O471&lt;&gt;"",O471,IF(OR($S471="",$T471=""),"",IF(O471&lt;&gt;"",O471,IF($T471&lt;&gt;"",_xlfn._xlws.FILTER(O:O,($BT:$BT=$BT471)*($I:$I=$I471)*($T:$T=$T471)*($S:$S=_xlfn.MINIFS($S:$S,$T:$T,"="&amp;$T471)),"")))))&amp;"",IF(O471="","",""))&amp;""</f>
        <v/>
      </c>
      <c r="AW471" t="str" cm="1">
        <f t="array" ref="AW471">IFERROR(IF(P471&lt;&gt;"",P471,IF(OR($S471="",$T471=""),"",IF($T471&lt;&gt;"",_xlfn._xlws.FILTER(P:P,($BT:$BT=$BT471)*($I:$I=$I471)*($T:$T=$T471)*($S:$S=_xlfn.MINIFS($S:$S,$T:$T,"="&amp;$T471)),""))))&amp;"",IF(P471="","",""))&amp;""</f>
        <v/>
      </c>
      <c r="AX471" t="str" cm="1">
        <f t="array" ref="AX471">IFERROR(IF(Q471&lt;&gt;"",Q471,IF(OR($S471="",$T471=""),"",IF($T471&lt;&gt;"",_xlfn._xlws.FILTER(Q:Q,($BT:$BT=$BT471)*($I:$I=$I471)*($T:$T=$T471)*($S:$S=_xlfn.MINIFS($S:$S,$T:$T,"="&amp;$T471)),""))))&amp;"",IF(Q471="","",""))&amp;""</f>
        <v/>
      </c>
      <c r="AY471" t="str" cm="1">
        <f t="array" ref="AY471">IFERROR(IF(R471&lt;&gt;"",R471,IF(OR($S471="",$T471=""),"",IF($T471&lt;&gt;"",_xlfn._xlws.FILTER(R:R,($BT:$BT=$BT471)*($I:$I=$I471)*($T:$T=$T471)*($S:$S=_xlfn.MINIFS($S:$S,$T:$T,"="&amp;$T471)),""))))&amp;"",IF(R471="","",""))&amp;""</f>
        <v/>
      </c>
      <c r="AZ471" s="6">
        <f t="shared" si="803"/>
        <v>43</v>
      </c>
      <c r="BA471">
        <f t="shared" ref="BA471:BC471" si="838">BA470</f>
        <v>18991</v>
      </c>
      <c r="BB471" t="str">
        <f t="shared" si="838"/>
        <v>Triple J</v>
      </c>
      <c r="BC471" t="str">
        <f t="shared" si="838"/>
        <v>Velodrome</v>
      </c>
      <c r="BD471" t="str">
        <f t="shared" si="805"/>
        <v>Zone_Entry_Exit</v>
      </c>
      <c r="BE471" t="str">
        <f t="shared" si="806"/>
        <v>Zone_Entry</v>
      </c>
      <c r="BF471" t="str">
        <f t="shared" si="807"/>
        <v>ZoneEntry-PassMiss/Misplay</v>
      </c>
      <c r="BG471" t="str">
        <f t="shared" si="789"/>
        <v>u</v>
      </c>
      <c r="BH471" cm="1">
        <f t="array" aca="1" ref="BH471" ca="1">IFERROR(_xlfn._xlws.FILTER(shifts!A:A,(shifts!B:B=events!Z471)*(shifts!AG:AG&gt;=events!BJ471)*(shifts!AH:AH&lt;=events!BK471)),BH470)</f>
        <v>15</v>
      </c>
      <c r="BI471" s="15">
        <f t="shared" si="808"/>
        <v>0</v>
      </c>
      <c r="BJ471">
        <f t="shared" si="809"/>
        <v>684</v>
      </c>
      <c r="BK471">
        <f t="shared" si="810"/>
        <v>684</v>
      </c>
      <c r="BL471" s="15">
        <f>SUMIFS(BI$2:BI471,K$2:K471,"=Intermission")+SUMIFS(BI$2:BI471,K$2:K471,"=Timeout")</f>
        <v>0</v>
      </c>
      <c r="BM471">
        <f t="shared" si="811"/>
        <v>0</v>
      </c>
      <c r="BN471" s="19">
        <f t="shared" si="812"/>
        <v>396</v>
      </c>
      <c r="BO471">
        <f t="shared" si="813"/>
        <v>391</v>
      </c>
      <c r="BP471" s="17">
        <f t="shared" si="814"/>
        <v>396</v>
      </c>
      <c r="BQ471" t="str">
        <f t="shared" si="815"/>
        <v>event_team_player_2</v>
      </c>
      <c r="BR471">
        <f>COUNTIFS(S$3:S471,"="&amp;S471,AH$3:AH471,"="&amp;AH471)</f>
        <v>2</v>
      </c>
      <c r="BS471" t="str">
        <f>IFERROR(VLOOKUP(BA471&amp;BT471&amp;X471,game_rosters!U:W,3,FALSE),"")</f>
        <v>P100132</v>
      </c>
      <c r="BT471" t="str">
        <f t="shared" si="816"/>
        <v>Velodrome</v>
      </c>
    </row>
    <row r="472" spans="1:72" x14ac:dyDescent="0.2">
      <c r="A472" t="str">
        <f t="shared" si="791"/>
        <v>x</v>
      </c>
      <c r="D472" s="26" t="s">
        <v>729</v>
      </c>
      <c r="E472" s="4"/>
      <c r="F472" s="45"/>
      <c r="G472" s="4"/>
      <c r="H472" s="47"/>
      <c r="J472" s="26" t="str">
        <f t="shared" si="817"/>
        <v/>
      </c>
      <c r="N472" t="str">
        <f t="shared" si="835"/>
        <v/>
      </c>
      <c r="Q472" t="str">
        <f t="shared" si="829"/>
        <v/>
      </c>
      <c r="S472">
        <f>IF(A472=1,MAX($S$2:$S471)+1,IF(OR($I472&lt;&gt;"",A472="x"),$S471,""))</f>
        <v>235</v>
      </c>
      <c r="T472">
        <f>IF(D472=1,MAX($T$2:$T471)+1,IF(S472=S471,$T471,IF(D472="x",T471,IF(D471="x","",""))))</f>
        <v>30</v>
      </c>
      <c r="U472" t="str">
        <f>IF(B472=1,MAX($U$2:$U471)+1,IF(AND($T472&lt;&gt;"",$T472=$T471),$U471,IF(B472="x",U471,"")))</f>
        <v/>
      </c>
      <c r="V472" t="str">
        <f>IF(C472=1,MAX($V$2:$V471)+1,IF(AND($T472&lt;&gt;"",$T472=$T471),$U471,IF(C472="x",V471,"")))</f>
        <v/>
      </c>
      <c r="W472" t="str" cm="1">
        <f t="array" ref="W472">IFERROR(_xlfn._xlws.FILTER(game_rosters!AC:AC,(game_rosters!J:J=events!X472)*(K472&lt;&gt;"")),"")</f>
        <v/>
      </c>
      <c r="X472" cm="1">
        <f t="array" ref="X472">IF($I472&lt;&gt;"",$I472,INDEX($I$1:$I472,ROW()-COUNTIFS($T$1:$T472,"="&amp;$T472,$S$1:$S472,"&lt;"&amp;$S472)))</f>
        <v>21</v>
      </c>
      <c r="Y472" t="str" cm="1">
        <f t="array" ref="Y472">IFERROR(IF(_xlfn._xlws.FILTER(game_rosters!$J:$J,(game_rosters!$G:$G=events!$AM472)*(game_rosters!$J:$J=events!$X472))&gt;0,1,""),"")</f>
        <v/>
      </c>
      <c r="Z472" s="6">
        <f t="shared" si="792"/>
        <v>1</v>
      </c>
      <c r="AA472">
        <f t="shared" si="793"/>
        <v>1235</v>
      </c>
      <c r="AB472">
        <f t="shared" si="794"/>
        <v>9030</v>
      </c>
      <c r="AC472">
        <f t="shared" si="795"/>
        <v>9030</v>
      </c>
      <c r="AD472" t="str">
        <f t="shared" si="796"/>
        <v>11</v>
      </c>
      <c r="AE472" t="str">
        <f t="shared" si="797"/>
        <v>24</v>
      </c>
      <c r="AF472" t="str">
        <f t="shared" si="798"/>
        <v/>
      </c>
      <c r="AG472" t="str">
        <f t="shared" si="799"/>
        <v/>
      </c>
      <c r="AH472" t="str">
        <f t="shared" si="736"/>
        <v>o</v>
      </c>
      <c r="AI472" t="str">
        <f t="shared" si="823"/>
        <v>d</v>
      </c>
      <c r="AJ472" t="str">
        <f t="shared" si="823"/>
        <v>d</v>
      </c>
      <c r="AK472" t="str">
        <f t="shared" si="738"/>
        <v/>
      </c>
      <c r="AL472" t="str">
        <f t="shared" si="739"/>
        <v/>
      </c>
      <c r="AM472" t="str">
        <f t="shared" si="800"/>
        <v>Away</v>
      </c>
      <c r="AN472" t="str">
        <f t="shared" si="740"/>
        <v>a</v>
      </c>
      <c r="AO472" t="str">
        <f t="shared" si="741"/>
        <v>o</v>
      </c>
      <c r="AP472" t="str">
        <f t="shared" si="742"/>
        <v>d</v>
      </c>
      <c r="AQ472" t="str">
        <f>IF(AM472&lt;&gt;"",AM472,IF($AC472=#REF!,#REF!,""))</f>
        <v>Away</v>
      </c>
      <c r="AR472" t="str">
        <f t="shared" si="743"/>
        <v>a</v>
      </c>
      <c r="AS472" t="str">
        <f t="shared" si="744"/>
        <v>Defensive</v>
      </c>
      <c r="AT472" t="str">
        <f t="shared" si="801"/>
        <v/>
      </c>
      <c r="AU472" t="str">
        <f t="shared" si="802"/>
        <v/>
      </c>
      <c r="AV472" t="str" cm="1">
        <f t="array" ref="AV472">IFERROR(IF(O472&lt;&gt;"",O472,IF(OR($S472="",$T472=""),"",IF(O472&lt;&gt;"",O472,IF($T472&lt;&gt;"",_xlfn._xlws.FILTER(O:O,($BT:$BT=$BT472)*($I:$I=$I472)*($T:$T=$T472)*($S:$S=_xlfn.MINIFS($S:$S,$T:$T,"="&amp;$T472)),"")))))&amp;"",IF(O472="","",""))&amp;""</f>
        <v/>
      </c>
      <c r="AW472" t="str" cm="1">
        <f t="array" ref="AW472">IFERROR(IF(P472&lt;&gt;"",P472,IF(OR($S472="",$T472=""),"",IF($T472&lt;&gt;"",_xlfn._xlws.FILTER(P:P,($BT:$BT=$BT472)*($I:$I=$I472)*($T:$T=$T472)*($S:$S=_xlfn.MINIFS($S:$S,$T:$T,"="&amp;$T472)),""))))&amp;"",IF(P472="","",""))&amp;""</f>
        <v/>
      </c>
      <c r="AX472" t="str" cm="1">
        <f t="array" ref="AX472">IFERROR(IF(Q472&lt;&gt;"",Q472,IF(OR($S472="",$T472=""),"",IF($T472&lt;&gt;"",_xlfn._xlws.FILTER(Q:Q,($BT:$BT=$BT472)*($I:$I=$I472)*($T:$T=$T472)*($S:$S=_xlfn.MINIFS($S:$S,$T:$T,"="&amp;$T472)),""))))&amp;"",IF(Q472="","",""))&amp;""</f>
        <v/>
      </c>
      <c r="AY472" t="str" cm="1">
        <f t="array" ref="AY472">IFERROR(IF(R472&lt;&gt;"",R472,IF(OR($S472="",$T472=""),"",IF($T472&lt;&gt;"",_xlfn._xlws.FILTER(R:R,($BT:$BT=$BT472)*($I:$I=$I472)*($T:$T=$T472)*($S:$S=_xlfn.MINIFS($S:$S,$T:$T,"="&amp;$T472)),""))))&amp;"",IF(R472="","",""))&amp;""</f>
        <v/>
      </c>
      <c r="AZ472" s="6">
        <f t="shared" si="803"/>
        <v>43</v>
      </c>
      <c r="BA472">
        <f t="shared" ref="BA472:BC472" si="839">BA471</f>
        <v>18991</v>
      </c>
      <c r="BB472" t="str">
        <f t="shared" si="839"/>
        <v>Triple J</v>
      </c>
      <c r="BC472" t="str">
        <f t="shared" si="839"/>
        <v>Velodrome</v>
      </c>
      <c r="BD472" t="str">
        <f t="shared" si="805"/>
        <v>Zone_Entry_Exit</v>
      </c>
      <c r="BE472" t="str">
        <f t="shared" si="806"/>
        <v>Zone_Entry</v>
      </c>
      <c r="BF472" t="str">
        <f t="shared" si="807"/>
        <v>ZoneEntry-PassMiss/Misplay</v>
      </c>
      <c r="BG472" t="str">
        <f t="shared" si="789"/>
        <v>u</v>
      </c>
      <c r="BH472" cm="1">
        <f t="array" aca="1" ref="BH472" ca="1">IFERROR(_xlfn._xlws.FILTER(shifts!A:A,(shifts!B:B=events!Z472)*(shifts!AG:AG&gt;=events!BJ472)*(shifts!AH:AH&lt;=events!BK472)),BH471)</f>
        <v>15</v>
      </c>
      <c r="BI472" s="15">
        <f t="shared" si="808"/>
        <v>0</v>
      </c>
      <c r="BJ472">
        <f t="shared" si="809"/>
        <v>684</v>
      </c>
      <c r="BK472">
        <f t="shared" si="810"/>
        <v>684</v>
      </c>
      <c r="BL472" s="15">
        <f>SUMIFS(BI$2:BI472,K$2:K472,"=Intermission")+SUMIFS(BI$2:BI472,K$2:K472,"=Timeout")</f>
        <v>0</v>
      </c>
      <c r="BM472">
        <f t="shared" si="811"/>
        <v>0</v>
      </c>
      <c r="BN472" s="19">
        <f t="shared" si="812"/>
        <v>396</v>
      </c>
      <c r="BO472">
        <f t="shared" si="813"/>
        <v>391</v>
      </c>
      <c r="BP472" s="17">
        <f t="shared" si="814"/>
        <v>396</v>
      </c>
      <c r="BQ472" t="str">
        <f t="shared" si="815"/>
        <v>opp_team_player_1</v>
      </c>
      <c r="BR472">
        <f>COUNTIFS(S$3:S472,"="&amp;S472,AH$3:AH472,"="&amp;AH472)</f>
        <v>1</v>
      </c>
      <c r="BS472" t="str">
        <f>IFERROR(VLOOKUP(BA472&amp;BT472&amp;X472,game_rosters!U:W,3,FALSE),"")</f>
        <v>P100019</v>
      </c>
      <c r="BT472" t="str">
        <f t="shared" si="816"/>
        <v>Triple J</v>
      </c>
    </row>
    <row r="473" spans="1:72" x14ac:dyDescent="0.2">
      <c r="A473">
        <f t="shared" si="791"/>
        <v>1</v>
      </c>
      <c r="E473" s="4"/>
      <c r="F473" s="45" t="s">
        <v>744</v>
      </c>
      <c r="G473" s="4"/>
      <c r="H473" s="47" t="s">
        <v>745</v>
      </c>
      <c r="I473" s="26">
        <v>14</v>
      </c>
      <c r="J473" s="26" t="s">
        <v>368</v>
      </c>
      <c r="K473" t="s">
        <v>13</v>
      </c>
      <c r="L473" t="s">
        <v>587</v>
      </c>
      <c r="N473" t="s">
        <v>594</v>
      </c>
      <c r="O473" t="s">
        <v>907</v>
      </c>
      <c r="Q473" t="str">
        <f t="shared" si="829"/>
        <v>u</v>
      </c>
      <c r="R473" s="26">
        <v>1</v>
      </c>
      <c r="S473">
        <f>IF(A473=1,MAX($S$2:$S472)+1,IF(OR($I473&lt;&gt;"",A473="x"),$S472,""))</f>
        <v>236</v>
      </c>
      <c r="T473" t="str">
        <f>IF(D473=1,MAX($T$2:$T472)+1,IF(S473=S472,$T472,IF(D473="x",T472,IF(D472="x","",""))))</f>
        <v/>
      </c>
      <c r="U473" t="str">
        <f>IF(B473=1,MAX($U$2:$U472)+1,IF(AND($T473&lt;&gt;"",$T473=$T472),$U472,IF(B473="x",U472,"")))</f>
        <v/>
      </c>
      <c r="V473" t="str">
        <f>IF(C473=1,MAX($V$2:$V472)+1,IF(AND($T473&lt;&gt;"",$T473=$T472),$U472,IF(C473="x",V472,"")))</f>
        <v/>
      </c>
      <c r="W473" t="str" cm="1">
        <f t="array" ref="W473">IFERROR(_xlfn._xlws.FILTER(game_rosters!AC:AC,(game_rosters!J:J=events!X473)*(K473&lt;&gt;"")),"")</f>
        <v>a</v>
      </c>
      <c r="X473" cm="1">
        <f t="array" ref="X473">IF($I473&lt;&gt;"",$I473,INDEX($I$1:$I473,ROW()-COUNTIFS($T$1:$T473,"="&amp;$T473,$S$1:$S473,"&lt;"&amp;$S473)))</f>
        <v>14</v>
      </c>
      <c r="Y473" cm="1">
        <f t="array" ref="Y473">IFERROR(IF(_xlfn._xlws.FILTER(game_rosters!$J:$J,(game_rosters!$G:$G=events!$AM473)*(game_rosters!$J:$J=events!$X473))&gt;0,1,""),"")</f>
        <v>1</v>
      </c>
      <c r="Z473" s="6">
        <f t="shared" si="792"/>
        <v>1</v>
      </c>
      <c r="AA473">
        <f t="shared" si="793"/>
        <v>1236</v>
      </c>
      <c r="AB473" t="str">
        <f t="shared" si="794"/>
        <v/>
      </c>
      <c r="AC473">
        <f t="shared" si="795"/>
        <v>1236</v>
      </c>
      <c r="AD473" t="str">
        <f t="shared" si="796"/>
        <v>11</v>
      </c>
      <c r="AE473" t="str">
        <f t="shared" si="797"/>
        <v>15</v>
      </c>
      <c r="AF473" t="str">
        <f t="shared" si="798"/>
        <v>11</v>
      </c>
      <c r="AG473" t="str">
        <f t="shared" si="799"/>
        <v>14</v>
      </c>
      <c r="AH473" t="str">
        <f t="shared" si="736"/>
        <v>e</v>
      </c>
      <c r="AI473" t="str">
        <f t="shared" si="823"/>
        <v>o</v>
      </c>
      <c r="AJ473" t="str">
        <f t="shared" si="823"/>
        <v>o</v>
      </c>
      <c r="AK473" t="str">
        <f t="shared" si="738"/>
        <v>d</v>
      </c>
      <c r="AL473" t="str">
        <f t="shared" si="739"/>
        <v>o</v>
      </c>
      <c r="AM473" t="str">
        <f t="shared" si="800"/>
        <v>Away</v>
      </c>
      <c r="AN473" t="str">
        <f t="shared" si="740"/>
        <v>a</v>
      </c>
      <c r="AO473" t="str">
        <f t="shared" si="741"/>
        <v>d</v>
      </c>
      <c r="AP473" t="str">
        <f t="shared" si="742"/>
        <v>o</v>
      </c>
      <c r="AQ473" t="str">
        <f>IF(AM473&lt;&gt;"",AM473,IF($AC473=#REF!,#REF!,""))</f>
        <v>Away</v>
      </c>
      <c r="AR473" t="str">
        <f t="shared" si="743"/>
        <v>a</v>
      </c>
      <c r="AS473" t="str">
        <f t="shared" si="744"/>
        <v>Offensive</v>
      </c>
      <c r="AT473" t="str">
        <f t="shared" si="801"/>
        <v/>
      </c>
      <c r="AU473" t="str">
        <f t="shared" si="802"/>
        <v/>
      </c>
      <c r="AV473" t="str" cm="1">
        <f t="array" ref="AV473">IFERROR(IF(O473&lt;&gt;"",O473,IF(OR($S473="",$T473=""),"",IF(O473&lt;&gt;"",O473,IF($T473&lt;&gt;"",_xlfn._xlws.FILTER(O:O,($BT:$BT=$BT473)*($I:$I=$I473)*($T:$T=$T473)*($S:$S=_xlfn.MINIFS($S:$S,$T:$T,"="&amp;$T473)),"")))))&amp;"",IF(O473="","",""))&amp;""</f>
        <v>PuckRecoveryRetreivalPass</v>
      </c>
      <c r="AW473" t="str" cm="1">
        <f t="array" ref="AW473">IFERROR(IF(P473&lt;&gt;"",P473,IF(OR($S473="",$T473=""),"",IF($T473&lt;&gt;"",_xlfn._xlws.FILTER(P:P,($BT:$BT=$BT473)*($I:$I=$I473)*($T:$T=$T473)*($S:$S=_xlfn.MINIFS($S:$S,$T:$T,"="&amp;$T473)),""))))&amp;"",IF(P473="","",""))&amp;""</f>
        <v/>
      </c>
      <c r="AX473" t="str" cm="1">
        <f t="array" ref="AX473">IFERROR(IF(Q473&lt;&gt;"",Q473,IF(OR($S473="",$T473=""),"",IF($T473&lt;&gt;"",_xlfn._xlws.FILTER(Q:Q,($BT:$BT=$BT473)*($I:$I=$I473)*($T:$T=$T473)*($S:$S=_xlfn.MINIFS($S:$S,$T:$T,"="&amp;$T473)),""))))&amp;"",IF(Q473="","",""))&amp;""</f>
        <v>u</v>
      </c>
      <c r="AY473" t="str" cm="1">
        <f t="array" ref="AY473">IFERROR(IF(R473&lt;&gt;"",R473,IF(OR($S473="",$T473=""),"",IF($T473&lt;&gt;"",_xlfn._xlws.FILTER(R:R,($BT:$BT=$BT473)*($I:$I=$I473)*($T:$T=$T473)*($S:$S=_xlfn.MINIFS($S:$S,$T:$T,"="&amp;$T473)),""))))&amp;"",IF(R473="","",""))&amp;""</f>
        <v>1</v>
      </c>
      <c r="AZ473" s="6">
        <f t="shared" si="803"/>
        <v>43</v>
      </c>
      <c r="BA473">
        <f t="shared" ref="BA473:BC473" si="840">BA472</f>
        <v>18991</v>
      </c>
      <c r="BB473" t="str">
        <f t="shared" si="840"/>
        <v>Triple J</v>
      </c>
      <c r="BC473" t="str">
        <f t="shared" si="840"/>
        <v>Velodrome</v>
      </c>
      <c r="BD473" t="str">
        <f t="shared" si="805"/>
        <v>Possession</v>
      </c>
      <c r="BE473" t="str">
        <f t="shared" si="806"/>
        <v>PuckRecovery</v>
      </c>
      <c r="BF473" t="str">
        <f t="shared" si="807"/>
        <v/>
      </c>
      <c r="BG473" t="str">
        <f t="shared" si="789"/>
        <v>u</v>
      </c>
      <c r="BH473" cm="1">
        <f t="array" aca="1" ref="BH473" ca="1">IFERROR(_xlfn._xlws.FILTER(shifts!A:A,(shifts!B:B=events!Z473)*(shifts!AG:AG&gt;=events!BJ473)*(shifts!AH:AH&lt;=events!BK473)),BH472)</f>
        <v>15</v>
      </c>
      <c r="BI473" s="15">
        <f t="shared" si="808"/>
        <v>1</v>
      </c>
      <c r="BJ473">
        <f t="shared" si="809"/>
        <v>675</v>
      </c>
      <c r="BK473">
        <f t="shared" si="810"/>
        <v>674</v>
      </c>
      <c r="BL473" s="15">
        <f>SUMIFS(BI$2:BI473,K$2:K473,"=Intermission")+SUMIFS(BI$2:BI473,K$2:K473,"=Timeout")</f>
        <v>0</v>
      </c>
      <c r="BM473">
        <f t="shared" si="811"/>
        <v>0</v>
      </c>
      <c r="BN473" s="19">
        <f t="shared" si="812"/>
        <v>405</v>
      </c>
      <c r="BO473">
        <f t="shared" si="813"/>
        <v>400</v>
      </c>
      <c r="BP473" s="17">
        <f t="shared" si="814"/>
        <v>406</v>
      </c>
      <c r="BQ473" t="str">
        <f t="shared" si="815"/>
        <v>event_team_player_1</v>
      </c>
      <c r="BR473">
        <f>COUNTIFS(S$3:S473,"="&amp;S473,AH$3:AH473,"="&amp;AH473)</f>
        <v>1</v>
      </c>
      <c r="BS473" t="str">
        <f>IFERROR(VLOOKUP(BA473&amp;BT473&amp;X473,game_rosters!U:W,3,FALSE),"")</f>
        <v>P100132</v>
      </c>
      <c r="BT473" t="str">
        <f t="shared" si="816"/>
        <v>Velodrome</v>
      </c>
    </row>
    <row r="474" spans="1:72" x14ac:dyDescent="0.2">
      <c r="A474" t="str">
        <f t="shared" si="791"/>
        <v/>
      </c>
      <c r="E474" s="4"/>
      <c r="F474" s="45"/>
      <c r="G474" s="4"/>
      <c r="H474" s="47"/>
      <c r="I474" s="26">
        <v>19</v>
      </c>
      <c r="J474" s="26" t="str">
        <f t="shared" si="817"/>
        <v/>
      </c>
      <c r="N474" t="str">
        <f t="shared" si="835"/>
        <v/>
      </c>
      <c r="Q474" t="str">
        <f t="shared" si="829"/>
        <v/>
      </c>
      <c r="R474" s="26">
        <v>1</v>
      </c>
      <c r="S474">
        <f>IF(A474=1,MAX($S$2:$S473)+1,IF(OR($I474&lt;&gt;"",A474="x"),$S473,""))</f>
        <v>236</v>
      </c>
      <c r="T474" t="str">
        <f>IF(D474=1,MAX($T$2:$T473)+1,IF(S474=S473,$T473,IF(D474="x",T473,IF(D473="x","",""))))</f>
        <v/>
      </c>
      <c r="U474" t="str">
        <f>IF(B474=1,MAX($U$2:$U473)+1,IF(AND($T474&lt;&gt;"",$T474=$T473),$U473,IF(B474="x",U473,"")))</f>
        <v/>
      </c>
      <c r="V474" t="str">
        <f>IF(C474=1,MAX($V$2:$V473)+1,IF(AND($T474&lt;&gt;"",$T474=$T473),$U473,IF(C474="x",V473,"")))</f>
        <v/>
      </c>
      <c r="W474" t="str" cm="1">
        <f t="array" ref="W474">IFERROR(_xlfn._xlws.FILTER(game_rosters!AC:AC,(game_rosters!J:J=events!X474)*(K474&lt;&gt;"")),"")</f>
        <v/>
      </c>
      <c r="X474" cm="1">
        <f t="array" ref="X474">IF($I474&lt;&gt;"",$I474,INDEX($I$1:$I474,ROW()-COUNTIFS($T$1:$T474,"="&amp;$T474,$S$1:$S474,"&lt;"&amp;$S474)))</f>
        <v>19</v>
      </c>
      <c r="Y474" t="str" cm="1">
        <f t="array" ref="Y474">IFERROR(IF(_xlfn._xlws.FILTER(game_rosters!$J:$J,(game_rosters!$G:$G=events!$AM474)*(game_rosters!$J:$J=events!$X474))&gt;0,1,""),"")</f>
        <v/>
      </c>
      <c r="Z474" s="6">
        <f t="shared" si="792"/>
        <v>1</v>
      </c>
      <c r="AA474">
        <f t="shared" si="793"/>
        <v>1236</v>
      </c>
      <c r="AB474" t="str">
        <f t="shared" si="794"/>
        <v/>
      </c>
      <c r="AC474">
        <f t="shared" si="795"/>
        <v>1236</v>
      </c>
      <c r="AD474" t="str">
        <f t="shared" si="796"/>
        <v>11</v>
      </c>
      <c r="AE474" t="str">
        <f t="shared" si="797"/>
        <v>15</v>
      </c>
      <c r="AF474" t="str">
        <f t="shared" si="798"/>
        <v>11</v>
      </c>
      <c r="AG474" t="str">
        <f t="shared" si="799"/>
        <v>14</v>
      </c>
      <c r="AH474" t="str">
        <f t="shared" si="736"/>
        <v>o</v>
      </c>
      <c r="AI474" t="str">
        <f t="shared" si="823"/>
        <v>o</v>
      </c>
      <c r="AJ474" t="str">
        <f t="shared" si="823"/>
        <v>o</v>
      </c>
      <c r="AK474" t="str">
        <f t="shared" si="738"/>
        <v/>
      </c>
      <c r="AL474" t="str">
        <f t="shared" si="739"/>
        <v/>
      </c>
      <c r="AM474" t="str">
        <f t="shared" si="800"/>
        <v>Away</v>
      </c>
      <c r="AN474" t="str">
        <f t="shared" si="740"/>
        <v>a</v>
      </c>
      <c r="AO474" t="str">
        <f t="shared" si="741"/>
        <v>d</v>
      </c>
      <c r="AP474" t="str">
        <f t="shared" si="742"/>
        <v>o</v>
      </c>
      <c r="AQ474" t="str">
        <f>IF(AM474&lt;&gt;"",AM474,IF($AC474=#REF!,#REF!,""))</f>
        <v>Away</v>
      </c>
      <c r="AR474" t="str">
        <f t="shared" si="743"/>
        <v>a</v>
      </c>
      <c r="AS474" t="str">
        <f t="shared" si="744"/>
        <v>Defensive</v>
      </c>
      <c r="AT474" t="str">
        <f t="shared" si="801"/>
        <v/>
      </c>
      <c r="AU474" t="str">
        <f t="shared" si="802"/>
        <v/>
      </c>
      <c r="AV474" t="str" cm="1">
        <f t="array" ref="AV474">IFERROR(IF(O474&lt;&gt;"",O474,IF(OR($S474="",$T474=""),"",IF(O474&lt;&gt;"",O474,IF($T474&lt;&gt;"",_xlfn._xlws.FILTER(O:O,($BT:$BT=$BT474)*($I:$I=$I474)*($T:$T=$T474)*($S:$S=_xlfn.MINIFS($S:$S,$T:$T,"="&amp;$T474)),"")))))&amp;"",IF(O474="","",""))&amp;""</f>
        <v/>
      </c>
      <c r="AW474" t="str" cm="1">
        <f t="array" ref="AW474">IFERROR(IF(P474&lt;&gt;"",P474,IF(OR($S474="",$T474=""),"",IF($T474&lt;&gt;"",_xlfn._xlws.FILTER(P:P,($BT:$BT=$BT474)*($I:$I=$I474)*($T:$T=$T474)*($S:$S=_xlfn.MINIFS($S:$S,$T:$T,"="&amp;$T474)),""))))&amp;"",IF(P474="","",""))&amp;""</f>
        <v/>
      </c>
      <c r="AX474" t="str" cm="1">
        <f t="array" ref="AX474">IFERROR(IF(Q474&lt;&gt;"",Q474,IF(OR($S474="",$T474=""),"",IF($T474&lt;&gt;"",_xlfn._xlws.FILTER(Q:Q,($BT:$BT=$BT474)*($I:$I=$I474)*($T:$T=$T474)*($S:$S=_xlfn.MINIFS($S:$S,$T:$T,"="&amp;$T474)),""))))&amp;"",IF(Q474="","",""))&amp;""</f>
        <v/>
      </c>
      <c r="AY474" t="str" cm="1">
        <f t="array" ref="AY474">IFERROR(IF(R474&lt;&gt;"",R474,IF(OR($S474="",$T474=""),"",IF($T474&lt;&gt;"",_xlfn._xlws.FILTER(R:R,($BT:$BT=$BT474)*($I:$I=$I474)*($T:$T=$T474)*($S:$S=_xlfn.MINIFS($S:$S,$T:$T,"="&amp;$T474)),""))))&amp;"",IF(R474="","",""))&amp;""</f>
        <v>1</v>
      </c>
      <c r="AZ474" s="6">
        <f t="shared" si="803"/>
        <v>43</v>
      </c>
      <c r="BA474">
        <f t="shared" ref="BA474:BC474" si="841">BA473</f>
        <v>18991</v>
      </c>
      <c r="BB474" t="str">
        <f t="shared" si="841"/>
        <v>Triple J</v>
      </c>
      <c r="BC474" t="str">
        <f t="shared" si="841"/>
        <v>Velodrome</v>
      </c>
      <c r="BD474" t="str">
        <f t="shared" si="805"/>
        <v>Possession</v>
      </c>
      <c r="BE474" t="str">
        <f t="shared" si="806"/>
        <v>PuckRecovery</v>
      </c>
      <c r="BF474" t="str">
        <f t="shared" si="807"/>
        <v/>
      </c>
      <c r="BG474" t="str">
        <f t="shared" si="789"/>
        <v>u</v>
      </c>
      <c r="BH474" cm="1">
        <f t="array" aca="1" ref="BH474" ca="1">IFERROR(_xlfn._xlws.FILTER(shifts!A:A,(shifts!B:B=events!Z474)*(shifts!AG:AG&gt;=events!BJ474)*(shifts!AH:AH&lt;=events!BK474)),BH473)</f>
        <v>15</v>
      </c>
      <c r="BI474" s="15">
        <f t="shared" si="808"/>
        <v>1</v>
      </c>
      <c r="BJ474">
        <f t="shared" si="809"/>
        <v>675</v>
      </c>
      <c r="BK474">
        <f t="shared" si="810"/>
        <v>674</v>
      </c>
      <c r="BL474" s="15">
        <f>SUMIFS(BI$2:BI474,K$2:K474,"=Intermission")+SUMIFS(BI$2:BI474,K$2:K474,"=Timeout")</f>
        <v>0</v>
      </c>
      <c r="BM474">
        <f t="shared" si="811"/>
        <v>0</v>
      </c>
      <c r="BN474" s="19">
        <f t="shared" si="812"/>
        <v>405</v>
      </c>
      <c r="BO474">
        <f t="shared" si="813"/>
        <v>400</v>
      </c>
      <c r="BP474" s="17">
        <f t="shared" si="814"/>
        <v>406</v>
      </c>
      <c r="BQ474" t="str">
        <f t="shared" si="815"/>
        <v>opp_team_player_1</v>
      </c>
      <c r="BR474">
        <f>COUNTIFS(S$3:S474,"="&amp;S474,AH$3:AH474,"="&amp;AH474)</f>
        <v>1</v>
      </c>
      <c r="BS474" t="str">
        <f>IFERROR(VLOOKUP(BA474&amp;BT474&amp;X474,game_rosters!U:W,3,FALSE),"")</f>
        <v>P100089</v>
      </c>
      <c r="BT474" t="str">
        <f t="shared" si="816"/>
        <v>Triple J</v>
      </c>
    </row>
    <row r="475" spans="1:72" x14ac:dyDescent="0.2">
      <c r="A475">
        <f t="shared" si="791"/>
        <v>1</v>
      </c>
      <c r="D475" s="26">
        <v>1</v>
      </c>
      <c r="E475" s="4"/>
      <c r="F475" s="45"/>
      <c r="G475" s="4"/>
      <c r="H475" s="47"/>
      <c r="I475" s="26">
        <v>14</v>
      </c>
      <c r="J475" s="26" t="str">
        <f t="shared" si="817"/>
        <v>o</v>
      </c>
      <c r="K475" t="s">
        <v>6</v>
      </c>
      <c r="L475" t="s">
        <v>181</v>
      </c>
      <c r="M475" t="s">
        <v>51</v>
      </c>
      <c r="N475" t="str">
        <f t="shared" si="835"/>
        <v>u</v>
      </c>
      <c r="Q475" t="str">
        <f t="shared" si="829"/>
        <v/>
      </c>
      <c r="R475" s="26">
        <v>1</v>
      </c>
      <c r="S475">
        <f>IF(A475=1,MAX($S$2:$S474)+1,IF(OR($I475&lt;&gt;"",A475="x"),$S474,""))</f>
        <v>237</v>
      </c>
      <c r="T475">
        <f>IF(D475=1,MAX($T$2:$T474)+1,IF(S475=S474,$T474,IF(D475="x",T474,IF(D474="x","",""))))</f>
        <v>31</v>
      </c>
      <c r="U475" t="str">
        <f>IF(B475=1,MAX($U$2:$U474)+1,IF(AND($T475&lt;&gt;"",$T475=$T474),$U474,IF(B475="x",U474,"")))</f>
        <v/>
      </c>
      <c r="V475" t="str">
        <f>IF(C475=1,MAX($V$2:$V474)+1,IF(AND($T475&lt;&gt;"",$T475=$T474),$U474,IF(C475="x",V474,"")))</f>
        <v/>
      </c>
      <c r="W475" t="str" cm="1">
        <f t="array" ref="W475">IFERROR(_xlfn._xlws.FILTER(game_rosters!AC:AC,(game_rosters!J:J=events!X475)*(K475&lt;&gt;"")),"")</f>
        <v>a</v>
      </c>
      <c r="X475" cm="1">
        <f t="array" ref="X475">IF($I475&lt;&gt;"",$I475,INDEX($I$1:$I475,ROW()-COUNTIFS($T$1:$T475,"="&amp;$T475,$S$1:$S475,"&lt;"&amp;$S475)))</f>
        <v>14</v>
      </c>
      <c r="Y475" cm="1">
        <f t="array" ref="Y475">IFERROR(IF(_xlfn._xlws.FILTER(game_rosters!$J:$J,(game_rosters!$G:$G=events!$AM475)*(game_rosters!$J:$J=events!$X475))&gt;0,1,""),"")</f>
        <v>1</v>
      </c>
      <c r="Z475" s="6">
        <f t="shared" si="792"/>
        <v>1</v>
      </c>
      <c r="AA475">
        <f t="shared" si="793"/>
        <v>1237</v>
      </c>
      <c r="AB475">
        <f t="shared" si="794"/>
        <v>9031</v>
      </c>
      <c r="AC475">
        <f t="shared" si="795"/>
        <v>9031</v>
      </c>
      <c r="AD475" t="str">
        <f t="shared" si="796"/>
        <v>11</v>
      </c>
      <c r="AE475" t="str">
        <f t="shared" si="797"/>
        <v>14</v>
      </c>
      <c r="AF475" t="str">
        <f t="shared" si="798"/>
        <v/>
      </c>
      <c r="AG475" t="str">
        <f t="shared" si="799"/>
        <v/>
      </c>
      <c r="AH475" t="str">
        <f t="shared" ref="AH475:AH538" si="842">IF(Y475="x","",IF(Y475=1,"e","o"))</f>
        <v>e</v>
      </c>
      <c r="AI475" t="str">
        <f t="shared" ref="AI475:AJ490" si="843">IF($J475&lt;&gt;"",$J475,IF($AC475=$AC474,AI474,""))</f>
        <v>o</v>
      </c>
      <c r="AJ475" t="str">
        <f t="shared" si="843"/>
        <v>o</v>
      </c>
      <c r="AK475" t="str">
        <f t="shared" ref="AK475:AK538" si="844">IF($W475="","",IF($AI475="","",IF($W475="h",$AI475,IF($AI475="n","n",IF(AND($W475="a",$AI475="d"),"o",IF(AND($W475="a",$AI475="o"),"d"))))))</f>
        <v>d</v>
      </c>
      <c r="AL475" t="str">
        <f t="shared" ref="AL475:AL538" si="845">IF($W475="","",IF(J475="","",IF(AK475="n","n",IF(AK475="d","o",IF(AK475="o","d","")))))</f>
        <v>o</v>
      </c>
      <c r="AM475" t="str">
        <f t="shared" si="800"/>
        <v>Away</v>
      </c>
      <c r="AN475" t="str">
        <f t="shared" ref="AN475:AN538" si="846">IF($W475&lt;&gt;"",$W475,IF($AC475=AC474,AN474,""))</f>
        <v>a</v>
      </c>
      <c r="AO475" t="str">
        <f t="shared" ref="AO475:AO538" si="847">IF(AK475&lt;&gt;"",AK475,IF($AC475=AC474,AO474,""))</f>
        <v>d</v>
      </c>
      <c r="AP475" t="str">
        <f t="shared" ref="AP475:AP538" si="848">IF(AL475&lt;&gt;"",AL475,IF($AC475=AC474,AP474,""))</f>
        <v>o</v>
      </c>
      <c r="AQ475" t="str">
        <f>IF(AM475&lt;&gt;"",AM475,IF($AC475=#REF!,#REF!,""))</f>
        <v>Away</v>
      </c>
      <c r="AR475" t="str">
        <f t="shared" ref="AR475:AR538" si="849">IF(AN475&lt;&gt;"",AN475,IF($AC475=AC474,AQ474,""))</f>
        <v>a</v>
      </c>
      <c r="AS475" t="str">
        <f t="shared" ref="AS475:AS538" si="850">IF(AND(AH475="e",OR(BD475="Save",BE475="Turnover_Takeaway",BE475="Play_Defensive")),"Defensive",IF(AND(AH475="o",OR(BD475="Save",BE475="Turnover_Takeaway",BE475="Play_Defensive")),"Offensive",IF(OR(BD475="Deadice",BD475="Stoppage",BD475="Intermission"),"",IF(AH475="e","Offensive",IF(AH475="o","Defensive","")))))</f>
        <v>Offensive</v>
      </c>
      <c r="AT475" t="str">
        <f t="shared" si="801"/>
        <v/>
      </c>
      <c r="AU475" t="str">
        <f t="shared" si="802"/>
        <v/>
      </c>
      <c r="AV475" t="str" cm="1">
        <f t="array" ref="AV475">IFERROR(IF(O475&lt;&gt;"",O475,IF(OR($S475="",$T475=""),"",IF(O475&lt;&gt;"",O475,IF($T475&lt;&gt;"",_xlfn._xlws.FILTER(O:O,($BT:$BT=$BT475)*($I:$I=$I475)*($T:$T=$T475)*($S:$S=_xlfn.MINIFS($S:$S,$T:$T,"="&amp;$T475)),"")))))&amp;"",IF(O475="","",""))&amp;""</f>
        <v/>
      </c>
      <c r="AW475" t="str" cm="1">
        <f t="array" ref="AW475">IFERROR(IF(P475&lt;&gt;"",P475,IF(OR($S475="",$T475=""),"",IF($T475&lt;&gt;"",_xlfn._xlws.FILTER(P:P,($BT:$BT=$BT475)*($I:$I=$I475)*($T:$T=$T475)*($S:$S=_xlfn.MINIFS($S:$S,$T:$T,"="&amp;$T475)),""))))&amp;"",IF(P475="","",""))&amp;""</f>
        <v/>
      </c>
      <c r="AX475" t="str" cm="1">
        <f t="array" ref="AX475">IFERROR(IF(Q475&lt;&gt;"",Q475,IF(OR($S475="",$T475=""),"",IF($T475&lt;&gt;"",_xlfn._xlws.FILTER(Q:Q,($BT:$BT=$BT475)*($I:$I=$I475)*($T:$T=$T475)*($S:$S=_xlfn.MINIFS($S:$S,$T:$T,"="&amp;$T475)),""))))&amp;"",IF(Q475="","",""))&amp;""</f>
        <v/>
      </c>
      <c r="AY475" t="str" cm="1">
        <f t="array" ref="AY475">IFERROR(IF(R475&lt;&gt;"",R475,IF(OR($S475="",$T475=""),"",IF($T475&lt;&gt;"",_xlfn._xlws.FILTER(R:R,($BT:$BT=$BT475)*($I:$I=$I475)*($T:$T=$T475)*($S:$S=_xlfn.MINIFS($S:$S,$T:$T,"="&amp;$T475)),""))))&amp;"",IF(R475="","",""))&amp;""</f>
        <v>1</v>
      </c>
      <c r="AZ475" s="6">
        <f t="shared" si="803"/>
        <v>43</v>
      </c>
      <c r="BA475">
        <f t="shared" ref="BA475:BC475" si="851">BA474</f>
        <v>18991</v>
      </c>
      <c r="BB475" t="str">
        <f t="shared" si="851"/>
        <v>Triple J</v>
      </c>
      <c r="BC475" t="str">
        <f t="shared" si="851"/>
        <v>Velodrome</v>
      </c>
      <c r="BD475" t="str">
        <f t="shared" si="805"/>
        <v>Shot</v>
      </c>
      <c r="BE475" t="str">
        <f t="shared" si="806"/>
        <v>Shot_Missed</v>
      </c>
      <c r="BF475" t="str">
        <f t="shared" si="807"/>
        <v>Shot-Wrist</v>
      </c>
      <c r="BG475" t="str">
        <f t="shared" si="789"/>
        <v>u</v>
      </c>
      <c r="BH475" t="e" cm="1" vm="1">
        <f t="array" aca="1" ref="BH475" ca="1">IFERROR(_xlfn._xlws.FILTER(shifts!A:A,(shifts!B:B=events!Z475)*(shifts!AG:AG&gt;=events!BJ475)*(shifts!AH:AH&lt;=events!BK475)),BH474)</f>
        <v>#VALUE!</v>
      </c>
      <c r="BI475" s="15">
        <f t="shared" si="808"/>
        <v>0</v>
      </c>
      <c r="BJ475">
        <f t="shared" si="809"/>
        <v>674</v>
      </c>
      <c r="BK475">
        <f t="shared" si="810"/>
        <v>674</v>
      </c>
      <c r="BL475" s="15">
        <f>SUMIFS(BI$2:BI475,K$2:K475,"=Intermission")+SUMIFS(BI$2:BI475,K$2:K475,"=Timeout")</f>
        <v>0</v>
      </c>
      <c r="BM475">
        <f t="shared" si="811"/>
        <v>0</v>
      </c>
      <c r="BN475" s="19">
        <f t="shared" si="812"/>
        <v>406</v>
      </c>
      <c r="BO475">
        <f t="shared" si="813"/>
        <v>401</v>
      </c>
      <c r="BP475" s="17">
        <f t="shared" si="814"/>
        <v>406</v>
      </c>
      <c r="BQ475" t="str">
        <f t="shared" si="815"/>
        <v>event_team_player_1</v>
      </c>
      <c r="BR475">
        <f>COUNTIFS(S$3:S475,"="&amp;S475,AH$3:AH475,"="&amp;AH475)</f>
        <v>1</v>
      </c>
      <c r="BS475" t="str">
        <f>IFERROR(VLOOKUP(BA475&amp;BT475&amp;X475,game_rosters!U:W,3,FALSE),"")</f>
        <v>P100132</v>
      </c>
      <c r="BT475" t="str">
        <f t="shared" si="816"/>
        <v>Velodrome</v>
      </c>
    </row>
    <row r="476" spans="1:72" x14ac:dyDescent="0.2">
      <c r="A476" t="str">
        <f t="shared" si="791"/>
        <v>x</v>
      </c>
      <c r="D476" s="26" t="s">
        <v>729</v>
      </c>
      <c r="E476" s="4"/>
      <c r="F476" s="45"/>
      <c r="G476" s="4"/>
      <c r="H476" s="47"/>
      <c r="I476" s="26">
        <v>19</v>
      </c>
      <c r="J476" s="26" t="str">
        <f t="shared" si="817"/>
        <v/>
      </c>
      <c r="N476" t="str">
        <f t="shared" si="835"/>
        <v/>
      </c>
      <c r="Q476" t="str">
        <f t="shared" si="829"/>
        <v/>
      </c>
      <c r="R476" s="26">
        <v>1</v>
      </c>
      <c r="S476">
        <f>IF(A476=1,MAX($S$2:$S475)+1,IF(OR($I476&lt;&gt;"",A476="x"),$S475,""))</f>
        <v>237</v>
      </c>
      <c r="T476">
        <f>IF(D476=1,MAX($T$2:$T475)+1,IF(S476=S475,$T475,IF(D476="x",T475,IF(D475="x","",""))))</f>
        <v>31</v>
      </c>
      <c r="U476" t="str">
        <f>IF(B476=1,MAX($U$2:$U475)+1,IF(AND($T476&lt;&gt;"",$T476=$T475),$U475,IF(B476="x",U475,"")))</f>
        <v/>
      </c>
      <c r="V476" t="str">
        <f>IF(C476=1,MAX($V$2:$V475)+1,IF(AND($T476&lt;&gt;"",$T476=$T475),$U475,IF(C476="x",V475,"")))</f>
        <v/>
      </c>
      <c r="W476" t="str" cm="1">
        <f t="array" ref="W476">IFERROR(_xlfn._xlws.FILTER(game_rosters!AC:AC,(game_rosters!J:J=events!X476)*(K476&lt;&gt;"")),"")</f>
        <v/>
      </c>
      <c r="X476" cm="1">
        <f t="array" ref="X476">IF($I476&lt;&gt;"",$I476,INDEX($I$1:$I476,ROW()-COUNTIFS($T$1:$T476,"="&amp;$T476,$S$1:$S476,"&lt;"&amp;$S476)))</f>
        <v>19</v>
      </c>
      <c r="Y476" t="str" cm="1">
        <f t="array" ref="Y476">IFERROR(IF(_xlfn._xlws.FILTER(game_rosters!$J:$J,(game_rosters!$G:$G=events!$AM476)*(game_rosters!$J:$J=events!$X476))&gt;0,1,""),"")</f>
        <v/>
      </c>
      <c r="Z476" s="6">
        <f t="shared" si="792"/>
        <v>1</v>
      </c>
      <c r="AA476">
        <f t="shared" si="793"/>
        <v>1237</v>
      </c>
      <c r="AB476">
        <f t="shared" si="794"/>
        <v>9031</v>
      </c>
      <c r="AC476">
        <f t="shared" si="795"/>
        <v>9031</v>
      </c>
      <c r="AD476" t="str">
        <f t="shared" si="796"/>
        <v>11</v>
      </c>
      <c r="AE476" t="str">
        <f t="shared" si="797"/>
        <v>14</v>
      </c>
      <c r="AF476" t="str">
        <f t="shared" si="798"/>
        <v/>
      </c>
      <c r="AG476" t="str">
        <f t="shared" si="799"/>
        <v/>
      </c>
      <c r="AH476" t="str">
        <f t="shared" si="842"/>
        <v>o</v>
      </c>
      <c r="AI476" t="str">
        <f t="shared" si="843"/>
        <v>o</v>
      </c>
      <c r="AJ476" t="str">
        <f t="shared" si="843"/>
        <v>o</v>
      </c>
      <c r="AK476" t="str">
        <f t="shared" si="844"/>
        <v/>
      </c>
      <c r="AL476" t="str">
        <f t="shared" si="845"/>
        <v/>
      </c>
      <c r="AM476" t="str">
        <f t="shared" si="800"/>
        <v>Away</v>
      </c>
      <c r="AN476" t="str">
        <f t="shared" si="846"/>
        <v>a</v>
      </c>
      <c r="AO476" t="str">
        <f t="shared" si="847"/>
        <v>d</v>
      </c>
      <c r="AP476" t="str">
        <f t="shared" si="848"/>
        <v>o</v>
      </c>
      <c r="AQ476" t="str">
        <f>IF(AM476&lt;&gt;"",AM476,IF($AC476=#REF!,#REF!,""))</f>
        <v>Away</v>
      </c>
      <c r="AR476" t="str">
        <f t="shared" si="849"/>
        <v>a</v>
      </c>
      <c r="AS476" t="str">
        <f t="shared" si="850"/>
        <v>Defensive</v>
      </c>
      <c r="AT476" t="str">
        <f t="shared" si="801"/>
        <v/>
      </c>
      <c r="AU476" t="str">
        <f t="shared" si="802"/>
        <v/>
      </c>
      <c r="AV476" t="str" cm="1">
        <f t="array" ref="AV476">IFERROR(IF(O476&lt;&gt;"",O476,IF(OR($S476="",$T476=""),"",IF(O476&lt;&gt;"",O476,IF($T476&lt;&gt;"",_xlfn._xlws.FILTER(O:O,($BT:$BT=$BT476)*($I:$I=$I476)*($T:$T=$T476)*($S:$S=_xlfn.MINIFS($S:$S,$T:$T,"="&amp;$T476)),"")))))&amp;"",IF(O476="","",""))&amp;""</f>
        <v/>
      </c>
      <c r="AW476" t="str" cm="1">
        <f t="array" ref="AW476">IFERROR(IF(P476&lt;&gt;"",P476,IF(OR($S476="",$T476=""),"",IF($T476&lt;&gt;"",_xlfn._xlws.FILTER(P:P,($BT:$BT=$BT476)*($I:$I=$I476)*($T:$T=$T476)*($S:$S=_xlfn.MINIFS($S:$S,$T:$T,"="&amp;$T476)),""))))&amp;"",IF(P476="","",""))&amp;""</f>
        <v/>
      </c>
      <c r="AX476" t="str" cm="1">
        <f t="array" ref="AX476">IFERROR(IF(Q476&lt;&gt;"",Q476,IF(OR($S476="",$T476=""),"",IF($T476&lt;&gt;"",_xlfn._xlws.FILTER(Q:Q,($BT:$BT=$BT476)*($I:$I=$I476)*($T:$T=$T476)*($S:$S=_xlfn.MINIFS($S:$S,$T:$T,"="&amp;$T476)),""))))&amp;"",IF(Q476="","",""))&amp;""</f>
        <v/>
      </c>
      <c r="AY476" t="str" cm="1">
        <f t="array" ref="AY476">IFERROR(IF(R476&lt;&gt;"",R476,IF(OR($S476="",$T476=""),"",IF($T476&lt;&gt;"",_xlfn._xlws.FILTER(R:R,($BT:$BT=$BT476)*($I:$I=$I476)*($T:$T=$T476)*($S:$S=_xlfn.MINIFS($S:$S,$T:$T,"="&amp;$T476)),""))))&amp;"",IF(R476="","",""))&amp;""</f>
        <v>1</v>
      </c>
      <c r="AZ476" s="6">
        <f t="shared" si="803"/>
        <v>43</v>
      </c>
      <c r="BA476">
        <f t="shared" ref="BA476:BC476" si="852">BA475</f>
        <v>18991</v>
      </c>
      <c r="BB476" t="str">
        <f t="shared" si="852"/>
        <v>Triple J</v>
      </c>
      <c r="BC476" t="str">
        <f t="shared" si="852"/>
        <v>Velodrome</v>
      </c>
      <c r="BD476" t="str">
        <f t="shared" si="805"/>
        <v>Shot</v>
      </c>
      <c r="BE476" t="str">
        <f t="shared" si="806"/>
        <v>Shot_Missed</v>
      </c>
      <c r="BF476" t="str">
        <f t="shared" si="807"/>
        <v>Shot-Wrist</v>
      </c>
      <c r="BG476" t="str">
        <f t="shared" si="789"/>
        <v>u</v>
      </c>
      <c r="BH476" t="e" cm="1" vm="1">
        <f t="array" aca="1" ref="BH476" ca="1">IFERROR(_xlfn._xlws.FILTER(shifts!A:A,(shifts!B:B=events!Z476)*(shifts!AG:AG&gt;=events!BJ476)*(shifts!AH:AH&lt;=events!BK476)),BH475)</f>
        <v>#VALUE!</v>
      </c>
      <c r="BI476" s="15">
        <f t="shared" si="808"/>
        <v>0</v>
      </c>
      <c r="BJ476">
        <f t="shared" si="809"/>
        <v>674</v>
      </c>
      <c r="BK476">
        <f t="shared" si="810"/>
        <v>674</v>
      </c>
      <c r="BL476" s="15">
        <f>SUMIFS(BI$2:BI476,K$2:K476,"=Intermission")+SUMIFS(BI$2:BI476,K$2:K476,"=Timeout")</f>
        <v>0</v>
      </c>
      <c r="BM476">
        <f t="shared" si="811"/>
        <v>0</v>
      </c>
      <c r="BN476" s="19">
        <f t="shared" si="812"/>
        <v>406</v>
      </c>
      <c r="BO476">
        <f t="shared" si="813"/>
        <v>401</v>
      </c>
      <c r="BP476" s="17">
        <f t="shared" si="814"/>
        <v>406</v>
      </c>
      <c r="BQ476" t="str">
        <f t="shared" si="815"/>
        <v>opp_team_player_1</v>
      </c>
      <c r="BR476">
        <f>COUNTIFS(S$3:S476,"="&amp;S476,AH$3:AH476,"="&amp;AH476)</f>
        <v>1</v>
      </c>
      <c r="BS476" t="str">
        <f>IFERROR(VLOOKUP(BA476&amp;BT476&amp;X476,game_rosters!U:W,3,FALSE),"")</f>
        <v>P100089</v>
      </c>
      <c r="BT476" t="str">
        <f t="shared" si="816"/>
        <v>Triple J</v>
      </c>
    </row>
    <row r="477" spans="1:72" x14ac:dyDescent="0.2">
      <c r="A477">
        <f t="shared" si="791"/>
        <v>1</v>
      </c>
      <c r="D477" s="26" t="s">
        <v>729</v>
      </c>
      <c r="E477" s="4"/>
      <c r="F477" s="45"/>
      <c r="G477" s="4"/>
      <c r="H477" s="47"/>
      <c r="J477" s="26" t="s">
        <v>368</v>
      </c>
      <c r="K477" t="s">
        <v>9</v>
      </c>
      <c r="L477" t="s">
        <v>173</v>
      </c>
      <c r="M477" t="s">
        <v>77</v>
      </c>
      <c r="N477" t="str">
        <f t="shared" si="835"/>
        <v>u</v>
      </c>
      <c r="Q477" t="str">
        <f t="shared" si="829"/>
        <v/>
      </c>
      <c r="S477">
        <f>IF(A477=1,MAX($S$2:$S476)+1,IF(OR($I477&lt;&gt;"",A477="x"),$S476,""))</f>
        <v>238</v>
      </c>
      <c r="T477">
        <f>IF(D477=1,MAX($T$2:$T476)+1,IF(S477=S476,$T476,IF(D477="x",T476,IF(D476="x","",""))))</f>
        <v>31</v>
      </c>
      <c r="U477" t="str">
        <f>IF(B477=1,MAX($U$2:$U476)+1,IF(AND($T477&lt;&gt;"",$T477=$T476),$U476,IF(B477="x",U476,"")))</f>
        <v/>
      </c>
      <c r="V477" t="str">
        <f>IF(C477=1,MAX($V$2:$V476)+1,IF(AND($T477&lt;&gt;"",$T477=$T476),$U476,IF(C477="x",V476,"")))</f>
        <v/>
      </c>
      <c r="W477" t="str" cm="1">
        <f t="array" ref="W477">IFERROR(_xlfn._xlws.FILTER(game_rosters!AC:AC,(game_rosters!J:J=events!X477)*(K477&lt;&gt;"")),"")</f>
        <v>a</v>
      </c>
      <c r="X477" cm="1">
        <f t="array" ref="X477">IF($I477&lt;&gt;"",$I477,INDEX($I$1:$I477,ROW()-COUNTIFS($T$1:$T477,"="&amp;$T477,$S$1:$S477,"&lt;"&amp;$S477)))</f>
        <v>14</v>
      </c>
      <c r="Y477" cm="1">
        <f t="array" ref="Y477">IFERROR(IF(_xlfn._xlws.FILTER(game_rosters!$J:$J,(game_rosters!$G:$G=events!$AM477)*(game_rosters!$J:$J=events!$X477))&gt;0,1,""),"")</f>
        <v>1</v>
      </c>
      <c r="Z477" s="6">
        <f t="shared" si="792"/>
        <v>1</v>
      </c>
      <c r="AA477">
        <f t="shared" si="793"/>
        <v>1238</v>
      </c>
      <c r="AB477">
        <f t="shared" si="794"/>
        <v>9031</v>
      </c>
      <c r="AC477">
        <f t="shared" si="795"/>
        <v>9031</v>
      </c>
      <c r="AD477" t="str">
        <f t="shared" si="796"/>
        <v>11</v>
      </c>
      <c r="AE477" t="str">
        <f t="shared" si="797"/>
        <v>14</v>
      </c>
      <c r="AF477" t="str">
        <f t="shared" si="798"/>
        <v/>
      </c>
      <c r="AG477" t="str">
        <f t="shared" si="799"/>
        <v/>
      </c>
      <c r="AH477" t="str">
        <f t="shared" si="842"/>
        <v>e</v>
      </c>
      <c r="AI477" t="str">
        <f t="shared" si="843"/>
        <v>o</v>
      </c>
      <c r="AJ477" t="str">
        <f t="shared" si="843"/>
        <v>o</v>
      </c>
      <c r="AK477" t="str">
        <f t="shared" si="844"/>
        <v>d</v>
      </c>
      <c r="AL477" t="str">
        <f t="shared" si="845"/>
        <v>o</v>
      </c>
      <c r="AM477" t="str">
        <f t="shared" si="800"/>
        <v>Away</v>
      </c>
      <c r="AN477" t="str">
        <f t="shared" si="846"/>
        <v>a</v>
      </c>
      <c r="AO477" t="str">
        <f t="shared" si="847"/>
        <v>d</v>
      </c>
      <c r="AP477" t="str">
        <f t="shared" si="848"/>
        <v>o</v>
      </c>
      <c r="AQ477" t="str">
        <f>IF(AM477&lt;&gt;"",AM477,IF($AC477=#REF!,#REF!,""))</f>
        <v>Away</v>
      </c>
      <c r="AR477" t="str">
        <f t="shared" si="849"/>
        <v>a</v>
      </c>
      <c r="AS477" t="str">
        <f t="shared" si="850"/>
        <v>Offensive</v>
      </c>
      <c r="AT477" t="str">
        <f t="shared" si="801"/>
        <v/>
      </c>
      <c r="AU477" t="str">
        <f t="shared" si="802"/>
        <v/>
      </c>
      <c r="AV477" t="str" cm="1">
        <f t="array" ref="AV477">IFERROR(IF(O477&lt;&gt;"",O477,IF(OR($S477="",$T477=""),"",IF(O477&lt;&gt;"",O477,IF($T477&lt;&gt;"",_xlfn._xlws.FILTER(O:O,($BT:$BT=$BT477)*($I:$I=$I477)*($T:$T=$T477)*($S:$S=_xlfn.MINIFS($S:$S,$T:$T,"="&amp;$T477)),"")))))&amp;"",IF(O477="","",""))&amp;""</f>
        <v/>
      </c>
      <c r="AW477" t="str" cm="1">
        <f t="array" ref="AW477">IFERROR(IF(P477&lt;&gt;"",P477,IF(OR($S477="",$T477=""),"",IF($T477&lt;&gt;"",_xlfn._xlws.FILTER(P:P,($BT:$BT=$BT477)*($I:$I=$I477)*($T:$T=$T477)*($S:$S=_xlfn.MINIFS($S:$S,$T:$T,"="&amp;$T477)),""))))&amp;"",IF(P477="","",""))&amp;""</f>
        <v/>
      </c>
      <c r="AX477" t="str" cm="1">
        <f t="array" ref="AX477">IFERROR(IF(Q477&lt;&gt;"",Q477,IF(OR($S477="",$T477=""),"",IF($T477&lt;&gt;"",_xlfn._xlws.FILTER(Q:Q,($BT:$BT=$BT477)*($I:$I=$I477)*($T:$T=$T477)*($S:$S=_xlfn.MINIFS($S:$S,$T:$T,"="&amp;$T477)),""))))&amp;"",IF(Q477="","",""))&amp;""</f>
        <v/>
      </c>
      <c r="AY477" t="str" cm="1">
        <f t="array" ref="AY477">IFERROR(IF(R477&lt;&gt;"",R477,IF(OR($S477="",$T477=""),"",IF($T477&lt;&gt;"",_xlfn._xlws.FILTER(R:R,($BT:$BT=$BT477)*($I:$I=$I477)*($T:$T=$T477)*($S:$S=_xlfn.MINIFS($S:$S,$T:$T,"="&amp;$T477)),""))))&amp;"",IF(R477="","",""))&amp;""</f>
        <v/>
      </c>
      <c r="AZ477" s="6">
        <f t="shared" si="803"/>
        <v>43</v>
      </c>
      <c r="BA477">
        <f t="shared" ref="BA477:BC477" si="853">BA476</f>
        <v>18991</v>
      </c>
      <c r="BB477" t="str">
        <f t="shared" si="853"/>
        <v>Triple J</v>
      </c>
      <c r="BC477" t="str">
        <f t="shared" si="853"/>
        <v>Velodrome</v>
      </c>
      <c r="BD477" t="str">
        <f t="shared" si="805"/>
        <v>Turnover</v>
      </c>
      <c r="BE477" t="str">
        <f t="shared" si="806"/>
        <v>Turnover_Giveaway</v>
      </c>
      <c r="BF477" t="str">
        <f t="shared" si="807"/>
        <v>Giveaway-ShotMissed</v>
      </c>
      <c r="BG477" t="str">
        <f t="shared" si="789"/>
        <v>u</v>
      </c>
      <c r="BH477" t="e" cm="1" vm="1">
        <f t="array" aca="1" ref="BH477" ca="1">IFERROR(_xlfn._xlws.FILTER(shifts!A:A,(shifts!B:B=events!Z477)*(shifts!AG:AG&gt;=events!BJ477)*(shifts!AH:AH&lt;=events!BK477)),BH476)</f>
        <v>#VALUE!</v>
      </c>
      <c r="BI477" s="15">
        <f t="shared" si="808"/>
        <v>0</v>
      </c>
      <c r="BJ477">
        <f t="shared" si="809"/>
        <v>674</v>
      </c>
      <c r="BK477">
        <f t="shared" si="810"/>
        <v>674</v>
      </c>
      <c r="BL477" s="15">
        <f>SUMIFS(BI$2:BI477,K$2:K477,"=Intermission")+SUMIFS(BI$2:BI477,K$2:K477,"=Timeout")</f>
        <v>0</v>
      </c>
      <c r="BM477">
        <f t="shared" si="811"/>
        <v>0</v>
      </c>
      <c r="BN477" s="19">
        <f t="shared" si="812"/>
        <v>406</v>
      </c>
      <c r="BO477">
        <f t="shared" si="813"/>
        <v>401</v>
      </c>
      <c r="BP477" s="17">
        <f t="shared" si="814"/>
        <v>406</v>
      </c>
      <c r="BQ477" t="str">
        <f t="shared" si="815"/>
        <v>event_team_player_1</v>
      </c>
      <c r="BR477">
        <f>COUNTIFS(S$3:S477,"="&amp;S477,AH$3:AH477,"="&amp;AH477)</f>
        <v>1</v>
      </c>
      <c r="BS477" t="str">
        <f>IFERROR(VLOOKUP(BA477&amp;BT477&amp;X477,game_rosters!U:W,3,FALSE),"")</f>
        <v>P100132</v>
      </c>
      <c r="BT477" t="str">
        <f t="shared" si="816"/>
        <v>Velodrome</v>
      </c>
    </row>
    <row r="478" spans="1:72" x14ac:dyDescent="0.2">
      <c r="A478" t="str">
        <f t="shared" si="791"/>
        <v>x</v>
      </c>
      <c r="D478" s="26" t="s">
        <v>729</v>
      </c>
      <c r="E478" s="4"/>
      <c r="F478" s="45"/>
      <c r="G478" s="4"/>
      <c r="H478" s="47"/>
      <c r="J478" s="26" t="str">
        <f t="shared" si="817"/>
        <v/>
      </c>
      <c r="N478" t="str">
        <f t="shared" si="835"/>
        <v/>
      </c>
      <c r="Q478" t="str">
        <f t="shared" si="829"/>
        <v/>
      </c>
      <c r="S478">
        <f>IF(A478=1,MAX($S$2:$S477)+1,IF(OR($I478&lt;&gt;"",A478="x"),$S477,""))</f>
        <v>238</v>
      </c>
      <c r="T478">
        <f>IF(D478=1,MAX($T$2:$T477)+1,IF(S478=S477,$T477,IF(D478="x",T477,IF(D477="x","",""))))</f>
        <v>31</v>
      </c>
      <c r="U478" t="str">
        <f>IF(B478=1,MAX($U$2:$U477)+1,IF(AND($T478&lt;&gt;"",$T478=$T477),$U477,IF(B478="x",U477,"")))</f>
        <v/>
      </c>
      <c r="V478" t="str">
        <f>IF(C478=1,MAX($V$2:$V477)+1,IF(AND($T478&lt;&gt;"",$T478=$T477),$U477,IF(C478="x",V477,"")))</f>
        <v/>
      </c>
      <c r="W478" t="str" cm="1">
        <f t="array" ref="W478">IFERROR(_xlfn._xlws.FILTER(game_rosters!AC:AC,(game_rosters!J:J=events!X478)*(K478&lt;&gt;"")),"")</f>
        <v/>
      </c>
      <c r="X478" cm="1">
        <f t="array" ref="X478">IF($I478&lt;&gt;"",$I478,INDEX($I$1:$I478,ROW()-COUNTIFS($T$1:$T478,"="&amp;$T478,$S$1:$S478,"&lt;"&amp;$S478)))</f>
        <v>19</v>
      </c>
      <c r="Y478" t="str" cm="1">
        <f t="array" ref="Y478">IFERROR(IF(_xlfn._xlws.FILTER(game_rosters!$J:$J,(game_rosters!$G:$G=events!$AM478)*(game_rosters!$J:$J=events!$X478))&gt;0,1,""),"")</f>
        <v/>
      </c>
      <c r="Z478" s="6">
        <f t="shared" si="792"/>
        <v>1</v>
      </c>
      <c r="AA478">
        <f t="shared" si="793"/>
        <v>1238</v>
      </c>
      <c r="AB478">
        <f t="shared" si="794"/>
        <v>9031</v>
      </c>
      <c r="AC478">
        <f t="shared" si="795"/>
        <v>9031</v>
      </c>
      <c r="AD478" t="str">
        <f t="shared" si="796"/>
        <v>11</v>
      </c>
      <c r="AE478" t="str">
        <f t="shared" si="797"/>
        <v>14</v>
      </c>
      <c r="AF478" t="str">
        <f t="shared" si="798"/>
        <v/>
      </c>
      <c r="AG478" t="str">
        <f t="shared" si="799"/>
        <v/>
      </c>
      <c r="AH478" t="str">
        <f t="shared" si="842"/>
        <v>o</v>
      </c>
      <c r="AI478" t="str">
        <f t="shared" si="843"/>
        <v>o</v>
      </c>
      <c r="AJ478" t="str">
        <f t="shared" si="843"/>
        <v>o</v>
      </c>
      <c r="AK478" t="str">
        <f t="shared" si="844"/>
        <v/>
      </c>
      <c r="AL478" t="str">
        <f t="shared" si="845"/>
        <v/>
      </c>
      <c r="AM478" t="str">
        <f t="shared" si="800"/>
        <v>Away</v>
      </c>
      <c r="AN478" t="str">
        <f t="shared" si="846"/>
        <v>a</v>
      </c>
      <c r="AO478" t="str">
        <f t="shared" si="847"/>
        <v>d</v>
      </c>
      <c r="AP478" t="str">
        <f t="shared" si="848"/>
        <v>o</v>
      </c>
      <c r="AQ478" t="str">
        <f>IF(AM478&lt;&gt;"",AM478,IF($AC478=#REF!,#REF!,""))</f>
        <v>Away</v>
      </c>
      <c r="AR478" t="str">
        <f t="shared" si="849"/>
        <v>a</v>
      </c>
      <c r="AS478" t="str">
        <f t="shared" si="850"/>
        <v>Defensive</v>
      </c>
      <c r="AT478" t="str">
        <f t="shared" si="801"/>
        <v/>
      </c>
      <c r="AU478" t="str">
        <f t="shared" si="802"/>
        <v/>
      </c>
      <c r="AV478" t="str" cm="1">
        <f t="array" ref="AV478">IFERROR(IF(O478&lt;&gt;"",O478,IF(OR($S478="",$T478=""),"",IF(O478&lt;&gt;"",O478,IF($T478&lt;&gt;"",_xlfn._xlws.FILTER(O:O,($BT:$BT=$BT478)*($I:$I=$I478)*($T:$T=$T478)*($S:$S=_xlfn.MINIFS($S:$S,$T:$T,"="&amp;$T478)),"")))))&amp;"",IF(O478="","",""))&amp;""</f>
        <v/>
      </c>
      <c r="AW478" t="str" cm="1">
        <f t="array" ref="AW478">IFERROR(IF(P478&lt;&gt;"",P478,IF(OR($S478="",$T478=""),"",IF($T478&lt;&gt;"",_xlfn._xlws.FILTER(P:P,($BT:$BT=$BT478)*($I:$I=$I478)*($T:$T=$T478)*($S:$S=_xlfn.MINIFS($S:$S,$T:$T,"="&amp;$T478)),""))))&amp;"",IF(P478="","",""))&amp;""</f>
        <v/>
      </c>
      <c r="AX478" t="str" cm="1">
        <f t="array" ref="AX478">IFERROR(IF(Q478&lt;&gt;"",Q478,IF(OR($S478="",$T478=""),"",IF($T478&lt;&gt;"",_xlfn._xlws.FILTER(Q:Q,($BT:$BT=$BT478)*($I:$I=$I478)*($T:$T=$T478)*($S:$S=_xlfn.MINIFS($S:$S,$T:$T,"="&amp;$T478)),""))))&amp;"",IF(Q478="","",""))&amp;""</f>
        <v/>
      </c>
      <c r="AY478" t="str" cm="1">
        <f t="array" ref="AY478">IFERROR(IF(R478&lt;&gt;"",R478,IF(OR($S478="",$T478=""),"",IF($T478&lt;&gt;"",_xlfn._xlws.FILTER(R:R,($BT:$BT=$BT478)*($I:$I=$I478)*($T:$T=$T478)*($S:$S=_xlfn.MINIFS($S:$S,$T:$T,"="&amp;$T478)),""))))&amp;"",IF(R478="","",""))&amp;""</f>
        <v/>
      </c>
      <c r="AZ478" s="6">
        <f t="shared" si="803"/>
        <v>43</v>
      </c>
      <c r="BA478">
        <f t="shared" ref="BA478:BC478" si="854">BA477</f>
        <v>18991</v>
      </c>
      <c r="BB478" t="str">
        <f t="shared" si="854"/>
        <v>Triple J</v>
      </c>
      <c r="BC478" t="str">
        <f t="shared" si="854"/>
        <v>Velodrome</v>
      </c>
      <c r="BD478" t="str">
        <f t="shared" si="805"/>
        <v>Turnover</v>
      </c>
      <c r="BE478" t="str">
        <f t="shared" si="806"/>
        <v>Turnover_Giveaway</v>
      </c>
      <c r="BF478" t="str">
        <f t="shared" si="807"/>
        <v>Giveaway-ShotMissed</v>
      </c>
      <c r="BG478" t="str">
        <f t="shared" si="789"/>
        <v>u</v>
      </c>
      <c r="BH478" t="e" cm="1" vm="1">
        <f t="array" aca="1" ref="BH478" ca="1">IFERROR(_xlfn._xlws.FILTER(shifts!A:A,(shifts!B:B=events!Z478)*(shifts!AG:AG&gt;=events!BJ478)*(shifts!AH:AH&lt;=events!BK478)),BH477)</f>
        <v>#VALUE!</v>
      </c>
      <c r="BI478" s="15">
        <f t="shared" si="808"/>
        <v>0</v>
      </c>
      <c r="BJ478">
        <f t="shared" si="809"/>
        <v>674</v>
      </c>
      <c r="BK478">
        <f t="shared" si="810"/>
        <v>674</v>
      </c>
      <c r="BL478" s="15">
        <f>SUMIFS(BI$2:BI478,K$2:K478,"=Intermission")+SUMIFS(BI$2:BI478,K$2:K478,"=Timeout")</f>
        <v>0</v>
      </c>
      <c r="BM478">
        <f t="shared" si="811"/>
        <v>0</v>
      </c>
      <c r="BN478" s="19">
        <f t="shared" si="812"/>
        <v>406</v>
      </c>
      <c r="BO478">
        <f t="shared" si="813"/>
        <v>401</v>
      </c>
      <c r="BP478" s="17">
        <f t="shared" si="814"/>
        <v>406</v>
      </c>
      <c r="BQ478" t="str">
        <f t="shared" si="815"/>
        <v>opp_team_player_1</v>
      </c>
      <c r="BR478">
        <f>COUNTIFS(S$3:S478,"="&amp;S478,AH$3:AH478,"="&amp;AH478)</f>
        <v>1</v>
      </c>
      <c r="BS478" t="str">
        <f>IFERROR(VLOOKUP(BA478&amp;BT478&amp;X478,game_rosters!U:W,3,FALSE),"")</f>
        <v>P100089</v>
      </c>
      <c r="BT478" t="str">
        <f t="shared" si="816"/>
        <v>Triple J</v>
      </c>
    </row>
    <row r="479" spans="1:72" x14ac:dyDescent="0.2">
      <c r="A479">
        <f t="shared" si="791"/>
        <v>1</v>
      </c>
      <c r="E479" s="4"/>
      <c r="F479" s="45" t="s">
        <v>746</v>
      </c>
      <c r="G479" s="4"/>
      <c r="H479" s="47" t="s">
        <v>1047</v>
      </c>
      <c r="I479" s="26">
        <v>21</v>
      </c>
      <c r="J479" s="26" t="s">
        <v>736</v>
      </c>
      <c r="K479" t="s">
        <v>13</v>
      </c>
      <c r="L479" t="s">
        <v>586</v>
      </c>
      <c r="N479" t="s">
        <v>595</v>
      </c>
      <c r="O479" t="s">
        <v>909</v>
      </c>
      <c r="Q479" t="str">
        <f t="shared" si="829"/>
        <v>s</v>
      </c>
      <c r="S479">
        <f>IF(A479=1,MAX($S$2:$S478)+1,IF(OR($I479&lt;&gt;"",A479="x"),$S478,""))</f>
        <v>239</v>
      </c>
      <c r="T479" t="str">
        <f>IF(D479=1,MAX($T$2:$T478)+1,IF(S479=S478,$T478,IF(D479="x",T478,IF(D478="x","",""))))</f>
        <v/>
      </c>
      <c r="U479" t="str">
        <f>IF(B479=1,MAX($U$2:$U478)+1,IF(AND($T479&lt;&gt;"",$T479=$T478),$U478,IF(B479="x",U478,"")))</f>
        <v/>
      </c>
      <c r="V479" t="str">
        <f>IF(C479=1,MAX($V$2:$V478)+1,IF(AND($T479&lt;&gt;"",$T479=$T478),$U478,IF(C479="x",V478,"")))</f>
        <v/>
      </c>
      <c r="W479" t="str" cm="1">
        <f t="array" ref="W479">IFERROR(_xlfn._xlws.FILTER(game_rosters!AC:AC,(game_rosters!J:J=events!X479)*(K479&lt;&gt;"")),"")</f>
        <v>h</v>
      </c>
      <c r="X479" cm="1">
        <f t="array" ref="X479">IF($I479&lt;&gt;"",$I479,INDEX($I$1:$I479,ROW()-COUNTIFS($T$1:$T479,"="&amp;$T479,$S$1:$S479,"&lt;"&amp;$S479)))</f>
        <v>21</v>
      </c>
      <c r="Y479" cm="1">
        <f t="array" ref="Y479">IFERROR(IF(_xlfn._xlws.FILTER(game_rosters!$J:$J,(game_rosters!$G:$G=events!$AM479)*(game_rosters!$J:$J=events!$X479))&gt;0,1,""),"")</f>
        <v>1</v>
      </c>
      <c r="Z479" s="6">
        <f t="shared" si="792"/>
        <v>1</v>
      </c>
      <c r="AA479">
        <f t="shared" si="793"/>
        <v>1239</v>
      </c>
      <c r="AB479" t="str">
        <f t="shared" si="794"/>
        <v/>
      </c>
      <c r="AC479">
        <f t="shared" si="795"/>
        <v>1239</v>
      </c>
      <c r="AD479" t="str">
        <f t="shared" si="796"/>
        <v>11</v>
      </c>
      <c r="AE479" t="str">
        <f t="shared" si="797"/>
        <v>12</v>
      </c>
      <c r="AF479" t="str">
        <f t="shared" si="798"/>
        <v>11</v>
      </c>
      <c r="AG479" t="str">
        <f t="shared" si="799"/>
        <v>09</v>
      </c>
      <c r="AH479" t="str">
        <f t="shared" si="842"/>
        <v>e</v>
      </c>
      <c r="AI479" t="str">
        <f t="shared" si="843"/>
        <v>d</v>
      </c>
      <c r="AJ479" t="str">
        <f t="shared" si="843"/>
        <v>d</v>
      </c>
      <c r="AK479" t="str">
        <f t="shared" si="844"/>
        <v>d</v>
      </c>
      <c r="AL479" t="str">
        <f t="shared" si="845"/>
        <v>o</v>
      </c>
      <c r="AM479" t="str">
        <f t="shared" si="800"/>
        <v>Home</v>
      </c>
      <c r="AN479" t="str">
        <f t="shared" si="846"/>
        <v>h</v>
      </c>
      <c r="AO479" t="str">
        <f t="shared" si="847"/>
        <v>d</v>
      </c>
      <c r="AP479" t="str">
        <f t="shared" si="848"/>
        <v>o</v>
      </c>
      <c r="AQ479" t="str">
        <f>IF(AM479&lt;&gt;"",AM479,IF($AC479=#REF!,#REF!,""))</f>
        <v>Home</v>
      </c>
      <c r="AR479" t="str">
        <f t="shared" si="849"/>
        <v>h</v>
      </c>
      <c r="AS479" t="str">
        <f t="shared" si="850"/>
        <v>Offensive</v>
      </c>
      <c r="AT479" t="str">
        <f t="shared" si="801"/>
        <v/>
      </c>
      <c r="AU479" t="str">
        <f t="shared" si="802"/>
        <v/>
      </c>
      <c r="AV479" t="str" cm="1">
        <f t="array" ref="AV479">IFERROR(IF(O479&lt;&gt;"",O479,IF(OR($S479="",$T479=""),"",IF(O479&lt;&gt;"",O479,IF($T479&lt;&gt;"",_xlfn._xlws.FILTER(O:O,($BT:$BT=$BT479)*($I:$I=$I479)*($T:$T=$T479)*($S:$S=_xlfn.MINIFS($S:$S,$T:$T,"="&amp;$T479)),"")))))&amp;"",IF(O479="","",""))&amp;""</f>
        <v>PuckRecoveryRetreivalShot</v>
      </c>
      <c r="AW479" t="str" cm="1">
        <f t="array" ref="AW479">IFERROR(IF(P479&lt;&gt;"",P479,IF(OR($S479="",$T479=""),"",IF($T479&lt;&gt;"",_xlfn._xlws.FILTER(P:P,($BT:$BT=$BT479)*($I:$I=$I479)*($T:$T=$T479)*($S:$S=_xlfn.MINIFS($S:$S,$T:$T,"="&amp;$T479)),""))))&amp;"",IF(P479="","",""))&amp;""</f>
        <v/>
      </c>
      <c r="AX479" t="str" cm="1">
        <f t="array" ref="AX479">IFERROR(IF(Q479&lt;&gt;"",Q479,IF(OR($S479="",$T479=""),"",IF($T479&lt;&gt;"",_xlfn._xlws.FILTER(Q:Q,($BT:$BT=$BT479)*($I:$I=$I479)*($T:$T=$T479)*($S:$S=_xlfn.MINIFS($S:$S,$T:$T,"="&amp;$T479)),""))))&amp;"",IF(Q479="","",""))&amp;""</f>
        <v>s</v>
      </c>
      <c r="AY479" t="str" cm="1">
        <f t="array" ref="AY479">IFERROR(IF(R479&lt;&gt;"",R479,IF(OR($S479="",$T479=""),"",IF($T479&lt;&gt;"",_xlfn._xlws.FILTER(R:R,($BT:$BT=$BT479)*($I:$I=$I479)*($T:$T=$T479)*($S:$S=_xlfn.MINIFS($S:$S,$T:$T,"="&amp;$T479)),""))))&amp;"",IF(R479="","",""))&amp;""</f>
        <v/>
      </c>
      <c r="AZ479" s="6">
        <f t="shared" si="803"/>
        <v>43</v>
      </c>
      <c r="BA479">
        <f t="shared" ref="BA479:BC479" si="855">BA478</f>
        <v>18991</v>
      </c>
      <c r="BB479" t="str">
        <f t="shared" si="855"/>
        <v>Triple J</v>
      </c>
      <c r="BC479" t="str">
        <f t="shared" si="855"/>
        <v>Velodrome</v>
      </c>
      <c r="BD479" t="str">
        <f t="shared" si="805"/>
        <v>Possession</v>
      </c>
      <c r="BE479" t="str">
        <f t="shared" si="806"/>
        <v>PuckRetrieval</v>
      </c>
      <c r="BF479" t="str">
        <f t="shared" si="807"/>
        <v/>
      </c>
      <c r="BG479" t="str">
        <f t="shared" si="789"/>
        <v>s</v>
      </c>
      <c r="BH479" cm="1">
        <f t="array" aca="1" ref="BH479" ca="1">IFERROR(_xlfn._xlws.FILTER(shifts!A:A,(shifts!B:B=events!Z479)*(shifts!AG:AG&gt;=events!BJ479)*(shifts!AH:AH&lt;=events!BK479)),BH478)</f>
        <v>16</v>
      </c>
      <c r="BI479" s="15">
        <f t="shared" si="808"/>
        <v>3</v>
      </c>
      <c r="BJ479">
        <f t="shared" si="809"/>
        <v>672</v>
      </c>
      <c r="BK479">
        <f t="shared" si="810"/>
        <v>669</v>
      </c>
      <c r="BL479" s="15">
        <f>SUMIFS(BI$2:BI479,K$2:K479,"=Intermission")+SUMIFS(BI$2:BI479,K$2:K479,"=Timeout")</f>
        <v>0</v>
      </c>
      <c r="BM479">
        <f t="shared" si="811"/>
        <v>0</v>
      </c>
      <c r="BN479" s="19">
        <f t="shared" si="812"/>
        <v>408</v>
      </c>
      <c r="BO479">
        <f t="shared" si="813"/>
        <v>403</v>
      </c>
      <c r="BP479" s="17">
        <f t="shared" si="814"/>
        <v>411</v>
      </c>
      <c r="BQ479" t="str">
        <f t="shared" si="815"/>
        <v>event_team_player_1</v>
      </c>
      <c r="BR479">
        <f>COUNTIFS(S$3:S479,"="&amp;S479,AH$3:AH479,"="&amp;AH479)</f>
        <v>1</v>
      </c>
      <c r="BS479" t="str">
        <f>IFERROR(VLOOKUP(BA479&amp;BT479&amp;X479,game_rosters!U:W,3,FALSE),"")</f>
        <v>P100019</v>
      </c>
      <c r="BT479" t="str">
        <f t="shared" si="816"/>
        <v>Triple J</v>
      </c>
    </row>
    <row r="480" spans="1:72" x14ac:dyDescent="0.2">
      <c r="A480">
        <f t="shared" si="791"/>
        <v>1</v>
      </c>
      <c r="E480" s="4"/>
      <c r="F480" s="45"/>
      <c r="G480" s="4"/>
      <c r="H480" s="47" t="s">
        <v>1042</v>
      </c>
      <c r="I480" s="26">
        <v>21</v>
      </c>
      <c r="J480" s="26" t="s">
        <v>736</v>
      </c>
      <c r="K480" t="s">
        <v>13</v>
      </c>
      <c r="N480" t="str">
        <f t="shared" si="835"/>
        <v/>
      </c>
      <c r="Q480" t="str">
        <f t="shared" si="829"/>
        <v/>
      </c>
      <c r="S480">
        <f>IF(A480=1,MAX($S$2:$S479)+1,IF(OR($I480&lt;&gt;"",A480="x"),$S479,""))</f>
        <v>240</v>
      </c>
      <c r="T480" t="str">
        <f>IF(D480=1,MAX($T$2:$T479)+1,IF(S480=S479,$T479,IF(D480="x",T479,IF(D479="x","",""))))</f>
        <v/>
      </c>
      <c r="U480" t="str">
        <f>IF(B480=1,MAX($U$2:$U479)+1,IF(AND($T480&lt;&gt;"",$T480=$T479),$U479,IF(B480="x",U479,"")))</f>
        <v/>
      </c>
      <c r="V480" t="str">
        <f>IF(C480=1,MAX($V$2:$V479)+1,IF(AND($T480&lt;&gt;"",$T480=$T479),$U479,IF(C480="x",V479,"")))</f>
        <v/>
      </c>
      <c r="W480" t="str" cm="1">
        <f t="array" ref="W480">IFERROR(_xlfn._xlws.FILTER(game_rosters!AC:AC,(game_rosters!J:J=events!X480)*(K480&lt;&gt;"")),"")</f>
        <v>h</v>
      </c>
      <c r="X480" cm="1">
        <f t="array" ref="X480">IF($I480&lt;&gt;"",$I480,INDEX($I$1:$I480,ROW()-COUNTIFS($T$1:$T480,"="&amp;$T480,$S$1:$S480,"&lt;"&amp;$S480)))</f>
        <v>21</v>
      </c>
      <c r="Y480" cm="1">
        <f t="array" ref="Y480">IFERROR(IF(_xlfn._xlws.FILTER(game_rosters!$J:$J,(game_rosters!$G:$G=events!$AM480)*(game_rosters!$J:$J=events!$X480))&gt;0,1,""),"")</f>
        <v>1</v>
      </c>
      <c r="Z480" s="6">
        <f t="shared" si="792"/>
        <v>1</v>
      </c>
      <c r="AA480">
        <f t="shared" si="793"/>
        <v>1240</v>
      </c>
      <c r="AB480" t="str">
        <f t="shared" si="794"/>
        <v/>
      </c>
      <c r="AC480">
        <f t="shared" si="795"/>
        <v>1240</v>
      </c>
      <c r="AD480" t="str">
        <f t="shared" si="796"/>
        <v>11</v>
      </c>
      <c r="AE480" t="str">
        <f t="shared" si="797"/>
        <v>09</v>
      </c>
      <c r="AF480" t="str">
        <f t="shared" si="798"/>
        <v>11</v>
      </c>
      <c r="AG480" t="str">
        <f t="shared" si="799"/>
        <v>06</v>
      </c>
      <c r="AH480" t="str">
        <f t="shared" si="842"/>
        <v>e</v>
      </c>
      <c r="AI480" t="str">
        <f t="shared" si="843"/>
        <v>d</v>
      </c>
      <c r="AJ480" t="str">
        <f t="shared" si="843"/>
        <v>d</v>
      </c>
      <c r="AK480" t="str">
        <f t="shared" si="844"/>
        <v>d</v>
      </c>
      <c r="AL480" t="str">
        <f t="shared" si="845"/>
        <v>o</v>
      </c>
      <c r="AM480" t="str">
        <f t="shared" si="800"/>
        <v>Home</v>
      </c>
      <c r="AN480" t="str">
        <f t="shared" si="846"/>
        <v>h</v>
      </c>
      <c r="AO480" t="str">
        <f t="shared" si="847"/>
        <v>d</v>
      </c>
      <c r="AP480" t="str">
        <f t="shared" si="848"/>
        <v>o</v>
      </c>
      <c r="AQ480" t="str">
        <f>IF(AM480&lt;&gt;"",AM480,IF($AC480=#REF!,#REF!,""))</f>
        <v>Home</v>
      </c>
      <c r="AR480" t="str">
        <f t="shared" si="849"/>
        <v>h</v>
      </c>
      <c r="AS480" t="str">
        <f t="shared" si="850"/>
        <v>Offensive</v>
      </c>
      <c r="AT480" t="str">
        <f t="shared" si="801"/>
        <v/>
      </c>
      <c r="AU480" t="str">
        <f t="shared" si="802"/>
        <v/>
      </c>
      <c r="AV480" t="str" cm="1">
        <f t="array" ref="AV480">IFERROR(IF(O480&lt;&gt;"",O480,IF(OR($S480="",$T480=""),"",IF(O480&lt;&gt;"",O480,IF($T480&lt;&gt;"",_xlfn._xlws.FILTER(O:O,($BT:$BT=$BT480)*($I:$I=$I480)*($T:$T=$T480)*($S:$S=_xlfn.MINIFS($S:$S,$T:$T,"="&amp;$T480)),"")))))&amp;"",IF(O480="","",""))&amp;""</f>
        <v/>
      </c>
      <c r="AW480" t="str" cm="1">
        <f t="array" ref="AW480">IFERROR(IF(P480&lt;&gt;"",P480,IF(OR($S480="",$T480=""),"",IF($T480&lt;&gt;"",_xlfn._xlws.FILTER(P:P,($BT:$BT=$BT480)*($I:$I=$I480)*($T:$T=$T480)*($S:$S=_xlfn.MINIFS($S:$S,$T:$T,"="&amp;$T480)),""))))&amp;"",IF(P480="","",""))&amp;""</f>
        <v/>
      </c>
      <c r="AX480" t="str" cm="1">
        <f t="array" ref="AX480">IFERROR(IF(Q480&lt;&gt;"",Q480,IF(OR($S480="",$T480=""),"",IF($T480&lt;&gt;"",_xlfn._xlws.FILTER(Q:Q,($BT:$BT=$BT480)*($I:$I=$I480)*($T:$T=$T480)*($S:$S=_xlfn.MINIFS($S:$S,$T:$T,"="&amp;$T480)),""))))&amp;"",IF(Q480="","",""))&amp;""</f>
        <v/>
      </c>
      <c r="AY480" t="str" cm="1">
        <f t="array" ref="AY480">IFERROR(IF(R480&lt;&gt;"",R480,IF(OR($S480="",$T480=""),"",IF($T480&lt;&gt;"",_xlfn._xlws.FILTER(R:R,($BT:$BT=$BT480)*($I:$I=$I480)*($T:$T=$T480)*($S:$S=_xlfn.MINIFS($S:$S,$T:$T,"="&amp;$T480)),""))))&amp;"",IF(R480="","",""))&amp;""</f>
        <v/>
      </c>
      <c r="AZ480" s="6">
        <f t="shared" si="803"/>
        <v>43</v>
      </c>
      <c r="BA480">
        <f t="shared" ref="BA480:BC480" si="856">BA479</f>
        <v>18991</v>
      </c>
      <c r="BB480" t="str">
        <f t="shared" si="856"/>
        <v>Triple J</v>
      </c>
      <c r="BC480" t="str">
        <f t="shared" si="856"/>
        <v>Velodrome</v>
      </c>
      <c r="BD480" t="str">
        <f t="shared" si="805"/>
        <v>Possession</v>
      </c>
      <c r="BE480" t="str">
        <f t="shared" si="806"/>
        <v/>
      </c>
      <c r="BF480" t="str">
        <f t="shared" si="807"/>
        <v/>
      </c>
      <c r="BG480" t="str">
        <f t="shared" si="789"/>
        <v/>
      </c>
      <c r="BH480" cm="1">
        <f t="array" aca="1" ref="BH480" ca="1">IFERROR(_xlfn._xlws.FILTER(shifts!A:A,(shifts!B:B=events!Z480)*(shifts!AG:AG&gt;=events!BJ480)*(shifts!AH:AH&lt;=events!BK480)),BH479)</f>
        <v>16</v>
      </c>
      <c r="BI480" s="15">
        <f t="shared" si="808"/>
        <v>3</v>
      </c>
      <c r="BJ480">
        <f t="shared" si="809"/>
        <v>669</v>
      </c>
      <c r="BK480">
        <f t="shared" si="810"/>
        <v>666</v>
      </c>
      <c r="BL480" s="15">
        <f>SUMIFS(BI$2:BI480,K$2:K480,"=Intermission")+SUMIFS(BI$2:BI480,K$2:K480,"=Timeout")</f>
        <v>0</v>
      </c>
      <c r="BM480">
        <f t="shared" si="811"/>
        <v>0</v>
      </c>
      <c r="BN480" s="19">
        <f t="shared" si="812"/>
        <v>411</v>
      </c>
      <c r="BO480">
        <f t="shared" si="813"/>
        <v>406</v>
      </c>
      <c r="BP480" s="17">
        <f t="shared" si="814"/>
        <v>414</v>
      </c>
      <c r="BQ480" t="str">
        <f t="shared" si="815"/>
        <v>event_team_player_1</v>
      </c>
      <c r="BR480">
        <f>COUNTIFS(S$3:S480,"="&amp;S480,AH$3:AH480,"="&amp;AH480)</f>
        <v>1</v>
      </c>
      <c r="BS480" t="str">
        <f>IFERROR(VLOOKUP(BA480&amp;BT480&amp;X480,game_rosters!U:W,3,FALSE),"")</f>
        <v>P100019</v>
      </c>
      <c r="BT480" t="str">
        <f t="shared" si="816"/>
        <v>Triple J</v>
      </c>
    </row>
    <row r="481" spans="1:72" x14ac:dyDescent="0.2">
      <c r="A481">
        <f t="shared" si="791"/>
        <v>1</v>
      </c>
      <c r="E481" s="4"/>
      <c r="F481" s="45"/>
      <c r="G481" s="4"/>
      <c r="H481" s="47" t="s">
        <v>1069</v>
      </c>
      <c r="I481" s="26">
        <v>21</v>
      </c>
      <c r="J481" s="26" t="s">
        <v>736</v>
      </c>
      <c r="K481" t="s">
        <v>238</v>
      </c>
      <c r="L481" t="s">
        <v>184</v>
      </c>
      <c r="N481" t="str">
        <f t="shared" si="835"/>
        <v>s</v>
      </c>
      <c r="Q481" t="str">
        <f t="shared" si="829"/>
        <v/>
      </c>
      <c r="R481" s="26">
        <v>1</v>
      </c>
      <c r="S481">
        <f>IF(A481=1,MAX($S$2:$S480)+1,IF(OR($I481&lt;&gt;"",A481="x"),$S480,""))</f>
        <v>241</v>
      </c>
      <c r="T481" t="str">
        <f>IF(D481=1,MAX($T$2:$T480)+1,IF(S481=S480,$T480,IF(D481="x",T480,IF(D480="x","",""))))</f>
        <v/>
      </c>
      <c r="U481" t="str">
        <f>IF(B481=1,MAX($U$2:$U480)+1,IF(AND($T481&lt;&gt;"",$T481=$T480),$U480,IF(B481="x",U480,"")))</f>
        <v/>
      </c>
      <c r="V481" t="str">
        <f>IF(C481=1,MAX($V$2:$V480)+1,IF(AND($T481&lt;&gt;"",$T481=$T480),$U480,IF(C481="x",V480,"")))</f>
        <v/>
      </c>
      <c r="W481" t="str" cm="1">
        <f t="array" ref="W481">IFERROR(_xlfn._xlws.FILTER(game_rosters!AC:AC,(game_rosters!J:J=events!X481)*(K481&lt;&gt;"")),"")</f>
        <v>h</v>
      </c>
      <c r="X481" cm="1">
        <f t="array" ref="X481">IF($I481&lt;&gt;"",$I481,INDEX($I$1:$I481,ROW()-COUNTIFS($T$1:$T481,"="&amp;$T481,$S$1:$S481,"&lt;"&amp;$S481)))</f>
        <v>21</v>
      </c>
      <c r="Y481" cm="1">
        <f t="array" ref="Y481">IFERROR(IF(_xlfn._xlws.FILTER(game_rosters!$J:$J,(game_rosters!$G:$G=events!$AM481)*(game_rosters!$J:$J=events!$X481))&gt;0,1,""),"")</f>
        <v>1</v>
      </c>
      <c r="Z481" s="6">
        <f t="shared" si="792"/>
        <v>1</v>
      </c>
      <c r="AA481">
        <f t="shared" si="793"/>
        <v>1241</v>
      </c>
      <c r="AB481" t="str">
        <f t="shared" si="794"/>
        <v/>
      </c>
      <c r="AC481">
        <f t="shared" si="795"/>
        <v>1241</v>
      </c>
      <c r="AD481" t="str">
        <f t="shared" si="796"/>
        <v>11</v>
      </c>
      <c r="AE481" t="str">
        <f t="shared" si="797"/>
        <v>06</v>
      </c>
      <c r="AF481" t="str">
        <f t="shared" si="798"/>
        <v>11</v>
      </c>
      <c r="AG481" t="str">
        <f t="shared" si="799"/>
        <v>05</v>
      </c>
      <c r="AH481" t="str">
        <f t="shared" si="842"/>
        <v>e</v>
      </c>
      <c r="AI481" t="str">
        <f t="shared" si="843"/>
        <v>d</v>
      </c>
      <c r="AJ481" t="str">
        <f t="shared" si="843"/>
        <v>d</v>
      </c>
      <c r="AK481" t="str">
        <f t="shared" si="844"/>
        <v>d</v>
      </c>
      <c r="AL481" t="str">
        <f t="shared" si="845"/>
        <v>o</v>
      </c>
      <c r="AM481" t="str">
        <f t="shared" si="800"/>
        <v>Home</v>
      </c>
      <c r="AN481" t="str">
        <f t="shared" si="846"/>
        <v>h</v>
      </c>
      <c r="AO481" t="str">
        <f t="shared" si="847"/>
        <v>d</v>
      </c>
      <c r="AP481" t="str">
        <f t="shared" si="848"/>
        <v>o</v>
      </c>
      <c r="AQ481" t="str">
        <f>IF(AM481&lt;&gt;"",AM481,IF($AC481=#REF!,#REF!,""))</f>
        <v>Home</v>
      </c>
      <c r="AR481" t="str">
        <f t="shared" si="849"/>
        <v>h</v>
      </c>
      <c r="AS481" t="str">
        <f t="shared" si="850"/>
        <v>Offensive</v>
      </c>
      <c r="AT481" t="str">
        <f t="shared" si="801"/>
        <v/>
      </c>
      <c r="AU481" t="str">
        <f t="shared" si="802"/>
        <v/>
      </c>
      <c r="AV481" t="str" cm="1">
        <f t="array" ref="AV481">IFERROR(IF(O481&lt;&gt;"",O481,IF(OR($S481="",$T481=""),"",IF(O481&lt;&gt;"",O481,IF($T481&lt;&gt;"",_xlfn._xlws.FILTER(O:O,($BT:$BT=$BT481)*($I:$I=$I481)*($T:$T=$T481)*($S:$S=_xlfn.MINIFS($S:$S,$T:$T,"="&amp;$T481)),"")))))&amp;"",IF(O481="","",""))&amp;""</f>
        <v/>
      </c>
      <c r="AW481" t="str" cm="1">
        <f t="array" ref="AW481">IFERROR(IF(P481&lt;&gt;"",P481,IF(OR($S481="",$T481=""),"",IF($T481&lt;&gt;"",_xlfn._xlws.FILTER(P:P,($BT:$BT=$BT481)*($I:$I=$I481)*($T:$T=$T481)*($S:$S=_xlfn.MINIFS($S:$S,$T:$T,"="&amp;$T481)),""))))&amp;"",IF(P481="","",""))&amp;""</f>
        <v/>
      </c>
      <c r="AX481" t="str" cm="1">
        <f t="array" ref="AX481">IFERROR(IF(Q481&lt;&gt;"",Q481,IF(OR($S481="",$T481=""),"",IF($T481&lt;&gt;"",_xlfn._xlws.FILTER(Q:Q,($BT:$BT=$BT481)*($I:$I=$I481)*($T:$T=$T481)*($S:$S=_xlfn.MINIFS($S:$S,$T:$T,"="&amp;$T481)),""))))&amp;"",IF(Q481="","",""))&amp;""</f>
        <v/>
      </c>
      <c r="AY481" t="str" cm="1">
        <f t="array" ref="AY481">IFERROR(IF(R481&lt;&gt;"",R481,IF(OR($S481="",$T481=""),"",IF($T481&lt;&gt;"",_xlfn._xlws.FILTER(R:R,($BT:$BT=$BT481)*($I:$I=$I481)*($T:$T=$T481)*($S:$S=_xlfn.MINIFS($S:$S,$T:$T,"="&amp;$T481)),""))))&amp;"",IF(R481="","",""))&amp;""</f>
        <v>1</v>
      </c>
      <c r="AZ481" s="6">
        <f t="shared" si="803"/>
        <v>44</v>
      </c>
      <c r="BA481">
        <f t="shared" ref="BA481:BC481" si="857">BA480</f>
        <v>18991</v>
      </c>
      <c r="BB481" t="str">
        <f t="shared" si="857"/>
        <v>Triple J</v>
      </c>
      <c r="BC481" t="str">
        <f t="shared" si="857"/>
        <v>Velodrome</v>
      </c>
      <c r="BD481" t="str">
        <f t="shared" si="805"/>
        <v>Zone_Entry_Exit</v>
      </c>
      <c r="BE481" t="str">
        <f t="shared" si="806"/>
        <v>Zone_Exit</v>
      </c>
      <c r="BF481" t="str">
        <f t="shared" si="807"/>
        <v/>
      </c>
      <c r="BG481" t="str">
        <f t="shared" si="789"/>
        <v>s</v>
      </c>
      <c r="BH481" cm="1">
        <f t="array" aca="1" ref="BH481" ca="1">IFERROR(_xlfn._xlws.FILTER(shifts!A:A,(shifts!B:B=events!Z481)*(shifts!AG:AG&gt;=events!BJ481)*(shifts!AH:AH&lt;=events!BK481)),BH480)</f>
        <v>16</v>
      </c>
      <c r="BI481" s="15">
        <f t="shared" si="808"/>
        <v>1</v>
      </c>
      <c r="BJ481">
        <f t="shared" si="809"/>
        <v>666</v>
      </c>
      <c r="BK481">
        <f t="shared" si="810"/>
        <v>665</v>
      </c>
      <c r="BL481" s="15">
        <f>SUMIFS(BI$2:BI481,K$2:K481,"=Intermission")+SUMIFS(BI$2:BI481,K$2:K481,"=Timeout")</f>
        <v>0</v>
      </c>
      <c r="BM481">
        <f t="shared" si="811"/>
        <v>0</v>
      </c>
      <c r="BN481" s="19">
        <f t="shared" si="812"/>
        <v>414</v>
      </c>
      <c r="BO481">
        <f t="shared" si="813"/>
        <v>409</v>
      </c>
      <c r="BP481" s="17">
        <f t="shared" si="814"/>
        <v>415</v>
      </c>
      <c r="BQ481" t="str">
        <f t="shared" si="815"/>
        <v>event_team_player_1</v>
      </c>
      <c r="BR481">
        <f>COUNTIFS(S$3:S481,"="&amp;S481,AH$3:AH481,"="&amp;AH481)</f>
        <v>1</v>
      </c>
      <c r="BS481" t="str">
        <f>IFERROR(VLOOKUP(BA481&amp;BT481&amp;X481,game_rosters!U:W,3,FALSE),"")</f>
        <v>P100019</v>
      </c>
      <c r="BT481" t="str">
        <f t="shared" si="816"/>
        <v>Triple J</v>
      </c>
    </row>
    <row r="482" spans="1:72" x14ac:dyDescent="0.2">
      <c r="A482" t="str">
        <f t="shared" si="791"/>
        <v/>
      </c>
      <c r="E482" s="4"/>
      <c r="F482" s="45"/>
      <c r="G482" s="4"/>
      <c r="H482" s="47"/>
      <c r="I482" s="26">
        <v>14</v>
      </c>
      <c r="J482" s="26" t="str">
        <f t="shared" si="817"/>
        <v/>
      </c>
      <c r="N482" t="str">
        <f t="shared" si="835"/>
        <v/>
      </c>
      <c r="Q482" t="str">
        <f t="shared" si="829"/>
        <v/>
      </c>
      <c r="R482" s="26">
        <v>1</v>
      </c>
      <c r="S482">
        <f>IF(A482=1,MAX($S$2:$S481)+1,IF(OR($I482&lt;&gt;"",A482="x"),$S481,""))</f>
        <v>241</v>
      </c>
      <c r="T482" t="str">
        <f>IF(D482=1,MAX($T$2:$T481)+1,IF(S482=S481,$T481,IF(D482="x",T481,IF(D481="x","",""))))</f>
        <v/>
      </c>
      <c r="U482" t="str">
        <f>IF(B482=1,MAX($U$2:$U481)+1,IF(AND($T482&lt;&gt;"",$T482=$T481),$U481,IF(B482="x",U481,"")))</f>
        <v/>
      </c>
      <c r="V482" t="str">
        <f>IF(C482=1,MAX($V$2:$V481)+1,IF(AND($T482&lt;&gt;"",$T482=$T481),$U481,IF(C482="x",V481,"")))</f>
        <v/>
      </c>
      <c r="W482" t="str" cm="1">
        <f t="array" ref="W482">IFERROR(_xlfn._xlws.FILTER(game_rosters!AC:AC,(game_rosters!J:J=events!X482)*(K482&lt;&gt;"")),"")</f>
        <v/>
      </c>
      <c r="X482" cm="1">
        <f t="array" ref="X482">IF($I482&lt;&gt;"",$I482,INDEX($I$1:$I482,ROW()-COUNTIFS($T$1:$T482,"="&amp;$T482,$S$1:$S482,"&lt;"&amp;$S482)))</f>
        <v>14</v>
      </c>
      <c r="Y482" t="str" cm="1">
        <f t="array" ref="Y482">IFERROR(IF(_xlfn._xlws.FILTER(game_rosters!$J:$J,(game_rosters!$G:$G=events!$AM482)*(game_rosters!$J:$J=events!$X482))&gt;0,1,""),"")</f>
        <v/>
      </c>
      <c r="Z482" s="6">
        <f t="shared" si="792"/>
        <v>1</v>
      </c>
      <c r="AA482">
        <f t="shared" si="793"/>
        <v>1241</v>
      </c>
      <c r="AB482" t="str">
        <f t="shared" si="794"/>
        <v/>
      </c>
      <c r="AC482">
        <f t="shared" si="795"/>
        <v>1241</v>
      </c>
      <c r="AD482" t="str">
        <f t="shared" si="796"/>
        <v>11</v>
      </c>
      <c r="AE482" t="str">
        <f t="shared" si="797"/>
        <v>06</v>
      </c>
      <c r="AF482" t="str">
        <f t="shared" si="798"/>
        <v>11</v>
      </c>
      <c r="AG482" t="str">
        <f t="shared" si="799"/>
        <v>05</v>
      </c>
      <c r="AH482" t="str">
        <f t="shared" si="842"/>
        <v>o</v>
      </c>
      <c r="AI482" t="str">
        <f t="shared" si="843"/>
        <v>d</v>
      </c>
      <c r="AJ482" t="str">
        <f t="shared" si="843"/>
        <v>d</v>
      </c>
      <c r="AK482" t="str">
        <f t="shared" si="844"/>
        <v/>
      </c>
      <c r="AL482" t="str">
        <f t="shared" si="845"/>
        <v/>
      </c>
      <c r="AM482" t="str">
        <f t="shared" si="800"/>
        <v>Home</v>
      </c>
      <c r="AN482" t="str">
        <f t="shared" si="846"/>
        <v>h</v>
      </c>
      <c r="AO482" t="str">
        <f t="shared" si="847"/>
        <v>d</v>
      </c>
      <c r="AP482" t="str">
        <f t="shared" si="848"/>
        <v>o</v>
      </c>
      <c r="AQ482" t="str">
        <f>IF(AM482&lt;&gt;"",AM482,IF($AC482=#REF!,#REF!,""))</f>
        <v>Home</v>
      </c>
      <c r="AR482" t="str">
        <f t="shared" si="849"/>
        <v>h</v>
      </c>
      <c r="AS482" t="str">
        <f t="shared" si="850"/>
        <v>Defensive</v>
      </c>
      <c r="AT482" t="str">
        <f t="shared" si="801"/>
        <v/>
      </c>
      <c r="AU482" t="str">
        <f t="shared" si="802"/>
        <v/>
      </c>
      <c r="AV482" t="str" cm="1">
        <f t="array" ref="AV482">IFERROR(IF(O482&lt;&gt;"",O482,IF(OR($S482="",$T482=""),"",IF(O482&lt;&gt;"",O482,IF($T482&lt;&gt;"",_xlfn._xlws.FILTER(O:O,($BT:$BT=$BT482)*($I:$I=$I482)*($T:$T=$T482)*($S:$S=_xlfn.MINIFS($S:$S,$T:$T,"="&amp;$T482)),"")))))&amp;"",IF(O482="","",""))&amp;""</f>
        <v/>
      </c>
      <c r="AW482" t="str" cm="1">
        <f t="array" ref="AW482">IFERROR(IF(P482&lt;&gt;"",P482,IF(OR($S482="",$T482=""),"",IF($T482&lt;&gt;"",_xlfn._xlws.FILTER(P:P,($BT:$BT=$BT482)*($I:$I=$I482)*($T:$T=$T482)*($S:$S=_xlfn.MINIFS($S:$S,$T:$T,"="&amp;$T482)),""))))&amp;"",IF(P482="","",""))&amp;""</f>
        <v/>
      </c>
      <c r="AX482" t="str" cm="1">
        <f t="array" ref="AX482">IFERROR(IF(Q482&lt;&gt;"",Q482,IF(OR($S482="",$T482=""),"",IF($T482&lt;&gt;"",_xlfn._xlws.FILTER(Q:Q,($BT:$BT=$BT482)*($I:$I=$I482)*($T:$T=$T482)*($S:$S=_xlfn.MINIFS($S:$S,$T:$T,"="&amp;$T482)),""))))&amp;"",IF(Q482="","",""))&amp;""</f>
        <v/>
      </c>
      <c r="AY482" t="str" cm="1">
        <f t="array" ref="AY482">IFERROR(IF(R482&lt;&gt;"",R482,IF(OR($S482="",$T482=""),"",IF($T482&lt;&gt;"",_xlfn._xlws.FILTER(R:R,($BT:$BT=$BT482)*($I:$I=$I482)*($T:$T=$T482)*($S:$S=_xlfn.MINIFS($S:$S,$T:$T,"="&amp;$T482)),""))))&amp;"",IF(R482="","",""))&amp;""</f>
        <v>1</v>
      </c>
      <c r="AZ482" s="6">
        <f t="shared" si="803"/>
        <v>44</v>
      </c>
      <c r="BA482">
        <f t="shared" ref="BA482:BC482" si="858">BA481</f>
        <v>18991</v>
      </c>
      <c r="BB482" t="str">
        <f t="shared" si="858"/>
        <v>Triple J</v>
      </c>
      <c r="BC482" t="str">
        <f t="shared" si="858"/>
        <v>Velodrome</v>
      </c>
      <c r="BD482" t="str">
        <f t="shared" si="805"/>
        <v>Zone_Entry_Exit</v>
      </c>
      <c r="BE482" t="str">
        <f t="shared" si="806"/>
        <v>Zone_Exit</v>
      </c>
      <c r="BF482" t="str">
        <f t="shared" si="807"/>
        <v/>
      </c>
      <c r="BG482" t="str">
        <f t="shared" si="789"/>
        <v>s</v>
      </c>
      <c r="BH482" cm="1">
        <f t="array" aca="1" ref="BH482" ca="1">IFERROR(_xlfn._xlws.FILTER(shifts!A:A,(shifts!B:B=events!Z482)*(shifts!AG:AG&gt;=events!BJ482)*(shifts!AH:AH&lt;=events!BK482)),BH481)</f>
        <v>16</v>
      </c>
      <c r="BI482" s="15">
        <f t="shared" si="808"/>
        <v>1</v>
      </c>
      <c r="BJ482">
        <f t="shared" si="809"/>
        <v>666</v>
      </c>
      <c r="BK482">
        <f t="shared" si="810"/>
        <v>665</v>
      </c>
      <c r="BL482" s="15">
        <f>SUMIFS(BI$2:BI482,K$2:K482,"=Intermission")+SUMIFS(BI$2:BI482,K$2:K482,"=Timeout")</f>
        <v>0</v>
      </c>
      <c r="BM482">
        <f t="shared" si="811"/>
        <v>0</v>
      </c>
      <c r="BN482" s="19">
        <f t="shared" si="812"/>
        <v>414</v>
      </c>
      <c r="BO482">
        <f t="shared" si="813"/>
        <v>409</v>
      </c>
      <c r="BP482" s="17">
        <f t="shared" si="814"/>
        <v>415</v>
      </c>
      <c r="BQ482" t="str">
        <f t="shared" si="815"/>
        <v>opp_team_player_1</v>
      </c>
      <c r="BR482">
        <f>COUNTIFS(S$3:S482,"="&amp;S482,AH$3:AH482,"="&amp;AH482)</f>
        <v>1</v>
      </c>
      <c r="BS482" t="str">
        <f>IFERROR(VLOOKUP(BA482&amp;BT482&amp;X482,game_rosters!U:W,3,FALSE),"")</f>
        <v>P100132</v>
      </c>
      <c r="BT482" t="str">
        <f t="shared" si="816"/>
        <v>Velodrome</v>
      </c>
    </row>
    <row r="483" spans="1:72" x14ac:dyDescent="0.2">
      <c r="A483">
        <f t="shared" si="791"/>
        <v>1</v>
      </c>
      <c r="E483" s="4"/>
      <c r="F483" s="45"/>
      <c r="G483" s="4"/>
      <c r="H483" s="47" t="s">
        <v>1057</v>
      </c>
      <c r="I483" s="26">
        <v>21</v>
      </c>
      <c r="J483" s="26" t="s">
        <v>734</v>
      </c>
      <c r="K483" t="s">
        <v>13</v>
      </c>
      <c r="N483" t="str">
        <f t="shared" si="835"/>
        <v/>
      </c>
      <c r="Q483" t="str">
        <f t="shared" si="829"/>
        <v/>
      </c>
      <c r="S483">
        <f>IF(A483=1,MAX($S$2:$S482)+1,IF(OR($I483&lt;&gt;"",A483="x"),$S482,""))</f>
        <v>242</v>
      </c>
      <c r="T483" t="str">
        <f>IF(D483=1,MAX($T$2:$T482)+1,IF(S483=S482,$T482,IF(D483="x",T482,IF(D482="x","",""))))</f>
        <v/>
      </c>
      <c r="U483" t="str">
        <f>IF(B483=1,MAX($U$2:$U482)+1,IF(AND($T483&lt;&gt;"",$T483=$T482),$U482,IF(B483="x",U482,"")))</f>
        <v/>
      </c>
      <c r="V483" t="str">
        <f>IF(C483=1,MAX($V$2:$V482)+1,IF(AND($T483&lt;&gt;"",$T483=$T482),$U482,IF(C483="x",V482,"")))</f>
        <v/>
      </c>
      <c r="W483" t="str" cm="1">
        <f t="array" ref="W483">IFERROR(_xlfn._xlws.FILTER(game_rosters!AC:AC,(game_rosters!J:J=events!X483)*(K483&lt;&gt;"")),"")</f>
        <v>h</v>
      </c>
      <c r="X483" cm="1">
        <f t="array" ref="X483">IF($I483&lt;&gt;"",$I483,INDEX($I$1:$I483,ROW()-COUNTIFS($T$1:$T483,"="&amp;$T483,$S$1:$S483,"&lt;"&amp;$S483)))</f>
        <v>21</v>
      </c>
      <c r="Y483" cm="1">
        <f t="array" ref="Y483">IFERROR(IF(_xlfn._xlws.FILTER(game_rosters!$J:$J,(game_rosters!$G:$G=events!$AM483)*(game_rosters!$J:$J=events!$X483))&gt;0,1,""),"")</f>
        <v>1</v>
      </c>
      <c r="Z483" s="6">
        <f t="shared" si="792"/>
        <v>1</v>
      </c>
      <c r="AA483">
        <f t="shared" si="793"/>
        <v>1242</v>
      </c>
      <c r="AB483" t="str">
        <f t="shared" si="794"/>
        <v/>
      </c>
      <c r="AC483">
        <f t="shared" si="795"/>
        <v>1242</v>
      </c>
      <c r="AD483" t="str">
        <f t="shared" si="796"/>
        <v>11</v>
      </c>
      <c r="AE483" t="str">
        <f t="shared" si="797"/>
        <v>05</v>
      </c>
      <c r="AF483" t="str">
        <f t="shared" si="798"/>
        <v>11</v>
      </c>
      <c r="AG483" t="str">
        <f t="shared" si="799"/>
        <v>03</v>
      </c>
      <c r="AH483" t="str">
        <f t="shared" si="842"/>
        <v>e</v>
      </c>
      <c r="AI483" t="str">
        <f t="shared" si="843"/>
        <v>n</v>
      </c>
      <c r="AJ483" t="str">
        <f t="shared" si="843"/>
        <v>n</v>
      </c>
      <c r="AK483" t="str">
        <f t="shared" si="844"/>
        <v>n</v>
      </c>
      <c r="AL483" t="str">
        <f t="shared" si="845"/>
        <v>n</v>
      </c>
      <c r="AM483" t="str">
        <f t="shared" si="800"/>
        <v>Home</v>
      </c>
      <c r="AN483" t="str">
        <f t="shared" si="846"/>
        <v>h</v>
      </c>
      <c r="AO483" t="str">
        <f t="shared" si="847"/>
        <v>n</v>
      </c>
      <c r="AP483" t="str">
        <f t="shared" si="848"/>
        <v>n</v>
      </c>
      <c r="AQ483" t="str">
        <f>IF(AM483&lt;&gt;"",AM483,IF($AC483=#REF!,#REF!,""))</f>
        <v>Home</v>
      </c>
      <c r="AR483" t="str">
        <f t="shared" si="849"/>
        <v>h</v>
      </c>
      <c r="AS483" t="str">
        <f t="shared" si="850"/>
        <v>Offensive</v>
      </c>
      <c r="AT483" t="str">
        <f t="shared" si="801"/>
        <v/>
      </c>
      <c r="AU483" t="str">
        <f t="shared" si="802"/>
        <v/>
      </c>
      <c r="AV483" t="str" cm="1">
        <f t="array" ref="AV483">IFERROR(IF(O483&lt;&gt;"",O483,IF(OR($S483="",$T483=""),"",IF(O483&lt;&gt;"",O483,IF($T483&lt;&gt;"",_xlfn._xlws.FILTER(O:O,($BT:$BT=$BT483)*($I:$I=$I483)*($T:$T=$T483)*($S:$S=_xlfn.MINIFS($S:$S,$T:$T,"="&amp;$T483)),"")))))&amp;"",IF(O483="","",""))&amp;""</f>
        <v/>
      </c>
      <c r="AW483" t="str" cm="1">
        <f t="array" ref="AW483">IFERROR(IF(P483&lt;&gt;"",P483,IF(OR($S483="",$T483=""),"",IF($T483&lt;&gt;"",_xlfn._xlws.FILTER(P:P,($BT:$BT=$BT483)*($I:$I=$I483)*($T:$T=$T483)*($S:$S=_xlfn.MINIFS($S:$S,$T:$T,"="&amp;$T483)),""))))&amp;"",IF(P483="","",""))&amp;""</f>
        <v/>
      </c>
      <c r="AX483" t="str" cm="1">
        <f t="array" ref="AX483">IFERROR(IF(Q483&lt;&gt;"",Q483,IF(OR($S483="",$T483=""),"",IF($T483&lt;&gt;"",_xlfn._xlws.FILTER(Q:Q,($BT:$BT=$BT483)*($I:$I=$I483)*($T:$T=$T483)*($S:$S=_xlfn.MINIFS($S:$S,$T:$T,"="&amp;$T483)),""))))&amp;"",IF(Q483="","",""))&amp;""</f>
        <v/>
      </c>
      <c r="AY483" t="str" cm="1">
        <f t="array" ref="AY483">IFERROR(IF(R483&lt;&gt;"",R483,IF(OR($S483="",$T483=""),"",IF($T483&lt;&gt;"",_xlfn._xlws.FILTER(R:R,($BT:$BT=$BT483)*($I:$I=$I483)*($T:$T=$T483)*($S:$S=_xlfn.MINIFS($S:$S,$T:$T,"="&amp;$T483)),""))))&amp;"",IF(R483="","",""))&amp;""</f>
        <v/>
      </c>
      <c r="AZ483" s="6">
        <f t="shared" si="803"/>
        <v>44</v>
      </c>
      <c r="BA483">
        <f t="shared" ref="BA483:BC483" si="859">BA482</f>
        <v>18991</v>
      </c>
      <c r="BB483" t="str">
        <f t="shared" si="859"/>
        <v>Triple J</v>
      </c>
      <c r="BC483" t="str">
        <f t="shared" si="859"/>
        <v>Velodrome</v>
      </c>
      <c r="BD483" t="str">
        <f t="shared" si="805"/>
        <v>Possession</v>
      </c>
      <c r="BE483" t="str">
        <f t="shared" si="806"/>
        <v/>
      </c>
      <c r="BF483" t="str">
        <f t="shared" si="807"/>
        <v/>
      </c>
      <c r="BG483" t="str">
        <f t="shared" si="789"/>
        <v/>
      </c>
      <c r="BH483" cm="1">
        <f t="array" aca="1" ref="BH483" ca="1">IFERROR(_xlfn._xlws.FILTER(shifts!A:A,(shifts!B:B=events!Z483)*(shifts!AG:AG&gt;=events!BJ483)*(shifts!AH:AH&lt;=events!BK483)),BH482)</f>
        <v>16</v>
      </c>
      <c r="BI483" s="15">
        <f t="shared" si="808"/>
        <v>2</v>
      </c>
      <c r="BJ483">
        <f t="shared" si="809"/>
        <v>665</v>
      </c>
      <c r="BK483">
        <f t="shared" si="810"/>
        <v>663</v>
      </c>
      <c r="BL483" s="15">
        <f>SUMIFS(BI$2:BI483,K$2:K483,"=Intermission")+SUMIFS(BI$2:BI483,K$2:K483,"=Timeout")</f>
        <v>0</v>
      </c>
      <c r="BM483">
        <f t="shared" si="811"/>
        <v>0</v>
      </c>
      <c r="BN483" s="19">
        <f t="shared" si="812"/>
        <v>415</v>
      </c>
      <c r="BO483">
        <f t="shared" si="813"/>
        <v>410</v>
      </c>
      <c r="BP483" s="17">
        <f t="shared" si="814"/>
        <v>417</v>
      </c>
      <c r="BQ483" t="str">
        <f t="shared" si="815"/>
        <v>event_team_player_1</v>
      </c>
      <c r="BR483">
        <f>COUNTIFS(S$3:S483,"="&amp;S483,AH$3:AH483,"="&amp;AH483)</f>
        <v>1</v>
      </c>
      <c r="BS483" t="str">
        <f>IFERROR(VLOOKUP(BA483&amp;BT483&amp;X483,game_rosters!U:W,3,FALSE),"")</f>
        <v>P100019</v>
      </c>
      <c r="BT483" t="str">
        <f t="shared" si="816"/>
        <v>Triple J</v>
      </c>
    </row>
    <row r="484" spans="1:72" x14ac:dyDescent="0.2">
      <c r="A484">
        <f t="shared" si="791"/>
        <v>1</v>
      </c>
      <c r="E484" s="4"/>
      <c r="F484" s="45"/>
      <c r="G484" s="4"/>
      <c r="H484" s="47" t="s">
        <v>748</v>
      </c>
      <c r="I484" s="26">
        <v>21</v>
      </c>
      <c r="J484" s="26" t="str">
        <f t="shared" si="817"/>
        <v>o</v>
      </c>
      <c r="K484" t="s">
        <v>238</v>
      </c>
      <c r="L484" t="s">
        <v>174</v>
      </c>
      <c r="M484" t="s">
        <v>85</v>
      </c>
      <c r="N484" t="str">
        <f t="shared" si="835"/>
        <v>s</v>
      </c>
      <c r="O484" t="s">
        <v>144</v>
      </c>
      <c r="Q484" t="str">
        <f t="shared" si="829"/>
        <v>s</v>
      </c>
      <c r="R484" s="26">
        <v>1</v>
      </c>
      <c r="S484">
        <f>IF(A484=1,MAX($S$2:$S483)+1,IF(OR($I484&lt;&gt;"",A484="x"),$S483,""))</f>
        <v>243</v>
      </c>
      <c r="T484" t="str">
        <f>IF(D484=1,MAX($T$2:$T483)+1,IF(S484=S483,$T483,IF(D484="x",T483,IF(D483="x","",""))))</f>
        <v/>
      </c>
      <c r="U484" t="str">
        <f>IF(B484=1,MAX($U$2:$U483)+1,IF(AND($T484&lt;&gt;"",$T484=$T483),$U483,IF(B484="x",U483,"")))</f>
        <v/>
      </c>
      <c r="V484" t="str">
        <f>IF(C484=1,MAX($V$2:$V483)+1,IF(AND($T484&lt;&gt;"",$T484=$T483),$U483,IF(C484="x",V483,"")))</f>
        <v/>
      </c>
      <c r="W484" t="str" cm="1">
        <f t="array" ref="W484">IFERROR(_xlfn._xlws.FILTER(game_rosters!AC:AC,(game_rosters!J:J=events!X484)*(K484&lt;&gt;"")),"")</f>
        <v>h</v>
      </c>
      <c r="X484" cm="1">
        <f t="array" ref="X484">IF($I484&lt;&gt;"",$I484,INDEX($I$1:$I484,ROW()-COUNTIFS($T$1:$T484,"="&amp;$T484,$S$1:$S484,"&lt;"&amp;$S484)))</f>
        <v>21</v>
      </c>
      <c r="Y484" cm="1">
        <f t="array" ref="Y484">IFERROR(IF(_xlfn._xlws.FILTER(game_rosters!$J:$J,(game_rosters!$G:$G=events!$AM484)*(game_rosters!$J:$J=events!$X484))&gt;0,1,""),"")</f>
        <v>1</v>
      </c>
      <c r="Z484" s="6">
        <f t="shared" si="792"/>
        <v>1</v>
      </c>
      <c r="AA484">
        <f t="shared" si="793"/>
        <v>1243</v>
      </c>
      <c r="AB484" t="str">
        <f t="shared" si="794"/>
        <v/>
      </c>
      <c r="AC484">
        <f t="shared" si="795"/>
        <v>1243</v>
      </c>
      <c r="AD484" t="str">
        <f t="shared" si="796"/>
        <v>11</v>
      </c>
      <c r="AE484" t="str">
        <f t="shared" si="797"/>
        <v>03</v>
      </c>
      <c r="AF484" t="str">
        <f t="shared" si="798"/>
        <v>11</v>
      </c>
      <c r="AG484" t="str">
        <f t="shared" si="799"/>
        <v>01</v>
      </c>
      <c r="AH484" t="str">
        <f t="shared" si="842"/>
        <v>e</v>
      </c>
      <c r="AI484" t="str">
        <f t="shared" si="843"/>
        <v>o</v>
      </c>
      <c r="AJ484" t="str">
        <f t="shared" si="843"/>
        <v>o</v>
      </c>
      <c r="AK484" t="str">
        <f t="shared" si="844"/>
        <v>o</v>
      </c>
      <c r="AL484" t="str">
        <f t="shared" si="845"/>
        <v>d</v>
      </c>
      <c r="AM484" t="str">
        <f t="shared" si="800"/>
        <v>Home</v>
      </c>
      <c r="AN484" t="str">
        <f t="shared" si="846"/>
        <v>h</v>
      </c>
      <c r="AO484" t="str">
        <f t="shared" si="847"/>
        <v>o</v>
      </c>
      <c r="AP484" t="str">
        <f t="shared" si="848"/>
        <v>d</v>
      </c>
      <c r="AQ484" t="str">
        <f>IF(AM484&lt;&gt;"",AM484,IF($AC484=#REF!,#REF!,""))</f>
        <v>Home</v>
      </c>
      <c r="AR484" t="str">
        <f t="shared" si="849"/>
        <v>h</v>
      </c>
      <c r="AS484" t="str">
        <f t="shared" si="850"/>
        <v>Offensive</v>
      </c>
      <c r="AT484" t="str">
        <f t="shared" si="801"/>
        <v/>
      </c>
      <c r="AU484" t="str">
        <f t="shared" si="802"/>
        <v/>
      </c>
      <c r="AV484" t="str" cm="1">
        <f t="array" ref="AV484">IFERROR(IF(O484&lt;&gt;"",O484,IF(OR($S484="",$T484=""),"",IF(O484&lt;&gt;"",O484,IF($T484&lt;&gt;"",_xlfn._xlws.FILTER(O:O,($BT:$BT=$BT484)*($I:$I=$I484)*($T:$T=$T484)*($S:$S=_xlfn.MINIFS($S:$S,$T:$T,"="&amp;$T484)),"")))))&amp;"",IF(O484="","",""))&amp;""</f>
        <v>DriveWide</v>
      </c>
      <c r="AW484" t="str" cm="1">
        <f t="array" ref="AW484">IFERROR(IF(P484&lt;&gt;"",P484,IF(OR($S484="",$T484=""),"",IF($T484&lt;&gt;"",_xlfn._xlws.FILTER(P:P,($BT:$BT=$BT484)*($I:$I=$I484)*($T:$T=$T484)*($S:$S=_xlfn.MINIFS($S:$S,$T:$T,"="&amp;$T484)),""))))&amp;"",IF(P484="","",""))&amp;""</f>
        <v/>
      </c>
      <c r="AX484" t="str" cm="1">
        <f t="array" ref="AX484">IFERROR(IF(Q484&lt;&gt;"",Q484,IF(OR($S484="",$T484=""),"",IF($T484&lt;&gt;"",_xlfn._xlws.FILTER(Q:Q,($BT:$BT=$BT484)*($I:$I=$I484)*($T:$T=$T484)*($S:$S=_xlfn.MINIFS($S:$S,$T:$T,"="&amp;$T484)),""))))&amp;"",IF(Q484="","",""))&amp;""</f>
        <v>s</v>
      </c>
      <c r="AY484" t="str" cm="1">
        <f t="array" ref="AY484">IFERROR(IF(R484&lt;&gt;"",R484,IF(OR($S484="",$T484=""),"",IF($T484&lt;&gt;"",_xlfn._xlws.FILTER(R:R,($BT:$BT=$BT484)*($I:$I=$I484)*($T:$T=$T484)*($S:$S=_xlfn.MINIFS($S:$S,$T:$T,"="&amp;$T484)),""))))&amp;"",IF(R484="","",""))&amp;""</f>
        <v>1</v>
      </c>
      <c r="AZ484" s="6">
        <f t="shared" si="803"/>
        <v>45</v>
      </c>
      <c r="BA484">
        <f t="shared" ref="BA484:BC484" si="860">BA483</f>
        <v>18991</v>
      </c>
      <c r="BB484" t="str">
        <f t="shared" si="860"/>
        <v>Triple J</v>
      </c>
      <c r="BC484" t="str">
        <f t="shared" si="860"/>
        <v>Velodrome</v>
      </c>
      <c r="BD484" t="str">
        <f t="shared" si="805"/>
        <v>Zone_Entry_Exit</v>
      </c>
      <c r="BE484" t="str">
        <f t="shared" si="806"/>
        <v>Zone_Entry</v>
      </c>
      <c r="BF484" t="str">
        <f t="shared" si="807"/>
        <v>ZoneEntry-Rush</v>
      </c>
      <c r="BG484" t="str">
        <f t="shared" si="789"/>
        <v>s</v>
      </c>
      <c r="BH484" cm="1">
        <f t="array" aca="1" ref="BH484" ca="1">IFERROR(_xlfn._xlws.FILTER(shifts!A:A,(shifts!B:B=events!Z484)*(shifts!AG:AG&gt;=events!BJ484)*(shifts!AH:AH&lt;=events!BK484)),BH483)</f>
        <v>16</v>
      </c>
      <c r="BI484" s="15">
        <f t="shared" si="808"/>
        <v>2</v>
      </c>
      <c r="BJ484">
        <f t="shared" si="809"/>
        <v>663</v>
      </c>
      <c r="BK484">
        <f t="shared" si="810"/>
        <v>661</v>
      </c>
      <c r="BL484" s="15">
        <f>SUMIFS(BI$2:BI484,K$2:K484,"=Intermission")+SUMIFS(BI$2:BI484,K$2:K484,"=Timeout")</f>
        <v>0</v>
      </c>
      <c r="BM484">
        <f t="shared" si="811"/>
        <v>0</v>
      </c>
      <c r="BN484" s="19">
        <f t="shared" si="812"/>
        <v>417</v>
      </c>
      <c r="BO484">
        <f t="shared" si="813"/>
        <v>412</v>
      </c>
      <c r="BP484" s="17">
        <f t="shared" si="814"/>
        <v>419</v>
      </c>
      <c r="BQ484" t="str">
        <f t="shared" si="815"/>
        <v>event_team_player_1</v>
      </c>
      <c r="BR484">
        <f>COUNTIFS(S$3:S484,"="&amp;S484,AH$3:AH484,"="&amp;AH484)</f>
        <v>1</v>
      </c>
      <c r="BS484" t="str">
        <f>IFERROR(VLOOKUP(BA484&amp;BT484&amp;X484,game_rosters!U:W,3,FALSE),"")</f>
        <v>P100019</v>
      </c>
      <c r="BT484" t="str">
        <f t="shared" si="816"/>
        <v>Triple J</v>
      </c>
    </row>
    <row r="485" spans="1:72" x14ac:dyDescent="0.2">
      <c r="A485" t="str">
        <f t="shared" si="791"/>
        <v/>
      </c>
      <c r="E485" s="4"/>
      <c r="F485" s="45"/>
      <c r="G485" s="4"/>
      <c r="H485" s="47"/>
      <c r="I485" s="26">
        <v>84</v>
      </c>
      <c r="J485" s="26" t="str">
        <f t="shared" si="817"/>
        <v/>
      </c>
      <c r="N485" t="str">
        <f t="shared" si="835"/>
        <v/>
      </c>
      <c r="Q485" t="str">
        <f t="shared" si="829"/>
        <v/>
      </c>
      <c r="R485" s="26">
        <v>1</v>
      </c>
      <c r="S485">
        <f>IF(A485=1,MAX($S$2:$S484)+1,IF(OR($I485&lt;&gt;"",A485="x"),$S484,""))</f>
        <v>243</v>
      </c>
      <c r="T485" t="str">
        <f>IF(D485=1,MAX($T$2:$T484)+1,IF(S485=S484,$T484,IF(D485="x",T484,IF(D484="x","",""))))</f>
        <v/>
      </c>
      <c r="U485" t="str">
        <f>IF(B485=1,MAX($U$2:$U484)+1,IF(AND($T485&lt;&gt;"",$T485=$T484),$U484,IF(B485="x",U484,"")))</f>
        <v/>
      </c>
      <c r="V485" t="str">
        <f>IF(C485=1,MAX($V$2:$V484)+1,IF(AND($T485&lt;&gt;"",$T485=$T484),$U484,IF(C485="x",V484,"")))</f>
        <v/>
      </c>
      <c r="W485" t="str" cm="1">
        <f t="array" ref="W485">IFERROR(_xlfn._xlws.FILTER(game_rosters!AC:AC,(game_rosters!J:J=events!X485)*(K485&lt;&gt;"")),"")</f>
        <v/>
      </c>
      <c r="X485" cm="1">
        <f t="array" ref="X485">IF($I485&lt;&gt;"",$I485,INDEX($I$1:$I485,ROW()-COUNTIFS($T$1:$T485,"="&amp;$T485,$S$1:$S485,"&lt;"&amp;$S485)))</f>
        <v>84</v>
      </c>
      <c r="Y485" t="str" cm="1">
        <f t="array" ref="Y485">IFERROR(IF(_xlfn._xlws.FILTER(game_rosters!$J:$J,(game_rosters!$G:$G=events!$AM485)*(game_rosters!$J:$J=events!$X485))&gt;0,1,""),"")</f>
        <v/>
      </c>
      <c r="Z485" s="6">
        <f t="shared" si="792"/>
        <v>1</v>
      </c>
      <c r="AA485">
        <f t="shared" si="793"/>
        <v>1243</v>
      </c>
      <c r="AB485" t="str">
        <f t="shared" si="794"/>
        <v/>
      </c>
      <c r="AC485">
        <f t="shared" si="795"/>
        <v>1243</v>
      </c>
      <c r="AD485" t="str">
        <f t="shared" si="796"/>
        <v>11</v>
      </c>
      <c r="AE485" t="str">
        <f t="shared" si="797"/>
        <v>03</v>
      </c>
      <c r="AF485" t="str">
        <f t="shared" si="798"/>
        <v>11</v>
      </c>
      <c r="AG485" t="str">
        <f t="shared" si="799"/>
        <v>01</v>
      </c>
      <c r="AH485" t="str">
        <f t="shared" si="842"/>
        <v>o</v>
      </c>
      <c r="AI485" t="str">
        <f t="shared" si="843"/>
        <v>o</v>
      </c>
      <c r="AJ485" t="str">
        <f t="shared" si="843"/>
        <v>o</v>
      </c>
      <c r="AK485" t="str">
        <f t="shared" si="844"/>
        <v/>
      </c>
      <c r="AL485" t="str">
        <f t="shared" si="845"/>
        <v/>
      </c>
      <c r="AM485" t="str">
        <f t="shared" si="800"/>
        <v>Home</v>
      </c>
      <c r="AN485" t="str">
        <f t="shared" si="846"/>
        <v>h</v>
      </c>
      <c r="AO485" t="str">
        <f t="shared" si="847"/>
        <v>o</v>
      </c>
      <c r="AP485" t="str">
        <f t="shared" si="848"/>
        <v>d</v>
      </c>
      <c r="AQ485" t="str">
        <f>IF(AM485&lt;&gt;"",AM485,IF($AC485=#REF!,#REF!,""))</f>
        <v>Home</v>
      </c>
      <c r="AR485" t="str">
        <f t="shared" si="849"/>
        <v>h</v>
      </c>
      <c r="AS485" t="str">
        <f t="shared" si="850"/>
        <v>Defensive</v>
      </c>
      <c r="AT485" t="str">
        <f t="shared" si="801"/>
        <v/>
      </c>
      <c r="AU485" t="str">
        <f t="shared" si="802"/>
        <v/>
      </c>
      <c r="AV485" t="str" cm="1">
        <f t="array" ref="AV485">IFERROR(IF(O485&lt;&gt;"",O485,IF(OR($S485="",$T485=""),"",IF(O485&lt;&gt;"",O485,IF($T485&lt;&gt;"",_xlfn._xlws.FILTER(O:O,($BT:$BT=$BT485)*($I:$I=$I485)*($T:$T=$T485)*($S:$S=_xlfn.MINIFS($S:$S,$T:$T,"="&amp;$T485)),"")))))&amp;"",IF(O485="","",""))&amp;""</f>
        <v/>
      </c>
      <c r="AW485" t="str" cm="1">
        <f t="array" ref="AW485">IFERROR(IF(P485&lt;&gt;"",P485,IF(OR($S485="",$T485=""),"",IF($T485&lt;&gt;"",_xlfn._xlws.FILTER(P:P,($BT:$BT=$BT485)*($I:$I=$I485)*($T:$T=$T485)*($S:$S=_xlfn.MINIFS($S:$S,$T:$T,"="&amp;$T485)),""))))&amp;"",IF(P485="","",""))&amp;""</f>
        <v/>
      </c>
      <c r="AX485" t="str" cm="1">
        <f t="array" ref="AX485">IFERROR(IF(Q485&lt;&gt;"",Q485,IF(OR($S485="",$T485=""),"",IF($T485&lt;&gt;"",_xlfn._xlws.FILTER(Q:Q,($BT:$BT=$BT485)*($I:$I=$I485)*($T:$T=$T485)*($S:$S=_xlfn.MINIFS($S:$S,$T:$T,"="&amp;$T485)),""))))&amp;"",IF(Q485="","",""))&amp;""</f>
        <v/>
      </c>
      <c r="AY485" t="str" cm="1">
        <f t="array" ref="AY485">IFERROR(IF(R485&lt;&gt;"",R485,IF(OR($S485="",$T485=""),"",IF($T485&lt;&gt;"",_xlfn._xlws.FILTER(R:R,($BT:$BT=$BT485)*($I:$I=$I485)*($T:$T=$T485)*($S:$S=_xlfn.MINIFS($S:$S,$T:$T,"="&amp;$T485)),""))))&amp;"",IF(R485="","",""))&amp;""</f>
        <v>1</v>
      </c>
      <c r="AZ485" s="6">
        <f t="shared" si="803"/>
        <v>45</v>
      </c>
      <c r="BA485">
        <f t="shared" ref="BA485:BC485" si="861">BA484</f>
        <v>18991</v>
      </c>
      <c r="BB485" t="str">
        <f t="shared" si="861"/>
        <v>Triple J</v>
      </c>
      <c r="BC485" t="str">
        <f t="shared" si="861"/>
        <v>Velodrome</v>
      </c>
      <c r="BD485" t="str">
        <f t="shared" si="805"/>
        <v>Zone_Entry_Exit</v>
      </c>
      <c r="BE485" t="str">
        <f t="shared" si="806"/>
        <v>Zone_Entry</v>
      </c>
      <c r="BF485" t="str">
        <f t="shared" si="807"/>
        <v>ZoneEntry-Rush</v>
      </c>
      <c r="BG485" t="str">
        <f t="shared" si="789"/>
        <v>s</v>
      </c>
      <c r="BH485" cm="1">
        <f t="array" aca="1" ref="BH485" ca="1">IFERROR(_xlfn._xlws.FILTER(shifts!A:A,(shifts!B:B=events!Z485)*(shifts!AG:AG&gt;=events!BJ485)*(shifts!AH:AH&lt;=events!BK485)),BH484)</f>
        <v>16</v>
      </c>
      <c r="BI485" s="15">
        <f t="shared" si="808"/>
        <v>2</v>
      </c>
      <c r="BJ485">
        <f t="shared" si="809"/>
        <v>663</v>
      </c>
      <c r="BK485">
        <f t="shared" si="810"/>
        <v>661</v>
      </c>
      <c r="BL485" s="15">
        <f>SUMIFS(BI$2:BI485,K$2:K485,"=Intermission")+SUMIFS(BI$2:BI485,K$2:K485,"=Timeout")</f>
        <v>0</v>
      </c>
      <c r="BM485">
        <f t="shared" si="811"/>
        <v>0</v>
      </c>
      <c r="BN485" s="19">
        <f t="shared" si="812"/>
        <v>417</v>
      </c>
      <c r="BO485">
        <f t="shared" si="813"/>
        <v>412</v>
      </c>
      <c r="BP485" s="17">
        <f t="shared" si="814"/>
        <v>419</v>
      </c>
      <c r="BQ485" t="str">
        <f t="shared" si="815"/>
        <v>opp_team_player_1</v>
      </c>
      <c r="BR485">
        <f>COUNTIFS(S$3:S485,"="&amp;S485,AH$3:AH485,"="&amp;AH485)</f>
        <v>1</v>
      </c>
      <c r="BS485" t="str">
        <f>IFERROR(VLOOKUP(BA485&amp;BT485&amp;X485,game_rosters!U:W,3,FALSE),"")</f>
        <v>P100198</v>
      </c>
      <c r="BT485" t="str">
        <f t="shared" si="816"/>
        <v>Velodrome</v>
      </c>
    </row>
    <row r="486" spans="1:72" x14ac:dyDescent="0.2">
      <c r="A486">
        <f t="shared" si="791"/>
        <v>1</v>
      </c>
      <c r="E486" s="4"/>
      <c r="F486" s="45"/>
      <c r="G486" s="4"/>
      <c r="H486" s="47"/>
      <c r="I486" s="26">
        <v>21</v>
      </c>
      <c r="J486" s="26" t="s">
        <v>368</v>
      </c>
      <c r="K486" t="s">
        <v>6</v>
      </c>
      <c r="L486" t="s">
        <v>201</v>
      </c>
      <c r="M486" t="s">
        <v>51</v>
      </c>
      <c r="N486" t="str">
        <f t="shared" si="835"/>
        <v>u</v>
      </c>
      <c r="Q486" t="str">
        <f t="shared" si="829"/>
        <v/>
      </c>
      <c r="R486" s="26">
        <v>1</v>
      </c>
      <c r="S486">
        <f>IF(A486=1,MAX($S$2:$S485)+1,IF(OR($I486&lt;&gt;"",A486="x"),$S485,""))</f>
        <v>244</v>
      </c>
      <c r="T486" t="str">
        <f>IF(D486=1,MAX($T$2:$T485)+1,IF(S486=S485,$T485,IF(D486="x",T485,IF(D485="x","",""))))</f>
        <v/>
      </c>
      <c r="U486" t="str">
        <f>IF(B486=1,MAX($U$2:$U485)+1,IF(AND($T486&lt;&gt;"",$T486=$T485),$U485,IF(B486="x",U485,"")))</f>
        <v/>
      </c>
      <c r="V486" t="str">
        <f>IF(C486=1,MAX($V$2:$V485)+1,IF(AND($T486&lt;&gt;"",$T486=$T485),$U485,IF(C486="x",V485,"")))</f>
        <v/>
      </c>
      <c r="W486" t="str" cm="1">
        <f t="array" ref="W486">IFERROR(_xlfn._xlws.FILTER(game_rosters!AC:AC,(game_rosters!J:J=events!X486)*(K486&lt;&gt;"")),"")</f>
        <v>h</v>
      </c>
      <c r="X486" cm="1">
        <f t="array" ref="X486">IF($I486&lt;&gt;"",$I486,INDEX($I$1:$I486,ROW()-COUNTIFS($T$1:$T486,"="&amp;$T486,$S$1:$S486,"&lt;"&amp;$S486)))</f>
        <v>21</v>
      </c>
      <c r="Y486" cm="1">
        <f t="array" ref="Y486">IFERROR(IF(_xlfn._xlws.FILTER(game_rosters!$J:$J,(game_rosters!$G:$G=events!$AM486)*(game_rosters!$J:$J=events!$X486))&gt;0,1,""),"")</f>
        <v>1</v>
      </c>
      <c r="Z486" s="6">
        <f t="shared" si="792"/>
        <v>1</v>
      </c>
      <c r="AA486">
        <f t="shared" si="793"/>
        <v>1244</v>
      </c>
      <c r="AB486" t="str">
        <f t="shared" si="794"/>
        <v/>
      </c>
      <c r="AC486">
        <f t="shared" si="795"/>
        <v>1244</v>
      </c>
      <c r="AD486" t="str">
        <f t="shared" si="796"/>
        <v>11</v>
      </c>
      <c r="AE486" t="str">
        <f t="shared" si="797"/>
        <v>01</v>
      </c>
      <c r="AF486" t="str">
        <f t="shared" si="798"/>
        <v/>
      </c>
      <c r="AG486" t="str">
        <f t="shared" si="799"/>
        <v/>
      </c>
      <c r="AH486" t="str">
        <f t="shared" si="842"/>
        <v>e</v>
      </c>
      <c r="AI486" t="str">
        <f t="shared" si="843"/>
        <v>o</v>
      </c>
      <c r="AJ486" t="str">
        <f t="shared" si="843"/>
        <v>o</v>
      </c>
      <c r="AK486" t="str">
        <f t="shared" si="844"/>
        <v>o</v>
      </c>
      <c r="AL486" t="str">
        <f t="shared" si="845"/>
        <v>d</v>
      </c>
      <c r="AM486" t="str">
        <f t="shared" si="800"/>
        <v>Home</v>
      </c>
      <c r="AN486" t="str">
        <f t="shared" si="846"/>
        <v>h</v>
      </c>
      <c r="AO486" t="str">
        <f t="shared" si="847"/>
        <v>o</v>
      </c>
      <c r="AP486" t="str">
        <f t="shared" si="848"/>
        <v>d</v>
      </c>
      <c r="AQ486" t="str">
        <f>IF(AM486&lt;&gt;"",AM486,IF($AC486=#REF!,#REF!,""))</f>
        <v>Home</v>
      </c>
      <c r="AR486" t="str">
        <f t="shared" si="849"/>
        <v>h</v>
      </c>
      <c r="AS486" t="str">
        <f t="shared" si="850"/>
        <v>Offensive</v>
      </c>
      <c r="AT486" t="str">
        <f t="shared" si="801"/>
        <v/>
      </c>
      <c r="AU486" t="str">
        <f t="shared" si="802"/>
        <v/>
      </c>
      <c r="AV486" t="str" cm="1">
        <f t="array" ref="AV486">IFERROR(IF(O486&lt;&gt;"",O486,IF(OR($S486="",$T486=""),"",IF(O486&lt;&gt;"",O486,IF($T486&lt;&gt;"",_xlfn._xlws.FILTER(O:O,($BT:$BT=$BT486)*($I:$I=$I486)*($T:$T=$T486)*($S:$S=_xlfn.MINIFS($S:$S,$T:$T,"="&amp;$T486)),"")))))&amp;"",IF(O486="","",""))&amp;""</f>
        <v/>
      </c>
      <c r="AW486" t="str" cm="1">
        <f t="array" ref="AW486">IFERROR(IF(P486&lt;&gt;"",P486,IF(OR($S486="",$T486=""),"",IF($T486&lt;&gt;"",_xlfn._xlws.FILTER(P:P,($BT:$BT=$BT486)*($I:$I=$I486)*($T:$T=$T486)*($S:$S=_xlfn.MINIFS($S:$S,$T:$T,"="&amp;$T486)),""))))&amp;"",IF(P486="","",""))&amp;""</f>
        <v/>
      </c>
      <c r="AX486" t="str" cm="1">
        <f t="array" ref="AX486">IFERROR(IF(Q486&lt;&gt;"",Q486,IF(OR($S486="",$T486=""),"",IF($T486&lt;&gt;"",_xlfn._xlws.FILTER(Q:Q,($BT:$BT=$BT486)*($I:$I=$I486)*($T:$T=$T486)*($S:$S=_xlfn.MINIFS($S:$S,$T:$T,"="&amp;$T486)),""))))&amp;"",IF(Q486="","",""))&amp;""</f>
        <v/>
      </c>
      <c r="AY486" t="str" cm="1">
        <f t="array" ref="AY486">IFERROR(IF(R486&lt;&gt;"",R486,IF(OR($S486="",$T486=""),"",IF($T486&lt;&gt;"",_xlfn._xlws.FILTER(R:R,($BT:$BT=$BT486)*($I:$I=$I486)*($T:$T=$T486)*($S:$S=_xlfn.MINIFS($S:$S,$T:$T,"="&amp;$T486)),""))))&amp;"",IF(R486="","",""))&amp;""</f>
        <v>1</v>
      </c>
      <c r="AZ486" s="6">
        <f t="shared" si="803"/>
        <v>45</v>
      </c>
      <c r="BA486">
        <f t="shared" ref="BA486:BC486" si="862">BA485</f>
        <v>18991</v>
      </c>
      <c r="BB486" t="str">
        <f t="shared" si="862"/>
        <v>Triple J</v>
      </c>
      <c r="BC486" t="str">
        <f t="shared" si="862"/>
        <v>Velodrome</v>
      </c>
      <c r="BD486" t="str">
        <f t="shared" si="805"/>
        <v>Shot</v>
      </c>
      <c r="BE486" t="str">
        <f t="shared" si="806"/>
        <v>Shot_Deflected</v>
      </c>
      <c r="BF486" t="str">
        <f t="shared" si="807"/>
        <v>Shot-Wrist</v>
      </c>
      <c r="BG486" t="str">
        <f t="shared" si="789"/>
        <v>u</v>
      </c>
      <c r="BH486" cm="1">
        <f t="array" aca="1" ref="BH486" ca="1">IFERROR(_xlfn._xlws.FILTER(shifts!A:A,(shifts!B:B=events!Z486)*(shifts!AG:AG&gt;=events!BJ486)*(shifts!AH:AH&lt;=events!BK486)),BH485)</f>
        <v>17</v>
      </c>
      <c r="BI486" s="15">
        <f t="shared" si="808"/>
        <v>0</v>
      </c>
      <c r="BJ486">
        <f t="shared" si="809"/>
        <v>661</v>
      </c>
      <c r="BK486">
        <f t="shared" si="810"/>
        <v>661</v>
      </c>
      <c r="BL486" s="15">
        <f>SUMIFS(BI$2:BI486,K$2:K486,"=Intermission")+SUMIFS(BI$2:BI486,K$2:K486,"=Timeout")</f>
        <v>0</v>
      </c>
      <c r="BM486">
        <f t="shared" si="811"/>
        <v>0</v>
      </c>
      <c r="BN486" s="19">
        <f t="shared" si="812"/>
        <v>419</v>
      </c>
      <c r="BO486">
        <f t="shared" si="813"/>
        <v>414</v>
      </c>
      <c r="BP486" s="17">
        <f t="shared" si="814"/>
        <v>419</v>
      </c>
      <c r="BQ486" t="str">
        <f t="shared" si="815"/>
        <v>event_team_player_1</v>
      </c>
      <c r="BR486">
        <f>COUNTIFS(S$3:S486,"="&amp;S486,AH$3:AH486,"="&amp;AH486)</f>
        <v>1</v>
      </c>
      <c r="BS486" t="str">
        <f>IFERROR(VLOOKUP(BA486&amp;BT486&amp;X486,game_rosters!U:W,3,FALSE),"")</f>
        <v>P100019</v>
      </c>
      <c r="BT486" t="str">
        <f t="shared" si="816"/>
        <v>Triple J</v>
      </c>
    </row>
    <row r="487" spans="1:72" x14ac:dyDescent="0.2">
      <c r="A487" t="str">
        <f t="shared" si="791"/>
        <v/>
      </c>
      <c r="E487" s="4"/>
      <c r="F487" s="45"/>
      <c r="G487" s="4"/>
      <c r="H487" s="47"/>
      <c r="I487" s="26">
        <v>84</v>
      </c>
      <c r="J487" s="26" t="str">
        <f t="shared" si="817"/>
        <v/>
      </c>
      <c r="N487" t="str">
        <f t="shared" si="835"/>
        <v/>
      </c>
      <c r="O487" t="s">
        <v>567</v>
      </c>
      <c r="Q487" t="str">
        <f t="shared" si="829"/>
        <v/>
      </c>
      <c r="R487" s="26">
        <v>1</v>
      </c>
      <c r="S487">
        <f>IF(A487=1,MAX($S$2:$S486)+1,IF(OR($I487&lt;&gt;"",A487="x"),$S486,""))</f>
        <v>244</v>
      </c>
      <c r="T487" t="str">
        <f>IF(D487=1,MAX($T$2:$T486)+1,IF(S487=S486,$T486,IF(D487="x",T486,IF(D486="x","",""))))</f>
        <v/>
      </c>
      <c r="U487" t="str">
        <f>IF(B487=1,MAX($U$2:$U486)+1,IF(AND($T487&lt;&gt;"",$T487=$T486),$U486,IF(B487="x",U486,"")))</f>
        <v/>
      </c>
      <c r="V487" t="str">
        <f>IF(C487=1,MAX($V$2:$V486)+1,IF(AND($T487&lt;&gt;"",$T487=$T486),$U486,IF(C487="x",V486,"")))</f>
        <v/>
      </c>
      <c r="W487" t="str" cm="1">
        <f t="array" ref="W487">IFERROR(_xlfn._xlws.FILTER(game_rosters!AC:AC,(game_rosters!J:J=events!X487)*(K487&lt;&gt;"")),"")</f>
        <v/>
      </c>
      <c r="X487" cm="1">
        <f t="array" ref="X487">IF($I487&lt;&gt;"",$I487,INDEX($I$1:$I487,ROW()-COUNTIFS($T$1:$T487,"="&amp;$T487,$S$1:$S487,"&lt;"&amp;$S487)))</f>
        <v>84</v>
      </c>
      <c r="Y487" t="str" cm="1">
        <f t="array" ref="Y487">IFERROR(IF(_xlfn._xlws.FILTER(game_rosters!$J:$J,(game_rosters!$G:$G=events!$AM487)*(game_rosters!$J:$J=events!$X487))&gt;0,1,""),"")</f>
        <v/>
      </c>
      <c r="Z487" s="6">
        <f t="shared" si="792"/>
        <v>1</v>
      </c>
      <c r="AA487">
        <f t="shared" si="793"/>
        <v>1244</v>
      </c>
      <c r="AB487" t="str">
        <f t="shared" si="794"/>
        <v/>
      </c>
      <c r="AC487">
        <f t="shared" si="795"/>
        <v>1244</v>
      </c>
      <c r="AD487" t="str">
        <f t="shared" si="796"/>
        <v>11</v>
      </c>
      <c r="AE487" t="str">
        <f t="shared" si="797"/>
        <v>01</v>
      </c>
      <c r="AF487" t="str">
        <f t="shared" si="798"/>
        <v/>
      </c>
      <c r="AG487" t="str">
        <f t="shared" si="799"/>
        <v/>
      </c>
      <c r="AH487" t="str">
        <f t="shared" si="842"/>
        <v>o</v>
      </c>
      <c r="AI487" t="str">
        <f t="shared" si="843"/>
        <v>o</v>
      </c>
      <c r="AJ487" t="str">
        <f t="shared" si="843"/>
        <v>o</v>
      </c>
      <c r="AK487" t="str">
        <f t="shared" si="844"/>
        <v/>
      </c>
      <c r="AL487" t="str">
        <f t="shared" si="845"/>
        <v/>
      </c>
      <c r="AM487" t="str">
        <f t="shared" si="800"/>
        <v>Home</v>
      </c>
      <c r="AN487" t="str">
        <f t="shared" si="846"/>
        <v>h</v>
      </c>
      <c r="AO487" t="str">
        <f t="shared" si="847"/>
        <v>o</v>
      </c>
      <c r="AP487" t="str">
        <f t="shared" si="848"/>
        <v>d</v>
      </c>
      <c r="AQ487" t="str">
        <f>IF(AM487&lt;&gt;"",AM487,IF($AC487=#REF!,#REF!,""))</f>
        <v>Home</v>
      </c>
      <c r="AR487" t="str">
        <f t="shared" si="849"/>
        <v>h</v>
      </c>
      <c r="AS487" t="str">
        <f t="shared" si="850"/>
        <v>Defensive</v>
      </c>
      <c r="AT487" t="str">
        <f t="shared" si="801"/>
        <v/>
      </c>
      <c r="AU487" t="str">
        <f t="shared" si="802"/>
        <v/>
      </c>
      <c r="AV487" t="str" cm="1">
        <f t="array" ref="AV487">IFERROR(IF(O487&lt;&gt;"",O487,IF(OR($S487="",$T487=""),"",IF(O487&lt;&gt;"",O487,IF($T487&lt;&gt;"",_xlfn._xlws.FILTER(O:O,($BT:$BT=$BT487)*($I:$I=$I487)*($T:$T=$T487)*($S:$S=_xlfn.MINIFS($S:$S,$T:$T,"="&amp;$T487)),"")))))&amp;"",IF(O487="","",""))&amp;""</f>
        <v>StickCheck</v>
      </c>
      <c r="AW487" t="str" cm="1">
        <f t="array" ref="AW487">IFERROR(IF(P487&lt;&gt;"",P487,IF(OR($S487="",$T487=""),"",IF($T487&lt;&gt;"",_xlfn._xlws.FILTER(P:P,($BT:$BT=$BT487)*($I:$I=$I487)*($T:$T=$T487)*($S:$S=_xlfn.MINIFS($S:$S,$T:$T,"="&amp;$T487)),""))))&amp;"",IF(P487="","",""))&amp;""</f>
        <v/>
      </c>
      <c r="AX487" t="str" cm="1">
        <f t="array" ref="AX487">IFERROR(IF(Q487&lt;&gt;"",Q487,IF(OR($S487="",$T487=""),"",IF($T487&lt;&gt;"",_xlfn._xlws.FILTER(Q:Q,($BT:$BT=$BT487)*($I:$I=$I487)*($T:$T=$T487)*($S:$S=_xlfn.MINIFS($S:$S,$T:$T,"="&amp;$T487)),""))))&amp;"",IF(Q487="","",""))&amp;""</f>
        <v/>
      </c>
      <c r="AY487" t="str" cm="1">
        <f t="array" ref="AY487">IFERROR(IF(R487&lt;&gt;"",R487,IF(OR($S487="",$T487=""),"",IF($T487&lt;&gt;"",_xlfn._xlws.FILTER(R:R,($BT:$BT=$BT487)*($I:$I=$I487)*($T:$T=$T487)*($S:$S=_xlfn.MINIFS($S:$S,$T:$T,"="&amp;$T487)),""))))&amp;"",IF(R487="","",""))&amp;""</f>
        <v>1</v>
      </c>
      <c r="AZ487" s="6">
        <f t="shared" si="803"/>
        <v>45</v>
      </c>
      <c r="BA487">
        <f t="shared" ref="BA487:BC487" si="863">BA486</f>
        <v>18991</v>
      </c>
      <c r="BB487" t="str">
        <f t="shared" si="863"/>
        <v>Triple J</v>
      </c>
      <c r="BC487" t="str">
        <f t="shared" si="863"/>
        <v>Velodrome</v>
      </c>
      <c r="BD487" t="str">
        <f t="shared" si="805"/>
        <v>Shot</v>
      </c>
      <c r="BE487" t="str">
        <f t="shared" si="806"/>
        <v>Shot_Deflected</v>
      </c>
      <c r="BF487" t="str">
        <f t="shared" si="807"/>
        <v>Shot-Wrist</v>
      </c>
      <c r="BG487" t="str">
        <f t="shared" si="789"/>
        <v>u</v>
      </c>
      <c r="BH487" cm="1">
        <f t="array" aca="1" ref="BH487" ca="1">IFERROR(_xlfn._xlws.FILTER(shifts!A:A,(shifts!B:B=events!Z487)*(shifts!AG:AG&gt;=events!BJ487)*(shifts!AH:AH&lt;=events!BK487)),BH486)</f>
        <v>17</v>
      </c>
      <c r="BI487" s="15">
        <f t="shared" si="808"/>
        <v>0</v>
      </c>
      <c r="BJ487">
        <f t="shared" si="809"/>
        <v>661</v>
      </c>
      <c r="BK487">
        <f t="shared" si="810"/>
        <v>661</v>
      </c>
      <c r="BL487" s="15">
        <f>SUMIFS(BI$2:BI487,K$2:K487,"=Intermission")+SUMIFS(BI$2:BI487,K$2:K487,"=Timeout")</f>
        <v>0</v>
      </c>
      <c r="BM487">
        <f t="shared" si="811"/>
        <v>0</v>
      </c>
      <c r="BN487" s="19">
        <f t="shared" si="812"/>
        <v>419</v>
      </c>
      <c r="BO487">
        <f t="shared" si="813"/>
        <v>414</v>
      </c>
      <c r="BP487" s="17">
        <f t="shared" si="814"/>
        <v>419</v>
      </c>
      <c r="BQ487" t="str">
        <f t="shared" si="815"/>
        <v>opp_team_player_1</v>
      </c>
      <c r="BR487">
        <f>COUNTIFS(S$3:S487,"="&amp;S487,AH$3:AH487,"="&amp;AH487)</f>
        <v>1</v>
      </c>
      <c r="BS487" t="str">
        <f>IFERROR(VLOOKUP(BA487&amp;BT487&amp;X487,game_rosters!U:W,3,FALSE),"")</f>
        <v>P100198</v>
      </c>
      <c r="BT487" t="str">
        <f t="shared" si="816"/>
        <v>Velodrome</v>
      </c>
    </row>
    <row r="488" spans="1:72" x14ac:dyDescent="0.2">
      <c r="A488" t="str">
        <f t="shared" si="791"/>
        <v/>
      </c>
      <c r="E488" s="4"/>
      <c r="F488" s="45"/>
      <c r="G488" s="4"/>
      <c r="H488" s="47"/>
      <c r="I488" s="26">
        <v>39</v>
      </c>
      <c r="J488" s="26" t="str">
        <f t="shared" si="817"/>
        <v/>
      </c>
      <c r="N488" t="str">
        <f t="shared" si="835"/>
        <v/>
      </c>
      <c r="O488" t="s">
        <v>809</v>
      </c>
      <c r="Q488" t="str">
        <f t="shared" si="829"/>
        <v/>
      </c>
      <c r="S488">
        <f>IF(A488=1,MAX($S$2:$S487)+1,IF(OR($I488&lt;&gt;"",A488="x"),$S487,""))</f>
        <v>244</v>
      </c>
      <c r="T488" t="str">
        <f>IF(D488=1,MAX($T$2:$T487)+1,IF(S488=S487,$T487,IF(D488="x",T487,IF(D487="x","",""))))</f>
        <v/>
      </c>
      <c r="U488" t="str">
        <f>IF(B488=1,MAX($U$2:$U487)+1,IF(AND($T488&lt;&gt;"",$T488=$T487),$U487,IF(B488="x",U487,"")))</f>
        <v/>
      </c>
      <c r="V488" t="str">
        <f>IF(C488=1,MAX($V$2:$V487)+1,IF(AND($T488&lt;&gt;"",$T488=$T487),$U487,IF(C488="x",V487,"")))</f>
        <v/>
      </c>
      <c r="W488" t="str" cm="1">
        <f t="array" ref="W488">IFERROR(_xlfn._xlws.FILTER(game_rosters!AC:AC,(game_rosters!J:J=events!X488)*(K488&lt;&gt;"")),"")</f>
        <v/>
      </c>
      <c r="X488" cm="1">
        <f t="array" ref="X488">IF($I488&lt;&gt;"",$I488,INDEX($I$1:$I488,ROW()-COUNTIFS($T$1:$T488,"="&amp;$T488,$S$1:$S488,"&lt;"&amp;$S488)))</f>
        <v>39</v>
      </c>
      <c r="Y488" t="str" cm="1">
        <f t="array" ref="Y488">IFERROR(IF(_xlfn._xlws.FILTER(game_rosters!$J:$J,(game_rosters!$G:$G=events!$AM488)*(game_rosters!$J:$J=events!$X488))&gt;0,1,""),"")</f>
        <v/>
      </c>
      <c r="Z488" s="6">
        <f t="shared" si="792"/>
        <v>1</v>
      </c>
      <c r="AA488">
        <f t="shared" si="793"/>
        <v>1244</v>
      </c>
      <c r="AB488" t="str">
        <f t="shared" si="794"/>
        <v/>
      </c>
      <c r="AC488">
        <f t="shared" si="795"/>
        <v>1244</v>
      </c>
      <c r="AD488" t="str">
        <f t="shared" si="796"/>
        <v>11</v>
      </c>
      <c r="AE488" t="str">
        <f t="shared" si="797"/>
        <v>01</v>
      </c>
      <c r="AF488" t="str">
        <f t="shared" si="798"/>
        <v/>
      </c>
      <c r="AG488" t="str">
        <f t="shared" si="799"/>
        <v/>
      </c>
      <c r="AH488" t="str">
        <f t="shared" si="842"/>
        <v>o</v>
      </c>
      <c r="AI488" t="str">
        <f t="shared" si="843"/>
        <v>o</v>
      </c>
      <c r="AJ488" t="str">
        <f t="shared" si="843"/>
        <v>o</v>
      </c>
      <c r="AK488" t="str">
        <f t="shared" si="844"/>
        <v/>
      </c>
      <c r="AL488" t="str">
        <f t="shared" si="845"/>
        <v/>
      </c>
      <c r="AM488" t="str">
        <f t="shared" si="800"/>
        <v>Home</v>
      </c>
      <c r="AN488" t="str">
        <f t="shared" si="846"/>
        <v>h</v>
      </c>
      <c r="AO488" t="str">
        <f t="shared" si="847"/>
        <v>o</v>
      </c>
      <c r="AP488" t="str">
        <f t="shared" si="848"/>
        <v>d</v>
      </c>
      <c r="AQ488" t="str">
        <f>IF(AM488&lt;&gt;"",AM488,IF($AC488=#REF!,#REF!,""))</f>
        <v>Home</v>
      </c>
      <c r="AR488" t="str">
        <f t="shared" si="849"/>
        <v>h</v>
      </c>
      <c r="AS488" t="str">
        <f t="shared" si="850"/>
        <v>Defensive</v>
      </c>
      <c r="AT488" t="str">
        <f t="shared" si="801"/>
        <v/>
      </c>
      <c r="AU488" t="str">
        <f t="shared" si="802"/>
        <v/>
      </c>
      <c r="AV488" t="str" cm="1">
        <f t="array" ref="AV488">IFERROR(IF(O488&lt;&gt;"",O488,IF(OR($S488="",$T488=""),"",IF(O488&lt;&gt;"",O488,IF($T488&lt;&gt;"",_xlfn._xlws.FILTER(O:O,($BT:$BT=$BT488)*($I:$I=$I488)*($T:$T=$T488)*($S:$S=_xlfn.MINIFS($S:$S,$T:$T,"="&amp;$T488)),"")))))&amp;"",IF(O488="","",""))&amp;""</f>
        <v>DeflectedShot</v>
      </c>
      <c r="AW488" t="str" cm="1">
        <f t="array" ref="AW488">IFERROR(IF(P488&lt;&gt;"",P488,IF(OR($S488="",$T488=""),"",IF($T488&lt;&gt;"",_xlfn._xlws.FILTER(P:P,($BT:$BT=$BT488)*($I:$I=$I488)*($T:$T=$T488)*($S:$S=_xlfn.MINIFS($S:$S,$T:$T,"="&amp;$T488)),""))))&amp;"",IF(P488="","",""))&amp;""</f>
        <v/>
      </c>
      <c r="AX488" t="str" cm="1">
        <f t="array" ref="AX488">IFERROR(IF(Q488&lt;&gt;"",Q488,IF(OR($S488="",$T488=""),"",IF($T488&lt;&gt;"",_xlfn._xlws.FILTER(Q:Q,($BT:$BT=$BT488)*($I:$I=$I488)*($T:$T=$T488)*($S:$S=_xlfn.MINIFS($S:$S,$T:$T,"="&amp;$T488)),""))))&amp;"",IF(Q488="","",""))&amp;""</f>
        <v/>
      </c>
      <c r="AY488" t="str" cm="1">
        <f t="array" ref="AY488">IFERROR(IF(R488&lt;&gt;"",R488,IF(OR($S488="",$T488=""),"",IF($T488&lt;&gt;"",_xlfn._xlws.FILTER(R:R,($BT:$BT=$BT488)*($I:$I=$I488)*($T:$T=$T488)*($S:$S=_xlfn.MINIFS($S:$S,$T:$T,"="&amp;$T488)),""))))&amp;"",IF(R488="","",""))&amp;""</f>
        <v/>
      </c>
      <c r="AZ488" s="6">
        <f t="shared" si="803"/>
        <v>45</v>
      </c>
      <c r="BA488">
        <f t="shared" ref="BA488:BC488" si="864">BA487</f>
        <v>18991</v>
      </c>
      <c r="BB488" t="str">
        <f t="shared" si="864"/>
        <v>Triple J</v>
      </c>
      <c r="BC488" t="str">
        <f t="shared" si="864"/>
        <v>Velodrome</v>
      </c>
      <c r="BD488" t="str">
        <f t="shared" si="805"/>
        <v>Shot</v>
      </c>
      <c r="BE488" t="str">
        <f t="shared" si="806"/>
        <v>Shot_Deflected</v>
      </c>
      <c r="BF488" t="str">
        <f t="shared" si="807"/>
        <v>Shot-Wrist</v>
      </c>
      <c r="BG488" t="str">
        <f t="shared" si="789"/>
        <v>u</v>
      </c>
      <c r="BH488" cm="1">
        <f t="array" aca="1" ref="BH488" ca="1">IFERROR(_xlfn._xlws.FILTER(shifts!A:A,(shifts!B:B=events!Z488)*(shifts!AG:AG&gt;=events!BJ488)*(shifts!AH:AH&lt;=events!BK488)),BH487)</f>
        <v>17</v>
      </c>
      <c r="BI488" s="15">
        <f t="shared" si="808"/>
        <v>0</v>
      </c>
      <c r="BJ488">
        <f t="shared" si="809"/>
        <v>661</v>
      </c>
      <c r="BK488">
        <f t="shared" si="810"/>
        <v>661</v>
      </c>
      <c r="BL488" s="15">
        <f>SUMIFS(BI$2:BI488,K$2:K488,"=Intermission")+SUMIFS(BI$2:BI488,K$2:K488,"=Timeout")</f>
        <v>0</v>
      </c>
      <c r="BM488">
        <f t="shared" si="811"/>
        <v>0</v>
      </c>
      <c r="BN488" s="19">
        <f t="shared" si="812"/>
        <v>419</v>
      </c>
      <c r="BO488">
        <f t="shared" si="813"/>
        <v>414</v>
      </c>
      <c r="BP488" s="17">
        <f t="shared" si="814"/>
        <v>419</v>
      </c>
      <c r="BQ488" t="str">
        <f t="shared" si="815"/>
        <v>opp_team_player_2</v>
      </c>
      <c r="BR488">
        <f>COUNTIFS(S$3:S488,"="&amp;S488,AH$3:AH488,"="&amp;AH488)</f>
        <v>2</v>
      </c>
      <c r="BS488" t="str">
        <f>IFERROR(VLOOKUP(BA488&amp;BT488&amp;X488,game_rosters!U:W,3,FALSE),"")</f>
        <v>P100016</v>
      </c>
      <c r="BT488" t="str">
        <f t="shared" si="816"/>
        <v>Velodrome</v>
      </c>
    </row>
    <row r="489" spans="1:72" x14ac:dyDescent="0.2">
      <c r="A489">
        <f t="shared" si="791"/>
        <v>1</v>
      </c>
      <c r="E489" s="4" t="s">
        <v>1050</v>
      </c>
      <c r="F489" s="45" t="s">
        <v>1028</v>
      </c>
      <c r="G489" s="4" t="s">
        <v>1050</v>
      </c>
      <c r="H489" s="47" t="s">
        <v>1033</v>
      </c>
      <c r="I489" s="26">
        <v>21</v>
      </c>
      <c r="J489" s="26" t="s">
        <v>368</v>
      </c>
      <c r="K489" t="s">
        <v>13</v>
      </c>
      <c r="L489" t="s">
        <v>587</v>
      </c>
      <c r="N489" t="s">
        <v>594</v>
      </c>
      <c r="O489" t="s">
        <v>909</v>
      </c>
      <c r="Q489" t="str">
        <f t="shared" si="829"/>
        <v>u</v>
      </c>
      <c r="S489">
        <f>IF(A489=1,MAX($S$2:$S488)+1,IF(OR($I489&lt;&gt;"",A489="x"),$S488,""))</f>
        <v>245</v>
      </c>
      <c r="T489" t="str">
        <f>IF(D489=1,MAX($T$2:$T488)+1,IF(S489=S488,$T488,IF(D489="x",T488,IF(D488="x","",""))))</f>
        <v/>
      </c>
      <c r="U489" t="str">
        <f>IF(B489=1,MAX($U$2:$U488)+1,IF(AND($T489&lt;&gt;"",$T489=$T488),$U488,IF(B489="x",U488,"")))</f>
        <v/>
      </c>
      <c r="V489" t="str">
        <f>IF(C489=1,MAX($V$2:$V488)+1,IF(AND($T489&lt;&gt;"",$T489=$T488),$U488,IF(C489="x",V488,"")))</f>
        <v/>
      </c>
      <c r="W489" t="str" cm="1">
        <f t="array" ref="W489">IFERROR(_xlfn._xlws.FILTER(game_rosters!AC:AC,(game_rosters!J:J=events!X489)*(K489&lt;&gt;"")),"")</f>
        <v>h</v>
      </c>
      <c r="X489" cm="1">
        <f t="array" ref="X489">IF($I489&lt;&gt;"",$I489,INDEX($I$1:$I489,ROW()-COUNTIFS($T$1:$T489,"="&amp;$T489,$S$1:$S489,"&lt;"&amp;$S489)))</f>
        <v>21</v>
      </c>
      <c r="Y489" cm="1">
        <f t="array" ref="Y489">IFERROR(IF(_xlfn._xlws.FILTER(game_rosters!$J:$J,(game_rosters!$G:$G=events!$AM489)*(game_rosters!$J:$J=events!$X489))&gt;0,1,""),"")</f>
        <v>1</v>
      </c>
      <c r="Z489" s="6">
        <f t="shared" si="792"/>
        <v>1</v>
      </c>
      <c r="AA489">
        <f t="shared" si="793"/>
        <v>1245</v>
      </c>
      <c r="AB489" t="str">
        <f t="shared" si="794"/>
        <v/>
      </c>
      <c r="AC489">
        <f t="shared" si="795"/>
        <v>1245</v>
      </c>
      <c r="AD489" t="str">
        <f t="shared" si="796"/>
        <v>10</v>
      </c>
      <c r="AE489" t="str">
        <f t="shared" si="797"/>
        <v>58</v>
      </c>
      <c r="AF489" t="str">
        <f t="shared" si="798"/>
        <v>10</v>
      </c>
      <c r="AG489" t="str">
        <f t="shared" si="799"/>
        <v>57</v>
      </c>
      <c r="AH489" t="str">
        <f t="shared" si="842"/>
        <v>e</v>
      </c>
      <c r="AI489" t="str">
        <f t="shared" si="843"/>
        <v>o</v>
      </c>
      <c r="AJ489" t="str">
        <f t="shared" si="843"/>
        <v>o</v>
      </c>
      <c r="AK489" t="str">
        <f t="shared" si="844"/>
        <v>o</v>
      </c>
      <c r="AL489" t="str">
        <f t="shared" si="845"/>
        <v>d</v>
      </c>
      <c r="AM489" t="str">
        <f t="shared" si="800"/>
        <v>Home</v>
      </c>
      <c r="AN489" t="str">
        <f t="shared" si="846"/>
        <v>h</v>
      </c>
      <c r="AO489" t="str">
        <f t="shared" si="847"/>
        <v>o</v>
      </c>
      <c r="AP489" t="str">
        <f t="shared" si="848"/>
        <v>d</v>
      </c>
      <c r="AQ489" t="str">
        <f>IF(AM489&lt;&gt;"",AM489,IF($AC489=#REF!,#REF!,""))</f>
        <v>Home</v>
      </c>
      <c r="AR489" t="str">
        <f t="shared" si="849"/>
        <v>h</v>
      </c>
      <c r="AS489" t="str">
        <f t="shared" si="850"/>
        <v>Offensive</v>
      </c>
      <c r="AT489" t="str">
        <f t="shared" si="801"/>
        <v/>
      </c>
      <c r="AU489" t="str">
        <f t="shared" si="802"/>
        <v/>
      </c>
      <c r="AV489" t="str" cm="1">
        <f t="array" ref="AV489">IFERROR(IF(O489&lt;&gt;"",O489,IF(OR($S489="",$T489=""),"",IF(O489&lt;&gt;"",O489,IF($T489&lt;&gt;"",_xlfn._xlws.FILTER(O:O,($BT:$BT=$BT489)*($I:$I=$I489)*($T:$T=$T489)*($S:$S=_xlfn.MINIFS($S:$S,$T:$T,"="&amp;$T489)),"")))))&amp;"",IF(O489="","",""))&amp;""</f>
        <v>PuckRecoveryRetreivalShot</v>
      </c>
      <c r="AW489" t="str" cm="1">
        <f t="array" ref="AW489">IFERROR(IF(P489&lt;&gt;"",P489,IF(OR($S489="",$T489=""),"",IF($T489&lt;&gt;"",_xlfn._xlws.FILTER(P:P,($BT:$BT=$BT489)*($I:$I=$I489)*($T:$T=$T489)*($S:$S=_xlfn.MINIFS($S:$S,$T:$T,"="&amp;$T489)),""))))&amp;"",IF(P489="","",""))&amp;""</f>
        <v/>
      </c>
      <c r="AX489" t="str" cm="1">
        <f t="array" ref="AX489">IFERROR(IF(Q489&lt;&gt;"",Q489,IF(OR($S489="",$T489=""),"",IF($T489&lt;&gt;"",_xlfn._xlws.FILTER(Q:Q,($BT:$BT=$BT489)*($I:$I=$I489)*($T:$T=$T489)*($S:$S=_xlfn.MINIFS($S:$S,$T:$T,"="&amp;$T489)),""))))&amp;"",IF(Q489="","",""))&amp;""</f>
        <v>u</v>
      </c>
      <c r="AY489" t="str" cm="1">
        <f t="array" ref="AY489">IFERROR(IF(R489&lt;&gt;"",R489,IF(OR($S489="",$T489=""),"",IF($T489&lt;&gt;"",_xlfn._xlws.FILTER(R:R,($BT:$BT=$BT489)*($I:$I=$I489)*($T:$T=$T489)*($S:$S=_xlfn.MINIFS($S:$S,$T:$T,"="&amp;$T489)),""))))&amp;"",IF(R489="","",""))&amp;""</f>
        <v/>
      </c>
      <c r="AZ489" s="6">
        <f t="shared" si="803"/>
        <v>45</v>
      </c>
      <c r="BA489">
        <f t="shared" ref="BA489:BC489" si="865">BA488</f>
        <v>18991</v>
      </c>
      <c r="BB489" t="str">
        <f t="shared" si="865"/>
        <v>Triple J</v>
      </c>
      <c r="BC489" t="str">
        <f t="shared" si="865"/>
        <v>Velodrome</v>
      </c>
      <c r="BD489" t="str">
        <f t="shared" si="805"/>
        <v>Possession</v>
      </c>
      <c r="BE489" t="str">
        <f t="shared" si="806"/>
        <v>PuckRecovery</v>
      </c>
      <c r="BF489" t="str">
        <f t="shared" si="807"/>
        <v/>
      </c>
      <c r="BG489" t="str">
        <f t="shared" si="789"/>
        <v>u</v>
      </c>
      <c r="BH489" cm="1">
        <f t="array" aca="1" ref="BH489" ca="1">IFERROR(_xlfn._xlws.FILTER(shifts!A:A,(shifts!B:B=events!Z489)*(shifts!AG:AG&gt;=events!BJ489)*(shifts!AH:AH&lt;=events!BK489)),BH488)</f>
        <v>17</v>
      </c>
      <c r="BI489" s="15">
        <f t="shared" si="808"/>
        <v>1</v>
      </c>
      <c r="BJ489">
        <f t="shared" si="809"/>
        <v>658</v>
      </c>
      <c r="BK489">
        <f t="shared" si="810"/>
        <v>657</v>
      </c>
      <c r="BL489" s="15">
        <f>SUMIFS(BI$2:BI489,K$2:K489,"=Intermission")+SUMIFS(BI$2:BI489,K$2:K489,"=Timeout")</f>
        <v>0</v>
      </c>
      <c r="BM489">
        <f t="shared" si="811"/>
        <v>0</v>
      </c>
      <c r="BN489" s="19">
        <f t="shared" si="812"/>
        <v>422</v>
      </c>
      <c r="BO489">
        <f t="shared" si="813"/>
        <v>417</v>
      </c>
      <c r="BP489" s="17">
        <f t="shared" si="814"/>
        <v>423</v>
      </c>
      <c r="BQ489" t="str">
        <f t="shared" si="815"/>
        <v>event_team_player_1</v>
      </c>
      <c r="BR489">
        <f>COUNTIFS(S$3:S489,"="&amp;S489,AH$3:AH489,"="&amp;AH489)</f>
        <v>1</v>
      </c>
      <c r="BS489" t="str">
        <f>IFERROR(VLOOKUP(BA489&amp;BT489&amp;X489,game_rosters!U:W,3,FALSE),"")</f>
        <v>P100019</v>
      </c>
      <c r="BT489" t="str">
        <f t="shared" si="816"/>
        <v>Triple J</v>
      </c>
    </row>
    <row r="490" spans="1:72" x14ac:dyDescent="0.2">
      <c r="A490" t="str">
        <f t="shared" si="791"/>
        <v/>
      </c>
      <c r="E490" s="4"/>
      <c r="F490" s="45"/>
      <c r="G490" s="4"/>
      <c r="H490" s="47"/>
      <c r="I490" s="26">
        <v>75</v>
      </c>
      <c r="J490" s="26" t="str">
        <f t="shared" si="817"/>
        <v/>
      </c>
      <c r="N490" t="str">
        <f t="shared" si="835"/>
        <v/>
      </c>
      <c r="Q490" t="str">
        <f t="shared" si="829"/>
        <v/>
      </c>
      <c r="S490">
        <f>IF(A490=1,MAX($S$2:$S489)+1,IF(OR($I490&lt;&gt;"",A490="x"),$S489,""))</f>
        <v>245</v>
      </c>
      <c r="T490" t="str">
        <f>IF(D490=1,MAX($T$2:$T489)+1,IF(S490=S489,$T489,IF(D490="x",T489,IF(D489="x","",""))))</f>
        <v/>
      </c>
      <c r="U490" t="str">
        <f>IF(B490=1,MAX($U$2:$U489)+1,IF(AND($T490&lt;&gt;"",$T490=$T489),$U489,IF(B490="x",U489,"")))</f>
        <v/>
      </c>
      <c r="V490" t="str">
        <f>IF(C490=1,MAX($V$2:$V489)+1,IF(AND($T490&lt;&gt;"",$T490=$T489),$U489,IF(C490="x",V489,"")))</f>
        <v/>
      </c>
      <c r="W490" t="str" cm="1">
        <f t="array" ref="W490">IFERROR(_xlfn._xlws.FILTER(game_rosters!AC:AC,(game_rosters!J:J=events!X490)*(K490&lt;&gt;"")),"")</f>
        <v/>
      </c>
      <c r="X490" cm="1">
        <f t="array" ref="X490">IF($I490&lt;&gt;"",$I490,INDEX($I$1:$I490,ROW()-COUNTIFS($T$1:$T490,"="&amp;$T490,$S$1:$S490,"&lt;"&amp;$S490)))</f>
        <v>75</v>
      </c>
      <c r="Y490" t="str" cm="1">
        <f t="array" ref="Y490">IFERROR(IF(_xlfn._xlws.FILTER(game_rosters!$J:$J,(game_rosters!$G:$G=events!$AM490)*(game_rosters!$J:$J=events!$X490))&gt;0,1,""),"")</f>
        <v/>
      </c>
      <c r="Z490" s="6">
        <f t="shared" si="792"/>
        <v>1</v>
      </c>
      <c r="AA490">
        <f t="shared" si="793"/>
        <v>1245</v>
      </c>
      <c r="AB490" t="str">
        <f t="shared" si="794"/>
        <v/>
      </c>
      <c r="AC490">
        <f t="shared" si="795"/>
        <v>1245</v>
      </c>
      <c r="AD490" t="str">
        <f t="shared" si="796"/>
        <v>10</v>
      </c>
      <c r="AE490" t="str">
        <f t="shared" si="797"/>
        <v>58</v>
      </c>
      <c r="AF490" t="str">
        <f t="shared" si="798"/>
        <v>10</v>
      </c>
      <c r="AG490" t="str">
        <f t="shared" si="799"/>
        <v>57</v>
      </c>
      <c r="AH490" t="str">
        <f t="shared" si="842"/>
        <v>o</v>
      </c>
      <c r="AI490" t="str">
        <f t="shared" si="843"/>
        <v>o</v>
      </c>
      <c r="AJ490" t="str">
        <f t="shared" si="843"/>
        <v>o</v>
      </c>
      <c r="AK490" t="str">
        <f t="shared" si="844"/>
        <v/>
      </c>
      <c r="AL490" t="str">
        <f t="shared" si="845"/>
        <v/>
      </c>
      <c r="AM490" t="str">
        <f t="shared" si="800"/>
        <v>Home</v>
      </c>
      <c r="AN490" t="str">
        <f t="shared" si="846"/>
        <v>h</v>
      </c>
      <c r="AO490" t="str">
        <f t="shared" si="847"/>
        <v>o</v>
      </c>
      <c r="AP490" t="str">
        <f t="shared" si="848"/>
        <v>d</v>
      </c>
      <c r="AQ490" t="str">
        <f>IF(AM490&lt;&gt;"",AM490,IF($AC490=#REF!,#REF!,""))</f>
        <v>Home</v>
      </c>
      <c r="AR490" t="str">
        <f t="shared" si="849"/>
        <v>h</v>
      </c>
      <c r="AS490" t="str">
        <f t="shared" si="850"/>
        <v>Defensive</v>
      </c>
      <c r="AT490" t="str">
        <f t="shared" si="801"/>
        <v/>
      </c>
      <c r="AU490" t="str">
        <f t="shared" si="802"/>
        <v/>
      </c>
      <c r="AV490" t="str" cm="1">
        <f t="array" ref="AV490">IFERROR(IF(O490&lt;&gt;"",O490,IF(OR($S490="",$T490=""),"",IF(O490&lt;&gt;"",O490,IF($T490&lt;&gt;"",_xlfn._xlws.FILTER(O:O,($BT:$BT=$BT490)*($I:$I=$I490)*($T:$T=$T490)*($S:$S=_xlfn.MINIFS($S:$S,$T:$T,"="&amp;$T490)),"")))))&amp;"",IF(O490="","",""))&amp;""</f>
        <v/>
      </c>
      <c r="AW490" t="str" cm="1">
        <f t="array" ref="AW490">IFERROR(IF(P490&lt;&gt;"",P490,IF(OR($S490="",$T490=""),"",IF($T490&lt;&gt;"",_xlfn._xlws.FILTER(P:P,($BT:$BT=$BT490)*($I:$I=$I490)*($T:$T=$T490)*($S:$S=_xlfn.MINIFS($S:$S,$T:$T,"="&amp;$T490)),""))))&amp;"",IF(P490="","",""))&amp;""</f>
        <v/>
      </c>
      <c r="AX490" t="str" cm="1">
        <f t="array" ref="AX490">IFERROR(IF(Q490&lt;&gt;"",Q490,IF(OR($S490="",$T490=""),"",IF($T490&lt;&gt;"",_xlfn._xlws.FILTER(Q:Q,($BT:$BT=$BT490)*($I:$I=$I490)*($T:$T=$T490)*($S:$S=_xlfn.MINIFS($S:$S,$T:$T,"="&amp;$T490)),""))))&amp;"",IF(Q490="","",""))&amp;""</f>
        <v/>
      </c>
      <c r="AY490" t="str" cm="1">
        <f t="array" ref="AY490">IFERROR(IF(R490&lt;&gt;"",R490,IF(OR($S490="",$T490=""),"",IF($T490&lt;&gt;"",_xlfn._xlws.FILTER(R:R,($BT:$BT=$BT490)*($I:$I=$I490)*($T:$T=$T490)*($S:$S=_xlfn.MINIFS($S:$S,$T:$T,"="&amp;$T490)),""))))&amp;"",IF(R490="","",""))&amp;""</f>
        <v/>
      </c>
      <c r="AZ490" s="6">
        <f t="shared" si="803"/>
        <v>45</v>
      </c>
      <c r="BA490">
        <f t="shared" ref="BA490:BC490" si="866">BA489</f>
        <v>18991</v>
      </c>
      <c r="BB490" t="str">
        <f t="shared" si="866"/>
        <v>Triple J</v>
      </c>
      <c r="BC490" t="str">
        <f t="shared" si="866"/>
        <v>Velodrome</v>
      </c>
      <c r="BD490" t="str">
        <f t="shared" si="805"/>
        <v>Possession</v>
      </c>
      <c r="BE490" t="str">
        <f t="shared" si="806"/>
        <v>PuckRecovery</v>
      </c>
      <c r="BF490" t="str">
        <f t="shared" si="807"/>
        <v/>
      </c>
      <c r="BG490" t="str">
        <f t="shared" si="789"/>
        <v>u</v>
      </c>
      <c r="BH490" cm="1">
        <f t="array" aca="1" ref="BH490" ca="1">IFERROR(_xlfn._xlws.FILTER(shifts!A:A,(shifts!B:B=events!Z490)*(shifts!AG:AG&gt;=events!BJ490)*(shifts!AH:AH&lt;=events!BK490)),BH489)</f>
        <v>17</v>
      </c>
      <c r="BI490" s="15">
        <f t="shared" si="808"/>
        <v>1</v>
      </c>
      <c r="BJ490">
        <f t="shared" si="809"/>
        <v>658</v>
      </c>
      <c r="BK490">
        <f t="shared" si="810"/>
        <v>657</v>
      </c>
      <c r="BL490" s="15">
        <f>SUMIFS(BI$2:BI490,K$2:K490,"=Intermission")+SUMIFS(BI$2:BI490,K$2:K490,"=Timeout")</f>
        <v>0</v>
      </c>
      <c r="BM490">
        <f t="shared" si="811"/>
        <v>0</v>
      </c>
      <c r="BN490" s="19">
        <f t="shared" si="812"/>
        <v>422</v>
      </c>
      <c r="BO490">
        <f t="shared" si="813"/>
        <v>417</v>
      </c>
      <c r="BP490" s="17">
        <f t="shared" si="814"/>
        <v>423</v>
      </c>
      <c r="BQ490" t="str">
        <f t="shared" si="815"/>
        <v>opp_team_player_1</v>
      </c>
      <c r="BR490">
        <f>COUNTIFS(S$3:S490,"="&amp;S490,AH$3:AH490,"="&amp;AH490)</f>
        <v>1</v>
      </c>
      <c r="BS490" t="str">
        <f>IFERROR(VLOOKUP(BA490&amp;BT490&amp;X490,game_rosters!U:W,3,FALSE),"")</f>
        <v>P100039</v>
      </c>
      <c r="BT490" t="str">
        <f t="shared" si="816"/>
        <v>Velodrome</v>
      </c>
    </row>
    <row r="491" spans="1:72" x14ac:dyDescent="0.2">
      <c r="A491">
        <f t="shared" si="791"/>
        <v>1</v>
      </c>
      <c r="E491" s="4"/>
      <c r="F491" s="45"/>
      <c r="G491" s="4"/>
      <c r="H491" s="47"/>
      <c r="I491" s="26">
        <v>21</v>
      </c>
      <c r="J491" s="26" t="s">
        <v>368</v>
      </c>
      <c r="K491" t="s">
        <v>7</v>
      </c>
      <c r="L491" t="s">
        <v>172</v>
      </c>
      <c r="M491" t="s">
        <v>67</v>
      </c>
      <c r="N491" t="s">
        <v>595</v>
      </c>
      <c r="O491" t="s">
        <v>576</v>
      </c>
      <c r="Q491" t="str">
        <f t="shared" si="829"/>
        <v>s</v>
      </c>
      <c r="R491" s="26">
        <v>1</v>
      </c>
      <c r="S491">
        <f>IF(A491=1,MAX($S$2:$S490)+1,IF(OR($I491&lt;&gt;"",A491="x"),$S490,""))</f>
        <v>246</v>
      </c>
      <c r="T491" t="str">
        <f>IF(D491=1,MAX($T$2:$T490)+1,IF(S491=S490,$T490,IF(D491="x",T490,IF(D490="x","",""))))</f>
        <v/>
      </c>
      <c r="U491" t="str">
        <f>IF(B491=1,MAX($U$2:$U490)+1,IF(AND($T491&lt;&gt;"",$T491=$T490),$U490,IF(B491="x",U490,"")))</f>
        <v/>
      </c>
      <c r="V491" t="str">
        <f>IF(C491=1,MAX($V$2:$V490)+1,IF(AND($T491&lt;&gt;"",$T491=$T490),$U490,IF(C491="x",V490,"")))</f>
        <v/>
      </c>
      <c r="W491" t="str" cm="1">
        <f t="array" ref="W491">IFERROR(_xlfn._xlws.FILTER(game_rosters!AC:AC,(game_rosters!J:J=events!X491)*(K491&lt;&gt;"")),"")</f>
        <v>h</v>
      </c>
      <c r="X491" cm="1">
        <f t="array" ref="X491">IF($I491&lt;&gt;"",$I491,INDEX($I$1:$I491,ROW()-COUNTIFS($T$1:$T491,"="&amp;$T491,$S$1:$S491,"&lt;"&amp;$S491)))</f>
        <v>21</v>
      </c>
      <c r="Y491" cm="1">
        <f t="array" ref="Y491">IFERROR(IF(_xlfn._xlws.FILTER(game_rosters!$J:$J,(game_rosters!$G:$G=events!$AM491)*(game_rosters!$J:$J=events!$X491))&gt;0,1,""),"")</f>
        <v>1</v>
      </c>
      <c r="Z491" s="6">
        <f t="shared" si="792"/>
        <v>1</v>
      </c>
      <c r="AA491">
        <f t="shared" si="793"/>
        <v>1246</v>
      </c>
      <c r="AB491" t="str">
        <f t="shared" si="794"/>
        <v/>
      </c>
      <c r="AC491">
        <f t="shared" si="795"/>
        <v>1246</v>
      </c>
      <c r="AD491" t="str">
        <f t="shared" si="796"/>
        <v>10</v>
      </c>
      <c r="AE491" t="str">
        <f t="shared" si="797"/>
        <v>57</v>
      </c>
      <c r="AF491" t="str">
        <f t="shared" si="798"/>
        <v/>
      </c>
      <c r="AG491" t="str">
        <f t="shared" si="799"/>
        <v/>
      </c>
      <c r="AH491" t="str">
        <f t="shared" si="842"/>
        <v>e</v>
      </c>
      <c r="AI491" t="str">
        <f t="shared" ref="AI491:AJ506" si="867">IF($J491&lt;&gt;"",$J491,IF($AC491=$AC490,AI490,""))</f>
        <v>o</v>
      </c>
      <c r="AJ491" t="str">
        <f t="shared" si="867"/>
        <v>o</v>
      </c>
      <c r="AK491" t="str">
        <f t="shared" si="844"/>
        <v>o</v>
      </c>
      <c r="AL491" t="str">
        <f t="shared" si="845"/>
        <v>d</v>
      </c>
      <c r="AM491" t="str">
        <f t="shared" si="800"/>
        <v>Home</v>
      </c>
      <c r="AN491" t="str">
        <f t="shared" si="846"/>
        <v>h</v>
      </c>
      <c r="AO491" t="str">
        <f t="shared" si="847"/>
        <v>o</v>
      </c>
      <c r="AP491" t="str">
        <f t="shared" si="848"/>
        <v>d</v>
      </c>
      <c r="AQ491" t="str">
        <f>IF(AM491&lt;&gt;"",AM491,IF($AC491=#REF!,#REF!,""))</f>
        <v>Home</v>
      </c>
      <c r="AR491" t="str">
        <f t="shared" si="849"/>
        <v>h</v>
      </c>
      <c r="AS491" t="str">
        <f t="shared" si="850"/>
        <v>Offensive</v>
      </c>
      <c r="AT491" t="str">
        <f t="shared" si="801"/>
        <v/>
      </c>
      <c r="AU491" t="str">
        <f t="shared" si="802"/>
        <v/>
      </c>
      <c r="AV491" t="str" cm="1">
        <f t="array" ref="AV491">IFERROR(IF(O491&lt;&gt;"",O491,IF(OR($S491="",$T491=""),"",IF(O491&lt;&gt;"",O491,IF($T491&lt;&gt;"",_xlfn._xlws.FILTER(O:O,($BT:$BT=$BT491)*($I:$I=$I491)*($T:$T=$T491)*($S:$S=_xlfn.MINIFS($S:$S,$T:$T,"="&amp;$T491)),"")))))&amp;"",IF(O491="","",""))&amp;""</f>
        <v>SecondTouch</v>
      </c>
      <c r="AW491" t="str" cm="1">
        <f t="array" ref="AW491">IFERROR(IF(P491&lt;&gt;"",P491,IF(OR($S491="",$T491=""),"",IF($T491&lt;&gt;"",_xlfn._xlws.FILTER(P:P,($BT:$BT=$BT491)*($I:$I=$I491)*($T:$T=$T491)*($S:$S=_xlfn.MINIFS($S:$S,$T:$T,"="&amp;$T491)),""))))&amp;"",IF(P491="","",""))&amp;""</f>
        <v/>
      </c>
      <c r="AX491" t="str" cm="1">
        <f t="array" ref="AX491">IFERROR(IF(Q491&lt;&gt;"",Q491,IF(OR($S491="",$T491=""),"",IF($T491&lt;&gt;"",_xlfn._xlws.FILTER(Q:Q,($BT:$BT=$BT491)*($I:$I=$I491)*($T:$T=$T491)*($S:$S=_xlfn.MINIFS($S:$S,$T:$T,"="&amp;$T491)),""))))&amp;"",IF(Q491="","",""))&amp;""</f>
        <v>s</v>
      </c>
      <c r="AY491" t="str" cm="1">
        <f t="array" ref="AY491">IFERROR(IF(R491&lt;&gt;"",R491,IF(OR($S491="",$T491=""),"",IF($T491&lt;&gt;"",_xlfn._xlws.FILTER(R:R,($BT:$BT=$BT491)*($I:$I=$I491)*($T:$T=$T491)*($S:$S=_xlfn.MINIFS($S:$S,$T:$T,"="&amp;$T491)),""))))&amp;"",IF(R491="","",""))&amp;""</f>
        <v>1</v>
      </c>
      <c r="AZ491" s="6">
        <f t="shared" si="803"/>
        <v>45</v>
      </c>
      <c r="BA491">
        <f t="shared" ref="BA491:BC491" si="868">BA490</f>
        <v>18991</v>
      </c>
      <c r="BB491" t="str">
        <f t="shared" si="868"/>
        <v>Triple J</v>
      </c>
      <c r="BC491" t="str">
        <f t="shared" si="868"/>
        <v>Velodrome</v>
      </c>
      <c r="BD491" t="str">
        <f t="shared" si="805"/>
        <v>Pass</v>
      </c>
      <c r="BE491" t="str">
        <f t="shared" si="806"/>
        <v>Pass_Completed</v>
      </c>
      <c r="BF491" t="str">
        <f t="shared" si="807"/>
        <v>Pass-Backhand</v>
      </c>
      <c r="BG491" t="str">
        <f t="shared" si="789"/>
        <v>s</v>
      </c>
      <c r="BH491" cm="1">
        <f t="array" aca="1" ref="BH491" ca="1">IFERROR(_xlfn._xlws.FILTER(shifts!A:A,(shifts!B:B=events!Z491)*(shifts!AG:AG&gt;=events!BJ491)*(shifts!AH:AH&lt;=events!BK491)),BH490)</f>
        <v>17</v>
      </c>
      <c r="BI491" s="15">
        <f t="shared" si="808"/>
        <v>0</v>
      </c>
      <c r="BJ491">
        <f t="shared" si="809"/>
        <v>657</v>
      </c>
      <c r="BK491">
        <f t="shared" si="810"/>
        <v>657</v>
      </c>
      <c r="BL491" s="15">
        <f>SUMIFS(BI$2:BI491,K$2:K491,"=Intermission")+SUMIFS(BI$2:BI491,K$2:K491,"=Timeout")</f>
        <v>0</v>
      </c>
      <c r="BM491">
        <f t="shared" si="811"/>
        <v>0</v>
      </c>
      <c r="BN491" s="19">
        <f t="shared" si="812"/>
        <v>423</v>
      </c>
      <c r="BO491">
        <f t="shared" si="813"/>
        <v>418</v>
      </c>
      <c r="BP491" s="17">
        <f t="shared" si="814"/>
        <v>423</v>
      </c>
      <c r="BQ491" t="str">
        <f t="shared" si="815"/>
        <v>event_team_player_1</v>
      </c>
      <c r="BR491">
        <f>COUNTIFS(S$3:S491,"="&amp;S491,AH$3:AH491,"="&amp;AH491)</f>
        <v>1</v>
      </c>
      <c r="BS491" t="str">
        <f>IFERROR(VLOOKUP(BA491&amp;BT491&amp;X491,game_rosters!U:W,3,FALSE),"")</f>
        <v>P100019</v>
      </c>
      <c r="BT491" t="str">
        <f t="shared" si="816"/>
        <v>Triple J</v>
      </c>
    </row>
    <row r="492" spans="1:72" x14ac:dyDescent="0.2">
      <c r="A492" t="str">
        <f t="shared" si="791"/>
        <v/>
      </c>
      <c r="E492" s="4"/>
      <c r="F492" s="45"/>
      <c r="G492" s="4"/>
      <c r="H492" s="47"/>
      <c r="I492" s="26">
        <v>16</v>
      </c>
      <c r="J492" s="26" t="str">
        <f t="shared" si="817"/>
        <v/>
      </c>
      <c r="N492" t="str">
        <f t="shared" si="835"/>
        <v/>
      </c>
      <c r="Q492" t="str">
        <f t="shared" si="829"/>
        <v/>
      </c>
      <c r="S492">
        <f>IF(A492=1,MAX($S$2:$S491)+1,IF(OR($I492&lt;&gt;"",A492="x"),$S491,""))</f>
        <v>246</v>
      </c>
      <c r="T492" t="str">
        <f>IF(D492=1,MAX($T$2:$T491)+1,IF(S492=S491,$T491,IF(D492="x",T491,IF(D491="x","",""))))</f>
        <v/>
      </c>
      <c r="U492" t="str">
        <f>IF(B492=1,MAX($U$2:$U491)+1,IF(AND($T492&lt;&gt;"",$T492=$T491),$U491,IF(B492="x",U491,"")))</f>
        <v/>
      </c>
      <c r="V492" t="str">
        <f>IF(C492=1,MAX($V$2:$V491)+1,IF(AND($T492&lt;&gt;"",$T492=$T491),$U491,IF(C492="x",V491,"")))</f>
        <v/>
      </c>
      <c r="W492" t="str" cm="1">
        <f t="array" ref="W492">IFERROR(_xlfn._xlws.FILTER(game_rosters!AC:AC,(game_rosters!J:J=events!X492)*(K492&lt;&gt;"")),"")</f>
        <v/>
      </c>
      <c r="X492" cm="1">
        <f t="array" ref="X492">IF($I492&lt;&gt;"",$I492,INDEX($I$1:$I492,ROW()-COUNTIFS($T$1:$T492,"="&amp;$T492,$S$1:$S492,"&lt;"&amp;$S492)))</f>
        <v>16</v>
      </c>
      <c r="Y492" cm="1">
        <f t="array" ref="Y492">IFERROR(IF(_xlfn._xlws.FILTER(game_rosters!$J:$J,(game_rosters!$G:$G=events!$AM492)*(game_rosters!$J:$J=events!$X492))&gt;0,1,""),"")</f>
        <v>1</v>
      </c>
      <c r="Z492" s="6">
        <f t="shared" si="792"/>
        <v>1</v>
      </c>
      <c r="AA492">
        <f t="shared" si="793"/>
        <v>1246</v>
      </c>
      <c r="AB492" t="str">
        <f t="shared" si="794"/>
        <v/>
      </c>
      <c r="AC492">
        <f t="shared" si="795"/>
        <v>1246</v>
      </c>
      <c r="AD492" t="str">
        <f t="shared" si="796"/>
        <v>10</v>
      </c>
      <c r="AE492" t="str">
        <f t="shared" si="797"/>
        <v>57</v>
      </c>
      <c r="AF492" t="str">
        <f t="shared" si="798"/>
        <v/>
      </c>
      <c r="AG492" t="str">
        <f t="shared" si="799"/>
        <v/>
      </c>
      <c r="AH492" t="str">
        <f t="shared" si="842"/>
        <v>e</v>
      </c>
      <c r="AI492" t="str">
        <f t="shared" si="867"/>
        <v>o</v>
      </c>
      <c r="AJ492" t="str">
        <f t="shared" si="867"/>
        <v>o</v>
      </c>
      <c r="AK492" t="str">
        <f t="shared" si="844"/>
        <v/>
      </c>
      <c r="AL492" t="str">
        <f t="shared" si="845"/>
        <v/>
      </c>
      <c r="AM492" t="str">
        <f t="shared" si="800"/>
        <v>Home</v>
      </c>
      <c r="AN492" t="str">
        <f t="shared" si="846"/>
        <v>h</v>
      </c>
      <c r="AO492" t="str">
        <f t="shared" si="847"/>
        <v>o</v>
      </c>
      <c r="AP492" t="str">
        <f t="shared" si="848"/>
        <v>d</v>
      </c>
      <c r="AQ492" t="str">
        <f>IF(AM492&lt;&gt;"",AM492,IF($AC492=#REF!,#REF!,""))</f>
        <v>Home</v>
      </c>
      <c r="AR492" t="str">
        <f t="shared" si="849"/>
        <v>h</v>
      </c>
      <c r="AS492" t="str">
        <f t="shared" si="850"/>
        <v>Offensive</v>
      </c>
      <c r="AT492" t="str">
        <f t="shared" si="801"/>
        <v/>
      </c>
      <c r="AU492" t="str">
        <f t="shared" si="802"/>
        <v/>
      </c>
      <c r="AV492" t="str" cm="1">
        <f t="array" ref="AV492">IFERROR(IF(O492&lt;&gt;"",O492,IF(OR($S492="",$T492=""),"",IF(O492&lt;&gt;"",O492,IF($T492&lt;&gt;"",_xlfn._xlws.FILTER(O:O,($BT:$BT=$BT492)*($I:$I=$I492)*($T:$T=$T492)*($S:$S=_xlfn.MINIFS($S:$S,$T:$T,"="&amp;$T492)),"")))))&amp;"",IF(O492="","",""))&amp;""</f>
        <v/>
      </c>
      <c r="AW492" t="str" cm="1">
        <f t="array" ref="AW492">IFERROR(IF(P492&lt;&gt;"",P492,IF(OR($S492="",$T492=""),"",IF($T492&lt;&gt;"",_xlfn._xlws.FILTER(P:P,($BT:$BT=$BT492)*($I:$I=$I492)*($T:$T=$T492)*($S:$S=_xlfn.MINIFS($S:$S,$T:$T,"="&amp;$T492)),""))))&amp;"",IF(P492="","",""))&amp;""</f>
        <v/>
      </c>
      <c r="AX492" t="str" cm="1">
        <f t="array" ref="AX492">IFERROR(IF(Q492&lt;&gt;"",Q492,IF(OR($S492="",$T492=""),"",IF($T492&lt;&gt;"",_xlfn._xlws.FILTER(Q:Q,($BT:$BT=$BT492)*($I:$I=$I492)*($T:$T=$T492)*($S:$S=_xlfn.MINIFS($S:$S,$T:$T,"="&amp;$T492)),""))))&amp;"",IF(Q492="","",""))&amp;""</f>
        <v/>
      </c>
      <c r="AY492" t="str" cm="1">
        <f t="array" ref="AY492">IFERROR(IF(R492&lt;&gt;"",R492,IF(OR($S492="",$T492=""),"",IF($T492&lt;&gt;"",_xlfn._xlws.FILTER(R:R,($BT:$BT=$BT492)*($I:$I=$I492)*($T:$T=$T492)*($S:$S=_xlfn.MINIFS($S:$S,$T:$T,"="&amp;$T492)),""))))&amp;"",IF(R492="","",""))&amp;""</f>
        <v/>
      </c>
      <c r="AZ492" s="6">
        <f t="shared" si="803"/>
        <v>45</v>
      </c>
      <c r="BA492">
        <f t="shared" ref="BA492:BC492" si="869">BA491</f>
        <v>18991</v>
      </c>
      <c r="BB492" t="str">
        <f t="shared" si="869"/>
        <v>Triple J</v>
      </c>
      <c r="BC492" t="str">
        <f t="shared" si="869"/>
        <v>Velodrome</v>
      </c>
      <c r="BD492" t="str">
        <f t="shared" si="805"/>
        <v>Pass</v>
      </c>
      <c r="BE492" t="str">
        <f t="shared" si="806"/>
        <v>Pass_Completed</v>
      </c>
      <c r="BF492" t="str">
        <f t="shared" si="807"/>
        <v>Pass-Backhand</v>
      </c>
      <c r="BG492" t="str">
        <f t="shared" si="789"/>
        <v>s</v>
      </c>
      <c r="BH492" cm="1">
        <f t="array" aca="1" ref="BH492" ca="1">IFERROR(_xlfn._xlws.FILTER(shifts!A:A,(shifts!B:B=events!Z492)*(shifts!AG:AG&gt;=events!BJ492)*(shifts!AH:AH&lt;=events!BK492)),BH491)</f>
        <v>17</v>
      </c>
      <c r="BI492" s="15">
        <f t="shared" si="808"/>
        <v>0</v>
      </c>
      <c r="BJ492">
        <f t="shared" si="809"/>
        <v>657</v>
      </c>
      <c r="BK492">
        <f t="shared" si="810"/>
        <v>657</v>
      </c>
      <c r="BL492" s="15">
        <f>SUMIFS(BI$2:BI492,K$2:K492,"=Intermission")+SUMIFS(BI$2:BI492,K$2:K492,"=Timeout")</f>
        <v>0</v>
      </c>
      <c r="BM492">
        <f t="shared" si="811"/>
        <v>0</v>
      </c>
      <c r="BN492" s="19">
        <f t="shared" si="812"/>
        <v>423</v>
      </c>
      <c r="BO492">
        <f t="shared" si="813"/>
        <v>418</v>
      </c>
      <c r="BP492" s="17">
        <f t="shared" si="814"/>
        <v>423</v>
      </c>
      <c r="BQ492" t="str">
        <f t="shared" si="815"/>
        <v>event_team_player_2</v>
      </c>
      <c r="BR492">
        <f>COUNTIFS(S$3:S492,"="&amp;S492,AH$3:AH492,"="&amp;AH492)</f>
        <v>2</v>
      </c>
      <c r="BS492" t="str">
        <f>IFERROR(VLOOKUP(BA492&amp;BT492&amp;X492,game_rosters!U:W,3,FALSE),"")</f>
        <v>P100094</v>
      </c>
      <c r="BT492" t="str">
        <f t="shared" si="816"/>
        <v>Triple J</v>
      </c>
    </row>
    <row r="493" spans="1:72" x14ac:dyDescent="0.2">
      <c r="A493" t="str">
        <f t="shared" si="791"/>
        <v/>
      </c>
      <c r="E493" s="4"/>
      <c r="F493" s="45"/>
      <c r="G493" s="4"/>
      <c r="H493" s="47"/>
      <c r="I493" s="26">
        <v>22</v>
      </c>
      <c r="J493" s="26" t="str">
        <f t="shared" si="817"/>
        <v/>
      </c>
      <c r="N493" t="str">
        <f t="shared" si="835"/>
        <v/>
      </c>
      <c r="Q493" t="str">
        <f t="shared" si="829"/>
        <v/>
      </c>
      <c r="R493" s="26">
        <v>1</v>
      </c>
      <c r="S493">
        <f>IF(A493=1,MAX($S$2:$S492)+1,IF(OR($I493&lt;&gt;"",A493="x"),$S492,""))</f>
        <v>246</v>
      </c>
      <c r="T493" t="str">
        <f>IF(D493=1,MAX($T$2:$T492)+1,IF(S493=S492,$T492,IF(D493="x",T492,IF(D492="x","",""))))</f>
        <v/>
      </c>
      <c r="U493" t="str">
        <f>IF(B493=1,MAX($U$2:$U492)+1,IF(AND($T493&lt;&gt;"",$T493=$T492),$U492,IF(B493="x",U492,"")))</f>
        <v/>
      </c>
      <c r="V493" t="str">
        <f>IF(C493=1,MAX($V$2:$V492)+1,IF(AND($T493&lt;&gt;"",$T493=$T492),$U492,IF(C493="x",V492,"")))</f>
        <v/>
      </c>
      <c r="W493" t="str" cm="1">
        <f t="array" ref="W493">IFERROR(_xlfn._xlws.FILTER(game_rosters!AC:AC,(game_rosters!J:J=events!X493)*(K493&lt;&gt;"")),"")</f>
        <v/>
      </c>
      <c r="X493" cm="1">
        <f t="array" ref="X493">IF($I493&lt;&gt;"",$I493,INDEX($I$1:$I493,ROW()-COUNTIFS($T$1:$T493,"="&amp;$T493,$S$1:$S493,"&lt;"&amp;$S493)))</f>
        <v>22</v>
      </c>
      <c r="Y493" t="str" cm="1">
        <f t="array" ref="Y493">IFERROR(IF(_xlfn._xlws.FILTER(game_rosters!$J:$J,(game_rosters!$G:$G=events!$AM493)*(game_rosters!$J:$J=events!$X493))&gt;0,1,""),"")</f>
        <v/>
      </c>
      <c r="Z493" s="6">
        <f t="shared" si="792"/>
        <v>1</v>
      </c>
      <c r="AA493">
        <f t="shared" si="793"/>
        <v>1246</v>
      </c>
      <c r="AB493" t="str">
        <f t="shared" si="794"/>
        <v/>
      </c>
      <c r="AC493">
        <f t="shared" si="795"/>
        <v>1246</v>
      </c>
      <c r="AD493" t="str">
        <f t="shared" si="796"/>
        <v>10</v>
      </c>
      <c r="AE493" t="str">
        <f t="shared" si="797"/>
        <v>57</v>
      </c>
      <c r="AF493" t="str">
        <f t="shared" si="798"/>
        <v/>
      </c>
      <c r="AG493" t="str">
        <f t="shared" si="799"/>
        <v/>
      </c>
      <c r="AH493" t="str">
        <f t="shared" si="842"/>
        <v>o</v>
      </c>
      <c r="AI493" t="str">
        <f t="shared" si="867"/>
        <v>o</v>
      </c>
      <c r="AJ493" t="str">
        <f t="shared" si="867"/>
        <v>o</v>
      </c>
      <c r="AK493" t="str">
        <f t="shared" si="844"/>
        <v/>
      </c>
      <c r="AL493" t="str">
        <f t="shared" si="845"/>
        <v/>
      </c>
      <c r="AM493" t="str">
        <f t="shared" si="800"/>
        <v>Home</v>
      </c>
      <c r="AN493" t="str">
        <f t="shared" si="846"/>
        <v>h</v>
      </c>
      <c r="AO493" t="str">
        <f t="shared" si="847"/>
        <v>o</v>
      </c>
      <c r="AP493" t="str">
        <f t="shared" si="848"/>
        <v>d</v>
      </c>
      <c r="AQ493" t="str">
        <f>IF(AM493&lt;&gt;"",AM493,IF($AC493=#REF!,#REF!,""))</f>
        <v>Home</v>
      </c>
      <c r="AR493" t="str">
        <f t="shared" si="849"/>
        <v>h</v>
      </c>
      <c r="AS493" t="str">
        <f t="shared" si="850"/>
        <v>Defensive</v>
      </c>
      <c r="AT493" t="str">
        <f t="shared" si="801"/>
        <v/>
      </c>
      <c r="AU493" t="str">
        <f t="shared" si="802"/>
        <v/>
      </c>
      <c r="AV493" t="str" cm="1">
        <f t="array" ref="AV493">IFERROR(IF(O493&lt;&gt;"",O493,IF(OR($S493="",$T493=""),"",IF(O493&lt;&gt;"",O493,IF($T493&lt;&gt;"",_xlfn._xlws.FILTER(O:O,($BT:$BT=$BT493)*($I:$I=$I493)*($T:$T=$T493)*($S:$S=_xlfn.MINIFS($S:$S,$T:$T,"="&amp;$T493)),"")))))&amp;"",IF(O493="","",""))&amp;""</f>
        <v/>
      </c>
      <c r="AW493" t="str" cm="1">
        <f t="array" ref="AW493">IFERROR(IF(P493&lt;&gt;"",P493,IF(OR($S493="",$T493=""),"",IF($T493&lt;&gt;"",_xlfn._xlws.FILTER(P:P,($BT:$BT=$BT493)*($I:$I=$I493)*($T:$T=$T493)*($S:$S=_xlfn.MINIFS($S:$S,$T:$T,"="&amp;$T493)),""))))&amp;"",IF(P493="","",""))&amp;""</f>
        <v/>
      </c>
      <c r="AX493" t="str" cm="1">
        <f t="array" ref="AX493">IFERROR(IF(Q493&lt;&gt;"",Q493,IF(OR($S493="",$T493=""),"",IF($T493&lt;&gt;"",_xlfn._xlws.FILTER(Q:Q,($BT:$BT=$BT493)*($I:$I=$I493)*($T:$T=$T493)*($S:$S=_xlfn.MINIFS($S:$S,$T:$T,"="&amp;$T493)),""))))&amp;"",IF(Q493="","",""))&amp;""</f>
        <v/>
      </c>
      <c r="AY493" t="str" cm="1">
        <f t="array" ref="AY493">IFERROR(IF(R493&lt;&gt;"",R493,IF(OR($S493="",$T493=""),"",IF($T493&lt;&gt;"",_xlfn._xlws.FILTER(R:R,($BT:$BT=$BT493)*($I:$I=$I493)*($T:$T=$T493)*($S:$S=_xlfn.MINIFS($S:$S,$T:$T,"="&amp;$T493)),""))))&amp;"",IF(R493="","",""))&amp;""</f>
        <v>1</v>
      </c>
      <c r="AZ493" s="6">
        <f t="shared" si="803"/>
        <v>45</v>
      </c>
      <c r="BA493">
        <f t="shared" ref="BA493:BC493" si="870">BA492</f>
        <v>18991</v>
      </c>
      <c r="BB493" t="str">
        <f t="shared" si="870"/>
        <v>Triple J</v>
      </c>
      <c r="BC493" t="str">
        <f t="shared" si="870"/>
        <v>Velodrome</v>
      </c>
      <c r="BD493" t="str">
        <f t="shared" si="805"/>
        <v>Pass</v>
      </c>
      <c r="BE493" t="str">
        <f t="shared" si="806"/>
        <v>Pass_Completed</v>
      </c>
      <c r="BF493" t="str">
        <f t="shared" si="807"/>
        <v>Pass-Backhand</v>
      </c>
      <c r="BG493" t="str">
        <f t="shared" si="789"/>
        <v>s</v>
      </c>
      <c r="BH493" cm="1">
        <f t="array" aca="1" ref="BH493" ca="1">IFERROR(_xlfn._xlws.FILTER(shifts!A:A,(shifts!B:B=events!Z493)*(shifts!AG:AG&gt;=events!BJ493)*(shifts!AH:AH&lt;=events!BK493)),BH492)</f>
        <v>17</v>
      </c>
      <c r="BI493" s="15">
        <f t="shared" si="808"/>
        <v>0</v>
      </c>
      <c r="BJ493">
        <f t="shared" si="809"/>
        <v>657</v>
      </c>
      <c r="BK493">
        <f t="shared" si="810"/>
        <v>657</v>
      </c>
      <c r="BL493" s="15">
        <f>SUMIFS(BI$2:BI493,K$2:K493,"=Intermission")+SUMIFS(BI$2:BI493,K$2:K493,"=Timeout")</f>
        <v>0</v>
      </c>
      <c r="BM493">
        <f t="shared" si="811"/>
        <v>0</v>
      </c>
      <c r="BN493" s="19">
        <f t="shared" si="812"/>
        <v>423</v>
      </c>
      <c r="BO493">
        <f t="shared" si="813"/>
        <v>418</v>
      </c>
      <c r="BP493" s="17">
        <f t="shared" si="814"/>
        <v>423</v>
      </c>
      <c r="BQ493" t="str">
        <f t="shared" si="815"/>
        <v>opp_team_player_1</v>
      </c>
      <c r="BR493">
        <f>COUNTIFS(S$3:S493,"="&amp;S493,AH$3:AH493,"="&amp;AH493)</f>
        <v>1</v>
      </c>
      <c r="BS493" t="str">
        <f>IFERROR(VLOOKUP(BA493&amp;BT493&amp;X493,game_rosters!U:W,3,FALSE),"")</f>
        <v>P100108</v>
      </c>
      <c r="BT493" t="str">
        <f t="shared" si="816"/>
        <v>Velodrome</v>
      </c>
    </row>
    <row r="494" spans="1:72" x14ac:dyDescent="0.2">
      <c r="A494">
        <f t="shared" si="791"/>
        <v>1</v>
      </c>
      <c r="E494" s="4"/>
      <c r="F494" s="45" t="s">
        <v>1059</v>
      </c>
      <c r="G494" s="4"/>
      <c r="H494" s="47" t="s">
        <v>1053</v>
      </c>
      <c r="I494" s="26">
        <v>16</v>
      </c>
      <c r="J494" s="26" t="s">
        <v>368</v>
      </c>
      <c r="K494" t="s">
        <v>13</v>
      </c>
      <c r="N494" t="str">
        <f t="shared" si="835"/>
        <v/>
      </c>
      <c r="Q494" t="str">
        <f t="shared" si="829"/>
        <v/>
      </c>
      <c r="R494" s="26">
        <v>1</v>
      </c>
      <c r="S494">
        <f>IF(A494=1,MAX($S$2:$S493)+1,IF(OR($I494&lt;&gt;"",A494="x"),$S493,""))</f>
        <v>247</v>
      </c>
      <c r="T494" t="str">
        <f>IF(D494=1,MAX($T$2:$T493)+1,IF(S494=S493,$T493,IF(D494="x",T493,IF(D493="x","",""))))</f>
        <v/>
      </c>
      <c r="U494" t="str">
        <f>IF(B494=1,MAX($U$2:$U493)+1,IF(AND($T494&lt;&gt;"",$T494=$T493),$U493,IF(B494="x",U493,"")))</f>
        <v/>
      </c>
      <c r="V494" t="str">
        <f>IF(C494=1,MAX($V$2:$V493)+1,IF(AND($T494&lt;&gt;"",$T494=$T493),$U493,IF(C494="x",V493,"")))</f>
        <v/>
      </c>
      <c r="W494" t="str" cm="1">
        <f t="array" ref="W494">IFERROR(_xlfn._xlws.FILTER(game_rosters!AC:AC,(game_rosters!J:J=events!X494)*(K494&lt;&gt;"")),"")</f>
        <v>h</v>
      </c>
      <c r="X494" cm="1">
        <f t="array" ref="X494">IF($I494&lt;&gt;"",$I494,INDEX($I$1:$I494,ROW()-COUNTIFS($T$1:$T494,"="&amp;$T494,$S$1:$S494,"&lt;"&amp;$S494)))</f>
        <v>16</v>
      </c>
      <c r="Y494" cm="1">
        <f t="array" ref="Y494">IFERROR(IF(_xlfn._xlws.FILTER(game_rosters!$J:$J,(game_rosters!$G:$G=events!$AM494)*(game_rosters!$J:$J=events!$X494))&gt;0,1,""),"")</f>
        <v>1</v>
      </c>
      <c r="Z494" s="6">
        <f t="shared" si="792"/>
        <v>1</v>
      </c>
      <c r="AA494">
        <f t="shared" si="793"/>
        <v>1247</v>
      </c>
      <c r="AB494" t="str">
        <f t="shared" si="794"/>
        <v/>
      </c>
      <c r="AC494">
        <f t="shared" si="795"/>
        <v>1247</v>
      </c>
      <c r="AD494" t="str">
        <f t="shared" si="796"/>
        <v>10</v>
      </c>
      <c r="AE494" t="str">
        <f t="shared" si="797"/>
        <v>54</v>
      </c>
      <c r="AF494" t="str">
        <f t="shared" si="798"/>
        <v>10</v>
      </c>
      <c r="AG494" t="str">
        <f t="shared" si="799"/>
        <v>53</v>
      </c>
      <c r="AH494" t="str">
        <f t="shared" si="842"/>
        <v>e</v>
      </c>
      <c r="AI494" t="str">
        <f t="shared" si="867"/>
        <v>o</v>
      </c>
      <c r="AJ494" t="str">
        <f t="shared" si="867"/>
        <v>o</v>
      </c>
      <c r="AK494" t="str">
        <f t="shared" si="844"/>
        <v>o</v>
      </c>
      <c r="AL494" t="str">
        <f t="shared" si="845"/>
        <v>d</v>
      </c>
      <c r="AM494" t="str">
        <f t="shared" si="800"/>
        <v>Home</v>
      </c>
      <c r="AN494" t="str">
        <f t="shared" si="846"/>
        <v>h</v>
      </c>
      <c r="AO494" t="str">
        <f t="shared" si="847"/>
        <v>o</v>
      </c>
      <c r="AP494" t="str">
        <f t="shared" si="848"/>
        <v>d</v>
      </c>
      <c r="AQ494" t="str">
        <f>IF(AM494&lt;&gt;"",AM494,IF($AC494=#REF!,#REF!,""))</f>
        <v>Home</v>
      </c>
      <c r="AR494" t="str">
        <f t="shared" si="849"/>
        <v>h</v>
      </c>
      <c r="AS494" t="str">
        <f t="shared" si="850"/>
        <v>Offensive</v>
      </c>
      <c r="AT494" t="str">
        <f t="shared" si="801"/>
        <v/>
      </c>
      <c r="AU494" t="str">
        <f t="shared" si="802"/>
        <v/>
      </c>
      <c r="AV494" t="str" cm="1">
        <f t="array" ref="AV494">IFERROR(IF(O494&lt;&gt;"",O494,IF(OR($S494="",$T494=""),"",IF(O494&lt;&gt;"",O494,IF($T494&lt;&gt;"",_xlfn._xlws.FILTER(O:O,($BT:$BT=$BT494)*($I:$I=$I494)*($T:$T=$T494)*($S:$S=_xlfn.MINIFS($S:$S,$T:$T,"="&amp;$T494)),"")))))&amp;"",IF(O494="","",""))&amp;""</f>
        <v/>
      </c>
      <c r="AW494" t="str" cm="1">
        <f t="array" ref="AW494">IFERROR(IF(P494&lt;&gt;"",P494,IF(OR($S494="",$T494=""),"",IF($T494&lt;&gt;"",_xlfn._xlws.FILTER(P:P,($BT:$BT=$BT494)*($I:$I=$I494)*($T:$T=$T494)*($S:$S=_xlfn.MINIFS($S:$S,$T:$T,"="&amp;$T494)),""))))&amp;"",IF(P494="","",""))&amp;""</f>
        <v/>
      </c>
      <c r="AX494" t="str" cm="1">
        <f t="array" ref="AX494">IFERROR(IF(Q494&lt;&gt;"",Q494,IF(OR($S494="",$T494=""),"",IF($T494&lt;&gt;"",_xlfn._xlws.FILTER(Q:Q,($BT:$BT=$BT494)*($I:$I=$I494)*($T:$T=$T494)*($S:$S=_xlfn.MINIFS($S:$S,$T:$T,"="&amp;$T494)),""))))&amp;"",IF(Q494="","",""))&amp;""</f>
        <v/>
      </c>
      <c r="AY494" t="str" cm="1">
        <f t="array" ref="AY494">IFERROR(IF(R494&lt;&gt;"",R494,IF(OR($S494="",$T494=""),"",IF($T494&lt;&gt;"",_xlfn._xlws.FILTER(R:R,($BT:$BT=$BT494)*($I:$I=$I494)*($T:$T=$T494)*($S:$S=_xlfn.MINIFS($S:$S,$T:$T,"="&amp;$T494)),""))))&amp;"",IF(R494="","",""))&amp;""</f>
        <v>1</v>
      </c>
      <c r="AZ494" s="6">
        <f t="shared" si="803"/>
        <v>45</v>
      </c>
      <c r="BA494">
        <f t="shared" ref="BA494:BC494" si="871">BA493</f>
        <v>18991</v>
      </c>
      <c r="BB494" t="str">
        <f t="shared" si="871"/>
        <v>Triple J</v>
      </c>
      <c r="BC494" t="str">
        <f t="shared" si="871"/>
        <v>Velodrome</v>
      </c>
      <c r="BD494" t="str">
        <f t="shared" si="805"/>
        <v>Possession</v>
      </c>
      <c r="BE494" t="str">
        <f t="shared" si="806"/>
        <v/>
      </c>
      <c r="BF494" t="str">
        <f t="shared" si="807"/>
        <v/>
      </c>
      <c r="BG494" t="str">
        <f t="shared" si="789"/>
        <v/>
      </c>
      <c r="BH494" cm="1">
        <f t="array" aca="1" ref="BH494" ca="1">IFERROR(_xlfn._xlws.FILTER(shifts!A:A,(shifts!B:B=events!Z494)*(shifts!AG:AG&gt;=events!BJ494)*(shifts!AH:AH&lt;=events!BK494)),BH493)</f>
        <v>17</v>
      </c>
      <c r="BI494" s="15">
        <f t="shared" si="808"/>
        <v>1</v>
      </c>
      <c r="BJ494">
        <f t="shared" si="809"/>
        <v>654</v>
      </c>
      <c r="BK494">
        <f t="shared" si="810"/>
        <v>653</v>
      </c>
      <c r="BL494" s="15">
        <f>SUMIFS(BI$2:BI494,K$2:K494,"=Intermission")+SUMIFS(BI$2:BI494,K$2:K494,"=Timeout")</f>
        <v>0</v>
      </c>
      <c r="BM494">
        <f t="shared" si="811"/>
        <v>0</v>
      </c>
      <c r="BN494" s="19">
        <f t="shared" si="812"/>
        <v>426</v>
      </c>
      <c r="BO494">
        <f t="shared" si="813"/>
        <v>421</v>
      </c>
      <c r="BP494" s="17">
        <f t="shared" si="814"/>
        <v>427</v>
      </c>
      <c r="BQ494" t="str">
        <f t="shared" si="815"/>
        <v>event_team_player_1</v>
      </c>
      <c r="BR494">
        <f>COUNTIFS(S$3:S494,"="&amp;S494,AH$3:AH494,"="&amp;AH494)</f>
        <v>1</v>
      </c>
      <c r="BS494" t="str">
        <f>IFERROR(VLOOKUP(BA494&amp;BT494&amp;X494,game_rosters!U:W,3,FALSE),"")</f>
        <v>P100094</v>
      </c>
      <c r="BT494" t="str">
        <f t="shared" si="816"/>
        <v>Triple J</v>
      </c>
    </row>
    <row r="495" spans="1:72" x14ac:dyDescent="0.2">
      <c r="A495" t="str">
        <f t="shared" si="791"/>
        <v/>
      </c>
      <c r="E495" s="4"/>
      <c r="F495" s="45"/>
      <c r="G495" s="4"/>
      <c r="H495" s="47"/>
      <c r="I495" s="26">
        <v>22</v>
      </c>
      <c r="N495" t="str">
        <f t="shared" si="835"/>
        <v/>
      </c>
      <c r="Q495" t="str">
        <f t="shared" si="829"/>
        <v/>
      </c>
      <c r="R495" s="26">
        <v>1</v>
      </c>
      <c r="S495">
        <f>IF(A495=1,MAX($S$2:$S494)+1,IF(OR($I495&lt;&gt;"",A495="x"),$S494,""))</f>
        <v>247</v>
      </c>
      <c r="T495" t="str">
        <f>IF(D495=1,MAX($T$2:$T494)+1,IF(S495=S494,$T494,IF(D495="x",T494,IF(D494="x","",""))))</f>
        <v/>
      </c>
      <c r="U495" t="str">
        <f>IF(B495=1,MAX($U$2:$U494)+1,IF(AND($T495&lt;&gt;"",$T495=$T494),$U494,IF(B495="x",U494,"")))</f>
        <v/>
      </c>
      <c r="V495" t="str">
        <f>IF(C495=1,MAX($V$2:$V494)+1,IF(AND($T495&lt;&gt;"",$T495=$T494),$U494,IF(C495="x",V494,"")))</f>
        <v/>
      </c>
      <c r="W495" t="str" cm="1">
        <f t="array" ref="W495">IFERROR(_xlfn._xlws.FILTER(game_rosters!AC:AC,(game_rosters!J:J=events!X495)*(K495&lt;&gt;"")),"")</f>
        <v/>
      </c>
      <c r="X495" cm="1">
        <f t="array" ref="X495">IF($I495&lt;&gt;"",$I495,INDEX($I$1:$I495,ROW()-COUNTIFS($T$1:$T495,"="&amp;$T495,$S$1:$S495,"&lt;"&amp;$S495)))</f>
        <v>22</v>
      </c>
      <c r="Y495" t="str" cm="1">
        <f t="array" ref="Y495">IFERROR(IF(_xlfn._xlws.FILTER(game_rosters!$J:$J,(game_rosters!$G:$G=events!$AM495)*(game_rosters!$J:$J=events!$X495))&gt;0,1,""),"")</f>
        <v/>
      </c>
      <c r="Z495" s="6">
        <f t="shared" si="792"/>
        <v>1</v>
      </c>
      <c r="AA495">
        <f t="shared" si="793"/>
        <v>1247</v>
      </c>
      <c r="AB495" t="str">
        <f t="shared" si="794"/>
        <v/>
      </c>
      <c r="AC495">
        <f t="shared" si="795"/>
        <v>1247</v>
      </c>
      <c r="AD495" t="str">
        <f t="shared" si="796"/>
        <v>10</v>
      </c>
      <c r="AE495" t="str">
        <f t="shared" si="797"/>
        <v>54</v>
      </c>
      <c r="AF495" t="str">
        <f t="shared" si="798"/>
        <v>10</v>
      </c>
      <c r="AG495" t="str">
        <f t="shared" si="799"/>
        <v>53</v>
      </c>
      <c r="AH495" t="str">
        <f t="shared" si="842"/>
        <v>o</v>
      </c>
      <c r="AI495" t="str">
        <f t="shared" si="867"/>
        <v>o</v>
      </c>
      <c r="AJ495" t="str">
        <f t="shared" si="867"/>
        <v>o</v>
      </c>
      <c r="AK495" t="str">
        <f t="shared" si="844"/>
        <v/>
      </c>
      <c r="AL495" t="str">
        <f t="shared" si="845"/>
        <v/>
      </c>
      <c r="AM495" t="str">
        <f t="shared" si="800"/>
        <v>Home</v>
      </c>
      <c r="AN495" t="str">
        <f t="shared" si="846"/>
        <v>h</v>
      </c>
      <c r="AO495" t="str">
        <f t="shared" si="847"/>
        <v>o</v>
      </c>
      <c r="AP495" t="str">
        <f t="shared" si="848"/>
        <v>d</v>
      </c>
      <c r="AQ495" t="str">
        <f>IF(AM495&lt;&gt;"",AM495,IF($AC495=#REF!,#REF!,""))</f>
        <v>Home</v>
      </c>
      <c r="AR495" t="str">
        <f t="shared" si="849"/>
        <v>h</v>
      </c>
      <c r="AS495" t="str">
        <f t="shared" si="850"/>
        <v>Defensive</v>
      </c>
      <c r="AT495" t="str">
        <f t="shared" si="801"/>
        <v/>
      </c>
      <c r="AU495" t="str">
        <f t="shared" si="802"/>
        <v/>
      </c>
      <c r="AV495" t="str" cm="1">
        <f t="array" ref="AV495">IFERROR(IF(O495&lt;&gt;"",O495,IF(OR($S495="",$T495=""),"",IF(O495&lt;&gt;"",O495,IF($T495&lt;&gt;"",_xlfn._xlws.FILTER(O:O,($BT:$BT=$BT495)*($I:$I=$I495)*($T:$T=$T495)*($S:$S=_xlfn.MINIFS($S:$S,$T:$T,"="&amp;$T495)),"")))))&amp;"",IF(O495="","",""))&amp;""</f>
        <v/>
      </c>
      <c r="AW495" t="str" cm="1">
        <f t="array" ref="AW495">IFERROR(IF(P495&lt;&gt;"",P495,IF(OR($S495="",$T495=""),"",IF($T495&lt;&gt;"",_xlfn._xlws.FILTER(P:P,($BT:$BT=$BT495)*($I:$I=$I495)*($T:$T=$T495)*($S:$S=_xlfn.MINIFS($S:$S,$T:$T,"="&amp;$T495)),""))))&amp;"",IF(P495="","",""))&amp;""</f>
        <v/>
      </c>
      <c r="AX495" t="str" cm="1">
        <f t="array" ref="AX495">IFERROR(IF(Q495&lt;&gt;"",Q495,IF(OR($S495="",$T495=""),"",IF($T495&lt;&gt;"",_xlfn._xlws.FILTER(Q:Q,($BT:$BT=$BT495)*($I:$I=$I495)*($T:$T=$T495)*($S:$S=_xlfn.MINIFS($S:$S,$T:$T,"="&amp;$T495)),""))))&amp;"",IF(Q495="","",""))&amp;""</f>
        <v/>
      </c>
      <c r="AY495" t="str" cm="1">
        <f t="array" ref="AY495">IFERROR(IF(R495&lt;&gt;"",R495,IF(OR($S495="",$T495=""),"",IF($T495&lt;&gt;"",_xlfn._xlws.FILTER(R:R,($BT:$BT=$BT495)*($I:$I=$I495)*($T:$T=$T495)*($S:$S=_xlfn.MINIFS($S:$S,$T:$T,"="&amp;$T495)),""))))&amp;"",IF(R495="","",""))&amp;""</f>
        <v>1</v>
      </c>
      <c r="AZ495" s="6">
        <f t="shared" si="803"/>
        <v>45</v>
      </c>
      <c r="BA495">
        <f t="shared" ref="BA495:BC495" si="872">BA494</f>
        <v>18991</v>
      </c>
      <c r="BB495" t="str">
        <f t="shared" si="872"/>
        <v>Triple J</v>
      </c>
      <c r="BC495" t="str">
        <f t="shared" si="872"/>
        <v>Velodrome</v>
      </c>
      <c r="BD495" t="str">
        <f t="shared" si="805"/>
        <v>Possession</v>
      </c>
      <c r="BE495" t="str">
        <f t="shared" si="806"/>
        <v/>
      </c>
      <c r="BF495" t="str">
        <f t="shared" si="807"/>
        <v/>
      </c>
      <c r="BG495" t="str">
        <f t="shared" si="789"/>
        <v/>
      </c>
      <c r="BH495" cm="1">
        <f t="array" aca="1" ref="BH495" ca="1">IFERROR(_xlfn._xlws.FILTER(shifts!A:A,(shifts!B:B=events!Z495)*(shifts!AG:AG&gt;=events!BJ495)*(shifts!AH:AH&lt;=events!BK495)),BH494)</f>
        <v>17</v>
      </c>
      <c r="BI495" s="15">
        <f t="shared" si="808"/>
        <v>1</v>
      </c>
      <c r="BJ495">
        <f t="shared" si="809"/>
        <v>654</v>
      </c>
      <c r="BK495">
        <f t="shared" si="810"/>
        <v>653</v>
      </c>
      <c r="BL495" s="15">
        <f>SUMIFS(BI$2:BI495,K$2:K495,"=Intermission")+SUMIFS(BI$2:BI495,K$2:K495,"=Timeout")</f>
        <v>0</v>
      </c>
      <c r="BM495">
        <f t="shared" si="811"/>
        <v>0</v>
      </c>
      <c r="BN495" s="19">
        <f t="shared" si="812"/>
        <v>426</v>
      </c>
      <c r="BO495">
        <f t="shared" si="813"/>
        <v>421</v>
      </c>
      <c r="BP495" s="17">
        <f t="shared" si="814"/>
        <v>427</v>
      </c>
      <c r="BQ495" t="str">
        <f t="shared" si="815"/>
        <v>opp_team_player_1</v>
      </c>
      <c r="BR495">
        <f>COUNTIFS(S$3:S495,"="&amp;S495,AH$3:AH495,"="&amp;AH495)</f>
        <v>1</v>
      </c>
      <c r="BS495" t="str">
        <f>IFERROR(VLOOKUP(BA495&amp;BT495&amp;X495,game_rosters!U:W,3,FALSE),"")</f>
        <v>P100108</v>
      </c>
      <c r="BT495" t="str">
        <f t="shared" si="816"/>
        <v>Velodrome</v>
      </c>
    </row>
    <row r="496" spans="1:72" x14ac:dyDescent="0.2">
      <c r="A496">
        <f t="shared" si="791"/>
        <v>1</v>
      </c>
      <c r="E496" s="4"/>
      <c r="F496" s="45"/>
      <c r="G496" s="4"/>
      <c r="H496" s="47"/>
      <c r="I496" s="26">
        <v>22</v>
      </c>
      <c r="J496" s="26" t="s">
        <v>736</v>
      </c>
      <c r="K496" t="s">
        <v>9</v>
      </c>
      <c r="L496" t="s">
        <v>183</v>
      </c>
      <c r="M496" t="s">
        <v>80</v>
      </c>
      <c r="N496" t="str">
        <f t="shared" si="835"/>
        <v/>
      </c>
      <c r="O496" t="s">
        <v>156</v>
      </c>
      <c r="Q496" t="s">
        <v>595</v>
      </c>
      <c r="R496" s="26">
        <v>1</v>
      </c>
      <c r="S496">
        <f>IF(A496=1,MAX($S$2:$S495)+1,IF(OR($I496&lt;&gt;"",A496="x"),$S495,""))</f>
        <v>248</v>
      </c>
      <c r="T496" t="str">
        <f>IF(D496=1,MAX($T$2:$T495)+1,IF(S496=S495,$T495,IF(D496="x",T495,IF(D495="x","",""))))</f>
        <v/>
      </c>
      <c r="U496" t="str">
        <f>IF(B496=1,MAX($U$2:$U495)+1,IF(AND($T496&lt;&gt;"",$T496=$T495),$U495,IF(B496="x",U495,"")))</f>
        <v/>
      </c>
      <c r="V496" t="str">
        <f>IF(C496=1,MAX($V$2:$V495)+1,IF(AND($T496&lt;&gt;"",$T496=$T495),$U495,IF(C496="x",V495,"")))</f>
        <v/>
      </c>
      <c r="W496" t="str" cm="1">
        <f t="array" ref="W496">IFERROR(_xlfn._xlws.FILTER(game_rosters!AC:AC,(game_rosters!J:J=events!X496)*(K496&lt;&gt;"")),"")</f>
        <v>a</v>
      </c>
      <c r="X496" cm="1">
        <f t="array" ref="X496">IF($I496&lt;&gt;"",$I496,INDEX($I$1:$I496,ROW()-COUNTIFS($T$1:$T496,"="&amp;$T496,$S$1:$S496,"&lt;"&amp;$S496)))</f>
        <v>22</v>
      </c>
      <c r="Y496" cm="1">
        <f t="array" ref="Y496">IFERROR(IF(_xlfn._xlws.FILTER(game_rosters!$J:$J,(game_rosters!$G:$G=events!$AM496)*(game_rosters!$J:$J=events!$X496))&gt;0,1,""),"")</f>
        <v>1</v>
      </c>
      <c r="Z496" s="6">
        <f t="shared" si="792"/>
        <v>1</v>
      </c>
      <c r="AA496">
        <f t="shared" si="793"/>
        <v>1248</v>
      </c>
      <c r="AB496" t="str">
        <f t="shared" si="794"/>
        <v/>
      </c>
      <c r="AC496">
        <f t="shared" si="795"/>
        <v>1248</v>
      </c>
      <c r="AD496" t="str">
        <f t="shared" si="796"/>
        <v>10</v>
      </c>
      <c r="AE496" t="str">
        <f t="shared" si="797"/>
        <v>53</v>
      </c>
      <c r="AF496" t="str">
        <f t="shared" si="798"/>
        <v/>
      </c>
      <c r="AG496" t="str">
        <f t="shared" si="799"/>
        <v/>
      </c>
      <c r="AH496" t="str">
        <f t="shared" si="842"/>
        <v>e</v>
      </c>
      <c r="AI496" t="str">
        <f t="shared" si="867"/>
        <v>d</v>
      </c>
      <c r="AJ496" t="str">
        <f t="shared" si="867"/>
        <v>d</v>
      </c>
      <c r="AK496" t="str">
        <f t="shared" si="844"/>
        <v>o</v>
      </c>
      <c r="AL496" t="str">
        <f t="shared" si="845"/>
        <v>d</v>
      </c>
      <c r="AM496" t="str">
        <f t="shared" si="800"/>
        <v>Away</v>
      </c>
      <c r="AN496" t="str">
        <f t="shared" si="846"/>
        <v>a</v>
      </c>
      <c r="AO496" t="str">
        <f t="shared" si="847"/>
        <v>o</v>
      </c>
      <c r="AP496" t="str">
        <f t="shared" si="848"/>
        <v>d</v>
      </c>
      <c r="AQ496" t="str">
        <f>IF(AM496&lt;&gt;"",AM496,IF($AC496=#REF!,#REF!,""))</f>
        <v>Away</v>
      </c>
      <c r="AR496" t="str">
        <f t="shared" si="849"/>
        <v>a</v>
      </c>
      <c r="AS496" t="str">
        <f t="shared" si="850"/>
        <v>Defensive</v>
      </c>
      <c r="AT496" t="str">
        <f t="shared" si="801"/>
        <v/>
      </c>
      <c r="AU496" t="str">
        <f t="shared" si="802"/>
        <v/>
      </c>
      <c r="AV496" t="str" cm="1">
        <f t="array" ref="AV496">IFERROR(IF(O496&lt;&gt;"",O496,IF(OR($S496="",$T496=""),"",IF(O496&lt;&gt;"",O496,IF($T496&lt;&gt;"",_xlfn._xlws.FILTER(O:O,($BT:$BT=$BT496)*($I:$I=$I496)*($T:$T=$T496)*($S:$S=_xlfn.MINIFS($S:$S,$T:$T,"="&amp;$T496)),"")))))&amp;"",IF(O496="","",""))&amp;""</f>
        <v>PokeCheck</v>
      </c>
      <c r="AW496" t="str" cm="1">
        <f t="array" ref="AW496">IFERROR(IF(P496&lt;&gt;"",P496,IF(OR($S496="",$T496=""),"",IF($T496&lt;&gt;"",_xlfn._xlws.FILTER(P:P,($BT:$BT=$BT496)*($I:$I=$I496)*($T:$T=$T496)*($S:$S=_xlfn.MINIFS($S:$S,$T:$T,"="&amp;$T496)),""))))&amp;"",IF(P496="","",""))&amp;""</f>
        <v/>
      </c>
      <c r="AX496" t="str" cm="1">
        <f t="array" ref="AX496">IFERROR(IF(Q496&lt;&gt;"",Q496,IF(OR($S496="",$T496=""),"",IF($T496&lt;&gt;"",_xlfn._xlws.FILTER(Q:Q,($BT:$BT=$BT496)*($I:$I=$I496)*($T:$T=$T496)*($S:$S=_xlfn.MINIFS($S:$S,$T:$T,"="&amp;$T496)),""))))&amp;"",IF(Q496="","",""))&amp;""</f>
        <v>s</v>
      </c>
      <c r="AY496" t="str" cm="1">
        <f t="array" ref="AY496">IFERROR(IF(R496&lt;&gt;"",R496,IF(OR($S496="",$T496=""),"",IF($T496&lt;&gt;"",_xlfn._xlws.FILTER(R:R,($BT:$BT=$BT496)*($I:$I=$I496)*($T:$T=$T496)*($S:$S=_xlfn.MINIFS($S:$S,$T:$T,"="&amp;$T496)),""))))&amp;"",IF(R496="","",""))&amp;""</f>
        <v>1</v>
      </c>
      <c r="AZ496" s="6">
        <f t="shared" si="803"/>
        <v>45</v>
      </c>
      <c r="BA496">
        <f t="shared" ref="BA496:BC496" si="873">BA495</f>
        <v>18991</v>
      </c>
      <c r="BB496" t="str">
        <f t="shared" si="873"/>
        <v>Triple J</v>
      </c>
      <c r="BC496" t="str">
        <f t="shared" si="873"/>
        <v>Velodrome</v>
      </c>
      <c r="BD496" t="str">
        <f t="shared" si="805"/>
        <v>Turnover</v>
      </c>
      <c r="BE496" t="str">
        <f t="shared" si="806"/>
        <v>Turnover_Takeaway</v>
      </c>
      <c r="BF496" t="str">
        <f t="shared" si="807"/>
        <v>Takeaway-PokeCheck</v>
      </c>
      <c r="BG496" t="str">
        <f t="shared" si="789"/>
        <v/>
      </c>
      <c r="BH496" cm="1">
        <f t="array" aca="1" ref="BH496" ca="1">IFERROR(_xlfn._xlws.FILTER(shifts!A:A,(shifts!B:B=events!Z496)*(shifts!AG:AG&gt;=events!BJ496)*(shifts!AH:AH&lt;=events!BK496)),BH495)</f>
        <v>17</v>
      </c>
      <c r="BI496" s="15">
        <f t="shared" si="808"/>
        <v>0</v>
      </c>
      <c r="BJ496">
        <f t="shared" si="809"/>
        <v>653</v>
      </c>
      <c r="BK496">
        <f t="shared" si="810"/>
        <v>653</v>
      </c>
      <c r="BL496" s="15">
        <f>SUMIFS(BI$2:BI496,K$2:K496,"=Intermission")+SUMIFS(BI$2:BI496,K$2:K496,"=Timeout")</f>
        <v>0</v>
      </c>
      <c r="BM496">
        <f t="shared" si="811"/>
        <v>0</v>
      </c>
      <c r="BN496" s="19">
        <f t="shared" si="812"/>
        <v>427</v>
      </c>
      <c r="BO496">
        <f t="shared" si="813"/>
        <v>422</v>
      </c>
      <c r="BP496" s="17">
        <f t="shared" si="814"/>
        <v>427</v>
      </c>
      <c r="BQ496" t="str">
        <f t="shared" si="815"/>
        <v>event_team_player_1</v>
      </c>
      <c r="BR496">
        <f>COUNTIFS(S$3:S496,"="&amp;S496,AH$3:AH496,"="&amp;AH496)</f>
        <v>1</v>
      </c>
      <c r="BS496" t="str">
        <f>IFERROR(VLOOKUP(BA496&amp;BT496&amp;X496,game_rosters!U:W,3,FALSE),"")</f>
        <v>P100108</v>
      </c>
      <c r="BT496" t="str">
        <f t="shared" si="816"/>
        <v>Velodrome</v>
      </c>
    </row>
    <row r="497" spans="1:72" x14ac:dyDescent="0.2">
      <c r="A497" t="str">
        <f t="shared" si="791"/>
        <v/>
      </c>
      <c r="E497" s="4"/>
      <c r="F497" s="45"/>
      <c r="G497" s="4"/>
      <c r="H497" s="47"/>
      <c r="I497" s="26">
        <v>16</v>
      </c>
      <c r="J497" s="26" t="str">
        <f t="shared" si="817"/>
        <v/>
      </c>
      <c r="N497" t="str">
        <f t="shared" si="835"/>
        <v/>
      </c>
      <c r="O497" t="s">
        <v>785</v>
      </c>
      <c r="Q497" t="str">
        <f t="shared" si="829"/>
        <v>u</v>
      </c>
      <c r="R497" s="26">
        <v>1</v>
      </c>
      <c r="S497">
        <f>IF(A497=1,MAX($S$2:$S496)+1,IF(OR($I497&lt;&gt;"",A497="x"),$S496,""))</f>
        <v>248</v>
      </c>
      <c r="T497" t="str">
        <f>IF(D497=1,MAX($T$2:$T496)+1,IF(S497=S496,$T496,IF(D497="x",T496,IF(D496="x","",""))))</f>
        <v/>
      </c>
      <c r="U497" t="str">
        <f>IF(B497=1,MAX($U$2:$U496)+1,IF(AND($T497&lt;&gt;"",$T497=$T496),$U496,IF(B497="x",U496,"")))</f>
        <v/>
      </c>
      <c r="V497" t="str">
        <f>IF(C497=1,MAX($V$2:$V496)+1,IF(AND($T497&lt;&gt;"",$T497=$T496),$U496,IF(C497="x",V496,"")))</f>
        <v/>
      </c>
      <c r="W497" t="str" cm="1">
        <f t="array" ref="W497">IFERROR(_xlfn._xlws.FILTER(game_rosters!AC:AC,(game_rosters!J:J=events!X497)*(K497&lt;&gt;"")),"")</f>
        <v/>
      </c>
      <c r="X497" cm="1">
        <f t="array" ref="X497">IF($I497&lt;&gt;"",$I497,INDEX($I$1:$I497,ROW()-COUNTIFS($T$1:$T497,"="&amp;$T497,$S$1:$S497,"&lt;"&amp;$S497)))</f>
        <v>16</v>
      </c>
      <c r="Y497" t="str" cm="1">
        <f t="array" ref="Y497">IFERROR(IF(_xlfn._xlws.FILTER(game_rosters!$J:$J,(game_rosters!$G:$G=events!$AM497)*(game_rosters!$J:$J=events!$X497))&gt;0,1,""),"")</f>
        <v/>
      </c>
      <c r="Z497" s="6">
        <f t="shared" si="792"/>
        <v>1</v>
      </c>
      <c r="AA497">
        <f t="shared" si="793"/>
        <v>1248</v>
      </c>
      <c r="AB497" t="str">
        <f t="shared" si="794"/>
        <v/>
      </c>
      <c r="AC497">
        <f t="shared" si="795"/>
        <v>1248</v>
      </c>
      <c r="AD497" t="str">
        <f t="shared" si="796"/>
        <v>10</v>
      </c>
      <c r="AE497" t="str">
        <f t="shared" si="797"/>
        <v>53</v>
      </c>
      <c r="AF497" t="str">
        <f t="shared" si="798"/>
        <v/>
      </c>
      <c r="AG497" t="str">
        <f t="shared" si="799"/>
        <v/>
      </c>
      <c r="AH497" t="str">
        <f t="shared" si="842"/>
        <v>o</v>
      </c>
      <c r="AI497" t="str">
        <f t="shared" si="867"/>
        <v>d</v>
      </c>
      <c r="AJ497" t="str">
        <f t="shared" si="867"/>
        <v>d</v>
      </c>
      <c r="AK497" t="str">
        <f t="shared" si="844"/>
        <v/>
      </c>
      <c r="AL497" t="str">
        <f t="shared" si="845"/>
        <v/>
      </c>
      <c r="AM497" t="str">
        <f t="shared" si="800"/>
        <v>Away</v>
      </c>
      <c r="AN497" t="str">
        <f t="shared" si="846"/>
        <v>a</v>
      </c>
      <c r="AO497" t="str">
        <f t="shared" si="847"/>
        <v>o</v>
      </c>
      <c r="AP497" t="str">
        <f t="shared" si="848"/>
        <v>d</v>
      </c>
      <c r="AQ497" t="str">
        <f>IF(AM497&lt;&gt;"",AM497,IF($AC497=#REF!,#REF!,""))</f>
        <v>Away</v>
      </c>
      <c r="AR497" t="str">
        <f t="shared" si="849"/>
        <v>a</v>
      </c>
      <c r="AS497" t="str">
        <f t="shared" si="850"/>
        <v>Offensive</v>
      </c>
      <c r="AT497" t="str">
        <f t="shared" si="801"/>
        <v/>
      </c>
      <c r="AU497" t="str">
        <f t="shared" si="802"/>
        <v/>
      </c>
      <c r="AV497" t="str" cm="1">
        <f t="array" ref="AV497">IFERROR(IF(O497&lt;&gt;"",O497,IF(OR($S497="",$T497=""),"",IF(O497&lt;&gt;"",O497,IF($T497&lt;&gt;"",_xlfn._xlws.FILTER(O:O,($BT:$BT=$BT497)*($I:$I=$I497)*($T:$T=$T497)*($S:$S=_xlfn.MINIFS($S:$S,$T:$T,"="&amp;$T497)),"")))))&amp;"",IF(O497="","",""))&amp;""</f>
        <v>LostPuck</v>
      </c>
      <c r="AW497" t="str" cm="1">
        <f t="array" ref="AW497">IFERROR(IF(P497&lt;&gt;"",P497,IF(OR($S497="",$T497=""),"",IF($T497&lt;&gt;"",_xlfn._xlws.FILTER(P:P,($BT:$BT=$BT497)*($I:$I=$I497)*($T:$T=$T497)*($S:$S=_xlfn.MINIFS($S:$S,$T:$T,"="&amp;$T497)),""))))&amp;"",IF(P497="","",""))&amp;""</f>
        <v/>
      </c>
      <c r="AX497" t="str" cm="1">
        <f t="array" ref="AX497">IFERROR(IF(Q497&lt;&gt;"",Q497,IF(OR($S497="",$T497=""),"",IF($T497&lt;&gt;"",_xlfn._xlws.FILTER(Q:Q,($BT:$BT=$BT497)*($I:$I=$I497)*($T:$T=$T497)*($S:$S=_xlfn.MINIFS($S:$S,$T:$T,"="&amp;$T497)),""))))&amp;"",IF(Q497="","",""))&amp;""</f>
        <v>u</v>
      </c>
      <c r="AY497" t="str" cm="1">
        <f t="array" ref="AY497">IFERROR(IF(R497&lt;&gt;"",R497,IF(OR($S497="",$T497=""),"",IF($T497&lt;&gt;"",_xlfn._xlws.FILTER(R:R,($BT:$BT=$BT497)*($I:$I=$I497)*($T:$T=$T497)*($S:$S=_xlfn.MINIFS($S:$S,$T:$T,"="&amp;$T497)),""))))&amp;"",IF(R497="","",""))&amp;""</f>
        <v>1</v>
      </c>
      <c r="AZ497" s="6">
        <f t="shared" si="803"/>
        <v>45</v>
      </c>
      <c r="BA497">
        <f t="shared" ref="BA497:BC497" si="874">BA496</f>
        <v>18991</v>
      </c>
      <c r="BB497" t="str">
        <f t="shared" si="874"/>
        <v>Triple J</v>
      </c>
      <c r="BC497" t="str">
        <f t="shared" si="874"/>
        <v>Velodrome</v>
      </c>
      <c r="BD497" t="str">
        <f t="shared" si="805"/>
        <v>Turnover</v>
      </c>
      <c r="BE497" t="str">
        <f t="shared" si="806"/>
        <v>Turnover_Takeaway</v>
      </c>
      <c r="BF497" t="str">
        <f t="shared" si="807"/>
        <v>Takeaway-PokeCheck</v>
      </c>
      <c r="BG497" t="str">
        <f t="shared" si="789"/>
        <v/>
      </c>
      <c r="BH497" cm="1">
        <f t="array" aca="1" ref="BH497" ca="1">IFERROR(_xlfn._xlws.FILTER(shifts!A:A,(shifts!B:B=events!Z497)*(shifts!AG:AG&gt;=events!BJ497)*(shifts!AH:AH&lt;=events!BK497)),BH496)</f>
        <v>17</v>
      </c>
      <c r="BI497" s="15">
        <f t="shared" si="808"/>
        <v>0</v>
      </c>
      <c r="BJ497">
        <f t="shared" si="809"/>
        <v>653</v>
      </c>
      <c r="BK497">
        <f t="shared" si="810"/>
        <v>653</v>
      </c>
      <c r="BL497" s="15">
        <f>SUMIFS(BI$2:BI497,K$2:K497,"=Intermission")+SUMIFS(BI$2:BI497,K$2:K497,"=Timeout")</f>
        <v>0</v>
      </c>
      <c r="BM497">
        <f t="shared" si="811"/>
        <v>0</v>
      </c>
      <c r="BN497" s="19">
        <f t="shared" si="812"/>
        <v>427</v>
      </c>
      <c r="BO497">
        <f t="shared" si="813"/>
        <v>422</v>
      </c>
      <c r="BP497" s="17">
        <f t="shared" si="814"/>
        <v>427</v>
      </c>
      <c r="BQ497" t="str">
        <f t="shared" si="815"/>
        <v>opp_team_player_1</v>
      </c>
      <c r="BR497">
        <f>COUNTIFS(S$3:S497,"="&amp;S497,AH$3:AH497,"="&amp;AH497)</f>
        <v>1</v>
      </c>
      <c r="BS497" t="str">
        <f>IFERROR(VLOOKUP(BA497&amp;BT497&amp;X497,game_rosters!U:W,3,FALSE),"")</f>
        <v>P100094</v>
      </c>
      <c r="BT497" t="str">
        <f t="shared" si="816"/>
        <v>Triple J</v>
      </c>
    </row>
    <row r="498" spans="1:72" x14ac:dyDescent="0.2">
      <c r="A498">
        <f t="shared" si="791"/>
        <v>1</v>
      </c>
      <c r="E498" s="4"/>
      <c r="F498" s="45"/>
      <c r="G498" s="4"/>
      <c r="H498" s="47" t="s">
        <v>751</v>
      </c>
      <c r="I498" s="26">
        <v>22</v>
      </c>
      <c r="J498" s="26" t="s">
        <v>736</v>
      </c>
      <c r="K498" t="s">
        <v>13</v>
      </c>
      <c r="N498" t="str">
        <f t="shared" si="835"/>
        <v/>
      </c>
      <c r="Q498" t="str">
        <f t="shared" si="829"/>
        <v/>
      </c>
      <c r="R498" s="26">
        <v>1</v>
      </c>
      <c r="S498">
        <f>IF(A498=1,MAX($S$2:$S497)+1,IF(OR($I498&lt;&gt;"",A498="x"),$S497,""))</f>
        <v>249</v>
      </c>
      <c r="T498" t="str">
        <f>IF(D498=1,MAX($T$2:$T497)+1,IF(S498=S497,$T497,IF(D498="x",T497,IF(D497="x","",""))))</f>
        <v/>
      </c>
      <c r="U498" t="str">
        <f>IF(B498=1,MAX($U$2:$U497)+1,IF(AND($T498&lt;&gt;"",$T498=$T497),$U497,IF(B498="x",U497,"")))</f>
        <v/>
      </c>
      <c r="V498" t="str">
        <f>IF(C498=1,MAX($V$2:$V497)+1,IF(AND($T498&lt;&gt;"",$T498=$T497),$U497,IF(C498="x",V497,"")))</f>
        <v/>
      </c>
      <c r="W498" t="str" cm="1">
        <f t="array" ref="W498">IFERROR(_xlfn._xlws.FILTER(game_rosters!AC:AC,(game_rosters!J:J=events!X498)*(K498&lt;&gt;"")),"")</f>
        <v>a</v>
      </c>
      <c r="X498" cm="1">
        <f t="array" ref="X498">IF($I498&lt;&gt;"",$I498,INDEX($I$1:$I498,ROW()-COUNTIFS($T$1:$T498,"="&amp;$T498,$S$1:$S498,"&lt;"&amp;$S498)))</f>
        <v>22</v>
      </c>
      <c r="Y498" cm="1">
        <f t="array" ref="Y498">IFERROR(IF(_xlfn._xlws.FILTER(game_rosters!$J:$J,(game_rosters!$G:$G=events!$AM498)*(game_rosters!$J:$J=events!$X498))&gt;0,1,""),"")</f>
        <v>1</v>
      </c>
      <c r="Z498" s="6">
        <f t="shared" si="792"/>
        <v>1</v>
      </c>
      <c r="AA498">
        <f t="shared" si="793"/>
        <v>1249</v>
      </c>
      <c r="AB498" t="str">
        <f t="shared" si="794"/>
        <v/>
      </c>
      <c r="AC498">
        <f t="shared" si="795"/>
        <v>1249</v>
      </c>
      <c r="AD498" t="str">
        <f t="shared" si="796"/>
        <v>10</v>
      </c>
      <c r="AE498" t="str">
        <f t="shared" si="797"/>
        <v>53</v>
      </c>
      <c r="AF498" t="str">
        <f t="shared" si="798"/>
        <v>10</v>
      </c>
      <c r="AG498" t="str">
        <f t="shared" si="799"/>
        <v>49</v>
      </c>
      <c r="AH498" t="str">
        <f t="shared" si="842"/>
        <v>e</v>
      </c>
      <c r="AI498" t="str">
        <f t="shared" si="867"/>
        <v>d</v>
      </c>
      <c r="AJ498" t="str">
        <f t="shared" si="867"/>
        <v>d</v>
      </c>
      <c r="AK498" t="str">
        <f t="shared" si="844"/>
        <v>o</v>
      </c>
      <c r="AL498" t="str">
        <f t="shared" si="845"/>
        <v>d</v>
      </c>
      <c r="AM498" t="str">
        <f t="shared" si="800"/>
        <v>Away</v>
      </c>
      <c r="AN498" t="str">
        <f t="shared" si="846"/>
        <v>a</v>
      </c>
      <c r="AO498" t="str">
        <f t="shared" si="847"/>
        <v>o</v>
      </c>
      <c r="AP498" t="str">
        <f t="shared" si="848"/>
        <v>d</v>
      </c>
      <c r="AQ498" t="str">
        <f>IF(AM498&lt;&gt;"",AM498,IF($AC498=#REF!,#REF!,""))</f>
        <v>Away</v>
      </c>
      <c r="AR498" t="str">
        <f t="shared" si="849"/>
        <v>a</v>
      </c>
      <c r="AS498" t="str">
        <f t="shared" si="850"/>
        <v>Offensive</v>
      </c>
      <c r="AT498" t="str">
        <f t="shared" si="801"/>
        <v/>
      </c>
      <c r="AU498" t="str">
        <f t="shared" si="802"/>
        <v/>
      </c>
      <c r="AV498" t="str" cm="1">
        <f t="array" ref="AV498">IFERROR(IF(O498&lt;&gt;"",O498,IF(OR($S498="",$T498=""),"",IF(O498&lt;&gt;"",O498,IF($T498&lt;&gt;"",_xlfn._xlws.FILTER(O:O,($BT:$BT=$BT498)*($I:$I=$I498)*($T:$T=$T498)*($S:$S=_xlfn.MINIFS($S:$S,$T:$T,"="&amp;$T498)),"")))))&amp;"",IF(O498="","",""))&amp;""</f>
        <v/>
      </c>
      <c r="AW498" t="str" cm="1">
        <f t="array" ref="AW498">IFERROR(IF(P498&lt;&gt;"",P498,IF(OR($S498="",$T498=""),"",IF($T498&lt;&gt;"",_xlfn._xlws.FILTER(P:P,($BT:$BT=$BT498)*($I:$I=$I498)*($T:$T=$T498)*($S:$S=_xlfn.MINIFS($S:$S,$T:$T,"="&amp;$T498)),""))))&amp;"",IF(P498="","",""))&amp;""</f>
        <v/>
      </c>
      <c r="AX498" t="str" cm="1">
        <f t="array" ref="AX498">IFERROR(IF(Q498&lt;&gt;"",Q498,IF(OR($S498="",$T498=""),"",IF($T498&lt;&gt;"",_xlfn._xlws.FILTER(Q:Q,($BT:$BT=$BT498)*($I:$I=$I498)*($T:$T=$T498)*($S:$S=_xlfn.MINIFS($S:$S,$T:$T,"="&amp;$T498)),""))))&amp;"",IF(Q498="","",""))&amp;""</f>
        <v/>
      </c>
      <c r="AY498" t="str" cm="1">
        <f t="array" ref="AY498">IFERROR(IF(R498&lt;&gt;"",R498,IF(OR($S498="",$T498=""),"",IF($T498&lt;&gt;"",_xlfn._xlws.FILTER(R:R,($BT:$BT=$BT498)*($I:$I=$I498)*($T:$T=$T498)*($S:$S=_xlfn.MINIFS($S:$S,$T:$T,"="&amp;$T498)),""))))&amp;"",IF(R498="","",""))&amp;""</f>
        <v>1</v>
      </c>
      <c r="AZ498" s="6">
        <f t="shared" si="803"/>
        <v>45</v>
      </c>
      <c r="BA498">
        <f t="shared" ref="BA498:BC498" si="875">BA497</f>
        <v>18991</v>
      </c>
      <c r="BB498" t="str">
        <f t="shared" si="875"/>
        <v>Triple J</v>
      </c>
      <c r="BC498" t="str">
        <f t="shared" si="875"/>
        <v>Velodrome</v>
      </c>
      <c r="BD498" t="str">
        <f t="shared" si="805"/>
        <v>Possession</v>
      </c>
      <c r="BE498" t="str">
        <f t="shared" si="806"/>
        <v/>
      </c>
      <c r="BF498" t="str">
        <f t="shared" si="807"/>
        <v/>
      </c>
      <c r="BG498" t="str">
        <f t="shared" si="789"/>
        <v/>
      </c>
      <c r="BH498" cm="1">
        <f t="array" aca="1" ref="BH498" ca="1">IFERROR(_xlfn._xlws.FILTER(shifts!A:A,(shifts!B:B=events!Z498)*(shifts!AG:AG&gt;=events!BJ498)*(shifts!AH:AH&lt;=events!BK498)),BH497)</f>
        <v>17</v>
      </c>
      <c r="BI498" s="15">
        <f t="shared" si="808"/>
        <v>4</v>
      </c>
      <c r="BJ498">
        <f t="shared" si="809"/>
        <v>653</v>
      </c>
      <c r="BK498">
        <f t="shared" si="810"/>
        <v>649</v>
      </c>
      <c r="BL498" s="15">
        <f>SUMIFS(BI$2:BI498,K$2:K498,"=Intermission")+SUMIFS(BI$2:BI498,K$2:K498,"=Timeout")</f>
        <v>0</v>
      </c>
      <c r="BM498">
        <f t="shared" si="811"/>
        <v>0</v>
      </c>
      <c r="BN498" s="19">
        <f t="shared" si="812"/>
        <v>427</v>
      </c>
      <c r="BO498">
        <f t="shared" si="813"/>
        <v>422</v>
      </c>
      <c r="BP498" s="17">
        <f t="shared" si="814"/>
        <v>431</v>
      </c>
      <c r="BQ498" t="str">
        <f t="shared" si="815"/>
        <v>event_team_player_1</v>
      </c>
      <c r="BR498">
        <f>COUNTIFS(S$3:S498,"="&amp;S498,AH$3:AH498,"="&amp;AH498)</f>
        <v>1</v>
      </c>
      <c r="BS498" t="str">
        <f>IFERROR(VLOOKUP(BA498&amp;BT498&amp;X498,game_rosters!U:W,3,FALSE),"")</f>
        <v>P100108</v>
      </c>
      <c r="BT498" t="str">
        <f t="shared" si="816"/>
        <v>Velodrome</v>
      </c>
    </row>
    <row r="499" spans="1:72" x14ac:dyDescent="0.2">
      <c r="A499" t="str">
        <f t="shared" si="791"/>
        <v/>
      </c>
      <c r="E499" s="4"/>
      <c r="F499" s="45"/>
      <c r="G499" s="4"/>
      <c r="H499" s="47"/>
      <c r="I499" s="26">
        <v>12</v>
      </c>
      <c r="J499" s="26" t="str">
        <f t="shared" si="817"/>
        <v/>
      </c>
      <c r="N499" t="str">
        <f t="shared" si="835"/>
        <v/>
      </c>
      <c r="Q499" t="str">
        <f t="shared" si="829"/>
        <v/>
      </c>
      <c r="R499" s="26">
        <v>1</v>
      </c>
      <c r="S499">
        <f>IF(A499=1,MAX($S$2:$S498)+1,IF(OR($I499&lt;&gt;"",A499="x"),$S498,""))</f>
        <v>249</v>
      </c>
      <c r="T499" t="str">
        <f>IF(D499=1,MAX($T$2:$T498)+1,IF(S499=S498,$T498,IF(D499="x",T498,IF(D498="x","",""))))</f>
        <v/>
      </c>
      <c r="U499" t="str">
        <f>IF(B499=1,MAX($U$2:$U498)+1,IF(AND($T499&lt;&gt;"",$T499=$T498),$U498,IF(B499="x",U498,"")))</f>
        <v/>
      </c>
      <c r="V499" t="str">
        <f>IF(C499=1,MAX($V$2:$V498)+1,IF(AND($T499&lt;&gt;"",$T499=$T498),$U498,IF(C499="x",V498,"")))</f>
        <v/>
      </c>
      <c r="W499" t="str" cm="1">
        <f t="array" ref="W499">IFERROR(_xlfn._xlws.FILTER(game_rosters!AC:AC,(game_rosters!J:J=events!X499)*(K499&lt;&gt;"")),"")</f>
        <v/>
      </c>
      <c r="X499" cm="1">
        <f t="array" ref="X499">IF($I499&lt;&gt;"",$I499,INDEX($I$1:$I499,ROW()-COUNTIFS($T$1:$T499,"="&amp;$T499,$S$1:$S499,"&lt;"&amp;$S499)))</f>
        <v>12</v>
      </c>
      <c r="Y499" t="str" cm="1">
        <f t="array" ref="Y499">IFERROR(IF(_xlfn._xlws.FILTER(game_rosters!$J:$J,(game_rosters!$G:$G=events!$AM499)*(game_rosters!$J:$J=events!$X499))&gt;0,1,""),"")</f>
        <v/>
      </c>
      <c r="Z499" s="6">
        <f t="shared" si="792"/>
        <v>1</v>
      </c>
      <c r="AA499">
        <f t="shared" si="793"/>
        <v>1249</v>
      </c>
      <c r="AB499" t="str">
        <f t="shared" si="794"/>
        <v/>
      </c>
      <c r="AC499">
        <f t="shared" si="795"/>
        <v>1249</v>
      </c>
      <c r="AD499" t="str">
        <f t="shared" si="796"/>
        <v>10</v>
      </c>
      <c r="AE499" t="str">
        <f t="shared" si="797"/>
        <v>53</v>
      </c>
      <c r="AF499" t="str">
        <f t="shared" si="798"/>
        <v>10</v>
      </c>
      <c r="AG499" t="str">
        <f t="shared" si="799"/>
        <v>49</v>
      </c>
      <c r="AH499" t="str">
        <f t="shared" si="842"/>
        <v>o</v>
      </c>
      <c r="AI499" t="str">
        <f t="shared" si="867"/>
        <v>d</v>
      </c>
      <c r="AJ499" t="str">
        <f t="shared" si="867"/>
        <v>d</v>
      </c>
      <c r="AK499" t="str">
        <f t="shared" si="844"/>
        <v/>
      </c>
      <c r="AL499" t="str">
        <f t="shared" si="845"/>
        <v/>
      </c>
      <c r="AM499" t="str">
        <f t="shared" si="800"/>
        <v>Away</v>
      </c>
      <c r="AN499" t="str">
        <f t="shared" si="846"/>
        <v>a</v>
      </c>
      <c r="AO499" t="str">
        <f t="shared" si="847"/>
        <v>o</v>
      </c>
      <c r="AP499" t="str">
        <f t="shared" si="848"/>
        <v>d</v>
      </c>
      <c r="AQ499" t="str">
        <f>IF(AM499&lt;&gt;"",AM499,IF($AC499=#REF!,#REF!,""))</f>
        <v>Away</v>
      </c>
      <c r="AR499" t="str">
        <f t="shared" si="849"/>
        <v>a</v>
      </c>
      <c r="AS499" t="str">
        <f t="shared" si="850"/>
        <v>Defensive</v>
      </c>
      <c r="AT499" t="str">
        <f t="shared" si="801"/>
        <v/>
      </c>
      <c r="AU499" t="str">
        <f t="shared" si="802"/>
        <v/>
      </c>
      <c r="AV499" t="str" cm="1">
        <f t="array" ref="AV499">IFERROR(IF(O499&lt;&gt;"",O499,IF(OR($S499="",$T499=""),"",IF(O499&lt;&gt;"",O499,IF($T499&lt;&gt;"",_xlfn._xlws.FILTER(O:O,($BT:$BT=$BT499)*($I:$I=$I499)*($T:$T=$T499)*($S:$S=_xlfn.MINIFS($S:$S,$T:$T,"="&amp;$T499)),"")))))&amp;"",IF(O499="","",""))&amp;""</f>
        <v/>
      </c>
      <c r="AW499" t="str" cm="1">
        <f t="array" ref="AW499">IFERROR(IF(P499&lt;&gt;"",P499,IF(OR($S499="",$T499=""),"",IF($T499&lt;&gt;"",_xlfn._xlws.FILTER(P:P,($BT:$BT=$BT499)*($I:$I=$I499)*($T:$T=$T499)*($S:$S=_xlfn.MINIFS($S:$S,$T:$T,"="&amp;$T499)),""))))&amp;"",IF(P499="","",""))&amp;""</f>
        <v/>
      </c>
      <c r="AX499" t="str" cm="1">
        <f t="array" ref="AX499">IFERROR(IF(Q499&lt;&gt;"",Q499,IF(OR($S499="",$T499=""),"",IF($T499&lt;&gt;"",_xlfn._xlws.FILTER(Q:Q,($BT:$BT=$BT499)*($I:$I=$I499)*($T:$T=$T499)*($S:$S=_xlfn.MINIFS($S:$S,$T:$T,"="&amp;$T499)),""))))&amp;"",IF(Q499="","",""))&amp;""</f>
        <v/>
      </c>
      <c r="AY499" t="str" cm="1">
        <f t="array" ref="AY499">IFERROR(IF(R499&lt;&gt;"",R499,IF(OR($S499="",$T499=""),"",IF($T499&lt;&gt;"",_xlfn._xlws.FILTER(R:R,($BT:$BT=$BT499)*($I:$I=$I499)*($T:$T=$T499)*($S:$S=_xlfn.MINIFS($S:$S,$T:$T,"="&amp;$T499)),""))))&amp;"",IF(R499="","",""))&amp;""</f>
        <v>1</v>
      </c>
      <c r="AZ499" s="6">
        <f t="shared" si="803"/>
        <v>45</v>
      </c>
      <c r="BA499">
        <f t="shared" ref="BA499:BC499" si="876">BA498</f>
        <v>18991</v>
      </c>
      <c r="BB499" t="str">
        <f t="shared" si="876"/>
        <v>Triple J</v>
      </c>
      <c r="BC499" t="str">
        <f t="shared" si="876"/>
        <v>Velodrome</v>
      </c>
      <c r="BD499" t="str">
        <f t="shared" si="805"/>
        <v>Possession</v>
      </c>
      <c r="BE499" t="str">
        <f t="shared" si="806"/>
        <v/>
      </c>
      <c r="BF499" t="str">
        <f t="shared" si="807"/>
        <v/>
      </c>
      <c r="BG499" t="str">
        <f t="shared" si="789"/>
        <v/>
      </c>
      <c r="BH499" cm="1">
        <f t="array" aca="1" ref="BH499" ca="1">IFERROR(_xlfn._xlws.FILTER(shifts!A:A,(shifts!B:B=events!Z499)*(shifts!AG:AG&gt;=events!BJ499)*(shifts!AH:AH&lt;=events!BK499)),BH498)</f>
        <v>17</v>
      </c>
      <c r="BI499" s="15">
        <f t="shared" si="808"/>
        <v>4</v>
      </c>
      <c r="BJ499">
        <f t="shared" si="809"/>
        <v>653</v>
      </c>
      <c r="BK499">
        <f t="shared" si="810"/>
        <v>649</v>
      </c>
      <c r="BL499" s="15">
        <f>SUMIFS(BI$2:BI499,K$2:K499,"=Intermission")+SUMIFS(BI$2:BI499,K$2:K499,"=Timeout")</f>
        <v>0</v>
      </c>
      <c r="BM499">
        <f t="shared" si="811"/>
        <v>0</v>
      </c>
      <c r="BN499" s="19">
        <f t="shared" si="812"/>
        <v>427</v>
      </c>
      <c r="BO499">
        <f t="shared" si="813"/>
        <v>422</v>
      </c>
      <c r="BP499" s="17">
        <f t="shared" si="814"/>
        <v>431</v>
      </c>
      <c r="BQ499" t="str">
        <f t="shared" si="815"/>
        <v>opp_team_player_1</v>
      </c>
      <c r="BR499">
        <f>COUNTIFS(S$3:S499,"="&amp;S499,AH$3:AH499,"="&amp;AH499)</f>
        <v>1</v>
      </c>
      <c r="BS499" t="str">
        <f>IFERROR(VLOOKUP(BA499&amp;BT499&amp;X499,game_rosters!U:W,3,FALSE),"")</f>
        <v/>
      </c>
      <c r="BT499" t="str">
        <f t="shared" si="816"/>
        <v>Triple J</v>
      </c>
    </row>
    <row r="500" spans="1:72" x14ac:dyDescent="0.2">
      <c r="A500">
        <f t="shared" si="791"/>
        <v>1</v>
      </c>
      <c r="E500" s="4"/>
      <c r="F500" s="45"/>
      <c r="G500" s="4"/>
      <c r="H500" s="47"/>
      <c r="I500" s="26">
        <v>22</v>
      </c>
      <c r="J500" s="26" t="s">
        <v>736</v>
      </c>
      <c r="K500" t="s">
        <v>7</v>
      </c>
      <c r="L500" t="s">
        <v>172</v>
      </c>
      <c r="M500" t="s">
        <v>68</v>
      </c>
      <c r="N500" t="str">
        <f t="shared" si="835"/>
        <v>s</v>
      </c>
      <c r="Q500" t="str">
        <f t="shared" si="829"/>
        <v/>
      </c>
      <c r="R500" s="26">
        <v>1</v>
      </c>
      <c r="S500">
        <f>IF(A500=1,MAX($S$2:$S499)+1,IF(OR($I500&lt;&gt;"",A500="x"),$S499,""))</f>
        <v>250</v>
      </c>
      <c r="T500" t="str">
        <f>IF(D500=1,MAX($T$2:$T499)+1,IF(S500=S499,$T499,IF(D500="x",T499,IF(D499="x","",""))))</f>
        <v/>
      </c>
      <c r="U500" t="str">
        <f>IF(B500=1,MAX($U$2:$U499)+1,IF(AND($T500&lt;&gt;"",$T500=$T499),$U499,IF(B500="x",U499,"")))</f>
        <v/>
      </c>
      <c r="V500" t="str">
        <f>IF(C500=1,MAX($V$2:$V499)+1,IF(AND($T500&lt;&gt;"",$T500=$T499),$U499,IF(C500="x",V499,"")))</f>
        <v/>
      </c>
      <c r="W500" t="str" cm="1">
        <f t="array" ref="W500">IFERROR(_xlfn._xlws.FILTER(game_rosters!AC:AC,(game_rosters!J:J=events!X500)*(K500&lt;&gt;"")),"")</f>
        <v>a</v>
      </c>
      <c r="X500" cm="1">
        <f t="array" ref="X500">IF($I500&lt;&gt;"",$I500,INDEX($I$1:$I500,ROW()-COUNTIFS($T$1:$T500,"="&amp;$T500,$S$1:$S500,"&lt;"&amp;$S500)))</f>
        <v>22</v>
      </c>
      <c r="Y500" cm="1">
        <f t="array" ref="Y500">IFERROR(IF(_xlfn._xlws.FILTER(game_rosters!$J:$J,(game_rosters!$G:$G=events!$AM500)*(game_rosters!$J:$J=events!$X500))&gt;0,1,""),"")</f>
        <v>1</v>
      </c>
      <c r="Z500" s="6">
        <f t="shared" si="792"/>
        <v>1</v>
      </c>
      <c r="AA500">
        <f t="shared" si="793"/>
        <v>1250</v>
      </c>
      <c r="AB500" t="str">
        <f t="shared" si="794"/>
        <v/>
      </c>
      <c r="AC500">
        <f t="shared" si="795"/>
        <v>1250</v>
      </c>
      <c r="AD500" t="str">
        <f t="shared" si="796"/>
        <v>10</v>
      </c>
      <c r="AE500" t="str">
        <f t="shared" si="797"/>
        <v>49</v>
      </c>
      <c r="AF500" t="str">
        <f t="shared" si="798"/>
        <v/>
      </c>
      <c r="AG500" t="str">
        <f t="shared" si="799"/>
        <v/>
      </c>
      <c r="AH500" t="str">
        <f t="shared" si="842"/>
        <v>e</v>
      </c>
      <c r="AI500" t="str">
        <f t="shared" si="867"/>
        <v>d</v>
      </c>
      <c r="AJ500" t="str">
        <f t="shared" si="867"/>
        <v>d</v>
      </c>
      <c r="AK500" t="str">
        <f t="shared" si="844"/>
        <v>o</v>
      </c>
      <c r="AL500" t="str">
        <f t="shared" si="845"/>
        <v>d</v>
      </c>
      <c r="AM500" t="str">
        <f t="shared" si="800"/>
        <v>Away</v>
      </c>
      <c r="AN500" t="str">
        <f t="shared" si="846"/>
        <v>a</v>
      </c>
      <c r="AO500" t="str">
        <f t="shared" si="847"/>
        <v>o</v>
      </c>
      <c r="AP500" t="str">
        <f t="shared" si="848"/>
        <v>d</v>
      </c>
      <c r="AQ500" t="str">
        <f>IF(AM500&lt;&gt;"",AM500,IF($AC500=#REF!,#REF!,""))</f>
        <v>Away</v>
      </c>
      <c r="AR500" t="str">
        <f t="shared" si="849"/>
        <v>a</v>
      </c>
      <c r="AS500" t="str">
        <f t="shared" si="850"/>
        <v>Offensive</v>
      </c>
      <c r="AT500" t="str">
        <f t="shared" si="801"/>
        <v/>
      </c>
      <c r="AU500" t="str">
        <f t="shared" si="802"/>
        <v/>
      </c>
      <c r="AV500" t="str" cm="1">
        <f t="array" ref="AV500">IFERROR(IF(O500&lt;&gt;"",O500,IF(OR($S500="",$T500=""),"",IF(O500&lt;&gt;"",O500,IF($T500&lt;&gt;"",_xlfn._xlws.FILTER(O:O,($BT:$BT=$BT500)*($I:$I=$I500)*($T:$T=$T500)*($S:$S=_xlfn.MINIFS($S:$S,$T:$T,"="&amp;$T500)),"")))))&amp;"",IF(O500="","",""))&amp;""</f>
        <v/>
      </c>
      <c r="AW500" t="str" cm="1">
        <f t="array" ref="AW500">IFERROR(IF(P500&lt;&gt;"",P500,IF(OR($S500="",$T500=""),"",IF($T500&lt;&gt;"",_xlfn._xlws.FILTER(P:P,($BT:$BT=$BT500)*($I:$I=$I500)*($T:$T=$T500)*($S:$S=_xlfn.MINIFS($S:$S,$T:$T,"="&amp;$T500)),""))))&amp;"",IF(P500="","",""))&amp;""</f>
        <v/>
      </c>
      <c r="AX500" t="str" cm="1">
        <f t="array" ref="AX500">IFERROR(IF(Q500&lt;&gt;"",Q500,IF(OR($S500="",$T500=""),"",IF($T500&lt;&gt;"",_xlfn._xlws.FILTER(Q:Q,($BT:$BT=$BT500)*($I:$I=$I500)*($T:$T=$T500)*($S:$S=_xlfn.MINIFS($S:$S,$T:$T,"="&amp;$T500)),""))))&amp;"",IF(Q500="","",""))&amp;""</f>
        <v/>
      </c>
      <c r="AY500" t="str" cm="1">
        <f t="array" ref="AY500">IFERROR(IF(R500&lt;&gt;"",R500,IF(OR($S500="",$T500=""),"",IF($T500&lt;&gt;"",_xlfn._xlws.FILTER(R:R,($BT:$BT=$BT500)*($I:$I=$I500)*($T:$T=$T500)*($S:$S=_xlfn.MINIFS($S:$S,$T:$T,"="&amp;$T500)),""))))&amp;"",IF(R500="","",""))&amp;""</f>
        <v>1</v>
      </c>
      <c r="AZ500" s="6">
        <f t="shared" si="803"/>
        <v>45</v>
      </c>
      <c r="BA500">
        <f t="shared" ref="BA500:BC500" si="877">BA499</f>
        <v>18991</v>
      </c>
      <c r="BB500" t="str">
        <f t="shared" si="877"/>
        <v>Triple J</v>
      </c>
      <c r="BC500" t="str">
        <f t="shared" si="877"/>
        <v>Velodrome</v>
      </c>
      <c r="BD500" t="str">
        <f t="shared" si="805"/>
        <v>Pass</v>
      </c>
      <c r="BE500" t="str">
        <f t="shared" si="806"/>
        <v>Pass_Completed</v>
      </c>
      <c r="BF500" t="str">
        <f t="shared" si="807"/>
        <v>Pass-Forehand</v>
      </c>
      <c r="BG500" t="str">
        <f t="shared" si="789"/>
        <v>s</v>
      </c>
      <c r="BH500" cm="1">
        <f t="array" aca="1" ref="BH500" ca="1">IFERROR(_xlfn._xlws.FILTER(shifts!A:A,(shifts!B:B=events!Z500)*(shifts!AG:AG&gt;=events!BJ500)*(shifts!AH:AH&lt;=events!BK500)),BH499)</f>
        <v>17</v>
      </c>
      <c r="BI500" s="15">
        <f t="shared" si="808"/>
        <v>0</v>
      </c>
      <c r="BJ500">
        <f t="shared" si="809"/>
        <v>649</v>
      </c>
      <c r="BK500">
        <f t="shared" si="810"/>
        <v>649</v>
      </c>
      <c r="BL500" s="15">
        <f>SUMIFS(BI$2:BI500,K$2:K500,"=Intermission")+SUMIFS(BI$2:BI500,K$2:K500,"=Timeout")</f>
        <v>0</v>
      </c>
      <c r="BM500">
        <f t="shared" si="811"/>
        <v>0</v>
      </c>
      <c r="BN500" s="19">
        <f t="shared" si="812"/>
        <v>431</v>
      </c>
      <c r="BO500">
        <f t="shared" si="813"/>
        <v>426</v>
      </c>
      <c r="BP500" s="17">
        <f t="shared" si="814"/>
        <v>431</v>
      </c>
      <c r="BQ500" t="str">
        <f t="shared" si="815"/>
        <v>event_team_player_1</v>
      </c>
      <c r="BR500">
        <f>COUNTIFS(S$3:S500,"="&amp;S500,AH$3:AH500,"="&amp;AH500)</f>
        <v>1</v>
      </c>
      <c r="BS500" t="str">
        <f>IFERROR(VLOOKUP(BA500&amp;BT500&amp;X500,game_rosters!U:W,3,FALSE),"")</f>
        <v>P100108</v>
      </c>
      <c r="BT500" t="str">
        <f t="shared" si="816"/>
        <v>Velodrome</v>
      </c>
    </row>
    <row r="501" spans="1:72" x14ac:dyDescent="0.2">
      <c r="A501" t="str">
        <f t="shared" si="791"/>
        <v/>
      </c>
      <c r="E501" s="4"/>
      <c r="F501" s="45"/>
      <c r="G501" s="4"/>
      <c r="H501" s="47"/>
      <c r="I501" s="26">
        <v>14</v>
      </c>
      <c r="J501" s="26" t="str">
        <f t="shared" si="817"/>
        <v/>
      </c>
      <c r="N501" t="str">
        <f t="shared" si="835"/>
        <v/>
      </c>
      <c r="Q501" t="str">
        <f t="shared" si="829"/>
        <v/>
      </c>
      <c r="S501">
        <f>IF(A501=1,MAX($S$2:$S500)+1,IF(OR($I501&lt;&gt;"",A501="x"),$S500,""))</f>
        <v>250</v>
      </c>
      <c r="T501" t="str">
        <f>IF(D501=1,MAX($T$2:$T500)+1,IF(S501=S500,$T500,IF(D501="x",T500,IF(D500="x","",""))))</f>
        <v/>
      </c>
      <c r="U501" t="str">
        <f>IF(B501=1,MAX($U$2:$U500)+1,IF(AND($T501&lt;&gt;"",$T501=$T500),$U500,IF(B501="x",U500,"")))</f>
        <v/>
      </c>
      <c r="V501" t="str">
        <f>IF(C501=1,MAX($V$2:$V500)+1,IF(AND($T501&lt;&gt;"",$T501=$T500),$U500,IF(C501="x",V500,"")))</f>
        <v/>
      </c>
      <c r="W501" t="str" cm="1">
        <f t="array" ref="W501">IFERROR(_xlfn._xlws.FILTER(game_rosters!AC:AC,(game_rosters!J:J=events!X501)*(K501&lt;&gt;"")),"")</f>
        <v/>
      </c>
      <c r="X501" cm="1">
        <f t="array" ref="X501">IF($I501&lt;&gt;"",$I501,INDEX($I$1:$I501,ROW()-COUNTIFS($T$1:$T501,"="&amp;$T501,$S$1:$S501,"&lt;"&amp;$S501)))</f>
        <v>14</v>
      </c>
      <c r="Y501" cm="1">
        <f t="array" ref="Y501">IFERROR(IF(_xlfn._xlws.FILTER(game_rosters!$J:$J,(game_rosters!$G:$G=events!$AM501)*(game_rosters!$J:$J=events!$X501))&gt;0,1,""),"")</f>
        <v>1</v>
      </c>
      <c r="Z501" s="6">
        <f t="shared" si="792"/>
        <v>1</v>
      </c>
      <c r="AA501">
        <f t="shared" si="793"/>
        <v>1250</v>
      </c>
      <c r="AB501" t="str">
        <f t="shared" si="794"/>
        <v/>
      </c>
      <c r="AC501">
        <f t="shared" si="795"/>
        <v>1250</v>
      </c>
      <c r="AD501" t="str">
        <f t="shared" si="796"/>
        <v>10</v>
      </c>
      <c r="AE501" t="str">
        <f t="shared" si="797"/>
        <v>49</v>
      </c>
      <c r="AF501" t="str">
        <f t="shared" si="798"/>
        <v/>
      </c>
      <c r="AG501" t="str">
        <f t="shared" si="799"/>
        <v/>
      </c>
      <c r="AH501" t="str">
        <f t="shared" si="842"/>
        <v>e</v>
      </c>
      <c r="AI501" t="str">
        <f t="shared" si="867"/>
        <v>d</v>
      </c>
      <c r="AJ501" t="str">
        <f t="shared" si="867"/>
        <v>d</v>
      </c>
      <c r="AK501" t="str">
        <f t="shared" si="844"/>
        <v/>
      </c>
      <c r="AL501" t="str">
        <f t="shared" si="845"/>
        <v/>
      </c>
      <c r="AM501" t="str">
        <f t="shared" si="800"/>
        <v>Away</v>
      </c>
      <c r="AN501" t="str">
        <f t="shared" si="846"/>
        <v>a</v>
      </c>
      <c r="AO501" t="str">
        <f t="shared" si="847"/>
        <v>o</v>
      </c>
      <c r="AP501" t="str">
        <f t="shared" si="848"/>
        <v>d</v>
      </c>
      <c r="AQ501" t="str">
        <f>IF(AM501&lt;&gt;"",AM501,IF($AC501=#REF!,#REF!,""))</f>
        <v>Away</v>
      </c>
      <c r="AR501" t="str">
        <f t="shared" si="849"/>
        <v>a</v>
      </c>
      <c r="AS501" t="str">
        <f t="shared" si="850"/>
        <v>Offensive</v>
      </c>
      <c r="AT501" t="str">
        <f t="shared" si="801"/>
        <v/>
      </c>
      <c r="AU501" t="str">
        <f t="shared" si="802"/>
        <v/>
      </c>
      <c r="AV501" t="str" cm="1">
        <f t="array" ref="AV501">IFERROR(IF(O501&lt;&gt;"",O501,IF(OR($S501="",$T501=""),"",IF(O501&lt;&gt;"",O501,IF($T501&lt;&gt;"",_xlfn._xlws.FILTER(O:O,($BT:$BT=$BT501)*($I:$I=$I501)*($T:$T=$T501)*($S:$S=_xlfn.MINIFS($S:$S,$T:$T,"="&amp;$T501)),"")))))&amp;"",IF(O501="","",""))&amp;""</f>
        <v/>
      </c>
      <c r="AW501" t="str" cm="1">
        <f t="array" ref="AW501">IFERROR(IF(P501&lt;&gt;"",P501,IF(OR($S501="",$T501=""),"",IF($T501&lt;&gt;"",_xlfn._xlws.FILTER(P:P,($BT:$BT=$BT501)*($I:$I=$I501)*($T:$T=$T501)*($S:$S=_xlfn.MINIFS($S:$S,$T:$T,"="&amp;$T501)),""))))&amp;"",IF(P501="","",""))&amp;""</f>
        <v/>
      </c>
      <c r="AX501" t="str" cm="1">
        <f t="array" ref="AX501">IFERROR(IF(Q501&lt;&gt;"",Q501,IF(OR($S501="",$T501=""),"",IF($T501&lt;&gt;"",_xlfn._xlws.FILTER(Q:Q,($BT:$BT=$BT501)*($I:$I=$I501)*($T:$T=$T501)*($S:$S=_xlfn.MINIFS($S:$S,$T:$T,"="&amp;$T501)),""))))&amp;"",IF(Q501="","",""))&amp;""</f>
        <v/>
      </c>
      <c r="AY501" t="str" cm="1">
        <f t="array" ref="AY501">IFERROR(IF(R501&lt;&gt;"",R501,IF(OR($S501="",$T501=""),"",IF($T501&lt;&gt;"",_xlfn._xlws.FILTER(R:R,($BT:$BT=$BT501)*($I:$I=$I501)*($T:$T=$T501)*($S:$S=_xlfn.MINIFS($S:$S,$T:$T,"="&amp;$T501)),""))))&amp;"",IF(R501="","",""))&amp;""</f>
        <v/>
      </c>
      <c r="AZ501" s="6">
        <f t="shared" si="803"/>
        <v>45</v>
      </c>
      <c r="BA501">
        <f t="shared" ref="BA501:BC501" si="878">BA500</f>
        <v>18991</v>
      </c>
      <c r="BB501" t="str">
        <f t="shared" si="878"/>
        <v>Triple J</v>
      </c>
      <c r="BC501" t="str">
        <f t="shared" si="878"/>
        <v>Velodrome</v>
      </c>
      <c r="BD501" t="str">
        <f t="shared" si="805"/>
        <v>Pass</v>
      </c>
      <c r="BE501" t="str">
        <f t="shared" si="806"/>
        <v>Pass_Completed</v>
      </c>
      <c r="BF501" t="str">
        <f t="shared" si="807"/>
        <v>Pass-Forehand</v>
      </c>
      <c r="BG501" t="str">
        <f t="shared" si="789"/>
        <v>s</v>
      </c>
      <c r="BH501" cm="1">
        <f t="array" aca="1" ref="BH501" ca="1">IFERROR(_xlfn._xlws.FILTER(shifts!A:A,(shifts!B:B=events!Z501)*(shifts!AG:AG&gt;=events!BJ501)*(shifts!AH:AH&lt;=events!BK501)),BH500)</f>
        <v>17</v>
      </c>
      <c r="BI501" s="15">
        <f t="shared" si="808"/>
        <v>0</v>
      </c>
      <c r="BJ501">
        <f t="shared" si="809"/>
        <v>649</v>
      </c>
      <c r="BK501">
        <f t="shared" si="810"/>
        <v>649</v>
      </c>
      <c r="BL501" s="15">
        <f>SUMIFS(BI$2:BI501,K$2:K501,"=Intermission")+SUMIFS(BI$2:BI501,K$2:K501,"=Timeout")</f>
        <v>0</v>
      </c>
      <c r="BM501">
        <f t="shared" si="811"/>
        <v>0</v>
      </c>
      <c r="BN501" s="19">
        <f t="shared" si="812"/>
        <v>431</v>
      </c>
      <c r="BO501">
        <f t="shared" si="813"/>
        <v>426</v>
      </c>
      <c r="BP501" s="17">
        <f t="shared" si="814"/>
        <v>431</v>
      </c>
      <c r="BQ501" t="str">
        <f t="shared" si="815"/>
        <v>event_team_player_2</v>
      </c>
      <c r="BR501">
        <f>COUNTIFS(S$3:S501,"="&amp;S501,AH$3:AH501,"="&amp;AH501)</f>
        <v>2</v>
      </c>
      <c r="BS501" t="str">
        <f>IFERROR(VLOOKUP(BA501&amp;BT501&amp;X501,game_rosters!U:W,3,FALSE),"")</f>
        <v>P100132</v>
      </c>
      <c r="BT501" t="str">
        <f t="shared" si="816"/>
        <v>Velodrome</v>
      </c>
    </row>
    <row r="502" spans="1:72" x14ac:dyDescent="0.2">
      <c r="A502" t="str">
        <f t="shared" si="791"/>
        <v/>
      </c>
      <c r="E502" s="4"/>
      <c r="F502" s="45"/>
      <c r="G502" s="4"/>
      <c r="H502" s="47"/>
      <c r="I502" s="26">
        <v>12</v>
      </c>
      <c r="J502" s="26" t="str">
        <f t="shared" si="817"/>
        <v/>
      </c>
      <c r="N502" t="str">
        <f t="shared" si="835"/>
        <v/>
      </c>
      <c r="Q502" t="str">
        <f t="shared" si="829"/>
        <v/>
      </c>
      <c r="R502" s="26">
        <v>1</v>
      </c>
      <c r="S502">
        <f>IF(A502=1,MAX($S$2:$S501)+1,IF(OR($I502&lt;&gt;"",A502="x"),$S501,""))</f>
        <v>250</v>
      </c>
      <c r="T502" t="str">
        <f>IF(D502=1,MAX($T$2:$T501)+1,IF(S502=S501,$T501,IF(D502="x",T501,IF(D501="x","",""))))</f>
        <v/>
      </c>
      <c r="U502" t="str">
        <f>IF(B502=1,MAX($U$2:$U501)+1,IF(AND($T502&lt;&gt;"",$T502=$T501),$U501,IF(B502="x",U501,"")))</f>
        <v/>
      </c>
      <c r="V502" t="str">
        <f>IF(C502=1,MAX($V$2:$V501)+1,IF(AND($T502&lt;&gt;"",$T502=$T501),$U501,IF(C502="x",V501,"")))</f>
        <v/>
      </c>
      <c r="W502" t="str" cm="1">
        <f t="array" ref="W502">IFERROR(_xlfn._xlws.FILTER(game_rosters!AC:AC,(game_rosters!J:J=events!X502)*(K502&lt;&gt;"")),"")</f>
        <v/>
      </c>
      <c r="X502" cm="1">
        <f t="array" ref="X502">IF($I502&lt;&gt;"",$I502,INDEX($I$1:$I502,ROW()-COUNTIFS($T$1:$T502,"="&amp;$T502,$S$1:$S502,"&lt;"&amp;$S502)))</f>
        <v>12</v>
      </c>
      <c r="Y502" t="str" cm="1">
        <f t="array" ref="Y502">IFERROR(IF(_xlfn._xlws.FILTER(game_rosters!$J:$J,(game_rosters!$G:$G=events!$AM502)*(game_rosters!$J:$J=events!$X502))&gt;0,1,""),"")</f>
        <v/>
      </c>
      <c r="Z502" s="6">
        <f t="shared" si="792"/>
        <v>1</v>
      </c>
      <c r="AA502">
        <f t="shared" si="793"/>
        <v>1250</v>
      </c>
      <c r="AB502" t="str">
        <f t="shared" si="794"/>
        <v/>
      </c>
      <c r="AC502">
        <f t="shared" si="795"/>
        <v>1250</v>
      </c>
      <c r="AD502" t="str">
        <f t="shared" si="796"/>
        <v>10</v>
      </c>
      <c r="AE502" t="str">
        <f t="shared" si="797"/>
        <v>49</v>
      </c>
      <c r="AF502" t="str">
        <f t="shared" si="798"/>
        <v/>
      </c>
      <c r="AG502" t="str">
        <f t="shared" si="799"/>
        <v/>
      </c>
      <c r="AH502" t="str">
        <f t="shared" si="842"/>
        <v>o</v>
      </c>
      <c r="AI502" t="str">
        <f t="shared" si="867"/>
        <v>d</v>
      </c>
      <c r="AJ502" t="str">
        <f t="shared" si="867"/>
        <v>d</v>
      </c>
      <c r="AK502" t="str">
        <f t="shared" si="844"/>
        <v/>
      </c>
      <c r="AL502" t="str">
        <f t="shared" si="845"/>
        <v/>
      </c>
      <c r="AM502" t="str">
        <f t="shared" si="800"/>
        <v>Away</v>
      </c>
      <c r="AN502" t="str">
        <f t="shared" si="846"/>
        <v>a</v>
      </c>
      <c r="AO502" t="str">
        <f t="shared" si="847"/>
        <v>o</v>
      </c>
      <c r="AP502" t="str">
        <f t="shared" si="848"/>
        <v>d</v>
      </c>
      <c r="AQ502" t="str">
        <f>IF(AM502&lt;&gt;"",AM502,IF($AC502=#REF!,#REF!,""))</f>
        <v>Away</v>
      </c>
      <c r="AR502" t="str">
        <f t="shared" si="849"/>
        <v>a</v>
      </c>
      <c r="AS502" t="str">
        <f t="shared" si="850"/>
        <v>Defensive</v>
      </c>
      <c r="AT502" t="str">
        <f t="shared" si="801"/>
        <v/>
      </c>
      <c r="AU502" t="str">
        <f t="shared" si="802"/>
        <v/>
      </c>
      <c r="AV502" t="str" cm="1">
        <f t="array" ref="AV502">IFERROR(IF(O502&lt;&gt;"",O502,IF(OR($S502="",$T502=""),"",IF(O502&lt;&gt;"",O502,IF($T502&lt;&gt;"",_xlfn._xlws.FILTER(O:O,($BT:$BT=$BT502)*($I:$I=$I502)*($T:$T=$T502)*($S:$S=_xlfn.MINIFS($S:$S,$T:$T,"="&amp;$T502)),"")))))&amp;"",IF(O502="","",""))&amp;""</f>
        <v/>
      </c>
      <c r="AW502" t="str" cm="1">
        <f t="array" ref="AW502">IFERROR(IF(P502&lt;&gt;"",P502,IF(OR($S502="",$T502=""),"",IF($T502&lt;&gt;"",_xlfn._xlws.FILTER(P:P,($BT:$BT=$BT502)*($I:$I=$I502)*($T:$T=$T502)*($S:$S=_xlfn.MINIFS($S:$S,$T:$T,"="&amp;$T502)),""))))&amp;"",IF(P502="","",""))&amp;""</f>
        <v/>
      </c>
      <c r="AX502" t="str" cm="1">
        <f t="array" ref="AX502">IFERROR(IF(Q502&lt;&gt;"",Q502,IF(OR($S502="",$T502=""),"",IF($T502&lt;&gt;"",_xlfn._xlws.FILTER(Q:Q,($BT:$BT=$BT502)*($I:$I=$I502)*($T:$T=$T502)*($S:$S=_xlfn.MINIFS($S:$S,$T:$T,"="&amp;$T502)),""))))&amp;"",IF(Q502="","",""))&amp;""</f>
        <v/>
      </c>
      <c r="AY502" t="str" cm="1">
        <f t="array" ref="AY502">IFERROR(IF(R502&lt;&gt;"",R502,IF(OR($S502="",$T502=""),"",IF($T502&lt;&gt;"",_xlfn._xlws.FILTER(R:R,($BT:$BT=$BT502)*($I:$I=$I502)*($T:$T=$T502)*($S:$S=_xlfn.MINIFS($S:$S,$T:$T,"="&amp;$T502)),""))))&amp;"",IF(R502="","",""))&amp;""</f>
        <v>1</v>
      </c>
      <c r="AZ502" s="6">
        <f t="shared" si="803"/>
        <v>45</v>
      </c>
      <c r="BA502">
        <f t="shared" ref="BA502:BC502" si="879">BA501</f>
        <v>18991</v>
      </c>
      <c r="BB502" t="str">
        <f t="shared" si="879"/>
        <v>Triple J</v>
      </c>
      <c r="BC502" t="str">
        <f t="shared" si="879"/>
        <v>Velodrome</v>
      </c>
      <c r="BD502" t="str">
        <f t="shared" si="805"/>
        <v>Pass</v>
      </c>
      <c r="BE502" t="str">
        <f t="shared" si="806"/>
        <v>Pass_Completed</v>
      </c>
      <c r="BF502" t="str">
        <f t="shared" si="807"/>
        <v>Pass-Forehand</v>
      </c>
      <c r="BG502" t="str">
        <f t="shared" si="789"/>
        <v>s</v>
      </c>
      <c r="BH502" cm="1">
        <f t="array" aca="1" ref="BH502" ca="1">IFERROR(_xlfn._xlws.FILTER(shifts!A:A,(shifts!B:B=events!Z502)*(shifts!AG:AG&gt;=events!BJ502)*(shifts!AH:AH&lt;=events!BK502)),BH501)</f>
        <v>17</v>
      </c>
      <c r="BI502" s="15">
        <f t="shared" si="808"/>
        <v>0</v>
      </c>
      <c r="BJ502">
        <f t="shared" si="809"/>
        <v>649</v>
      </c>
      <c r="BK502">
        <f t="shared" si="810"/>
        <v>649</v>
      </c>
      <c r="BL502" s="15">
        <f>SUMIFS(BI$2:BI502,K$2:K502,"=Intermission")+SUMIFS(BI$2:BI502,K$2:K502,"=Timeout")</f>
        <v>0</v>
      </c>
      <c r="BM502">
        <f t="shared" si="811"/>
        <v>0</v>
      </c>
      <c r="BN502" s="19">
        <f t="shared" si="812"/>
        <v>431</v>
      </c>
      <c r="BO502">
        <f t="shared" si="813"/>
        <v>426</v>
      </c>
      <c r="BP502" s="17">
        <f t="shared" si="814"/>
        <v>431</v>
      </c>
      <c r="BQ502" t="str">
        <f t="shared" si="815"/>
        <v>opp_team_player_1</v>
      </c>
      <c r="BR502">
        <f>COUNTIFS(S$3:S502,"="&amp;S502,AH$3:AH502,"="&amp;AH502)</f>
        <v>1</v>
      </c>
      <c r="BS502" t="str">
        <f>IFERROR(VLOOKUP(BA502&amp;BT502&amp;X502,game_rosters!U:W,3,FALSE),"")</f>
        <v/>
      </c>
      <c r="BT502" t="str">
        <f t="shared" si="816"/>
        <v>Triple J</v>
      </c>
    </row>
    <row r="503" spans="1:72" x14ac:dyDescent="0.2">
      <c r="A503">
        <f t="shared" si="791"/>
        <v>1</v>
      </c>
      <c r="E503" s="4"/>
      <c r="F503" s="45" t="s">
        <v>1032</v>
      </c>
      <c r="G503" s="4"/>
      <c r="H503" s="47"/>
      <c r="I503" s="26">
        <v>14</v>
      </c>
      <c r="J503" s="26" t="s">
        <v>736</v>
      </c>
      <c r="K503" t="s">
        <v>11</v>
      </c>
      <c r="L503" t="s">
        <v>187</v>
      </c>
      <c r="M503" t="s">
        <v>106</v>
      </c>
      <c r="Q503" t="str">
        <f t="shared" si="829"/>
        <v/>
      </c>
      <c r="S503">
        <f>IF(A503=1,MAX($S$2:$S502)+1,IF(OR($I503&lt;&gt;"",A503="x"),$S502,""))</f>
        <v>251</v>
      </c>
      <c r="T503" t="str">
        <f>IF(D503=1,MAX($T$2:$T502)+1,IF(S503=S502,$T502,IF(D503="x",T502,IF(D502="x","",""))))</f>
        <v/>
      </c>
      <c r="U503" t="str">
        <f>IF(B503=1,MAX($U$2:$U502)+1,IF(AND($T503&lt;&gt;"",$T503=$T502),$U502,IF(B503="x",U502,"")))</f>
        <v/>
      </c>
      <c r="V503" t="str">
        <f>IF(C503=1,MAX($V$2:$V502)+1,IF(AND($T503&lt;&gt;"",$T503=$T502),$U502,IF(C503="x",V502,"")))</f>
        <v/>
      </c>
      <c r="W503" t="str" cm="1">
        <f t="array" ref="W503">IFERROR(_xlfn._xlws.FILTER(game_rosters!AC:AC,(game_rosters!J:J=events!X503)*(K503&lt;&gt;"")),"")</f>
        <v>a</v>
      </c>
      <c r="X503" cm="1">
        <f t="array" ref="X503">IF($I503&lt;&gt;"",$I503,INDEX($I$1:$I503,ROW()-COUNTIFS($T$1:$T503,"="&amp;$T503,$S$1:$S503,"&lt;"&amp;$S503)))</f>
        <v>14</v>
      </c>
      <c r="Y503" cm="1">
        <f t="array" ref="Y503">IFERROR(IF(_xlfn._xlws.FILTER(game_rosters!$J:$J,(game_rosters!$G:$G=events!$AM503)*(game_rosters!$J:$J=events!$X503))&gt;0,1,""),"")</f>
        <v>1</v>
      </c>
      <c r="Z503" s="6">
        <f t="shared" si="792"/>
        <v>1</v>
      </c>
      <c r="AA503">
        <f t="shared" si="793"/>
        <v>1251</v>
      </c>
      <c r="AB503" t="str">
        <f t="shared" si="794"/>
        <v/>
      </c>
      <c r="AC503">
        <f t="shared" si="795"/>
        <v>1251</v>
      </c>
      <c r="AD503" t="str">
        <f t="shared" si="796"/>
        <v>10</v>
      </c>
      <c r="AE503" t="str">
        <f t="shared" si="797"/>
        <v>42</v>
      </c>
      <c r="AF503" t="str">
        <f t="shared" si="798"/>
        <v/>
      </c>
      <c r="AG503" t="str">
        <f t="shared" si="799"/>
        <v/>
      </c>
      <c r="AH503" t="str">
        <f t="shared" si="842"/>
        <v>e</v>
      </c>
      <c r="AI503" t="str">
        <f t="shared" si="867"/>
        <v>d</v>
      </c>
      <c r="AJ503" t="str">
        <f t="shared" si="867"/>
        <v>d</v>
      </c>
      <c r="AK503" t="str">
        <f t="shared" si="844"/>
        <v>o</v>
      </c>
      <c r="AL503" t="str">
        <f t="shared" si="845"/>
        <v>d</v>
      </c>
      <c r="AM503" t="str">
        <f t="shared" si="800"/>
        <v>Away</v>
      </c>
      <c r="AN503" t="str">
        <f t="shared" si="846"/>
        <v>a</v>
      </c>
      <c r="AO503" t="str">
        <f t="shared" si="847"/>
        <v>o</v>
      </c>
      <c r="AP503" t="str">
        <f t="shared" si="848"/>
        <v>d</v>
      </c>
      <c r="AQ503" t="str">
        <f>IF(AM503&lt;&gt;"",AM503,IF($AC503=#REF!,#REF!,""))</f>
        <v>Away</v>
      </c>
      <c r="AR503" t="str">
        <f t="shared" si="849"/>
        <v>a</v>
      </c>
      <c r="AS503" t="str">
        <f t="shared" si="850"/>
        <v/>
      </c>
      <c r="AT503" t="str">
        <f t="shared" si="801"/>
        <v/>
      </c>
      <c r="AU503" t="str">
        <f t="shared" si="802"/>
        <v/>
      </c>
      <c r="AV503" t="str" cm="1">
        <f t="array" ref="AV503">IFERROR(IF(O503&lt;&gt;"",O503,IF(OR($S503="",$T503=""),"",IF(O503&lt;&gt;"",O503,IF($T503&lt;&gt;"",_xlfn._xlws.FILTER(O:O,($BT:$BT=$BT503)*($I:$I=$I503)*($T:$T=$T503)*($S:$S=_xlfn.MINIFS($S:$S,$T:$T,"="&amp;$T503)),"")))))&amp;"",IF(O503="","",""))&amp;""</f>
        <v/>
      </c>
      <c r="AW503" t="str" cm="1">
        <f t="array" ref="AW503">IFERROR(IF(P503&lt;&gt;"",P503,IF(OR($S503="",$T503=""),"",IF($T503&lt;&gt;"",_xlfn._xlws.FILTER(P:P,($BT:$BT=$BT503)*($I:$I=$I503)*($T:$T=$T503)*($S:$S=_xlfn.MINIFS($S:$S,$T:$T,"="&amp;$T503)),""))))&amp;"",IF(P503="","",""))&amp;""</f>
        <v/>
      </c>
      <c r="AX503" t="str" cm="1">
        <f t="array" ref="AX503">IFERROR(IF(Q503&lt;&gt;"",Q503,IF(OR($S503="",$T503=""),"",IF($T503&lt;&gt;"",_xlfn._xlws.FILTER(Q:Q,($BT:$BT=$BT503)*($I:$I=$I503)*($T:$T=$T503)*($S:$S=_xlfn.MINIFS($S:$S,$T:$T,"="&amp;$T503)),""))))&amp;"",IF(Q503="","",""))&amp;""</f>
        <v/>
      </c>
      <c r="AY503" t="str" cm="1">
        <f t="array" ref="AY503">IFERROR(IF(R503&lt;&gt;"",R503,IF(OR($S503="",$T503=""),"",IF($T503&lt;&gt;"",_xlfn._xlws.FILTER(R:R,($BT:$BT=$BT503)*($I:$I=$I503)*($T:$T=$T503)*($S:$S=_xlfn.MINIFS($S:$S,$T:$T,"="&amp;$T503)),""))))&amp;"",IF(R503="","",""))&amp;""</f>
        <v/>
      </c>
      <c r="AZ503" s="6">
        <f t="shared" si="803"/>
        <v>45</v>
      </c>
      <c r="BA503">
        <f t="shared" ref="BA503:BC503" si="880">BA502</f>
        <v>18991</v>
      </c>
      <c r="BB503" t="str">
        <f t="shared" si="880"/>
        <v>Triple J</v>
      </c>
      <c r="BC503" t="str">
        <f t="shared" si="880"/>
        <v>Velodrome</v>
      </c>
      <c r="BD503" t="str">
        <f t="shared" si="805"/>
        <v>Stoppage</v>
      </c>
      <c r="BE503" t="str">
        <f t="shared" si="806"/>
        <v>Stoppage_Play</v>
      </c>
      <c r="BF503" t="str">
        <f t="shared" si="807"/>
        <v>Stoppage-Icing</v>
      </c>
      <c r="BG503" t="str">
        <f t="shared" si="789"/>
        <v/>
      </c>
      <c r="BH503" cm="1">
        <f t="array" aca="1" ref="BH503" ca="1">IFERROR(_xlfn._xlws.FILTER(shifts!A:A,(shifts!B:B=events!Z503)*(shifts!AG:AG&gt;=events!BJ503)*(shifts!AH:AH&lt;=events!BK503)),BH502)</f>
        <v>18</v>
      </c>
      <c r="BI503" s="15">
        <f t="shared" si="808"/>
        <v>0</v>
      </c>
      <c r="BJ503">
        <f t="shared" si="809"/>
        <v>642</v>
      </c>
      <c r="BK503">
        <f t="shared" si="810"/>
        <v>642</v>
      </c>
      <c r="BL503" s="15">
        <f>SUMIFS(BI$2:BI503,K$2:K503,"=Intermission")+SUMIFS(BI$2:BI503,K$2:K503,"=Timeout")</f>
        <v>0</v>
      </c>
      <c r="BM503">
        <f t="shared" si="811"/>
        <v>0</v>
      </c>
      <c r="BN503" s="19">
        <f t="shared" si="812"/>
        <v>438</v>
      </c>
      <c r="BO503">
        <f t="shared" si="813"/>
        <v>433</v>
      </c>
      <c r="BP503" s="17">
        <f t="shared" si="814"/>
        <v>438</v>
      </c>
      <c r="BQ503" t="str">
        <f t="shared" si="815"/>
        <v>event_team_player_1</v>
      </c>
      <c r="BR503">
        <f>COUNTIFS(S$3:S503,"="&amp;S503,AH$3:AH503,"="&amp;AH503)</f>
        <v>1</v>
      </c>
      <c r="BS503" t="str">
        <f>IFERROR(VLOOKUP(BA503&amp;BT503&amp;X503,game_rosters!U:W,3,FALSE),"")</f>
        <v>P100132</v>
      </c>
      <c r="BT503" t="str">
        <f t="shared" si="816"/>
        <v>Velodrome</v>
      </c>
    </row>
    <row r="504" spans="1:72" x14ac:dyDescent="0.2">
      <c r="A504">
        <f t="shared" si="791"/>
        <v>1</v>
      </c>
      <c r="E504" s="4"/>
      <c r="F504" s="45"/>
      <c r="G504" s="4"/>
      <c r="H504" s="47" t="s">
        <v>1055</v>
      </c>
      <c r="I504" s="26">
        <v>14</v>
      </c>
      <c r="J504" s="26" t="s">
        <v>736</v>
      </c>
      <c r="K504" t="s">
        <v>241</v>
      </c>
      <c r="N504" t="str">
        <f t="shared" si="835"/>
        <v/>
      </c>
      <c r="Q504" t="str">
        <f t="shared" si="829"/>
        <v/>
      </c>
      <c r="S504">
        <f>IF(A504=1,MAX($S$2:$S503)+1,IF(OR($I504&lt;&gt;"",A504="x"),$S503,""))</f>
        <v>252</v>
      </c>
      <c r="T504" t="str">
        <f>IF(D504=1,MAX($T$2:$T503)+1,IF(S504=S503,$T503,IF(D504="x",T503,IF(D503="x","",""))))</f>
        <v/>
      </c>
      <c r="U504" t="str">
        <f>IF(B504=1,MAX($U$2:$U503)+1,IF(AND($T504&lt;&gt;"",$T504=$T503),$U503,IF(B504="x",U503,"")))</f>
        <v/>
      </c>
      <c r="V504" t="str">
        <f>IF(C504=1,MAX($V$2:$V503)+1,IF(AND($T504&lt;&gt;"",$T504=$T503),$U503,IF(C504="x",V503,"")))</f>
        <v/>
      </c>
      <c r="W504" t="str" cm="1">
        <f t="array" ref="W504">IFERROR(_xlfn._xlws.FILTER(game_rosters!AC:AC,(game_rosters!J:J=events!X504)*(K504&lt;&gt;"")),"")</f>
        <v>a</v>
      </c>
      <c r="X504" cm="1">
        <f t="array" ref="X504">IF($I504&lt;&gt;"",$I504,INDEX($I$1:$I504,ROW()-COUNTIFS($T$1:$T504,"="&amp;$T504,$S$1:$S504,"&lt;"&amp;$S504)))</f>
        <v>14</v>
      </c>
      <c r="Y504" cm="1">
        <f t="array" ref="Y504">IFERROR(IF(_xlfn._xlws.FILTER(game_rosters!$J:$J,(game_rosters!$G:$G=events!$AM504)*(game_rosters!$J:$J=events!$X504))&gt;0,1,""),"")</f>
        <v>1</v>
      </c>
      <c r="Z504" s="6">
        <f t="shared" si="792"/>
        <v>1</v>
      </c>
      <c r="AA504">
        <f t="shared" si="793"/>
        <v>1252</v>
      </c>
      <c r="AB504" t="str">
        <f t="shared" si="794"/>
        <v/>
      </c>
      <c r="AC504">
        <f t="shared" si="795"/>
        <v>1252</v>
      </c>
      <c r="AD504" t="str">
        <f t="shared" si="796"/>
        <v>10</v>
      </c>
      <c r="AE504" t="str">
        <f t="shared" si="797"/>
        <v>42</v>
      </c>
      <c r="AF504" t="str">
        <f t="shared" si="798"/>
        <v>10</v>
      </c>
      <c r="AG504" t="str">
        <f t="shared" si="799"/>
        <v>23</v>
      </c>
      <c r="AH504" t="str">
        <f t="shared" si="842"/>
        <v>e</v>
      </c>
      <c r="AI504" t="str">
        <f t="shared" si="867"/>
        <v>d</v>
      </c>
      <c r="AJ504" t="str">
        <f t="shared" si="867"/>
        <v>d</v>
      </c>
      <c r="AK504" t="str">
        <f t="shared" si="844"/>
        <v>o</v>
      </c>
      <c r="AL504" t="str">
        <f t="shared" si="845"/>
        <v>d</v>
      </c>
      <c r="AM504" t="str">
        <f t="shared" si="800"/>
        <v>Away</v>
      </c>
      <c r="AN504" t="str">
        <f t="shared" si="846"/>
        <v>a</v>
      </c>
      <c r="AO504" t="str">
        <f t="shared" si="847"/>
        <v>o</v>
      </c>
      <c r="AP504" t="str">
        <f t="shared" si="848"/>
        <v>d</v>
      </c>
      <c r="AQ504" t="str">
        <f>IF(AM504&lt;&gt;"",AM504,IF($AC504=#REF!,#REF!,""))</f>
        <v>Away</v>
      </c>
      <c r="AR504" t="str">
        <f t="shared" si="849"/>
        <v>a</v>
      </c>
      <c r="AS504" t="str">
        <f t="shared" si="850"/>
        <v/>
      </c>
      <c r="AT504" t="str">
        <f t="shared" si="801"/>
        <v/>
      </c>
      <c r="AU504" t="str">
        <f t="shared" si="802"/>
        <v/>
      </c>
      <c r="AV504" t="str" cm="1">
        <f t="array" ref="AV504">IFERROR(IF(O504&lt;&gt;"",O504,IF(OR($S504="",$T504=""),"",IF(O504&lt;&gt;"",O504,IF($T504&lt;&gt;"",_xlfn._xlws.FILTER(O:O,($BT:$BT=$BT504)*($I:$I=$I504)*($T:$T=$T504)*($S:$S=_xlfn.MINIFS($S:$S,$T:$T,"="&amp;$T504)),"")))))&amp;"",IF(O504="","",""))&amp;""</f>
        <v/>
      </c>
      <c r="AW504" t="str" cm="1">
        <f t="array" ref="AW504">IFERROR(IF(P504&lt;&gt;"",P504,IF(OR($S504="",$T504=""),"",IF($T504&lt;&gt;"",_xlfn._xlws.FILTER(P:P,($BT:$BT=$BT504)*($I:$I=$I504)*($T:$T=$T504)*($S:$S=_xlfn.MINIFS($S:$S,$T:$T,"="&amp;$T504)),""))))&amp;"",IF(P504="","",""))&amp;""</f>
        <v/>
      </c>
      <c r="AX504" t="str" cm="1">
        <f t="array" ref="AX504">IFERROR(IF(Q504&lt;&gt;"",Q504,IF(OR($S504="",$T504=""),"",IF($T504&lt;&gt;"",_xlfn._xlws.FILTER(Q:Q,($BT:$BT=$BT504)*($I:$I=$I504)*($T:$T=$T504)*($S:$S=_xlfn.MINIFS($S:$S,$T:$T,"="&amp;$T504)),""))))&amp;"",IF(Q504="","",""))&amp;""</f>
        <v/>
      </c>
      <c r="AY504" t="str" cm="1">
        <f t="array" ref="AY504">IFERROR(IF(R504&lt;&gt;"",R504,IF(OR($S504="",$T504=""),"",IF($T504&lt;&gt;"",_xlfn._xlws.FILTER(R:R,($BT:$BT=$BT504)*($I:$I=$I504)*($T:$T=$T504)*($S:$S=_xlfn.MINIFS($S:$S,$T:$T,"="&amp;$T504)),""))))&amp;"",IF(R504="","",""))&amp;""</f>
        <v/>
      </c>
      <c r="AZ504" s="6">
        <f t="shared" si="803"/>
        <v>45</v>
      </c>
      <c r="BA504">
        <f t="shared" ref="BA504:BC504" si="881">BA503</f>
        <v>18991</v>
      </c>
      <c r="BB504" t="str">
        <f t="shared" si="881"/>
        <v>Triple J</v>
      </c>
      <c r="BC504" t="str">
        <f t="shared" si="881"/>
        <v>Velodrome</v>
      </c>
      <c r="BD504" t="str">
        <f t="shared" si="805"/>
        <v>DeadIce</v>
      </c>
      <c r="BE504" t="str">
        <f t="shared" si="806"/>
        <v/>
      </c>
      <c r="BF504" t="str">
        <f t="shared" si="807"/>
        <v/>
      </c>
      <c r="BG504" t="str">
        <f t="shared" si="789"/>
        <v/>
      </c>
      <c r="BH504" cm="1">
        <f t="array" aca="1" ref="BH504" ca="1">IFERROR(_xlfn._xlws.FILTER(shifts!A:A,(shifts!B:B=events!Z504)*(shifts!AG:AG&gt;=events!BJ504)*(shifts!AH:AH&lt;=events!BK504)),BH503)</f>
        <v>18</v>
      </c>
      <c r="BI504" s="15">
        <f t="shared" si="808"/>
        <v>19</v>
      </c>
      <c r="BJ504">
        <f t="shared" si="809"/>
        <v>642</v>
      </c>
      <c r="BK504">
        <f t="shared" si="810"/>
        <v>623</v>
      </c>
      <c r="BL504" s="15">
        <f>SUMIFS(BI$2:BI504,K$2:K504,"=Intermission")+SUMIFS(BI$2:BI504,K$2:K504,"=Timeout")</f>
        <v>0</v>
      </c>
      <c r="BM504">
        <f t="shared" si="811"/>
        <v>0</v>
      </c>
      <c r="BN504" s="19">
        <f t="shared" si="812"/>
        <v>438</v>
      </c>
      <c r="BO504">
        <f t="shared" si="813"/>
        <v>433</v>
      </c>
      <c r="BP504" s="17">
        <f t="shared" si="814"/>
        <v>457</v>
      </c>
      <c r="BQ504" t="str">
        <f t="shared" si="815"/>
        <v>event_team_player_1</v>
      </c>
      <c r="BR504">
        <f>COUNTIFS(S$3:S504,"="&amp;S504,AH$3:AH504,"="&amp;AH504)</f>
        <v>1</v>
      </c>
      <c r="BS504" t="str">
        <f>IFERROR(VLOOKUP(BA504&amp;BT504&amp;X504,game_rosters!U:W,3,FALSE),"")</f>
        <v>P100132</v>
      </c>
      <c r="BT504" t="str">
        <f t="shared" si="816"/>
        <v>Velodrome</v>
      </c>
    </row>
    <row r="505" spans="1:72" x14ac:dyDescent="0.2">
      <c r="A505">
        <f t="shared" si="791"/>
        <v>1</v>
      </c>
      <c r="E505" s="4"/>
      <c r="F505" s="45"/>
      <c r="G505" s="4"/>
      <c r="H505" s="47"/>
      <c r="I505" s="26">
        <v>70</v>
      </c>
      <c r="J505" s="26" t="s">
        <v>736</v>
      </c>
      <c r="K505" t="s">
        <v>5</v>
      </c>
      <c r="L505" t="s">
        <v>236</v>
      </c>
      <c r="N505" t="str">
        <f t="shared" si="835"/>
        <v/>
      </c>
      <c r="Q505" t="str">
        <f t="shared" si="829"/>
        <v/>
      </c>
      <c r="S505">
        <f>IF(A505=1,MAX($S$2:$S504)+1,IF(OR($I505&lt;&gt;"",A505="x"),$S504,""))</f>
        <v>253</v>
      </c>
      <c r="T505" t="str">
        <f>IF(D505=1,MAX($T$2:$T504)+1,IF(S505=S504,$T504,IF(D505="x",T504,IF(D504="x","",""))))</f>
        <v/>
      </c>
      <c r="U505" t="str">
        <f>IF(B505=1,MAX($U$2:$U504)+1,IF(AND($T505&lt;&gt;"",$T505=$T504),$U504,IF(B505="x",U504,"")))</f>
        <v/>
      </c>
      <c r="V505" t="str">
        <f>IF(C505=1,MAX($V$2:$V504)+1,IF(AND($T505&lt;&gt;"",$T505=$T504),$U504,IF(C505="x",V504,"")))</f>
        <v/>
      </c>
      <c r="W505" t="str" cm="1">
        <f t="array" ref="W505">IFERROR(_xlfn._xlws.FILTER(game_rosters!AC:AC,(game_rosters!J:J=events!X505)*(K505&lt;&gt;"")),"")</f>
        <v>a</v>
      </c>
      <c r="X505" cm="1">
        <f t="array" ref="X505">IF($I505&lt;&gt;"",$I505,INDEX($I$1:$I505,ROW()-COUNTIFS($T$1:$T505,"="&amp;$T505,$S$1:$S505,"&lt;"&amp;$S505)))</f>
        <v>70</v>
      </c>
      <c r="Y505" cm="1">
        <f t="array" ref="Y505">IFERROR(IF(_xlfn._xlws.FILTER(game_rosters!$J:$J,(game_rosters!$G:$G=events!$AM505)*(game_rosters!$J:$J=events!$X505))&gt;0,1,""),"")</f>
        <v>1</v>
      </c>
      <c r="Z505" s="6">
        <f t="shared" si="792"/>
        <v>1</v>
      </c>
      <c r="AA505">
        <f t="shared" si="793"/>
        <v>1253</v>
      </c>
      <c r="AB505" t="str">
        <f t="shared" si="794"/>
        <v/>
      </c>
      <c r="AC505">
        <f t="shared" si="795"/>
        <v>1253</v>
      </c>
      <c r="AD505" t="str">
        <f t="shared" si="796"/>
        <v>10</v>
      </c>
      <c r="AE505" t="str">
        <f t="shared" si="797"/>
        <v>23</v>
      </c>
      <c r="AF505" t="str">
        <f t="shared" si="798"/>
        <v/>
      </c>
      <c r="AG505" t="str">
        <f t="shared" si="799"/>
        <v/>
      </c>
      <c r="AH505" t="str">
        <f t="shared" si="842"/>
        <v>e</v>
      </c>
      <c r="AI505" t="str">
        <f t="shared" si="867"/>
        <v>d</v>
      </c>
      <c r="AJ505" t="str">
        <f t="shared" si="867"/>
        <v>d</v>
      </c>
      <c r="AK505" t="str">
        <f t="shared" si="844"/>
        <v>o</v>
      </c>
      <c r="AL505" t="str">
        <f t="shared" si="845"/>
        <v>d</v>
      </c>
      <c r="AM505" t="str">
        <f t="shared" si="800"/>
        <v>Away</v>
      </c>
      <c r="AN505" t="str">
        <f t="shared" si="846"/>
        <v>a</v>
      </c>
      <c r="AO505" t="str">
        <f t="shared" si="847"/>
        <v>o</v>
      </c>
      <c r="AP505" t="str">
        <f t="shared" si="848"/>
        <v>d</v>
      </c>
      <c r="AQ505" t="str">
        <f>IF(AM505&lt;&gt;"",AM505,IF($AC505=#REF!,#REF!,""))</f>
        <v>Away</v>
      </c>
      <c r="AR505" t="str">
        <f t="shared" si="849"/>
        <v>a</v>
      </c>
      <c r="AS505" t="str">
        <f t="shared" si="850"/>
        <v>Offensive</v>
      </c>
      <c r="AT505" t="str">
        <f t="shared" si="801"/>
        <v/>
      </c>
      <c r="AU505" t="str">
        <f t="shared" si="802"/>
        <v/>
      </c>
      <c r="AV505" t="str" cm="1">
        <f t="array" ref="AV505">IFERROR(IF(O505&lt;&gt;"",O505,IF(OR($S505="",$T505=""),"",IF(O505&lt;&gt;"",O505,IF($T505&lt;&gt;"",_xlfn._xlws.FILTER(O:O,($BT:$BT=$BT505)*($I:$I=$I505)*($T:$T=$T505)*($S:$S=_xlfn.MINIFS($S:$S,$T:$T,"="&amp;$T505)),"")))))&amp;"",IF(O505="","",""))&amp;""</f>
        <v/>
      </c>
      <c r="AW505" t="str" cm="1">
        <f t="array" ref="AW505">IFERROR(IF(P505&lt;&gt;"",P505,IF(OR($S505="",$T505=""),"",IF($T505&lt;&gt;"",_xlfn._xlws.FILTER(P:P,($BT:$BT=$BT505)*($I:$I=$I505)*($T:$T=$T505)*($S:$S=_xlfn.MINIFS($S:$S,$T:$T,"="&amp;$T505)),""))))&amp;"",IF(P505="","",""))&amp;""</f>
        <v/>
      </c>
      <c r="AX505" t="str" cm="1">
        <f t="array" ref="AX505">IFERROR(IF(Q505&lt;&gt;"",Q505,IF(OR($S505="",$T505=""),"",IF($T505&lt;&gt;"",_xlfn._xlws.FILTER(Q:Q,($BT:$BT=$BT505)*($I:$I=$I505)*($T:$T=$T505)*($S:$S=_xlfn.MINIFS($S:$S,$T:$T,"="&amp;$T505)),""))))&amp;"",IF(Q505="","",""))&amp;""</f>
        <v/>
      </c>
      <c r="AY505" t="str" cm="1">
        <f t="array" ref="AY505">IFERROR(IF(R505&lt;&gt;"",R505,IF(OR($S505="",$T505=""),"",IF($T505&lt;&gt;"",_xlfn._xlws.FILTER(R:R,($BT:$BT=$BT505)*($I:$I=$I505)*($T:$T=$T505)*($S:$S=_xlfn.MINIFS($S:$S,$T:$T,"="&amp;$T505)),""))))&amp;"",IF(R505="","",""))&amp;""</f>
        <v/>
      </c>
      <c r="AZ505" s="6">
        <f t="shared" si="803"/>
        <v>45</v>
      </c>
      <c r="BA505">
        <f t="shared" ref="BA505:BC505" si="882">BA504</f>
        <v>18991</v>
      </c>
      <c r="BB505" t="str">
        <f t="shared" si="882"/>
        <v>Triple J</v>
      </c>
      <c r="BC505" t="str">
        <f t="shared" si="882"/>
        <v>Velodrome</v>
      </c>
      <c r="BD505" t="str">
        <f t="shared" si="805"/>
        <v>Faceoff</v>
      </c>
      <c r="BE505" t="str">
        <f t="shared" si="806"/>
        <v>Faceoff_AfterStoppage</v>
      </c>
      <c r="BF505" t="str">
        <f t="shared" si="807"/>
        <v/>
      </c>
      <c r="BG505" t="str">
        <f t="shared" si="789"/>
        <v/>
      </c>
      <c r="BH505" cm="1">
        <f t="array" aca="1" ref="BH505" ca="1">IFERROR(_xlfn._xlws.FILTER(shifts!A:A,(shifts!B:B=events!Z505)*(shifts!AG:AG&gt;=events!BJ505)*(shifts!AH:AH&lt;=events!BK505)),BH504)</f>
        <v>18</v>
      </c>
      <c r="BI505" s="15">
        <f t="shared" si="808"/>
        <v>0</v>
      </c>
      <c r="BJ505">
        <f t="shared" si="809"/>
        <v>623</v>
      </c>
      <c r="BK505">
        <f t="shared" si="810"/>
        <v>623</v>
      </c>
      <c r="BL505" s="15">
        <f>SUMIFS(BI$2:BI505,K$2:K505,"=Intermission")+SUMIFS(BI$2:BI505,K$2:K505,"=Timeout")</f>
        <v>0</v>
      </c>
      <c r="BM505">
        <f t="shared" si="811"/>
        <v>0</v>
      </c>
      <c r="BN505" s="19">
        <f t="shared" si="812"/>
        <v>457</v>
      </c>
      <c r="BO505">
        <f t="shared" si="813"/>
        <v>452</v>
      </c>
      <c r="BP505" s="17">
        <f t="shared" si="814"/>
        <v>457</v>
      </c>
      <c r="BQ505" t="str">
        <f t="shared" si="815"/>
        <v>event_team_player_1</v>
      </c>
      <c r="BR505">
        <f>COUNTIFS(S$3:S505,"="&amp;S505,AH$3:AH505,"="&amp;AH505)</f>
        <v>1</v>
      </c>
      <c r="BS505" t="str">
        <f>IFERROR(VLOOKUP(BA505&amp;BT505&amp;X505,game_rosters!U:W,3,FALSE),"")</f>
        <v>P100001</v>
      </c>
      <c r="BT505" t="str">
        <f t="shared" si="816"/>
        <v>Velodrome</v>
      </c>
    </row>
    <row r="506" spans="1:72" x14ac:dyDescent="0.2">
      <c r="A506" t="str">
        <f t="shared" si="791"/>
        <v/>
      </c>
      <c r="E506" s="4"/>
      <c r="F506" s="45"/>
      <c r="G506" s="4"/>
      <c r="H506" s="47"/>
      <c r="I506" s="26">
        <v>21</v>
      </c>
      <c r="J506" s="26" t="str">
        <f t="shared" si="817"/>
        <v/>
      </c>
      <c r="N506" t="str">
        <f t="shared" si="835"/>
        <v/>
      </c>
      <c r="Q506" t="str">
        <f t="shared" si="829"/>
        <v/>
      </c>
      <c r="S506">
        <f>IF(A506=1,MAX($S$2:$S505)+1,IF(OR($I506&lt;&gt;"",A506="x"),$S505,""))</f>
        <v>253</v>
      </c>
      <c r="T506" t="str">
        <f>IF(D506=1,MAX($T$2:$T505)+1,IF(S506=S505,$T505,IF(D506="x",T505,IF(D505="x","",""))))</f>
        <v/>
      </c>
      <c r="U506" t="str">
        <f>IF(B506=1,MAX($U$2:$U505)+1,IF(AND($T506&lt;&gt;"",$T506=$T505),$U505,IF(B506="x",U505,"")))</f>
        <v/>
      </c>
      <c r="V506" t="str">
        <f>IF(C506=1,MAX($V$2:$V505)+1,IF(AND($T506&lt;&gt;"",$T506=$T505),$U505,IF(C506="x",V505,"")))</f>
        <v/>
      </c>
      <c r="W506" t="str" cm="1">
        <f t="array" ref="W506">IFERROR(_xlfn._xlws.FILTER(game_rosters!AC:AC,(game_rosters!J:J=events!X506)*(K506&lt;&gt;"")),"")</f>
        <v/>
      </c>
      <c r="X506" cm="1">
        <f t="array" ref="X506">IF($I506&lt;&gt;"",$I506,INDEX($I$1:$I506,ROW()-COUNTIFS($T$1:$T506,"="&amp;$T506,$S$1:$S506,"&lt;"&amp;$S506)))</f>
        <v>21</v>
      </c>
      <c r="Y506" t="str" cm="1">
        <f t="array" ref="Y506">IFERROR(IF(_xlfn._xlws.FILTER(game_rosters!$J:$J,(game_rosters!$G:$G=events!$AM506)*(game_rosters!$J:$J=events!$X506))&gt;0,1,""),"")</f>
        <v/>
      </c>
      <c r="Z506" s="6">
        <f t="shared" si="792"/>
        <v>1</v>
      </c>
      <c r="AA506">
        <f t="shared" si="793"/>
        <v>1253</v>
      </c>
      <c r="AB506" t="str">
        <f t="shared" si="794"/>
        <v/>
      </c>
      <c r="AC506">
        <f t="shared" si="795"/>
        <v>1253</v>
      </c>
      <c r="AD506" t="str">
        <f t="shared" si="796"/>
        <v>10</v>
      </c>
      <c r="AE506" t="str">
        <f t="shared" si="797"/>
        <v>23</v>
      </c>
      <c r="AF506" t="str">
        <f t="shared" si="798"/>
        <v/>
      </c>
      <c r="AG506" t="str">
        <f t="shared" si="799"/>
        <v/>
      </c>
      <c r="AH506" t="str">
        <f t="shared" si="842"/>
        <v>o</v>
      </c>
      <c r="AI506" t="str">
        <f t="shared" si="867"/>
        <v>d</v>
      </c>
      <c r="AJ506" t="str">
        <f t="shared" si="867"/>
        <v>d</v>
      </c>
      <c r="AK506" t="str">
        <f t="shared" si="844"/>
        <v/>
      </c>
      <c r="AL506" t="str">
        <f t="shared" si="845"/>
        <v/>
      </c>
      <c r="AM506" t="str">
        <f t="shared" si="800"/>
        <v>Away</v>
      </c>
      <c r="AN506" t="str">
        <f t="shared" si="846"/>
        <v>a</v>
      </c>
      <c r="AO506" t="str">
        <f t="shared" si="847"/>
        <v>o</v>
      </c>
      <c r="AP506" t="str">
        <f t="shared" si="848"/>
        <v>d</v>
      </c>
      <c r="AQ506" t="str">
        <f>IF(AM506&lt;&gt;"",AM506,IF($AC506=#REF!,#REF!,""))</f>
        <v>Away</v>
      </c>
      <c r="AR506" t="str">
        <f t="shared" si="849"/>
        <v>a</v>
      </c>
      <c r="AS506" t="str">
        <f t="shared" si="850"/>
        <v>Defensive</v>
      </c>
      <c r="AT506" t="str">
        <f t="shared" si="801"/>
        <v/>
      </c>
      <c r="AU506" t="str">
        <f t="shared" si="802"/>
        <v/>
      </c>
      <c r="AV506" t="str" cm="1">
        <f t="array" ref="AV506">IFERROR(IF(O506&lt;&gt;"",O506,IF(OR($S506="",$T506=""),"",IF(O506&lt;&gt;"",O506,IF($T506&lt;&gt;"",_xlfn._xlws.FILTER(O:O,($BT:$BT=$BT506)*($I:$I=$I506)*($T:$T=$T506)*($S:$S=_xlfn.MINIFS($S:$S,$T:$T,"="&amp;$T506)),"")))))&amp;"",IF(O506="","",""))&amp;""</f>
        <v/>
      </c>
      <c r="AW506" t="str" cm="1">
        <f t="array" ref="AW506">IFERROR(IF(P506&lt;&gt;"",P506,IF(OR($S506="",$T506=""),"",IF($T506&lt;&gt;"",_xlfn._xlws.FILTER(P:P,($BT:$BT=$BT506)*($I:$I=$I506)*($T:$T=$T506)*($S:$S=_xlfn.MINIFS($S:$S,$T:$T,"="&amp;$T506)),""))))&amp;"",IF(P506="","",""))&amp;""</f>
        <v/>
      </c>
      <c r="AX506" t="str" cm="1">
        <f t="array" ref="AX506">IFERROR(IF(Q506&lt;&gt;"",Q506,IF(OR($S506="",$T506=""),"",IF($T506&lt;&gt;"",_xlfn._xlws.FILTER(Q:Q,($BT:$BT=$BT506)*($I:$I=$I506)*($T:$T=$T506)*($S:$S=_xlfn.MINIFS($S:$S,$T:$T,"="&amp;$T506)),""))))&amp;"",IF(Q506="","",""))&amp;""</f>
        <v/>
      </c>
      <c r="AY506" t="str" cm="1">
        <f t="array" ref="AY506">IFERROR(IF(R506&lt;&gt;"",R506,IF(OR($S506="",$T506=""),"",IF($T506&lt;&gt;"",_xlfn._xlws.FILTER(R:R,($BT:$BT=$BT506)*($I:$I=$I506)*($T:$T=$T506)*($S:$S=_xlfn.MINIFS($S:$S,$T:$T,"="&amp;$T506)),""))))&amp;"",IF(R506="","",""))&amp;""</f>
        <v/>
      </c>
      <c r="AZ506" s="6">
        <f t="shared" si="803"/>
        <v>45</v>
      </c>
      <c r="BA506">
        <f t="shared" ref="BA506:BC506" si="883">BA505</f>
        <v>18991</v>
      </c>
      <c r="BB506" t="str">
        <f t="shared" si="883"/>
        <v>Triple J</v>
      </c>
      <c r="BC506" t="str">
        <f t="shared" si="883"/>
        <v>Velodrome</v>
      </c>
      <c r="BD506" t="str">
        <f t="shared" si="805"/>
        <v>Faceoff</v>
      </c>
      <c r="BE506" t="str">
        <f t="shared" si="806"/>
        <v>Faceoff_AfterStoppage</v>
      </c>
      <c r="BF506" t="str">
        <f t="shared" si="807"/>
        <v/>
      </c>
      <c r="BG506" t="str">
        <f t="shared" si="789"/>
        <v/>
      </c>
      <c r="BH506" cm="1">
        <f t="array" aca="1" ref="BH506" ca="1">IFERROR(_xlfn._xlws.FILTER(shifts!A:A,(shifts!B:B=events!Z506)*(shifts!AG:AG&gt;=events!BJ506)*(shifts!AH:AH&lt;=events!BK506)),BH505)</f>
        <v>18</v>
      </c>
      <c r="BI506" s="15">
        <f t="shared" si="808"/>
        <v>0</v>
      </c>
      <c r="BJ506">
        <f t="shared" si="809"/>
        <v>623</v>
      </c>
      <c r="BK506">
        <f t="shared" si="810"/>
        <v>623</v>
      </c>
      <c r="BL506" s="15">
        <f>SUMIFS(BI$2:BI506,K$2:K506,"=Intermission")+SUMIFS(BI$2:BI506,K$2:K506,"=Timeout")</f>
        <v>0</v>
      </c>
      <c r="BM506">
        <f t="shared" si="811"/>
        <v>0</v>
      </c>
      <c r="BN506" s="19">
        <f t="shared" si="812"/>
        <v>457</v>
      </c>
      <c r="BO506">
        <f t="shared" si="813"/>
        <v>452</v>
      </c>
      <c r="BP506" s="17">
        <f t="shared" si="814"/>
        <v>457</v>
      </c>
      <c r="BQ506" t="str">
        <f t="shared" si="815"/>
        <v>opp_team_player_1</v>
      </c>
      <c r="BR506">
        <f>COUNTIFS(S$3:S506,"="&amp;S506,AH$3:AH506,"="&amp;AH506)</f>
        <v>1</v>
      </c>
      <c r="BS506" t="str">
        <f>IFERROR(VLOOKUP(BA506&amp;BT506&amp;X506,game_rosters!U:W,3,FALSE),"")</f>
        <v>P100019</v>
      </c>
      <c r="BT506" t="str">
        <f t="shared" si="816"/>
        <v>Triple J</v>
      </c>
    </row>
    <row r="507" spans="1:72" x14ac:dyDescent="0.2">
      <c r="A507">
        <f t="shared" si="791"/>
        <v>1</v>
      </c>
      <c r="E507" s="4"/>
      <c r="F507" s="45" t="s">
        <v>741</v>
      </c>
      <c r="G507" s="4"/>
      <c r="H507" s="47" t="s">
        <v>743</v>
      </c>
      <c r="I507" s="26">
        <v>69</v>
      </c>
      <c r="J507" s="26" t="s">
        <v>368</v>
      </c>
      <c r="K507" t="s">
        <v>13</v>
      </c>
      <c r="L507" t="s">
        <v>586</v>
      </c>
      <c r="N507" t="s">
        <v>594</v>
      </c>
      <c r="O507" t="s">
        <v>905</v>
      </c>
      <c r="Q507" t="str">
        <f t="shared" si="829"/>
        <v>u</v>
      </c>
      <c r="R507" s="26">
        <v>1</v>
      </c>
      <c r="S507">
        <f>IF(A507=1,MAX($S$2:$S506)+1,IF(OR($I507&lt;&gt;"",A507="x"),$S506,""))</f>
        <v>254</v>
      </c>
      <c r="T507" t="str">
        <f>IF(D507=1,MAX($T$2:$T506)+1,IF(S507=S506,$T506,IF(D507="x",T506,IF(D506="x","",""))))</f>
        <v/>
      </c>
      <c r="U507" t="str">
        <f>IF(B507=1,MAX($U$2:$U506)+1,IF(AND($T507&lt;&gt;"",$T507=$T506),$U506,IF(B507="x",U506,"")))</f>
        <v/>
      </c>
      <c r="V507" t="str">
        <f>IF(C507=1,MAX($V$2:$V506)+1,IF(AND($T507&lt;&gt;"",$T507=$T506),$U506,IF(C507="x",V506,"")))</f>
        <v/>
      </c>
      <c r="W507" t="str" cm="1">
        <f t="array" ref="W507">IFERROR(_xlfn._xlws.FILTER(game_rosters!AC:AC,(game_rosters!J:J=events!X507)*(K507&lt;&gt;"")),"")</f>
        <v>h</v>
      </c>
      <c r="X507" cm="1">
        <f t="array" ref="X507">IF($I507&lt;&gt;"",$I507,INDEX($I$1:$I507,ROW()-COUNTIFS($T$1:$T507,"="&amp;$T507,$S$1:$S507,"&lt;"&amp;$S507)))</f>
        <v>69</v>
      </c>
      <c r="Y507" cm="1">
        <f t="array" ref="Y507">IFERROR(IF(_xlfn._xlws.FILTER(game_rosters!$J:$J,(game_rosters!$G:$G=events!$AM507)*(game_rosters!$J:$J=events!$X507))&gt;0,1,""),"")</f>
        <v>1</v>
      </c>
      <c r="Z507" s="6">
        <f t="shared" si="792"/>
        <v>1</v>
      </c>
      <c r="AA507">
        <f t="shared" si="793"/>
        <v>1254</v>
      </c>
      <c r="AB507" t="str">
        <f t="shared" si="794"/>
        <v/>
      </c>
      <c r="AC507">
        <f t="shared" si="795"/>
        <v>1254</v>
      </c>
      <c r="AD507" t="str">
        <f t="shared" si="796"/>
        <v>10</v>
      </c>
      <c r="AE507" t="str">
        <f t="shared" si="797"/>
        <v>21</v>
      </c>
      <c r="AF507" t="str">
        <f t="shared" si="798"/>
        <v>10</v>
      </c>
      <c r="AG507" t="str">
        <f t="shared" si="799"/>
        <v>18</v>
      </c>
      <c r="AH507" t="str">
        <f t="shared" si="842"/>
        <v>e</v>
      </c>
      <c r="AI507" t="str">
        <f t="shared" ref="AI507:AJ522" si="884">IF($J507&lt;&gt;"",$J507,IF($AC507=$AC506,AI506,""))</f>
        <v>o</v>
      </c>
      <c r="AJ507" t="str">
        <f t="shared" si="884"/>
        <v>o</v>
      </c>
      <c r="AK507" t="str">
        <f t="shared" si="844"/>
        <v>o</v>
      </c>
      <c r="AL507" t="str">
        <f t="shared" si="845"/>
        <v>d</v>
      </c>
      <c r="AM507" t="str">
        <f t="shared" si="800"/>
        <v>Home</v>
      </c>
      <c r="AN507" t="str">
        <f t="shared" si="846"/>
        <v>h</v>
      </c>
      <c r="AO507" t="str">
        <f t="shared" si="847"/>
        <v>o</v>
      </c>
      <c r="AP507" t="str">
        <f t="shared" si="848"/>
        <v>d</v>
      </c>
      <c r="AQ507" t="str">
        <f>IF(AM507&lt;&gt;"",AM507,IF($AC507=#REF!,#REF!,""))</f>
        <v>Home</v>
      </c>
      <c r="AR507" t="str">
        <f t="shared" si="849"/>
        <v>h</v>
      </c>
      <c r="AS507" t="str">
        <f t="shared" si="850"/>
        <v>Offensive</v>
      </c>
      <c r="AT507" t="str">
        <f t="shared" si="801"/>
        <v/>
      </c>
      <c r="AU507" t="str">
        <f t="shared" si="802"/>
        <v/>
      </c>
      <c r="AV507" t="str" cm="1">
        <f t="array" ref="AV507">IFERROR(IF(O507&lt;&gt;"",O507,IF(OR($S507="",$T507=""),"",IF(O507&lt;&gt;"",O507,IF($T507&lt;&gt;"",_xlfn._xlws.FILTER(O:O,($BT:$BT=$BT507)*($I:$I=$I507)*($T:$T=$T507)*($S:$S=_xlfn.MINIFS($S:$S,$T:$T,"="&amp;$T507)),"")))))&amp;"",IF(O507="","",""))&amp;""</f>
        <v>PuckRecoveryRetreivalFaceoff</v>
      </c>
      <c r="AW507" t="str" cm="1">
        <f t="array" ref="AW507">IFERROR(IF(P507&lt;&gt;"",P507,IF(OR($S507="",$T507=""),"",IF($T507&lt;&gt;"",_xlfn._xlws.FILTER(P:P,($BT:$BT=$BT507)*($I:$I=$I507)*($T:$T=$T507)*($S:$S=_xlfn.MINIFS($S:$S,$T:$T,"="&amp;$T507)),""))))&amp;"",IF(P507="","",""))&amp;""</f>
        <v/>
      </c>
      <c r="AX507" t="str" cm="1">
        <f t="array" ref="AX507">IFERROR(IF(Q507&lt;&gt;"",Q507,IF(OR($S507="",$T507=""),"",IF($T507&lt;&gt;"",_xlfn._xlws.FILTER(Q:Q,($BT:$BT=$BT507)*($I:$I=$I507)*($T:$T=$T507)*($S:$S=_xlfn.MINIFS($S:$S,$T:$T,"="&amp;$T507)),""))))&amp;"",IF(Q507="","",""))&amp;""</f>
        <v>u</v>
      </c>
      <c r="AY507" t="str" cm="1">
        <f t="array" ref="AY507">IFERROR(IF(R507&lt;&gt;"",R507,IF(OR($S507="",$T507=""),"",IF($T507&lt;&gt;"",_xlfn._xlws.FILTER(R:R,($BT:$BT=$BT507)*($I:$I=$I507)*($T:$T=$T507)*($S:$S=_xlfn.MINIFS($S:$S,$T:$T,"="&amp;$T507)),""))))&amp;"",IF(R507="","",""))&amp;""</f>
        <v>1</v>
      </c>
      <c r="AZ507" s="6">
        <f t="shared" si="803"/>
        <v>45</v>
      </c>
      <c r="BA507">
        <f t="shared" ref="BA507:BC507" si="885">BA506</f>
        <v>18991</v>
      </c>
      <c r="BB507" t="str">
        <f t="shared" si="885"/>
        <v>Triple J</v>
      </c>
      <c r="BC507" t="str">
        <f t="shared" si="885"/>
        <v>Velodrome</v>
      </c>
      <c r="BD507" t="str">
        <f t="shared" si="805"/>
        <v>Possession</v>
      </c>
      <c r="BE507" t="str">
        <f t="shared" si="806"/>
        <v>PuckRetrieval</v>
      </c>
      <c r="BF507" t="str">
        <f t="shared" si="807"/>
        <v/>
      </c>
      <c r="BG507" t="str">
        <f t="shared" si="789"/>
        <v>u</v>
      </c>
      <c r="BH507" cm="1">
        <f t="array" aca="1" ref="BH507" ca="1">IFERROR(_xlfn._xlws.FILTER(shifts!A:A,(shifts!B:B=events!Z507)*(shifts!AG:AG&gt;=events!BJ507)*(shifts!AH:AH&lt;=events!BK507)),BH506)</f>
        <v>18</v>
      </c>
      <c r="BI507" s="15">
        <f t="shared" si="808"/>
        <v>3</v>
      </c>
      <c r="BJ507">
        <f t="shared" si="809"/>
        <v>621</v>
      </c>
      <c r="BK507">
        <f t="shared" si="810"/>
        <v>618</v>
      </c>
      <c r="BL507" s="15">
        <f>SUMIFS(BI$2:BI507,K$2:K507,"=Intermission")+SUMIFS(BI$2:BI507,K$2:K507,"=Timeout")</f>
        <v>0</v>
      </c>
      <c r="BM507">
        <f t="shared" si="811"/>
        <v>0</v>
      </c>
      <c r="BN507" s="19">
        <f t="shared" si="812"/>
        <v>459</v>
      </c>
      <c r="BO507">
        <f t="shared" si="813"/>
        <v>454</v>
      </c>
      <c r="BP507" s="17">
        <f t="shared" si="814"/>
        <v>462</v>
      </c>
      <c r="BQ507" t="str">
        <f t="shared" si="815"/>
        <v>event_team_player_1</v>
      </c>
      <c r="BR507">
        <f>COUNTIFS(S$3:S507,"="&amp;S507,AH$3:AH507,"="&amp;AH507)</f>
        <v>1</v>
      </c>
      <c r="BS507" t="str">
        <f>IFERROR(VLOOKUP(BA507&amp;BT507&amp;X507,game_rosters!U:W,3,FALSE),"")</f>
        <v>P100014</v>
      </c>
      <c r="BT507" t="str">
        <f t="shared" si="816"/>
        <v>Triple J</v>
      </c>
    </row>
    <row r="508" spans="1:72" x14ac:dyDescent="0.2">
      <c r="A508" t="str">
        <f t="shared" si="791"/>
        <v/>
      </c>
      <c r="E508" s="4"/>
      <c r="F508" s="45"/>
      <c r="G508" s="4"/>
      <c r="H508" s="47"/>
      <c r="I508" s="26">
        <v>70</v>
      </c>
      <c r="J508" s="26" t="str">
        <f t="shared" si="817"/>
        <v/>
      </c>
      <c r="N508" s="39" t="s">
        <v>756</v>
      </c>
      <c r="Q508" t="str">
        <f t="shared" si="829"/>
        <v/>
      </c>
      <c r="R508" s="26">
        <v>1</v>
      </c>
      <c r="S508">
        <f>IF(A508=1,MAX($S$2:$S507)+1,IF(OR($I508&lt;&gt;"",A508="x"),$S507,""))</f>
        <v>254</v>
      </c>
      <c r="T508" t="str">
        <f>IF(D508=1,MAX($T$2:$T507)+1,IF(S508=S507,$T507,IF(D508="x",T507,IF(D507="x","",""))))</f>
        <v/>
      </c>
      <c r="U508" t="str">
        <f>IF(B508=1,MAX($U$2:$U507)+1,IF(AND($T508&lt;&gt;"",$T508=$T507),$U507,IF(B508="x",U507,"")))</f>
        <v/>
      </c>
      <c r="V508" t="str">
        <f>IF(C508=1,MAX($V$2:$V507)+1,IF(AND($T508&lt;&gt;"",$T508=$T507),$U507,IF(C508="x",V507,"")))</f>
        <v/>
      </c>
      <c r="W508" t="str" cm="1">
        <f t="array" ref="W508">IFERROR(_xlfn._xlws.FILTER(game_rosters!AC:AC,(game_rosters!J:J=events!X508)*(K508&lt;&gt;"")),"")</f>
        <v/>
      </c>
      <c r="X508" cm="1">
        <f t="array" ref="X508">IF($I508&lt;&gt;"",$I508,INDEX($I$1:$I508,ROW()-COUNTIFS($T$1:$T508,"="&amp;$T508,$S$1:$S508,"&lt;"&amp;$S508)))</f>
        <v>70</v>
      </c>
      <c r="Y508" t="str" cm="1">
        <f t="array" ref="Y508">IFERROR(IF(_xlfn._xlws.FILTER(game_rosters!$J:$J,(game_rosters!$G:$G=events!$AM508)*(game_rosters!$J:$J=events!$X508))&gt;0,1,""),"")</f>
        <v/>
      </c>
      <c r="Z508" s="6">
        <f t="shared" si="792"/>
        <v>1</v>
      </c>
      <c r="AA508">
        <f t="shared" si="793"/>
        <v>1254</v>
      </c>
      <c r="AB508" t="str">
        <f t="shared" si="794"/>
        <v/>
      </c>
      <c r="AC508">
        <f t="shared" si="795"/>
        <v>1254</v>
      </c>
      <c r="AD508" t="str">
        <f t="shared" si="796"/>
        <v>10</v>
      </c>
      <c r="AE508" t="str">
        <f t="shared" si="797"/>
        <v>21</v>
      </c>
      <c r="AF508" t="str">
        <f t="shared" si="798"/>
        <v>10</v>
      </c>
      <c r="AG508" t="str">
        <f t="shared" si="799"/>
        <v>18</v>
      </c>
      <c r="AH508" t="str">
        <f t="shared" si="842"/>
        <v>o</v>
      </c>
      <c r="AI508" t="str">
        <f t="shared" si="884"/>
        <v>o</v>
      </c>
      <c r="AJ508" t="str">
        <f t="shared" si="884"/>
        <v>o</v>
      </c>
      <c r="AK508" t="str">
        <f t="shared" si="844"/>
        <v/>
      </c>
      <c r="AL508" t="str">
        <f t="shared" si="845"/>
        <v/>
      </c>
      <c r="AM508" t="str">
        <f t="shared" si="800"/>
        <v>Home</v>
      </c>
      <c r="AN508" t="str">
        <f t="shared" si="846"/>
        <v>h</v>
      </c>
      <c r="AO508" t="str">
        <f t="shared" si="847"/>
        <v>o</v>
      </c>
      <c r="AP508" t="str">
        <f t="shared" si="848"/>
        <v>d</v>
      </c>
      <c r="AQ508" t="str">
        <f>IF(AM508&lt;&gt;"",AM508,IF($AC508=#REF!,#REF!,""))</f>
        <v>Home</v>
      </c>
      <c r="AR508" t="str">
        <f t="shared" si="849"/>
        <v>h</v>
      </c>
      <c r="AS508" t="str">
        <f t="shared" si="850"/>
        <v>Defensive</v>
      </c>
      <c r="AT508" t="str">
        <f t="shared" si="801"/>
        <v/>
      </c>
      <c r="AU508" t="str">
        <f t="shared" si="802"/>
        <v/>
      </c>
      <c r="AV508" t="str" cm="1">
        <f t="array" ref="AV508">IFERROR(IF(O508&lt;&gt;"",O508,IF(OR($S508="",$T508=""),"",IF(O508&lt;&gt;"",O508,IF($T508&lt;&gt;"",_xlfn._xlws.FILTER(O:O,($BT:$BT=$BT508)*($I:$I=$I508)*($T:$T=$T508)*($S:$S=_xlfn.MINIFS($S:$S,$T:$T,"="&amp;$T508)),"")))))&amp;"",IF(O508="","",""))&amp;""</f>
        <v/>
      </c>
      <c r="AW508" t="str" cm="1">
        <f t="array" ref="AW508">IFERROR(IF(P508&lt;&gt;"",P508,IF(OR($S508="",$T508=""),"",IF($T508&lt;&gt;"",_xlfn._xlws.FILTER(P:P,($BT:$BT=$BT508)*($I:$I=$I508)*($T:$T=$T508)*($S:$S=_xlfn.MINIFS($S:$S,$T:$T,"="&amp;$T508)),""))))&amp;"",IF(P508="","",""))&amp;""</f>
        <v/>
      </c>
      <c r="AX508" t="str" cm="1">
        <f t="array" ref="AX508">IFERROR(IF(Q508&lt;&gt;"",Q508,IF(OR($S508="",$T508=""),"",IF($T508&lt;&gt;"",_xlfn._xlws.FILTER(Q:Q,($BT:$BT=$BT508)*($I:$I=$I508)*($T:$T=$T508)*($S:$S=_xlfn.MINIFS($S:$S,$T:$T,"="&amp;$T508)),""))))&amp;"",IF(Q508="","",""))&amp;""</f>
        <v/>
      </c>
      <c r="AY508" t="str" cm="1">
        <f t="array" ref="AY508">IFERROR(IF(R508&lt;&gt;"",R508,IF(OR($S508="",$T508=""),"",IF($T508&lt;&gt;"",_xlfn._xlws.FILTER(R:R,($BT:$BT=$BT508)*($I:$I=$I508)*($T:$T=$T508)*($S:$S=_xlfn.MINIFS($S:$S,$T:$T,"="&amp;$T508)),""))))&amp;"",IF(R508="","",""))&amp;""</f>
        <v>1</v>
      </c>
      <c r="AZ508" s="6">
        <f t="shared" si="803"/>
        <v>45</v>
      </c>
      <c r="BA508">
        <f t="shared" ref="BA508:BC508" si="886">BA507</f>
        <v>18991</v>
      </c>
      <c r="BB508" t="str">
        <f t="shared" si="886"/>
        <v>Triple J</v>
      </c>
      <c r="BC508" t="str">
        <f t="shared" si="886"/>
        <v>Velodrome</v>
      </c>
      <c r="BD508" t="str">
        <f t="shared" si="805"/>
        <v>Possession</v>
      </c>
      <c r="BE508" t="str">
        <f t="shared" si="806"/>
        <v>PuckRetrieval</v>
      </c>
      <c r="BF508" t="str">
        <f t="shared" si="807"/>
        <v/>
      </c>
      <c r="BG508" t="str">
        <f t="shared" si="789"/>
        <v>u</v>
      </c>
      <c r="BH508" cm="1">
        <f t="array" aca="1" ref="BH508" ca="1">IFERROR(_xlfn._xlws.FILTER(shifts!A:A,(shifts!B:B=events!Z508)*(shifts!AG:AG&gt;=events!BJ508)*(shifts!AH:AH&lt;=events!BK508)),BH507)</f>
        <v>18</v>
      </c>
      <c r="BI508" s="15">
        <f t="shared" si="808"/>
        <v>3</v>
      </c>
      <c r="BJ508">
        <f t="shared" si="809"/>
        <v>621</v>
      </c>
      <c r="BK508">
        <f t="shared" si="810"/>
        <v>618</v>
      </c>
      <c r="BL508" s="15">
        <f>SUMIFS(BI$2:BI508,K$2:K508,"=Intermission")+SUMIFS(BI$2:BI508,K$2:K508,"=Timeout")</f>
        <v>0</v>
      </c>
      <c r="BM508">
        <f t="shared" si="811"/>
        <v>0</v>
      </c>
      <c r="BN508" s="19">
        <f t="shared" si="812"/>
        <v>459</v>
      </c>
      <c r="BO508">
        <f t="shared" si="813"/>
        <v>454</v>
      </c>
      <c r="BP508" s="17">
        <f t="shared" si="814"/>
        <v>462</v>
      </c>
      <c r="BQ508" t="str">
        <f t="shared" si="815"/>
        <v>opp_team_player_1</v>
      </c>
      <c r="BR508">
        <f>COUNTIFS(S$3:S508,"="&amp;S508,AH$3:AH508,"="&amp;AH508)</f>
        <v>1</v>
      </c>
      <c r="BS508" t="str">
        <f>IFERROR(VLOOKUP(BA508&amp;BT508&amp;X508,game_rosters!U:W,3,FALSE),"")</f>
        <v>P100001</v>
      </c>
      <c r="BT508" t="str">
        <f t="shared" si="816"/>
        <v>Velodrome</v>
      </c>
    </row>
    <row r="509" spans="1:72" x14ac:dyDescent="0.2">
      <c r="A509" t="str">
        <f t="shared" si="791"/>
        <v/>
      </c>
      <c r="E509" s="4"/>
      <c r="F509" s="45"/>
      <c r="G509" s="4"/>
      <c r="H509" s="47"/>
      <c r="I509" s="26">
        <v>91</v>
      </c>
      <c r="J509" s="26" t="str">
        <f t="shared" si="817"/>
        <v/>
      </c>
      <c r="N509" t="str">
        <f t="shared" si="835"/>
        <v/>
      </c>
      <c r="Q509" t="str">
        <f t="shared" si="829"/>
        <v/>
      </c>
      <c r="R509" s="26">
        <v>1</v>
      </c>
      <c r="S509">
        <f>IF(A509=1,MAX($S$2:$S508)+1,IF(OR($I509&lt;&gt;"",A509="x"),$S508,""))</f>
        <v>254</v>
      </c>
      <c r="T509" t="str">
        <f>IF(D509=1,MAX($T$2:$T508)+1,IF(S509=S508,$T508,IF(D509="x",T508,IF(D508="x","",""))))</f>
        <v/>
      </c>
      <c r="U509" t="str">
        <f>IF(B509=1,MAX($U$2:$U508)+1,IF(AND($T509&lt;&gt;"",$T509=$T508),$U508,IF(B509="x",U508,"")))</f>
        <v/>
      </c>
      <c r="V509" t="str">
        <f>IF(C509=1,MAX($V$2:$V508)+1,IF(AND($T509&lt;&gt;"",$T509=$T508),$U508,IF(C509="x",V508,"")))</f>
        <v/>
      </c>
      <c r="W509" t="str" cm="1">
        <f t="array" ref="W509">IFERROR(_xlfn._xlws.FILTER(game_rosters!AC:AC,(game_rosters!J:J=events!X509)*(K509&lt;&gt;"")),"")</f>
        <v/>
      </c>
      <c r="X509" cm="1">
        <f t="array" ref="X509">IF($I509&lt;&gt;"",$I509,INDEX($I$1:$I509,ROW()-COUNTIFS($T$1:$T509,"="&amp;$T509,$S$1:$S509,"&lt;"&amp;$S509)))</f>
        <v>91</v>
      </c>
      <c r="Y509" t="str" cm="1">
        <f t="array" ref="Y509">IFERROR(IF(_xlfn._xlws.FILTER(game_rosters!$J:$J,(game_rosters!$G:$G=events!$AM509)*(game_rosters!$J:$J=events!$X509))&gt;0,1,""),"")</f>
        <v/>
      </c>
      <c r="Z509" s="6">
        <f t="shared" si="792"/>
        <v>1</v>
      </c>
      <c r="AA509">
        <f t="shared" si="793"/>
        <v>1254</v>
      </c>
      <c r="AB509" t="str">
        <f t="shared" si="794"/>
        <v/>
      </c>
      <c r="AC509">
        <f t="shared" si="795"/>
        <v>1254</v>
      </c>
      <c r="AD509" t="str">
        <f t="shared" si="796"/>
        <v>10</v>
      </c>
      <c r="AE509" t="str">
        <f t="shared" si="797"/>
        <v>21</v>
      </c>
      <c r="AF509" t="str">
        <f t="shared" si="798"/>
        <v>10</v>
      </c>
      <c r="AG509" t="str">
        <f t="shared" si="799"/>
        <v>18</v>
      </c>
      <c r="AH509" t="str">
        <f t="shared" si="842"/>
        <v>o</v>
      </c>
      <c r="AI509" t="str">
        <f t="shared" si="884"/>
        <v>o</v>
      </c>
      <c r="AJ509" t="str">
        <f t="shared" si="884"/>
        <v>o</v>
      </c>
      <c r="AK509" t="str">
        <f t="shared" si="844"/>
        <v/>
      </c>
      <c r="AL509" t="str">
        <f t="shared" si="845"/>
        <v/>
      </c>
      <c r="AM509" t="str">
        <f t="shared" si="800"/>
        <v>Home</v>
      </c>
      <c r="AN509" t="str">
        <f t="shared" si="846"/>
        <v>h</v>
      </c>
      <c r="AO509" t="str">
        <f t="shared" si="847"/>
        <v>o</v>
      </c>
      <c r="AP509" t="str">
        <f t="shared" si="848"/>
        <v>d</v>
      </c>
      <c r="AQ509" t="str">
        <f>IF(AM509&lt;&gt;"",AM509,IF($AC509=#REF!,#REF!,""))</f>
        <v>Home</v>
      </c>
      <c r="AR509" t="str">
        <f t="shared" si="849"/>
        <v>h</v>
      </c>
      <c r="AS509" t="str">
        <f t="shared" si="850"/>
        <v>Defensive</v>
      </c>
      <c r="AT509" t="str">
        <f t="shared" si="801"/>
        <v/>
      </c>
      <c r="AU509" t="str">
        <f t="shared" si="802"/>
        <v/>
      </c>
      <c r="AV509" t="str" cm="1">
        <f t="array" ref="AV509">IFERROR(IF(O509&lt;&gt;"",O509,IF(OR($S509="",$T509=""),"",IF(O509&lt;&gt;"",O509,IF($T509&lt;&gt;"",_xlfn._xlws.FILTER(O:O,($BT:$BT=$BT509)*($I:$I=$I509)*($T:$T=$T509)*($S:$S=_xlfn.MINIFS($S:$S,$T:$T,"="&amp;$T509)),"")))))&amp;"",IF(O509="","",""))&amp;""</f>
        <v/>
      </c>
      <c r="AW509" t="str" cm="1">
        <f t="array" ref="AW509">IFERROR(IF(P509&lt;&gt;"",P509,IF(OR($S509="",$T509=""),"",IF($T509&lt;&gt;"",_xlfn._xlws.FILTER(P:P,($BT:$BT=$BT509)*($I:$I=$I509)*($T:$T=$T509)*($S:$S=_xlfn.MINIFS($S:$S,$T:$T,"="&amp;$T509)),""))))&amp;"",IF(P509="","",""))&amp;""</f>
        <v/>
      </c>
      <c r="AX509" t="str" cm="1">
        <f t="array" ref="AX509">IFERROR(IF(Q509&lt;&gt;"",Q509,IF(OR($S509="",$T509=""),"",IF($T509&lt;&gt;"",_xlfn._xlws.FILTER(Q:Q,($BT:$BT=$BT509)*($I:$I=$I509)*($T:$T=$T509)*($S:$S=_xlfn.MINIFS($S:$S,$T:$T,"="&amp;$T509)),""))))&amp;"",IF(Q509="","",""))&amp;""</f>
        <v/>
      </c>
      <c r="AY509" t="str" cm="1">
        <f t="array" ref="AY509">IFERROR(IF(R509&lt;&gt;"",R509,IF(OR($S509="",$T509=""),"",IF($T509&lt;&gt;"",_xlfn._xlws.FILTER(R:R,($BT:$BT=$BT509)*($I:$I=$I509)*($T:$T=$T509)*($S:$S=_xlfn.MINIFS($S:$S,$T:$T,"="&amp;$T509)),""))))&amp;"",IF(R509="","",""))&amp;""</f>
        <v>1</v>
      </c>
      <c r="AZ509" s="6">
        <f t="shared" si="803"/>
        <v>45</v>
      </c>
      <c r="BA509">
        <f t="shared" ref="BA509:BC509" si="887">BA508</f>
        <v>18991</v>
      </c>
      <c r="BB509" t="str">
        <f t="shared" si="887"/>
        <v>Triple J</v>
      </c>
      <c r="BC509" t="str">
        <f t="shared" si="887"/>
        <v>Velodrome</v>
      </c>
      <c r="BD509" t="str">
        <f t="shared" si="805"/>
        <v>Possession</v>
      </c>
      <c r="BE509" t="str">
        <f t="shared" si="806"/>
        <v>PuckRetrieval</v>
      </c>
      <c r="BF509" t="str">
        <f t="shared" si="807"/>
        <v/>
      </c>
      <c r="BG509" t="str">
        <f t="shared" si="789"/>
        <v>u</v>
      </c>
      <c r="BH509" cm="1">
        <f t="array" aca="1" ref="BH509" ca="1">IFERROR(_xlfn._xlws.FILTER(shifts!A:A,(shifts!B:B=events!Z509)*(shifts!AG:AG&gt;=events!BJ509)*(shifts!AH:AH&lt;=events!BK509)),BH508)</f>
        <v>18</v>
      </c>
      <c r="BI509" s="15">
        <f t="shared" si="808"/>
        <v>3</v>
      </c>
      <c r="BJ509">
        <f t="shared" si="809"/>
        <v>621</v>
      </c>
      <c r="BK509">
        <f t="shared" si="810"/>
        <v>618</v>
      </c>
      <c r="BL509" s="15">
        <f>SUMIFS(BI$2:BI509,K$2:K509,"=Intermission")+SUMIFS(BI$2:BI509,K$2:K509,"=Timeout")</f>
        <v>0</v>
      </c>
      <c r="BM509">
        <f t="shared" si="811"/>
        <v>0</v>
      </c>
      <c r="BN509" s="19">
        <f t="shared" si="812"/>
        <v>459</v>
      </c>
      <c r="BO509">
        <f t="shared" si="813"/>
        <v>454</v>
      </c>
      <c r="BP509" s="17">
        <f t="shared" si="814"/>
        <v>462</v>
      </c>
      <c r="BQ509" t="str">
        <f t="shared" si="815"/>
        <v>opp_team_player_2</v>
      </c>
      <c r="BR509">
        <f>COUNTIFS(S$3:S509,"="&amp;S509,AH$3:AH509,"="&amp;AH509)</f>
        <v>2</v>
      </c>
      <c r="BS509" t="str">
        <f>IFERROR(VLOOKUP(BA509&amp;BT509&amp;X509,game_rosters!U:W,3,FALSE),"")</f>
        <v>P100002</v>
      </c>
      <c r="BT509" t="str">
        <f t="shared" si="816"/>
        <v>Velodrome</v>
      </c>
    </row>
    <row r="510" spans="1:72" x14ac:dyDescent="0.2">
      <c r="A510">
        <f t="shared" si="791"/>
        <v>1</v>
      </c>
      <c r="D510" s="26">
        <v>1</v>
      </c>
      <c r="E510" s="4"/>
      <c r="F510" s="45"/>
      <c r="G510" s="4"/>
      <c r="H510" s="47"/>
      <c r="I510" s="26">
        <v>69</v>
      </c>
      <c r="J510" s="26" t="s">
        <v>368</v>
      </c>
      <c r="K510" t="s">
        <v>7</v>
      </c>
      <c r="L510" t="s">
        <v>192</v>
      </c>
      <c r="M510" t="s">
        <v>68</v>
      </c>
      <c r="N510" t="str">
        <f t="shared" si="835"/>
        <v>u</v>
      </c>
      <c r="Q510" t="str">
        <f t="shared" si="829"/>
        <v/>
      </c>
      <c r="R510" s="26">
        <v>1</v>
      </c>
      <c r="S510">
        <f>IF(A510=1,MAX($S$2:$S509)+1,IF(OR($I510&lt;&gt;"",A510="x"),$S509,""))</f>
        <v>255</v>
      </c>
      <c r="T510">
        <f>IF(D510=1,MAX($T$2:$T509)+1,IF(S510=S509,$T509,IF(D510="x",T509,IF(D509="x","",""))))</f>
        <v>32</v>
      </c>
      <c r="U510" t="str">
        <f>IF(B510=1,MAX($U$2:$U509)+1,IF(AND($T510&lt;&gt;"",$T510=$T509),$U509,IF(B510="x",U509,"")))</f>
        <v/>
      </c>
      <c r="V510" t="str">
        <f>IF(C510=1,MAX($V$2:$V509)+1,IF(AND($T510&lt;&gt;"",$T510=$T509),$U509,IF(C510="x",V509,"")))</f>
        <v/>
      </c>
      <c r="W510" t="str" cm="1">
        <f t="array" ref="W510">IFERROR(_xlfn._xlws.FILTER(game_rosters!AC:AC,(game_rosters!J:J=events!X510)*(K510&lt;&gt;"")),"")</f>
        <v>h</v>
      </c>
      <c r="X510" cm="1">
        <f t="array" ref="X510">IF($I510&lt;&gt;"",$I510,INDEX($I$1:$I510,ROW()-COUNTIFS($T$1:$T510,"="&amp;$T510,$S$1:$S510,"&lt;"&amp;$S510)))</f>
        <v>69</v>
      </c>
      <c r="Y510" cm="1">
        <f t="array" ref="Y510">IFERROR(IF(_xlfn._xlws.FILTER(game_rosters!$J:$J,(game_rosters!$G:$G=events!$AM510)*(game_rosters!$J:$J=events!$X510))&gt;0,1,""),"")</f>
        <v>1</v>
      </c>
      <c r="Z510" s="6">
        <f t="shared" si="792"/>
        <v>1</v>
      </c>
      <c r="AA510">
        <f t="shared" si="793"/>
        <v>1255</v>
      </c>
      <c r="AB510">
        <f t="shared" si="794"/>
        <v>9032</v>
      </c>
      <c r="AC510">
        <f t="shared" si="795"/>
        <v>9032</v>
      </c>
      <c r="AD510" t="str">
        <f t="shared" si="796"/>
        <v>10</v>
      </c>
      <c r="AE510" t="str">
        <f t="shared" si="797"/>
        <v>18</v>
      </c>
      <c r="AF510" t="str">
        <f t="shared" si="798"/>
        <v/>
      </c>
      <c r="AG510" t="str">
        <f t="shared" si="799"/>
        <v/>
      </c>
      <c r="AH510" t="str">
        <f t="shared" si="842"/>
        <v>e</v>
      </c>
      <c r="AI510" t="str">
        <f t="shared" si="884"/>
        <v>o</v>
      </c>
      <c r="AJ510" t="str">
        <f t="shared" si="884"/>
        <v>o</v>
      </c>
      <c r="AK510" t="str">
        <f t="shared" si="844"/>
        <v>o</v>
      </c>
      <c r="AL510" t="str">
        <f t="shared" si="845"/>
        <v>d</v>
      </c>
      <c r="AM510" t="str">
        <f t="shared" si="800"/>
        <v>Home</v>
      </c>
      <c r="AN510" t="str">
        <f t="shared" si="846"/>
        <v>h</v>
      </c>
      <c r="AO510" t="str">
        <f t="shared" si="847"/>
        <v>o</v>
      </c>
      <c r="AP510" t="str">
        <f t="shared" si="848"/>
        <v>d</v>
      </c>
      <c r="AQ510" t="str">
        <f>IF(AM510&lt;&gt;"",AM510,IF($AC510=#REF!,#REF!,""))</f>
        <v>Home</v>
      </c>
      <c r="AR510" t="str">
        <f t="shared" si="849"/>
        <v>h</v>
      </c>
      <c r="AS510" t="str">
        <f t="shared" si="850"/>
        <v>Offensive</v>
      </c>
      <c r="AT510" t="str">
        <f t="shared" si="801"/>
        <v/>
      </c>
      <c r="AU510" t="str">
        <f t="shared" si="802"/>
        <v/>
      </c>
      <c r="AV510" t="str" cm="1">
        <f t="array" ref="AV510">IFERROR(IF(O510&lt;&gt;"",O510,IF(OR($S510="",$T510=""),"",IF(O510&lt;&gt;"",O510,IF($T510&lt;&gt;"",_xlfn._xlws.FILTER(O:O,($BT:$BT=$BT510)*($I:$I=$I510)*($T:$T=$T510)*($S:$S=_xlfn.MINIFS($S:$S,$T:$T,"="&amp;$T510)),"")))))&amp;"",IF(O510="","",""))&amp;""</f>
        <v/>
      </c>
      <c r="AW510" t="str" cm="1">
        <f t="array" ref="AW510">IFERROR(IF(P510&lt;&gt;"",P510,IF(OR($S510="",$T510=""),"",IF($T510&lt;&gt;"",_xlfn._xlws.FILTER(P:P,($BT:$BT=$BT510)*($I:$I=$I510)*($T:$T=$T510)*($S:$S=_xlfn.MINIFS($S:$S,$T:$T,"="&amp;$T510)),""))))&amp;"",IF(P510="","",""))&amp;""</f>
        <v/>
      </c>
      <c r="AX510" t="str" cm="1">
        <f t="array" ref="AX510">IFERROR(IF(Q510&lt;&gt;"",Q510,IF(OR($S510="",$T510=""),"",IF($T510&lt;&gt;"",_xlfn._xlws.FILTER(Q:Q,($BT:$BT=$BT510)*($I:$I=$I510)*($T:$T=$T510)*($S:$S=_xlfn.MINIFS($S:$S,$T:$T,"="&amp;$T510)),""))))&amp;"",IF(Q510="","",""))&amp;""</f>
        <v/>
      </c>
      <c r="AY510" t="str" cm="1">
        <f t="array" ref="AY510">IFERROR(IF(R510&lt;&gt;"",R510,IF(OR($S510="",$T510=""),"",IF($T510&lt;&gt;"",_xlfn._xlws.FILTER(R:R,($BT:$BT=$BT510)*($I:$I=$I510)*($T:$T=$T510)*($S:$S=_xlfn.MINIFS($S:$S,$T:$T,"="&amp;$T510)),""))))&amp;"",IF(R510="","",""))&amp;""</f>
        <v>1</v>
      </c>
      <c r="AZ510" s="6">
        <f t="shared" si="803"/>
        <v>45</v>
      </c>
      <c r="BA510">
        <f t="shared" ref="BA510:BC510" si="888">BA509</f>
        <v>18991</v>
      </c>
      <c r="BB510" t="str">
        <f t="shared" si="888"/>
        <v>Triple J</v>
      </c>
      <c r="BC510" t="str">
        <f t="shared" si="888"/>
        <v>Velodrome</v>
      </c>
      <c r="BD510" t="str">
        <f t="shared" si="805"/>
        <v>Pass</v>
      </c>
      <c r="BE510" t="str">
        <f t="shared" si="806"/>
        <v>Pass_Deflected</v>
      </c>
      <c r="BF510" t="str">
        <f t="shared" si="807"/>
        <v>Pass-Forehand</v>
      </c>
      <c r="BG510" t="str">
        <f t="shared" si="789"/>
        <v>u</v>
      </c>
      <c r="BH510" cm="1">
        <f t="array" aca="1" ref="BH510" ca="1">IFERROR(_xlfn._xlws.FILTER(shifts!A:A,(shifts!B:B=events!Z510)*(shifts!AG:AG&gt;=events!BJ510)*(shifts!AH:AH&lt;=events!BK510)),BH509)</f>
        <v>18</v>
      </c>
      <c r="BI510" s="15">
        <f t="shared" si="808"/>
        <v>0</v>
      </c>
      <c r="BJ510">
        <f t="shared" si="809"/>
        <v>618</v>
      </c>
      <c r="BK510">
        <f t="shared" si="810"/>
        <v>618</v>
      </c>
      <c r="BL510" s="15">
        <f>SUMIFS(BI$2:BI510,K$2:K510,"=Intermission")+SUMIFS(BI$2:BI510,K$2:K510,"=Timeout")</f>
        <v>0</v>
      </c>
      <c r="BM510">
        <f t="shared" si="811"/>
        <v>0</v>
      </c>
      <c r="BN510" s="19">
        <f t="shared" si="812"/>
        <v>462</v>
      </c>
      <c r="BO510">
        <f t="shared" si="813"/>
        <v>457</v>
      </c>
      <c r="BP510" s="17">
        <f t="shared" si="814"/>
        <v>462</v>
      </c>
      <c r="BQ510" t="str">
        <f t="shared" si="815"/>
        <v>event_team_player_1</v>
      </c>
      <c r="BR510">
        <f>COUNTIFS(S$3:S510,"="&amp;S510,AH$3:AH510,"="&amp;AH510)</f>
        <v>1</v>
      </c>
      <c r="BS510" t="str">
        <f>IFERROR(VLOOKUP(BA510&amp;BT510&amp;X510,game_rosters!U:W,3,FALSE),"")</f>
        <v>P100014</v>
      </c>
      <c r="BT510" t="str">
        <f t="shared" si="816"/>
        <v>Triple J</v>
      </c>
    </row>
    <row r="511" spans="1:72" x14ac:dyDescent="0.2">
      <c r="A511" t="str">
        <f t="shared" si="791"/>
        <v>x</v>
      </c>
      <c r="D511" s="26" t="s">
        <v>729</v>
      </c>
      <c r="E511" s="4"/>
      <c r="F511" s="45"/>
      <c r="G511" s="4"/>
      <c r="H511" s="47"/>
      <c r="I511" s="26">
        <v>90</v>
      </c>
      <c r="J511" s="26" t="str">
        <f t="shared" si="817"/>
        <v/>
      </c>
      <c r="N511" t="str">
        <f t="shared" si="835"/>
        <v/>
      </c>
      <c r="Q511" t="str">
        <f t="shared" si="829"/>
        <v/>
      </c>
      <c r="S511">
        <f>IF(A511=1,MAX($S$2:$S510)+1,IF(OR($I511&lt;&gt;"",A511="x"),$S510,""))</f>
        <v>255</v>
      </c>
      <c r="T511">
        <f>IF(D511=1,MAX($T$2:$T510)+1,IF(S511=S510,$T510,IF(D511="x",T510,IF(D510="x","",""))))</f>
        <v>32</v>
      </c>
      <c r="U511" t="str">
        <f>IF(B511=1,MAX($U$2:$U510)+1,IF(AND($T511&lt;&gt;"",$T511=$T510),$U510,IF(B511="x",U510,"")))</f>
        <v/>
      </c>
      <c r="V511" t="str">
        <f>IF(C511=1,MAX($V$2:$V510)+1,IF(AND($T511&lt;&gt;"",$T511=$T510),$U510,IF(C511="x",V510,"")))</f>
        <v/>
      </c>
      <c r="W511" t="str" cm="1">
        <f t="array" ref="W511">IFERROR(_xlfn._xlws.FILTER(game_rosters!AC:AC,(game_rosters!J:J=events!X511)*(K511&lt;&gt;"")),"")</f>
        <v/>
      </c>
      <c r="X511" cm="1">
        <f t="array" ref="X511">IF($I511&lt;&gt;"",$I511,INDEX($I$1:$I511,ROW()-COUNTIFS($T$1:$T511,"="&amp;$T511,$S$1:$S511,"&lt;"&amp;$S511)))</f>
        <v>90</v>
      </c>
      <c r="Y511" cm="1">
        <f t="array" ref="Y511">IFERROR(IF(_xlfn._xlws.FILTER(game_rosters!$J:$J,(game_rosters!$G:$G=events!$AM511)*(game_rosters!$J:$J=events!$X511))&gt;0,1,""),"")</f>
        <v>1</v>
      </c>
      <c r="Z511" s="6">
        <f t="shared" si="792"/>
        <v>1</v>
      </c>
      <c r="AA511">
        <f t="shared" si="793"/>
        <v>1255</v>
      </c>
      <c r="AB511">
        <f t="shared" si="794"/>
        <v>9032</v>
      </c>
      <c r="AC511">
        <f t="shared" si="795"/>
        <v>9032</v>
      </c>
      <c r="AD511" t="str">
        <f t="shared" si="796"/>
        <v>10</v>
      </c>
      <c r="AE511" t="str">
        <f t="shared" si="797"/>
        <v>18</v>
      </c>
      <c r="AF511" t="str">
        <f t="shared" si="798"/>
        <v/>
      </c>
      <c r="AG511" t="str">
        <f t="shared" si="799"/>
        <v/>
      </c>
      <c r="AH511" t="str">
        <f t="shared" si="842"/>
        <v>e</v>
      </c>
      <c r="AI511" t="str">
        <f t="shared" si="884"/>
        <v>o</v>
      </c>
      <c r="AJ511" t="str">
        <f t="shared" si="884"/>
        <v>o</v>
      </c>
      <c r="AK511" t="str">
        <f t="shared" si="844"/>
        <v/>
      </c>
      <c r="AL511" t="str">
        <f t="shared" si="845"/>
        <v/>
      </c>
      <c r="AM511" t="str">
        <f t="shared" si="800"/>
        <v>Home</v>
      </c>
      <c r="AN511" t="str">
        <f t="shared" si="846"/>
        <v>h</v>
      </c>
      <c r="AO511" t="str">
        <f t="shared" si="847"/>
        <v>o</v>
      </c>
      <c r="AP511" t="str">
        <f t="shared" si="848"/>
        <v>d</v>
      </c>
      <c r="AQ511" t="str">
        <f>IF(AM511&lt;&gt;"",AM511,IF($AC511=#REF!,#REF!,""))</f>
        <v>Home</v>
      </c>
      <c r="AR511" t="str">
        <f t="shared" si="849"/>
        <v>h</v>
      </c>
      <c r="AS511" t="str">
        <f t="shared" si="850"/>
        <v>Offensive</v>
      </c>
      <c r="AT511" t="str">
        <f t="shared" si="801"/>
        <v/>
      </c>
      <c r="AU511" t="str">
        <f t="shared" si="802"/>
        <v/>
      </c>
      <c r="AV511" t="str" cm="1">
        <f t="array" ref="AV511">IFERROR(IF(O511&lt;&gt;"",O511,IF(OR($S511="",$T511=""),"",IF(O511&lt;&gt;"",O511,IF($T511&lt;&gt;"",_xlfn._xlws.FILTER(O:O,($BT:$BT=$BT511)*($I:$I=$I511)*($T:$T=$T511)*($S:$S=_xlfn.MINIFS($S:$S,$T:$T,"="&amp;$T511)),"")))))&amp;"",IF(O511="","",""))&amp;""</f>
        <v/>
      </c>
      <c r="AW511" t="str" cm="1">
        <f t="array" ref="AW511">IFERROR(IF(P511&lt;&gt;"",P511,IF(OR($S511="",$T511=""),"",IF($T511&lt;&gt;"",_xlfn._xlws.FILTER(P:P,($BT:$BT=$BT511)*($I:$I=$I511)*($T:$T=$T511)*($S:$S=_xlfn.MINIFS($S:$S,$T:$T,"="&amp;$T511)),""))))&amp;"",IF(P511="","",""))&amp;""</f>
        <v/>
      </c>
      <c r="AX511" t="str" cm="1">
        <f t="array" ref="AX511">IFERROR(IF(Q511&lt;&gt;"",Q511,IF(OR($S511="",$T511=""),"",IF($T511&lt;&gt;"",_xlfn._xlws.FILTER(Q:Q,($BT:$BT=$BT511)*($I:$I=$I511)*($T:$T=$T511)*($S:$S=_xlfn.MINIFS($S:$S,$T:$T,"="&amp;$T511)),""))))&amp;"",IF(Q511="","",""))&amp;""</f>
        <v/>
      </c>
      <c r="AY511" t="str" cm="1">
        <f t="array" ref="AY511">IFERROR(IF(R511&lt;&gt;"",R511,IF(OR($S511="",$T511=""),"",IF($T511&lt;&gt;"",_xlfn._xlws.FILTER(R:R,($BT:$BT=$BT511)*($I:$I=$I511)*($T:$T=$T511)*($S:$S=_xlfn.MINIFS($S:$S,$T:$T,"="&amp;$T511)),""))))&amp;"",IF(R511="","",""))&amp;""</f>
        <v/>
      </c>
      <c r="AZ511" s="6">
        <f t="shared" si="803"/>
        <v>45</v>
      </c>
      <c r="BA511">
        <f t="shared" ref="BA511:BC511" si="889">BA510</f>
        <v>18991</v>
      </c>
      <c r="BB511" t="str">
        <f t="shared" si="889"/>
        <v>Triple J</v>
      </c>
      <c r="BC511" t="str">
        <f t="shared" si="889"/>
        <v>Velodrome</v>
      </c>
      <c r="BD511" t="str">
        <f t="shared" si="805"/>
        <v>Pass</v>
      </c>
      <c r="BE511" t="str">
        <f t="shared" si="806"/>
        <v>Pass_Deflected</v>
      </c>
      <c r="BF511" t="str">
        <f t="shared" si="807"/>
        <v>Pass-Forehand</v>
      </c>
      <c r="BG511" t="str">
        <f t="shared" si="789"/>
        <v>u</v>
      </c>
      <c r="BH511" cm="1">
        <f t="array" aca="1" ref="BH511" ca="1">IFERROR(_xlfn._xlws.FILTER(shifts!A:A,(shifts!B:B=events!Z511)*(shifts!AG:AG&gt;=events!BJ511)*(shifts!AH:AH&lt;=events!BK511)),BH510)</f>
        <v>18</v>
      </c>
      <c r="BI511" s="15">
        <f t="shared" si="808"/>
        <v>0</v>
      </c>
      <c r="BJ511">
        <f t="shared" si="809"/>
        <v>618</v>
      </c>
      <c r="BK511">
        <f t="shared" si="810"/>
        <v>618</v>
      </c>
      <c r="BL511" s="15">
        <f>SUMIFS(BI$2:BI511,K$2:K511,"=Intermission")+SUMIFS(BI$2:BI511,K$2:K511,"=Timeout")</f>
        <v>0</v>
      </c>
      <c r="BM511">
        <f t="shared" si="811"/>
        <v>0</v>
      </c>
      <c r="BN511" s="19">
        <f t="shared" si="812"/>
        <v>462</v>
      </c>
      <c r="BO511">
        <f t="shared" si="813"/>
        <v>457</v>
      </c>
      <c r="BP511" s="17">
        <f t="shared" si="814"/>
        <v>462</v>
      </c>
      <c r="BQ511" t="str">
        <f t="shared" si="815"/>
        <v>event_team_player_2</v>
      </c>
      <c r="BR511">
        <f>COUNTIFS(S$3:S511,"="&amp;S511,AH$3:AH511,"="&amp;AH511)</f>
        <v>2</v>
      </c>
      <c r="BS511" t="str">
        <f>IFERROR(VLOOKUP(BA511&amp;BT511&amp;X511,game_rosters!U:W,3,FALSE),"")</f>
        <v>P100233</v>
      </c>
      <c r="BT511" t="str">
        <f t="shared" si="816"/>
        <v>Triple J</v>
      </c>
    </row>
    <row r="512" spans="1:72" x14ac:dyDescent="0.2">
      <c r="A512" t="str">
        <f t="shared" si="791"/>
        <v>x</v>
      </c>
      <c r="D512" s="26" t="s">
        <v>729</v>
      </c>
      <c r="E512" s="4"/>
      <c r="F512" s="45"/>
      <c r="G512" s="4"/>
      <c r="H512" s="47"/>
      <c r="I512" s="26">
        <v>22</v>
      </c>
      <c r="J512" s="26" t="str">
        <f t="shared" si="817"/>
        <v/>
      </c>
      <c r="N512" t="str">
        <f t="shared" si="835"/>
        <v/>
      </c>
      <c r="O512" t="s">
        <v>782</v>
      </c>
      <c r="Q512" t="s">
        <v>595</v>
      </c>
      <c r="S512">
        <f>IF(A512=1,MAX($S$2:$S511)+1,IF(OR($I512&lt;&gt;"",A512="x"),$S511,""))</f>
        <v>255</v>
      </c>
      <c r="T512">
        <f>IF(D512=1,MAX($T$2:$T511)+1,IF(S512=S511,$T511,IF(D512="x",T511,IF(D511="x","",""))))</f>
        <v>32</v>
      </c>
      <c r="U512" t="str">
        <f>IF(B512=1,MAX($U$2:$U511)+1,IF(AND($T512&lt;&gt;"",$T512=$T511),$U511,IF(B512="x",U511,"")))</f>
        <v/>
      </c>
      <c r="V512" t="str">
        <f>IF(C512=1,MAX($V$2:$V511)+1,IF(AND($T512&lt;&gt;"",$T512=$T511),$U511,IF(C512="x",V511,"")))</f>
        <v/>
      </c>
      <c r="W512" t="str" cm="1">
        <f t="array" ref="W512">IFERROR(_xlfn._xlws.FILTER(game_rosters!AC:AC,(game_rosters!J:J=events!X512)*(K512&lt;&gt;"")),"")</f>
        <v/>
      </c>
      <c r="X512" cm="1">
        <f t="array" ref="X512">IF($I512&lt;&gt;"",$I512,INDEX($I$1:$I512,ROW()-COUNTIFS($T$1:$T512,"="&amp;$T512,$S$1:$S512,"&lt;"&amp;$S512)))</f>
        <v>22</v>
      </c>
      <c r="Y512" t="str" cm="1">
        <f t="array" ref="Y512">IFERROR(IF(_xlfn._xlws.FILTER(game_rosters!$J:$J,(game_rosters!$G:$G=events!$AM512)*(game_rosters!$J:$J=events!$X512))&gt;0,1,""),"")</f>
        <v/>
      </c>
      <c r="Z512" s="6">
        <f t="shared" si="792"/>
        <v>1</v>
      </c>
      <c r="AA512">
        <f t="shared" si="793"/>
        <v>1255</v>
      </c>
      <c r="AB512">
        <f t="shared" si="794"/>
        <v>9032</v>
      </c>
      <c r="AC512">
        <f t="shared" si="795"/>
        <v>9032</v>
      </c>
      <c r="AD512" t="str">
        <f t="shared" si="796"/>
        <v>10</v>
      </c>
      <c r="AE512" t="str">
        <f t="shared" si="797"/>
        <v>18</v>
      </c>
      <c r="AF512" t="str">
        <f t="shared" si="798"/>
        <v/>
      </c>
      <c r="AG512" t="str">
        <f t="shared" si="799"/>
        <v/>
      </c>
      <c r="AH512" t="str">
        <f t="shared" si="842"/>
        <v>o</v>
      </c>
      <c r="AI512" t="str">
        <f t="shared" si="884"/>
        <v>o</v>
      </c>
      <c r="AJ512" t="str">
        <f t="shared" si="884"/>
        <v>o</v>
      </c>
      <c r="AK512" t="str">
        <f t="shared" si="844"/>
        <v/>
      </c>
      <c r="AL512" t="str">
        <f t="shared" si="845"/>
        <v/>
      </c>
      <c r="AM512" t="str">
        <f t="shared" si="800"/>
        <v>Home</v>
      </c>
      <c r="AN512" t="str">
        <f t="shared" si="846"/>
        <v>h</v>
      </c>
      <c r="AO512" t="str">
        <f t="shared" si="847"/>
        <v>o</v>
      </c>
      <c r="AP512" t="str">
        <f t="shared" si="848"/>
        <v>d</v>
      </c>
      <c r="AQ512" t="str">
        <f>IF(AM512&lt;&gt;"",AM512,IF($AC512=#REF!,#REF!,""))</f>
        <v>Home</v>
      </c>
      <c r="AR512" t="str">
        <f t="shared" si="849"/>
        <v>h</v>
      </c>
      <c r="AS512" t="str">
        <f t="shared" si="850"/>
        <v>Defensive</v>
      </c>
      <c r="AT512" t="str">
        <f t="shared" si="801"/>
        <v/>
      </c>
      <c r="AU512" t="str">
        <f t="shared" si="802"/>
        <v/>
      </c>
      <c r="AV512" t="str" cm="1">
        <f t="array" ref="AV512">IFERROR(IF(O512&lt;&gt;"",O512,IF(OR($S512="",$T512=""),"",IF(O512&lt;&gt;"",O512,IF($T512&lt;&gt;"",_xlfn._xlws.FILTER(O:O,($BT:$BT=$BT512)*($I:$I=$I512)*($T:$T=$T512)*($S:$S=_xlfn.MINIFS($S:$S,$T:$T,"="&amp;$T512)),"")))))&amp;"",IF(O512="","",""))&amp;""</f>
        <v>PassDeflected</v>
      </c>
      <c r="AW512" t="str" cm="1">
        <f t="array" ref="AW512">IFERROR(IF(P512&lt;&gt;"",P512,IF(OR($S512="",$T512=""),"",IF($T512&lt;&gt;"",_xlfn._xlws.FILTER(P:P,($BT:$BT=$BT512)*($I:$I=$I512)*($T:$T=$T512)*($S:$S=_xlfn.MINIFS($S:$S,$T:$T,"="&amp;$T512)),""))))&amp;"",IF(P512="","",""))&amp;""</f>
        <v/>
      </c>
      <c r="AX512" t="str" cm="1">
        <f t="array" ref="AX512">IFERROR(IF(Q512&lt;&gt;"",Q512,IF(OR($S512="",$T512=""),"",IF($T512&lt;&gt;"",_xlfn._xlws.FILTER(Q:Q,($BT:$BT=$BT512)*($I:$I=$I512)*($T:$T=$T512)*($S:$S=_xlfn.MINIFS($S:$S,$T:$T,"="&amp;$T512)),""))))&amp;"",IF(Q512="","",""))&amp;""</f>
        <v>s</v>
      </c>
      <c r="AY512" t="str" cm="1">
        <f t="array" ref="AY512">IFERROR(IF(R512&lt;&gt;"",R512,IF(OR($S512="",$T512=""),"",IF($T512&lt;&gt;"",_xlfn._xlws.FILTER(R:R,($BT:$BT=$BT512)*($I:$I=$I512)*($T:$T=$T512)*($S:$S=_xlfn.MINIFS($S:$S,$T:$T,"="&amp;$T512)),""))))&amp;"",IF(R512="","",""))&amp;""</f>
        <v/>
      </c>
      <c r="AZ512" s="6">
        <f t="shared" si="803"/>
        <v>45</v>
      </c>
      <c r="BA512">
        <f t="shared" ref="BA512:BC512" si="890">BA511</f>
        <v>18991</v>
      </c>
      <c r="BB512" t="str">
        <f t="shared" si="890"/>
        <v>Triple J</v>
      </c>
      <c r="BC512" t="str">
        <f t="shared" si="890"/>
        <v>Velodrome</v>
      </c>
      <c r="BD512" t="str">
        <f t="shared" si="805"/>
        <v>Pass</v>
      </c>
      <c r="BE512" t="str">
        <f t="shared" si="806"/>
        <v>Pass_Deflected</v>
      </c>
      <c r="BF512" t="str">
        <f t="shared" si="807"/>
        <v>Pass-Forehand</v>
      </c>
      <c r="BG512" t="str">
        <f t="shared" si="789"/>
        <v>u</v>
      </c>
      <c r="BH512" cm="1">
        <f t="array" aca="1" ref="BH512" ca="1">IFERROR(_xlfn._xlws.FILTER(shifts!A:A,(shifts!B:B=events!Z512)*(shifts!AG:AG&gt;=events!BJ512)*(shifts!AH:AH&lt;=events!BK512)),BH511)</f>
        <v>18</v>
      </c>
      <c r="BI512" s="15">
        <f t="shared" si="808"/>
        <v>0</v>
      </c>
      <c r="BJ512">
        <f t="shared" si="809"/>
        <v>618</v>
      </c>
      <c r="BK512">
        <f t="shared" si="810"/>
        <v>618</v>
      </c>
      <c r="BL512" s="15">
        <f>SUMIFS(BI$2:BI512,K$2:K512,"=Intermission")+SUMIFS(BI$2:BI512,K$2:K512,"=Timeout")</f>
        <v>0</v>
      </c>
      <c r="BM512">
        <f t="shared" si="811"/>
        <v>0</v>
      </c>
      <c r="BN512" s="19">
        <f t="shared" si="812"/>
        <v>462</v>
      </c>
      <c r="BO512">
        <f t="shared" si="813"/>
        <v>457</v>
      </c>
      <c r="BP512" s="17">
        <f t="shared" si="814"/>
        <v>462</v>
      </c>
      <c r="BQ512" t="str">
        <f t="shared" si="815"/>
        <v>opp_team_player_1</v>
      </c>
      <c r="BR512">
        <f>COUNTIFS(S$3:S512,"="&amp;S512,AH$3:AH512,"="&amp;AH512)</f>
        <v>1</v>
      </c>
      <c r="BS512" t="str">
        <f>IFERROR(VLOOKUP(BA512&amp;BT512&amp;X512,game_rosters!U:W,3,FALSE),"")</f>
        <v>P100108</v>
      </c>
      <c r="BT512" t="str">
        <f t="shared" si="816"/>
        <v>Velodrome</v>
      </c>
    </row>
    <row r="513" spans="1:72" x14ac:dyDescent="0.2">
      <c r="A513" t="str">
        <f t="shared" si="791"/>
        <v>x</v>
      </c>
      <c r="D513" s="26" t="s">
        <v>729</v>
      </c>
      <c r="E513" s="4"/>
      <c r="F513" s="45"/>
      <c r="G513" s="4"/>
      <c r="H513" s="47"/>
      <c r="I513" s="26">
        <v>84</v>
      </c>
      <c r="J513" s="26" t="str">
        <f t="shared" si="817"/>
        <v/>
      </c>
      <c r="N513" t="str">
        <f t="shared" si="835"/>
        <v/>
      </c>
      <c r="O513" t="s">
        <v>566</v>
      </c>
      <c r="Q513" t="s">
        <v>595</v>
      </c>
      <c r="R513" s="26">
        <v>1</v>
      </c>
      <c r="S513">
        <f>IF(A513=1,MAX($S$2:$S512)+1,IF(OR($I513&lt;&gt;"",A513="x"),$S512,""))</f>
        <v>255</v>
      </c>
      <c r="T513">
        <f>IF(D513=1,MAX($T$2:$T512)+1,IF(S513=S512,$T512,IF(D513="x",T512,IF(D512="x","",""))))</f>
        <v>32</v>
      </c>
      <c r="U513" t="str">
        <f>IF(B513=1,MAX($U$2:$U512)+1,IF(AND($T513&lt;&gt;"",$T513=$T512),$U512,IF(B513="x",U512,"")))</f>
        <v/>
      </c>
      <c r="V513" t="str">
        <f>IF(C513=1,MAX($V$2:$V512)+1,IF(AND($T513&lt;&gt;"",$T513=$T512),$U512,IF(C513="x",V512,"")))</f>
        <v/>
      </c>
      <c r="W513" t="str" cm="1">
        <f t="array" ref="W513">IFERROR(_xlfn._xlws.FILTER(game_rosters!AC:AC,(game_rosters!J:J=events!X513)*(K513&lt;&gt;"")),"")</f>
        <v/>
      </c>
      <c r="X513" cm="1">
        <f t="array" ref="X513">IF($I513&lt;&gt;"",$I513,INDEX($I$1:$I513,ROW()-COUNTIFS($T$1:$T513,"="&amp;$T513,$S$1:$S513,"&lt;"&amp;$S513)))</f>
        <v>84</v>
      </c>
      <c r="Y513" t="str" cm="1">
        <f t="array" ref="Y513">IFERROR(IF(_xlfn._xlws.FILTER(game_rosters!$J:$J,(game_rosters!$G:$G=events!$AM513)*(game_rosters!$J:$J=events!$X513))&gt;0,1,""),"")</f>
        <v/>
      </c>
      <c r="Z513" s="6">
        <f t="shared" si="792"/>
        <v>1</v>
      </c>
      <c r="AA513">
        <f t="shared" si="793"/>
        <v>1255</v>
      </c>
      <c r="AB513">
        <f t="shared" si="794"/>
        <v>9032</v>
      </c>
      <c r="AC513">
        <f t="shared" si="795"/>
        <v>9032</v>
      </c>
      <c r="AD513" t="str">
        <f t="shared" si="796"/>
        <v>10</v>
      </c>
      <c r="AE513" t="str">
        <f t="shared" si="797"/>
        <v>18</v>
      </c>
      <c r="AF513" t="str">
        <f t="shared" si="798"/>
        <v/>
      </c>
      <c r="AG513" t="str">
        <f t="shared" si="799"/>
        <v/>
      </c>
      <c r="AH513" t="str">
        <f t="shared" si="842"/>
        <v>o</v>
      </c>
      <c r="AI513" t="str">
        <f t="shared" si="884"/>
        <v>o</v>
      </c>
      <c r="AJ513" t="str">
        <f t="shared" si="884"/>
        <v>o</v>
      </c>
      <c r="AK513" t="str">
        <f t="shared" si="844"/>
        <v/>
      </c>
      <c r="AL513" t="str">
        <f t="shared" si="845"/>
        <v/>
      </c>
      <c r="AM513" t="str">
        <f t="shared" si="800"/>
        <v>Home</v>
      </c>
      <c r="AN513" t="str">
        <f t="shared" si="846"/>
        <v>h</v>
      </c>
      <c r="AO513" t="str">
        <f t="shared" si="847"/>
        <v>o</v>
      </c>
      <c r="AP513" t="str">
        <f t="shared" si="848"/>
        <v>d</v>
      </c>
      <c r="AQ513" t="str">
        <f>IF(AM513&lt;&gt;"",AM513,IF($AC513=#REF!,#REF!,""))</f>
        <v>Home</v>
      </c>
      <c r="AR513" t="str">
        <f t="shared" si="849"/>
        <v>h</v>
      </c>
      <c r="AS513" t="str">
        <f t="shared" si="850"/>
        <v>Defensive</v>
      </c>
      <c r="AT513" t="str">
        <f t="shared" si="801"/>
        <v/>
      </c>
      <c r="AU513" t="str">
        <f t="shared" si="802"/>
        <v/>
      </c>
      <c r="AV513" t="str" cm="1">
        <f t="array" ref="AV513">IFERROR(IF(O513&lt;&gt;"",O513,IF(OR($S513="",$T513=""),"",IF(O513&lt;&gt;"",O513,IF($T513&lt;&gt;"",_xlfn._xlws.FILTER(O:O,($BT:$BT=$BT513)*($I:$I=$I513)*($T:$T=$T513)*($S:$S=_xlfn.MINIFS($S:$S,$T:$T,"="&amp;$T513)),"")))))&amp;"",IF(O513="","",""))&amp;""</f>
        <v>InShotPassLane</v>
      </c>
      <c r="AW513" t="str" cm="1">
        <f t="array" ref="AW513">IFERROR(IF(P513&lt;&gt;"",P513,IF(OR($S513="",$T513=""),"",IF($T513&lt;&gt;"",_xlfn._xlws.FILTER(P:P,($BT:$BT=$BT513)*($I:$I=$I513)*($T:$T=$T513)*($S:$S=_xlfn.MINIFS($S:$S,$T:$T,"="&amp;$T513)),""))))&amp;"",IF(P513="","",""))&amp;""</f>
        <v/>
      </c>
      <c r="AX513" t="str" cm="1">
        <f t="array" ref="AX513">IFERROR(IF(Q513&lt;&gt;"",Q513,IF(OR($S513="",$T513=""),"",IF($T513&lt;&gt;"",_xlfn._xlws.FILTER(Q:Q,($BT:$BT=$BT513)*($I:$I=$I513)*($T:$T=$T513)*($S:$S=_xlfn.MINIFS($S:$S,$T:$T,"="&amp;$T513)),""))))&amp;"",IF(Q513="","",""))&amp;""</f>
        <v>s</v>
      </c>
      <c r="AY513" t="str" cm="1">
        <f t="array" ref="AY513">IFERROR(IF(R513&lt;&gt;"",R513,IF(OR($S513="",$T513=""),"",IF($T513&lt;&gt;"",_xlfn._xlws.FILTER(R:R,($BT:$BT=$BT513)*($I:$I=$I513)*($T:$T=$T513)*($S:$S=_xlfn.MINIFS($S:$S,$T:$T,"="&amp;$T513)),""))))&amp;"",IF(R513="","",""))&amp;""</f>
        <v>1</v>
      </c>
      <c r="AZ513" s="6">
        <f t="shared" si="803"/>
        <v>45</v>
      </c>
      <c r="BA513">
        <f t="shared" ref="BA513:BC513" si="891">BA512</f>
        <v>18991</v>
      </c>
      <c r="BB513" t="str">
        <f t="shared" si="891"/>
        <v>Triple J</v>
      </c>
      <c r="BC513" t="str">
        <f t="shared" si="891"/>
        <v>Velodrome</v>
      </c>
      <c r="BD513" t="str">
        <f t="shared" si="805"/>
        <v>Pass</v>
      </c>
      <c r="BE513" t="str">
        <f t="shared" si="806"/>
        <v>Pass_Deflected</v>
      </c>
      <c r="BF513" t="str">
        <f t="shared" si="807"/>
        <v>Pass-Forehand</v>
      </c>
      <c r="BG513" t="str">
        <f t="shared" si="789"/>
        <v>u</v>
      </c>
      <c r="BH513" cm="1">
        <f t="array" aca="1" ref="BH513" ca="1">IFERROR(_xlfn._xlws.FILTER(shifts!A:A,(shifts!B:B=events!Z513)*(shifts!AG:AG&gt;=events!BJ513)*(shifts!AH:AH&lt;=events!BK513)),BH512)</f>
        <v>18</v>
      </c>
      <c r="BI513" s="15">
        <f t="shared" si="808"/>
        <v>0</v>
      </c>
      <c r="BJ513">
        <f t="shared" si="809"/>
        <v>618</v>
      </c>
      <c r="BK513">
        <f t="shared" si="810"/>
        <v>618</v>
      </c>
      <c r="BL513" s="15">
        <f>SUMIFS(BI$2:BI513,K$2:K513,"=Intermission")+SUMIFS(BI$2:BI513,K$2:K513,"=Timeout")</f>
        <v>0</v>
      </c>
      <c r="BM513">
        <f t="shared" si="811"/>
        <v>0</v>
      </c>
      <c r="BN513" s="19">
        <f t="shared" si="812"/>
        <v>462</v>
      </c>
      <c r="BO513">
        <f t="shared" si="813"/>
        <v>457</v>
      </c>
      <c r="BP513" s="17">
        <f t="shared" si="814"/>
        <v>462</v>
      </c>
      <c r="BQ513" t="str">
        <f t="shared" si="815"/>
        <v>opp_team_player_2</v>
      </c>
      <c r="BR513">
        <f>COUNTIFS(S$3:S513,"="&amp;S513,AH$3:AH513,"="&amp;AH513)</f>
        <v>2</v>
      </c>
      <c r="BS513" t="str">
        <f>IFERROR(VLOOKUP(BA513&amp;BT513&amp;X513,game_rosters!U:W,3,FALSE),"")</f>
        <v>P100198</v>
      </c>
      <c r="BT513" t="str">
        <f t="shared" si="816"/>
        <v>Velodrome</v>
      </c>
    </row>
    <row r="514" spans="1:72" x14ac:dyDescent="0.2">
      <c r="A514">
        <f t="shared" si="791"/>
        <v>1</v>
      </c>
      <c r="D514" s="26" t="s">
        <v>729</v>
      </c>
      <c r="E514" s="4"/>
      <c r="F514" s="45"/>
      <c r="G514" s="4"/>
      <c r="H514" s="47"/>
      <c r="J514" s="26" t="s">
        <v>368</v>
      </c>
      <c r="K514" t="s">
        <v>9</v>
      </c>
      <c r="L514" t="s">
        <v>173</v>
      </c>
      <c r="M514" t="s">
        <v>75</v>
      </c>
      <c r="N514" t="str">
        <f t="shared" si="835"/>
        <v>u</v>
      </c>
      <c r="Q514" t="str">
        <f t="shared" si="829"/>
        <v/>
      </c>
      <c r="S514">
        <f>IF(A514=1,MAX($S$2:$S513)+1,IF(OR($I514&lt;&gt;"",A514="x"),$S513,""))</f>
        <v>256</v>
      </c>
      <c r="T514">
        <f>IF(D514=1,MAX($T$2:$T513)+1,IF(S514=S513,$T513,IF(D514="x",T513,IF(D513="x","",""))))</f>
        <v>32</v>
      </c>
      <c r="U514" t="str">
        <f>IF(B514=1,MAX($U$2:$U513)+1,IF(AND($T514&lt;&gt;"",$T514=$T513),$U513,IF(B514="x",U513,"")))</f>
        <v/>
      </c>
      <c r="V514" t="str">
        <f>IF(C514=1,MAX($V$2:$V513)+1,IF(AND($T514&lt;&gt;"",$T514=$T513),$U513,IF(C514="x",V513,"")))</f>
        <v/>
      </c>
      <c r="W514" t="str" cm="1">
        <f t="array" ref="W514">IFERROR(_xlfn._xlws.FILTER(game_rosters!AC:AC,(game_rosters!J:J=events!X514)*(K514&lt;&gt;"")),"")</f>
        <v>h</v>
      </c>
      <c r="X514" cm="1">
        <f t="array" ref="X514">IF($I514&lt;&gt;"",$I514,INDEX($I$1:$I514,ROW()-COUNTIFS($T$1:$T514,"="&amp;$T514,$S$1:$S514,"&lt;"&amp;$S514)))</f>
        <v>69</v>
      </c>
      <c r="Y514" cm="1">
        <f t="array" ref="Y514">IFERROR(IF(_xlfn._xlws.FILTER(game_rosters!$J:$J,(game_rosters!$G:$G=events!$AM514)*(game_rosters!$J:$J=events!$X514))&gt;0,1,""),"")</f>
        <v>1</v>
      </c>
      <c r="Z514" s="6">
        <f t="shared" si="792"/>
        <v>1</v>
      </c>
      <c r="AA514">
        <f t="shared" si="793"/>
        <v>1256</v>
      </c>
      <c r="AB514">
        <f t="shared" si="794"/>
        <v>9032</v>
      </c>
      <c r="AC514">
        <f t="shared" si="795"/>
        <v>9032</v>
      </c>
      <c r="AD514" t="str">
        <f t="shared" si="796"/>
        <v>10</v>
      </c>
      <c r="AE514" t="str">
        <f t="shared" si="797"/>
        <v>18</v>
      </c>
      <c r="AF514" t="str">
        <f t="shared" si="798"/>
        <v/>
      </c>
      <c r="AG514" t="str">
        <f t="shared" si="799"/>
        <v/>
      </c>
      <c r="AH514" t="str">
        <f t="shared" si="842"/>
        <v>e</v>
      </c>
      <c r="AI514" t="str">
        <f t="shared" si="884"/>
        <v>o</v>
      </c>
      <c r="AJ514" t="str">
        <f t="shared" si="884"/>
        <v>o</v>
      </c>
      <c r="AK514" t="str">
        <f t="shared" si="844"/>
        <v>o</v>
      </c>
      <c r="AL514" t="str">
        <f t="shared" si="845"/>
        <v>d</v>
      </c>
      <c r="AM514" t="str">
        <f t="shared" si="800"/>
        <v>Home</v>
      </c>
      <c r="AN514" t="str">
        <f t="shared" si="846"/>
        <v>h</v>
      </c>
      <c r="AO514" t="str">
        <f t="shared" si="847"/>
        <v>o</v>
      </c>
      <c r="AP514" t="str">
        <f t="shared" si="848"/>
        <v>d</v>
      </c>
      <c r="AQ514" t="str">
        <f>IF(AM514&lt;&gt;"",AM514,IF($AC514=#REF!,#REF!,""))</f>
        <v>Home</v>
      </c>
      <c r="AR514" t="str">
        <f t="shared" si="849"/>
        <v>h</v>
      </c>
      <c r="AS514" t="str">
        <f t="shared" si="850"/>
        <v>Offensive</v>
      </c>
      <c r="AT514" t="str">
        <f t="shared" si="801"/>
        <v/>
      </c>
      <c r="AU514" t="str">
        <f t="shared" si="802"/>
        <v/>
      </c>
      <c r="AV514" t="str" cm="1">
        <f t="array" ref="AV514">IFERROR(IF(O514&lt;&gt;"",O514,IF(OR($S514="",$T514=""),"",IF(O514&lt;&gt;"",O514,IF($T514&lt;&gt;"",_xlfn._xlws.FILTER(O:O,($BT:$BT=$BT514)*($I:$I=$I514)*($T:$T=$T514)*($S:$S=_xlfn.MINIFS($S:$S,$T:$T,"="&amp;$T514)),"")))))&amp;"",IF(O514="","",""))&amp;""</f>
        <v/>
      </c>
      <c r="AW514" t="str" cm="1">
        <f t="array" ref="AW514">IFERROR(IF(P514&lt;&gt;"",P514,IF(OR($S514="",$T514=""),"",IF($T514&lt;&gt;"",_xlfn._xlws.FILTER(P:P,($BT:$BT=$BT514)*($I:$I=$I514)*($T:$T=$T514)*($S:$S=_xlfn.MINIFS($S:$S,$T:$T,"="&amp;$T514)),""))))&amp;"",IF(P514="","",""))&amp;""</f>
        <v/>
      </c>
      <c r="AX514" t="str" cm="1">
        <f t="array" ref="AX514">IFERROR(IF(Q514&lt;&gt;"",Q514,IF(OR($S514="",$T514=""),"",IF($T514&lt;&gt;"",_xlfn._xlws.FILTER(Q:Q,($BT:$BT=$BT514)*($I:$I=$I514)*($T:$T=$T514)*($S:$S=_xlfn.MINIFS($S:$S,$T:$T,"="&amp;$T514)),""))))&amp;"",IF(Q514="","",""))&amp;""</f>
        <v/>
      </c>
      <c r="AY514" t="str" cm="1">
        <f t="array" ref="AY514">IFERROR(IF(R514&lt;&gt;"",R514,IF(OR($S514="",$T514=""),"",IF($T514&lt;&gt;"",_xlfn._xlws.FILTER(R:R,($BT:$BT=$BT514)*($I:$I=$I514)*($T:$T=$T514)*($S:$S=_xlfn.MINIFS($S:$S,$T:$T,"="&amp;$T514)),""))))&amp;"",IF(R514="","",""))&amp;""</f>
        <v/>
      </c>
      <c r="AZ514" s="6">
        <f t="shared" si="803"/>
        <v>45</v>
      </c>
      <c r="BA514">
        <f t="shared" ref="BA514:BC514" si="892">BA513</f>
        <v>18991</v>
      </c>
      <c r="BB514" t="str">
        <f t="shared" si="892"/>
        <v>Triple J</v>
      </c>
      <c r="BC514" t="str">
        <f t="shared" si="892"/>
        <v>Velodrome</v>
      </c>
      <c r="BD514" t="str">
        <f t="shared" si="805"/>
        <v>Turnover</v>
      </c>
      <c r="BE514" t="str">
        <f t="shared" si="806"/>
        <v>Turnover_Giveaway</v>
      </c>
      <c r="BF514" t="str">
        <f t="shared" si="807"/>
        <v>Giveaway-PassBlocked</v>
      </c>
      <c r="BG514" t="str">
        <f t="shared" si="789"/>
        <v>u</v>
      </c>
      <c r="BH514" cm="1">
        <f t="array" aca="1" ref="BH514" ca="1">IFERROR(_xlfn._xlws.FILTER(shifts!A:A,(shifts!B:B=events!Z514)*(shifts!AG:AG&gt;=events!BJ514)*(shifts!AH:AH&lt;=events!BK514)),BH513)</f>
        <v>18</v>
      </c>
      <c r="BI514" s="15">
        <f t="shared" si="808"/>
        <v>0</v>
      </c>
      <c r="BJ514">
        <f t="shared" si="809"/>
        <v>618</v>
      </c>
      <c r="BK514">
        <f t="shared" si="810"/>
        <v>618</v>
      </c>
      <c r="BL514" s="15">
        <f>SUMIFS(BI$2:BI514,K$2:K514,"=Intermission")+SUMIFS(BI$2:BI514,K$2:K514,"=Timeout")</f>
        <v>0</v>
      </c>
      <c r="BM514">
        <f t="shared" si="811"/>
        <v>0</v>
      </c>
      <c r="BN514" s="19">
        <f t="shared" si="812"/>
        <v>462</v>
      </c>
      <c r="BO514">
        <f t="shared" si="813"/>
        <v>457</v>
      </c>
      <c r="BP514" s="17">
        <f t="shared" si="814"/>
        <v>462</v>
      </c>
      <c r="BQ514" t="str">
        <f t="shared" si="815"/>
        <v>event_team_player_1</v>
      </c>
      <c r="BR514">
        <f>COUNTIFS(S$3:S514,"="&amp;S514,AH$3:AH514,"="&amp;AH514)</f>
        <v>1</v>
      </c>
      <c r="BS514" t="str">
        <f>IFERROR(VLOOKUP(BA514&amp;BT514&amp;X514,game_rosters!U:W,3,FALSE),"")</f>
        <v>P100014</v>
      </c>
      <c r="BT514" t="str">
        <f t="shared" si="816"/>
        <v>Triple J</v>
      </c>
    </row>
    <row r="515" spans="1:72" x14ac:dyDescent="0.2">
      <c r="A515" t="str">
        <f t="shared" si="791"/>
        <v>x</v>
      </c>
      <c r="D515" s="26" t="s">
        <v>729</v>
      </c>
      <c r="E515" s="4"/>
      <c r="F515" s="45"/>
      <c r="G515" s="4"/>
      <c r="H515" s="47"/>
      <c r="J515" s="26" t="str">
        <f t="shared" si="817"/>
        <v/>
      </c>
      <c r="N515" t="str">
        <f t="shared" si="835"/>
        <v/>
      </c>
      <c r="Q515" t="str">
        <f t="shared" si="829"/>
        <v/>
      </c>
      <c r="S515">
        <f>IF(A515=1,MAX($S$2:$S514)+1,IF(OR($I515&lt;&gt;"",A515="x"),$S514,""))</f>
        <v>256</v>
      </c>
      <c r="T515">
        <f>IF(D515=1,MAX($T$2:$T514)+1,IF(S515=S514,$T514,IF(D515="x",T514,IF(D514="x","",""))))</f>
        <v>32</v>
      </c>
      <c r="U515" t="str">
        <f>IF(B515=1,MAX($U$2:$U514)+1,IF(AND($T515&lt;&gt;"",$T515=$T514),$U514,IF(B515="x",U514,"")))</f>
        <v/>
      </c>
      <c r="V515" t="str">
        <f>IF(C515=1,MAX($V$2:$V514)+1,IF(AND($T515&lt;&gt;"",$T515=$T514),$U514,IF(C515="x",V514,"")))</f>
        <v/>
      </c>
      <c r="W515" t="str" cm="1">
        <f t="array" ref="W515">IFERROR(_xlfn._xlws.FILTER(game_rosters!AC:AC,(game_rosters!J:J=events!X515)*(K515&lt;&gt;"")),"")</f>
        <v/>
      </c>
      <c r="X515" cm="1">
        <f t="array" ref="X515">IF($I515&lt;&gt;"",$I515,INDEX($I$1:$I515,ROW()-COUNTIFS($T$1:$T515,"="&amp;$T515,$S$1:$S515,"&lt;"&amp;$S515)))</f>
        <v>90</v>
      </c>
      <c r="Y515" cm="1">
        <f t="array" ref="Y515">IFERROR(IF(_xlfn._xlws.FILTER(game_rosters!$J:$J,(game_rosters!$G:$G=events!$AM515)*(game_rosters!$J:$J=events!$X515))&gt;0,1,""),"")</f>
        <v>1</v>
      </c>
      <c r="Z515" s="6">
        <f t="shared" si="792"/>
        <v>1</v>
      </c>
      <c r="AA515">
        <f t="shared" si="793"/>
        <v>1256</v>
      </c>
      <c r="AB515">
        <f t="shared" si="794"/>
        <v>9032</v>
      </c>
      <c r="AC515">
        <f t="shared" si="795"/>
        <v>9032</v>
      </c>
      <c r="AD515" t="str">
        <f t="shared" si="796"/>
        <v>10</v>
      </c>
      <c r="AE515" t="str">
        <f t="shared" si="797"/>
        <v>18</v>
      </c>
      <c r="AF515" t="str">
        <f t="shared" si="798"/>
        <v/>
      </c>
      <c r="AG515" t="str">
        <f t="shared" si="799"/>
        <v/>
      </c>
      <c r="AH515" t="str">
        <f t="shared" si="842"/>
        <v>e</v>
      </c>
      <c r="AI515" t="str">
        <f t="shared" si="884"/>
        <v>o</v>
      </c>
      <c r="AJ515" t="str">
        <f t="shared" si="884"/>
        <v>o</v>
      </c>
      <c r="AK515" t="str">
        <f t="shared" si="844"/>
        <v/>
      </c>
      <c r="AL515" t="str">
        <f t="shared" si="845"/>
        <v/>
      </c>
      <c r="AM515" t="str">
        <f t="shared" si="800"/>
        <v>Home</v>
      </c>
      <c r="AN515" t="str">
        <f t="shared" si="846"/>
        <v>h</v>
      </c>
      <c r="AO515" t="str">
        <f t="shared" si="847"/>
        <v>o</v>
      </c>
      <c r="AP515" t="str">
        <f t="shared" si="848"/>
        <v>d</v>
      </c>
      <c r="AQ515" t="str">
        <f>IF(AM515&lt;&gt;"",AM515,IF($AC515=#REF!,#REF!,""))</f>
        <v>Home</v>
      </c>
      <c r="AR515" t="str">
        <f t="shared" si="849"/>
        <v>h</v>
      </c>
      <c r="AS515" t="str">
        <f t="shared" si="850"/>
        <v>Offensive</v>
      </c>
      <c r="AT515" t="str">
        <f t="shared" si="801"/>
        <v/>
      </c>
      <c r="AU515" t="str">
        <f t="shared" si="802"/>
        <v/>
      </c>
      <c r="AV515" t="str" cm="1">
        <f t="array" ref="AV515">IFERROR(IF(O515&lt;&gt;"",O515,IF(OR($S515="",$T515=""),"",IF(O515&lt;&gt;"",O515,IF($T515&lt;&gt;"",_xlfn._xlws.FILTER(O:O,($BT:$BT=$BT515)*($I:$I=$I515)*($T:$T=$T515)*($S:$S=_xlfn.MINIFS($S:$S,$T:$T,"="&amp;$T515)),"")))))&amp;"",IF(O515="","",""))&amp;""</f>
        <v/>
      </c>
      <c r="AW515" t="str" cm="1">
        <f t="array" ref="AW515">IFERROR(IF(P515&lt;&gt;"",P515,IF(OR($S515="",$T515=""),"",IF($T515&lt;&gt;"",_xlfn._xlws.FILTER(P:P,($BT:$BT=$BT515)*($I:$I=$I515)*($T:$T=$T515)*($S:$S=_xlfn.MINIFS($S:$S,$T:$T,"="&amp;$T515)),""))))&amp;"",IF(P515="","",""))&amp;""</f>
        <v/>
      </c>
      <c r="AX515" t="str" cm="1">
        <f t="array" ref="AX515">IFERROR(IF(Q515&lt;&gt;"",Q515,IF(OR($S515="",$T515=""),"",IF($T515&lt;&gt;"",_xlfn._xlws.FILTER(Q:Q,($BT:$BT=$BT515)*($I:$I=$I515)*($T:$T=$T515)*($S:$S=_xlfn.MINIFS($S:$S,$T:$T,"="&amp;$T515)),""))))&amp;"",IF(Q515="","",""))&amp;""</f>
        <v/>
      </c>
      <c r="AY515" t="str" cm="1">
        <f t="array" ref="AY515">IFERROR(IF(R515&lt;&gt;"",R515,IF(OR($S515="",$T515=""),"",IF($T515&lt;&gt;"",_xlfn._xlws.FILTER(R:R,($BT:$BT=$BT515)*($I:$I=$I515)*($T:$T=$T515)*($S:$S=_xlfn.MINIFS($S:$S,$T:$T,"="&amp;$T515)),""))))&amp;"",IF(R515="","",""))&amp;""</f>
        <v/>
      </c>
      <c r="AZ515" s="6">
        <f t="shared" si="803"/>
        <v>45</v>
      </c>
      <c r="BA515">
        <f t="shared" ref="BA515:BC515" si="893">BA514</f>
        <v>18991</v>
      </c>
      <c r="BB515" t="str">
        <f t="shared" si="893"/>
        <v>Triple J</v>
      </c>
      <c r="BC515" t="str">
        <f t="shared" si="893"/>
        <v>Velodrome</v>
      </c>
      <c r="BD515" t="str">
        <f t="shared" si="805"/>
        <v>Turnover</v>
      </c>
      <c r="BE515" t="str">
        <f t="shared" si="806"/>
        <v>Turnover_Giveaway</v>
      </c>
      <c r="BF515" t="str">
        <f t="shared" si="807"/>
        <v>Giveaway-PassBlocked</v>
      </c>
      <c r="BG515" t="str">
        <f t="shared" ref="BG515:BG578" si="894">IF($N515&lt;&gt;"",$N515,IF($S515=$S514,BG514,""))</f>
        <v>u</v>
      </c>
      <c r="BH515" cm="1">
        <f t="array" aca="1" ref="BH515" ca="1">IFERROR(_xlfn._xlws.FILTER(shifts!A:A,(shifts!B:B=events!Z515)*(shifts!AG:AG&gt;=events!BJ515)*(shifts!AH:AH&lt;=events!BK515)),BH514)</f>
        <v>18</v>
      </c>
      <c r="BI515" s="15">
        <f t="shared" si="808"/>
        <v>0</v>
      </c>
      <c r="BJ515">
        <f t="shared" si="809"/>
        <v>618</v>
      </c>
      <c r="BK515">
        <f t="shared" si="810"/>
        <v>618</v>
      </c>
      <c r="BL515" s="15">
        <f>SUMIFS(BI$2:BI515,K$2:K515,"=Intermission")+SUMIFS(BI$2:BI515,K$2:K515,"=Timeout")</f>
        <v>0</v>
      </c>
      <c r="BM515">
        <f t="shared" si="811"/>
        <v>0</v>
      </c>
      <c r="BN515" s="19">
        <f t="shared" si="812"/>
        <v>462</v>
      </c>
      <c r="BO515">
        <f t="shared" si="813"/>
        <v>457</v>
      </c>
      <c r="BP515" s="17">
        <f t="shared" si="814"/>
        <v>462</v>
      </c>
      <c r="BQ515" t="str">
        <f t="shared" si="815"/>
        <v>event_team_player_2</v>
      </c>
      <c r="BR515">
        <f>COUNTIFS(S$3:S515,"="&amp;S515,AH$3:AH515,"="&amp;AH515)</f>
        <v>2</v>
      </c>
      <c r="BS515" t="str">
        <f>IFERROR(VLOOKUP(BA515&amp;BT515&amp;X515,game_rosters!U:W,3,FALSE),"")</f>
        <v>P100233</v>
      </c>
      <c r="BT515" t="str">
        <f t="shared" si="816"/>
        <v>Triple J</v>
      </c>
    </row>
    <row r="516" spans="1:72" x14ac:dyDescent="0.2">
      <c r="A516" t="str">
        <f t="shared" si="791"/>
        <v>x</v>
      </c>
      <c r="D516" s="26" t="s">
        <v>729</v>
      </c>
      <c r="E516" s="4"/>
      <c r="F516" s="45"/>
      <c r="G516" s="4"/>
      <c r="H516" s="47"/>
      <c r="J516" s="26" t="str">
        <f t="shared" si="817"/>
        <v/>
      </c>
      <c r="N516" t="str">
        <f t="shared" si="835"/>
        <v/>
      </c>
      <c r="Q516" t="str">
        <f t="shared" si="829"/>
        <v/>
      </c>
      <c r="S516">
        <f>IF(A516=1,MAX($S$2:$S515)+1,IF(OR($I516&lt;&gt;"",A516="x"),$S515,""))</f>
        <v>256</v>
      </c>
      <c r="T516">
        <f>IF(D516=1,MAX($T$2:$T515)+1,IF(S516=S515,$T515,IF(D516="x",T515,IF(D515="x","",""))))</f>
        <v>32</v>
      </c>
      <c r="U516" t="str">
        <f>IF(B516=1,MAX($U$2:$U515)+1,IF(AND($T516&lt;&gt;"",$T516=$T515),$U515,IF(B516="x",U515,"")))</f>
        <v/>
      </c>
      <c r="V516" t="str">
        <f>IF(C516=1,MAX($V$2:$V515)+1,IF(AND($T516&lt;&gt;"",$T516=$T515),$U515,IF(C516="x",V515,"")))</f>
        <v/>
      </c>
      <c r="W516" t="str" cm="1">
        <f t="array" ref="W516">IFERROR(_xlfn._xlws.FILTER(game_rosters!AC:AC,(game_rosters!J:J=events!X516)*(K516&lt;&gt;"")),"")</f>
        <v/>
      </c>
      <c r="X516" cm="1">
        <f t="array" ref="X516">IF($I516&lt;&gt;"",$I516,INDEX($I$1:$I516,ROW()-COUNTIFS($T$1:$T516,"="&amp;$T516,$S$1:$S516,"&lt;"&amp;$S516)))</f>
        <v>22</v>
      </c>
      <c r="Y516" t="str" cm="1">
        <f t="array" ref="Y516">IFERROR(IF(_xlfn._xlws.FILTER(game_rosters!$J:$J,(game_rosters!$G:$G=events!$AM516)*(game_rosters!$J:$J=events!$X516))&gt;0,1,""),"")</f>
        <v/>
      </c>
      <c r="Z516" s="6">
        <f t="shared" si="792"/>
        <v>1</v>
      </c>
      <c r="AA516">
        <f t="shared" si="793"/>
        <v>1256</v>
      </c>
      <c r="AB516">
        <f t="shared" si="794"/>
        <v>9032</v>
      </c>
      <c r="AC516">
        <f t="shared" si="795"/>
        <v>9032</v>
      </c>
      <c r="AD516" t="str">
        <f t="shared" si="796"/>
        <v>10</v>
      </c>
      <c r="AE516" t="str">
        <f t="shared" si="797"/>
        <v>18</v>
      </c>
      <c r="AF516" t="str">
        <f t="shared" si="798"/>
        <v/>
      </c>
      <c r="AG516" t="str">
        <f t="shared" si="799"/>
        <v/>
      </c>
      <c r="AH516" t="str">
        <f t="shared" si="842"/>
        <v>o</v>
      </c>
      <c r="AI516" t="str">
        <f t="shared" si="884"/>
        <v>o</v>
      </c>
      <c r="AJ516" t="str">
        <f t="shared" si="884"/>
        <v>o</v>
      </c>
      <c r="AK516" t="str">
        <f t="shared" si="844"/>
        <v/>
      </c>
      <c r="AL516" t="str">
        <f t="shared" si="845"/>
        <v/>
      </c>
      <c r="AM516" t="str">
        <f t="shared" si="800"/>
        <v>Home</v>
      </c>
      <c r="AN516" t="str">
        <f t="shared" si="846"/>
        <v>h</v>
      </c>
      <c r="AO516" t="str">
        <f t="shared" si="847"/>
        <v>o</v>
      </c>
      <c r="AP516" t="str">
        <f t="shared" si="848"/>
        <v>d</v>
      </c>
      <c r="AQ516" t="str">
        <f>IF(AM516&lt;&gt;"",AM516,IF($AC516=#REF!,#REF!,""))</f>
        <v>Home</v>
      </c>
      <c r="AR516" t="str">
        <f t="shared" si="849"/>
        <v>h</v>
      </c>
      <c r="AS516" t="str">
        <f t="shared" si="850"/>
        <v>Defensive</v>
      </c>
      <c r="AT516" t="str">
        <f t="shared" si="801"/>
        <v/>
      </c>
      <c r="AU516" t="str">
        <f t="shared" si="802"/>
        <v/>
      </c>
      <c r="AV516" t="str" cm="1">
        <f t="array" ref="AV516">IFERROR(IF(O516&lt;&gt;"",O516,IF(OR($S516="",$T516=""),"",IF(O516&lt;&gt;"",O516,IF($T516&lt;&gt;"",_xlfn._xlws.FILTER(O:O,($BT:$BT=$BT516)*($I:$I=$I516)*($T:$T=$T516)*($S:$S=_xlfn.MINIFS($S:$S,$T:$T,"="&amp;$T516)),"")))))&amp;"",IF(O516="","",""))&amp;""</f>
        <v/>
      </c>
      <c r="AW516" t="str" cm="1">
        <f t="array" ref="AW516">IFERROR(IF(P516&lt;&gt;"",P516,IF(OR($S516="",$T516=""),"",IF($T516&lt;&gt;"",_xlfn._xlws.FILTER(P:P,($BT:$BT=$BT516)*($I:$I=$I516)*($T:$T=$T516)*($S:$S=_xlfn.MINIFS($S:$S,$T:$T,"="&amp;$T516)),""))))&amp;"",IF(P516="","",""))&amp;""</f>
        <v/>
      </c>
      <c r="AX516" t="str" cm="1">
        <f t="array" ref="AX516">IFERROR(IF(Q516&lt;&gt;"",Q516,IF(OR($S516="",$T516=""),"",IF($T516&lt;&gt;"",_xlfn._xlws.FILTER(Q:Q,($BT:$BT=$BT516)*($I:$I=$I516)*($T:$T=$T516)*($S:$S=_xlfn.MINIFS($S:$S,$T:$T,"="&amp;$T516)),""))))&amp;"",IF(Q516="","",""))&amp;""</f>
        <v/>
      </c>
      <c r="AY516" t="str" cm="1">
        <f t="array" ref="AY516">IFERROR(IF(R516&lt;&gt;"",R516,IF(OR($S516="",$T516=""),"",IF($T516&lt;&gt;"",_xlfn._xlws.FILTER(R:R,($BT:$BT=$BT516)*($I:$I=$I516)*($T:$T=$T516)*($S:$S=_xlfn.MINIFS($S:$S,$T:$T,"="&amp;$T516)),""))))&amp;"",IF(R516="","",""))&amp;""</f>
        <v/>
      </c>
      <c r="AZ516" s="6">
        <f t="shared" si="803"/>
        <v>45</v>
      </c>
      <c r="BA516">
        <f t="shared" ref="BA516:BC516" si="895">BA515</f>
        <v>18991</v>
      </c>
      <c r="BB516" t="str">
        <f t="shared" si="895"/>
        <v>Triple J</v>
      </c>
      <c r="BC516" t="str">
        <f t="shared" si="895"/>
        <v>Velodrome</v>
      </c>
      <c r="BD516" t="str">
        <f t="shared" si="805"/>
        <v>Turnover</v>
      </c>
      <c r="BE516" t="str">
        <f t="shared" si="806"/>
        <v>Turnover_Giveaway</v>
      </c>
      <c r="BF516" t="str">
        <f t="shared" si="807"/>
        <v>Giveaway-PassBlocked</v>
      </c>
      <c r="BG516" t="str">
        <f t="shared" si="894"/>
        <v>u</v>
      </c>
      <c r="BH516" cm="1">
        <f t="array" aca="1" ref="BH516" ca="1">IFERROR(_xlfn._xlws.FILTER(shifts!A:A,(shifts!B:B=events!Z516)*(shifts!AG:AG&gt;=events!BJ516)*(shifts!AH:AH&lt;=events!BK516)),BH515)</f>
        <v>18</v>
      </c>
      <c r="BI516" s="15">
        <f t="shared" si="808"/>
        <v>0</v>
      </c>
      <c r="BJ516">
        <f t="shared" si="809"/>
        <v>618</v>
      </c>
      <c r="BK516">
        <f t="shared" si="810"/>
        <v>618</v>
      </c>
      <c r="BL516" s="15">
        <f>SUMIFS(BI$2:BI516,K$2:K516,"=Intermission")+SUMIFS(BI$2:BI516,K$2:K516,"=Timeout")</f>
        <v>0</v>
      </c>
      <c r="BM516">
        <f t="shared" si="811"/>
        <v>0</v>
      </c>
      <c r="BN516" s="19">
        <f t="shared" si="812"/>
        <v>462</v>
      </c>
      <c r="BO516">
        <f t="shared" si="813"/>
        <v>457</v>
      </c>
      <c r="BP516" s="17">
        <f t="shared" si="814"/>
        <v>462</v>
      </c>
      <c r="BQ516" t="str">
        <f t="shared" si="815"/>
        <v>opp_team_player_1</v>
      </c>
      <c r="BR516">
        <f>COUNTIFS(S$3:S516,"="&amp;S516,AH$3:AH516,"="&amp;AH516)</f>
        <v>1</v>
      </c>
      <c r="BS516" t="str">
        <f>IFERROR(VLOOKUP(BA516&amp;BT516&amp;X516,game_rosters!U:W,3,FALSE),"")</f>
        <v>P100108</v>
      </c>
      <c r="BT516" t="str">
        <f t="shared" si="816"/>
        <v>Velodrome</v>
      </c>
    </row>
    <row r="517" spans="1:72" x14ac:dyDescent="0.2">
      <c r="A517" t="str">
        <f t="shared" ref="A517:A580" si="896">IF(K517&lt;&gt;"",1,IF(D517="x","x",""))</f>
        <v>x</v>
      </c>
      <c r="D517" s="26" t="s">
        <v>729</v>
      </c>
      <c r="E517" s="4"/>
      <c r="F517" s="45"/>
      <c r="G517" s="4"/>
      <c r="H517" s="47"/>
      <c r="J517" s="26" t="str">
        <f t="shared" si="817"/>
        <v/>
      </c>
      <c r="N517" t="str">
        <f t="shared" si="835"/>
        <v/>
      </c>
      <c r="Q517" t="str">
        <f t="shared" si="829"/>
        <v/>
      </c>
      <c r="S517">
        <f>IF(A517=1,MAX($S$2:$S516)+1,IF(OR($I517&lt;&gt;"",A517="x"),$S516,""))</f>
        <v>256</v>
      </c>
      <c r="T517">
        <f>IF(D517=1,MAX($T$2:$T516)+1,IF(S517=S516,$T516,IF(D517="x",T516,IF(D516="x","",""))))</f>
        <v>32</v>
      </c>
      <c r="U517" t="str">
        <f>IF(B517=1,MAX($U$2:$U516)+1,IF(AND($T517&lt;&gt;"",$T517=$T516),$U516,IF(B517="x",U516,"")))</f>
        <v/>
      </c>
      <c r="V517" t="str">
        <f>IF(C517=1,MAX($V$2:$V516)+1,IF(AND($T517&lt;&gt;"",$T517=$T516),$U516,IF(C517="x",V516,"")))</f>
        <v/>
      </c>
      <c r="W517" t="str" cm="1">
        <f t="array" ref="W517">IFERROR(_xlfn._xlws.FILTER(game_rosters!AC:AC,(game_rosters!J:J=events!X517)*(K517&lt;&gt;"")),"")</f>
        <v/>
      </c>
      <c r="X517" cm="1">
        <f t="array" ref="X517">IF($I517&lt;&gt;"",$I517,INDEX($I$1:$I517,ROW()-COUNTIFS($T$1:$T517,"="&amp;$T517,$S$1:$S517,"&lt;"&amp;$S517)))</f>
        <v>84</v>
      </c>
      <c r="Y517" t="str" cm="1">
        <f t="array" ref="Y517">IFERROR(IF(_xlfn._xlws.FILTER(game_rosters!$J:$J,(game_rosters!$G:$G=events!$AM517)*(game_rosters!$J:$J=events!$X517))&gt;0,1,""),"")</f>
        <v/>
      </c>
      <c r="Z517" s="6">
        <f t="shared" ref="Z517:Z580" si="897">IF(K517="Intermission",Z516+1,Z516)</f>
        <v>1</v>
      </c>
      <c r="AA517">
        <f t="shared" ref="AA517:AA580" si="898">S517+1000</f>
        <v>1256</v>
      </c>
      <c r="AB517">
        <f t="shared" ref="AB517:AB580" si="899">IF(T517&lt;&gt;"",9000+T517,"")</f>
        <v>9032</v>
      </c>
      <c r="AC517">
        <f t="shared" ref="AC517:AC580" si="900">IF(AB517&lt;&gt;"",AB517,S517+1000)</f>
        <v>9032</v>
      </c>
      <c r="AD517" t="str">
        <f t="shared" ref="AD517:AD580" si="901">IF(E517&lt;&gt;"",E517,IF($AC517=$AC516,AD516,IF(AF516&lt;&gt;"",AF516,IF(AD516&lt;&gt;"",AD516,""))))</f>
        <v>10</v>
      </c>
      <c r="AE517" t="str">
        <f t="shared" ref="AE517:AE580" si="902">IF(F517&lt;&gt;"",F517,IF($AC517=$AC516,AE516,IF(AG516&lt;&gt;"",AG516,IF(AE516&lt;&gt;"",AE516,""))))</f>
        <v>18</v>
      </c>
      <c r="AF517" t="str">
        <f t="shared" ref="AF517:AF580" si="903">IF(G517&lt;&gt;"",G517,IF($AC517=$AC516,AF516,IF(H517="","",AD517)))</f>
        <v/>
      </c>
      <c r="AG517" t="str">
        <f t="shared" ref="AG517:AG580" si="904">IF(H517&lt;&gt;"",H517,IF($S517=$S516,AG516,""))</f>
        <v/>
      </c>
      <c r="AH517" t="str">
        <f t="shared" si="842"/>
        <v>o</v>
      </c>
      <c r="AI517" t="str">
        <f t="shared" si="884"/>
        <v>o</v>
      </c>
      <c r="AJ517" t="str">
        <f t="shared" si="884"/>
        <v>o</v>
      </c>
      <c r="AK517" t="str">
        <f t="shared" si="844"/>
        <v/>
      </c>
      <c r="AL517" t="str">
        <f t="shared" si="845"/>
        <v/>
      </c>
      <c r="AM517" t="str">
        <f t="shared" ref="AM517:AM580" si="905">IF(AN517="H","Home",IF(AN517="A","Away",""))</f>
        <v>Home</v>
      </c>
      <c r="AN517" t="str">
        <f t="shared" si="846"/>
        <v>h</v>
      </c>
      <c r="AO517" t="str">
        <f t="shared" si="847"/>
        <v>o</v>
      </c>
      <c r="AP517" t="str">
        <f t="shared" si="848"/>
        <v>d</v>
      </c>
      <c r="AQ517" t="str">
        <f>IF(AM517&lt;&gt;"",AM517,IF($AC517=#REF!,#REF!,""))</f>
        <v>Home</v>
      </c>
      <c r="AR517" t="str">
        <f t="shared" si="849"/>
        <v>h</v>
      </c>
      <c r="AS517" t="str">
        <f t="shared" si="850"/>
        <v>Defensive</v>
      </c>
      <c r="AT517" t="str">
        <f t="shared" ref="AT517:AT580" si="906">IF(U517&lt;&gt;"",U517+5000,"")</f>
        <v/>
      </c>
      <c r="AU517" t="str">
        <f t="shared" ref="AU517:AU580" si="907">IF(V517&lt;&gt;"",V517+6000,"")</f>
        <v/>
      </c>
      <c r="AV517" t="str" cm="1">
        <f t="array" ref="AV517">IFERROR(IF(O517&lt;&gt;"",O517,IF(OR($S517="",$T517=""),"",IF(O517&lt;&gt;"",O517,IF($T517&lt;&gt;"",_xlfn._xlws.FILTER(O:O,($BT:$BT=$BT517)*($I:$I=$I517)*($T:$T=$T517)*($S:$S=_xlfn.MINIFS($S:$S,$T:$T,"="&amp;$T517)),"")))))&amp;"",IF(O517="","",""))&amp;""</f>
        <v/>
      </c>
      <c r="AW517" t="str" cm="1">
        <f t="array" ref="AW517">IFERROR(IF(P517&lt;&gt;"",P517,IF(OR($S517="",$T517=""),"",IF($T517&lt;&gt;"",_xlfn._xlws.FILTER(P:P,($BT:$BT=$BT517)*($I:$I=$I517)*($T:$T=$T517)*($S:$S=_xlfn.MINIFS($S:$S,$T:$T,"="&amp;$T517)),""))))&amp;"",IF(P517="","",""))&amp;""</f>
        <v/>
      </c>
      <c r="AX517" t="str" cm="1">
        <f t="array" ref="AX517">IFERROR(IF(Q517&lt;&gt;"",Q517,IF(OR($S517="",$T517=""),"",IF($T517&lt;&gt;"",_xlfn._xlws.FILTER(Q:Q,($BT:$BT=$BT517)*($I:$I=$I517)*($T:$T=$T517)*($S:$S=_xlfn.MINIFS($S:$S,$T:$T,"="&amp;$T517)),""))))&amp;"",IF(Q517="","",""))&amp;""</f>
        <v/>
      </c>
      <c r="AY517" t="str" cm="1">
        <f t="array" ref="AY517">IFERROR(IF(R517&lt;&gt;"",R517,IF(OR($S517="",$T517=""),"",IF($T517&lt;&gt;"",_xlfn._xlws.FILTER(R:R,($BT:$BT=$BT517)*($I:$I=$I517)*($T:$T=$T517)*($S:$S=_xlfn.MINIFS($S:$S,$T:$T,"="&amp;$T517)),""))))&amp;"",IF(R517="","",""))&amp;""</f>
        <v/>
      </c>
      <c r="AZ517" s="6">
        <f t="shared" ref="AZ517:AZ580" si="908">IF(OR(L517="Zone_Entry",L517="Zone_Exit"),AZ516+1,AZ516)</f>
        <v>45</v>
      </c>
      <c r="BA517">
        <f t="shared" ref="BA517:BC517" si="909">BA516</f>
        <v>18991</v>
      </c>
      <c r="BB517" t="str">
        <f t="shared" si="909"/>
        <v>Triple J</v>
      </c>
      <c r="BC517" t="str">
        <f t="shared" si="909"/>
        <v>Velodrome</v>
      </c>
      <c r="BD517" t="str">
        <f t="shared" ref="BD517:BD580" si="910">IF($K517&lt;&gt;"",$K517,IF($S517=$S516,BD516,""))</f>
        <v>Turnover</v>
      </c>
      <c r="BE517" t="str">
        <f t="shared" ref="BE517:BE580" si="911">IF(L517&lt;&gt;"",L517,IF($S517=$S516,BE516,""))</f>
        <v>Turnover_Giveaway</v>
      </c>
      <c r="BF517" t="str">
        <f t="shared" ref="BF517:BF580" si="912">IF(M517&lt;&gt;"",M517,IF($S517=$S516,BF516,""))</f>
        <v>Giveaway-PassBlocked</v>
      </c>
      <c r="BG517" t="str">
        <f t="shared" si="894"/>
        <v>u</v>
      </c>
      <c r="BH517" cm="1">
        <f t="array" aca="1" ref="BH517" ca="1">IFERROR(_xlfn._xlws.FILTER(shifts!A:A,(shifts!B:B=events!Z517)*(shifts!AG:AG&gt;=events!BJ517)*(shifts!AH:AH&lt;=events!BK517)),BH516)</f>
        <v>18</v>
      </c>
      <c r="BI517" s="15">
        <f t="shared" ref="BI517:BI580" si="913">IF(AND(AF517="",AG517=""),0,((AD517*60)+AE517)-((AF517*60)+AG517))</f>
        <v>0</v>
      </c>
      <c r="BJ517">
        <f t="shared" ref="BJ517:BJ580" si="914">(AD517*60)+AE517</f>
        <v>618</v>
      </c>
      <c r="BK517">
        <f t="shared" ref="BK517:BK580" si="915">IF(AND(AF517="",AG517=""),BJ517,((AF517*60)+AG517))</f>
        <v>618</v>
      </c>
      <c r="BL517" s="15">
        <f>SUMIFS(BI$2:BI517,K$2:K517,"=Intermission")+SUMIFS(BI$2:BI517,K$2:K517,"=Timeout")</f>
        <v>0</v>
      </c>
      <c r="BM517">
        <f t="shared" ref="BM517:BM580" si="916">IF(Z517=1,0,IF(Z517=2,1080+BL517,IF(Z517=3,(1080*2)+BL517,0)))</f>
        <v>0</v>
      </c>
      <c r="BN517" s="19">
        <f t="shared" ref="BN517:BN580" si="917">IF(K517="Intermission",BN516,((1080)-((AD517*60)+AE517))+BM517)</f>
        <v>462</v>
      </c>
      <c r="BO517">
        <f t="shared" ref="BO517:BO580" si="918">IF(BN517&lt;5,0,BN517-5)</f>
        <v>457</v>
      </c>
      <c r="BP517" s="17">
        <f t="shared" ref="BP517:BP580" si="919">BO517+BI517+5</f>
        <v>462</v>
      </c>
      <c r="BQ517" t="str">
        <f t="shared" ref="BQ517:BQ580" si="920">IF(AH517="e","event_team_player_"&amp;BR517,IF(AH517="o","opp_team_player_"&amp;BR517,""))</f>
        <v>opp_team_player_2</v>
      </c>
      <c r="BR517">
        <f>COUNTIFS(S$3:S517,"="&amp;S517,AH$3:AH517,"="&amp;AH517)</f>
        <v>2</v>
      </c>
      <c r="BS517" t="str">
        <f>IFERROR(VLOOKUP(BA517&amp;BT517&amp;X517,game_rosters!U:W,3,FALSE),"")</f>
        <v>P100198</v>
      </c>
      <c r="BT517" t="str">
        <f t="shared" ref="BT517:BT580" si="921">IF(AQ517="","",IF(AND(AQ517="Away",AH517="e"),BC517,IF(AND(AQ517="Home",AH517="e"),BB517,IF(AND(AQ517="Away",AH517="o"),BB517,IF(AND(AQ517="Home",AH517="o"),BC517)))))</f>
        <v>Velodrome</v>
      </c>
    </row>
    <row r="518" spans="1:72" x14ac:dyDescent="0.2">
      <c r="A518">
        <f t="shared" si="896"/>
        <v>1</v>
      </c>
      <c r="E518" s="4"/>
      <c r="F518" s="45" t="s">
        <v>732</v>
      </c>
      <c r="G518" s="4"/>
      <c r="H518" s="47" t="s">
        <v>744</v>
      </c>
      <c r="I518" s="26">
        <v>70</v>
      </c>
      <c r="J518" s="26" t="s">
        <v>736</v>
      </c>
      <c r="K518" t="s">
        <v>13</v>
      </c>
      <c r="L518" t="s">
        <v>586</v>
      </c>
      <c r="N518" t="s">
        <v>595</v>
      </c>
      <c r="O518" t="s">
        <v>907</v>
      </c>
      <c r="Q518" t="str">
        <f t="shared" si="829"/>
        <v>s</v>
      </c>
      <c r="S518">
        <f>IF(A518=1,MAX($S$2:$S517)+1,IF(OR($I518&lt;&gt;"",A518="x"),$S517,""))</f>
        <v>257</v>
      </c>
      <c r="T518" t="str">
        <f>IF(D518=1,MAX($T$2:$T517)+1,IF(S518=S517,$T517,IF(D518="x",T517,IF(D517="x","",""))))</f>
        <v/>
      </c>
      <c r="U518" t="str">
        <f>IF(B518=1,MAX($U$2:$U517)+1,IF(AND($T518&lt;&gt;"",$T518=$T517),$U517,IF(B518="x",U517,"")))</f>
        <v/>
      </c>
      <c r="V518" t="str">
        <f>IF(C518=1,MAX($V$2:$V517)+1,IF(AND($T518&lt;&gt;"",$T518=$T517),$U517,IF(C518="x",V517,"")))</f>
        <v/>
      </c>
      <c r="W518" t="str" cm="1">
        <f t="array" ref="W518">IFERROR(_xlfn._xlws.FILTER(game_rosters!AC:AC,(game_rosters!J:J=events!X518)*(K518&lt;&gt;"")),"")</f>
        <v>a</v>
      </c>
      <c r="X518" cm="1">
        <f t="array" ref="X518">IF($I518&lt;&gt;"",$I518,INDEX($I$1:$I518,ROW()-COUNTIFS($T$1:$T518,"="&amp;$T518,$S$1:$S518,"&lt;"&amp;$S518)))</f>
        <v>70</v>
      </c>
      <c r="Y518" cm="1">
        <f t="array" ref="Y518">IFERROR(IF(_xlfn._xlws.FILTER(game_rosters!$J:$J,(game_rosters!$G:$G=events!$AM518)*(game_rosters!$J:$J=events!$X518))&gt;0,1,""),"")</f>
        <v>1</v>
      </c>
      <c r="Z518" s="6">
        <f t="shared" si="897"/>
        <v>1</v>
      </c>
      <c r="AA518">
        <f t="shared" si="898"/>
        <v>1257</v>
      </c>
      <c r="AB518" t="str">
        <f t="shared" si="899"/>
        <v/>
      </c>
      <c r="AC518">
        <f t="shared" si="900"/>
        <v>1257</v>
      </c>
      <c r="AD518" t="str">
        <f t="shared" si="901"/>
        <v>10</v>
      </c>
      <c r="AE518" t="str">
        <f t="shared" si="902"/>
        <v>17</v>
      </c>
      <c r="AF518" t="str">
        <f t="shared" si="903"/>
        <v>10</v>
      </c>
      <c r="AG518" t="str">
        <f t="shared" si="904"/>
        <v>15</v>
      </c>
      <c r="AH518" t="str">
        <f t="shared" si="842"/>
        <v>e</v>
      </c>
      <c r="AI518" t="str">
        <f t="shared" si="884"/>
        <v>d</v>
      </c>
      <c r="AJ518" t="str">
        <f t="shared" si="884"/>
        <v>d</v>
      </c>
      <c r="AK518" t="str">
        <f t="shared" si="844"/>
        <v>o</v>
      </c>
      <c r="AL518" t="str">
        <f t="shared" si="845"/>
        <v>d</v>
      </c>
      <c r="AM518" t="str">
        <f t="shared" si="905"/>
        <v>Away</v>
      </c>
      <c r="AN518" t="str">
        <f t="shared" si="846"/>
        <v>a</v>
      </c>
      <c r="AO518" t="str">
        <f t="shared" si="847"/>
        <v>o</v>
      </c>
      <c r="AP518" t="str">
        <f t="shared" si="848"/>
        <v>d</v>
      </c>
      <c r="AQ518" t="str">
        <f>IF(AM518&lt;&gt;"",AM518,IF($AC518=#REF!,#REF!,""))</f>
        <v>Away</v>
      </c>
      <c r="AR518" t="str">
        <f t="shared" si="849"/>
        <v>a</v>
      </c>
      <c r="AS518" t="str">
        <f t="shared" si="850"/>
        <v>Offensive</v>
      </c>
      <c r="AT518" t="str">
        <f t="shared" si="906"/>
        <v/>
      </c>
      <c r="AU518" t="str">
        <f t="shared" si="907"/>
        <v/>
      </c>
      <c r="AV518" t="str" cm="1">
        <f t="array" ref="AV518">IFERROR(IF(O518&lt;&gt;"",O518,IF(OR($S518="",$T518=""),"",IF(O518&lt;&gt;"",O518,IF($T518&lt;&gt;"",_xlfn._xlws.FILTER(O:O,($BT:$BT=$BT518)*($I:$I=$I518)*($T:$T=$T518)*($S:$S=_xlfn.MINIFS($S:$S,$T:$T,"="&amp;$T518)),"")))))&amp;"",IF(O518="","",""))&amp;""</f>
        <v>PuckRecoveryRetreivalPass</v>
      </c>
      <c r="AW518" t="str" cm="1">
        <f t="array" ref="AW518">IFERROR(IF(P518&lt;&gt;"",P518,IF(OR($S518="",$T518=""),"",IF($T518&lt;&gt;"",_xlfn._xlws.FILTER(P:P,($BT:$BT=$BT518)*($I:$I=$I518)*($T:$T=$T518)*($S:$S=_xlfn.MINIFS($S:$S,$T:$T,"="&amp;$T518)),""))))&amp;"",IF(P518="","",""))&amp;""</f>
        <v/>
      </c>
      <c r="AX518" t="str" cm="1">
        <f t="array" ref="AX518">IFERROR(IF(Q518&lt;&gt;"",Q518,IF(OR($S518="",$T518=""),"",IF($T518&lt;&gt;"",_xlfn._xlws.FILTER(Q:Q,($BT:$BT=$BT518)*($I:$I=$I518)*($T:$T=$T518)*($S:$S=_xlfn.MINIFS($S:$S,$T:$T,"="&amp;$T518)),""))))&amp;"",IF(Q518="","",""))&amp;""</f>
        <v>s</v>
      </c>
      <c r="AY518" t="str" cm="1">
        <f t="array" ref="AY518">IFERROR(IF(R518&lt;&gt;"",R518,IF(OR($S518="",$T518=""),"",IF($T518&lt;&gt;"",_xlfn._xlws.FILTER(R:R,($BT:$BT=$BT518)*($I:$I=$I518)*($T:$T=$T518)*($S:$S=_xlfn.MINIFS($S:$S,$T:$T,"="&amp;$T518)),""))))&amp;"",IF(R518="","",""))&amp;""</f>
        <v/>
      </c>
      <c r="AZ518" s="6">
        <f t="shared" si="908"/>
        <v>45</v>
      </c>
      <c r="BA518">
        <f t="shared" ref="BA518:BC518" si="922">BA517</f>
        <v>18991</v>
      </c>
      <c r="BB518" t="str">
        <f t="shared" si="922"/>
        <v>Triple J</v>
      </c>
      <c r="BC518" t="str">
        <f t="shared" si="922"/>
        <v>Velodrome</v>
      </c>
      <c r="BD518" t="str">
        <f t="shared" si="910"/>
        <v>Possession</v>
      </c>
      <c r="BE518" t="str">
        <f t="shared" si="911"/>
        <v>PuckRetrieval</v>
      </c>
      <c r="BF518" t="str">
        <f t="shared" si="912"/>
        <v/>
      </c>
      <c r="BG518" t="str">
        <f t="shared" si="894"/>
        <v>s</v>
      </c>
      <c r="BH518" cm="1">
        <f t="array" aca="1" ref="BH518" ca="1">IFERROR(_xlfn._xlws.FILTER(shifts!A:A,(shifts!B:B=events!Z518)*(shifts!AG:AG&gt;=events!BJ518)*(shifts!AH:AH&lt;=events!BK518)),BH517)</f>
        <v>18</v>
      </c>
      <c r="BI518" s="15">
        <f t="shared" si="913"/>
        <v>2</v>
      </c>
      <c r="BJ518">
        <f t="shared" si="914"/>
        <v>617</v>
      </c>
      <c r="BK518">
        <f t="shared" si="915"/>
        <v>615</v>
      </c>
      <c r="BL518" s="15">
        <f>SUMIFS(BI$2:BI518,K$2:K518,"=Intermission")+SUMIFS(BI$2:BI518,K$2:K518,"=Timeout")</f>
        <v>0</v>
      </c>
      <c r="BM518">
        <f t="shared" si="916"/>
        <v>0</v>
      </c>
      <c r="BN518" s="19">
        <f t="shared" si="917"/>
        <v>463</v>
      </c>
      <c r="BO518">
        <f t="shared" si="918"/>
        <v>458</v>
      </c>
      <c r="BP518" s="17">
        <f t="shared" si="919"/>
        <v>465</v>
      </c>
      <c r="BQ518" t="str">
        <f t="shared" si="920"/>
        <v>event_team_player_1</v>
      </c>
      <c r="BR518">
        <f>COUNTIFS(S$3:S518,"="&amp;S518,AH$3:AH518,"="&amp;AH518)</f>
        <v>1</v>
      </c>
      <c r="BS518" t="str">
        <f>IFERROR(VLOOKUP(BA518&amp;BT518&amp;X518,game_rosters!U:W,3,FALSE),"")</f>
        <v>P100001</v>
      </c>
      <c r="BT518" t="str">
        <f t="shared" si="921"/>
        <v>Velodrome</v>
      </c>
    </row>
    <row r="519" spans="1:72" x14ac:dyDescent="0.2">
      <c r="A519">
        <f t="shared" si="896"/>
        <v>1</v>
      </c>
      <c r="E519" s="4"/>
      <c r="F519" s="45"/>
      <c r="G519" s="4"/>
      <c r="H519" s="47" t="s">
        <v>745</v>
      </c>
      <c r="I519" s="26">
        <v>70</v>
      </c>
      <c r="J519" s="26" t="s">
        <v>736</v>
      </c>
      <c r="K519" t="s">
        <v>238</v>
      </c>
      <c r="L519" t="s">
        <v>184</v>
      </c>
      <c r="M519" t="s">
        <v>88</v>
      </c>
      <c r="N519" t="str">
        <f t="shared" si="835"/>
        <v>s</v>
      </c>
      <c r="Q519" t="str">
        <f t="shared" si="829"/>
        <v/>
      </c>
      <c r="S519">
        <f>IF(A519=1,MAX($S$2:$S518)+1,IF(OR($I519&lt;&gt;"",A519="x"),$S518,""))</f>
        <v>258</v>
      </c>
      <c r="T519" t="str">
        <f>IF(D519=1,MAX($T$2:$T518)+1,IF(S519=S518,$T518,IF(D519="x",T518,IF(D518="x","",""))))</f>
        <v/>
      </c>
      <c r="U519" t="str">
        <f>IF(B519=1,MAX($U$2:$U518)+1,IF(AND($T519&lt;&gt;"",$T519=$T518),$U518,IF(B519="x",U518,"")))</f>
        <v/>
      </c>
      <c r="V519" t="str">
        <f>IF(C519=1,MAX($V$2:$V518)+1,IF(AND($T519&lt;&gt;"",$T519=$T518),$U518,IF(C519="x",V518,"")))</f>
        <v/>
      </c>
      <c r="W519" t="str" cm="1">
        <f t="array" ref="W519">IFERROR(_xlfn._xlws.FILTER(game_rosters!AC:AC,(game_rosters!J:J=events!X519)*(K519&lt;&gt;"")),"")</f>
        <v>a</v>
      </c>
      <c r="X519" cm="1">
        <f t="array" ref="X519">IF($I519&lt;&gt;"",$I519,INDEX($I$1:$I519,ROW()-COUNTIFS($T$1:$T519,"="&amp;$T519,$S$1:$S519,"&lt;"&amp;$S519)))</f>
        <v>70</v>
      </c>
      <c r="Y519" cm="1">
        <f t="array" ref="Y519">IFERROR(IF(_xlfn._xlws.FILTER(game_rosters!$J:$J,(game_rosters!$G:$G=events!$AM519)*(game_rosters!$J:$J=events!$X519))&gt;0,1,""),"")</f>
        <v>1</v>
      </c>
      <c r="Z519" s="6">
        <f t="shared" si="897"/>
        <v>1</v>
      </c>
      <c r="AA519">
        <f t="shared" si="898"/>
        <v>1258</v>
      </c>
      <c r="AB519" t="str">
        <f t="shared" si="899"/>
        <v/>
      </c>
      <c r="AC519">
        <f t="shared" si="900"/>
        <v>1258</v>
      </c>
      <c r="AD519" t="str">
        <f t="shared" si="901"/>
        <v>10</v>
      </c>
      <c r="AE519" t="str">
        <f t="shared" si="902"/>
        <v>15</v>
      </c>
      <c r="AF519" t="str">
        <f t="shared" si="903"/>
        <v>10</v>
      </c>
      <c r="AG519" t="str">
        <f t="shared" si="904"/>
        <v>14</v>
      </c>
      <c r="AH519" t="str">
        <f t="shared" si="842"/>
        <v>e</v>
      </c>
      <c r="AI519" t="str">
        <f t="shared" si="884"/>
        <v>d</v>
      </c>
      <c r="AJ519" t="str">
        <f t="shared" si="884"/>
        <v>d</v>
      </c>
      <c r="AK519" t="str">
        <f t="shared" si="844"/>
        <v>o</v>
      </c>
      <c r="AL519" t="str">
        <f t="shared" si="845"/>
        <v>d</v>
      </c>
      <c r="AM519" t="str">
        <f t="shared" si="905"/>
        <v>Away</v>
      </c>
      <c r="AN519" t="str">
        <f t="shared" si="846"/>
        <v>a</v>
      </c>
      <c r="AO519" t="str">
        <f t="shared" si="847"/>
        <v>o</v>
      </c>
      <c r="AP519" t="str">
        <f t="shared" si="848"/>
        <v>d</v>
      </c>
      <c r="AQ519" t="str">
        <f>IF(AM519&lt;&gt;"",AM519,IF($AC519=#REF!,#REF!,""))</f>
        <v>Away</v>
      </c>
      <c r="AR519" t="str">
        <f t="shared" si="849"/>
        <v>a</v>
      </c>
      <c r="AS519" t="str">
        <f t="shared" si="850"/>
        <v>Offensive</v>
      </c>
      <c r="AT519" t="str">
        <f t="shared" si="906"/>
        <v/>
      </c>
      <c r="AU519" t="str">
        <f t="shared" si="907"/>
        <v/>
      </c>
      <c r="AV519" t="str" cm="1">
        <f t="array" ref="AV519">IFERROR(IF(O519&lt;&gt;"",O519,IF(OR($S519="",$T519=""),"",IF(O519&lt;&gt;"",O519,IF($T519&lt;&gt;"",_xlfn._xlws.FILTER(O:O,($BT:$BT=$BT519)*($I:$I=$I519)*($T:$T=$T519)*($S:$S=_xlfn.MINIFS($S:$S,$T:$T,"="&amp;$T519)),"")))))&amp;"",IF(O519="","",""))&amp;""</f>
        <v/>
      </c>
      <c r="AW519" t="str" cm="1">
        <f t="array" ref="AW519">IFERROR(IF(P519&lt;&gt;"",P519,IF(OR($S519="",$T519=""),"",IF($T519&lt;&gt;"",_xlfn._xlws.FILTER(P:P,($BT:$BT=$BT519)*($I:$I=$I519)*($T:$T=$T519)*($S:$S=_xlfn.MINIFS($S:$S,$T:$T,"="&amp;$T519)),""))))&amp;"",IF(P519="","",""))&amp;""</f>
        <v/>
      </c>
      <c r="AX519" t="str" cm="1">
        <f t="array" ref="AX519">IFERROR(IF(Q519&lt;&gt;"",Q519,IF(OR($S519="",$T519=""),"",IF($T519&lt;&gt;"",_xlfn._xlws.FILTER(Q:Q,($BT:$BT=$BT519)*($I:$I=$I519)*($T:$T=$T519)*($S:$S=_xlfn.MINIFS($S:$S,$T:$T,"="&amp;$T519)),""))))&amp;"",IF(Q519="","",""))&amp;""</f>
        <v/>
      </c>
      <c r="AY519" t="str" cm="1">
        <f t="array" ref="AY519">IFERROR(IF(R519&lt;&gt;"",R519,IF(OR($S519="",$T519=""),"",IF($T519&lt;&gt;"",_xlfn._xlws.FILTER(R:R,($BT:$BT=$BT519)*($I:$I=$I519)*($T:$T=$T519)*($S:$S=_xlfn.MINIFS($S:$S,$T:$T,"="&amp;$T519)),""))))&amp;"",IF(R519="","",""))&amp;""</f>
        <v/>
      </c>
      <c r="AZ519" s="6">
        <f t="shared" si="908"/>
        <v>46</v>
      </c>
      <c r="BA519">
        <f t="shared" ref="BA519:BC519" si="923">BA518</f>
        <v>18991</v>
      </c>
      <c r="BB519" t="str">
        <f t="shared" si="923"/>
        <v>Triple J</v>
      </c>
      <c r="BC519" t="str">
        <f t="shared" si="923"/>
        <v>Velodrome</v>
      </c>
      <c r="BD519" t="str">
        <f t="shared" si="910"/>
        <v>Zone_Entry_Exit</v>
      </c>
      <c r="BE519" t="str">
        <f t="shared" si="911"/>
        <v>Zone_Exit</v>
      </c>
      <c r="BF519" t="str">
        <f t="shared" si="912"/>
        <v>ZoneExit-Rush</v>
      </c>
      <c r="BG519" t="str">
        <f t="shared" si="894"/>
        <v>s</v>
      </c>
      <c r="BH519" cm="1">
        <f t="array" aca="1" ref="BH519" ca="1">IFERROR(_xlfn._xlws.FILTER(shifts!A:A,(shifts!B:B=events!Z519)*(shifts!AG:AG&gt;=events!BJ519)*(shifts!AH:AH&lt;=events!BK519)),BH518)</f>
        <v>18</v>
      </c>
      <c r="BI519" s="15">
        <f t="shared" si="913"/>
        <v>1</v>
      </c>
      <c r="BJ519">
        <f t="shared" si="914"/>
        <v>615</v>
      </c>
      <c r="BK519">
        <f t="shared" si="915"/>
        <v>614</v>
      </c>
      <c r="BL519" s="15">
        <f>SUMIFS(BI$2:BI519,K$2:K519,"=Intermission")+SUMIFS(BI$2:BI519,K$2:K519,"=Timeout")</f>
        <v>0</v>
      </c>
      <c r="BM519">
        <f t="shared" si="916"/>
        <v>0</v>
      </c>
      <c r="BN519" s="19">
        <f t="shared" si="917"/>
        <v>465</v>
      </c>
      <c r="BO519">
        <f t="shared" si="918"/>
        <v>460</v>
      </c>
      <c r="BP519" s="17">
        <f t="shared" si="919"/>
        <v>466</v>
      </c>
      <c r="BQ519" t="str">
        <f t="shared" si="920"/>
        <v>event_team_player_1</v>
      </c>
      <c r="BR519">
        <f>COUNTIFS(S$3:S519,"="&amp;S519,AH$3:AH519,"="&amp;AH519)</f>
        <v>1</v>
      </c>
      <c r="BS519" t="str">
        <f>IFERROR(VLOOKUP(BA519&amp;BT519&amp;X519,game_rosters!U:W,3,FALSE),"")</f>
        <v>P100001</v>
      </c>
      <c r="BT519" t="str">
        <f t="shared" si="921"/>
        <v>Velodrome</v>
      </c>
    </row>
    <row r="520" spans="1:72" x14ac:dyDescent="0.2">
      <c r="A520">
        <f t="shared" si="896"/>
        <v>1</v>
      </c>
      <c r="E520" s="4"/>
      <c r="F520" s="45"/>
      <c r="G520" s="4"/>
      <c r="H520" s="47"/>
      <c r="I520" s="26">
        <v>70</v>
      </c>
      <c r="J520" s="26" t="s">
        <v>734</v>
      </c>
      <c r="K520" t="s">
        <v>7</v>
      </c>
      <c r="L520" t="s">
        <v>172</v>
      </c>
      <c r="M520" t="s">
        <v>68</v>
      </c>
      <c r="N520" t="str">
        <f t="shared" si="835"/>
        <v>s</v>
      </c>
      <c r="Q520" t="str">
        <f t="shared" si="829"/>
        <v/>
      </c>
      <c r="S520">
        <f>IF(A520=1,MAX($S$2:$S519)+1,IF(OR($I520&lt;&gt;"",A520="x"),$S519,""))</f>
        <v>259</v>
      </c>
      <c r="T520" t="str">
        <f>IF(D520=1,MAX($T$2:$T519)+1,IF(S520=S519,$T519,IF(D520="x",T519,IF(D519="x","",""))))</f>
        <v/>
      </c>
      <c r="U520" t="str">
        <f>IF(B520=1,MAX($U$2:$U519)+1,IF(AND($T520&lt;&gt;"",$T520=$T519),$U519,IF(B520="x",U519,"")))</f>
        <v/>
      </c>
      <c r="V520" t="str">
        <f>IF(C520=1,MAX($V$2:$V519)+1,IF(AND($T520&lt;&gt;"",$T520=$T519),$U519,IF(C520="x",V519,"")))</f>
        <v/>
      </c>
      <c r="W520" t="str" cm="1">
        <f t="array" ref="W520">IFERROR(_xlfn._xlws.FILTER(game_rosters!AC:AC,(game_rosters!J:J=events!X520)*(K520&lt;&gt;"")),"")</f>
        <v>a</v>
      </c>
      <c r="X520" cm="1">
        <f t="array" ref="X520">IF($I520&lt;&gt;"",$I520,INDEX($I$1:$I520,ROW()-COUNTIFS($T$1:$T520,"="&amp;$T520,$S$1:$S520,"&lt;"&amp;$S520)))</f>
        <v>70</v>
      </c>
      <c r="Y520" cm="1">
        <f t="array" ref="Y520">IFERROR(IF(_xlfn._xlws.FILTER(game_rosters!$J:$J,(game_rosters!$G:$G=events!$AM520)*(game_rosters!$J:$J=events!$X520))&gt;0,1,""),"")</f>
        <v>1</v>
      </c>
      <c r="Z520" s="6">
        <f t="shared" si="897"/>
        <v>1</v>
      </c>
      <c r="AA520">
        <f t="shared" si="898"/>
        <v>1259</v>
      </c>
      <c r="AB520" t="str">
        <f t="shared" si="899"/>
        <v/>
      </c>
      <c r="AC520">
        <f t="shared" si="900"/>
        <v>1259</v>
      </c>
      <c r="AD520" t="str">
        <f t="shared" si="901"/>
        <v>10</v>
      </c>
      <c r="AE520" t="str">
        <f t="shared" si="902"/>
        <v>14</v>
      </c>
      <c r="AF520" t="str">
        <f t="shared" si="903"/>
        <v/>
      </c>
      <c r="AG520" t="str">
        <f t="shared" si="904"/>
        <v/>
      </c>
      <c r="AH520" t="str">
        <f t="shared" si="842"/>
        <v>e</v>
      </c>
      <c r="AI520" t="str">
        <f t="shared" si="884"/>
        <v>n</v>
      </c>
      <c r="AJ520" t="str">
        <f t="shared" si="884"/>
        <v>n</v>
      </c>
      <c r="AK520" t="str">
        <f t="shared" si="844"/>
        <v>n</v>
      </c>
      <c r="AL520" t="str">
        <f t="shared" si="845"/>
        <v>n</v>
      </c>
      <c r="AM520" t="str">
        <f t="shared" si="905"/>
        <v>Away</v>
      </c>
      <c r="AN520" t="str">
        <f t="shared" si="846"/>
        <v>a</v>
      </c>
      <c r="AO520" t="str">
        <f t="shared" si="847"/>
        <v>n</v>
      </c>
      <c r="AP520" t="str">
        <f t="shared" si="848"/>
        <v>n</v>
      </c>
      <c r="AQ520" t="str">
        <f>IF(AM520&lt;&gt;"",AM520,IF($AC520=#REF!,#REF!,""))</f>
        <v>Away</v>
      </c>
      <c r="AR520" t="str">
        <f t="shared" si="849"/>
        <v>a</v>
      </c>
      <c r="AS520" t="str">
        <f t="shared" si="850"/>
        <v>Offensive</v>
      </c>
      <c r="AT520" t="str">
        <f t="shared" si="906"/>
        <v/>
      </c>
      <c r="AU520" t="str">
        <f t="shared" si="907"/>
        <v/>
      </c>
      <c r="AV520" t="str" cm="1">
        <f t="array" ref="AV520">IFERROR(IF(O520&lt;&gt;"",O520,IF(OR($S520="",$T520=""),"",IF(O520&lt;&gt;"",O520,IF($T520&lt;&gt;"",_xlfn._xlws.FILTER(O:O,($BT:$BT=$BT520)*($I:$I=$I520)*($T:$T=$T520)*($S:$S=_xlfn.MINIFS($S:$S,$T:$T,"="&amp;$T520)),"")))))&amp;"",IF(O520="","",""))&amp;""</f>
        <v/>
      </c>
      <c r="AW520" t="str" cm="1">
        <f t="array" ref="AW520">IFERROR(IF(P520&lt;&gt;"",P520,IF(OR($S520="",$T520=""),"",IF($T520&lt;&gt;"",_xlfn._xlws.FILTER(P:P,($BT:$BT=$BT520)*($I:$I=$I520)*($T:$T=$T520)*($S:$S=_xlfn.MINIFS($S:$S,$T:$T,"="&amp;$T520)),""))))&amp;"",IF(P520="","",""))&amp;""</f>
        <v/>
      </c>
      <c r="AX520" t="str" cm="1">
        <f t="array" ref="AX520">IFERROR(IF(Q520&lt;&gt;"",Q520,IF(OR($S520="",$T520=""),"",IF($T520&lt;&gt;"",_xlfn._xlws.FILTER(Q:Q,($BT:$BT=$BT520)*($I:$I=$I520)*($T:$T=$T520)*($S:$S=_xlfn.MINIFS($S:$S,$T:$T,"="&amp;$T520)),""))))&amp;"",IF(Q520="","",""))&amp;""</f>
        <v/>
      </c>
      <c r="AY520" t="str" cm="1">
        <f t="array" ref="AY520">IFERROR(IF(R520&lt;&gt;"",R520,IF(OR($S520="",$T520=""),"",IF($T520&lt;&gt;"",_xlfn._xlws.FILTER(R:R,($BT:$BT=$BT520)*($I:$I=$I520)*($T:$T=$T520)*($S:$S=_xlfn.MINIFS($S:$S,$T:$T,"="&amp;$T520)),""))))&amp;"",IF(R520="","",""))&amp;""</f>
        <v/>
      </c>
      <c r="AZ520" s="6">
        <f t="shared" si="908"/>
        <v>46</v>
      </c>
      <c r="BA520">
        <f t="shared" ref="BA520:BC520" si="924">BA519</f>
        <v>18991</v>
      </c>
      <c r="BB520" t="str">
        <f t="shared" si="924"/>
        <v>Triple J</v>
      </c>
      <c r="BC520" t="str">
        <f t="shared" si="924"/>
        <v>Velodrome</v>
      </c>
      <c r="BD520" t="str">
        <f t="shared" si="910"/>
        <v>Pass</v>
      </c>
      <c r="BE520" t="str">
        <f t="shared" si="911"/>
        <v>Pass_Completed</v>
      </c>
      <c r="BF520" t="str">
        <f t="shared" si="912"/>
        <v>Pass-Forehand</v>
      </c>
      <c r="BG520" t="str">
        <f t="shared" si="894"/>
        <v>s</v>
      </c>
      <c r="BH520" cm="1">
        <f t="array" aca="1" ref="BH520" ca="1">IFERROR(_xlfn._xlws.FILTER(shifts!A:A,(shifts!B:B=events!Z520)*(shifts!AG:AG&gt;=events!BJ520)*(shifts!AH:AH&lt;=events!BK520)),BH519)</f>
        <v>18</v>
      </c>
      <c r="BI520" s="15">
        <f t="shared" si="913"/>
        <v>0</v>
      </c>
      <c r="BJ520">
        <f t="shared" si="914"/>
        <v>614</v>
      </c>
      <c r="BK520">
        <f t="shared" si="915"/>
        <v>614</v>
      </c>
      <c r="BL520" s="15">
        <f>SUMIFS(BI$2:BI520,K$2:K520,"=Intermission")+SUMIFS(BI$2:BI520,K$2:K520,"=Timeout")</f>
        <v>0</v>
      </c>
      <c r="BM520">
        <f t="shared" si="916"/>
        <v>0</v>
      </c>
      <c r="BN520" s="19">
        <f t="shared" si="917"/>
        <v>466</v>
      </c>
      <c r="BO520">
        <f t="shared" si="918"/>
        <v>461</v>
      </c>
      <c r="BP520" s="17">
        <f t="shared" si="919"/>
        <v>466</v>
      </c>
      <c r="BQ520" t="str">
        <f t="shared" si="920"/>
        <v>event_team_player_1</v>
      </c>
      <c r="BR520">
        <f>COUNTIFS(S$3:S520,"="&amp;S520,AH$3:AH520,"="&amp;AH520)</f>
        <v>1</v>
      </c>
      <c r="BS520" t="str">
        <f>IFERROR(VLOOKUP(BA520&amp;BT520&amp;X520,game_rosters!U:W,3,FALSE),"")</f>
        <v>P100001</v>
      </c>
      <c r="BT520" t="str">
        <f t="shared" si="921"/>
        <v>Velodrome</v>
      </c>
    </row>
    <row r="521" spans="1:72" x14ac:dyDescent="0.2">
      <c r="A521" t="str">
        <f t="shared" si="896"/>
        <v/>
      </c>
      <c r="E521" s="4"/>
      <c r="F521" s="45"/>
      <c r="G521" s="4"/>
      <c r="H521" s="47"/>
      <c r="I521" s="26">
        <v>91</v>
      </c>
      <c r="J521" s="26" t="str">
        <f t="shared" ref="J521:J581" si="925">IF(OR(K521="Goal",K521="Shot",L521="Zone_Entry",M521="Stoppage-Goal",M520="Stoppage-Goal"),"o",IF(OR(K521="Save",K521="Rebound",L521="Zone_Exit",M521="Stoppage-GoalieStoppage",M520="Stoppage-GoalieStoppage"),"d",IF(OR(L521="Faceoff_AfterGoal",L521="Faceoff_PeriodStart",698="Faceoff_GameStart",M520="Stoppage-Goal"),"n","")))</f>
        <v/>
      </c>
      <c r="N521" t="str">
        <f t="shared" si="835"/>
        <v/>
      </c>
      <c r="Q521" t="str">
        <f t="shared" si="829"/>
        <v/>
      </c>
      <c r="S521">
        <f>IF(A521=1,MAX($S$2:$S520)+1,IF(OR($I521&lt;&gt;"",A521="x"),$S520,""))</f>
        <v>259</v>
      </c>
      <c r="T521" t="str">
        <f>IF(D521=1,MAX($T$2:$T520)+1,IF(S521=S520,$T520,IF(D521="x",T520,IF(D520="x","",""))))</f>
        <v/>
      </c>
      <c r="U521" t="str">
        <f>IF(B521=1,MAX($U$2:$U520)+1,IF(AND($T521&lt;&gt;"",$T521=$T520),$U520,IF(B521="x",U520,"")))</f>
        <v/>
      </c>
      <c r="V521" t="str">
        <f>IF(C521=1,MAX($V$2:$V520)+1,IF(AND($T521&lt;&gt;"",$T521=$T520),$U520,IF(C521="x",V520,"")))</f>
        <v/>
      </c>
      <c r="W521" t="str" cm="1">
        <f t="array" ref="W521">IFERROR(_xlfn._xlws.FILTER(game_rosters!AC:AC,(game_rosters!J:J=events!X521)*(K521&lt;&gt;"")),"")</f>
        <v/>
      </c>
      <c r="X521" cm="1">
        <f t="array" ref="X521">IF($I521&lt;&gt;"",$I521,INDEX($I$1:$I521,ROW()-COUNTIFS($T$1:$T521,"="&amp;$T521,$S$1:$S521,"&lt;"&amp;$S521)))</f>
        <v>91</v>
      </c>
      <c r="Y521" cm="1">
        <f t="array" ref="Y521">IFERROR(IF(_xlfn._xlws.FILTER(game_rosters!$J:$J,(game_rosters!$G:$G=events!$AM521)*(game_rosters!$J:$J=events!$X521))&gt;0,1,""),"")</f>
        <v>1</v>
      </c>
      <c r="Z521" s="6">
        <f t="shared" si="897"/>
        <v>1</v>
      </c>
      <c r="AA521">
        <f t="shared" si="898"/>
        <v>1259</v>
      </c>
      <c r="AB521" t="str">
        <f t="shared" si="899"/>
        <v/>
      </c>
      <c r="AC521">
        <f t="shared" si="900"/>
        <v>1259</v>
      </c>
      <c r="AD521" t="str">
        <f t="shared" si="901"/>
        <v>10</v>
      </c>
      <c r="AE521" t="str">
        <f t="shared" si="902"/>
        <v>14</v>
      </c>
      <c r="AF521" t="str">
        <f t="shared" si="903"/>
        <v/>
      </c>
      <c r="AG521" t="str">
        <f t="shared" si="904"/>
        <v/>
      </c>
      <c r="AH521" t="str">
        <f t="shared" si="842"/>
        <v>e</v>
      </c>
      <c r="AI521" t="str">
        <f t="shared" si="884"/>
        <v>n</v>
      </c>
      <c r="AJ521" t="str">
        <f t="shared" si="884"/>
        <v>n</v>
      </c>
      <c r="AK521" t="str">
        <f t="shared" si="844"/>
        <v/>
      </c>
      <c r="AL521" t="str">
        <f t="shared" si="845"/>
        <v/>
      </c>
      <c r="AM521" t="str">
        <f t="shared" si="905"/>
        <v>Away</v>
      </c>
      <c r="AN521" t="str">
        <f t="shared" si="846"/>
        <v>a</v>
      </c>
      <c r="AO521" t="str">
        <f t="shared" si="847"/>
        <v>n</v>
      </c>
      <c r="AP521" t="str">
        <f t="shared" si="848"/>
        <v>n</v>
      </c>
      <c r="AQ521" t="str">
        <f>IF(AM521&lt;&gt;"",AM521,IF($AC521=#REF!,#REF!,""))</f>
        <v>Away</v>
      </c>
      <c r="AR521" t="str">
        <f t="shared" si="849"/>
        <v>a</v>
      </c>
      <c r="AS521" t="str">
        <f t="shared" si="850"/>
        <v>Offensive</v>
      </c>
      <c r="AT521" t="str">
        <f t="shared" si="906"/>
        <v/>
      </c>
      <c r="AU521" t="str">
        <f t="shared" si="907"/>
        <v/>
      </c>
      <c r="AV521" t="str" cm="1">
        <f t="array" ref="AV521">IFERROR(IF(O521&lt;&gt;"",O521,IF(OR($S521="",$T521=""),"",IF(O521&lt;&gt;"",O521,IF($T521&lt;&gt;"",_xlfn._xlws.FILTER(O:O,($BT:$BT=$BT521)*($I:$I=$I521)*($T:$T=$T521)*($S:$S=_xlfn.MINIFS($S:$S,$T:$T,"="&amp;$T521)),"")))))&amp;"",IF(O521="","",""))&amp;""</f>
        <v/>
      </c>
      <c r="AW521" t="str" cm="1">
        <f t="array" ref="AW521">IFERROR(IF(P521&lt;&gt;"",P521,IF(OR($S521="",$T521=""),"",IF($T521&lt;&gt;"",_xlfn._xlws.FILTER(P:P,($BT:$BT=$BT521)*($I:$I=$I521)*($T:$T=$T521)*($S:$S=_xlfn.MINIFS($S:$S,$T:$T,"="&amp;$T521)),""))))&amp;"",IF(P521="","",""))&amp;""</f>
        <v/>
      </c>
      <c r="AX521" t="str" cm="1">
        <f t="array" ref="AX521">IFERROR(IF(Q521&lt;&gt;"",Q521,IF(OR($S521="",$T521=""),"",IF($T521&lt;&gt;"",_xlfn._xlws.FILTER(Q:Q,($BT:$BT=$BT521)*($I:$I=$I521)*($T:$T=$T521)*($S:$S=_xlfn.MINIFS($S:$S,$T:$T,"="&amp;$T521)),""))))&amp;"",IF(Q521="","",""))&amp;""</f>
        <v/>
      </c>
      <c r="AY521" t="str" cm="1">
        <f t="array" ref="AY521">IFERROR(IF(R521&lt;&gt;"",R521,IF(OR($S521="",$T521=""),"",IF($T521&lt;&gt;"",_xlfn._xlws.FILTER(R:R,($BT:$BT=$BT521)*($I:$I=$I521)*($T:$T=$T521)*($S:$S=_xlfn.MINIFS($S:$S,$T:$T,"="&amp;$T521)),""))))&amp;"",IF(R521="","",""))&amp;""</f>
        <v/>
      </c>
      <c r="AZ521" s="6">
        <f t="shared" si="908"/>
        <v>46</v>
      </c>
      <c r="BA521">
        <f t="shared" ref="BA521:BC521" si="926">BA520</f>
        <v>18991</v>
      </c>
      <c r="BB521" t="str">
        <f t="shared" si="926"/>
        <v>Triple J</v>
      </c>
      <c r="BC521" t="str">
        <f t="shared" si="926"/>
        <v>Velodrome</v>
      </c>
      <c r="BD521" t="str">
        <f t="shared" si="910"/>
        <v>Pass</v>
      </c>
      <c r="BE521" t="str">
        <f t="shared" si="911"/>
        <v>Pass_Completed</v>
      </c>
      <c r="BF521" t="str">
        <f t="shared" si="912"/>
        <v>Pass-Forehand</v>
      </c>
      <c r="BG521" t="str">
        <f t="shared" si="894"/>
        <v>s</v>
      </c>
      <c r="BH521" cm="1">
        <f t="array" aca="1" ref="BH521" ca="1">IFERROR(_xlfn._xlws.FILTER(shifts!A:A,(shifts!B:B=events!Z521)*(shifts!AG:AG&gt;=events!BJ521)*(shifts!AH:AH&lt;=events!BK521)),BH520)</f>
        <v>18</v>
      </c>
      <c r="BI521" s="15">
        <f t="shared" si="913"/>
        <v>0</v>
      </c>
      <c r="BJ521">
        <f t="shared" si="914"/>
        <v>614</v>
      </c>
      <c r="BK521">
        <f t="shared" si="915"/>
        <v>614</v>
      </c>
      <c r="BL521" s="15">
        <f>SUMIFS(BI$2:BI521,K$2:K521,"=Intermission")+SUMIFS(BI$2:BI521,K$2:K521,"=Timeout")</f>
        <v>0</v>
      </c>
      <c r="BM521">
        <f t="shared" si="916"/>
        <v>0</v>
      </c>
      <c r="BN521" s="19">
        <f t="shared" si="917"/>
        <v>466</v>
      </c>
      <c r="BO521">
        <f t="shared" si="918"/>
        <v>461</v>
      </c>
      <c r="BP521" s="17">
        <f t="shared" si="919"/>
        <v>466</v>
      </c>
      <c r="BQ521" t="str">
        <f t="shared" si="920"/>
        <v>event_team_player_2</v>
      </c>
      <c r="BR521">
        <f>COUNTIFS(S$3:S521,"="&amp;S521,AH$3:AH521,"="&amp;AH521)</f>
        <v>2</v>
      </c>
      <c r="BS521" t="str">
        <f>IFERROR(VLOOKUP(BA521&amp;BT521&amp;X521,game_rosters!U:W,3,FALSE),"")</f>
        <v>P100002</v>
      </c>
      <c r="BT521" t="str">
        <f t="shared" si="921"/>
        <v>Velodrome</v>
      </c>
    </row>
    <row r="522" spans="1:72" x14ac:dyDescent="0.2">
      <c r="A522">
        <f t="shared" si="896"/>
        <v>1</v>
      </c>
      <c r="E522" s="4"/>
      <c r="F522" s="45"/>
      <c r="G522" s="4"/>
      <c r="H522" s="47" t="s">
        <v>754</v>
      </c>
      <c r="I522" s="26">
        <v>91</v>
      </c>
      <c r="J522" s="26" t="s">
        <v>368</v>
      </c>
      <c r="K522" t="s">
        <v>238</v>
      </c>
      <c r="L522" t="s">
        <v>174</v>
      </c>
      <c r="M522" t="s">
        <v>85</v>
      </c>
      <c r="N522" t="str">
        <f t="shared" si="835"/>
        <v>s</v>
      </c>
      <c r="Q522" t="str">
        <f t="shared" si="829"/>
        <v/>
      </c>
      <c r="S522">
        <f>IF(A522=1,MAX($S$2:$S521)+1,IF(OR($I522&lt;&gt;"",A522="x"),$S521,""))</f>
        <v>260</v>
      </c>
      <c r="T522" t="str">
        <f>IF(D522=1,MAX($T$2:$T521)+1,IF(S522=S521,$T521,IF(D522="x",T521,IF(D521="x","",""))))</f>
        <v/>
      </c>
      <c r="U522" t="str">
        <f>IF(B522=1,MAX($U$2:$U521)+1,IF(AND($T522&lt;&gt;"",$T522=$T521),$U521,IF(B522="x",U521,"")))</f>
        <v/>
      </c>
      <c r="V522" t="str">
        <f>IF(C522=1,MAX($V$2:$V521)+1,IF(AND($T522&lt;&gt;"",$T522=$T521),$U521,IF(C522="x",V521,"")))</f>
        <v/>
      </c>
      <c r="W522" t="str" cm="1">
        <f t="array" ref="W522">IFERROR(_xlfn._xlws.FILTER(game_rosters!AC:AC,(game_rosters!J:J=events!X522)*(K522&lt;&gt;"")),"")</f>
        <v>a</v>
      </c>
      <c r="X522" cm="1">
        <f t="array" ref="X522">IF($I522&lt;&gt;"",$I522,INDEX($I$1:$I522,ROW()-COUNTIFS($T$1:$T522,"="&amp;$T522,$S$1:$S522,"&lt;"&amp;$S522)))</f>
        <v>91</v>
      </c>
      <c r="Y522" cm="1">
        <f t="array" ref="Y522">IFERROR(IF(_xlfn._xlws.FILTER(game_rosters!$J:$J,(game_rosters!$G:$G=events!$AM522)*(game_rosters!$J:$J=events!$X522))&gt;0,1,""),"")</f>
        <v>1</v>
      </c>
      <c r="Z522" s="6">
        <f t="shared" si="897"/>
        <v>1</v>
      </c>
      <c r="AA522">
        <f t="shared" si="898"/>
        <v>1260</v>
      </c>
      <c r="AB522" t="str">
        <f t="shared" si="899"/>
        <v/>
      </c>
      <c r="AC522">
        <f t="shared" si="900"/>
        <v>1260</v>
      </c>
      <c r="AD522" t="str">
        <f t="shared" si="901"/>
        <v>10</v>
      </c>
      <c r="AE522" t="str">
        <f t="shared" si="902"/>
        <v>14</v>
      </c>
      <c r="AF522" t="str">
        <f t="shared" si="903"/>
        <v>10</v>
      </c>
      <c r="AG522" t="str">
        <f t="shared" si="904"/>
        <v>11</v>
      </c>
      <c r="AH522" t="str">
        <f t="shared" si="842"/>
        <v>e</v>
      </c>
      <c r="AI522" t="str">
        <f t="shared" si="884"/>
        <v>o</v>
      </c>
      <c r="AJ522" t="str">
        <f t="shared" si="884"/>
        <v>o</v>
      </c>
      <c r="AK522" t="str">
        <f t="shared" si="844"/>
        <v>d</v>
      </c>
      <c r="AL522" t="str">
        <f t="shared" si="845"/>
        <v>o</v>
      </c>
      <c r="AM522" t="str">
        <f t="shared" si="905"/>
        <v>Away</v>
      </c>
      <c r="AN522" t="str">
        <f t="shared" si="846"/>
        <v>a</v>
      </c>
      <c r="AO522" t="str">
        <f t="shared" si="847"/>
        <v>d</v>
      </c>
      <c r="AP522" t="str">
        <f t="shared" si="848"/>
        <v>o</v>
      </c>
      <c r="AQ522" t="str">
        <f>IF(AM522&lt;&gt;"",AM522,IF($AC522=#REF!,#REF!,""))</f>
        <v>Away</v>
      </c>
      <c r="AR522" t="str">
        <f t="shared" si="849"/>
        <v>a</v>
      </c>
      <c r="AS522" t="str">
        <f t="shared" si="850"/>
        <v>Offensive</v>
      </c>
      <c r="AT522" t="str">
        <f t="shared" si="906"/>
        <v/>
      </c>
      <c r="AU522" t="str">
        <f t="shared" si="907"/>
        <v/>
      </c>
      <c r="AV522" t="str" cm="1">
        <f t="array" ref="AV522">IFERROR(IF(O522&lt;&gt;"",O522,IF(OR($S522="",$T522=""),"",IF(O522&lt;&gt;"",O522,IF($T522&lt;&gt;"",_xlfn._xlws.FILTER(O:O,($BT:$BT=$BT522)*($I:$I=$I522)*($T:$T=$T522)*($S:$S=_xlfn.MINIFS($S:$S,$T:$T,"="&amp;$T522)),"")))))&amp;"",IF(O522="","",""))&amp;""</f>
        <v/>
      </c>
      <c r="AW522" t="str" cm="1">
        <f t="array" ref="AW522">IFERROR(IF(P522&lt;&gt;"",P522,IF(OR($S522="",$T522=""),"",IF($T522&lt;&gt;"",_xlfn._xlws.FILTER(P:P,($BT:$BT=$BT522)*($I:$I=$I522)*($T:$T=$T522)*($S:$S=_xlfn.MINIFS($S:$S,$T:$T,"="&amp;$T522)),""))))&amp;"",IF(P522="","",""))&amp;""</f>
        <v/>
      </c>
      <c r="AX522" t="str" cm="1">
        <f t="array" ref="AX522">IFERROR(IF(Q522&lt;&gt;"",Q522,IF(OR($S522="",$T522=""),"",IF($T522&lt;&gt;"",_xlfn._xlws.FILTER(Q:Q,($BT:$BT=$BT522)*($I:$I=$I522)*($T:$T=$T522)*($S:$S=_xlfn.MINIFS($S:$S,$T:$T,"="&amp;$T522)),""))))&amp;"",IF(Q522="","",""))&amp;""</f>
        <v/>
      </c>
      <c r="AY522" t="str" cm="1">
        <f t="array" ref="AY522">IFERROR(IF(R522&lt;&gt;"",R522,IF(OR($S522="",$T522=""),"",IF($T522&lt;&gt;"",_xlfn._xlws.FILTER(R:R,($BT:$BT=$BT522)*($I:$I=$I522)*($T:$T=$T522)*($S:$S=_xlfn.MINIFS($S:$S,$T:$T,"="&amp;$T522)),""))))&amp;"",IF(R522="","",""))&amp;""</f>
        <v/>
      </c>
      <c r="AZ522" s="6">
        <f t="shared" si="908"/>
        <v>47</v>
      </c>
      <c r="BA522">
        <f t="shared" ref="BA522:BC522" si="927">BA521</f>
        <v>18991</v>
      </c>
      <c r="BB522" t="str">
        <f t="shared" si="927"/>
        <v>Triple J</v>
      </c>
      <c r="BC522" t="str">
        <f t="shared" si="927"/>
        <v>Velodrome</v>
      </c>
      <c r="BD522" t="str">
        <f t="shared" si="910"/>
        <v>Zone_Entry_Exit</v>
      </c>
      <c r="BE522" t="str">
        <f t="shared" si="911"/>
        <v>Zone_Entry</v>
      </c>
      <c r="BF522" t="str">
        <f t="shared" si="912"/>
        <v>ZoneEntry-Rush</v>
      </c>
      <c r="BG522" t="str">
        <f t="shared" si="894"/>
        <v>s</v>
      </c>
      <c r="BH522" cm="1">
        <f t="array" aca="1" ref="BH522" ca="1">IFERROR(_xlfn._xlws.FILTER(shifts!A:A,(shifts!B:B=events!Z522)*(shifts!AG:AG&gt;=events!BJ522)*(shifts!AH:AH&lt;=events!BK522)),BH521)</f>
        <v>18</v>
      </c>
      <c r="BI522" s="15">
        <f t="shared" si="913"/>
        <v>3</v>
      </c>
      <c r="BJ522">
        <f t="shared" si="914"/>
        <v>614</v>
      </c>
      <c r="BK522">
        <f t="shared" si="915"/>
        <v>611</v>
      </c>
      <c r="BL522" s="15">
        <f>SUMIFS(BI$2:BI522,K$2:K522,"=Intermission")+SUMIFS(BI$2:BI522,K$2:K522,"=Timeout")</f>
        <v>0</v>
      </c>
      <c r="BM522">
        <f t="shared" si="916"/>
        <v>0</v>
      </c>
      <c r="BN522" s="19">
        <f t="shared" si="917"/>
        <v>466</v>
      </c>
      <c r="BO522">
        <f t="shared" si="918"/>
        <v>461</v>
      </c>
      <c r="BP522" s="17">
        <f t="shared" si="919"/>
        <v>469</v>
      </c>
      <c r="BQ522" t="str">
        <f t="shared" si="920"/>
        <v>event_team_player_1</v>
      </c>
      <c r="BR522">
        <f>COUNTIFS(S$3:S522,"="&amp;S522,AH$3:AH522,"="&amp;AH522)</f>
        <v>1</v>
      </c>
      <c r="BS522" t="str">
        <f>IFERROR(VLOOKUP(BA522&amp;BT522&amp;X522,game_rosters!U:W,3,FALSE),"")</f>
        <v>P100002</v>
      </c>
      <c r="BT522" t="str">
        <f t="shared" si="921"/>
        <v>Velodrome</v>
      </c>
    </row>
    <row r="523" spans="1:72" x14ac:dyDescent="0.2">
      <c r="A523" t="str">
        <f t="shared" si="896"/>
        <v/>
      </c>
      <c r="E523" s="4"/>
      <c r="F523" s="45"/>
      <c r="G523" s="4"/>
      <c r="H523" s="47"/>
      <c r="I523" s="26">
        <v>57</v>
      </c>
      <c r="J523" s="26" t="str">
        <f t="shared" si="925"/>
        <v/>
      </c>
      <c r="N523" t="str">
        <f t="shared" si="835"/>
        <v/>
      </c>
      <c r="Q523" t="str">
        <f t="shared" si="829"/>
        <v/>
      </c>
      <c r="S523">
        <f>IF(A523=1,MAX($S$2:$S522)+1,IF(OR($I523&lt;&gt;"",A523="x"),$S522,""))</f>
        <v>260</v>
      </c>
      <c r="T523" t="str">
        <f>IF(D523=1,MAX($T$2:$T522)+1,IF(S523=S522,$T522,IF(D523="x",T522,IF(D522="x","",""))))</f>
        <v/>
      </c>
      <c r="U523" t="str">
        <f>IF(B523=1,MAX($U$2:$U522)+1,IF(AND($T523&lt;&gt;"",$T523=$T522),$U522,IF(B523="x",U522,"")))</f>
        <v/>
      </c>
      <c r="V523" t="str">
        <f>IF(C523=1,MAX($V$2:$V522)+1,IF(AND($T523&lt;&gt;"",$T523=$T522),$U522,IF(C523="x",V522,"")))</f>
        <v/>
      </c>
      <c r="W523" t="str" cm="1">
        <f t="array" ref="W523">IFERROR(_xlfn._xlws.FILTER(game_rosters!AC:AC,(game_rosters!J:J=events!X523)*(K523&lt;&gt;"")),"")</f>
        <v/>
      </c>
      <c r="X523" cm="1">
        <f t="array" ref="X523">IF($I523&lt;&gt;"",$I523,INDEX($I$1:$I523,ROW()-COUNTIFS($T$1:$T523,"="&amp;$T523,$S$1:$S523,"&lt;"&amp;$S523)))</f>
        <v>57</v>
      </c>
      <c r="Y523" t="str" cm="1">
        <f t="array" ref="Y523">IFERROR(IF(_xlfn._xlws.FILTER(game_rosters!$J:$J,(game_rosters!$G:$G=events!$AM523)*(game_rosters!$J:$J=events!$X523))&gt;0,1,""),"")</f>
        <v/>
      </c>
      <c r="Z523" s="6">
        <f t="shared" si="897"/>
        <v>1</v>
      </c>
      <c r="AA523">
        <f t="shared" si="898"/>
        <v>1260</v>
      </c>
      <c r="AB523" t="str">
        <f t="shared" si="899"/>
        <v/>
      </c>
      <c r="AC523">
        <f t="shared" si="900"/>
        <v>1260</v>
      </c>
      <c r="AD523" t="str">
        <f t="shared" si="901"/>
        <v>10</v>
      </c>
      <c r="AE523" t="str">
        <f t="shared" si="902"/>
        <v>14</v>
      </c>
      <c r="AF523" t="str">
        <f t="shared" si="903"/>
        <v>10</v>
      </c>
      <c r="AG523" t="str">
        <f t="shared" si="904"/>
        <v>11</v>
      </c>
      <c r="AH523" t="str">
        <f t="shared" si="842"/>
        <v>o</v>
      </c>
      <c r="AI523" t="str">
        <f t="shared" ref="AI523:AJ538" si="928">IF($J523&lt;&gt;"",$J523,IF($AC523=$AC522,AI522,""))</f>
        <v>o</v>
      </c>
      <c r="AJ523" t="str">
        <f t="shared" si="928"/>
        <v>o</v>
      </c>
      <c r="AK523" t="str">
        <f t="shared" si="844"/>
        <v/>
      </c>
      <c r="AL523" t="str">
        <f t="shared" si="845"/>
        <v/>
      </c>
      <c r="AM523" t="str">
        <f t="shared" si="905"/>
        <v>Away</v>
      </c>
      <c r="AN523" t="str">
        <f t="shared" si="846"/>
        <v>a</v>
      </c>
      <c r="AO523" t="str">
        <f t="shared" si="847"/>
        <v>d</v>
      </c>
      <c r="AP523" t="str">
        <f t="shared" si="848"/>
        <v>o</v>
      </c>
      <c r="AQ523" t="str">
        <f>IF(AM523&lt;&gt;"",AM523,IF($AC523=#REF!,#REF!,""))</f>
        <v>Away</v>
      </c>
      <c r="AR523" t="str">
        <f t="shared" si="849"/>
        <v>a</v>
      </c>
      <c r="AS523" t="str">
        <f t="shared" si="850"/>
        <v>Defensive</v>
      </c>
      <c r="AT523" t="str">
        <f t="shared" si="906"/>
        <v/>
      </c>
      <c r="AU523" t="str">
        <f t="shared" si="907"/>
        <v/>
      </c>
      <c r="AV523" t="str" cm="1">
        <f t="array" ref="AV523">IFERROR(IF(O523&lt;&gt;"",O523,IF(OR($S523="",$T523=""),"",IF(O523&lt;&gt;"",O523,IF($T523&lt;&gt;"",_xlfn._xlws.FILTER(O:O,($BT:$BT=$BT523)*($I:$I=$I523)*($T:$T=$T523)*($S:$S=_xlfn.MINIFS($S:$S,$T:$T,"="&amp;$T523)),"")))))&amp;"",IF(O523="","",""))&amp;""</f>
        <v/>
      </c>
      <c r="AW523" t="str" cm="1">
        <f t="array" ref="AW523">IFERROR(IF(P523&lt;&gt;"",P523,IF(OR($S523="",$T523=""),"",IF($T523&lt;&gt;"",_xlfn._xlws.FILTER(P:P,($BT:$BT=$BT523)*($I:$I=$I523)*($T:$T=$T523)*($S:$S=_xlfn.MINIFS($S:$S,$T:$T,"="&amp;$T523)),""))))&amp;"",IF(P523="","",""))&amp;""</f>
        <v/>
      </c>
      <c r="AX523" t="str" cm="1">
        <f t="array" ref="AX523">IFERROR(IF(Q523&lt;&gt;"",Q523,IF(OR($S523="",$T523=""),"",IF($T523&lt;&gt;"",_xlfn._xlws.FILTER(Q:Q,($BT:$BT=$BT523)*($I:$I=$I523)*($T:$T=$T523)*($S:$S=_xlfn.MINIFS($S:$S,$T:$T,"="&amp;$T523)),""))))&amp;"",IF(Q523="","",""))&amp;""</f>
        <v/>
      </c>
      <c r="AY523" t="str" cm="1">
        <f t="array" ref="AY523">IFERROR(IF(R523&lt;&gt;"",R523,IF(OR($S523="",$T523=""),"",IF($T523&lt;&gt;"",_xlfn._xlws.FILTER(R:R,($BT:$BT=$BT523)*($I:$I=$I523)*($T:$T=$T523)*($S:$S=_xlfn.MINIFS($S:$S,$T:$T,"="&amp;$T523)),""))))&amp;"",IF(R523="","",""))&amp;""</f>
        <v/>
      </c>
      <c r="AZ523" s="6">
        <f t="shared" si="908"/>
        <v>47</v>
      </c>
      <c r="BA523">
        <f t="shared" ref="BA523:BC523" si="929">BA522</f>
        <v>18991</v>
      </c>
      <c r="BB523" t="str">
        <f t="shared" si="929"/>
        <v>Triple J</v>
      </c>
      <c r="BC523" t="str">
        <f t="shared" si="929"/>
        <v>Velodrome</v>
      </c>
      <c r="BD523" t="str">
        <f t="shared" si="910"/>
        <v>Zone_Entry_Exit</v>
      </c>
      <c r="BE523" t="str">
        <f t="shared" si="911"/>
        <v>Zone_Entry</v>
      </c>
      <c r="BF523" t="str">
        <f t="shared" si="912"/>
        <v>ZoneEntry-Rush</v>
      </c>
      <c r="BG523" t="str">
        <f t="shared" si="894"/>
        <v>s</v>
      </c>
      <c r="BH523" cm="1">
        <f t="array" aca="1" ref="BH523" ca="1">IFERROR(_xlfn._xlws.FILTER(shifts!A:A,(shifts!B:B=events!Z523)*(shifts!AG:AG&gt;=events!BJ523)*(shifts!AH:AH&lt;=events!BK523)),BH522)</f>
        <v>18</v>
      </c>
      <c r="BI523" s="15">
        <f t="shared" si="913"/>
        <v>3</v>
      </c>
      <c r="BJ523">
        <f t="shared" si="914"/>
        <v>614</v>
      </c>
      <c r="BK523">
        <f t="shared" si="915"/>
        <v>611</v>
      </c>
      <c r="BL523" s="15">
        <f>SUMIFS(BI$2:BI523,K$2:K523,"=Intermission")+SUMIFS(BI$2:BI523,K$2:K523,"=Timeout")</f>
        <v>0</v>
      </c>
      <c r="BM523">
        <f t="shared" si="916"/>
        <v>0</v>
      </c>
      <c r="BN523" s="19">
        <f t="shared" si="917"/>
        <v>466</v>
      </c>
      <c r="BO523">
        <f t="shared" si="918"/>
        <v>461</v>
      </c>
      <c r="BP523" s="17">
        <f t="shared" si="919"/>
        <v>469</v>
      </c>
      <c r="BQ523" t="str">
        <f t="shared" si="920"/>
        <v>opp_team_player_1</v>
      </c>
      <c r="BR523">
        <f>COUNTIFS(S$3:S523,"="&amp;S523,AH$3:AH523,"="&amp;AH523)</f>
        <v>1</v>
      </c>
      <c r="BS523" t="str">
        <f>IFERROR(VLOOKUP(BA523&amp;BT523&amp;X523,game_rosters!U:W,3,FALSE),"")</f>
        <v>P100007</v>
      </c>
      <c r="BT523" t="str">
        <f t="shared" si="921"/>
        <v>Triple J</v>
      </c>
    </row>
    <row r="524" spans="1:72" x14ac:dyDescent="0.2">
      <c r="A524" t="str">
        <f t="shared" si="896"/>
        <v/>
      </c>
      <c r="E524" s="4"/>
      <c r="F524" s="45"/>
      <c r="G524" s="4"/>
      <c r="H524" s="47"/>
      <c r="I524" s="26">
        <v>10</v>
      </c>
      <c r="J524" s="26" t="str">
        <f t="shared" si="925"/>
        <v/>
      </c>
      <c r="N524" t="str">
        <f t="shared" si="835"/>
        <v/>
      </c>
      <c r="Q524" t="str">
        <f t="shared" si="829"/>
        <v/>
      </c>
      <c r="S524">
        <f>IF(A524=1,MAX($S$2:$S523)+1,IF(OR($I524&lt;&gt;"",A524="x"),$S523,""))</f>
        <v>260</v>
      </c>
      <c r="T524" t="str">
        <f>IF(D524=1,MAX($T$2:$T523)+1,IF(S524=S523,$T523,IF(D524="x",T523,IF(D523="x","",""))))</f>
        <v/>
      </c>
      <c r="U524" t="str">
        <f>IF(B524=1,MAX($U$2:$U523)+1,IF(AND($T524&lt;&gt;"",$T524=$T523),$U523,IF(B524="x",U523,"")))</f>
        <v/>
      </c>
      <c r="V524" t="str">
        <f>IF(C524=1,MAX($V$2:$V523)+1,IF(AND($T524&lt;&gt;"",$T524=$T523),$U523,IF(C524="x",V523,"")))</f>
        <v/>
      </c>
      <c r="W524" t="str" cm="1">
        <f t="array" ref="W524">IFERROR(_xlfn._xlws.FILTER(game_rosters!AC:AC,(game_rosters!J:J=events!X524)*(K524&lt;&gt;"")),"")</f>
        <v/>
      </c>
      <c r="X524" cm="1">
        <f t="array" ref="X524">IF($I524&lt;&gt;"",$I524,INDEX($I$1:$I524,ROW()-COUNTIFS($T$1:$T524,"="&amp;$T524,$S$1:$S524,"&lt;"&amp;$S524)))</f>
        <v>10</v>
      </c>
      <c r="Y524" t="str" cm="1">
        <f t="array" ref="Y524">IFERROR(IF(_xlfn._xlws.FILTER(game_rosters!$J:$J,(game_rosters!$G:$G=events!$AM524)*(game_rosters!$J:$J=events!$X524))&gt;0,1,""),"")</f>
        <v/>
      </c>
      <c r="Z524" s="6">
        <f t="shared" si="897"/>
        <v>1</v>
      </c>
      <c r="AA524">
        <f t="shared" si="898"/>
        <v>1260</v>
      </c>
      <c r="AB524" t="str">
        <f t="shared" si="899"/>
        <v/>
      </c>
      <c r="AC524">
        <f t="shared" si="900"/>
        <v>1260</v>
      </c>
      <c r="AD524" t="str">
        <f t="shared" si="901"/>
        <v>10</v>
      </c>
      <c r="AE524" t="str">
        <f t="shared" si="902"/>
        <v>14</v>
      </c>
      <c r="AF524" t="str">
        <f t="shared" si="903"/>
        <v>10</v>
      </c>
      <c r="AG524" t="str">
        <f t="shared" si="904"/>
        <v>11</v>
      </c>
      <c r="AH524" t="str">
        <f t="shared" si="842"/>
        <v>o</v>
      </c>
      <c r="AI524" t="str">
        <f t="shared" si="928"/>
        <v>o</v>
      </c>
      <c r="AJ524" t="str">
        <f t="shared" si="928"/>
        <v>o</v>
      </c>
      <c r="AK524" t="str">
        <f t="shared" si="844"/>
        <v/>
      </c>
      <c r="AL524" t="str">
        <f t="shared" si="845"/>
        <v/>
      </c>
      <c r="AM524" t="str">
        <f t="shared" si="905"/>
        <v>Away</v>
      </c>
      <c r="AN524" t="str">
        <f t="shared" si="846"/>
        <v>a</v>
      </c>
      <c r="AO524" t="str">
        <f t="shared" si="847"/>
        <v>d</v>
      </c>
      <c r="AP524" t="str">
        <f t="shared" si="848"/>
        <v>o</v>
      </c>
      <c r="AQ524" t="str">
        <f>IF(AM524&lt;&gt;"",AM524,IF($AC524=#REF!,#REF!,""))</f>
        <v>Away</v>
      </c>
      <c r="AR524" t="str">
        <f t="shared" si="849"/>
        <v>a</v>
      </c>
      <c r="AS524" t="str">
        <f t="shared" si="850"/>
        <v>Defensive</v>
      </c>
      <c r="AT524" t="str">
        <f t="shared" si="906"/>
        <v/>
      </c>
      <c r="AU524" t="str">
        <f t="shared" si="907"/>
        <v/>
      </c>
      <c r="AV524" t="str" cm="1">
        <f t="array" ref="AV524">IFERROR(IF(O524&lt;&gt;"",O524,IF(OR($S524="",$T524=""),"",IF(O524&lt;&gt;"",O524,IF($T524&lt;&gt;"",_xlfn._xlws.FILTER(O:O,($BT:$BT=$BT524)*($I:$I=$I524)*($T:$T=$T524)*($S:$S=_xlfn.MINIFS($S:$S,$T:$T,"="&amp;$T524)),"")))))&amp;"",IF(O524="","",""))&amp;""</f>
        <v/>
      </c>
      <c r="AW524" t="str" cm="1">
        <f t="array" ref="AW524">IFERROR(IF(P524&lt;&gt;"",P524,IF(OR($S524="",$T524=""),"",IF($T524&lt;&gt;"",_xlfn._xlws.FILTER(P:P,($BT:$BT=$BT524)*($I:$I=$I524)*($T:$T=$T524)*($S:$S=_xlfn.MINIFS($S:$S,$T:$T,"="&amp;$T524)),""))))&amp;"",IF(P524="","",""))&amp;""</f>
        <v/>
      </c>
      <c r="AX524" t="str" cm="1">
        <f t="array" ref="AX524">IFERROR(IF(Q524&lt;&gt;"",Q524,IF(OR($S524="",$T524=""),"",IF($T524&lt;&gt;"",_xlfn._xlws.FILTER(Q:Q,($BT:$BT=$BT524)*($I:$I=$I524)*($T:$T=$T524)*($S:$S=_xlfn.MINIFS($S:$S,$T:$T,"="&amp;$T524)),""))))&amp;"",IF(Q524="","",""))&amp;""</f>
        <v/>
      </c>
      <c r="AY524" t="str" cm="1">
        <f t="array" ref="AY524">IFERROR(IF(R524&lt;&gt;"",R524,IF(OR($S524="",$T524=""),"",IF($T524&lt;&gt;"",_xlfn._xlws.FILTER(R:R,($BT:$BT=$BT524)*($I:$I=$I524)*($T:$T=$T524)*($S:$S=_xlfn.MINIFS($S:$S,$T:$T,"="&amp;$T524)),""))))&amp;"",IF(R524="","",""))&amp;""</f>
        <v/>
      </c>
      <c r="AZ524" s="6">
        <f t="shared" si="908"/>
        <v>47</v>
      </c>
      <c r="BA524">
        <f t="shared" ref="BA524:BC524" si="930">BA523</f>
        <v>18991</v>
      </c>
      <c r="BB524" t="str">
        <f t="shared" si="930"/>
        <v>Triple J</v>
      </c>
      <c r="BC524" t="str">
        <f t="shared" si="930"/>
        <v>Velodrome</v>
      </c>
      <c r="BD524" t="str">
        <f t="shared" si="910"/>
        <v>Zone_Entry_Exit</v>
      </c>
      <c r="BE524" t="str">
        <f t="shared" si="911"/>
        <v>Zone_Entry</v>
      </c>
      <c r="BF524" t="str">
        <f t="shared" si="912"/>
        <v>ZoneEntry-Rush</v>
      </c>
      <c r="BG524" t="str">
        <f t="shared" si="894"/>
        <v>s</v>
      </c>
      <c r="BH524" cm="1">
        <f t="array" aca="1" ref="BH524" ca="1">IFERROR(_xlfn._xlws.FILTER(shifts!A:A,(shifts!B:B=events!Z524)*(shifts!AG:AG&gt;=events!BJ524)*(shifts!AH:AH&lt;=events!BK524)),BH523)</f>
        <v>18</v>
      </c>
      <c r="BI524" s="15">
        <f t="shared" si="913"/>
        <v>3</v>
      </c>
      <c r="BJ524">
        <f t="shared" si="914"/>
        <v>614</v>
      </c>
      <c r="BK524">
        <f t="shared" si="915"/>
        <v>611</v>
      </c>
      <c r="BL524" s="15">
        <f>SUMIFS(BI$2:BI524,K$2:K524,"=Intermission")+SUMIFS(BI$2:BI524,K$2:K524,"=Timeout")</f>
        <v>0</v>
      </c>
      <c r="BM524">
        <f t="shared" si="916"/>
        <v>0</v>
      </c>
      <c r="BN524" s="19">
        <f t="shared" si="917"/>
        <v>466</v>
      </c>
      <c r="BO524">
        <f t="shared" si="918"/>
        <v>461</v>
      </c>
      <c r="BP524" s="17">
        <f t="shared" si="919"/>
        <v>469</v>
      </c>
      <c r="BQ524" t="str">
        <f t="shared" si="920"/>
        <v>opp_team_player_2</v>
      </c>
      <c r="BR524">
        <f>COUNTIFS(S$3:S524,"="&amp;S524,AH$3:AH524,"="&amp;AH524)</f>
        <v>2</v>
      </c>
      <c r="BS524" t="str">
        <f>IFERROR(VLOOKUP(BA524&amp;BT524&amp;X524,game_rosters!U:W,3,FALSE),"")</f>
        <v>P100183</v>
      </c>
      <c r="BT524" t="str">
        <f t="shared" si="921"/>
        <v>Triple J</v>
      </c>
    </row>
    <row r="525" spans="1:72" x14ac:dyDescent="0.2">
      <c r="A525">
        <f t="shared" si="896"/>
        <v>1</v>
      </c>
      <c r="D525" s="26">
        <v>1</v>
      </c>
      <c r="E525" s="4"/>
      <c r="F525" s="45"/>
      <c r="G525" s="4"/>
      <c r="H525" s="47"/>
      <c r="I525" s="26">
        <v>91</v>
      </c>
      <c r="J525" s="26" t="str">
        <f t="shared" si="925"/>
        <v>o</v>
      </c>
      <c r="K525" t="s">
        <v>6</v>
      </c>
      <c r="L525" t="s">
        <v>205</v>
      </c>
      <c r="M525" t="s">
        <v>51</v>
      </c>
      <c r="N525" t="str">
        <f t="shared" si="835"/>
        <v>s</v>
      </c>
      <c r="Q525" t="str">
        <f t="shared" si="829"/>
        <v/>
      </c>
      <c r="S525">
        <f>IF(A525=1,MAX($S$2:$S524)+1,IF(OR($I525&lt;&gt;"",A525="x"),$S524,""))</f>
        <v>261</v>
      </c>
      <c r="T525">
        <f>IF(D525=1,MAX($T$2:$T524)+1,IF(S525=S524,$T524,IF(D525="x",T524,IF(D524="x","",""))))</f>
        <v>33</v>
      </c>
      <c r="U525" t="str">
        <f>IF(B525=1,MAX($U$2:$U524)+1,IF(AND($T525&lt;&gt;"",$T525=$T524),$U524,IF(B525="x",U524,"")))</f>
        <v/>
      </c>
      <c r="V525" t="str">
        <f>IF(C525=1,MAX($V$2:$V524)+1,IF(AND($T525&lt;&gt;"",$T525=$T524),$U524,IF(C525="x",V524,"")))</f>
        <v/>
      </c>
      <c r="W525" t="str" cm="1">
        <f t="array" ref="W525">IFERROR(_xlfn._xlws.FILTER(game_rosters!AC:AC,(game_rosters!J:J=events!X525)*(K525&lt;&gt;"")),"")</f>
        <v>a</v>
      </c>
      <c r="X525" cm="1">
        <f t="array" ref="X525">IF($I525&lt;&gt;"",$I525,INDEX($I$1:$I525,ROW()-COUNTIFS($T$1:$T525,"="&amp;$T525,$S$1:$S525,"&lt;"&amp;$S525)))</f>
        <v>91</v>
      </c>
      <c r="Y525" cm="1">
        <f t="array" ref="Y525">IFERROR(IF(_xlfn._xlws.FILTER(game_rosters!$J:$J,(game_rosters!$G:$G=events!$AM525)*(game_rosters!$J:$J=events!$X525))&gt;0,1,""),"")</f>
        <v>1</v>
      </c>
      <c r="Z525" s="6">
        <f t="shared" si="897"/>
        <v>1</v>
      </c>
      <c r="AA525">
        <f t="shared" si="898"/>
        <v>1261</v>
      </c>
      <c r="AB525">
        <f t="shared" si="899"/>
        <v>9033</v>
      </c>
      <c r="AC525">
        <f t="shared" si="900"/>
        <v>9033</v>
      </c>
      <c r="AD525" t="str">
        <f t="shared" si="901"/>
        <v>10</v>
      </c>
      <c r="AE525" t="str">
        <f t="shared" si="902"/>
        <v>11</v>
      </c>
      <c r="AF525" t="str">
        <f t="shared" si="903"/>
        <v/>
      </c>
      <c r="AG525" t="str">
        <f t="shared" si="904"/>
        <v/>
      </c>
      <c r="AH525" t="str">
        <f t="shared" si="842"/>
        <v>e</v>
      </c>
      <c r="AI525" t="str">
        <f t="shared" si="928"/>
        <v>o</v>
      </c>
      <c r="AJ525" t="str">
        <f t="shared" si="928"/>
        <v>o</v>
      </c>
      <c r="AK525" t="str">
        <f t="shared" si="844"/>
        <v>d</v>
      </c>
      <c r="AL525" t="str">
        <f t="shared" si="845"/>
        <v>o</v>
      </c>
      <c r="AM525" t="str">
        <f t="shared" si="905"/>
        <v>Away</v>
      </c>
      <c r="AN525" t="str">
        <f t="shared" si="846"/>
        <v>a</v>
      </c>
      <c r="AO525" t="str">
        <f t="shared" si="847"/>
        <v>d</v>
      </c>
      <c r="AP525" t="str">
        <f t="shared" si="848"/>
        <v>o</v>
      </c>
      <c r="AQ525" t="str">
        <f>IF(AM525&lt;&gt;"",AM525,IF($AC525=#REF!,#REF!,""))</f>
        <v>Away</v>
      </c>
      <c r="AR525" t="str">
        <f t="shared" si="849"/>
        <v>a</v>
      </c>
      <c r="AS525" t="str">
        <f t="shared" si="850"/>
        <v>Offensive</v>
      </c>
      <c r="AT525" t="str">
        <f t="shared" si="906"/>
        <v/>
      </c>
      <c r="AU525" t="str">
        <f t="shared" si="907"/>
        <v/>
      </c>
      <c r="AV525" t="str" cm="1">
        <f t="array" ref="AV525">IFERROR(IF(O525&lt;&gt;"",O525,IF(OR($S525="",$T525=""),"",IF(O525&lt;&gt;"",O525,IF($T525&lt;&gt;"",_xlfn._xlws.FILTER(O:O,($BT:$BT=$BT525)*($I:$I=$I525)*($T:$T=$T525)*($S:$S=_xlfn.MINIFS($S:$S,$T:$T,"="&amp;$T525)),"")))))&amp;"",IF(O525="","",""))&amp;""</f>
        <v/>
      </c>
      <c r="AW525" t="str" cm="1">
        <f t="array" ref="AW525">IFERROR(IF(P525&lt;&gt;"",P525,IF(OR($S525="",$T525=""),"",IF($T525&lt;&gt;"",_xlfn._xlws.FILTER(P:P,($BT:$BT=$BT525)*($I:$I=$I525)*($T:$T=$T525)*($S:$S=_xlfn.MINIFS($S:$S,$T:$T,"="&amp;$T525)),""))))&amp;"",IF(P525="","",""))&amp;""</f>
        <v/>
      </c>
      <c r="AX525" t="str" cm="1">
        <f t="array" ref="AX525">IFERROR(IF(Q525&lt;&gt;"",Q525,IF(OR($S525="",$T525=""),"",IF($T525&lt;&gt;"",_xlfn._xlws.FILTER(Q:Q,($BT:$BT=$BT525)*($I:$I=$I525)*($T:$T=$T525)*($S:$S=_xlfn.MINIFS($S:$S,$T:$T,"="&amp;$T525)),""))))&amp;"",IF(Q525="","",""))&amp;""</f>
        <v/>
      </c>
      <c r="AY525" t="str" cm="1">
        <f t="array" ref="AY525">IFERROR(IF(R525&lt;&gt;"",R525,IF(OR($S525="",$T525=""),"",IF($T525&lt;&gt;"",_xlfn._xlws.FILTER(R:R,($BT:$BT=$BT525)*($I:$I=$I525)*($T:$T=$T525)*($S:$S=_xlfn.MINIFS($S:$S,$T:$T,"="&amp;$T525)),""))))&amp;"",IF(R525="","",""))&amp;""</f>
        <v/>
      </c>
      <c r="AZ525" s="6">
        <f t="shared" si="908"/>
        <v>47</v>
      </c>
      <c r="BA525">
        <f t="shared" ref="BA525:BC525" si="931">BA524</f>
        <v>18991</v>
      </c>
      <c r="BB525" t="str">
        <f t="shared" si="931"/>
        <v>Triple J</v>
      </c>
      <c r="BC525" t="str">
        <f t="shared" si="931"/>
        <v>Velodrome</v>
      </c>
      <c r="BD525" t="str">
        <f t="shared" si="910"/>
        <v>Shot</v>
      </c>
      <c r="BE525" t="str">
        <f t="shared" si="911"/>
        <v>Shot_OnNetSaved</v>
      </c>
      <c r="BF525" t="str">
        <f t="shared" si="912"/>
        <v>Shot-Wrist</v>
      </c>
      <c r="BG525" t="str">
        <f t="shared" si="894"/>
        <v>s</v>
      </c>
      <c r="BH525" cm="1">
        <f t="array" aca="1" ref="BH525" ca="1">IFERROR(_xlfn._xlws.FILTER(shifts!A:A,(shifts!B:B=events!Z525)*(shifts!AG:AG&gt;=events!BJ525)*(shifts!AH:AH&lt;=events!BK525)),BH524)</f>
        <v>18</v>
      </c>
      <c r="BI525" s="15">
        <f t="shared" si="913"/>
        <v>0</v>
      </c>
      <c r="BJ525">
        <f t="shared" si="914"/>
        <v>611</v>
      </c>
      <c r="BK525">
        <f t="shared" si="915"/>
        <v>611</v>
      </c>
      <c r="BL525" s="15">
        <f>SUMIFS(BI$2:BI525,K$2:K525,"=Intermission")+SUMIFS(BI$2:BI525,K$2:K525,"=Timeout")</f>
        <v>0</v>
      </c>
      <c r="BM525">
        <f t="shared" si="916"/>
        <v>0</v>
      </c>
      <c r="BN525" s="19">
        <f t="shared" si="917"/>
        <v>469</v>
      </c>
      <c r="BO525">
        <f t="shared" si="918"/>
        <v>464</v>
      </c>
      <c r="BP525" s="17">
        <f t="shared" si="919"/>
        <v>469</v>
      </c>
      <c r="BQ525" t="str">
        <f t="shared" si="920"/>
        <v>event_team_player_1</v>
      </c>
      <c r="BR525">
        <f>COUNTIFS(S$3:S525,"="&amp;S525,AH$3:AH525,"="&amp;AH525)</f>
        <v>1</v>
      </c>
      <c r="BS525" t="str">
        <f>IFERROR(VLOOKUP(BA525&amp;BT525&amp;X525,game_rosters!U:W,3,FALSE),"")</f>
        <v>P100002</v>
      </c>
      <c r="BT525" t="str">
        <f t="shared" si="921"/>
        <v>Velodrome</v>
      </c>
    </row>
    <row r="526" spans="1:72" x14ac:dyDescent="0.2">
      <c r="A526" t="str">
        <f t="shared" si="896"/>
        <v>x</v>
      </c>
      <c r="D526" s="26" t="s">
        <v>729</v>
      </c>
      <c r="E526" s="4"/>
      <c r="F526" s="45"/>
      <c r="G526" s="4"/>
      <c r="H526" s="47"/>
      <c r="I526" s="26">
        <v>1</v>
      </c>
      <c r="J526" s="26" t="str">
        <f t="shared" si="925"/>
        <v/>
      </c>
      <c r="N526" t="str">
        <f t="shared" si="835"/>
        <v/>
      </c>
      <c r="Q526" t="str">
        <f t="shared" si="829"/>
        <v/>
      </c>
      <c r="S526">
        <f>IF(A526=1,MAX($S$2:$S525)+1,IF(OR($I526&lt;&gt;"",A526="x"),$S525,""))</f>
        <v>261</v>
      </c>
      <c r="T526">
        <f>IF(D526=1,MAX($T$2:$T525)+1,IF(S526=S525,$T525,IF(D526="x",T525,IF(D525="x","",""))))</f>
        <v>33</v>
      </c>
      <c r="U526" t="str">
        <f>IF(B526=1,MAX($U$2:$U525)+1,IF(AND($T526&lt;&gt;"",$T526=$T525),$U525,IF(B526="x",U525,"")))</f>
        <v/>
      </c>
      <c r="V526" t="str">
        <f>IF(C526=1,MAX($V$2:$V525)+1,IF(AND($T526&lt;&gt;"",$T526=$T525),$U525,IF(C526="x",V525,"")))</f>
        <v/>
      </c>
      <c r="W526" t="str" cm="1">
        <f t="array" ref="W526">IFERROR(_xlfn._xlws.FILTER(game_rosters!AC:AC,(game_rosters!J:J=events!X526)*(K526&lt;&gt;"")),"")</f>
        <v/>
      </c>
      <c r="X526" cm="1">
        <f t="array" ref="X526">IF($I526&lt;&gt;"",$I526,INDEX($I$1:$I526,ROW()-COUNTIFS($T$1:$T526,"="&amp;$T526,$S$1:$S526,"&lt;"&amp;$S526)))</f>
        <v>1</v>
      </c>
      <c r="Y526" t="str" cm="1">
        <f t="array" ref="Y526">IFERROR(IF(_xlfn._xlws.FILTER(game_rosters!$J:$J,(game_rosters!$G:$G=events!$AM526)*(game_rosters!$J:$J=events!$X526))&gt;0,1,""),"")</f>
        <v/>
      </c>
      <c r="Z526" s="6">
        <f t="shared" si="897"/>
        <v>1</v>
      </c>
      <c r="AA526">
        <f t="shared" si="898"/>
        <v>1261</v>
      </c>
      <c r="AB526">
        <f t="shared" si="899"/>
        <v>9033</v>
      </c>
      <c r="AC526">
        <f t="shared" si="900"/>
        <v>9033</v>
      </c>
      <c r="AD526" t="str">
        <f t="shared" si="901"/>
        <v>10</v>
      </c>
      <c r="AE526" t="str">
        <f t="shared" si="902"/>
        <v>11</v>
      </c>
      <c r="AF526" t="str">
        <f t="shared" si="903"/>
        <v/>
      </c>
      <c r="AG526" t="str">
        <f t="shared" si="904"/>
        <v/>
      </c>
      <c r="AH526" t="str">
        <f t="shared" si="842"/>
        <v>o</v>
      </c>
      <c r="AI526" t="str">
        <f t="shared" si="928"/>
        <v>o</v>
      </c>
      <c r="AJ526" t="str">
        <f t="shared" si="928"/>
        <v>o</v>
      </c>
      <c r="AK526" t="str">
        <f t="shared" si="844"/>
        <v/>
      </c>
      <c r="AL526" t="str">
        <f t="shared" si="845"/>
        <v/>
      </c>
      <c r="AM526" t="str">
        <f t="shared" si="905"/>
        <v>Away</v>
      </c>
      <c r="AN526" t="str">
        <f t="shared" si="846"/>
        <v>a</v>
      </c>
      <c r="AO526" t="str">
        <f t="shared" si="847"/>
        <v>d</v>
      </c>
      <c r="AP526" t="str">
        <f t="shared" si="848"/>
        <v>o</v>
      </c>
      <c r="AQ526" t="str">
        <f>IF(AM526&lt;&gt;"",AM526,IF($AC526=#REF!,#REF!,""))</f>
        <v>Away</v>
      </c>
      <c r="AR526" t="str">
        <f t="shared" si="849"/>
        <v>a</v>
      </c>
      <c r="AS526" t="str">
        <f t="shared" si="850"/>
        <v>Defensive</v>
      </c>
      <c r="AT526" t="str">
        <f t="shared" si="906"/>
        <v/>
      </c>
      <c r="AU526" t="str">
        <f t="shared" si="907"/>
        <v/>
      </c>
      <c r="AV526" t="str" cm="1">
        <f t="array" ref="AV526">IFERROR(IF(O526&lt;&gt;"",O526,IF(OR($S526="",$T526=""),"",IF(O526&lt;&gt;"",O526,IF($T526&lt;&gt;"",_xlfn._xlws.FILTER(O:O,($BT:$BT=$BT526)*($I:$I=$I526)*($T:$T=$T526)*($S:$S=_xlfn.MINIFS($S:$S,$T:$T,"="&amp;$T526)),"")))))&amp;"",IF(O526="","",""))&amp;""</f>
        <v/>
      </c>
      <c r="AW526" t="str" cm="1">
        <f t="array" ref="AW526">IFERROR(IF(P526&lt;&gt;"",P526,IF(OR($S526="",$T526=""),"",IF($T526&lt;&gt;"",_xlfn._xlws.FILTER(P:P,($BT:$BT=$BT526)*($I:$I=$I526)*($T:$T=$T526)*($S:$S=_xlfn.MINIFS($S:$S,$T:$T,"="&amp;$T526)),""))))&amp;"",IF(P526="","",""))&amp;""</f>
        <v/>
      </c>
      <c r="AX526" t="str" cm="1">
        <f t="array" ref="AX526">IFERROR(IF(Q526&lt;&gt;"",Q526,IF(OR($S526="",$T526=""),"",IF($T526&lt;&gt;"",_xlfn._xlws.FILTER(Q:Q,($BT:$BT=$BT526)*($I:$I=$I526)*($T:$T=$T526)*($S:$S=_xlfn.MINIFS($S:$S,$T:$T,"="&amp;$T526)),""))))&amp;"",IF(Q526="","",""))&amp;""</f>
        <v/>
      </c>
      <c r="AY526" t="str" cm="1">
        <f t="array" ref="AY526">IFERROR(IF(R526&lt;&gt;"",R526,IF(OR($S526="",$T526=""),"",IF($T526&lt;&gt;"",_xlfn._xlws.FILTER(R:R,($BT:$BT=$BT526)*($I:$I=$I526)*($T:$T=$T526)*($S:$S=_xlfn.MINIFS($S:$S,$T:$T,"="&amp;$T526)),""))))&amp;"",IF(R526="","",""))&amp;""</f>
        <v/>
      </c>
      <c r="AZ526" s="6">
        <f t="shared" si="908"/>
        <v>47</v>
      </c>
      <c r="BA526">
        <f t="shared" ref="BA526:BC526" si="932">BA525</f>
        <v>18991</v>
      </c>
      <c r="BB526" t="str">
        <f t="shared" si="932"/>
        <v>Triple J</v>
      </c>
      <c r="BC526" t="str">
        <f t="shared" si="932"/>
        <v>Velodrome</v>
      </c>
      <c r="BD526" t="str">
        <f t="shared" si="910"/>
        <v>Shot</v>
      </c>
      <c r="BE526" t="str">
        <f t="shared" si="911"/>
        <v>Shot_OnNetSaved</v>
      </c>
      <c r="BF526" t="str">
        <f t="shared" si="912"/>
        <v>Shot-Wrist</v>
      </c>
      <c r="BG526" t="str">
        <f t="shared" si="894"/>
        <v>s</v>
      </c>
      <c r="BH526" cm="1">
        <f t="array" aca="1" ref="BH526" ca="1">IFERROR(_xlfn._xlws.FILTER(shifts!A:A,(shifts!B:B=events!Z526)*(shifts!AG:AG&gt;=events!BJ526)*(shifts!AH:AH&lt;=events!BK526)),BH525)</f>
        <v>18</v>
      </c>
      <c r="BI526" s="15">
        <f t="shared" si="913"/>
        <v>0</v>
      </c>
      <c r="BJ526">
        <f t="shared" si="914"/>
        <v>611</v>
      </c>
      <c r="BK526">
        <f t="shared" si="915"/>
        <v>611</v>
      </c>
      <c r="BL526" s="15">
        <f>SUMIFS(BI$2:BI526,K$2:K526,"=Intermission")+SUMIFS(BI$2:BI526,K$2:K526,"=Timeout")</f>
        <v>0</v>
      </c>
      <c r="BM526">
        <f t="shared" si="916"/>
        <v>0</v>
      </c>
      <c r="BN526" s="19">
        <f t="shared" si="917"/>
        <v>469</v>
      </c>
      <c r="BO526">
        <f t="shared" si="918"/>
        <v>464</v>
      </c>
      <c r="BP526" s="17">
        <f t="shared" si="919"/>
        <v>469</v>
      </c>
      <c r="BQ526" t="str">
        <f t="shared" si="920"/>
        <v>opp_team_player_1</v>
      </c>
      <c r="BR526">
        <f>COUNTIFS(S$3:S526,"="&amp;S526,AH$3:AH526,"="&amp;AH526)</f>
        <v>1</v>
      </c>
      <c r="BS526" t="str">
        <f>IFERROR(VLOOKUP(BA526&amp;BT526&amp;X526,game_rosters!U:W,3,FALSE),"")</f>
        <v>P100020</v>
      </c>
      <c r="BT526" t="str">
        <f t="shared" si="921"/>
        <v>Triple J</v>
      </c>
    </row>
    <row r="527" spans="1:72" x14ac:dyDescent="0.2">
      <c r="A527">
        <f t="shared" si="896"/>
        <v>1</v>
      </c>
      <c r="D527" s="26" t="s">
        <v>729</v>
      </c>
      <c r="E527" s="4"/>
      <c r="F527" s="45"/>
      <c r="G527" s="4"/>
      <c r="H527" s="47"/>
      <c r="I527" s="26">
        <v>1</v>
      </c>
      <c r="J527" s="26" t="str">
        <f t="shared" si="925"/>
        <v>d</v>
      </c>
      <c r="K527" t="s">
        <v>15</v>
      </c>
      <c r="L527" t="s">
        <v>179</v>
      </c>
      <c r="M527" t="s">
        <v>100</v>
      </c>
      <c r="N527" t="str">
        <f t="shared" si="835"/>
        <v/>
      </c>
      <c r="Q527" t="str">
        <f t="shared" si="829"/>
        <v/>
      </c>
      <c r="S527">
        <f>IF(A527=1,MAX($S$2:$S526)+1,IF(OR($I527&lt;&gt;"",A527="x"),$S526,""))</f>
        <v>262</v>
      </c>
      <c r="T527">
        <f>IF(D527=1,MAX($T$2:$T526)+1,IF(S527=S526,$T526,IF(D527="x",T526,IF(D526="x","",""))))</f>
        <v>33</v>
      </c>
      <c r="U527" t="str">
        <f>IF(B527=1,MAX($U$2:$U526)+1,IF(AND($T527&lt;&gt;"",$T527=$T526),$U526,IF(B527="x",U526,"")))</f>
        <v/>
      </c>
      <c r="V527" t="str">
        <f>IF(C527=1,MAX($V$2:$V526)+1,IF(AND($T527&lt;&gt;"",$T527=$T526),$U526,IF(C527="x",V526,"")))</f>
        <v/>
      </c>
      <c r="W527" t="str" cm="1">
        <f t="array" ref="W527">IFERROR(_xlfn._xlws.FILTER(game_rosters!AC:AC,(game_rosters!J:J=events!X527)*(K527&lt;&gt;"")),"")</f>
        <v>h</v>
      </c>
      <c r="X527" cm="1">
        <f t="array" ref="X527">IF($I527&lt;&gt;"",$I527,INDEX($I$1:$I527,ROW()-COUNTIFS($T$1:$T527,"="&amp;$T527,$S$1:$S527,"&lt;"&amp;$S527)))</f>
        <v>1</v>
      </c>
      <c r="Y527" cm="1">
        <f t="array" ref="Y527">IFERROR(IF(_xlfn._xlws.FILTER(game_rosters!$J:$J,(game_rosters!$G:$G=events!$AM527)*(game_rosters!$J:$J=events!$X527))&gt;0,1,""),"")</f>
        <v>1</v>
      </c>
      <c r="Z527" s="6">
        <f t="shared" si="897"/>
        <v>1</v>
      </c>
      <c r="AA527">
        <f t="shared" si="898"/>
        <v>1262</v>
      </c>
      <c r="AB527">
        <f t="shared" si="899"/>
        <v>9033</v>
      </c>
      <c r="AC527">
        <f t="shared" si="900"/>
        <v>9033</v>
      </c>
      <c r="AD527" t="str">
        <f t="shared" si="901"/>
        <v>10</v>
      </c>
      <c r="AE527" t="str">
        <f t="shared" si="902"/>
        <v>11</v>
      </c>
      <c r="AF527" t="str">
        <f t="shared" si="903"/>
        <v/>
      </c>
      <c r="AG527" t="str">
        <f t="shared" si="904"/>
        <v/>
      </c>
      <c r="AH527" t="str">
        <f t="shared" si="842"/>
        <v>e</v>
      </c>
      <c r="AI527" t="str">
        <f t="shared" si="928"/>
        <v>d</v>
      </c>
      <c r="AJ527" t="str">
        <f t="shared" si="928"/>
        <v>d</v>
      </c>
      <c r="AK527" t="str">
        <f t="shared" si="844"/>
        <v>d</v>
      </c>
      <c r="AL527" t="str">
        <f t="shared" si="845"/>
        <v>o</v>
      </c>
      <c r="AM527" t="str">
        <f t="shared" si="905"/>
        <v>Home</v>
      </c>
      <c r="AN527" t="str">
        <f t="shared" si="846"/>
        <v>h</v>
      </c>
      <c r="AO527" t="str">
        <f t="shared" si="847"/>
        <v>d</v>
      </c>
      <c r="AP527" t="str">
        <f t="shared" si="848"/>
        <v>o</v>
      </c>
      <c r="AQ527" t="str">
        <f>IF(AM527&lt;&gt;"",AM527,IF($AC527=#REF!,#REF!,""))</f>
        <v>Home</v>
      </c>
      <c r="AR527" t="str">
        <f t="shared" si="849"/>
        <v>h</v>
      </c>
      <c r="AS527" t="str">
        <f t="shared" si="850"/>
        <v>Defensive</v>
      </c>
      <c r="AT527" t="str">
        <f t="shared" si="906"/>
        <v/>
      </c>
      <c r="AU527" t="str">
        <f t="shared" si="907"/>
        <v/>
      </c>
      <c r="AV527" t="str" cm="1">
        <f t="array" ref="AV527">IFERROR(IF(O527&lt;&gt;"",O527,IF(OR($S527="",$T527=""),"",IF(O527&lt;&gt;"",O527,IF($T527&lt;&gt;"",_xlfn._xlws.FILTER(O:O,($BT:$BT=$BT527)*($I:$I=$I527)*($T:$T=$T527)*($S:$S=_xlfn.MINIFS($S:$S,$T:$T,"="&amp;$T527)),"")))))&amp;"",IF(O527="","",""))&amp;""</f>
        <v/>
      </c>
      <c r="AW527" t="str" cm="1">
        <f t="array" ref="AW527">IFERROR(IF(P527&lt;&gt;"",P527,IF(OR($S527="",$T527=""),"",IF($T527&lt;&gt;"",_xlfn._xlws.FILTER(P:P,($BT:$BT=$BT527)*($I:$I=$I527)*($T:$T=$T527)*($S:$S=_xlfn.MINIFS($S:$S,$T:$T,"="&amp;$T527)),""))))&amp;"",IF(P527="","",""))&amp;""</f>
        <v/>
      </c>
      <c r="AX527" t="str" cm="1">
        <f t="array" ref="AX527">IFERROR(IF(Q527&lt;&gt;"",Q527,IF(OR($S527="",$T527=""),"",IF($T527&lt;&gt;"",_xlfn._xlws.FILTER(Q:Q,($BT:$BT=$BT527)*($I:$I=$I527)*($T:$T=$T527)*($S:$S=_xlfn.MINIFS($S:$S,$T:$T,"="&amp;$T527)),""))))&amp;"",IF(Q527="","",""))&amp;""</f>
        <v/>
      </c>
      <c r="AY527" t="str" cm="1">
        <f t="array" ref="AY527">IFERROR(IF(R527&lt;&gt;"",R527,IF(OR($S527="",$T527=""),"",IF($T527&lt;&gt;"",_xlfn._xlws.FILTER(R:R,($BT:$BT=$BT527)*($I:$I=$I527)*($T:$T=$T527)*($S:$S=_xlfn.MINIFS($S:$S,$T:$T,"="&amp;$T527)),""))))&amp;"",IF(R527="","",""))&amp;""</f>
        <v/>
      </c>
      <c r="AZ527" s="6">
        <f t="shared" si="908"/>
        <v>47</v>
      </c>
      <c r="BA527">
        <f t="shared" ref="BA527:BC527" si="933">BA526</f>
        <v>18991</v>
      </c>
      <c r="BB527" t="str">
        <f t="shared" si="933"/>
        <v>Triple J</v>
      </c>
      <c r="BC527" t="str">
        <f t="shared" si="933"/>
        <v>Velodrome</v>
      </c>
      <c r="BD527" t="str">
        <f t="shared" si="910"/>
        <v>Save</v>
      </c>
      <c r="BE527" t="str">
        <f t="shared" si="911"/>
        <v>Save_Rebound</v>
      </c>
      <c r="BF527" t="str">
        <f t="shared" si="912"/>
        <v>Save-Butterfly</v>
      </c>
      <c r="BG527" t="str">
        <f t="shared" si="894"/>
        <v/>
      </c>
      <c r="BH527" cm="1">
        <f t="array" aca="1" ref="BH527" ca="1">IFERROR(_xlfn._xlws.FILTER(shifts!A:A,(shifts!B:B=events!Z527)*(shifts!AG:AG&gt;=events!BJ527)*(shifts!AH:AH&lt;=events!BK527)),BH526)</f>
        <v>18</v>
      </c>
      <c r="BI527" s="15">
        <f t="shared" si="913"/>
        <v>0</v>
      </c>
      <c r="BJ527">
        <f t="shared" si="914"/>
        <v>611</v>
      </c>
      <c r="BK527">
        <f t="shared" si="915"/>
        <v>611</v>
      </c>
      <c r="BL527" s="15">
        <f>SUMIFS(BI$2:BI527,K$2:K527,"=Intermission")+SUMIFS(BI$2:BI527,K$2:K527,"=Timeout")</f>
        <v>0</v>
      </c>
      <c r="BM527">
        <f t="shared" si="916"/>
        <v>0</v>
      </c>
      <c r="BN527" s="19">
        <f t="shared" si="917"/>
        <v>469</v>
      </c>
      <c r="BO527">
        <f t="shared" si="918"/>
        <v>464</v>
      </c>
      <c r="BP527" s="17">
        <f t="shared" si="919"/>
        <v>469</v>
      </c>
      <c r="BQ527" t="str">
        <f t="shared" si="920"/>
        <v>event_team_player_1</v>
      </c>
      <c r="BR527">
        <f>COUNTIFS(S$3:S527,"="&amp;S527,AH$3:AH527,"="&amp;AH527)</f>
        <v>1</v>
      </c>
      <c r="BS527" t="str">
        <f>IFERROR(VLOOKUP(BA527&amp;BT527&amp;X527,game_rosters!U:W,3,FALSE),"")</f>
        <v>P100020</v>
      </c>
      <c r="BT527" t="str">
        <f t="shared" si="921"/>
        <v>Triple J</v>
      </c>
    </row>
    <row r="528" spans="1:72" x14ac:dyDescent="0.2">
      <c r="A528" t="str">
        <f t="shared" si="896"/>
        <v>x</v>
      </c>
      <c r="D528" s="26" t="s">
        <v>729</v>
      </c>
      <c r="E528" s="4"/>
      <c r="F528" s="45"/>
      <c r="G528" s="4"/>
      <c r="H528" s="47"/>
      <c r="I528" s="26">
        <v>91</v>
      </c>
      <c r="J528" s="26" t="str">
        <f t="shared" si="925"/>
        <v/>
      </c>
      <c r="N528" t="str">
        <f t="shared" si="835"/>
        <v/>
      </c>
      <c r="Q528" t="str">
        <f t="shared" ref="Q528:Q591" si="934">IF(O528="","",IF(AND(N528&lt;&gt;"",OR(O528&lt;&gt;"",P528&lt;&gt;"")),N528,IF(OR(ISNUMBER(SEARCH("attemp",O528)),ISNUMBER(SEARCH("beat",O528)),ISNUMBER(SEARCH("mis",O528)),ISNUMBER(SEARCH("fail",O528)),ISNUMBER(SEARCH("loss",O528)),ISNUMBER(SEARCH("lost",O528)),ISNUMBER(SEARCH("attemp",P528)),ISNUMBER(SEARCH("mis",P528)),ISNUMBER(SEARCH("fail",P528)),ISNUMBER(SEARCH("loss",P528)),ISNUMBER(SEARCH("beat",P528)),ISNUMBER(SEARCH("lost",P528))),"u","")))</f>
        <v/>
      </c>
      <c r="S528">
        <f>IF(A528=1,MAX($S$2:$S527)+1,IF(OR($I528&lt;&gt;"",A528="x"),$S527,""))</f>
        <v>262</v>
      </c>
      <c r="T528">
        <f>IF(D528=1,MAX($T$2:$T527)+1,IF(S528=S527,$T527,IF(D528="x",T527,IF(D527="x","",""))))</f>
        <v>33</v>
      </c>
      <c r="U528" t="str">
        <f>IF(B528=1,MAX($U$2:$U527)+1,IF(AND($T528&lt;&gt;"",$T528=$T527),$U527,IF(B528="x",U527,"")))</f>
        <v/>
      </c>
      <c r="V528" t="str">
        <f>IF(C528=1,MAX($V$2:$V527)+1,IF(AND($T528&lt;&gt;"",$T528=$T527),$U527,IF(C528="x",V527,"")))</f>
        <v/>
      </c>
      <c r="W528" t="str" cm="1">
        <f t="array" ref="W528">IFERROR(_xlfn._xlws.FILTER(game_rosters!AC:AC,(game_rosters!J:J=events!X528)*(K528&lt;&gt;"")),"")</f>
        <v/>
      </c>
      <c r="X528" cm="1">
        <f t="array" ref="X528">IF($I528&lt;&gt;"",$I528,INDEX($I$1:$I528,ROW()-COUNTIFS($T$1:$T528,"="&amp;$T528,$S$1:$S528,"&lt;"&amp;$S528)))</f>
        <v>91</v>
      </c>
      <c r="Y528" t="str" cm="1">
        <f t="array" ref="Y528">IFERROR(IF(_xlfn._xlws.FILTER(game_rosters!$J:$J,(game_rosters!$G:$G=events!$AM528)*(game_rosters!$J:$J=events!$X528))&gt;0,1,""),"")</f>
        <v/>
      </c>
      <c r="Z528" s="6">
        <f t="shared" si="897"/>
        <v>1</v>
      </c>
      <c r="AA528">
        <f t="shared" si="898"/>
        <v>1262</v>
      </c>
      <c r="AB528">
        <f t="shared" si="899"/>
        <v>9033</v>
      </c>
      <c r="AC528">
        <f t="shared" si="900"/>
        <v>9033</v>
      </c>
      <c r="AD528" t="str">
        <f t="shared" si="901"/>
        <v>10</v>
      </c>
      <c r="AE528" t="str">
        <f t="shared" si="902"/>
        <v>11</v>
      </c>
      <c r="AF528" t="str">
        <f t="shared" si="903"/>
        <v/>
      </c>
      <c r="AG528" t="str">
        <f t="shared" si="904"/>
        <v/>
      </c>
      <c r="AH528" t="str">
        <f t="shared" si="842"/>
        <v>o</v>
      </c>
      <c r="AI528" t="str">
        <f t="shared" si="928"/>
        <v>d</v>
      </c>
      <c r="AJ528" t="str">
        <f t="shared" si="928"/>
        <v>d</v>
      </c>
      <c r="AK528" t="str">
        <f t="shared" si="844"/>
        <v/>
      </c>
      <c r="AL528" t="str">
        <f t="shared" si="845"/>
        <v/>
      </c>
      <c r="AM528" t="str">
        <f t="shared" si="905"/>
        <v>Home</v>
      </c>
      <c r="AN528" t="str">
        <f t="shared" si="846"/>
        <v>h</v>
      </c>
      <c r="AO528" t="str">
        <f t="shared" si="847"/>
        <v>d</v>
      </c>
      <c r="AP528" t="str">
        <f t="shared" si="848"/>
        <v>o</v>
      </c>
      <c r="AQ528" t="str">
        <f>IF(AM528&lt;&gt;"",AM528,IF($AC528=#REF!,#REF!,""))</f>
        <v>Home</v>
      </c>
      <c r="AR528" t="str">
        <f t="shared" si="849"/>
        <v>h</v>
      </c>
      <c r="AS528" t="str">
        <f t="shared" si="850"/>
        <v>Offensive</v>
      </c>
      <c r="AT528" t="str">
        <f t="shared" si="906"/>
        <v/>
      </c>
      <c r="AU528" t="str">
        <f t="shared" si="907"/>
        <v/>
      </c>
      <c r="AV528" t="str" cm="1">
        <f t="array" ref="AV528">IFERROR(IF(O528&lt;&gt;"",O528,IF(OR($S528="",$T528=""),"",IF(O528&lt;&gt;"",O528,IF($T528&lt;&gt;"",_xlfn._xlws.FILTER(O:O,($BT:$BT=$BT528)*($I:$I=$I528)*($T:$T=$T528)*($S:$S=_xlfn.MINIFS($S:$S,$T:$T,"="&amp;$T528)),"")))))&amp;"",IF(O528="","",""))&amp;""</f>
        <v/>
      </c>
      <c r="AW528" t="str" cm="1">
        <f t="array" ref="AW528">IFERROR(IF(P528&lt;&gt;"",P528,IF(OR($S528="",$T528=""),"",IF($T528&lt;&gt;"",_xlfn._xlws.FILTER(P:P,($BT:$BT=$BT528)*($I:$I=$I528)*($T:$T=$T528)*($S:$S=_xlfn.MINIFS($S:$S,$T:$T,"="&amp;$T528)),""))))&amp;"",IF(P528="","",""))&amp;""</f>
        <v/>
      </c>
      <c r="AX528" t="str" cm="1">
        <f t="array" ref="AX528">IFERROR(IF(Q528&lt;&gt;"",Q528,IF(OR($S528="",$T528=""),"",IF($T528&lt;&gt;"",_xlfn._xlws.FILTER(Q:Q,($BT:$BT=$BT528)*($I:$I=$I528)*($T:$T=$T528)*($S:$S=_xlfn.MINIFS($S:$S,$T:$T,"="&amp;$T528)),""))))&amp;"",IF(Q528="","",""))&amp;""</f>
        <v/>
      </c>
      <c r="AY528" t="str" cm="1">
        <f t="array" ref="AY528">IFERROR(IF(R528&lt;&gt;"",R528,IF(OR($S528="",$T528=""),"",IF($T528&lt;&gt;"",_xlfn._xlws.FILTER(R:R,($BT:$BT=$BT528)*($I:$I=$I528)*($T:$T=$T528)*($S:$S=_xlfn.MINIFS($S:$S,$T:$T,"="&amp;$T528)),""))))&amp;"",IF(R528="","",""))&amp;""</f>
        <v/>
      </c>
      <c r="AZ528" s="6">
        <f t="shared" si="908"/>
        <v>47</v>
      </c>
      <c r="BA528">
        <f t="shared" ref="BA528:BC528" si="935">BA527</f>
        <v>18991</v>
      </c>
      <c r="BB528" t="str">
        <f t="shared" si="935"/>
        <v>Triple J</v>
      </c>
      <c r="BC528" t="str">
        <f t="shared" si="935"/>
        <v>Velodrome</v>
      </c>
      <c r="BD528" t="str">
        <f t="shared" si="910"/>
        <v>Save</v>
      </c>
      <c r="BE528" t="str">
        <f t="shared" si="911"/>
        <v>Save_Rebound</v>
      </c>
      <c r="BF528" t="str">
        <f t="shared" si="912"/>
        <v>Save-Butterfly</v>
      </c>
      <c r="BG528" t="str">
        <f t="shared" si="894"/>
        <v/>
      </c>
      <c r="BH528" cm="1">
        <f t="array" aca="1" ref="BH528" ca="1">IFERROR(_xlfn._xlws.FILTER(shifts!A:A,(shifts!B:B=events!Z528)*(shifts!AG:AG&gt;=events!BJ528)*(shifts!AH:AH&lt;=events!BK528)),BH527)</f>
        <v>18</v>
      </c>
      <c r="BI528" s="15">
        <f t="shared" si="913"/>
        <v>0</v>
      </c>
      <c r="BJ528">
        <f t="shared" si="914"/>
        <v>611</v>
      </c>
      <c r="BK528">
        <f t="shared" si="915"/>
        <v>611</v>
      </c>
      <c r="BL528" s="15">
        <f>SUMIFS(BI$2:BI528,K$2:K528,"=Intermission")+SUMIFS(BI$2:BI528,K$2:K528,"=Timeout")</f>
        <v>0</v>
      </c>
      <c r="BM528">
        <f t="shared" si="916"/>
        <v>0</v>
      </c>
      <c r="BN528" s="19">
        <f t="shared" si="917"/>
        <v>469</v>
      </c>
      <c r="BO528">
        <f t="shared" si="918"/>
        <v>464</v>
      </c>
      <c r="BP528" s="17">
        <f t="shared" si="919"/>
        <v>469</v>
      </c>
      <c r="BQ528" t="str">
        <f t="shared" si="920"/>
        <v>opp_team_player_1</v>
      </c>
      <c r="BR528">
        <f>COUNTIFS(S$3:S528,"="&amp;S528,AH$3:AH528,"="&amp;AH528)</f>
        <v>1</v>
      </c>
      <c r="BS528" t="str">
        <f>IFERROR(VLOOKUP(BA528&amp;BT528&amp;X528,game_rosters!U:W,3,FALSE),"")</f>
        <v>P100002</v>
      </c>
      <c r="BT528" t="str">
        <f t="shared" si="921"/>
        <v>Velodrome</v>
      </c>
    </row>
    <row r="529" spans="1:72" x14ac:dyDescent="0.2">
      <c r="A529">
        <f t="shared" si="896"/>
        <v>1</v>
      </c>
      <c r="D529" s="26" t="s">
        <v>729</v>
      </c>
      <c r="E529" s="4"/>
      <c r="F529" s="45"/>
      <c r="G529" s="4"/>
      <c r="H529" s="47"/>
      <c r="I529" s="26">
        <v>1</v>
      </c>
      <c r="J529" s="26" t="str">
        <f t="shared" si="925"/>
        <v>d</v>
      </c>
      <c r="K529" t="s">
        <v>231</v>
      </c>
      <c r="L529" t="s">
        <v>233</v>
      </c>
      <c r="N529" t="str">
        <f t="shared" si="835"/>
        <v/>
      </c>
      <c r="Q529" t="str">
        <f t="shared" si="934"/>
        <v/>
      </c>
      <c r="S529">
        <f>IF(A529=1,MAX($S$2:$S528)+1,IF(OR($I529&lt;&gt;"",A529="x"),$S528,""))</f>
        <v>263</v>
      </c>
      <c r="T529">
        <f>IF(D529=1,MAX($T$2:$T528)+1,IF(S529=S528,$T528,IF(D529="x",T528,IF(D528="x","",""))))</f>
        <v>33</v>
      </c>
      <c r="U529" t="str">
        <f>IF(B529=1,MAX($U$2:$U528)+1,IF(AND($T529&lt;&gt;"",$T529=$T528),$U528,IF(B529="x",U528,"")))</f>
        <v/>
      </c>
      <c r="V529" t="str">
        <f>IF(C529=1,MAX($V$2:$V528)+1,IF(AND($T529&lt;&gt;"",$T529=$T528),$U528,IF(C529="x",V528,"")))</f>
        <v/>
      </c>
      <c r="W529" t="str" cm="1">
        <f t="array" ref="W529">IFERROR(_xlfn._xlws.FILTER(game_rosters!AC:AC,(game_rosters!J:J=events!X529)*(K529&lt;&gt;"")),"")</f>
        <v>h</v>
      </c>
      <c r="X529" cm="1">
        <f t="array" ref="X529">IF($I529&lt;&gt;"",$I529,INDEX($I$1:$I529,ROW()-COUNTIFS($T$1:$T529,"="&amp;$T529,$S$1:$S529,"&lt;"&amp;$S529)))</f>
        <v>1</v>
      </c>
      <c r="Y529" cm="1">
        <f t="array" ref="Y529">IFERROR(IF(_xlfn._xlws.FILTER(game_rosters!$J:$J,(game_rosters!$G:$G=events!$AM529)*(game_rosters!$J:$J=events!$X529))&gt;0,1,""),"")</f>
        <v>1</v>
      </c>
      <c r="Z529" s="6">
        <f t="shared" si="897"/>
        <v>1</v>
      </c>
      <c r="AA529">
        <f t="shared" si="898"/>
        <v>1263</v>
      </c>
      <c r="AB529">
        <f t="shared" si="899"/>
        <v>9033</v>
      </c>
      <c r="AC529">
        <f t="shared" si="900"/>
        <v>9033</v>
      </c>
      <c r="AD529" t="str">
        <f t="shared" si="901"/>
        <v>10</v>
      </c>
      <c r="AE529" t="str">
        <f t="shared" si="902"/>
        <v>11</v>
      </c>
      <c r="AF529" t="str">
        <f t="shared" si="903"/>
        <v/>
      </c>
      <c r="AG529" t="str">
        <f t="shared" si="904"/>
        <v/>
      </c>
      <c r="AH529" t="str">
        <f t="shared" si="842"/>
        <v>e</v>
      </c>
      <c r="AI529" t="str">
        <f t="shared" si="928"/>
        <v>d</v>
      </c>
      <c r="AJ529" t="str">
        <f t="shared" si="928"/>
        <v>d</v>
      </c>
      <c r="AK529" t="str">
        <f t="shared" si="844"/>
        <v>d</v>
      </c>
      <c r="AL529" t="str">
        <f t="shared" si="845"/>
        <v>o</v>
      </c>
      <c r="AM529" t="str">
        <f t="shared" si="905"/>
        <v>Home</v>
      </c>
      <c r="AN529" t="str">
        <f t="shared" si="846"/>
        <v>h</v>
      </c>
      <c r="AO529" t="str">
        <f t="shared" si="847"/>
        <v>d</v>
      </c>
      <c r="AP529" t="str">
        <f t="shared" si="848"/>
        <v>o</v>
      </c>
      <c r="AQ529" t="str">
        <f>IF(AM529&lt;&gt;"",AM529,IF($AC529=#REF!,#REF!,""))</f>
        <v>Home</v>
      </c>
      <c r="AR529" t="str">
        <f t="shared" si="849"/>
        <v>h</v>
      </c>
      <c r="AS529" t="str">
        <f t="shared" si="850"/>
        <v>Offensive</v>
      </c>
      <c r="AT529" t="str">
        <f t="shared" si="906"/>
        <v/>
      </c>
      <c r="AU529" t="str">
        <f t="shared" si="907"/>
        <v/>
      </c>
      <c r="AV529" t="str" cm="1">
        <f t="array" ref="AV529">IFERROR(IF(O529&lt;&gt;"",O529,IF(OR($S529="",$T529=""),"",IF(O529&lt;&gt;"",O529,IF($T529&lt;&gt;"",_xlfn._xlws.FILTER(O:O,($BT:$BT=$BT529)*($I:$I=$I529)*($T:$T=$T529)*($S:$S=_xlfn.MINIFS($S:$S,$T:$T,"="&amp;$T529)),"")))))&amp;"",IF(O529="","",""))&amp;""</f>
        <v/>
      </c>
      <c r="AW529" t="str" cm="1">
        <f t="array" ref="AW529">IFERROR(IF(P529&lt;&gt;"",P529,IF(OR($S529="",$T529=""),"",IF($T529&lt;&gt;"",_xlfn._xlws.FILTER(P:P,($BT:$BT=$BT529)*($I:$I=$I529)*($T:$T=$T529)*($S:$S=_xlfn.MINIFS($S:$S,$T:$T,"="&amp;$T529)),""))))&amp;"",IF(P529="","",""))&amp;""</f>
        <v/>
      </c>
      <c r="AX529" t="str" cm="1">
        <f t="array" ref="AX529">IFERROR(IF(Q529&lt;&gt;"",Q529,IF(OR($S529="",$T529=""),"",IF($T529&lt;&gt;"",_xlfn._xlws.FILTER(Q:Q,($BT:$BT=$BT529)*($I:$I=$I529)*($T:$T=$T529)*($S:$S=_xlfn.MINIFS($S:$S,$T:$T,"="&amp;$T529)),""))))&amp;"",IF(Q529="","",""))&amp;""</f>
        <v/>
      </c>
      <c r="AY529" t="str" cm="1">
        <f t="array" ref="AY529">IFERROR(IF(R529&lt;&gt;"",R529,IF(OR($S529="",$T529=""),"",IF($T529&lt;&gt;"",_xlfn._xlws.FILTER(R:R,($BT:$BT=$BT529)*($I:$I=$I529)*($T:$T=$T529)*($S:$S=_xlfn.MINIFS($S:$S,$T:$T,"="&amp;$T529)),""))))&amp;"",IF(R529="","",""))&amp;""</f>
        <v/>
      </c>
      <c r="AZ529" s="6">
        <f t="shared" si="908"/>
        <v>47</v>
      </c>
      <c r="BA529">
        <f t="shared" ref="BA529:BC529" si="936">BA528</f>
        <v>18991</v>
      </c>
      <c r="BB529" t="str">
        <f t="shared" si="936"/>
        <v>Triple J</v>
      </c>
      <c r="BC529" t="str">
        <f t="shared" si="936"/>
        <v>Velodrome</v>
      </c>
      <c r="BD529" t="str">
        <f t="shared" si="910"/>
        <v>Rebound</v>
      </c>
      <c r="BE529" t="str">
        <f t="shared" si="911"/>
        <v>Rebound_OppTeamRecovered</v>
      </c>
      <c r="BF529" t="str">
        <f t="shared" si="912"/>
        <v/>
      </c>
      <c r="BG529" t="str">
        <f t="shared" si="894"/>
        <v/>
      </c>
      <c r="BH529" cm="1">
        <f t="array" aca="1" ref="BH529" ca="1">IFERROR(_xlfn._xlws.FILTER(shifts!A:A,(shifts!B:B=events!Z529)*(shifts!AG:AG&gt;=events!BJ529)*(shifts!AH:AH&lt;=events!BK529)),BH528)</f>
        <v>18</v>
      </c>
      <c r="BI529" s="15">
        <f t="shared" si="913"/>
        <v>0</v>
      </c>
      <c r="BJ529">
        <f t="shared" si="914"/>
        <v>611</v>
      </c>
      <c r="BK529">
        <f t="shared" si="915"/>
        <v>611</v>
      </c>
      <c r="BL529" s="15">
        <f>SUMIFS(BI$2:BI529,K$2:K529,"=Intermission")+SUMIFS(BI$2:BI529,K$2:K529,"=Timeout")</f>
        <v>0</v>
      </c>
      <c r="BM529">
        <f t="shared" si="916"/>
        <v>0</v>
      </c>
      <c r="BN529" s="19">
        <f t="shared" si="917"/>
        <v>469</v>
      </c>
      <c r="BO529">
        <f t="shared" si="918"/>
        <v>464</v>
      </c>
      <c r="BP529" s="17">
        <f t="shared" si="919"/>
        <v>469</v>
      </c>
      <c r="BQ529" t="str">
        <f t="shared" si="920"/>
        <v>event_team_player_1</v>
      </c>
      <c r="BR529">
        <f>COUNTIFS(S$3:S529,"="&amp;S529,AH$3:AH529,"="&amp;AH529)</f>
        <v>1</v>
      </c>
      <c r="BS529" t="str">
        <f>IFERROR(VLOOKUP(BA529&amp;BT529&amp;X529,game_rosters!U:W,3,FALSE),"")</f>
        <v>P100020</v>
      </c>
      <c r="BT529" t="str">
        <f t="shared" si="921"/>
        <v>Triple J</v>
      </c>
    </row>
    <row r="530" spans="1:72" x14ac:dyDescent="0.2">
      <c r="A530">
        <f t="shared" si="896"/>
        <v>1</v>
      </c>
      <c r="E530" s="4"/>
      <c r="F530" s="45" t="s">
        <v>747</v>
      </c>
      <c r="G530" s="4"/>
      <c r="H530" s="47" t="s">
        <v>1042</v>
      </c>
      <c r="I530" s="26">
        <v>91</v>
      </c>
      <c r="J530" s="26" t="str">
        <f t="shared" si="925"/>
        <v/>
      </c>
      <c r="K530" t="s">
        <v>13</v>
      </c>
      <c r="L530" t="s">
        <v>587</v>
      </c>
      <c r="N530" t="s">
        <v>595</v>
      </c>
      <c r="O530" t="s">
        <v>908</v>
      </c>
      <c r="Q530" t="str">
        <f t="shared" si="934"/>
        <v>s</v>
      </c>
      <c r="S530">
        <f>IF(A530=1,MAX($S$2:$S529)+1,IF(OR($I530&lt;&gt;"",A530="x"),$S529,""))</f>
        <v>264</v>
      </c>
      <c r="T530" t="str">
        <f>IF(D530=1,MAX($T$2:$T529)+1,IF(S530=S529,$T529,IF(D530="x",T529,IF(D529="x","",""))))</f>
        <v/>
      </c>
      <c r="U530" t="str">
        <f>IF(B530=1,MAX($U$2:$U529)+1,IF(AND($T530&lt;&gt;"",$T530=$T529),$U529,IF(B530="x",U529,"")))</f>
        <v/>
      </c>
      <c r="V530" t="str">
        <f>IF(C530=1,MAX($V$2:$V529)+1,IF(AND($T530&lt;&gt;"",$T530=$T529),$U529,IF(C530="x",V529,"")))</f>
        <v/>
      </c>
      <c r="W530" t="str" cm="1">
        <f t="array" ref="W530">IFERROR(_xlfn._xlws.FILTER(game_rosters!AC:AC,(game_rosters!J:J=events!X530)*(K530&lt;&gt;"")),"")</f>
        <v>a</v>
      </c>
      <c r="X530" cm="1">
        <f t="array" ref="X530">IF($I530&lt;&gt;"",$I530,INDEX($I$1:$I530,ROW()-COUNTIFS($T$1:$T530,"="&amp;$T530,$S$1:$S530,"&lt;"&amp;$S530)))</f>
        <v>91</v>
      </c>
      <c r="Y530" cm="1">
        <f t="array" ref="Y530">IFERROR(IF(_xlfn._xlws.FILTER(game_rosters!$J:$J,(game_rosters!$G:$G=events!$AM530)*(game_rosters!$J:$J=events!$X530))&gt;0,1,""),"")</f>
        <v>1</v>
      </c>
      <c r="Z530" s="6">
        <f t="shared" si="897"/>
        <v>1</v>
      </c>
      <c r="AA530">
        <f t="shared" si="898"/>
        <v>1264</v>
      </c>
      <c r="AB530" t="str">
        <f t="shared" si="899"/>
        <v/>
      </c>
      <c r="AC530">
        <f t="shared" si="900"/>
        <v>1264</v>
      </c>
      <c r="AD530" t="str">
        <f t="shared" si="901"/>
        <v>10</v>
      </c>
      <c r="AE530" t="str">
        <f t="shared" si="902"/>
        <v>07</v>
      </c>
      <c r="AF530" t="str">
        <f t="shared" si="903"/>
        <v>10</v>
      </c>
      <c r="AG530" t="str">
        <f t="shared" si="904"/>
        <v>06</v>
      </c>
      <c r="AH530" t="str">
        <f t="shared" si="842"/>
        <v>e</v>
      </c>
      <c r="AI530" t="str">
        <f t="shared" si="928"/>
        <v/>
      </c>
      <c r="AJ530" t="str">
        <f t="shared" si="928"/>
        <v/>
      </c>
      <c r="AK530" t="str">
        <f t="shared" si="844"/>
        <v/>
      </c>
      <c r="AL530" t="str">
        <f t="shared" si="845"/>
        <v/>
      </c>
      <c r="AM530" t="str">
        <f t="shared" si="905"/>
        <v>Away</v>
      </c>
      <c r="AN530" t="str">
        <f t="shared" si="846"/>
        <v>a</v>
      </c>
      <c r="AO530" t="str">
        <f t="shared" si="847"/>
        <v/>
      </c>
      <c r="AP530" t="str">
        <f t="shared" si="848"/>
        <v/>
      </c>
      <c r="AQ530" t="str">
        <f>IF(AM530&lt;&gt;"",AM530,IF($AC530=#REF!,#REF!,""))</f>
        <v>Away</v>
      </c>
      <c r="AR530" t="str">
        <f t="shared" si="849"/>
        <v>a</v>
      </c>
      <c r="AS530" t="str">
        <f t="shared" si="850"/>
        <v>Offensive</v>
      </c>
      <c r="AT530" t="str">
        <f t="shared" si="906"/>
        <v/>
      </c>
      <c r="AU530" t="str">
        <f t="shared" si="907"/>
        <v/>
      </c>
      <c r="AV530" t="str" cm="1">
        <f t="array" ref="AV530">IFERROR(IF(O530&lt;&gt;"",O530,IF(OR($S530="",$T530=""),"",IF(O530&lt;&gt;"",O530,IF($T530&lt;&gt;"",_xlfn._xlws.FILTER(O:O,($BT:$BT=$BT530)*($I:$I=$I530)*($T:$T=$T530)*($S:$S=_xlfn.MINIFS($S:$S,$T:$T,"="&amp;$T530)),"")))))&amp;"",IF(O530="","",""))&amp;""</f>
        <v>PuckRecoveryRetreivalRebound</v>
      </c>
      <c r="AW530" t="str" cm="1">
        <f t="array" ref="AW530">IFERROR(IF(P530&lt;&gt;"",P530,IF(OR($S530="",$T530=""),"",IF($T530&lt;&gt;"",_xlfn._xlws.FILTER(P:P,($BT:$BT=$BT530)*($I:$I=$I530)*($T:$T=$T530)*($S:$S=_xlfn.MINIFS($S:$S,$T:$T,"="&amp;$T530)),""))))&amp;"",IF(P530="","",""))&amp;""</f>
        <v/>
      </c>
      <c r="AX530" t="str" cm="1">
        <f t="array" ref="AX530">IFERROR(IF(Q530&lt;&gt;"",Q530,IF(OR($S530="",$T530=""),"",IF($T530&lt;&gt;"",_xlfn._xlws.FILTER(Q:Q,($BT:$BT=$BT530)*($I:$I=$I530)*($T:$T=$T530)*($S:$S=_xlfn.MINIFS($S:$S,$T:$T,"="&amp;$T530)),""))))&amp;"",IF(Q530="","",""))&amp;""</f>
        <v>s</v>
      </c>
      <c r="AY530" t="str" cm="1">
        <f t="array" ref="AY530">IFERROR(IF(R530&lt;&gt;"",R530,IF(OR($S530="",$T530=""),"",IF($T530&lt;&gt;"",_xlfn._xlws.FILTER(R:R,($BT:$BT=$BT530)*($I:$I=$I530)*($T:$T=$T530)*($S:$S=_xlfn.MINIFS($S:$S,$T:$T,"="&amp;$T530)),""))))&amp;"",IF(R530="","",""))&amp;""</f>
        <v/>
      </c>
      <c r="AZ530" s="6">
        <f t="shared" si="908"/>
        <v>47</v>
      </c>
      <c r="BA530">
        <f t="shared" ref="BA530:BC530" si="937">BA529</f>
        <v>18991</v>
      </c>
      <c r="BB530" t="str">
        <f t="shared" si="937"/>
        <v>Triple J</v>
      </c>
      <c r="BC530" t="str">
        <f t="shared" si="937"/>
        <v>Velodrome</v>
      </c>
      <c r="BD530" t="str">
        <f t="shared" si="910"/>
        <v>Possession</v>
      </c>
      <c r="BE530" t="str">
        <f t="shared" si="911"/>
        <v>PuckRecovery</v>
      </c>
      <c r="BF530" t="str">
        <f t="shared" si="912"/>
        <v/>
      </c>
      <c r="BG530" t="str">
        <f t="shared" si="894"/>
        <v>s</v>
      </c>
      <c r="BH530" cm="1">
        <f t="array" aca="1" ref="BH530" ca="1">IFERROR(_xlfn._xlws.FILTER(shifts!A:A,(shifts!B:B=events!Z530)*(shifts!AG:AG&gt;=events!BJ530)*(shifts!AH:AH&lt;=events!BK530)),BH529)</f>
        <v>18</v>
      </c>
      <c r="BI530" s="15">
        <f t="shared" si="913"/>
        <v>1</v>
      </c>
      <c r="BJ530">
        <f t="shared" si="914"/>
        <v>607</v>
      </c>
      <c r="BK530">
        <f t="shared" si="915"/>
        <v>606</v>
      </c>
      <c r="BL530" s="15">
        <f>SUMIFS(BI$2:BI530,K$2:K530,"=Intermission")+SUMIFS(BI$2:BI530,K$2:K530,"=Timeout")</f>
        <v>0</v>
      </c>
      <c r="BM530">
        <f t="shared" si="916"/>
        <v>0</v>
      </c>
      <c r="BN530" s="19">
        <f t="shared" si="917"/>
        <v>473</v>
      </c>
      <c r="BO530">
        <f t="shared" si="918"/>
        <v>468</v>
      </c>
      <c r="BP530" s="17">
        <f t="shared" si="919"/>
        <v>474</v>
      </c>
      <c r="BQ530" t="str">
        <f t="shared" si="920"/>
        <v>event_team_player_1</v>
      </c>
      <c r="BR530">
        <f>COUNTIFS(S$3:S530,"="&amp;S530,AH$3:AH530,"="&amp;AH530)</f>
        <v>1</v>
      </c>
      <c r="BS530" t="str">
        <f>IFERROR(VLOOKUP(BA530&amp;BT530&amp;X530,game_rosters!U:W,3,FALSE),"")</f>
        <v>P100002</v>
      </c>
      <c r="BT530" t="str">
        <f t="shared" si="921"/>
        <v>Velodrome</v>
      </c>
    </row>
    <row r="531" spans="1:72" x14ac:dyDescent="0.2">
      <c r="A531">
        <f t="shared" si="896"/>
        <v>1</v>
      </c>
      <c r="E531" s="4"/>
      <c r="F531" s="45"/>
      <c r="G531" s="4"/>
      <c r="H531" s="47"/>
      <c r="I531" s="26">
        <v>91</v>
      </c>
      <c r="J531" s="26" t="s">
        <v>368</v>
      </c>
      <c r="K531" t="s">
        <v>7</v>
      </c>
      <c r="L531" t="s">
        <v>172</v>
      </c>
      <c r="M531" t="s">
        <v>385</v>
      </c>
      <c r="N531" t="str">
        <f t="shared" si="835"/>
        <v>s</v>
      </c>
      <c r="Q531" t="str">
        <f t="shared" si="934"/>
        <v/>
      </c>
      <c r="R531" s="26">
        <v>1</v>
      </c>
      <c r="S531">
        <f>IF(A531=1,MAX($S$2:$S530)+1,IF(OR($I531&lt;&gt;"",A531="x"),$S530,""))</f>
        <v>265</v>
      </c>
      <c r="T531" t="str">
        <f>IF(D531=1,MAX($T$2:$T530)+1,IF(S531=S530,$T530,IF(D531="x",T530,IF(D530="x","",""))))</f>
        <v/>
      </c>
      <c r="U531" t="str">
        <f>IF(B531=1,MAX($U$2:$U530)+1,IF(AND($T531&lt;&gt;"",$T531=$T530),$U530,IF(B531="x",U530,"")))</f>
        <v/>
      </c>
      <c r="V531" t="str">
        <f>IF(C531=1,MAX($V$2:$V530)+1,IF(AND($T531&lt;&gt;"",$T531=$T530),$U530,IF(C531="x",V530,"")))</f>
        <v/>
      </c>
      <c r="W531" t="str" cm="1">
        <f t="array" ref="W531">IFERROR(_xlfn._xlws.FILTER(game_rosters!AC:AC,(game_rosters!J:J=events!X531)*(K531&lt;&gt;"")),"")</f>
        <v>a</v>
      </c>
      <c r="X531" cm="1">
        <f t="array" ref="X531">IF($I531&lt;&gt;"",$I531,INDEX($I$1:$I531,ROW()-COUNTIFS($T$1:$T531,"="&amp;$T531,$S$1:$S531,"&lt;"&amp;$S531)))</f>
        <v>91</v>
      </c>
      <c r="Y531" cm="1">
        <f t="array" ref="Y531">IFERROR(IF(_xlfn._xlws.FILTER(game_rosters!$J:$J,(game_rosters!$G:$G=events!$AM531)*(game_rosters!$J:$J=events!$X531))&gt;0,1,""),"")</f>
        <v>1</v>
      </c>
      <c r="Z531" s="6">
        <f t="shared" si="897"/>
        <v>1</v>
      </c>
      <c r="AA531">
        <f t="shared" si="898"/>
        <v>1265</v>
      </c>
      <c r="AB531" t="str">
        <f t="shared" si="899"/>
        <v/>
      </c>
      <c r="AC531">
        <f t="shared" si="900"/>
        <v>1265</v>
      </c>
      <c r="AD531" t="str">
        <f t="shared" si="901"/>
        <v>10</v>
      </c>
      <c r="AE531" t="str">
        <f t="shared" si="902"/>
        <v>06</v>
      </c>
      <c r="AF531" t="str">
        <f t="shared" si="903"/>
        <v/>
      </c>
      <c r="AG531" t="str">
        <f t="shared" si="904"/>
        <v/>
      </c>
      <c r="AH531" t="str">
        <f t="shared" si="842"/>
        <v>e</v>
      </c>
      <c r="AI531" t="str">
        <f t="shared" si="928"/>
        <v>o</v>
      </c>
      <c r="AJ531" t="str">
        <f t="shared" si="928"/>
        <v>o</v>
      </c>
      <c r="AK531" t="str">
        <f t="shared" si="844"/>
        <v>d</v>
      </c>
      <c r="AL531" t="str">
        <f t="shared" si="845"/>
        <v>o</v>
      </c>
      <c r="AM531" t="str">
        <f t="shared" si="905"/>
        <v>Away</v>
      </c>
      <c r="AN531" t="str">
        <f t="shared" si="846"/>
        <v>a</v>
      </c>
      <c r="AO531" t="str">
        <f t="shared" si="847"/>
        <v>d</v>
      </c>
      <c r="AP531" t="str">
        <f t="shared" si="848"/>
        <v>o</v>
      </c>
      <c r="AQ531" t="str">
        <f>IF(AM531&lt;&gt;"",AM531,IF($AC531=#REF!,#REF!,""))</f>
        <v>Away</v>
      </c>
      <c r="AR531" t="str">
        <f t="shared" si="849"/>
        <v>a</v>
      </c>
      <c r="AS531" t="str">
        <f t="shared" si="850"/>
        <v>Offensive</v>
      </c>
      <c r="AT531" t="str">
        <f t="shared" si="906"/>
        <v/>
      </c>
      <c r="AU531" t="str">
        <f t="shared" si="907"/>
        <v/>
      </c>
      <c r="AV531" t="str" cm="1">
        <f t="array" ref="AV531">IFERROR(IF(O531&lt;&gt;"",O531,IF(OR($S531="",$T531=""),"",IF(O531&lt;&gt;"",O531,IF($T531&lt;&gt;"",_xlfn._xlws.FILTER(O:O,($BT:$BT=$BT531)*($I:$I=$I531)*($T:$T=$T531)*($S:$S=_xlfn.MINIFS($S:$S,$T:$T,"="&amp;$T531)),"")))))&amp;"",IF(O531="","",""))&amp;""</f>
        <v/>
      </c>
      <c r="AW531" t="str" cm="1">
        <f t="array" ref="AW531">IFERROR(IF(P531&lt;&gt;"",P531,IF(OR($S531="",$T531=""),"",IF($T531&lt;&gt;"",_xlfn._xlws.FILTER(P:P,($BT:$BT=$BT531)*($I:$I=$I531)*($T:$T=$T531)*($S:$S=_xlfn.MINIFS($S:$S,$T:$T,"="&amp;$T531)),""))))&amp;"",IF(P531="","",""))&amp;""</f>
        <v/>
      </c>
      <c r="AX531" t="str" cm="1">
        <f t="array" ref="AX531">IFERROR(IF(Q531&lt;&gt;"",Q531,IF(OR($S531="",$T531=""),"",IF($T531&lt;&gt;"",_xlfn._xlws.FILTER(Q:Q,($BT:$BT=$BT531)*($I:$I=$I531)*($T:$T=$T531)*($S:$S=_xlfn.MINIFS($S:$S,$T:$T,"="&amp;$T531)),""))))&amp;"",IF(Q531="","",""))&amp;""</f>
        <v/>
      </c>
      <c r="AY531" t="str" cm="1">
        <f t="array" ref="AY531">IFERROR(IF(R531&lt;&gt;"",R531,IF(OR($S531="",$T531=""),"",IF($T531&lt;&gt;"",_xlfn._xlws.FILTER(R:R,($BT:$BT=$BT531)*($I:$I=$I531)*($T:$T=$T531)*($S:$S=_xlfn.MINIFS($S:$S,$T:$T,"="&amp;$T531)),""))))&amp;"",IF(R531="","",""))&amp;""</f>
        <v>1</v>
      </c>
      <c r="AZ531" s="6">
        <f t="shared" si="908"/>
        <v>47</v>
      </c>
      <c r="BA531">
        <f t="shared" ref="BA531:BC531" si="938">BA530</f>
        <v>18991</v>
      </c>
      <c r="BB531" t="str">
        <f t="shared" si="938"/>
        <v>Triple J</v>
      </c>
      <c r="BC531" t="str">
        <f t="shared" si="938"/>
        <v>Velodrome</v>
      </c>
      <c r="BD531" t="str">
        <f t="shared" si="910"/>
        <v>Pass</v>
      </c>
      <c r="BE531" t="str">
        <f t="shared" si="911"/>
        <v>Pass_Completed</v>
      </c>
      <c r="BF531" t="str">
        <f t="shared" si="912"/>
        <v>Pass-Drop</v>
      </c>
      <c r="BG531" t="str">
        <f t="shared" si="894"/>
        <v>s</v>
      </c>
      <c r="BH531" cm="1">
        <f t="array" aca="1" ref="BH531" ca="1">IFERROR(_xlfn._xlws.FILTER(shifts!A:A,(shifts!B:B=events!Z531)*(shifts!AG:AG&gt;=events!BJ531)*(shifts!AH:AH&lt;=events!BK531)),BH530)</f>
        <v>18</v>
      </c>
      <c r="BI531" s="15">
        <f t="shared" si="913"/>
        <v>0</v>
      </c>
      <c r="BJ531">
        <f t="shared" si="914"/>
        <v>606</v>
      </c>
      <c r="BK531">
        <f t="shared" si="915"/>
        <v>606</v>
      </c>
      <c r="BL531" s="15">
        <f>SUMIFS(BI$2:BI531,K$2:K531,"=Intermission")+SUMIFS(BI$2:BI531,K$2:K531,"=Timeout")</f>
        <v>0</v>
      </c>
      <c r="BM531">
        <f t="shared" si="916"/>
        <v>0</v>
      </c>
      <c r="BN531" s="19">
        <f t="shared" si="917"/>
        <v>474</v>
      </c>
      <c r="BO531">
        <f t="shared" si="918"/>
        <v>469</v>
      </c>
      <c r="BP531" s="17">
        <f t="shared" si="919"/>
        <v>474</v>
      </c>
      <c r="BQ531" t="str">
        <f t="shared" si="920"/>
        <v>event_team_player_1</v>
      </c>
      <c r="BR531">
        <f>COUNTIFS(S$3:S531,"="&amp;S531,AH$3:AH531,"="&amp;AH531)</f>
        <v>1</v>
      </c>
      <c r="BS531" t="str">
        <f>IFERROR(VLOOKUP(BA531&amp;BT531&amp;X531,game_rosters!U:W,3,FALSE),"")</f>
        <v>P100002</v>
      </c>
      <c r="BT531" t="str">
        <f t="shared" si="921"/>
        <v>Velodrome</v>
      </c>
    </row>
    <row r="532" spans="1:72" x14ac:dyDescent="0.2">
      <c r="A532" t="str">
        <f t="shared" si="896"/>
        <v/>
      </c>
      <c r="E532" s="4"/>
      <c r="F532" s="45"/>
      <c r="G532" s="4"/>
      <c r="H532" s="47"/>
      <c r="I532" s="26">
        <v>84</v>
      </c>
      <c r="J532" s="26" t="str">
        <f t="shared" si="925"/>
        <v/>
      </c>
      <c r="N532" t="str">
        <f t="shared" si="835"/>
        <v/>
      </c>
      <c r="Q532" t="str">
        <f t="shared" si="934"/>
        <v/>
      </c>
      <c r="S532">
        <f>IF(A532=1,MAX($S$2:$S531)+1,IF(OR($I532&lt;&gt;"",A532="x"),$S531,""))</f>
        <v>265</v>
      </c>
      <c r="T532" t="str">
        <f>IF(D532=1,MAX($T$2:$T531)+1,IF(S532=S531,$T531,IF(D532="x",T531,IF(D531="x","",""))))</f>
        <v/>
      </c>
      <c r="U532" t="str">
        <f>IF(B532=1,MAX($U$2:$U531)+1,IF(AND($T532&lt;&gt;"",$T532=$T531),$U531,IF(B532="x",U531,"")))</f>
        <v/>
      </c>
      <c r="V532" t="str">
        <f>IF(C532=1,MAX($V$2:$V531)+1,IF(AND($T532&lt;&gt;"",$T532=$T531),$U531,IF(C532="x",V531,"")))</f>
        <v/>
      </c>
      <c r="W532" t="str" cm="1">
        <f t="array" ref="W532">IFERROR(_xlfn._xlws.FILTER(game_rosters!AC:AC,(game_rosters!J:J=events!X532)*(K532&lt;&gt;"")),"")</f>
        <v/>
      </c>
      <c r="X532" cm="1">
        <f t="array" ref="X532">IF($I532&lt;&gt;"",$I532,INDEX($I$1:$I532,ROW()-COUNTIFS($T$1:$T532,"="&amp;$T532,$S$1:$S532,"&lt;"&amp;$S532)))</f>
        <v>84</v>
      </c>
      <c r="Y532" cm="1">
        <f t="array" ref="Y532">IFERROR(IF(_xlfn._xlws.FILTER(game_rosters!$J:$J,(game_rosters!$G:$G=events!$AM532)*(game_rosters!$J:$J=events!$X532))&gt;0,1,""),"")</f>
        <v>1</v>
      </c>
      <c r="Z532" s="6">
        <f t="shared" si="897"/>
        <v>1</v>
      </c>
      <c r="AA532">
        <f t="shared" si="898"/>
        <v>1265</v>
      </c>
      <c r="AB532" t="str">
        <f t="shared" si="899"/>
        <v/>
      </c>
      <c r="AC532">
        <f t="shared" si="900"/>
        <v>1265</v>
      </c>
      <c r="AD532" t="str">
        <f t="shared" si="901"/>
        <v>10</v>
      </c>
      <c r="AE532" t="str">
        <f t="shared" si="902"/>
        <v>06</v>
      </c>
      <c r="AF532" t="str">
        <f t="shared" si="903"/>
        <v/>
      </c>
      <c r="AG532" t="str">
        <f t="shared" si="904"/>
        <v/>
      </c>
      <c r="AH532" t="str">
        <f t="shared" si="842"/>
        <v>e</v>
      </c>
      <c r="AI532" t="str">
        <f t="shared" si="928"/>
        <v>o</v>
      </c>
      <c r="AJ532" t="str">
        <f t="shared" si="928"/>
        <v>o</v>
      </c>
      <c r="AK532" t="str">
        <f t="shared" si="844"/>
        <v/>
      </c>
      <c r="AL532" t="str">
        <f t="shared" si="845"/>
        <v/>
      </c>
      <c r="AM532" t="str">
        <f t="shared" si="905"/>
        <v>Away</v>
      </c>
      <c r="AN532" t="str">
        <f t="shared" si="846"/>
        <v>a</v>
      </c>
      <c r="AO532" t="str">
        <f t="shared" si="847"/>
        <v>d</v>
      </c>
      <c r="AP532" t="str">
        <f t="shared" si="848"/>
        <v>o</v>
      </c>
      <c r="AQ532" t="str">
        <f>IF(AM532&lt;&gt;"",AM532,IF($AC532=#REF!,#REF!,""))</f>
        <v>Away</v>
      </c>
      <c r="AR532" t="str">
        <f t="shared" si="849"/>
        <v>a</v>
      </c>
      <c r="AS532" t="str">
        <f t="shared" si="850"/>
        <v>Offensive</v>
      </c>
      <c r="AT532" t="str">
        <f t="shared" si="906"/>
        <v/>
      </c>
      <c r="AU532" t="str">
        <f t="shared" si="907"/>
        <v/>
      </c>
      <c r="AV532" t="str" cm="1">
        <f t="array" ref="AV532">IFERROR(IF(O532&lt;&gt;"",O532,IF(OR($S532="",$T532=""),"",IF(O532&lt;&gt;"",O532,IF($T532&lt;&gt;"",_xlfn._xlws.FILTER(O:O,($BT:$BT=$BT532)*($I:$I=$I532)*($T:$T=$T532)*($S:$S=_xlfn.MINIFS($S:$S,$T:$T,"="&amp;$T532)),"")))))&amp;"",IF(O532="","",""))&amp;""</f>
        <v/>
      </c>
      <c r="AW532" t="str" cm="1">
        <f t="array" ref="AW532">IFERROR(IF(P532&lt;&gt;"",P532,IF(OR($S532="",$T532=""),"",IF($T532&lt;&gt;"",_xlfn._xlws.FILTER(P:P,($BT:$BT=$BT532)*($I:$I=$I532)*($T:$T=$T532)*($S:$S=_xlfn.MINIFS($S:$S,$T:$T,"="&amp;$T532)),""))))&amp;"",IF(P532="","",""))&amp;""</f>
        <v/>
      </c>
      <c r="AX532" t="str" cm="1">
        <f t="array" ref="AX532">IFERROR(IF(Q532&lt;&gt;"",Q532,IF(OR($S532="",$T532=""),"",IF($T532&lt;&gt;"",_xlfn._xlws.FILTER(Q:Q,($BT:$BT=$BT532)*($I:$I=$I532)*($T:$T=$T532)*($S:$S=_xlfn.MINIFS($S:$S,$T:$T,"="&amp;$T532)),""))))&amp;"",IF(Q532="","",""))&amp;""</f>
        <v/>
      </c>
      <c r="AY532" t="str" cm="1">
        <f t="array" ref="AY532">IFERROR(IF(R532&lt;&gt;"",R532,IF(OR($S532="",$T532=""),"",IF($T532&lt;&gt;"",_xlfn._xlws.FILTER(R:R,($BT:$BT=$BT532)*($I:$I=$I532)*($T:$T=$T532)*($S:$S=_xlfn.MINIFS($S:$S,$T:$T,"="&amp;$T532)),""))))&amp;"",IF(R532="","",""))&amp;""</f>
        <v/>
      </c>
      <c r="AZ532" s="6">
        <f t="shared" si="908"/>
        <v>47</v>
      </c>
      <c r="BA532">
        <f t="shared" ref="BA532:BC532" si="939">BA531</f>
        <v>18991</v>
      </c>
      <c r="BB532" t="str">
        <f t="shared" si="939"/>
        <v>Triple J</v>
      </c>
      <c r="BC532" t="str">
        <f t="shared" si="939"/>
        <v>Velodrome</v>
      </c>
      <c r="BD532" t="str">
        <f t="shared" si="910"/>
        <v>Pass</v>
      </c>
      <c r="BE532" t="str">
        <f t="shared" si="911"/>
        <v>Pass_Completed</v>
      </c>
      <c r="BF532" t="str">
        <f t="shared" si="912"/>
        <v>Pass-Drop</v>
      </c>
      <c r="BG532" t="str">
        <f t="shared" si="894"/>
        <v>s</v>
      </c>
      <c r="BH532" cm="1">
        <f t="array" aca="1" ref="BH532" ca="1">IFERROR(_xlfn._xlws.FILTER(shifts!A:A,(shifts!B:B=events!Z532)*(shifts!AG:AG&gt;=events!BJ532)*(shifts!AH:AH&lt;=events!BK532)),BH531)</f>
        <v>18</v>
      </c>
      <c r="BI532" s="15">
        <f t="shared" si="913"/>
        <v>0</v>
      </c>
      <c r="BJ532">
        <f t="shared" si="914"/>
        <v>606</v>
      </c>
      <c r="BK532">
        <f t="shared" si="915"/>
        <v>606</v>
      </c>
      <c r="BL532" s="15">
        <f>SUMIFS(BI$2:BI532,K$2:K532,"=Intermission")+SUMIFS(BI$2:BI532,K$2:K532,"=Timeout")</f>
        <v>0</v>
      </c>
      <c r="BM532">
        <f t="shared" si="916"/>
        <v>0</v>
      </c>
      <c r="BN532" s="19">
        <f t="shared" si="917"/>
        <v>474</v>
      </c>
      <c r="BO532">
        <f t="shared" si="918"/>
        <v>469</v>
      </c>
      <c r="BP532" s="17">
        <f t="shared" si="919"/>
        <v>474</v>
      </c>
      <c r="BQ532" t="str">
        <f t="shared" si="920"/>
        <v>event_team_player_2</v>
      </c>
      <c r="BR532">
        <f>COUNTIFS(S$3:S532,"="&amp;S532,AH$3:AH532,"="&amp;AH532)</f>
        <v>2</v>
      </c>
      <c r="BS532" t="str">
        <f>IFERROR(VLOOKUP(BA532&amp;BT532&amp;X532,game_rosters!U:W,3,FALSE),"")</f>
        <v>P100198</v>
      </c>
      <c r="BT532" t="str">
        <f t="shared" si="921"/>
        <v>Velodrome</v>
      </c>
    </row>
    <row r="533" spans="1:72" x14ac:dyDescent="0.2">
      <c r="A533" t="str">
        <f t="shared" si="896"/>
        <v/>
      </c>
      <c r="E533" s="4"/>
      <c r="F533" s="45"/>
      <c r="G533" s="4"/>
      <c r="H533" s="47"/>
      <c r="I533" s="26">
        <v>69</v>
      </c>
      <c r="J533" s="26" t="str">
        <f t="shared" si="925"/>
        <v/>
      </c>
      <c r="N533" t="str">
        <f t="shared" ref="N533:N595" si="940">IF(K533="","",IF(K533="Goal","s",IF(AND(K533="Zone_Entry_Exit",OR(ISNUMBER(SEARCH("fail",L533)),ISNUMBER(SEARCH("FromExitClear",M533)),ISNUMBER(SEARCH("miss",M533)))),"u",IF(AND(K533="Zone_Entry_Exit",OR(NOT(ISNUMBER(SEARCH("fail",L533))),NOT(ISNUMBER(SEARCH("FromExitClear",M533))),NOT(ISNUMBER(SEARCH("miss",M533))))),"s",IF(AND(OR(K533="Shot",K533="Pass"),OR(ISNUMBER(SEARCH("complete",L533)),ISNUMBER(SEARCH("goal",L533)),ISNUMBER(SEARCH("OnNet",L533)))),"s",IF(L533="Turnover_Giveaway","u",IF(AND(OR(K533="Shot",K533="Pass"),OR(ISNUMBER(SEARCH("fail",L533)),NOT(ISNUMBER(SEARCH("complete",L533))),NOT(ISNUMBER(SEARCH("OnNet",L533))))),"u","")))))))</f>
        <v/>
      </c>
      <c r="O533" t="s">
        <v>567</v>
      </c>
      <c r="Q533" t="str">
        <f t="shared" si="934"/>
        <v/>
      </c>
      <c r="R533" s="26">
        <v>1</v>
      </c>
      <c r="S533">
        <f>IF(A533=1,MAX($S$2:$S532)+1,IF(OR($I533&lt;&gt;"",A533="x"),$S532,""))</f>
        <v>265</v>
      </c>
      <c r="T533" t="str">
        <f>IF(D533=1,MAX($T$2:$T532)+1,IF(S533=S532,$T532,IF(D533="x",T532,IF(D532="x","",""))))</f>
        <v/>
      </c>
      <c r="U533" t="str">
        <f>IF(B533=1,MAX($U$2:$U532)+1,IF(AND($T533&lt;&gt;"",$T533=$T532),$U532,IF(B533="x",U532,"")))</f>
        <v/>
      </c>
      <c r="V533" t="str">
        <f>IF(C533=1,MAX($V$2:$V532)+1,IF(AND($T533&lt;&gt;"",$T533=$T532),$U532,IF(C533="x",V532,"")))</f>
        <v/>
      </c>
      <c r="W533" t="str" cm="1">
        <f t="array" ref="W533">IFERROR(_xlfn._xlws.FILTER(game_rosters!AC:AC,(game_rosters!J:J=events!X533)*(K533&lt;&gt;"")),"")</f>
        <v/>
      </c>
      <c r="X533" cm="1">
        <f t="array" ref="X533">IF($I533&lt;&gt;"",$I533,INDEX($I$1:$I533,ROW()-COUNTIFS($T$1:$T533,"="&amp;$T533,$S$1:$S533,"&lt;"&amp;$S533)))</f>
        <v>69</v>
      </c>
      <c r="Y533" t="str" cm="1">
        <f t="array" ref="Y533">IFERROR(IF(_xlfn._xlws.FILTER(game_rosters!$J:$J,(game_rosters!$G:$G=events!$AM533)*(game_rosters!$J:$J=events!$X533))&gt;0,1,""),"")</f>
        <v/>
      </c>
      <c r="Z533" s="6">
        <f t="shared" si="897"/>
        <v>1</v>
      </c>
      <c r="AA533">
        <f t="shared" si="898"/>
        <v>1265</v>
      </c>
      <c r="AB533" t="str">
        <f t="shared" si="899"/>
        <v/>
      </c>
      <c r="AC533">
        <f t="shared" si="900"/>
        <v>1265</v>
      </c>
      <c r="AD533" t="str">
        <f t="shared" si="901"/>
        <v>10</v>
      </c>
      <c r="AE533" t="str">
        <f t="shared" si="902"/>
        <v>06</v>
      </c>
      <c r="AF533" t="str">
        <f t="shared" si="903"/>
        <v/>
      </c>
      <c r="AG533" t="str">
        <f t="shared" si="904"/>
        <v/>
      </c>
      <c r="AH533" t="str">
        <f t="shared" si="842"/>
        <v>o</v>
      </c>
      <c r="AI533" t="str">
        <f t="shared" si="928"/>
        <v>o</v>
      </c>
      <c r="AJ533" t="str">
        <f t="shared" si="928"/>
        <v>o</v>
      </c>
      <c r="AK533" t="str">
        <f t="shared" si="844"/>
        <v/>
      </c>
      <c r="AL533" t="str">
        <f t="shared" si="845"/>
        <v/>
      </c>
      <c r="AM533" t="str">
        <f t="shared" si="905"/>
        <v>Away</v>
      </c>
      <c r="AN533" t="str">
        <f t="shared" si="846"/>
        <v>a</v>
      </c>
      <c r="AO533" t="str">
        <f t="shared" si="847"/>
        <v>d</v>
      </c>
      <c r="AP533" t="str">
        <f t="shared" si="848"/>
        <v>o</v>
      </c>
      <c r="AQ533" t="str">
        <f>IF(AM533&lt;&gt;"",AM533,IF($AC533=#REF!,#REF!,""))</f>
        <v>Away</v>
      </c>
      <c r="AR533" t="str">
        <f t="shared" si="849"/>
        <v>a</v>
      </c>
      <c r="AS533" t="str">
        <f t="shared" si="850"/>
        <v>Defensive</v>
      </c>
      <c r="AT533" t="str">
        <f t="shared" si="906"/>
        <v/>
      </c>
      <c r="AU533" t="str">
        <f t="shared" si="907"/>
        <v/>
      </c>
      <c r="AV533" t="str" cm="1">
        <f t="array" ref="AV533">IFERROR(IF(O533&lt;&gt;"",O533,IF(OR($S533="",$T533=""),"",IF(O533&lt;&gt;"",O533,IF($T533&lt;&gt;"",_xlfn._xlws.FILTER(O:O,($BT:$BT=$BT533)*($I:$I=$I533)*($T:$T=$T533)*($S:$S=_xlfn.MINIFS($S:$S,$T:$T,"="&amp;$T533)),"")))))&amp;"",IF(O533="","",""))&amp;""</f>
        <v>StickCheck</v>
      </c>
      <c r="AW533" t="str" cm="1">
        <f t="array" ref="AW533">IFERROR(IF(P533&lt;&gt;"",P533,IF(OR($S533="",$T533=""),"",IF($T533&lt;&gt;"",_xlfn._xlws.FILTER(P:P,($BT:$BT=$BT533)*($I:$I=$I533)*($T:$T=$T533)*($S:$S=_xlfn.MINIFS($S:$S,$T:$T,"="&amp;$T533)),""))))&amp;"",IF(P533="","",""))&amp;""</f>
        <v/>
      </c>
      <c r="AX533" t="str" cm="1">
        <f t="array" ref="AX533">IFERROR(IF(Q533&lt;&gt;"",Q533,IF(OR($S533="",$T533=""),"",IF($T533&lt;&gt;"",_xlfn._xlws.FILTER(Q:Q,($BT:$BT=$BT533)*($I:$I=$I533)*($T:$T=$T533)*($S:$S=_xlfn.MINIFS($S:$S,$T:$T,"="&amp;$T533)),""))))&amp;"",IF(Q533="","",""))&amp;""</f>
        <v/>
      </c>
      <c r="AY533" t="str" cm="1">
        <f t="array" ref="AY533">IFERROR(IF(R533&lt;&gt;"",R533,IF(OR($S533="",$T533=""),"",IF($T533&lt;&gt;"",_xlfn._xlws.FILTER(R:R,($BT:$BT=$BT533)*($I:$I=$I533)*($T:$T=$T533)*($S:$S=_xlfn.MINIFS($S:$S,$T:$T,"="&amp;$T533)),""))))&amp;"",IF(R533="","",""))&amp;""</f>
        <v>1</v>
      </c>
      <c r="AZ533" s="6">
        <f t="shared" si="908"/>
        <v>47</v>
      </c>
      <c r="BA533">
        <f t="shared" ref="BA533:BC533" si="941">BA532</f>
        <v>18991</v>
      </c>
      <c r="BB533" t="str">
        <f t="shared" si="941"/>
        <v>Triple J</v>
      </c>
      <c r="BC533" t="str">
        <f t="shared" si="941"/>
        <v>Velodrome</v>
      </c>
      <c r="BD533" t="str">
        <f t="shared" si="910"/>
        <v>Pass</v>
      </c>
      <c r="BE533" t="str">
        <f t="shared" si="911"/>
        <v>Pass_Completed</v>
      </c>
      <c r="BF533" t="str">
        <f t="shared" si="912"/>
        <v>Pass-Drop</v>
      </c>
      <c r="BG533" t="str">
        <f t="shared" si="894"/>
        <v>s</v>
      </c>
      <c r="BH533" cm="1">
        <f t="array" aca="1" ref="BH533" ca="1">IFERROR(_xlfn._xlws.FILTER(shifts!A:A,(shifts!B:B=events!Z533)*(shifts!AG:AG&gt;=events!BJ533)*(shifts!AH:AH&lt;=events!BK533)),BH532)</f>
        <v>18</v>
      </c>
      <c r="BI533" s="15">
        <f t="shared" si="913"/>
        <v>0</v>
      </c>
      <c r="BJ533">
        <f t="shared" si="914"/>
        <v>606</v>
      </c>
      <c r="BK533">
        <f t="shared" si="915"/>
        <v>606</v>
      </c>
      <c r="BL533" s="15">
        <f>SUMIFS(BI$2:BI533,K$2:K533,"=Intermission")+SUMIFS(BI$2:BI533,K$2:K533,"=Timeout")</f>
        <v>0</v>
      </c>
      <c r="BM533">
        <f t="shared" si="916"/>
        <v>0</v>
      </c>
      <c r="BN533" s="19">
        <f t="shared" si="917"/>
        <v>474</v>
      </c>
      <c r="BO533">
        <f t="shared" si="918"/>
        <v>469</v>
      </c>
      <c r="BP533" s="17">
        <f t="shared" si="919"/>
        <v>474</v>
      </c>
      <c r="BQ533" t="str">
        <f t="shared" si="920"/>
        <v>opp_team_player_1</v>
      </c>
      <c r="BR533">
        <f>COUNTIFS(S$3:S533,"="&amp;S533,AH$3:AH533,"="&amp;AH533)</f>
        <v>1</v>
      </c>
      <c r="BS533" t="str">
        <f>IFERROR(VLOOKUP(BA533&amp;BT533&amp;X533,game_rosters!U:W,3,FALSE),"")</f>
        <v>P100014</v>
      </c>
      <c r="BT533" t="str">
        <f t="shared" si="921"/>
        <v>Triple J</v>
      </c>
    </row>
    <row r="534" spans="1:72" x14ac:dyDescent="0.2">
      <c r="A534">
        <f t="shared" si="896"/>
        <v>1</v>
      </c>
      <c r="E534" s="4"/>
      <c r="F534" s="45"/>
      <c r="G534" s="4"/>
      <c r="H534" s="47" t="s">
        <v>1069</v>
      </c>
      <c r="I534" s="26">
        <v>84</v>
      </c>
      <c r="J534" s="26" t="s">
        <v>368</v>
      </c>
      <c r="K534" t="s">
        <v>7</v>
      </c>
      <c r="L534" t="s">
        <v>172</v>
      </c>
      <c r="M534" t="s">
        <v>68</v>
      </c>
      <c r="N534" t="str">
        <f t="shared" si="940"/>
        <v>s</v>
      </c>
      <c r="Q534" t="str">
        <f t="shared" si="934"/>
        <v/>
      </c>
      <c r="R534" s="26">
        <v>1</v>
      </c>
      <c r="S534">
        <f>IF(A534=1,MAX($S$2:$S533)+1,IF(OR($I534&lt;&gt;"",A534="x"),$S533,""))</f>
        <v>266</v>
      </c>
      <c r="T534" t="str">
        <f>IF(D534=1,MAX($T$2:$T533)+1,IF(S534=S533,$T533,IF(D534="x",T533,IF(D533="x","",""))))</f>
        <v/>
      </c>
      <c r="U534" t="str">
        <f>IF(B534=1,MAX($U$2:$U533)+1,IF(AND($T534&lt;&gt;"",$T534=$T533),$U533,IF(B534="x",U533,"")))</f>
        <v/>
      </c>
      <c r="V534" t="str">
        <f>IF(C534=1,MAX($V$2:$V533)+1,IF(AND($T534&lt;&gt;"",$T534=$T533),$U533,IF(C534="x",V533,"")))</f>
        <v/>
      </c>
      <c r="W534" t="str" cm="1">
        <f t="array" ref="W534">IFERROR(_xlfn._xlws.FILTER(game_rosters!AC:AC,(game_rosters!J:J=events!X534)*(K534&lt;&gt;"")),"")</f>
        <v>a</v>
      </c>
      <c r="X534" cm="1">
        <f t="array" ref="X534">IF($I534&lt;&gt;"",$I534,INDEX($I$1:$I534,ROW()-COUNTIFS($T$1:$T534,"="&amp;$T534,$S$1:$S534,"&lt;"&amp;$S534)))</f>
        <v>84</v>
      </c>
      <c r="Y534" cm="1">
        <f t="array" ref="Y534">IFERROR(IF(_xlfn._xlws.FILTER(game_rosters!$J:$J,(game_rosters!$G:$G=events!$AM534)*(game_rosters!$J:$J=events!$X534))&gt;0,1,""),"")</f>
        <v>1</v>
      </c>
      <c r="Z534" s="6">
        <f t="shared" si="897"/>
        <v>1</v>
      </c>
      <c r="AA534">
        <f t="shared" si="898"/>
        <v>1266</v>
      </c>
      <c r="AB534" t="str">
        <f t="shared" si="899"/>
        <v/>
      </c>
      <c r="AC534">
        <f t="shared" si="900"/>
        <v>1266</v>
      </c>
      <c r="AD534" t="str">
        <f t="shared" si="901"/>
        <v>10</v>
      </c>
      <c r="AE534" t="str">
        <f t="shared" si="902"/>
        <v>06</v>
      </c>
      <c r="AF534" t="str">
        <f t="shared" si="903"/>
        <v>10</v>
      </c>
      <c r="AG534" t="str">
        <f t="shared" si="904"/>
        <v>05</v>
      </c>
      <c r="AH534" t="str">
        <f t="shared" si="842"/>
        <v>e</v>
      </c>
      <c r="AI534" t="str">
        <f t="shared" si="928"/>
        <v>o</v>
      </c>
      <c r="AJ534" t="str">
        <f t="shared" si="928"/>
        <v>o</v>
      </c>
      <c r="AK534" t="str">
        <f t="shared" si="844"/>
        <v>d</v>
      </c>
      <c r="AL534" t="str">
        <f t="shared" si="845"/>
        <v>o</v>
      </c>
      <c r="AM534" t="str">
        <f t="shared" si="905"/>
        <v>Away</v>
      </c>
      <c r="AN534" t="str">
        <f t="shared" si="846"/>
        <v>a</v>
      </c>
      <c r="AO534" t="str">
        <f t="shared" si="847"/>
        <v>d</v>
      </c>
      <c r="AP534" t="str">
        <f t="shared" si="848"/>
        <v>o</v>
      </c>
      <c r="AQ534" t="str">
        <f>IF(AM534&lt;&gt;"",AM534,IF($AC534=#REF!,#REF!,""))</f>
        <v>Away</v>
      </c>
      <c r="AR534" t="str">
        <f t="shared" si="849"/>
        <v>a</v>
      </c>
      <c r="AS534" t="str">
        <f t="shared" si="850"/>
        <v>Offensive</v>
      </c>
      <c r="AT534" t="str">
        <f t="shared" si="906"/>
        <v/>
      </c>
      <c r="AU534" t="str">
        <f t="shared" si="907"/>
        <v/>
      </c>
      <c r="AV534" t="str" cm="1">
        <f t="array" ref="AV534">IFERROR(IF(O534&lt;&gt;"",O534,IF(OR($S534="",$T534=""),"",IF(O534&lt;&gt;"",O534,IF($T534&lt;&gt;"",_xlfn._xlws.FILTER(O:O,($BT:$BT=$BT534)*($I:$I=$I534)*($T:$T=$T534)*($S:$S=_xlfn.MINIFS($S:$S,$T:$T,"="&amp;$T534)),"")))))&amp;"",IF(O534="","",""))&amp;""</f>
        <v/>
      </c>
      <c r="AW534" t="str" cm="1">
        <f t="array" ref="AW534">IFERROR(IF(P534&lt;&gt;"",P534,IF(OR($S534="",$T534=""),"",IF($T534&lt;&gt;"",_xlfn._xlws.FILTER(P:P,($BT:$BT=$BT534)*($I:$I=$I534)*($T:$T=$T534)*($S:$S=_xlfn.MINIFS($S:$S,$T:$T,"="&amp;$T534)),""))))&amp;"",IF(P534="","",""))&amp;""</f>
        <v/>
      </c>
      <c r="AX534" t="str" cm="1">
        <f t="array" ref="AX534">IFERROR(IF(Q534&lt;&gt;"",Q534,IF(OR($S534="",$T534=""),"",IF($T534&lt;&gt;"",_xlfn._xlws.FILTER(Q:Q,($BT:$BT=$BT534)*($I:$I=$I534)*($T:$T=$T534)*($S:$S=_xlfn.MINIFS($S:$S,$T:$T,"="&amp;$T534)),""))))&amp;"",IF(Q534="","",""))&amp;""</f>
        <v/>
      </c>
      <c r="AY534" t="str" cm="1">
        <f t="array" ref="AY534">IFERROR(IF(R534&lt;&gt;"",R534,IF(OR($S534="",$T534=""),"",IF($T534&lt;&gt;"",_xlfn._xlws.FILTER(R:R,($BT:$BT=$BT534)*($I:$I=$I534)*($T:$T=$T534)*($S:$S=_xlfn.MINIFS($S:$S,$T:$T,"="&amp;$T534)),""))))&amp;"",IF(R534="","",""))&amp;""</f>
        <v>1</v>
      </c>
      <c r="AZ534" s="6">
        <f t="shared" si="908"/>
        <v>47</v>
      </c>
      <c r="BA534">
        <f t="shared" ref="BA534:BC534" si="942">BA533</f>
        <v>18991</v>
      </c>
      <c r="BB534" t="str">
        <f t="shared" si="942"/>
        <v>Triple J</v>
      </c>
      <c r="BC534" t="str">
        <f t="shared" si="942"/>
        <v>Velodrome</v>
      </c>
      <c r="BD534" t="str">
        <f t="shared" si="910"/>
        <v>Pass</v>
      </c>
      <c r="BE534" t="str">
        <f t="shared" si="911"/>
        <v>Pass_Completed</v>
      </c>
      <c r="BF534" t="str">
        <f t="shared" si="912"/>
        <v>Pass-Forehand</v>
      </c>
      <c r="BG534" t="str">
        <f t="shared" si="894"/>
        <v>s</v>
      </c>
      <c r="BH534" cm="1">
        <f t="array" aca="1" ref="BH534" ca="1">IFERROR(_xlfn._xlws.FILTER(shifts!A:A,(shifts!B:B=events!Z534)*(shifts!AG:AG&gt;=events!BJ534)*(shifts!AH:AH&lt;=events!BK534)),BH533)</f>
        <v>18</v>
      </c>
      <c r="BI534" s="15">
        <f t="shared" si="913"/>
        <v>1</v>
      </c>
      <c r="BJ534">
        <f t="shared" si="914"/>
        <v>606</v>
      </c>
      <c r="BK534">
        <f t="shared" si="915"/>
        <v>605</v>
      </c>
      <c r="BL534" s="15">
        <f>SUMIFS(BI$2:BI534,K$2:K534,"=Intermission")+SUMIFS(BI$2:BI534,K$2:K534,"=Timeout")</f>
        <v>0</v>
      </c>
      <c r="BM534">
        <f t="shared" si="916"/>
        <v>0</v>
      </c>
      <c r="BN534" s="19">
        <f t="shared" si="917"/>
        <v>474</v>
      </c>
      <c r="BO534">
        <f t="shared" si="918"/>
        <v>469</v>
      </c>
      <c r="BP534" s="17">
        <f t="shared" si="919"/>
        <v>475</v>
      </c>
      <c r="BQ534" t="str">
        <f t="shared" si="920"/>
        <v>event_team_player_1</v>
      </c>
      <c r="BR534">
        <f>COUNTIFS(S$3:S534,"="&amp;S534,AH$3:AH534,"="&amp;AH534)</f>
        <v>1</v>
      </c>
      <c r="BS534" t="str">
        <f>IFERROR(VLOOKUP(BA534&amp;BT534&amp;X534,game_rosters!U:W,3,FALSE),"")</f>
        <v>P100198</v>
      </c>
      <c r="BT534" t="str">
        <f t="shared" si="921"/>
        <v>Velodrome</v>
      </c>
    </row>
    <row r="535" spans="1:72" x14ac:dyDescent="0.2">
      <c r="A535" t="str">
        <f t="shared" si="896"/>
        <v/>
      </c>
      <c r="E535" s="4"/>
      <c r="F535" s="45"/>
      <c r="G535" s="4"/>
      <c r="H535" s="47"/>
      <c r="I535" s="26">
        <v>70</v>
      </c>
      <c r="J535" s="26" t="str">
        <f t="shared" si="925"/>
        <v/>
      </c>
      <c r="N535" t="str">
        <f t="shared" si="940"/>
        <v/>
      </c>
      <c r="Q535" t="str">
        <f t="shared" si="934"/>
        <v/>
      </c>
      <c r="S535">
        <f>IF(A535=1,MAX($S$2:$S534)+1,IF(OR($I535&lt;&gt;"",A535="x"),$S534,""))</f>
        <v>266</v>
      </c>
      <c r="T535" t="str">
        <f>IF(D535=1,MAX($T$2:$T534)+1,IF(S535=S534,$T534,IF(D535="x",T534,IF(D534="x","",""))))</f>
        <v/>
      </c>
      <c r="U535" t="str">
        <f>IF(B535=1,MAX($U$2:$U534)+1,IF(AND($T535&lt;&gt;"",$T535=$T534),$U534,IF(B535="x",U534,"")))</f>
        <v/>
      </c>
      <c r="V535" t="str">
        <f>IF(C535=1,MAX($V$2:$V534)+1,IF(AND($T535&lt;&gt;"",$T535=$T534),$U534,IF(C535="x",V534,"")))</f>
        <v/>
      </c>
      <c r="W535" t="str" cm="1">
        <f t="array" ref="W535">IFERROR(_xlfn._xlws.FILTER(game_rosters!AC:AC,(game_rosters!J:J=events!X535)*(K535&lt;&gt;"")),"")</f>
        <v/>
      </c>
      <c r="X535" cm="1">
        <f t="array" ref="X535">IF($I535&lt;&gt;"",$I535,INDEX($I$1:$I535,ROW()-COUNTIFS($T$1:$T535,"="&amp;$T535,$S$1:$S535,"&lt;"&amp;$S535)))</f>
        <v>70</v>
      </c>
      <c r="Y535" cm="1">
        <f t="array" ref="Y535">IFERROR(IF(_xlfn._xlws.FILTER(game_rosters!$J:$J,(game_rosters!$G:$G=events!$AM535)*(game_rosters!$J:$J=events!$X535))&gt;0,1,""),"")</f>
        <v>1</v>
      </c>
      <c r="Z535" s="6">
        <f t="shared" si="897"/>
        <v>1</v>
      </c>
      <c r="AA535">
        <f t="shared" si="898"/>
        <v>1266</v>
      </c>
      <c r="AB535" t="str">
        <f t="shared" si="899"/>
        <v/>
      </c>
      <c r="AC535">
        <f t="shared" si="900"/>
        <v>1266</v>
      </c>
      <c r="AD535" t="str">
        <f t="shared" si="901"/>
        <v>10</v>
      </c>
      <c r="AE535" t="str">
        <f t="shared" si="902"/>
        <v>06</v>
      </c>
      <c r="AF535" t="str">
        <f t="shared" si="903"/>
        <v>10</v>
      </c>
      <c r="AG535" t="str">
        <f t="shared" si="904"/>
        <v>05</v>
      </c>
      <c r="AH535" t="str">
        <f t="shared" si="842"/>
        <v>e</v>
      </c>
      <c r="AI535" t="str">
        <f t="shared" si="928"/>
        <v>o</v>
      </c>
      <c r="AJ535" t="str">
        <f t="shared" si="928"/>
        <v>o</v>
      </c>
      <c r="AK535" t="str">
        <f t="shared" si="844"/>
        <v/>
      </c>
      <c r="AL535" t="str">
        <f t="shared" si="845"/>
        <v/>
      </c>
      <c r="AM535" t="str">
        <f t="shared" si="905"/>
        <v>Away</v>
      </c>
      <c r="AN535" t="str">
        <f t="shared" si="846"/>
        <v>a</v>
      </c>
      <c r="AO535" t="str">
        <f t="shared" si="847"/>
        <v>d</v>
      </c>
      <c r="AP535" t="str">
        <f t="shared" si="848"/>
        <v>o</v>
      </c>
      <c r="AQ535" t="str">
        <f>IF(AM535&lt;&gt;"",AM535,IF($AC535=#REF!,#REF!,""))</f>
        <v>Away</v>
      </c>
      <c r="AR535" t="str">
        <f t="shared" si="849"/>
        <v>a</v>
      </c>
      <c r="AS535" t="str">
        <f t="shared" si="850"/>
        <v>Offensive</v>
      </c>
      <c r="AT535" t="str">
        <f t="shared" si="906"/>
        <v/>
      </c>
      <c r="AU535" t="str">
        <f t="shared" si="907"/>
        <v/>
      </c>
      <c r="AV535" t="str" cm="1">
        <f t="array" ref="AV535">IFERROR(IF(O535&lt;&gt;"",O535,IF(OR($S535="",$T535=""),"",IF(O535&lt;&gt;"",O535,IF($T535&lt;&gt;"",_xlfn._xlws.FILTER(O:O,($BT:$BT=$BT535)*($I:$I=$I535)*($T:$T=$T535)*($S:$S=_xlfn.MINIFS($S:$S,$T:$T,"="&amp;$T535)),"")))))&amp;"",IF(O535="","",""))&amp;""</f>
        <v/>
      </c>
      <c r="AW535" t="str" cm="1">
        <f t="array" ref="AW535">IFERROR(IF(P535&lt;&gt;"",P535,IF(OR($S535="",$T535=""),"",IF($T535&lt;&gt;"",_xlfn._xlws.FILTER(P:P,($BT:$BT=$BT535)*($I:$I=$I535)*($T:$T=$T535)*($S:$S=_xlfn.MINIFS($S:$S,$T:$T,"="&amp;$T535)),""))))&amp;"",IF(P535="","",""))&amp;""</f>
        <v/>
      </c>
      <c r="AX535" t="str" cm="1">
        <f t="array" ref="AX535">IFERROR(IF(Q535&lt;&gt;"",Q535,IF(OR($S535="",$T535=""),"",IF($T535&lt;&gt;"",_xlfn._xlws.FILTER(Q:Q,($BT:$BT=$BT535)*($I:$I=$I535)*($T:$T=$T535)*($S:$S=_xlfn.MINIFS($S:$S,$T:$T,"="&amp;$T535)),""))))&amp;"",IF(Q535="","",""))&amp;""</f>
        <v/>
      </c>
      <c r="AY535" t="str" cm="1">
        <f t="array" ref="AY535">IFERROR(IF(R535&lt;&gt;"",R535,IF(OR($S535="",$T535=""),"",IF($T535&lt;&gt;"",_xlfn._xlws.FILTER(R:R,($BT:$BT=$BT535)*($I:$I=$I535)*($T:$T=$T535)*($S:$S=_xlfn.MINIFS($S:$S,$T:$T,"="&amp;$T535)),""))))&amp;"",IF(R535="","",""))&amp;""</f>
        <v/>
      </c>
      <c r="AZ535" s="6">
        <f t="shared" si="908"/>
        <v>47</v>
      </c>
      <c r="BA535">
        <f t="shared" ref="BA535:BC535" si="943">BA534</f>
        <v>18991</v>
      </c>
      <c r="BB535" t="str">
        <f t="shared" si="943"/>
        <v>Triple J</v>
      </c>
      <c r="BC535" t="str">
        <f t="shared" si="943"/>
        <v>Velodrome</v>
      </c>
      <c r="BD535" t="str">
        <f t="shared" si="910"/>
        <v>Pass</v>
      </c>
      <c r="BE535" t="str">
        <f t="shared" si="911"/>
        <v>Pass_Completed</v>
      </c>
      <c r="BF535" t="str">
        <f t="shared" si="912"/>
        <v>Pass-Forehand</v>
      </c>
      <c r="BG535" t="str">
        <f t="shared" si="894"/>
        <v>s</v>
      </c>
      <c r="BH535" cm="1">
        <f t="array" aca="1" ref="BH535" ca="1">IFERROR(_xlfn._xlws.FILTER(shifts!A:A,(shifts!B:B=events!Z535)*(shifts!AG:AG&gt;=events!BJ535)*(shifts!AH:AH&lt;=events!BK535)),BH534)</f>
        <v>18</v>
      </c>
      <c r="BI535" s="15">
        <f t="shared" si="913"/>
        <v>1</v>
      </c>
      <c r="BJ535">
        <f t="shared" si="914"/>
        <v>606</v>
      </c>
      <c r="BK535">
        <f t="shared" si="915"/>
        <v>605</v>
      </c>
      <c r="BL535" s="15">
        <f>SUMIFS(BI$2:BI535,K$2:K535,"=Intermission")+SUMIFS(BI$2:BI535,K$2:K535,"=Timeout")</f>
        <v>0</v>
      </c>
      <c r="BM535">
        <f t="shared" si="916"/>
        <v>0</v>
      </c>
      <c r="BN535" s="19">
        <f t="shared" si="917"/>
        <v>474</v>
      </c>
      <c r="BO535">
        <f t="shared" si="918"/>
        <v>469</v>
      </c>
      <c r="BP535" s="17">
        <f t="shared" si="919"/>
        <v>475</v>
      </c>
      <c r="BQ535" t="str">
        <f t="shared" si="920"/>
        <v>event_team_player_2</v>
      </c>
      <c r="BR535">
        <f>COUNTIFS(S$3:S535,"="&amp;S535,AH$3:AH535,"="&amp;AH535)</f>
        <v>2</v>
      </c>
      <c r="BS535" t="str">
        <f>IFERROR(VLOOKUP(BA535&amp;BT535&amp;X535,game_rosters!U:W,3,FALSE),"")</f>
        <v>P100001</v>
      </c>
      <c r="BT535" t="str">
        <f t="shared" si="921"/>
        <v>Velodrome</v>
      </c>
    </row>
    <row r="536" spans="1:72" x14ac:dyDescent="0.2">
      <c r="A536" t="str">
        <f t="shared" si="896"/>
        <v/>
      </c>
      <c r="E536" s="4"/>
      <c r="F536" s="45"/>
      <c r="G536" s="4"/>
      <c r="H536" s="47"/>
      <c r="I536" s="26">
        <v>69</v>
      </c>
      <c r="J536" s="26" t="str">
        <f t="shared" si="925"/>
        <v/>
      </c>
      <c r="N536" t="str">
        <f t="shared" si="940"/>
        <v/>
      </c>
      <c r="Q536" t="str">
        <f t="shared" si="934"/>
        <v/>
      </c>
      <c r="R536" s="26">
        <v>1</v>
      </c>
      <c r="S536">
        <f>IF(A536=1,MAX($S$2:$S535)+1,IF(OR($I536&lt;&gt;"",A536="x"),$S535,""))</f>
        <v>266</v>
      </c>
      <c r="T536" t="str">
        <f>IF(D536=1,MAX($T$2:$T535)+1,IF(S536=S535,$T535,IF(D536="x",T535,IF(D535="x","",""))))</f>
        <v/>
      </c>
      <c r="U536" t="str">
        <f>IF(B536=1,MAX($U$2:$U535)+1,IF(AND($T536&lt;&gt;"",$T536=$T535),$U535,IF(B536="x",U535,"")))</f>
        <v/>
      </c>
      <c r="V536" t="str">
        <f>IF(C536=1,MAX($V$2:$V535)+1,IF(AND($T536&lt;&gt;"",$T536=$T535),$U535,IF(C536="x",V535,"")))</f>
        <v/>
      </c>
      <c r="W536" t="str" cm="1">
        <f t="array" ref="W536">IFERROR(_xlfn._xlws.FILTER(game_rosters!AC:AC,(game_rosters!J:J=events!X536)*(K536&lt;&gt;"")),"")</f>
        <v/>
      </c>
      <c r="X536" cm="1">
        <f t="array" ref="X536">IF($I536&lt;&gt;"",$I536,INDEX($I$1:$I536,ROW()-COUNTIFS($T$1:$T536,"="&amp;$T536,$S$1:$S536,"&lt;"&amp;$S536)))</f>
        <v>69</v>
      </c>
      <c r="Y536" t="str" cm="1">
        <f t="array" ref="Y536">IFERROR(IF(_xlfn._xlws.FILTER(game_rosters!$J:$J,(game_rosters!$G:$G=events!$AM536)*(game_rosters!$J:$J=events!$X536))&gt;0,1,""),"")</f>
        <v/>
      </c>
      <c r="Z536" s="6">
        <f t="shared" si="897"/>
        <v>1</v>
      </c>
      <c r="AA536">
        <f t="shared" si="898"/>
        <v>1266</v>
      </c>
      <c r="AB536" t="str">
        <f t="shared" si="899"/>
        <v/>
      </c>
      <c r="AC536">
        <f t="shared" si="900"/>
        <v>1266</v>
      </c>
      <c r="AD536" t="str">
        <f t="shared" si="901"/>
        <v>10</v>
      </c>
      <c r="AE536" t="str">
        <f t="shared" si="902"/>
        <v>06</v>
      </c>
      <c r="AF536" t="str">
        <f t="shared" si="903"/>
        <v>10</v>
      </c>
      <c r="AG536" t="str">
        <f t="shared" si="904"/>
        <v>05</v>
      </c>
      <c r="AH536" t="str">
        <f t="shared" si="842"/>
        <v>o</v>
      </c>
      <c r="AI536" t="str">
        <f t="shared" si="928"/>
        <v>o</v>
      </c>
      <c r="AJ536" t="str">
        <f t="shared" si="928"/>
        <v>o</v>
      </c>
      <c r="AK536" t="str">
        <f t="shared" si="844"/>
        <v/>
      </c>
      <c r="AL536" t="str">
        <f t="shared" si="845"/>
        <v/>
      </c>
      <c r="AM536" t="str">
        <f t="shared" si="905"/>
        <v>Away</v>
      </c>
      <c r="AN536" t="str">
        <f t="shared" si="846"/>
        <v>a</v>
      </c>
      <c r="AO536" t="str">
        <f t="shared" si="847"/>
        <v>d</v>
      </c>
      <c r="AP536" t="str">
        <f t="shared" si="848"/>
        <v>o</v>
      </c>
      <c r="AQ536" t="str">
        <f>IF(AM536&lt;&gt;"",AM536,IF($AC536=#REF!,#REF!,""))</f>
        <v>Away</v>
      </c>
      <c r="AR536" t="str">
        <f t="shared" si="849"/>
        <v>a</v>
      </c>
      <c r="AS536" t="str">
        <f t="shared" si="850"/>
        <v>Defensive</v>
      </c>
      <c r="AT536" t="str">
        <f t="shared" si="906"/>
        <v/>
      </c>
      <c r="AU536" t="str">
        <f t="shared" si="907"/>
        <v/>
      </c>
      <c r="AV536" t="str" cm="1">
        <f t="array" ref="AV536">IFERROR(IF(O536&lt;&gt;"",O536,IF(OR($S536="",$T536=""),"",IF(O536&lt;&gt;"",O536,IF($T536&lt;&gt;"",_xlfn._xlws.FILTER(O:O,($BT:$BT=$BT536)*($I:$I=$I536)*($T:$T=$T536)*($S:$S=_xlfn.MINIFS($S:$S,$T:$T,"="&amp;$T536)),"")))))&amp;"",IF(O536="","",""))&amp;""</f>
        <v/>
      </c>
      <c r="AW536" t="str" cm="1">
        <f t="array" ref="AW536">IFERROR(IF(P536&lt;&gt;"",P536,IF(OR($S536="",$T536=""),"",IF($T536&lt;&gt;"",_xlfn._xlws.FILTER(P:P,($BT:$BT=$BT536)*($I:$I=$I536)*($T:$T=$T536)*($S:$S=_xlfn.MINIFS($S:$S,$T:$T,"="&amp;$T536)),""))))&amp;"",IF(P536="","",""))&amp;""</f>
        <v/>
      </c>
      <c r="AX536" t="str" cm="1">
        <f t="array" ref="AX536">IFERROR(IF(Q536&lt;&gt;"",Q536,IF(OR($S536="",$T536=""),"",IF($T536&lt;&gt;"",_xlfn._xlws.FILTER(Q:Q,($BT:$BT=$BT536)*($I:$I=$I536)*($T:$T=$T536)*($S:$S=_xlfn.MINIFS($S:$S,$T:$T,"="&amp;$T536)),""))))&amp;"",IF(Q536="","",""))&amp;""</f>
        <v/>
      </c>
      <c r="AY536" t="str" cm="1">
        <f t="array" ref="AY536">IFERROR(IF(R536&lt;&gt;"",R536,IF(OR($S536="",$T536=""),"",IF($T536&lt;&gt;"",_xlfn._xlws.FILTER(R:R,($BT:$BT=$BT536)*($I:$I=$I536)*($T:$T=$T536)*($S:$S=_xlfn.MINIFS($S:$S,$T:$T,"="&amp;$T536)),""))))&amp;"",IF(R536="","",""))&amp;""</f>
        <v>1</v>
      </c>
      <c r="AZ536" s="6">
        <f t="shared" si="908"/>
        <v>47</v>
      </c>
      <c r="BA536">
        <f t="shared" ref="BA536:BC536" si="944">BA535</f>
        <v>18991</v>
      </c>
      <c r="BB536" t="str">
        <f t="shared" si="944"/>
        <v>Triple J</v>
      </c>
      <c r="BC536" t="str">
        <f t="shared" si="944"/>
        <v>Velodrome</v>
      </c>
      <c r="BD536" t="str">
        <f t="shared" si="910"/>
        <v>Pass</v>
      </c>
      <c r="BE536" t="str">
        <f t="shared" si="911"/>
        <v>Pass_Completed</v>
      </c>
      <c r="BF536" t="str">
        <f t="shared" si="912"/>
        <v>Pass-Forehand</v>
      </c>
      <c r="BG536" t="str">
        <f t="shared" si="894"/>
        <v>s</v>
      </c>
      <c r="BH536" cm="1">
        <f t="array" aca="1" ref="BH536" ca="1">IFERROR(_xlfn._xlws.FILTER(shifts!A:A,(shifts!B:B=events!Z536)*(shifts!AG:AG&gt;=events!BJ536)*(shifts!AH:AH&lt;=events!BK536)),BH535)</f>
        <v>18</v>
      </c>
      <c r="BI536" s="15">
        <f t="shared" si="913"/>
        <v>1</v>
      </c>
      <c r="BJ536">
        <f t="shared" si="914"/>
        <v>606</v>
      </c>
      <c r="BK536">
        <f t="shared" si="915"/>
        <v>605</v>
      </c>
      <c r="BL536" s="15">
        <f>SUMIFS(BI$2:BI536,K$2:K536,"=Intermission")+SUMIFS(BI$2:BI536,K$2:K536,"=Timeout")</f>
        <v>0</v>
      </c>
      <c r="BM536">
        <f t="shared" si="916"/>
        <v>0</v>
      </c>
      <c r="BN536" s="19">
        <f t="shared" si="917"/>
        <v>474</v>
      </c>
      <c r="BO536">
        <f t="shared" si="918"/>
        <v>469</v>
      </c>
      <c r="BP536" s="17">
        <f t="shared" si="919"/>
        <v>475</v>
      </c>
      <c r="BQ536" t="str">
        <f t="shared" si="920"/>
        <v>opp_team_player_1</v>
      </c>
      <c r="BR536">
        <f>COUNTIFS(S$3:S536,"="&amp;S536,AH$3:AH536,"="&amp;AH536)</f>
        <v>1</v>
      </c>
      <c r="BS536" t="str">
        <f>IFERROR(VLOOKUP(BA536&amp;BT536&amp;X536,game_rosters!U:W,3,FALSE),"")</f>
        <v>P100014</v>
      </c>
      <c r="BT536" t="str">
        <f t="shared" si="921"/>
        <v>Triple J</v>
      </c>
    </row>
    <row r="537" spans="1:72" x14ac:dyDescent="0.2">
      <c r="A537">
        <f t="shared" si="896"/>
        <v>1</v>
      </c>
      <c r="E537" s="4"/>
      <c r="F537" s="45"/>
      <c r="G537" s="4"/>
      <c r="H537" s="47" t="s">
        <v>1057</v>
      </c>
      <c r="I537" s="26">
        <v>70</v>
      </c>
      <c r="J537" s="26" t="s">
        <v>368</v>
      </c>
      <c r="K537" t="s">
        <v>13</v>
      </c>
      <c r="N537" t="str">
        <f t="shared" si="940"/>
        <v/>
      </c>
      <c r="Q537" t="str">
        <f t="shared" si="934"/>
        <v/>
      </c>
      <c r="S537">
        <f>IF(A537=1,MAX($S$2:$S536)+1,IF(OR($I537&lt;&gt;"",A537="x"),$S536,""))</f>
        <v>267</v>
      </c>
      <c r="T537" t="str">
        <f>IF(D537=1,MAX($T$2:$T536)+1,IF(S537=S536,$T536,IF(D537="x",T536,IF(D536="x","",""))))</f>
        <v/>
      </c>
      <c r="U537" t="str">
        <f>IF(B537=1,MAX($U$2:$U536)+1,IF(AND($T537&lt;&gt;"",$T537=$T536),$U536,IF(B537="x",U536,"")))</f>
        <v/>
      </c>
      <c r="V537" t="str">
        <f>IF(C537=1,MAX($V$2:$V536)+1,IF(AND($T537&lt;&gt;"",$T537=$T536),$U536,IF(C537="x",V536,"")))</f>
        <v/>
      </c>
      <c r="W537" t="str" cm="1">
        <f t="array" ref="W537">IFERROR(_xlfn._xlws.FILTER(game_rosters!AC:AC,(game_rosters!J:J=events!X537)*(K537&lt;&gt;"")),"")</f>
        <v>a</v>
      </c>
      <c r="X537" cm="1">
        <f t="array" ref="X537">IF($I537&lt;&gt;"",$I537,INDEX($I$1:$I537,ROW()-COUNTIFS($T$1:$T537,"="&amp;$T537,$S$1:$S537,"&lt;"&amp;$S537)))</f>
        <v>70</v>
      </c>
      <c r="Y537" cm="1">
        <f t="array" ref="Y537">IFERROR(IF(_xlfn._xlws.FILTER(game_rosters!$J:$J,(game_rosters!$G:$G=events!$AM537)*(game_rosters!$J:$J=events!$X537))&gt;0,1,""),"")</f>
        <v>1</v>
      </c>
      <c r="Z537" s="6">
        <f t="shared" si="897"/>
        <v>1</v>
      </c>
      <c r="AA537">
        <f t="shared" si="898"/>
        <v>1267</v>
      </c>
      <c r="AB537" t="str">
        <f t="shared" si="899"/>
        <v/>
      </c>
      <c r="AC537">
        <f t="shared" si="900"/>
        <v>1267</v>
      </c>
      <c r="AD537" t="str">
        <f t="shared" si="901"/>
        <v>10</v>
      </c>
      <c r="AE537" t="str">
        <f t="shared" si="902"/>
        <v>05</v>
      </c>
      <c r="AF537" t="str">
        <f t="shared" si="903"/>
        <v>10</v>
      </c>
      <c r="AG537" t="str">
        <f t="shared" si="904"/>
        <v>03</v>
      </c>
      <c r="AH537" t="str">
        <f t="shared" si="842"/>
        <v>e</v>
      </c>
      <c r="AI537" t="str">
        <f t="shared" si="928"/>
        <v>o</v>
      </c>
      <c r="AJ537" t="str">
        <f t="shared" si="928"/>
        <v>o</v>
      </c>
      <c r="AK537" t="str">
        <f t="shared" si="844"/>
        <v>d</v>
      </c>
      <c r="AL537" t="str">
        <f t="shared" si="845"/>
        <v>o</v>
      </c>
      <c r="AM537" t="str">
        <f t="shared" si="905"/>
        <v>Away</v>
      </c>
      <c r="AN537" t="str">
        <f t="shared" si="846"/>
        <v>a</v>
      </c>
      <c r="AO537" t="str">
        <f t="shared" si="847"/>
        <v>d</v>
      </c>
      <c r="AP537" t="str">
        <f t="shared" si="848"/>
        <v>o</v>
      </c>
      <c r="AQ537" t="str">
        <f>IF(AM537&lt;&gt;"",AM537,IF($AC537=#REF!,#REF!,""))</f>
        <v>Away</v>
      </c>
      <c r="AR537" t="str">
        <f t="shared" si="849"/>
        <v>a</v>
      </c>
      <c r="AS537" t="str">
        <f t="shared" si="850"/>
        <v>Offensive</v>
      </c>
      <c r="AT537" t="str">
        <f t="shared" si="906"/>
        <v/>
      </c>
      <c r="AU537" t="str">
        <f t="shared" si="907"/>
        <v/>
      </c>
      <c r="AV537" t="str" cm="1">
        <f t="array" ref="AV537">IFERROR(IF(O537&lt;&gt;"",O537,IF(OR($S537="",$T537=""),"",IF(O537&lt;&gt;"",O537,IF($T537&lt;&gt;"",_xlfn._xlws.FILTER(O:O,($BT:$BT=$BT537)*($I:$I=$I537)*($T:$T=$T537)*($S:$S=_xlfn.MINIFS($S:$S,$T:$T,"="&amp;$T537)),"")))))&amp;"",IF(O537="","",""))&amp;""</f>
        <v/>
      </c>
      <c r="AW537" t="str" cm="1">
        <f t="array" ref="AW537">IFERROR(IF(P537&lt;&gt;"",P537,IF(OR($S537="",$T537=""),"",IF($T537&lt;&gt;"",_xlfn._xlws.FILTER(P:P,($BT:$BT=$BT537)*($I:$I=$I537)*($T:$T=$T537)*($S:$S=_xlfn.MINIFS($S:$S,$T:$T,"="&amp;$T537)),""))))&amp;"",IF(P537="","",""))&amp;""</f>
        <v/>
      </c>
      <c r="AX537" t="str" cm="1">
        <f t="array" ref="AX537">IFERROR(IF(Q537&lt;&gt;"",Q537,IF(OR($S537="",$T537=""),"",IF($T537&lt;&gt;"",_xlfn._xlws.FILTER(Q:Q,($BT:$BT=$BT537)*($I:$I=$I537)*($T:$T=$T537)*($S:$S=_xlfn.MINIFS($S:$S,$T:$T,"="&amp;$T537)),""))))&amp;"",IF(Q537="","",""))&amp;""</f>
        <v/>
      </c>
      <c r="AY537" t="str" cm="1">
        <f t="array" ref="AY537">IFERROR(IF(R537&lt;&gt;"",R537,IF(OR($S537="",$T537=""),"",IF($T537&lt;&gt;"",_xlfn._xlws.FILTER(R:R,($BT:$BT=$BT537)*($I:$I=$I537)*($T:$T=$T537)*($S:$S=_xlfn.MINIFS($S:$S,$T:$T,"="&amp;$T537)),""))))&amp;"",IF(R537="","",""))&amp;""</f>
        <v/>
      </c>
      <c r="AZ537" s="6">
        <f t="shared" si="908"/>
        <v>47</v>
      </c>
      <c r="BA537">
        <f t="shared" ref="BA537:BC537" si="945">BA536</f>
        <v>18991</v>
      </c>
      <c r="BB537" t="str">
        <f t="shared" si="945"/>
        <v>Triple J</v>
      </c>
      <c r="BC537" t="str">
        <f t="shared" si="945"/>
        <v>Velodrome</v>
      </c>
      <c r="BD537" t="str">
        <f t="shared" si="910"/>
        <v>Possession</v>
      </c>
      <c r="BE537" t="str">
        <f t="shared" si="911"/>
        <v/>
      </c>
      <c r="BF537" t="str">
        <f t="shared" si="912"/>
        <v/>
      </c>
      <c r="BG537" t="str">
        <f t="shared" si="894"/>
        <v/>
      </c>
      <c r="BH537" cm="1">
        <f t="array" aca="1" ref="BH537" ca="1">IFERROR(_xlfn._xlws.FILTER(shifts!A:A,(shifts!B:B=events!Z537)*(shifts!AG:AG&gt;=events!BJ537)*(shifts!AH:AH&lt;=events!BK537)),BH536)</f>
        <v>18</v>
      </c>
      <c r="BI537" s="15">
        <f t="shared" si="913"/>
        <v>2</v>
      </c>
      <c r="BJ537">
        <f t="shared" si="914"/>
        <v>605</v>
      </c>
      <c r="BK537">
        <f t="shared" si="915"/>
        <v>603</v>
      </c>
      <c r="BL537" s="15">
        <f>SUMIFS(BI$2:BI537,K$2:K537,"=Intermission")+SUMIFS(BI$2:BI537,K$2:K537,"=Timeout")</f>
        <v>0</v>
      </c>
      <c r="BM537">
        <f t="shared" si="916"/>
        <v>0</v>
      </c>
      <c r="BN537" s="19">
        <f t="shared" si="917"/>
        <v>475</v>
      </c>
      <c r="BO537">
        <f t="shared" si="918"/>
        <v>470</v>
      </c>
      <c r="BP537" s="17">
        <f t="shared" si="919"/>
        <v>477</v>
      </c>
      <c r="BQ537" t="str">
        <f t="shared" si="920"/>
        <v>event_team_player_1</v>
      </c>
      <c r="BR537">
        <f>COUNTIFS(S$3:S537,"="&amp;S537,AH$3:AH537,"="&amp;AH537)</f>
        <v>1</v>
      </c>
      <c r="BS537" t="str">
        <f>IFERROR(VLOOKUP(BA537&amp;BT537&amp;X537,game_rosters!U:W,3,FALSE),"")</f>
        <v>P100001</v>
      </c>
      <c r="BT537" t="str">
        <f t="shared" si="921"/>
        <v>Velodrome</v>
      </c>
    </row>
    <row r="538" spans="1:72" x14ac:dyDescent="0.2">
      <c r="A538">
        <f t="shared" si="896"/>
        <v>1</v>
      </c>
      <c r="D538" s="26">
        <v>1</v>
      </c>
      <c r="E538" s="4"/>
      <c r="F538" s="45"/>
      <c r="G538" s="4"/>
      <c r="H538" s="47"/>
      <c r="I538" s="26">
        <v>70</v>
      </c>
      <c r="J538" s="26" t="str">
        <f t="shared" si="925"/>
        <v>o</v>
      </c>
      <c r="K538" t="s">
        <v>6</v>
      </c>
      <c r="L538" t="s">
        <v>205</v>
      </c>
      <c r="M538" t="s">
        <v>51</v>
      </c>
      <c r="N538" t="str">
        <f t="shared" si="940"/>
        <v>s</v>
      </c>
      <c r="Q538" t="str">
        <f t="shared" si="934"/>
        <v/>
      </c>
      <c r="S538">
        <f>IF(A538=1,MAX($S$2:$S537)+1,IF(OR($I538&lt;&gt;"",A538="x"),$S537,""))</f>
        <v>268</v>
      </c>
      <c r="T538">
        <f>IF(D538=1,MAX($T$2:$T537)+1,IF(S538=S537,$T537,IF(D538="x",T537,IF(D537="x","",""))))</f>
        <v>34</v>
      </c>
      <c r="U538" t="str">
        <f>IF(B538=1,MAX($U$2:$U537)+1,IF(AND($T538&lt;&gt;"",$T538=$T537),$U537,IF(B538="x",U537,"")))</f>
        <v/>
      </c>
      <c r="V538" t="str">
        <f>IF(C538=1,MAX($V$2:$V537)+1,IF(AND($T538&lt;&gt;"",$T538=$T537),$U537,IF(C538="x",V537,"")))</f>
        <v/>
      </c>
      <c r="W538" t="str" cm="1">
        <f t="array" ref="W538">IFERROR(_xlfn._xlws.FILTER(game_rosters!AC:AC,(game_rosters!J:J=events!X538)*(K538&lt;&gt;"")),"")</f>
        <v>a</v>
      </c>
      <c r="X538" cm="1">
        <f t="array" ref="X538">IF($I538&lt;&gt;"",$I538,INDEX($I$1:$I538,ROW()-COUNTIFS($T$1:$T538,"="&amp;$T538,$S$1:$S538,"&lt;"&amp;$S538)))</f>
        <v>70</v>
      </c>
      <c r="Y538" cm="1">
        <f t="array" ref="Y538">IFERROR(IF(_xlfn._xlws.FILTER(game_rosters!$J:$J,(game_rosters!$G:$G=events!$AM538)*(game_rosters!$J:$J=events!$X538))&gt;0,1,""),"")</f>
        <v>1</v>
      </c>
      <c r="Z538" s="6">
        <f t="shared" si="897"/>
        <v>1</v>
      </c>
      <c r="AA538">
        <f t="shared" si="898"/>
        <v>1268</v>
      </c>
      <c r="AB538">
        <f t="shared" si="899"/>
        <v>9034</v>
      </c>
      <c r="AC538">
        <f t="shared" si="900"/>
        <v>9034</v>
      </c>
      <c r="AD538" t="str">
        <f t="shared" si="901"/>
        <v>10</v>
      </c>
      <c r="AE538" t="str">
        <f t="shared" si="902"/>
        <v>03</v>
      </c>
      <c r="AF538" t="str">
        <f t="shared" si="903"/>
        <v/>
      </c>
      <c r="AG538" t="str">
        <f t="shared" si="904"/>
        <v/>
      </c>
      <c r="AH538" t="str">
        <f t="shared" si="842"/>
        <v>e</v>
      </c>
      <c r="AI538" t="str">
        <f t="shared" si="928"/>
        <v>o</v>
      </c>
      <c r="AJ538" t="str">
        <f t="shared" si="928"/>
        <v>o</v>
      </c>
      <c r="AK538" t="str">
        <f t="shared" si="844"/>
        <v>d</v>
      </c>
      <c r="AL538" t="str">
        <f t="shared" si="845"/>
        <v>o</v>
      </c>
      <c r="AM538" t="str">
        <f t="shared" si="905"/>
        <v>Away</v>
      </c>
      <c r="AN538" t="str">
        <f t="shared" si="846"/>
        <v>a</v>
      </c>
      <c r="AO538" t="str">
        <f t="shared" si="847"/>
        <v>d</v>
      </c>
      <c r="AP538" t="str">
        <f t="shared" si="848"/>
        <v>o</v>
      </c>
      <c r="AQ538" t="str">
        <f>IF(AM538&lt;&gt;"",AM538,IF($AC538=#REF!,#REF!,""))</f>
        <v>Away</v>
      </c>
      <c r="AR538" t="str">
        <f t="shared" si="849"/>
        <v>a</v>
      </c>
      <c r="AS538" t="str">
        <f t="shared" si="850"/>
        <v>Offensive</v>
      </c>
      <c r="AT538" t="str">
        <f t="shared" si="906"/>
        <v/>
      </c>
      <c r="AU538" t="str">
        <f t="shared" si="907"/>
        <v/>
      </c>
      <c r="AV538" t="str" cm="1">
        <f t="array" ref="AV538">IFERROR(IF(O538&lt;&gt;"",O538,IF(OR($S538="",$T538=""),"",IF(O538&lt;&gt;"",O538,IF($T538&lt;&gt;"",_xlfn._xlws.FILTER(O:O,($BT:$BT=$BT538)*($I:$I=$I538)*($T:$T=$T538)*($S:$S=_xlfn.MINIFS($S:$S,$T:$T,"="&amp;$T538)),"")))))&amp;"",IF(O538="","",""))&amp;""</f>
        <v/>
      </c>
      <c r="AW538" t="str" cm="1">
        <f t="array" ref="AW538">IFERROR(IF(P538&lt;&gt;"",P538,IF(OR($S538="",$T538=""),"",IF($T538&lt;&gt;"",_xlfn._xlws.FILTER(P:P,($BT:$BT=$BT538)*($I:$I=$I538)*($T:$T=$T538)*($S:$S=_xlfn.MINIFS($S:$S,$T:$T,"="&amp;$T538)),""))))&amp;"",IF(P538="","",""))&amp;""</f>
        <v/>
      </c>
      <c r="AX538" t="str" cm="1">
        <f t="array" ref="AX538">IFERROR(IF(Q538&lt;&gt;"",Q538,IF(OR($S538="",$T538=""),"",IF($T538&lt;&gt;"",_xlfn._xlws.FILTER(Q:Q,($BT:$BT=$BT538)*($I:$I=$I538)*($T:$T=$T538)*($S:$S=_xlfn.MINIFS($S:$S,$T:$T,"="&amp;$T538)),""))))&amp;"",IF(Q538="","",""))&amp;""</f>
        <v/>
      </c>
      <c r="AY538" t="str" cm="1">
        <f t="array" ref="AY538">IFERROR(IF(R538&lt;&gt;"",R538,IF(OR($S538="",$T538=""),"",IF($T538&lt;&gt;"",_xlfn._xlws.FILTER(R:R,($BT:$BT=$BT538)*($I:$I=$I538)*($T:$T=$T538)*($S:$S=_xlfn.MINIFS($S:$S,$T:$T,"="&amp;$T538)),""))))&amp;"",IF(R538="","",""))&amp;""</f>
        <v/>
      </c>
      <c r="AZ538" s="6">
        <f t="shared" si="908"/>
        <v>47</v>
      </c>
      <c r="BA538">
        <f t="shared" ref="BA538:BC538" si="946">BA537</f>
        <v>18991</v>
      </c>
      <c r="BB538" t="str">
        <f t="shared" si="946"/>
        <v>Triple J</v>
      </c>
      <c r="BC538" t="str">
        <f t="shared" si="946"/>
        <v>Velodrome</v>
      </c>
      <c r="BD538" t="str">
        <f t="shared" si="910"/>
        <v>Shot</v>
      </c>
      <c r="BE538" t="str">
        <f t="shared" si="911"/>
        <v>Shot_OnNetSaved</v>
      </c>
      <c r="BF538" t="str">
        <f t="shared" si="912"/>
        <v>Shot-Wrist</v>
      </c>
      <c r="BG538" t="str">
        <f t="shared" si="894"/>
        <v>s</v>
      </c>
      <c r="BH538" cm="1">
        <f t="array" aca="1" ref="BH538" ca="1">IFERROR(_xlfn._xlws.FILTER(shifts!A:A,(shifts!B:B=events!Z538)*(shifts!AG:AG&gt;=events!BJ538)*(shifts!AH:AH&lt;=events!BK538)),BH537)</f>
        <v>18</v>
      </c>
      <c r="BI538" s="15">
        <f t="shared" si="913"/>
        <v>0</v>
      </c>
      <c r="BJ538">
        <f t="shared" si="914"/>
        <v>603</v>
      </c>
      <c r="BK538">
        <f t="shared" si="915"/>
        <v>603</v>
      </c>
      <c r="BL538" s="15">
        <f>SUMIFS(BI$2:BI538,K$2:K538,"=Intermission")+SUMIFS(BI$2:BI538,K$2:K538,"=Timeout")</f>
        <v>0</v>
      </c>
      <c r="BM538">
        <f t="shared" si="916"/>
        <v>0</v>
      </c>
      <c r="BN538" s="19">
        <f t="shared" si="917"/>
        <v>477</v>
      </c>
      <c r="BO538">
        <f t="shared" si="918"/>
        <v>472</v>
      </c>
      <c r="BP538" s="17">
        <f t="shared" si="919"/>
        <v>477</v>
      </c>
      <c r="BQ538" t="str">
        <f t="shared" si="920"/>
        <v>event_team_player_1</v>
      </c>
      <c r="BR538">
        <f>COUNTIFS(S$3:S538,"="&amp;S538,AH$3:AH538,"="&amp;AH538)</f>
        <v>1</v>
      </c>
      <c r="BS538" t="str">
        <f>IFERROR(VLOOKUP(BA538&amp;BT538&amp;X538,game_rosters!U:W,3,FALSE),"")</f>
        <v>P100001</v>
      </c>
      <c r="BT538" t="str">
        <f t="shared" si="921"/>
        <v>Velodrome</v>
      </c>
    </row>
    <row r="539" spans="1:72" x14ac:dyDescent="0.2">
      <c r="A539" t="str">
        <f t="shared" si="896"/>
        <v>x</v>
      </c>
      <c r="D539" s="26" t="s">
        <v>729</v>
      </c>
      <c r="E539" s="4"/>
      <c r="F539" s="45"/>
      <c r="G539" s="4"/>
      <c r="H539" s="47"/>
      <c r="I539" s="26">
        <v>1</v>
      </c>
      <c r="J539" s="26" t="str">
        <f t="shared" si="925"/>
        <v/>
      </c>
      <c r="N539" t="str">
        <f t="shared" si="940"/>
        <v/>
      </c>
      <c r="Q539" t="str">
        <f t="shared" si="934"/>
        <v/>
      </c>
      <c r="S539">
        <f>IF(A539=1,MAX($S$2:$S538)+1,IF(OR($I539&lt;&gt;"",A539="x"),$S538,""))</f>
        <v>268</v>
      </c>
      <c r="T539">
        <f>IF(D539=1,MAX($T$2:$T538)+1,IF(S539=S538,$T538,IF(D539="x",T538,IF(D538="x","",""))))</f>
        <v>34</v>
      </c>
      <c r="U539" t="str">
        <f>IF(B539=1,MAX($U$2:$U538)+1,IF(AND($T539&lt;&gt;"",$T539=$T538),$U538,IF(B539="x",U538,"")))</f>
        <v/>
      </c>
      <c r="V539" t="str">
        <f>IF(C539=1,MAX($V$2:$V538)+1,IF(AND($T539&lt;&gt;"",$T539=$T538),$U538,IF(C539="x",V538,"")))</f>
        <v/>
      </c>
      <c r="W539" t="str" cm="1">
        <f t="array" ref="W539">IFERROR(_xlfn._xlws.FILTER(game_rosters!AC:AC,(game_rosters!J:J=events!X539)*(K539&lt;&gt;"")),"")</f>
        <v/>
      </c>
      <c r="X539" cm="1">
        <f t="array" ref="X539">IF($I539&lt;&gt;"",$I539,INDEX($I$1:$I539,ROW()-COUNTIFS($T$1:$T539,"="&amp;$T539,$S$1:$S539,"&lt;"&amp;$S539)))</f>
        <v>1</v>
      </c>
      <c r="Y539" t="str" cm="1">
        <f t="array" ref="Y539">IFERROR(IF(_xlfn._xlws.FILTER(game_rosters!$J:$J,(game_rosters!$G:$G=events!$AM539)*(game_rosters!$J:$J=events!$X539))&gt;0,1,""),"")</f>
        <v/>
      </c>
      <c r="Z539" s="6">
        <f t="shared" si="897"/>
        <v>1</v>
      </c>
      <c r="AA539">
        <f t="shared" si="898"/>
        <v>1268</v>
      </c>
      <c r="AB539">
        <f t="shared" si="899"/>
        <v>9034</v>
      </c>
      <c r="AC539">
        <f t="shared" si="900"/>
        <v>9034</v>
      </c>
      <c r="AD539" t="str">
        <f t="shared" si="901"/>
        <v>10</v>
      </c>
      <c r="AE539" t="str">
        <f t="shared" si="902"/>
        <v>03</v>
      </c>
      <c r="AF539" t="str">
        <f t="shared" si="903"/>
        <v/>
      </c>
      <c r="AG539" t="str">
        <f t="shared" si="904"/>
        <v/>
      </c>
      <c r="AH539" t="str">
        <f t="shared" ref="AH539:AH602" si="947">IF(Y539="x","",IF(Y539=1,"e","o"))</f>
        <v>o</v>
      </c>
      <c r="AI539" t="str">
        <f t="shared" ref="AI539:AJ554" si="948">IF($J539&lt;&gt;"",$J539,IF($AC539=$AC538,AI538,""))</f>
        <v>o</v>
      </c>
      <c r="AJ539" t="str">
        <f t="shared" si="948"/>
        <v>o</v>
      </c>
      <c r="AK539" t="str">
        <f t="shared" ref="AK539:AK602" si="949">IF($W539="","",IF($AI539="","",IF($W539="h",$AI539,IF($AI539="n","n",IF(AND($W539="a",$AI539="d"),"o",IF(AND($W539="a",$AI539="o"),"d"))))))</f>
        <v/>
      </c>
      <c r="AL539" t="str">
        <f t="shared" ref="AL539:AL602" si="950">IF($W539="","",IF(J539="","",IF(AK539="n","n",IF(AK539="d","o",IF(AK539="o","d","")))))</f>
        <v/>
      </c>
      <c r="AM539" t="str">
        <f t="shared" si="905"/>
        <v>Away</v>
      </c>
      <c r="AN539" t="str">
        <f t="shared" ref="AN539:AN602" si="951">IF($W539&lt;&gt;"",$W539,IF($AC539=AC538,AN538,""))</f>
        <v>a</v>
      </c>
      <c r="AO539" t="str">
        <f t="shared" ref="AO539:AO602" si="952">IF(AK539&lt;&gt;"",AK539,IF($AC539=AC538,AO538,""))</f>
        <v>d</v>
      </c>
      <c r="AP539" t="str">
        <f t="shared" ref="AP539:AP602" si="953">IF(AL539&lt;&gt;"",AL539,IF($AC539=AC538,AP538,""))</f>
        <v>o</v>
      </c>
      <c r="AQ539" t="str">
        <f>IF(AM539&lt;&gt;"",AM539,IF($AC539=#REF!,#REF!,""))</f>
        <v>Away</v>
      </c>
      <c r="AR539" t="str">
        <f t="shared" ref="AR539:AR602" si="954">IF(AN539&lt;&gt;"",AN539,IF($AC539=AC538,AQ538,""))</f>
        <v>a</v>
      </c>
      <c r="AS539" t="str">
        <f t="shared" ref="AS539:AS602" si="955">IF(AND(AH539="e",OR(BD539="Save",BE539="Turnover_Takeaway",BE539="Play_Defensive")),"Defensive",IF(AND(AH539="o",OR(BD539="Save",BE539="Turnover_Takeaway",BE539="Play_Defensive")),"Offensive",IF(OR(BD539="Deadice",BD539="Stoppage",BD539="Intermission"),"",IF(AH539="e","Offensive",IF(AH539="o","Defensive","")))))</f>
        <v>Defensive</v>
      </c>
      <c r="AT539" t="str">
        <f t="shared" si="906"/>
        <v/>
      </c>
      <c r="AU539" t="str">
        <f t="shared" si="907"/>
        <v/>
      </c>
      <c r="AV539" t="str" cm="1">
        <f t="array" ref="AV539">IFERROR(IF(O539&lt;&gt;"",O539,IF(OR($S539="",$T539=""),"",IF(O539&lt;&gt;"",O539,IF($T539&lt;&gt;"",_xlfn._xlws.FILTER(O:O,($BT:$BT=$BT539)*($I:$I=$I539)*($T:$T=$T539)*($S:$S=_xlfn.MINIFS($S:$S,$T:$T,"="&amp;$T539)),"")))))&amp;"",IF(O539="","",""))&amp;""</f>
        <v/>
      </c>
      <c r="AW539" t="str" cm="1">
        <f t="array" ref="AW539">IFERROR(IF(P539&lt;&gt;"",P539,IF(OR($S539="",$T539=""),"",IF($T539&lt;&gt;"",_xlfn._xlws.FILTER(P:P,($BT:$BT=$BT539)*($I:$I=$I539)*($T:$T=$T539)*($S:$S=_xlfn.MINIFS($S:$S,$T:$T,"="&amp;$T539)),""))))&amp;"",IF(P539="","",""))&amp;""</f>
        <v/>
      </c>
      <c r="AX539" t="str" cm="1">
        <f t="array" ref="AX539">IFERROR(IF(Q539&lt;&gt;"",Q539,IF(OR($S539="",$T539=""),"",IF($T539&lt;&gt;"",_xlfn._xlws.FILTER(Q:Q,($BT:$BT=$BT539)*($I:$I=$I539)*($T:$T=$T539)*($S:$S=_xlfn.MINIFS($S:$S,$T:$T,"="&amp;$T539)),""))))&amp;"",IF(Q539="","",""))&amp;""</f>
        <v/>
      </c>
      <c r="AY539" t="str" cm="1">
        <f t="array" ref="AY539">IFERROR(IF(R539&lt;&gt;"",R539,IF(OR($S539="",$T539=""),"",IF($T539&lt;&gt;"",_xlfn._xlws.FILTER(R:R,($BT:$BT=$BT539)*($I:$I=$I539)*($T:$T=$T539)*($S:$S=_xlfn.MINIFS($S:$S,$T:$T,"="&amp;$T539)),""))))&amp;"",IF(R539="","",""))&amp;""</f>
        <v/>
      </c>
      <c r="AZ539" s="6">
        <f t="shared" si="908"/>
        <v>47</v>
      </c>
      <c r="BA539">
        <f t="shared" ref="BA539:BC539" si="956">BA538</f>
        <v>18991</v>
      </c>
      <c r="BB539" t="str">
        <f t="shared" si="956"/>
        <v>Triple J</v>
      </c>
      <c r="BC539" t="str">
        <f t="shared" si="956"/>
        <v>Velodrome</v>
      </c>
      <c r="BD539" t="str">
        <f t="shared" si="910"/>
        <v>Shot</v>
      </c>
      <c r="BE539" t="str">
        <f t="shared" si="911"/>
        <v>Shot_OnNetSaved</v>
      </c>
      <c r="BF539" t="str">
        <f t="shared" si="912"/>
        <v>Shot-Wrist</v>
      </c>
      <c r="BG539" t="str">
        <f t="shared" si="894"/>
        <v>s</v>
      </c>
      <c r="BH539" cm="1">
        <f t="array" aca="1" ref="BH539" ca="1">IFERROR(_xlfn._xlws.FILTER(shifts!A:A,(shifts!B:B=events!Z539)*(shifts!AG:AG&gt;=events!BJ539)*(shifts!AH:AH&lt;=events!BK539)),BH538)</f>
        <v>18</v>
      </c>
      <c r="BI539" s="15">
        <f t="shared" si="913"/>
        <v>0</v>
      </c>
      <c r="BJ539">
        <f t="shared" si="914"/>
        <v>603</v>
      </c>
      <c r="BK539">
        <f t="shared" si="915"/>
        <v>603</v>
      </c>
      <c r="BL539" s="15">
        <f>SUMIFS(BI$2:BI539,K$2:K539,"=Intermission")+SUMIFS(BI$2:BI539,K$2:K539,"=Timeout")</f>
        <v>0</v>
      </c>
      <c r="BM539">
        <f t="shared" si="916"/>
        <v>0</v>
      </c>
      <c r="BN539" s="19">
        <f t="shared" si="917"/>
        <v>477</v>
      </c>
      <c r="BO539">
        <f t="shared" si="918"/>
        <v>472</v>
      </c>
      <c r="BP539" s="17">
        <f t="shared" si="919"/>
        <v>477</v>
      </c>
      <c r="BQ539" t="str">
        <f t="shared" si="920"/>
        <v>opp_team_player_1</v>
      </c>
      <c r="BR539">
        <f>COUNTIFS(S$3:S539,"="&amp;S539,AH$3:AH539,"="&amp;AH539)</f>
        <v>1</v>
      </c>
      <c r="BS539" t="str">
        <f>IFERROR(VLOOKUP(BA539&amp;BT539&amp;X539,game_rosters!U:W,3,FALSE),"")</f>
        <v>P100020</v>
      </c>
      <c r="BT539" t="str">
        <f t="shared" si="921"/>
        <v>Triple J</v>
      </c>
    </row>
    <row r="540" spans="1:72" x14ac:dyDescent="0.2">
      <c r="A540" t="str">
        <f t="shared" si="896"/>
        <v>x</v>
      </c>
      <c r="D540" s="26" t="s">
        <v>729</v>
      </c>
      <c r="E540" s="4"/>
      <c r="F540" s="45"/>
      <c r="G540" s="4"/>
      <c r="H540" s="47"/>
      <c r="I540" s="26">
        <v>57</v>
      </c>
      <c r="J540" s="26" t="str">
        <f t="shared" si="925"/>
        <v/>
      </c>
      <c r="N540" t="str">
        <f t="shared" si="940"/>
        <v/>
      </c>
      <c r="Q540" t="str">
        <f t="shared" si="934"/>
        <v/>
      </c>
      <c r="S540">
        <f>IF(A540=1,MAX($S$2:$S539)+1,IF(OR($I540&lt;&gt;"",A540="x"),$S539,""))</f>
        <v>268</v>
      </c>
      <c r="T540">
        <f>IF(D540=1,MAX($T$2:$T539)+1,IF(S540=S539,$T539,IF(D540="x",T539,IF(D539="x","",""))))</f>
        <v>34</v>
      </c>
      <c r="U540" t="str">
        <f>IF(B540=1,MAX($U$2:$U539)+1,IF(AND($T540&lt;&gt;"",$T540=$T539),$U539,IF(B540="x",U539,"")))</f>
        <v/>
      </c>
      <c r="V540" t="str">
        <f>IF(C540=1,MAX($V$2:$V539)+1,IF(AND($T540&lt;&gt;"",$T540=$T539),$U539,IF(C540="x",V539,"")))</f>
        <v/>
      </c>
      <c r="W540" t="str" cm="1">
        <f t="array" ref="W540">IFERROR(_xlfn._xlws.FILTER(game_rosters!AC:AC,(game_rosters!J:J=events!X540)*(K540&lt;&gt;"")),"")</f>
        <v/>
      </c>
      <c r="X540" cm="1">
        <f t="array" ref="X540">IF($I540&lt;&gt;"",$I540,INDEX($I$1:$I540,ROW()-COUNTIFS($T$1:$T540,"="&amp;$T540,$S$1:$S540,"&lt;"&amp;$S540)))</f>
        <v>57</v>
      </c>
      <c r="Y540" t="str" cm="1">
        <f t="array" ref="Y540">IFERROR(IF(_xlfn._xlws.FILTER(game_rosters!$J:$J,(game_rosters!$G:$G=events!$AM540)*(game_rosters!$J:$J=events!$X540))&gt;0,1,""),"")</f>
        <v/>
      </c>
      <c r="Z540" s="6">
        <f t="shared" si="897"/>
        <v>1</v>
      </c>
      <c r="AA540">
        <f t="shared" si="898"/>
        <v>1268</v>
      </c>
      <c r="AB540">
        <f t="shared" si="899"/>
        <v>9034</v>
      </c>
      <c r="AC540">
        <f t="shared" si="900"/>
        <v>9034</v>
      </c>
      <c r="AD540" t="str">
        <f t="shared" si="901"/>
        <v>10</v>
      </c>
      <c r="AE540" t="str">
        <f t="shared" si="902"/>
        <v>03</v>
      </c>
      <c r="AF540" t="str">
        <f t="shared" si="903"/>
        <v/>
      </c>
      <c r="AG540" t="str">
        <f t="shared" si="904"/>
        <v/>
      </c>
      <c r="AH540" t="str">
        <f t="shared" si="947"/>
        <v>o</v>
      </c>
      <c r="AI540" t="str">
        <f t="shared" si="948"/>
        <v>o</v>
      </c>
      <c r="AJ540" t="str">
        <f t="shared" si="948"/>
        <v>o</v>
      </c>
      <c r="AK540" t="str">
        <f t="shared" si="949"/>
        <v/>
      </c>
      <c r="AL540" t="str">
        <f t="shared" si="950"/>
        <v/>
      </c>
      <c r="AM540" t="str">
        <f t="shared" si="905"/>
        <v>Away</v>
      </c>
      <c r="AN540" t="str">
        <f t="shared" si="951"/>
        <v>a</v>
      </c>
      <c r="AO540" t="str">
        <f t="shared" si="952"/>
        <v>d</v>
      </c>
      <c r="AP540" t="str">
        <f t="shared" si="953"/>
        <v>o</v>
      </c>
      <c r="AQ540" t="str">
        <f>IF(AM540&lt;&gt;"",AM540,IF($AC540=#REF!,#REF!,""))</f>
        <v>Away</v>
      </c>
      <c r="AR540" t="str">
        <f t="shared" si="954"/>
        <v>a</v>
      </c>
      <c r="AS540" t="str">
        <f t="shared" si="955"/>
        <v>Defensive</v>
      </c>
      <c r="AT540" t="str">
        <f t="shared" si="906"/>
        <v/>
      </c>
      <c r="AU540" t="str">
        <f t="shared" si="907"/>
        <v/>
      </c>
      <c r="AV540" t="str" cm="1">
        <f t="array" ref="AV540">IFERROR(IF(O540&lt;&gt;"",O540,IF(OR($S540="",$T540=""),"",IF(O540&lt;&gt;"",O540,IF($T540&lt;&gt;"",_xlfn._xlws.FILTER(O:O,($BT:$BT=$BT540)*($I:$I=$I540)*($T:$T=$T540)*($S:$S=_xlfn.MINIFS($S:$S,$T:$T,"="&amp;$T540)),"")))))&amp;"",IF(O540="","",""))&amp;""</f>
        <v/>
      </c>
      <c r="AW540" t="str" cm="1">
        <f t="array" ref="AW540">IFERROR(IF(P540&lt;&gt;"",P540,IF(OR($S540="",$T540=""),"",IF($T540&lt;&gt;"",_xlfn._xlws.FILTER(P:P,($BT:$BT=$BT540)*($I:$I=$I540)*($T:$T=$T540)*($S:$S=_xlfn.MINIFS($S:$S,$T:$T,"="&amp;$T540)),""))))&amp;"",IF(P540="","",""))&amp;""</f>
        <v/>
      </c>
      <c r="AX540" t="str" cm="1">
        <f t="array" ref="AX540">IFERROR(IF(Q540&lt;&gt;"",Q540,IF(OR($S540="",$T540=""),"",IF($T540&lt;&gt;"",_xlfn._xlws.FILTER(Q:Q,($BT:$BT=$BT540)*($I:$I=$I540)*($T:$T=$T540)*($S:$S=_xlfn.MINIFS($S:$S,$T:$T,"="&amp;$T540)),""))))&amp;"",IF(Q540="","",""))&amp;""</f>
        <v/>
      </c>
      <c r="AY540" t="str" cm="1">
        <f t="array" ref="AY540">IFERROR(IF(R540&lt;&gt;"",R540,IF(OR($S540="",$T540=""),"",IF($T540&lt;&gt;"",_xlfn._xlws.FILTER(R:R,($BT:$BT=$BT540)*($I:$I=$I540)*($T:$T=$T540)*($S:$S=_xlfn.MINIFS($S:$S,$T:$T,"="&amp;$T540)),""))))&amp;"",IF(R540="","",""))&amp;""</f>
        <v/>
      </c>
      <c r="AZ540" s="6">
        <f t="shared" si="908"/>
        <v>47</v>
      </c>
      <c r="BA540">
        <f t="shared" ref="BA540:BC540" si="957">BA539</f>
        <v>18991</v>
      </c>
      <c r="BB540" t="str">
        <f t="shared" si="957"/>
        <v>Triple J</v>
      </c>
      <c r="BC540" t="str">
        <f t="shared" si="957"/>
        <v>Velodrome</v>
      </c>
      <c r="BD540" t="str">
        <f t="shared" si="910"/>
        <v>Shot</v>
      </c>
      <c r="BE540" t="str">
        <f t="shared" si="911"/>
        <v>Shot_OnNetSaved</v>
      </c>
      <c r="BF540" t="str">
        <f t="shared" si="912"/>
        <v>Shot-Wrist</v>
      </c>
      <c r="BG540" t="str">
        <f t="shared" si="894"/>
        <v>s</v>
      </c>
      <c r="BH540" cm="1">
        <f t="array" aca="1" ref="BH540" ca="1">IFERROR(_xlfn._xlws.FILTER(shifts!A:A,(shifts!B:B=events!Z540)*(shifts!AG:AG&gt;=events!BJ540)*(shifts!AH:AH&lt;=events!BK540)),BH539)</f>
        <v>18</v>
      </c>
      <c r="BI540" s="15">
        <f t="shared" si="913"/>
        <v>0</v>
      </c>
      <c r="BJ540">
        <f t="shared" si="914"/>
        <v>603</v>
      </c>
      <c r="BK540">
        <f t="shared" si="915"/>
        <v>603</v>
      </c>
      <c r="BL540" s="15">
        <f>SUMIFS(BI$2:BI540,K$2:K540,"=Intermission")+SUMIFS(BI$2:BI540,K$2:K540,"=Timeout")</f>
        <v>0</v>
      </c>
      <c r="BM540">
        <f t="shared" si="916"/>
        <v>0</v>
      </c>
      <c r="BN540" s="19">
        <f t="shared" si="917"/>
        <v>477</v>
      </c>
      <c r="BO540">
        <f t="shared" si="918"/>
        <v>472</v>
      </c>
      <c r="BP540" s="17">
        <f t="shared" si="919"/>
        <v>477</v>
      </c>
      <c r="BQ540" t="str">
        <f t="shared" si="920"/>
        <v>opp_team_player_2</v>
      </c>
      <c r="BR540">
        <f>COUNTIFS(S$3:S540,"="&amp;S540,AH$3:AH540,"="&amp;AH540)</f>
        <v>2</v>
      </c>
      <c r="BS540" t="str">
        <f>IFERROR(VLOOKUP(BA540&amp;BT540&amp;X540,game_rosters!U:W,3,FALSE),"")</f>
        <v>P100007</v>
      </c>
      <c r="BT540" t="str">
        <f t="shared" si="921"/>
        <v>Triple J</v>
      </c>
    </row>
    <row r="541" spans="1:72" x14ac:dyDescent="0.2">
      <c r="A541">
        <f t="shared" si="896"/>
        <v>1</v>
      </c>
      <c r="D541" s="26" t="s">
        <v>729</v>
      </c>
      <c r="E541" s="4"/>
      <c r="F541" s="45"/>
      <c r="G541" s="4"/>
      <c r="H541" s="47"/>
      <c r="I541" s="26">
        <v>1</v>
      </c>
      <c r="J541" s="26" t="str">
        <f t="shared" si="925"/>
        <v>d</v>
      </c>
      <c r="K541" t="s">
        <v>15</v>
      </c>
      <c r="L541" t="s">
        <v>179</v>
      </c>
      <c r="M541" t="s">
        <v>94</v>
      </c>
      <c r="N541" t="str">
        <f t="shared" si="940"/>
        <v/>
      </c>
      <c r="Q541" t="str">
        <f t="shared" si="934"/>
        <v/>
      </c>
      <c r="S541">
        <f>IF(A541=1,MAX($S$2:$S540)+1,IF(OR($I541&lt;&gt;"",A541="x"),$S540,""))</f>
        <v>269</v>
      </c>
      <c r="T541">
        <f>IF(D541=1,MAX($T$2:$T540)+1,IF(S541=S540,$T540,IF(D541="x",T540,IF(D540="x","",""))))</f>
        <v>34</v>
      </c>
      <c r="U541" t="str">
        <f>IF(B541=1,MAX($U$2:$U540)+1,IF(AND($T541&lt;&gt;"",$T541=$T540),$U540,IF(B541="x",U540,"")))</f>
        <v/>
      </c>
      <c r="V541" t="str">
        <f>IF(C541=1,MAX($V$2:$V540)+1,IF(AND($T541&lt;&gt;"",$T541=$T540),$U540,IF(C541="x",V540,"")))</f>
        <v/>
      </c>
      <c r="W541" t="str" cm="1">
        <f t="array" ref="W541">IFERROR(_xlfn._xlws.FILTER(game_rosters!AC:AC,(game_rosters!J:J=events!X541)*(K541&lt;&gt;"")),"")</f>
        <v>h</v>
      </c>
      <c r="X541" cm="1">
        <f t="array" ref="X541">IF($I541&lt;&gt;"",$I541,INDEX($I$1:$I541,ROW()-COUNTIFS($T$1:$T541,"="&amp;$T541,$S$1:$S541,"&lt;"&amp;$S541)))</f>
        <v>1</v>
      </c>
      <c r="Y541" cm="1">
        <f t="array" ref="Y541">IFERROR(IF(_xlfn._xlws.FILTER(game_rosters!$J:$J,(game_rosters!$G:$G=events!$AM541)*(game_rosters!$J:$J=events!$X541))&gt;0,1,""),"")</f>
        <v>1</v>
      </c>
      <c r="Z541" s="6">
        <f t="shared" si="897"/>
        <v>1</v>
      </c>
      <c r="AA541">
        <f t="shared" si="898"/>
        <v>1269</v>
      </c>
      <c r="AB541">
        <f t="shared" si="899"/>
        <v>9034</v>
      </c>
      <c r="AC541">
        <f t="shared" si="900"/>
        <v>9034</v>
      </c>
      <c r="AD541" t="str">
        <f t="shared" si="901"/>
        <v>10</v>
      </c>
      <c r="AE541" t="str">
        <f t="shared" si="902"/>
        <v>03</v>
      </c>
      <c r="AF541" t="str">
        <f t="shared" si="903"/>
        <v/>
      </c>
      <c r="AG541" t="str">
        <f t="shared" si="904"/>
        <v/>
      </c>
      <c r="AH541" t="str">
        <f t="shared" si="947"/>
        <v>e</v>
      </c>
      <c r="AI541" t="str">
        <f t="shared" si="948"/>
        <v>d</v>
      </c>
      <c r="AJ541" t="str">
        <f t="shared" si="948"/>
        <v>d</v>
      </c>
      <c r="AK541" t="str">
        <f t="shared" si="949"/>
        <v>d</v>
      </c>
      <c r="AL541" t="str">
        <f t="shared" si="950"/>
        <v>o</v>
      </c>
      <c r="AM541" t="str">
        <f t="shared" si="905"/>
        <v>Home</v>
      </c>
      <c r="AN541" t="str">
        <f t="shared" si="951"/>
        <v>h</v>
      </c>
      <c r="AO541" t="str">
        <f t="shared" si="952"/>
        <v>d</v>
      </c>
      <c r="AP541" t="str">
        <f t="shared" si="953"/>
        <v>o</v>
      </c>
      <c r="AQ541" t="str">
        <f>IF(AM541&lt;&gt;"",AM541,IF($AC541=#REF!,#REF!,""))</f>
        <v>Home</v>
      </c>
      <c r="AR541" t="str">
        <f t="shared" si="954"/>
        <v>h</v>
      </c>
      <c r="AS541" t="str">
        <f t="shared" si="955"/>
        <v>Defensive</v>
      </c>
      <c r="AT541" t="str">
        <f t="shared" si="906"/>
        <v/>
      </c>
      <c r="AU541" t="str">
        <f t="shared" si="907"/>
        <v/>
      </c>
      <c r="AV541" t="str" cm="1">
        <f t="array" ref="AV541">IFERROR(IF(O541&lt;&gt;"",O541,IF(OR($S541="",$T541=""),"",IF(O541&lt;&gt;"",O541,IF($T541&lt;&gt;"",_xlfn._xlws.FILTER(O:O,($BT:$BT=$BT541)*($I:$I=$I541)*($T:$T=$T541)*($S:$S=_xlfn.MINIFS($S:$S,$T:$T,"="&amp;$T541)),"")))))&amp;"",IF(O541="","",""))&amp;""</f>
        <v/>
      </c>
      <c r="AW541" t="str" cm="1">
        <f t="array" ref="AW541">IFERROR(IF(P541&lt;&gt;"",P541,IF(OR($S541="",$T541=""),"",IF($T541&lt;&gt;"",_xlfn._xlws.FILTER(P:P,($BT:$BT=$BT541)*($I:$I=$I541)*($T:$T=$T541)*($S:$S=_xlfn.MINIFS($S:$S,$T:$T,"="&amp;$T541)),""))))&amp;"",IF(P541="","",""))&amp;""</f>
        <v/>
      </c>
      <c r="AX541" t="str" cm="1">
        <f t="array" ref="AX541">IFERROR(IF(Q541&lt;&gt;"",Q541,IF(OR($S541="",$T541=""),"",IF($T541&lt;&gt;"",_xlfn._xlws.FILTER(Q:Q,($BT:$BT=$BT541)*($I:$I=$I541)*($T:$T=$T541)*($S:$S=_xlfn.MINIFS($S:$S,$T:$T,"="&amp;$T541)),""))))&amp;"",IF(Q541="","",""))&amp;""</f>
        <v/>
      </c>
      <c r="AY541" t="str" cm="1">
        <f t="array" ref="AY541">IFERROR(IF(R541&lt;&gt;"",R541,IF(OR($S541="",$T541=""),"",IF($T541&lt;&gt;"",_xlfn._xlws.FILTER(R:R,($BT:$BT=$BT541)*($I:$I=$I541)*($T:$T=$T541)*($S:$S=_xlfn.MINIFS($S:$S,$T:$T,"="&amp;$T541)),""))))&amp;"",IF(R541="","",""))&amp;""</f>
        <v/>
      </c>
      <c r="AZ541" s="6">
        <f t="shared" si="908"/>
        <v>47</v>
      </c>
      <c r="BA541">
        <f t="shared" ref="BA541:BC541" si="958">BA540</f>
        <v>18991</v>
      </c>
      <c r="BB541" t="str">
        <f t="shared" si="958"/>
        <v>Triple J</v>
      </c>
      <c r="BC541" t="str">
        <f t="shared" si="958"/>
        <v>Velodrome</v>
      </c>
      <c r="BD541" t="str">
        <f t="shared" si="910"/>
        <v>Save</v>
      </c>
      <c r="BE541" t="str">
        <f t="shared" si="911"/>
        <v>Save_Rebound</v>
      </c>
      <c r="BF541" t="str">
        <f t="shared" si="912"/>
        <v>Save-Glove</v>
      </c>
      <c r="BG541" t="str">
        <f t="shared" si="894"/>
        <v/>
      </c>
      <c r="BH541" cm="1">
        <f t="array" aca="1" ref="BH541" ca="1">IFERROR(_xlfn._xlws.FILTER(shifts!A:A,(shifts!B:B=events!Z541)*(shifts!AG:AG&gt;=events!BJ541)*(shifts!AH:AH&lt;=events!BK541)),BH540)</f>
        <v>18</v>
      </c>
      <c r="BI541" s="15">
        <f t="shared" si="913"/>
        <v>0</v>
      </c>
      <c r="BJ541">
        <f t="shared" si="914"/>
        <v>603</v>
      </c>
      <c r="BK541">
        <f t="shared" si="915"/>
        <v>603</v>
      </c>
      <c r="BL541" s="15">
        <f>SUMIFS(BI$2:BI541,K$2:K541,"=Intermission")+SUMIFS(BI$2:BI541,K$2:K541,"=Timeout")</f>
        <v>0</v>
      </c>
      <c r="BM541">
        <f t="shared" si="916"/>
        <v>0</v>
      </c>
      <c r="BN541" s="19">
        <f t="shared" si="917"/>
        <v>477</v>
      </c>
      <c r="BO541">
        <f t="shared" si="918"/>
        <v>472</v>
      </c>
      <c r="BP541" s="17">
        <f t="shared" si="919"/>
        <v>477</v>
      </c>
      <c r="BQ541" t="str">
        <f t="shared" si="920"/>
        <v>event_team_player_1</v>
      </c>
      <c r="BR541">
        <f>COUNTIFS(S$3:S541,"="&amp;S541,AH$3:AH541,"="&amp;AH541)</f>
        <v>1</v>
      </c>
      <c r="BS541" t="str">
        <f>IFERROR(VLOOKUP(BA541&amp;BT541&amp;X541,game_rosters!U:W,3,FALSE),"")</f>
        <v>P100020</v>
      </c>
      <c r="BT541" t="str">
        <f t="shared" si="921"/>
        <v>Triple J</v>
      </c>
    </row>
    <row r="542" spans="1:72" x14ac:dyDescent="0.2">
      <c r="A542" t="str">
        <f t="shared" si="896"/>
        <v>x</v>
      </c>
      <c r="D542" s="26" t="s">
        <v>729</v>
      </c>
      <c r="E542" s="4"/>
      <c r="F542" s="45"/>
      <c r="G542" s="4"/>
      <c r="H542" s="47"/>
      <c r="I542" s="26">
        <v>57</v>
      </c>
      <c r="J542" s="26" t="str">
        <f t="shared" si="925"/>
        <v/>
      </c>
      <c r="N542" t="str">
        <f t="shared" si="940"/>
        <v/>
      </c>
      <c r="Q542" t="str">
        <f t="shared" si="934"/>
        <v/>
      </c>
      <c r="S542">
        <f>IF(A542=1,MAX($S$2:$S541)+1,IF(OR($I542&lt;&gt;"",A542="x"),$S541,""))</f>
        <v>269</v>
      </c>
      <c r="T542">
        <f>IF(D542=1,MAX($T$2:$T541)+1,IF(S542=S541,$T541,IF(D542="x",T541,IF(D541="x","",""))))</f>
        <v>34</v>
      </c>
      <c r="U542" t="str">
        <f>IF(B542=1,MAX($U$2:$U541)+1,IF(AND($T542&lt;&gt;"",$T542=$T541),$U541,IF(B542="x",U541,"")))</f>
        <v/>
      </c>
      <c r="V542" t="str">
        <f>IF(C542=1,MAX($V$2:$V541)+1,IF(AND($T542&lt;&gt;"",$T542=$T541),$U541,IF(C542="x",V541,"")))</f>
        <v/>
      </c>
      <c r="W542" t="str" cm="1">
        <f t="array" ref="W542">IFERROR(_xlfn._xlws.FILTER(game_rosters!AC:AC,(game_rosters!J:J=events!X542)*(K542&lt;&gt;"")),"")</f>
        <v/>
      </c>
      <c r="X542" cm="1">
        <f t="array" ref="X542">IF($I542&lt;&gt;"",$I542,INDEX($I$1:$I542,ROW()-COUNTIFS($T$1:$T542,"="&amp;$T542,$S$1:$S542,"&lt;"&amp;$S542)))</f>
        <v>57</v>
      </c>
      <c r="Y542" cm="1">
        <f t="array" ref="Y542">IFERROR(IF(_xlfn._xlws.FILTER(game_rosters!$J:$J,(game_rosters!$G:$G=events!$AM542)*(game_rosters!$J:$J=events!$X542))&gt;0,1,""),"")</f>
        <v>1</v>
      </c>
      <c r="Z542" s="6">
        <f t="shared" si="897"/>
        <v>1</v>
      </c>
      <c r="AA542">
        <f t="shared" si="898"/>
        <v>1269</v>
      </c>
      <c r="AB542">
        <f t="shared" si="899"/>
        <v>9034</v>
      </c>
      <c r="AC542">
        <f t="shared" si="900"/>
        <v>9034</v>
      </c>
      <c r="AD542" t="str">
        <f t="shared" si="901"/>
        <v>10</v>
      </c>
      <c r="AE542" t="str">
        <f t="shared" si="902"/>
        <v>03</v>
      </c>
      <c r="AF542" t="str">
        <f t="shared" si="903"/>
        <v/>
      </c>
      <c r="AG542" t="str">
        <f t="shared" si="904"/>
        <v/>
      </c>
      <c r="AH542" t="str">
        <f t="shared" si="947"/>
        <v>e</v>
      </c>
      <c r="AI542" t="str">
        <f t="shared" si="948"/>
        <v>d</v>
      </c>
      <c r="AJ542" t="str">
        <f t="shared" si="948"/>
        <v>d</v>
      </c>
      <c r="AK542" t="str">
        <f t="shared" si="949"/>
        <v/>
      </c>
      <c r="AL542" t="str">
        <f t="shared" si="950"/>
        <v/>
      </c>
      <c r="AM542" t="str">
        <f t="shared" si="905"/>
        <v>Home</v>
      </c>
      <c r="AN542" t="str">
        <f t="shared" si="951"/>
        <v>h</v>
      </c>
      <c r="AO542" t="str">
        <f t="shared" si="952"/>
        <v>d</v>
      </c>
      <c r="AP542" t="str">
        <f t="shared" si="953"/>
        <v>o</v>
      </c>
      <c r="AQ542" t="str">
        <f>IF(AM542&lt;&gt;"",AM542,IF($AC542=#REF!,#REF!,""))</f>
        <v>Home</v>
      </c>
      <c r="AR542" t="str">
        <f t="shared" si="954"/>
        <v>h</v>
      </c>
      <c r="AS542" t="str">
        <f t="shared" si="955"/>
        <v>Defensive</v>
      </c>
      <c r="AT542" t="str">
        <f t="shared" si="906"/>
        <v/>
      </c>
      <c r="AU542" t="str">
        <f t="shared" si="907"/>
        <v/>
      </c>
      <c r="AV542" t="str" cm="1">
        <f t="array" ref="AV542">IFERROR(IF(O542&lt;&gt;"",O542,IF(OR($S542="",$T542=""),"",IF(O542&lt;&gt;"",O542,IF($T542&lt;&gt;"",_xlfn._xlws.FILTER(O:O,($BT:$BT=$BT542)*($I:$I=$I542)*($T:$T=$T542)*($S:$S=_xlfn.MINIFS($S:$S,$T:$T,"="&amp;$T542)),"")))))&amp;"",IF(O542="","",""))&amp;""</f>
        <v/>
      </c>
      <c r="AW542" t="str" cm="1">
        <f t="array" ref="AW542">IFERROR(IF(P542&lt;&gt;"",P542,IF(OR($S542="",$T542=""),"",IF($T542&lt;&gt;"",_xlfn._xlws.FILTER(P:P,($BT:$BT=$BT542)*($I:$I=$I542)*($T:$T=$T542)*($S:$S=_xlfn.MINIFS($S:$S,$T:$T,"="&amp;$T542)),""))))&amp;"",IF(P542="","",""))&amp;""</f>
        <v/>
      </c>
      <c r="AX542" t="str" cm="1">
        <f t="array" ref="AX542">IFERROR(IF(Q542&lt;&gt;"",Q542,IF(OR($S542="",$T542=""),"",IF($T542&lt;&gt;"",_xlfn._xlws.FILTER(Q:Q,($BT:$BT=$BT542)*($I:$I=$I542)*($T:$T=$T542)*($S:$S=_xlfn.MINIFS($S:$S,$T:$T,"="&amp;$T542)),""))))&amp;"",IF(Q542="","",""))&amp;""</f>
        <v/>
      </c>
      <c r="AY542" t="str" cm="1">
        <f t="array" ref="AY542">IFERROR(IF(R542&lt;&gt;"",R542,IF(OR($S542="",$T542=""),"",IF($T542&lt;&gt;"",_xlfn._xlws.FILTER(R:R,($BT:$BT=$BT542)*($I:$I=$I542)*($T:$T=$T542)*($S:$S=_xlfn.MINIFS($S:$S,$T:$T,"="&amp;$T542)),""))))&amp;"",IF(R542="","",""))&amp;""</f>
        <v/>
      </c>
      <c r="AZ542" s="6">
        <f t="shared" si="908"/>
        <v>47</v>
      </c>
      <c r="BA542">
        <f t="shared" ref="BA542:BC542" si="959">BA541</f>
        <v>18991</v>
      </c>
      <c r="BB542" t="str">
        <f t="shared" si="959"/>
        <v>Triple J</v>
      </c>
      <c r="BC542" t="str">
        <f t="shared" si="959"/>
        <v>Velodrome</v>
      </c>
      <c r="BD542" t="str">
        <f t="shared" si="910"/>
        <v>Save</v>
      </c>
      <c r="BE542" t="str">
        <f t="shared" si="911"/>
        <v>Save_Rebound</v>
      </c>
      <c r="BF542" t="str">
        <f t="shared" si="912"/>
        <v>Save-Glove</v>
      </c>
      <c r="BG542" t="str">
        <f t="shared" si="894"/>
        <v/>
      </c>
      <c r="BH542" cm="1">
        <f t="array" aca="1" ref="BH542" ca="1">IFERROR(_xlfn._xlws.FILTER(shifts!A:A,(shifts!B:B=events!Z542)*(shifts!AG:AG&gt;=events!BJ542)*(shifts!AH:AH&lt;=events!BK542)),BH541)</f>
        <v>18</v>
      </c>
      <c r="BI542" s="15">
        <f t="shared" si="913"/>
        <v>0</v>
      </c>
      <c r="BJ542">
        <f t="shared" si="914"/>
        <v>603</v>
      </c>
      <c r="BK542">
        <f t="shared" si="915"/>
        <v>603</v>
      </c>
      <c r="BL542" s="15">
        <f>SUMIFS(BI$2:BI542,K$2:K542,"=Intermission")+SUMIFS(BI$2:BI542,K$2:K542,"=Timeout")</f>
        <v>0</v>
      </c>
      <c r="BM542">
        <f t="shared" si="916"/>
        <v>0</v>
      </c>
      <c r="BN542" s="19">
        <f t="shared" si="917"/>
        <v>477</v>
      </c>
      <c r="BO542">
        <f t="shared" si="918"/>
        <v>472</v>
      </c>
      <c r="BP542" s="17">
        <f t="shared" si="919"/>
        <v>477</v>
      </c>
      <c r="BQ542" t="str">
        <f t="shared" si="920"/>
        <v>event_team_player_2</v>
      </c>
      <c r="BR542">
        <f>COUNTIFS(S$3:S542,"="&amp;S542,AH$3:AH542,"="&amp;AH542)</f>
        <v>2</v>
      </c>
      <c r="BS542" t="str">
        <f>IFERROR(VLOOKUP(BA542&amp;BT542&amp;X542,game_rosters!U:W,3,FALSE),"")</f>
        <v>P100007</v>
      </c>
      <c r="BT542" t="str">
        <f t="shared" si="921"/>
        <v>Triple J</v>
      </c>
    </row>
    <row r="543" spans="1:72" x14ac:dyDescent="0.2">
      <c r="A543" t="str">
        <f t="shared" si="896"/>
        <v>x</v>
      </c>
      <c r="D543" s="26" t="s">
        <v>729</v>
      </c>
      <c r="E543" s="4"/>
      <c r="F543" s="45"/>
      <c r="G543" s="4"/>
      <c r="H543" s="47"/>
      <c r="I543" s="26">
        <v>70</v>
      </c>
      <c r="J543" s="26" t="str">
        <f t="shared" si="925"/>
        <v/>
      </c>
      <c r="N543" t="str">
        <f t="shared" si="940"/>
        <v/>
      </c>
      <c r="Q543" t="str">
        <f t="shared" si="934"/>
        <v/>
      </c>
      <c r="S543">
        <f>IF(A543=1,MAX($S$2:$S542)+1,IF(OR($I543&lt;&gt;"",A543="x"),$S542,""))</f>
        <v>269</v>
      </c>
      <c r="T543">
        <f>IF(D543=1,MAX($T$2:$T542)+1,IF(S543=S542,$T542,IF(D543="x",T542,IF(D542="x","",""))))</f>
        <v>34</v>
      </c>
      <c r="U543" t="str">
        <f>IF(B543=1,MAX($U$2:$U542)+1,IF(AND($T543&lt;&gt;"",$T543=$T542),$U542,IF(B543="x",U542,"")))</f>
        <v/>
      </c>
      <c r="V543" t="str">
        <f>IF(C543=1,MAX($V$2:$V542)+1,IF(AND($T543&lt;&gt;"",$T543=$T542),$U542,IF(C543="x",V542,"")))</f>
        <v/>
      </c>
      <c r="W543" t="str" cm="1">
        <f t="array" ref="W543">IFERROR(_xlfn._xlws.FILTER(game_rosters!AC:AC,(game_rosters!J:J=events!X543)*(K543&lt;&gt;"")),"")</f>
        <v/>
      </c>
      <c r="X543" cm="1">
        <f t="array" ref="X543">IF($I543&lt;&gt;"",$I543,INDEX($I$1:$I543,ROW()-COUNTIFS($T$1:$T543,"="&amp;$T543,$S$1:$S543,"&lt;"&amp;$S543)))</f>
        <v>70</v>
      </c>
      <c r="Y543" t="str" cm="1">
        <f t="array" ref="Y543">IFERROR(IF(_xlfn._xlws.FILTER(game_rosters!$J:$J,(game_rosters!$G:$G=events!$AM543)*(game_rosters!$J:$J=events!$X543))&gt;0,1,""),"")</f>
        <v/>
      </c>
      <c r="Z543" s="6">
        <f t="shared" si="897"/>
        <v>1</v>
      </c>
      <c r="AA543">
        <f t="shared" si="898"/>
        <v>1269</v>
      </c>
      <c r="AB543">
        <f t="shared" si="899"/>
        <v>9034</v>
      </c>
      <c r="AC543">
        <f t="shared" si="900"/>
        <v>9034</v>
      </c>
      <c r="AD543" t="str">
        <f t="shared" si="901"/>
        <v>10</v>
      </c>
      <c r="AE543" t="str">
        <f t="shared" si="902"/>
        <v>03</v>
      </c>
      <c r="AF543" t="str">
        <f t="shared" si="903"/>
        <v/>
      </c>
      <c r="AG543" t="str">
        <f t="shared" si="904"/>
        <v/>
      </c>
      <c r="AH543" t="str">
        <f t="shared" si="947"/>
        <v>o</v>
      </c>
      <c r="AI543" t="str">
        <f t="shared" si="948"/>
        <v>d</v>
      </c>
      <c r="AJ543" t="str">
        <f t="shared" si="948"/>
        <v>d</v>
      </c>
      <c r="AK543" t="str">
        <f t="shared" si="949"/>
        <v/>
      </c>
      <c r="AL543" t="str">
        <f t="shared" si="950"/>
        <v/>
      </c>
      <c r="AM543" t="str">
        <f t="shared" si="905"/>
        <v>Home</v>
      </c>
      <c r="AN543" t="str">
        <f t="shared" si="951"/>
        <v>h</v>
      </c>
      <c r="AO543" t="str">
        <f t="shared" si="952"/>
        <v>d</v>
      </c>
      <c r="AP543" t="str">
        <f t="shared" si="953"/>
        <v>o</v>
      </c>
      <c r="AQ543" t="str">
        <f>IF(AM543&lt;&gt;"",AM543,IF($AC543=#REF!,#REF!,""))</f>
        <v>Home</v>
      </c>
      <c r="AR543" t="str">
        <f t="shared" si="954"/>
        <v>h</v>
      </c>
      <c r="AS543" t="str">
        <f t="shared" si="955"/>
        <v>Offensive</v>
      </c>
      <c r="AT543" t="str">
        <f t="shared" si="906"/>
        <v/>
      </c>
      <c r="AU543" t="str">
        <f t="shared" si="907"/>
        <v/>
      </c>
      <c r="AV543" t="str" cm="1">
        <f t="array" ref="AV543">IFERROR(IF(O543&lt;&gt;"",O543,IF(OR($S543="",$T543=""),"",IF(O543&lt;&gt;"",O543,IF($T543&lt;&gt;"",_xlfn._xlws.FILTER(O:O,($BT:$BT=$BT543)*($I:$I=$I543)*($T:$T=$T543)*($S:$S=_xlfn.MINIFS($S:$S,$T:$T,"="&amp;$T543)),"")))))&amp;"",IF(O543="","",""))&amp;""</f>
        <v/>
      </c>
      <c r="AW543" t="str" cm="1">
        <f t="array" ref="AW543">IFERROR(IF(P543&lt;&gt;"",P543,IF(OR($S543="",$T543=""),"",IF($T543&lt;&gt;"",_xlfn._xlws.FILTER(P:P,($BT:$BT=$BT543)*($I:$I=$I543)*($T:$T=$T543)*($S:$S=_xlfn.MINIFS($S:$S,$T:$T,"="&amp;$T543)),""))))&amp;"",IF(P543="","",""))&amp;""</f>
        <v/>
      </c>
      <c r="AX543" t="str" cm="1">
        <f t="array" ref="AX543">IFERROR(IF(Q543&lt;&gt;"",Q543,IF(OR($S543="",$T543=""),"",IF($T543&lt;&gt;"",_xlfn._xlws.FILTER(Q:Q,($BT:$BT=$BT543)*($I:$I=$I543)*($T:$T=$T543)*($S:$S=_xlfn.MINIFS($S:$S,$T:$T,"="&amp;$T543)),""))))&amp;"",IF(Q543="","",""))&amp;""</f>
        <v/>
      </c>
      <c r="AY543" t="str" cm="1">
        <f t="array" ref="AY543">IFERROR(IF(R543&lt;&gt;"",R543,IF(OR($S543="",$T543=""),"",IF($T543&lt;&gt;"",_xlfn._xlws.FILTER(R:R,($BT:$BT=$BT543)*($I:$I=$I543)*($T:$T=$T543)*($S:$S=_xlfn.MINIFS($S:$S,$T:$T,"="&amp;$T543)),""))))&amp;"",IF(R543="","",""))&amp;""</f>
        <v/>
      </c>
      <c r="AZ543" s="6">
        <f t="shared" si="908"/>
        <v>47</v>
      </c>
      <c r="BA543">
        <f t="shared" ref="BA543:BC543" si="960">BA542</f>
        <v>18991</v>
      </c>
      <c r="BB543" t="str">
        <f t="shared" si="960"/>
        <v>Triple J</v>
      </c>
      <c r="BC543" t="str">
        <f t="shared" si="960"/>
        <v>Velodrome</v>
      </c>
      <c r="BD543" t="str">
        <f t="shared" si="910"/>
        <v>Save</v>
      </c>
      <c r="BE543" t="str">
        <f t="shared" si="911"/>
        <v>Save_Rebound</v>
      </c>
      <c r="BF543" t="str">
        <f t="shared" si="912"/>
        <v>Save-Glove</v>
      </c>
      <c r="BG543" t="str">
        <f t="shared" si="894"/>
        <v/>
      </c>
      <c r="BH543" cm="1">
        <f t="array" aca="1" ref="BH543" ca="1">IFERROR(_xlfn._xlws.FILTER(shifts!A:A,(shifts!B:B=events!Z543)*(shifts!AG:AG&gt;=events!BJ543)*(shifts!AH:AH&lt;=events!BK543)),BH542)</f>
        <v>18</v>
      </c>
      <c r="BI543" s="15">
        <f t="shared" si="913"/>
        <v>0</v>
      </c>
      <c r="BJ543">
        <f t="shared" si="914"/>
        <v>603</v>
      </c>
      <c r="BK543">
        <f t="shared" si="915"/>
        <v>603</v>
      </c>
      <c r="BL543" s="15">
        <f>SUMIFS(BI$2:BI543,K$2:K543,"=Intermission")+SUMIFS(BI$2:BI543,K$2:K543,"=Timeout")</f>
        <v>0</v>
      </c>
      <c r="BM543">
        <f t="shared" si="916"/>
        <v>0</v>
      </c>
      <c r="BN543" s="19">
        <f t="shared" si="917"/>
        <v>477</v>
      </c>
      <c r="BO543">
        <f t="shared" si="918"/>
        <v>472</v>
      </c>
      <c r="BP543" s="17">
        <f t="shared" si="919"/>
        <v>477</v>
      </c>
      <c r="BQ543" t="str">
        <f t="shared" si="920"/>
        <v>opp_team_player_1</v>
      </c>
      <c r="BR543">
        <f>COUNTIFS(S$3:S543,"="&amp;S543,AH$3:AH543,"="&amp;AH543)</f>
        <v>1</v>
      </c>
      <c r="BS543" t="str">
        <f>IFERROR(VLOOKUP(BA543&amp;BT543&amp;X543,game_rosters!U:W,3,FALSE),"")</f>
        <v>P100001</v>
      </c>
      <c r="BT543" t="str">
        <f t="shared" si="921"/>
        <v>Velodrome</v>
      </c>
    </row>
    <row r="544" spans="1:72" x14ac:dyDescent="0.2">
      <c r="A544">
        <f t="shared" si="896"/>
        <v>1</v>
      </c>
      <c r="D544" s="26" t="s">
        <v>729</v>
      </c>
      <c r="E544" s="4"/>
      <c r="F544" s="45"/>
      <c r="G544" s="4"/>
      <c r="H544" s="47"/>
      <c r="I544" s="26">
        <v>1</v>
      </c>
      <c r="J544" s="26" t="str">
        <f t="shared" si="925"/>
        <v>d</v>
      </c>
      <c r="K544" t="s">
        <v>231</v>
      </c>
      <c r="L544" t="s">
        <v>232</v>
      </c>
      <c r="N544" t="str">
        <f t="shared" si="940"/>
        <v/>
      </c>
      <c r="Q544" t="str">
        <f t="shared" si="934"/>
        <v/>
      </c>
      <c r="S544">
        <f>IF(A544=1,MAX($S$2:$S543)+1,IF(OR($I544&lt;&gt;"",A544="x"),$S543,""))</f>
        <v>270</v>
      </c>
      <c r="T544">
        <f>IF(D544=1,MAX($T$2:$T543)+1,IF(S544=S543,$T543,IF(D544="x",T543,IF(D543="x","",""))))</f>
        <v>34</v>
      </c>
      <c r="U544" t="str">
        <f>IF(B544=1,MAX($U$2:$U543)+1,IF(AND($T544&lt;&gt;"",$T544=$T543),$U543,IF(B544="x",U543,"")))</f>
        <v/>
      </c>
      <c r="V544" t="str">
        <f>IF(C544=1,MAX($V$2:$V543)+1,IF(AND($T544&lt;&gt;"",$T544=$T543),$U543,IF(C544="x",V543,"")))</f>
        <v/>
      </c>
      <c r="W544" t="str" cm="1">
        <f t="array" ref="W544">IFERROR(_xlfn._xlws.FILTER(game_rosters!AC:AC,(game_rosters!J:J=events!X544)*(K544&lt;&gt;"")),"")</f>
        <v>h</v>
      </c>
      <c r="X544" cm="1">
        <f t="array" ref="X544">IF($I544&lt;&gt;"",$I544,INDEX($I$1:$I544,ROW()-COUNTIFS($T$1:$T544,"="&amp;$T544,$S$1:$S544,"&lt;"&amp;$S544)))</f>
        <v>1</v>
      </c>
      <c r="Y544" cm="1">
        <f t="array" ref="Y544">IFERROR(IF(_xlfn._xlws.FILTER(game_rosters!$J:$J,(game_rosters!$G:$G=events!$AM544)*(game_rosters!$J:$J=events!$X544))&gt;0,1,""),"")</f>
        <v>1</v>
      </c>
      <c r="Z544" s="6">
        <f t="shared" si="897"/>
        <v>1</v>
      </c>
      <c r="AA544">
        <f t="shared" si="898"/>
        <v>1270</v>
      </c>
      <c r="AB544">
        <f t="shared" si="899"/>
        <v>9034</v>
      </c>
      <c r="AC544">
        <f t="shared" si="900"/>
        <v>9034</v>
      </c>
      <c r="AD544" t="str">
        <f t="shared" si="901"/>
        <v>10</v>
      </c>
      <c r="AE544" t="str">
        <f t="shared" si="902"/>
        <v>03</v>
      </c>
      <c r="AF544" t="str">
        <f t="shared" si="903"/>
        <v/>
      </c>
      <c r="AG544" t="str">
        <f t="shared" si="904"/>
        <v/>
      </c>
      <c r="AH544" t="str">
        <f t="shared" si="947"/>
        <v>e</v>
      </c>
      <c r="AI544" t="str">
        <f t="shared" si="948"/>
        <v>d</v>
      </c>
      <c r="AJ544" t="str">
        <f t="shared" si="948"/>
        <v>d</v>
      </c>
      <c r="AK544" t="str">
        <f t="shared" si="949"/>
        <v>d</v>
      </c>
      <c r="AL544" t="str">
        <f t="shared" si="950"/>
        <v>o</v>
      </c>
      <c r="AM544" t="str">
        <f t="shared" si="905"/>
        <v>Home</v>
      </c>
      <c r="AN544" t="str">
        <f t="shared" si="951"/>
        <v>h</v>
      </c>
      <c r="AO544" t="str">
        <f t="shared" si="952"/>
        <v>d</v>
      </c>
      <c r="AP544" t="str">
        <f t="shared" si="953"/>
        <v>o</v>
      </c>
      <c r="AQ544" t="str">
        <f>IF(AM544&lt;&gt;"",AM544,IF($AC544=#REF!,#REF!,""))</f>
        <v>Home</v>
      </c>
      <c r="AR544" t="str">
        <f t="shared" si="954"/>
        <v>h</v>
      </c>
      <c r="AS544" t="str">
        <f t="shared" si="955"/>
        <v>Offensive</v>
      </c>
      <c r="AT544" t="str">
        <f t="shared" si="906"/>
        <v/>
      </c>
      <c r="AU544" t="str">
        <f t="shared" si="907"/>
        <v/>
      </c>
      <c r="AV544" t="str" cm="1">
        <f t="array" ref="AV544">IFERROR(IF(O544&lt;&gt;"",O544,IF(OR($S544="",$T544=""),"",IF(O544&lt;&gt;"",O544,IF($T544&lt;&gt;"",_xlfn._xlws.FILTER(O:O,($BT:$BT=$BT544)*($I:$I=$I544)*($T:$T=$T544)*($S:$S=_xlfn.MINIFS($S:$S,$T:$T,"="&amp;$T544)),"")))))&amp;"",IF(O544="","",""))&amp;""</f>
        <v/>
      </c>
      <c r="AW544" t="str" cm="1">
        <f t="array" ref="AW544">IFERROR(IF(P544&lt;&gt;"",P544,IF(OR($S544="",$T544=""),"",IF($T544&lt;&gt;"",_xlfn._xlws.FILTER(P:P,($BT:$BT=$BT544)*($I:$I=$I544)*($T:$T=$T544)*($S:$S=_xlfn.MINIFS($S:$S,$T:$T,"="&amp;$T544)),""))))&amp;"",IF(P544="","",""))&amp;""</f>
        <v/>
      </c>
      <c r="AX544" t="str" cm="1">
        <f t="array" ref="AX544">IFERROR(IF(Q544&lt;&gt;"",Q544,IF(OR($S544="",$T544=""),"",IF($T544&lt;&gt;"",_xlfn._xlws.FILTER(Q:Q,($BT:$BT=$BT544)*($I:$I=$I544)*($T:$T=$T544)*($S:$S=_xlfn.MINIFS($S:$S,$T:$T,"="&amp;$T544)),""))))&amp;"",IF(Q544="","",""))&amp;""</f>
        <v/>
      </c>
      <c r="AY544" t="str" cm="1">
        <f t="array" ref="AY544">IFERROR(IF(R544&lt;&gt;"",R544,IF(OR($S544="",$T544=""),"",IF($T544&lt;&gt;"",_xlfn._xlws.FILTER(R:R,($BT:$BT=$BT544)*($I:$I=$I544)*($T:$T=$T544)*($S:$S=_xlfn.MINIFS($S:$S,$T:$T,"="&amp;$T544)),""))))&amp;"",IF(R544="","",""))&amp;""</f>
        <v/>
      </c>
      <c r="AZ544" s="6">
        <f t="shared" si="908"/>
        <v>47</v>
      </c>
      <c r="BA544">
        <f t="shared" ref="BA544:BC544" si="961">BA543</f>
        <v>18991</v>
      </c>
      <c r="BB544" t="str">
        <f t="shared" si="961"/>
        <v>Triple J</v>
      </c>
      <c r="BC544" t="str">
        <f t="shared" si="961"/>
        <v>Velodrome</v>
      </c>
      <c r="BD544" t="str">
        <f t="shared" si="910"/>
        <v>Rebound</v>
      </c>
      <c r="BE544" t="str">
        <f t="shared" si="911"/>
        <v>Rebound_TeamRecovered</v>
      </c>
      <c r="BF544" t="str">
        <f t="shared" si="912"/>
        <v/>
      </c>
      <c r="BG544" t="str">
        <f t="shared" si="894"/>
        <v/>
      </c>
      <c r="BH544" cm="1">
        <f t="array" aca="1" ref="BH544" ca="1">IFERROR(_xlfn._xlws.FILTER(shifts!A:A,(shifts!B:B=events!Z544)*(shifts!AG:AG&gt;=events!BJ544)*(shifts!AH:AH&lt;=events!BK544)),BH543)</f>
        <v>18</v>
      </c>
      <c r="BI544" s="15">
        <f t="shared" si="913"/>
        <v>0</v>
      </c>
      <c r="BJ544">
        <f t="shared" si="914"/>
        <v>603</v>
      </c>
      <c r="BK544">
        <f t="shared" si="915"/>
        <v>603</v>
      </c>
      <c r="BL544" s="15">
        <f>SUMIFS(BI$2:BI544,K$2:K544,"=Intermission")+SUMIFS(BI$2:BI544,K$2:K544,"=Timeout")</f>
        <v>0</v>
      </c>
      <c r="BM544">
        <f t="shared" si="916"/>
        <v>0</v>
      </c>
      <c r="BN544" s="19">
        <f t="shared" si="917"/>
        <v>477</v>
      </c>
      <c r="BO544">
        <f t="shared" si="918"/>
        <v>472</v>
      </c>
      <c r="BP544" s="17">
        <f t="shared" si="919"/>
        <v>477</v>
      </c>
      <c r="BQ544" t="str">
        <f t="shared" si="920"/>
        <v>event_team_player_1</v>
      </c>
      <c r="BR544">
        <f>COUNTIFS(S$3:S544,"="&amp;S544,AH$3:AH544,"="&amp;AH544)</f>
        <v>1</v>
      </c>
      <c r="BS544" t="str">
        <f>IFERROR(VLOOKUP(BA544&amp;BT544&amp;X544,game_rosters!U:W,3,FALSE),"")</f>
        <v>P100020</v>
      </c>
      <c r="BT544" t="str">
        <f t="shared" si="921"/>
        <v>Triple J</v>
      </c>
    </row>
    <row r="545" spans="1:72" x14ac:dyDescent="0.2">
      <c r="A545">
        <f t="shared" si="896"/>
        <v>1</v>
      </c>
      <c r="E545" s="4"/>
      <c r="F545" s="45" t="s">
        <v>413</v>
      </c>
      <c r="G545" s="4" t="s">
        <v>1070</v>
      </c>
      <c r="H545" s="47" t="s">
        <v>1058</v>
      </c>
      <c r="I545" s="26">
        <v>69</v>
      </c>
      <c r="J545" s="26" t="s">
        <v>736</v>
      </c>
      <c r="K545" t="s">
        <v>13</v>
      </c>
      <c r="L545" t="s">
        <v>586</v>
      </c>
      <c r="N545" t="s">
        <v>594</v>
      </c>
      <c r="O545" t="s">
        <v>908</v>
      </c>
      <c r="Q545" t="str">
        <f t="shared" si="934"/>
        <v>u</v>
      </c>
      <c r="S545">
        <f>IF(A545=1,MAX($S$2:$S544)+1,IF(OR($I545&lt;&gt;"",A545="x"),$S544,""))</f>
        <v>271</v>
      </c>
      <c r="T545" t="str">
        <f>IF(D545=1,MAX($T$2:$T544)+1,IF(S545=S544,$T544,IF(D545="x",T544,IF(D544="x","",""))))</f>
        <v/>
      </c>
      <c r="U545" t="str">
        <f>IF(B545=1,MAX($U$2:$U544)+1,IF(AND($T545&lt;&gt;"",$T545=$T544),$U544,IF(B545="x",U544,"")))</f>
        <v/>
      </c>
      <c r="V545" t="str">
        <f>IF(C545=1,MAX($V$2:$V544)+1,IF(AND($T545&lt;&gt;"",$T545=$T544),$U544,IF(C545="x",V544,"")))</f>
        <v/>
      </c>
      <c r="W545" t="str" cm="1">
        <f t="array" ref="W545">IFERROR(_xlfn._xlws.FILTER(game_rosters!AC:AC,(game_rosters!J:J=events!X545)*(K545&lt;&gt;"")),"")</f>
        <v>h</v>
      </c>
      <c r="X545" cm="1">
        <f t="array" ref="X545">IF($I545&lt;&gt;"",$I545,INDEX($I$1:$I545,ROW()-COUNTIFS($T$1:$T545,"="&amp;$T545,$S$1:$S545,"&lt;"&amp;$S545)))</f>
        <v>69</v>
      </c>
      <c r="Y545" cm="1">
        <f t="array" ref="Y545">IFERROR(IF(_xlfn._xlws.FILTER(game_rosters!$J:$J,(game_rosters!$G:$G=events!$AM545)*(game_rosters!$J:$J=events!$X545))&gt;0,1,""),"")</f>
        <v>1</v>
      </c>
      <c r="Z545" s="6">
        <f t="shared" si="897"/>
        <v>1</v>
      </c>
      <c r="AA545">
        <f t="shared" si="898"/>
        <v>1271</v>
      </c>
      <c r="AB545" t="str">
        <f t="shared" si="899"/>
        <v/>
      </c>
      <c r="AC545">
        <f t="shared" si="900"/>
        <v>1271</v>
      </c>
      <c r="AD545" t="str">
        <f t="shared" si="901"/>
        <v>10</v>
      </c>
      <c r="AE545" t="str">
        <f t="shared" si="902"/>
        <v>00</v>
      </c>
      <c r="AF545" t="str">
        <f t="shared" si="903"/>
        <v>9</v>
      </c>
      <c r="AG545" t="str">
        <f t="shared" si="904"/>
        <v>59</v>
      </c>
      <c r="AH545" t="str">
        <f t="shared" si="947"/>
        <v>e</v>
      </c>
      <c r="AI545" t="str">
        <f t="shared" si="948"/>
        <v>d</v>
      </c>
      <c r="AJ545" t="str">
        <f t="shared" si="948"/>
        <v>d</v>
      </c>
      <c r="AK545" t="str">
        <f t="shared" si="949"/>
        <v>d</v>
      </c>
      <c r="AL545" t="str">
        <f t="shared" si="950"/>
        <v>o</v>
      </c>
      <c r="AM545" t="str">
        <f t="shared" si="905"/>
        <v>Home</v>
      </c>
      <c r="AN545" t="str">
        <f t="shared" si="951"/>
        <v>h</v>
      </c>
      <c r="AO545" t="str">
        <f t="shared" si="952"/>
        <v>d</v>
      </c>
      <c r="AP545" t="str">
        <f t="shared" si="953"/>
        <v>o</v>
      </c>
      <c r="AQ545" t="str">
        <f>IF(AM545&lt;&gt;"",AM545,IF($AC545=#REF!,#REF!,""))</f>
        <v>Home</v>
      </c>
      <c r="AR545" t="str">
        <f t="shared" si="954"/>
        <v>h</v>
      </c>
      <c r="AS545" t="str">
        <f t="shared" si="955"/>
        <v>Offensive</v>
      </c>
      <c r="AT545" t="str">
        <f t="shared" si="906"/>
        <v/>
      </c>
      <c r="AU545" t="str">
        <f t="shared" si="907"/>
        <v/>
      </c>
      <c r="AV545" t="str" cm="1">
        <f t="array" ref="AV545">IFERROR(IF(O545&lt;&gt;"",O545,IF(OR($S545="",$T545=""),"",IF(O545&lt;&gt;"",O545,IF($T545&lt;&gt;"",_xlfn._xlws.FILTER(O:O,($BT:$BT=$BT545)*($I:$I=$I545)*($T:$T=$T545)*($S:$S=_xlfn.MINIFS($S:$S,$T:$T,"="&amp;$T545)),"")))))&amp;"",IF(O545="","",""))&amp;""</f>
        <v>PuckRecoveryRetreivalRebound</v>
      </c>
      <c r="AW545" t="str" cm="1">
        <f t="array" ref="AW545">IFERROR(IF(P545&lt;&gt;"",P545,IF(OR($S545="",$T545=""),"",IF($T545&lt;&gt;"",_xlfn._xlws.FILTER(P:P,($BT:$BT=$BT545)*($I:$I=$I545)*($T:$T=$T545)*($S:$S=_xlfn.MINIFS($S:$S,$T:$T,"="&amp;$T545)),""))))&amp;"",IF(P545="","",""))&amp;""</f>
        <v/>
      </c>
      <c r="AX545" t="str" cm="1">
        <f t="array" ref="AX545">IFERROR(IF(Q545&lt;&gt;"",Q545,IF(OR($S545="",$T545=""),"",IF($T545&lt;&gt;"",_xlfn._xlws.FILTER(Q:Q,($BT:$BT=$BT545)*($I:$I=$I545)*($T:$T=$T545)*($S:$S=_xlfn.MINIFS($S:$S,$T:$T,"="&amp;$T545)),""))))&amp;"",IF(Q545="","",""))&amp;""</f>
        <v>u</v>
      </c>
      <c r="AY545" t="str" cm="1">
        <f t="array" ref="AY545">IFERROR(IF(R545&lt;&gt;"",R545,IF(OR($S545="",$T545=""),"",IF($T545&lt;&gt;"",_xlfn._xlws.FILTER(R:R,($BT:$BT=$BT545)*($I:$I=$I545)*($T:$T=$T545)*($S:$S=_xlfn.MINIFS($S:$S,$T:$T,"="&amp;$T545)),""))))&amp;"",IF(R545="","",""))&amp;""</f>
        <v/>
      </c>
      <c r="AZ545" s="6">
        <f t="shared" si="908"/>
        <v>47</v>
      </c>
      <c r="BA545">
        <f t="shared" ref="BA545:BC545" si="962">BA544</f>
        <v>18991</v>
      </c>
      <c r="BB545" t="str">
        <f t="shared" si="962"/>
        <v>Triple J</v>
      </c>
      <c r="BC545" t="str">
        <f t="shared" si="962"/>
        <v>Velodrome</v>
      </c>
      <c r="BD545" t="str">
        <f t="shared" si="910"/>
        <v>Possession</v>
      </c>
      <c r="BE545" t="str">
        <f t="shared" si="911"/>
        <v>PuckRetrieval</v>
      </c>
      <c r="BF545" t="str">
        <f t="shared" si="912"/>
        <v/>
      </c>
      <c r="BG545" t="str">
        <f t="shared" si="894"/>
        <v>u</v>
      </c>
      <c r="BH545" cm="1">
        <f t="array" aca="1" ref="BH545" ca="1">IFERROR(_xlfn._xlws.FILTER(shifts!A:A,(shifts!B:B=events!Z545)*(shifts!AG:AG&gt;=events!BJ545)*(shifts!AH:AH&lt;=events!BK545)),BH544)</f>
        <v>18</v>
      </c>
      <c r="BI545" s="15">
        <f t="shared" si="913"/>
        <v>1</v>
      </c>
      <c r="BJ545">
        <f t="shared" si="914"/>
        <v>600</v>
      </c>
      <c r="BK545">
        <f t="shared" si="915"/>
        <v>599</v>
      </c>
      <c r="BL545" s="15">
        <f>SUMIFS(BI$2:BI545,K$2:K545,"=Intermission")+SUMIFS(BI$2:BI545,K$2:K545,"=Timeout")</f>
        <v>0</v>
      </c>
      <c r="BM545">
        <f t="shared" si="916"/>
        <v>0</v>
      </c>
      <c r="BN545" s="19">
        <f t="shared" si="917"/>
        <v>480</v>
      </c>
      <c r="BO545">
        <f t="shared" si="918"/>
        <v>475</v>
      </c>
      <c r="BP545" s="17">
        <f t="shared" si="919"/>
        <v>481</v>
      </c>
      <c r="BQ545" t="str">
        <f t="shared" si="920"/>
        <v>event_team_player_1</v>
      </c>
      <c r="BR545">
        <f>COUNTIFS(S$3:S545,"="&amp;S545,AH$3:AH545,"="&amp;AH545)</f>
        <v>1</v>
      </c>
      <c r="BS545" t="str">
        <f>IFERROR(VLOOKUP(BA545&amp;BT545&amp;X545,game_rosters!U:W,3,FALSE),"")</f>
        <v>P100014</v>
      </c>
      <c r="BT545" t="str">
        <f t="shared" si="921"/>
        <v>Triple J</v>
      </c>
    </row>
    <row r="546" spans="1:72" x14ac:dyDescent="0.2">
      <c r="A546" t="str">
        <f t="shared" si="896"/>
        <v/>
      </c>
      <c r="E546" s="4"/>
      <c r="F546" s="45"/>
      <c r="G546" s="4"/>
      <c r="H546" s="47"/>
      <c r="I546" s="26">
        <v>91</v>
      </c>
      <c r="J546" s="26" t="str">
        <f t="shared" si="925"/>
        <v/>
      </c>
      <c r="N546" t="str">
        <f t="shared" si="940"/>
        <v/>
      </c>
      <c r="Q546" t="str">
        <f t="shared" si="934"/>
        <v/>
      </c>
      <c r="S546">
        <f>IF(A546=1,MAX($S$2:$S545)+1,IF(OR($I546&lt;&gt;"",A546="x"),$S545,""))</f>
        <v>271</v>
      </c>
      <c r="T546" t="str">
        <f>IF(D546=1,MAX($T$2:$T545)+1,IF(S546=S545,$T545,IF(D546="x",T545,IF(D545="x","",""))))</f>
        <v/>
      </c>
      <c r="U546" t="str">
        <f>IF(B546=1,MAX($U$2:$U545)+1,IF(AND($T546&lt;&gt;"",$T546=$T545),$U545,IF(B546="x",U545,"")))</f>
        <v/>
      </c>
      <c r="V546" t="str">
        <f>IF(C546=1,MAX($V$2:$V545)+1,IF(AND($T546&lt;&gt;"",$T546=$T545),$U545,IF(C546="x",V545,"")))</f>
        <v/>
      </c>
      <c r="W546" t="str" cm="1">
        <f t="array" ref="W546">IFERROR(_xlfn._xlws.FILTER(game_rosters!AC:AC,(game_rosters!J:J=events!X546)*(K546&lt;&gt;"")),"")</f>
        <v/>
      </c>
      <c r="X546" cm="1">
        <f t="array" ref="X546">IF($I546&lt;&gt;"",$I546,INDEX($I$1:$I546,ROW()-COUNTIFS($T$1:$T546,"="&amp;$T546,$S$1:$S546,"&lt;"&amp;$S546)))</f>
        <v>91</v>
      </c>
      <c r="Y546" t="str" cm="1">
        <f t="array" ref="Y546">IFERROR(IF(_xlfn._xlws.FILTER(game_rosters!$J:$J,(game_rosters!$G:$G=events!$AM546)*(game_rosters!$J:$J=events!$X546))&gt;0,1,""),"")</f>
        <v/>
      </c>
      <c r="Z546" s="6">
        <f t="shared" si="897"/>
        <v>1</v>
      </c>
      <c r="AA546">
        <f t="shared" si="898"/>
        <v>1271</v>
      </c>
      <c r="AB546" t="str">
        <f t="shared" si="899"/>
        <v/>
      </c>
      <c r="AC546">
        <f t="shared" si="900"/>
        <v>1271</v>
      </c>
      <c r="AD546" t="str">
        <f t="shared" si="901"/>
        <v>10</v>
      </c>
      <c r="AE546" t="str">
        <f t="shared" si="902"/>
        <v>00</v>
      </c>
      <c r="AF546" t="str">
        <f t="shared" si="903"/>
        <v>9</v>
      </c>
      <c r="AG546" t="str">
        <f t="shared" si="904"/>
        <v>59</v>
      </c>
      <c r="AH546" t="str">
        <f t="shared" si="947"/>
        <v>o</v>
      </c>
      <c r="AI546" t="str">
        <f t="shared" si="948"/>
        <v>d</v>
      </c>
      <c r="AJ546" t="str">
        <f t="shared" si="948"/>
        <v>d</v>
      </c>
      <c r="AK546" t="str">
        <f t="shared" si="949"/>
        <v/>
      </c>
      <c r="AL546" t="str">
        <f t="shared" si="950"/>
        <v/>
      </c>
      <c r="AM546" t="str">
        <f t="shared" si="905"/>
        <v>Home</v>
      </c>
      <c r="AN546" t="str">
        <f t="shared" si="951"/>
        <v>h</v>
      </c>
      <c r="AO546" t="str">
        <f t="shared" si="952"/>
        <v>d</v>
      </c>
      <c r="AP546" t="str">
        <f t="shared" si="953"/>
        <v>o</v>
      </c>
      <c r="AQ546" t="str">
        <f>IF(AM546&lt;&gt;"",AM546,IF($AC546=#REF!,#REF!,""))</f>
        <v>Home</v>
      </c>
      <c r="AR546" t="str">
        <f t="shared" si="954"/>
        <v>h</v>
      </c>
      <c r="AS546" t="str">
        <f t="shared" si="955"/>
        <v>Defensive</v>
      </c>
      <c r="AT546" t="str">
        <f t="shared" si="906"/>
        <v/>
      </c>
      <c r="AU546" t="str">
        <f t="shared" si="907"/>
        <v/>
      </c>
      <c r="AV546" t="str" cm="1">
        <f t="array" ref="AV546">IFERROR(IF(O546&lt;&gt;"",O546,IF(OR($S546="",$T546=""),"",IF(O546&lt;&gt;"",O546,IF($T546&lt;&gt;"",_xlfn._xlws.FILTER(O:O,($BT:$BT=$BT546)*($I:$I=$I546)*($T:$T=$T546)*($S:$S=_xlfn.MINIFS($S:$S,$T:$T,"="&amp;$T546)),"")))))&amp;"",IF(O546="","",""))&amp;""</f>
        <v/>
      </c>
      <c r="AW546" t="str" cm="1">
        <f t="array" ref="AW546">IFERROR(IF(P546&lt;&gt;"",P546,IF(OR($S546="",$T546=""),"",IF($T546&lt;&gt;"",_xlfn._xlws.FILTER(P:P,($BT:$BT=$BT546)*($I:$I=$I546)*($T:$T=$T546)*($S:$S=_xlfn.MINIFS($S:$S,$T:$T,"="&amp;$T546)),""))))&amp;"",IF(P546="","",""))&amp;""</f>
        <v/>
      </c>
      <c r="AX546" t="str" cm="1">
        <f t="array" ref="AX546">IFERROR(IF(Q546&lt;&gt;"",Q546,IF(OR($S546="",$T546=""),"",IF($T546&lt;&gt;"",_xlfn._xlws.FILTER(Q:Q,($BT:$BT=$BT546)*($I:$I=$I546)*($T:$T=$T546)*($S:$S=_xlfn.MINIFS($S:$S,$T:$T,"="&amp;$T546)),""))))&amp;"",IF(Q546="","",""))&amp;""</f>
        <v/>
      </c>
      <c r="AY546" t="str" cm="1">
        <f t="array" ref="AY546">IFERROR(IF(R546&lt;&gt;"",R546,IF(OR($S546="",$T546=""),"",IF($T546&lt;&gt;"",_xlfn._xlws.FILTER(R:R,($BT:$BT=$BT546)*($I:$I=$I546)*($T:$T=$T546)*($S:$S=_xlfn.MINIFS($S:$S,$T:$T,"="&amp;$T546)),""))))&amp;"",IF(R546="","",""))&amp;""</f>
        <v/>
      </c>
      <c r="AZ546" s="6">
        <f t="shared" si="908"/>
        <v>47</v>
      </c>
      <c r="BA546">
        <f t="shared" ref="BA546:BC546" si="963">BA545</f>
        <v>18991</v>
      </c>
      <c r="BB546" t="str">
        <f t="shared" si="963"/>
        <v>Triple J</v>
      </c>
      <c r="BC546" t="str">
        <f t="shared" si="963"/>
        <v>Velodrome</v>
      </c>
      <c r="BD546" t="str">
        <f t="shared" si="910"/>
        <v>Possession</v>
      </c>
      <c r="BE546" t="str">
        <f t="shared" si="911"/>
        <v>PuckRetrieval</v>
      </c>
      <c r="BF546" t="str">
        <f t="shared" si="912"/>
        <v/>
      </c>
      <c r="BG546" t="str">
        <f t="shared" si="894"/>
        <v>u</v>
      </c>
      <c r="BH546" cm="1">
        <f t="array" aca="1" ref="BH546" ca="1">IFERROR(_xlfn._xlws.FILTER(shifts!A:A,(shifts!B:B=events!Z546)*(shifts!AG:AG&gt;=events!BJ546)*(shifts!AH:AH&lt;=events!BK546)),BH545)</f>
        <v>18</v>
      </c>
      <c r="BI546" s="15">
        <f t="shared" si="913"/>
        <v>1</v>
      </c>
      <c r="BJ546">
        <f t="shared" si="914"/>
        <v>600</v>
      </c>
      <c r="BK546">
        <f t="shared" si="915"/>
        <v>599</v>
      </c>
      <c r="BL546" s="15">
        <f>SUMIFS(BI$2:BI546,K$2:K546,"=Intermission")+SUMIFS(BI$2:BI546,K$2:K546,"=Timeout")</f>
        <v>0</v>
      </c>
      <c r="BM546">
        <f t="shared" si="916"/>
        <v>0</v>
      </c>
      <c r="BN546" s="19">
        <f t="shared" si="917"/>
        <v>480</v>
      </c>
      <c r="BO546">
        <f t="shared" si="918"/>
        <v>475</v>
      </c>
      <c r="BP546" s="17">
        <f t="shared" si="919"/>
        <v>481</v>
      </c>
      <c r="BQ546" t="str">
        <f t="shared" si="920"/>
        <v>opp_team_player_1</v>
      </c>
      <c r="BR546">
        <f>COUNTIFS(S$3:S546,"="&amp;S546,AH$3:AH546,"="&amp;AH546)</f>
        <v>1</v>
      </c>
      <c r="BS546" t="str">
        <f>IFERROR(VLOOKUP(BA546&amp;BT546&amp;X546,game_rosters!U:W,3,FALSE),"")</f>
        <v>P100002</v>
      </c>
      <c r="BT546" t="str">
        <f t="shared" si="921"/>
        <v>Velodrome</v>
      </c>
    </row>
    <row r="547" spans="1:72" x14ac:dyDescent="0.2">
      <c r="A547">
        <f t="shared" si="896"/>
        <v>1</v>
      </c>
      <c r="D547" s="26">
        <v>1</v>
      </c>
      <c r="E547" s="4"/>
      <c r="F547" s="45"/>
      <c r="G547" s="4"/>
      <c r="H547" s="47"/>
      <c r="I547" s="26">
        <v>69</v>
      </c>
      <c r="J547" s="26" t="s">
        <v>736</v>
      </c>
      <c r="K547" t="s">
        <v>7</v>
      </c>
      <c r="L547" t="s">
        <v>199</v>
      </c>
      <c r="M547" t="s">
        <v>67</v>
      </c>
      <c r="N547" t="str">
        <f t="shared" si="940"/>
        <v>u</v>
      </c>
      <c r="Q547" t="str">
        <f t="shared" si="934"/>
        <v/>
      </c>
      <c r="S547">
        <f>IF(A547=1,MAX($S$2:$S546)+1,IF(OR($I547&lt;&gt;"",A547="x"),$S546,""))</f>
        <v>272</v>
      </c>
      <c r="T547">
        <f>IF(D547=1,MAX($T$2:$T546)+1,IF(S547=S546,$T546,IF(D547="x",T546,IF(D546="x","",""))))</f>
        <v>35</v>
      </c>
      <c r="U547" t="str">
        <f>IF(B547=1,MAX($U$2:$U546)+1,IF(AND($T547&lt;&gt;"",$T547=$T546),$U546,IF(B547="x",U546,"")))</f>
        <v/>
      </c>
      <c r="V547" t="str">
        <f>IF(C547=1,MAX($V$2:$V546)+1,IF(AND($T547&lt;&gt;"",$T547=$T546),$U546,IF(C547="x",V546,"")))</f>
        <v/>
      </c>
      <c r="W547" t="str" cm="1">
        <f t="array" ref="W547">IFERROR(_xlfn._xlws.FILTER(game_rosters!AC:AC,(game_rosters!J:J=events!X547)*(K547&lt;&gt;"")),"")</f>
        <v>h</v>
      </c>
      <c r="X547" cm="1">
        <f t="array" ref="X547">IF($I547&lt;&gt;"",$I547,INDEX($I$1:$I547,ROW()-COUNTIFS($T$1:$T547,"="&amp;$T547,$S$1:$S547,"&lt;"&amp;$S547)))</f>
        <v>69</v>
      </c>
      <c r="Y547" cm="1">
        <f t="array" ref="Y547">IFERROR(IF(_xlfn._xlws.FILTER(game_rosters!$J:$J,(game_rosters!$G:$G=events!$AM547)*(game_rosters!$J:$J=events!$X547))&gt;0,1,""),"")</f>
        <v>1</v>
      </c>
      <c r="Z547" s="6">
        <f t="shared" si="897"/>
        <v>1</v>
      </c>
      <c r="AA547">
        <f t="shared" si="898"/>
        <v>1272</v>
      </c>
      <c r="AB547">
        <f t="shared" si="899"/>
        <v>9035</v>
      </c>
      <c r="AC547">
        <f t="shared" si="900"/>
        <v>9035</v>
      </c>
      <c r="AD547" t="str">
        <f t="shared" si="901"/>
        <v>9</v>
      </c>
      <c r="AE547" t="str">
        <f t="shared" si="902"/>
        <v>59</v>
      </c>
      <c r="AF547" t="str">
        <f t="shared" si="903"/>
        <v/>
      </c>
      <c r="AG547" t="str">
        <f t="shared" si="904"/>
        <v/>
      </c>
      <c r="AH547" t="str">
        <f t="shared" si="947"/>
        <v>e</v>
      </c>
      <c r="AI547" t="str">
        <f t="shared" si="948"/>
        <v>d</v>
      </c>
      <c r="AJ547" t="str">
        <f t="shared" si="948"/>
        <v>d</v>
      </c>
      <c r="AK547" t="str">
        <f t="shared" si="949"/>
        <v>d</v>
      </c>
      <c r="AL547" t="str">
        <f t="shared" si="950"/>
        <v>o</v>
      </c>
      <c r="AM547" t="str">
        <f t="shared" si="905"/>
        <v>Home</v>
      </c>
      <c r="AN547" t="str">
        <f t="shared" si="951"/>
        <v>h</v>
      </c>
      <c r="AO547" t="str">
        <f t="shared" si="952"/>
        <v>d</v>
      </c>
      <c r="AP547" t="str">
        <f t="shared" si="953"/>
        <v>o</v>
      </c>
      <c r="AQ547" t="str">
        <f>IF(AM547&lt;&gt;"",AM547,IF($AC547=#REF!,#REF!,""))</f>
        <v>Home</v>
      </c>
      <c r="AR547" t="str">
        <f t="shared" si="954"/>
        <v>h</v>
      </c>
      <c r="AS547" t="str">
        <f t="shared" si="955"/>
        <v>Offensive</v>
      </c>
      <c r="AT547" t="str">
        <f t="shared" si="906"/>
        <v/>
      </c>
      <c r="AU547" t="str">
        <f t="shared" si="907"/>
        <v/>
      </c>
      <c r="AV547" t="str" cm="1">
        <f t="array" ref="AV547">IFERROR(IF(O547&lt;&gt;"",O547,IF(OR($S547="",$T547=""),"",IF(O547&lt;&gt;"",O547,IF($T547&lt;&gt;"",_xlfn._xlws.FILTER(O:O,($BT:$BT=$BT547)*($I:$I=$I547)*($T:$T=$T547)*($S:$S=_xlfn.MINIFS($S:$S,$T:$T,"="&amp;$T547)),"")))))&amp;"",IF(O547="","",""))&amp;""</f>
        <v/>
      </c>
      <c r="AW547" t="str" cm="1">
        <f t="array" ref="AW547">IFERROR(IF(P547&lt;&gt;"",P547,IF(OR($S547="",$T547=""),"",IF($T547&lt;&gt;"",_xlfn._xlws.FILTER(P:P,($BT:$BT=$BT547)*($I:$I=$I547)*($T:$T=$T547)*($S:$S=_xlfn.MINIFS($S:$S,$T:$T,"="&amp;$T547)),""))))&amp;"",IF(P547="","",""))&amp;""</f>
        <v/>
      </c>
      <c r="AX547" t="str" cm="1">
        <f t="array" ref="AX547">IFERROR(IF(Q547&lt;&gt;"",Q547,IF(OR($S547="",$T547=""),"",IF($T547&lt;&gt;"",_xlfn._xlws.FILTER(Q:Q,($BT:$BT=$BT547)*($I:$I=$I547)*($T:$T=$T547)*($S:$S=_xlfn.MINIFS($S:$S,$T:$T,"="&amp;$T547)),""))))&amp;"",IF(Q547="","",""))&amp;""</f>
        <v/>
      </c>
      <c r="AY547" t="str" cm="1">
        <f t="array" ref="AY547">IFERROR(IF(R547&lt;&gt;"",R547,IF(OR($S547="",$T547=""),"",IF($T547&lt;&gt;"",_xlfn._xlws.FILTER(R:R,($BT:$BT=$BT547)*($I:$I=$I547)*($T:$T=$T547)*($S:$S=_xlfn.MINIFS($S:$S,$T:$T,"="&amp;$T547)),""))))&amp;"",IF(R547="","",""))&amp;""</f>
        <v/>
      </c>
      <c r="AZ547" s="6">
        <f t="shared" si="908"/>
        <v>47</v>
      </c>
      <c r="BA547">
        <f t="shared" ref="BA547:BC547" si="964">BA546</f>
        <v>18991</v>
      </c>
      <c r="BB547" t="str">
        <f t="shared" si="964"/>
        <v>Triple J</v>
      </c>
      <c r="BC547" t="str">
        <f t="shared" si="964"/>
        <v>Velodrome</v>
      </c>
      <c r="BD547" t="str">
        <f t="shared" si="910"/>
        <v>Pass</v>
      </c>
      <c r="BE547" t="str">
        <f t="shared" si="911"/>
        <v>Pass_Intercepted</v>
      </c>
      <c r="BF547" t="str">
        <f t="shared" si="912"/>
        <v>Pass-Backhand</v>
      </c>
      <c r="BG547" t="str">
        <f t="shared" si="894"/>
        <v>u</v>
      </c>
      <c r="BH547" cm="1">
        <f t="array" aca="1" ref="BH547" ca="1">IFERROR(_xlfn._xlws.FILTER(shifts!A:A,(shifts!B:B=events!Z547)*(shifts!AG:AG&gt;=events!BJ547)*(shifts!AH:AH&lt;=events!BK547)),BH546)</f>
        <v>18</v>
      </c>
      <c r="BI547" s="15">
        <f t="shared" si="913"/>
        <v>0</v>
      </c>
      <c r="BJ547">
        <f t="shared" si="914"/>
        <v>599</v>
      </c>
      <c r="BK547">
        <f t="shared" si="915"/>
        <v>599</v>
      </c>
      <c r="BL547" s="15">
        <f>SUMIFS(BI$2:BI547,K$2:K547,"=Intermission")+SUMIFS(BI$2:BI547,K$2:K547,"=Timeout")</f>
        <v>0</v>
      </c>
      <c r="BM547">
        <f t="shared" si="916"/>
        <v>0</v>
      </c>
      <c r="BN547" s="19">
        <f t="shared" si="917"/>
        <v>481</v>
      </c>
      <c r="BO547">
        <f t="shared" si="918"/>
        <v>476</v>
      </c>
      <c r="BP547" s="17">
        <f t="shared" si="919"/>
        <v>481</v>
      </c>
      <c r="BQ547" t="str">
        <f t="shared" si="920"/>
        <v>event_team_player_1</v>
      </c>
      <c r="BR547">
        <f>COUNTIFS(S$3:S547,"="&amp;S547,AH$3:AH547,"="&amp;AH547)</f>
        <v>1</v>
      </c>
      <c r="BS547" t="str">
        <f>IFERROR(VLOOKUP(BA547&amp;BT547&amp;X547,game_rosters!U:W,3,FALSE),"")</f>
        <v>P100014</v>
      </c>
      <c r="BT547" t="str">
        <f t="shared" si="921"/>
        <v>Triple J</v>
      </c>
    </row>
    <row r="548" spans="1:72" x14ac:dyDescent="0.2">
      <c r="A548" t="str">
        <f t="shared" si="896"/>
        <v>x</v>
      </c>
      <c r="D548" s="26" t="s">
        <v>729</v>
      </c>
      <c r="E548" s="4"/>
      <c r="F548" s="45"/>
      <c r="G548" s="4"/>
      <c r="H548" s="47"/>
      <c r="I548" s="26">
        <v>90</v>
      </c>
      <c r="J548" s="26" t="str">
        <f t="shared" si="925"/>
        <v/>
      </c>
      <c r="N548" t="str">
        <f t="shared" si="940"/>
        <v/>
      </c>
      <c r="Q548" t="str">
        <f t="shared" si="934"/>
        <v/>
      </c>
      <c r="S548">
        <f>IF(A548=1,MAX($S$2:$S547)+1,IF(OR($I548&lt;&gt;"",A548="x"),$S547,""))</f>
        <v>272</v>
      </c>
      <c r="T548">
        <f>IF(D548=1,MAX($T$2:$T547)+1,IF(S548=S547,$T547,IF(D548="x",T547,IF(D547="x","",""))))</f>
        <v>35</v>
      </c>
      <c r="U548" t="str">
        <f>IF(B548=1,MAX($U$2:$U547)+1,IF(AND($T548&lt;&gt;"",$T548=$T547),$U547,IF(B548="x",U547,"")))</f>
        <v/>
      </c>
      <c r="V548" t="str">
        <f>IF(C548=1,MAX($V$2:$V547)+1,IF(AND($T548&lt;&gt;"",$T548=$T547),$U547,IF(C548="x",V547,"")))</f>
        <v/>
      </c>
      <c r="W548" t="str" cm="1">
        <f t="array" ref="W548">IFERROR(_xlfn._xlws.FILTER(game_rosters!AC:AC,(game_rosters!J:J=events!X548)*(K548&lt;&gt;"")),"")</f>
        <v/>
      </c>
      <c r="X548" cm="1">
        <f t="array" ref="X548">IF($I548&lt;&gt;"",$I548,INDEX($I$1:$I548,ROW()-COUNTIFS($T$1:$T548,"="&amp;$T548,$S$1:$S548,"&lt;"&amp;$S548)))</f>
        <v>90</v>
      </c>
      <c r="Y548" cm="1">
        <f t="array" ref="Y548">IFERROR(IF(_xlfn._xlws.FILTER(game_rosters!$J:$J,(game_rosters!$G:$G=events!$AM548)*(game_rosters!$J:$J=events!$X548))&gt;0,1,""),"")</f>
        <v>1</v>
      </c>
      <c r="Z548" s="6">
        <f t="shared" si="897"/>
        <v>1</v>
      </c>
      <c r="AA548">
        <f t="shared" si="898"/>
        <v>1272</v>
      </c>
      <c r="AB548">
        <f t="shared" si="899"/>
        <v>9035</v>
      </c>
      <c r="AC548">
        <f t="shared" si="900"/>
        <v>9035</v>
      </c>
      <c r="AD548" t="str">
        <f t="shared" si="901"/>
        <v>9</v>
      </c>
      <c r="AE548" t="str">
        <f t="shared" si="902"/>
        <v>59</v>
      </c>
      <c r="AF548" t="str">
        <f t="shared" si="903"/>
        <v/>
      </c>
      <c r="AG548" t="str">
        <f t="shared" si="904"/>
        <v/>
      </c>
      <c r="AH548" t="str">
        <f t="shared" si="947"/>
        <v>e</v>
      </c>
      <c r="AI548" t="str">
        <f t="shared" si="948"/>
        <v>d</v>
      </c>
      <c r="AJ548" t="str">
        <f t="shared" si="948"/>
        <v>d</v>
      </c>
      <c r="AK548" t="str">
        <f t="shared" si="949"/>
        <v/>
      </c>
      <c r="AL548" t="str">
        <f t="shared" si="950"/>
        <v/>
      </c>
      <c r="AM548" t="str">
        <f t="shared" si="905"/>
        <v>Home</v>
      </c>
      <c r="AN548" t="str">
        <f t="shared" si="951"/>
        <v>h</v>
      </c>
      <c r="AO548" t="str">
        <f t="shared" si="952"/>
        <v>d</v>
      </c>
      <c r="AP548" t="str">
        <f t="shared" si="953"/>
        <v>o</v>
      </c>
      <c r="AQ548" t="str">
        <f>IF(AM548&lt;&gt;"",AM548,IF($AC548=#REF!,#REF!,""))</f>
        <v>Home</v>
      </c>
      <c r="AR548" t="str">
        <f t="shared" si="954"/>
        <v>h</v>
      </c>
      <c r="AS548" t="str">
        <f t="shared" si="955"/>
        <v>Offensive</v>
      </c>
      <c r="AT548" t="str">
        <f t="shared" si="906"/>
        <v/>
      </c>
      <c r="AU548" t="str">
        <f t="shared" si="907"/>
        <v/>
      </c>
      <c r="AV548" t="str" cm="1">
        <f t="array" ref="AV548">IFERROR(IF(O548&lt;&gt;"",O548,IF(OR($S548="",$T548=""),"",IF(O548&lt;&gt;"",O548,IF($T548&lt;&gt;"",_xlfn._xlws.FILTER(O:O,($BT:$BT=$BT548)*($I:$I=$I548)*($T:$T=$T548)*($S:$S=_xlfn.MINIFS($S:$S,$T:$T,"="&amp;$T548)),"")))))&amp;"",IF(O548="","",""))&amp;""</f>
        <v/>
      </c>
      <c r="AW548" t="str" cm="1">
        <f t="array" ref="AW548">IFERROR(IF(P548&lt;&gt;"",P548,IF(OR($S548="",$T548=""),"",IF($T548&lt;&gt;"",_xlfn._xlws.FILTER(P:P,($BT:$BT=$BT548)*($I:$I=$I548)*($T:$T=$T548)*($S:$S=_xlfn.MINIFS($S:$S,$T:$T,"="&amp;$T548)),""))))&amp;"",IF(P548="","",""))&amp;""</f>
        <v/>
      </c>
      <c r="AX548" t="str" cm="1">
        <f t="array" ref="AX548">IFERROR(IF(Q548&lt;&gt;"",Q548,IF(OR($S548="",$T548=""),"",IF($T548&lt;&gt;"",_xlfn._xlws.FILTER(Q:Q,($BT:$BT=$BT548)*($I:$I=$I548)*($T:$T=$T548)*($S:$S=_xlfn.MINIFS($S:$S,$T:$T,"="&amp;$T548)),""))))&amp;"",IF(Q548="","",""))&amp;""</f>
        <v/>
      </c>
      <c r="AY548" t="str" cm="1">
        <f t="array" ref="AY548">IFERROR(IF(R548&lt;&gt;"",R548,IF(OR($S548="",$T548=""),"",IF($T548&lt;&gt;"",_xlfn._xlws.FILTER(R:R,($BT:$BT=$BT548)*($I:$I=$I548)*($T:$T=$T548)*($S:$S=_xlfn.MINIFS($S:$S,$T:$T,"="&amp;$T548)),""))))&amp;"",IF(R548="","",""))&amp;""</f>
        <v/>
      </c>
      <c r="AZ548" s="6">
        <f t="shared" si="908"/>
        <v>47</v>
      </c>
      <c r="BA548">
        <f t="shared" ref="BA548:BC548" si="965">BA547</f>
        <v>18991</v>
      </c>
      <c r="BB548" t="str">
        <f t="shared" si="965"/>
        <v>Triple J</v>
      </c>
      <c r="BC548" t="str">
        <f t="shared" si="965"/>
        <v>Velodrome</v>
      </c>
      <c r="BD548" t="str">
        <f t="shared" si="910"/>
        <v>Pass</v>
      </c>
      <c r="BE548" t="str">
        <f t="shared" si="911"/>
        <v>Pass_Intercepted</v>
      </c>
      <c r="BF548" t="str">
        <f t="shared" si="912"/>
        <v>Pass-Backhand</v>
      </c>
      <c r="BG548" t="str">
        <f t="shared" si="894"/>
        <v>u</v>
      </c>
      <c r="BH548" cm="1">
        <f t="array" aca="1" ref="BH548" ca="1">IFERROR(_xlfn._xlws.FILTER(shifts!A:A,(shifts!B:B=events!Z548)*(shifts!AG:AG&gt;=events!BJ548)*(shifts!AH:AH&lt;=events!BK548)),BH547)</f>
        <v>18</v>
      </c>
      <c r="BI548" s="15">
        <f t="shared" si="913"/>
        <v>0</v>
      </c>
      <c r="BJ548">
        <f t="shared" si="914"/>
        <v>599</v>
      </c>
      <c r="BK548">
        <f t="shared" si="915"/>
        <v>599</v>
      </c>
      <c r="BL548" s="15">
        <f>SUMIFS(BI$2:BI548,K$2:K548,"=Intermission")+SUMIFS(BI$2:BI548,K$2:K548,"=Timeout")</f>
        <v>0</v>
      </c>
      <c r="BM548">
        <f t="shared" si="916"/>
        <v>0</v>
      </c>
      <c r="BN548" s="19">
        <f t="shared" si="917"/>
        <v>481</v>
      </c>
      <c r="BO548">
        <f t="shared" si="918"/>
        <v>476</v>
      </c>
      <c r="BP548" s="17">
        <f t="shared" si="919"/>
        <v>481</v>
      </c>
      <c r="BQ548" t="str">
        <f t="shared" si="920"/>
        <v>event_team_player_2</v>
      </c>
      <c r="BR548">
        <f>COUNTIFS(S$3:S548,"="&amp;S548,AH$3:AH548,"="&amp;AH548)</f>
        <v>2</v>
      </c>
      <c r="BS548" t="str">
        <f>IFERROR(VLOOKUP(BA548&amp;BT548&amp;X548,game_rosters!U:W,3,FALSE),"")</f>
        <v>P100233</v>
      </c>
      <c r="BT548" t="str">
        <f t="shared" si="921"/>
        <v>Triple J</v>
      </c>
    </row>
    <row r="549" spans="1:72" x14ac:dyDescent="0.2">
      <c r="A549" t="str">
        <f t="shared" si="896"/>
        <v>x</v>
      </c>
      <c r="D549" s="26" t="s">
        <v>729</v>
      </c>
      <c r="E549" s="4"/>
      <c r="F549" s="45"/>
      <c r="G549" s="4"/>
      <c r="H549" s="47"/>
      <c r="I549" s="26">
        <v>91</v>
      </c>
      <c r="J549" s="26" t="str">
        <f t="shared" si="925"/>
        <v/>
      </c>
      <c r="N549" t="str">
        <f t="shared" si="940"/>
        <v/>
      </c>
      <c r="O549" t="s">
        <v>557</v>
      </c>
      <c r="Q549" t="str">
        <f t="shared" si="934"/>
        <v/>
      </c>
      <c r="S549">
        <f>IF(A549=1,MAX($S$2:$S548)+1,IF(OR($I549&lt;&gt;"",A549="x"),$S548,""))</f>
        <v>272</v>
      </c>
      <c r="T549">
        <f>IF(D549=1,MAX($T$2:$T548)+1,IF(S549=S548,$T548,IF(D549="x",T548,IF(D548="x","",""))))</f>
        <v>35</v>
      </c>
      <c r="U549" t="str">
        <f>IF(B549=1,MAX($U$2:$U548)+1,IF(AND($T549&lt;&gt;"",$T549=$T548),$U548,IF(B549="x",U548,"")))</f>
        <v/>
      </c>
      <c r="V549" t="str">
        <f>IF(C549=1,MAX($V$2:$V548)+1,IF(AND($T549&lt;&gt;"",$T549=$T548),$U548,IF(C549="x",V548,"")))</f>
        <v/>
      </c>
      <c r="W549" t="str" cm="1">
        <f t="array" ref="W549">IFERROR(_xlfn._xlws.FILTER(game_rosters!AC:AC,(game_rosters!J:J=events!X549)*(K549&lt;&gt;"")),"")</f>
        <v/>
      </c>
      <c r="X549" cm="1">
        <f t="array" ref="X549">IF($I549&lt;&gt;"",$I549,INDEX($I$1:$I549,ROW()-COUNTIFS($T$1:$T549,"="&amp;$T549,$S$1:$S549,"&lt;"&amp;$S549)))</f>
        <v>91</v>
      </c>
      <c r="Y549" t="str" cm="1">
        <f t="array" ref="Y549">IFERROR(IF(_xlfn._xlws.FILTER(game_rosters!$J:$J,(game_rosters!$G:$G=events!$AM549)*(game_rosters!$J:$J=events!$X549))&gt;0,1,""),"")</f>
        <v/>
      </c>
      <c r="Z549" s="6">
        <f t="shared" si="897"/>
        <v>1</v>
      </c>
      <c r="AA549">
        <f t="shared" si="898"/>
        <v>1272</v>
      </c>
      <c r="AB549">
        <f t="shared" si="899"/>
        <v>9035</v>
      </c>
      <c r="AC549">
        <f t="shared" si="900"/>
        <v>9035</v>
      </c>
      <c r="AD549" t="str">
        <f t="shared" si="901"/>
        <v>9</v>
      </c>
      <c r="AE549" t="str">
        <f t="shared" si="902"/>
        <v>59</v>
      </c>
      <c r="AF549" t="str">
        <f t="shared" si="903"/>
        <v/>
      </c>
      <c r="AG549" t="str">
        <f t="shared" si="904"/>
        <v/>
      </c>
      <c r="AH549" t="str">
        <f t="shared" si="947"/>
        <v>o</v>
      </c>
      <c r="AI549" t="str">
        <f t="shared" si="948"/>
        <v>d</v>
      </c>
      <c r="AJ549" t="str">
        <f t="shared" si="948"/>
        <v>d</v>
      </c>
      <c r="AK549" t="str">
        <f t="shared" si="949"/>
        <v/>
      </c>
      <c r="AL549" t="str">
        <f t="shared" si="950"/>
        <v/>
      </c>
      <c r="AM549" t="str">
        <f t="shared" si="905"/>
        <v>Home</v>
      </c>
      <c r="AN549" t="str">
        <f t="shared" si="951"/>
        <v>h</v>
      </c>
      <c r="AO549" t="str">
        <f t="shared" si="952"/>
        <v>d</v>
      </c>
      <c r="AP549" t="str">
        <f t="shared" si="953"/>
        <v>o</v>
      </c>
      <c r="AQ549" t="str">
        <f>IF(AM549&lt;&gt;"",AM549,IF($AC549=#REF!,#REF!,""))</f>
        <v>Home</v>
      </c>
      <c r="AR549" t="str">
        <f t="shared" si="954"/>
        <v>h</v>
      </c>
      <c r="AS549" t="str">
        <f t="shared" si="955"/>
        <v>Defensive</v>
      </c>
      <c r="AT549" t="str">
        <f t="shared" si="906"/>
        <v/>
      </c>
      <c r="AU549" t="str">
        <f t="shared" si="907"/>
        <v/>
      </c>
      <c r="AV549" t="str" cm="1">
        <f t="array" ref="AV549">IFERROR(IF(O549&lt;&gt;"",O549,IF(OR($S549="",$T549=""),"",IF(O549&lt;&gt;"",O549,IF($T549&lt;&gt;"",_xlfn._xlws.FILTER(O:O,($BT:$BT=$BT549)*($I:$I=$I549)*($T:$T=$T549)*($S:$S=_xlfn.MINIFS($S:$S,$T:$T,"="&amp;$T549)),"")))))&amp;"",IF(O549="","",""))&amp;""</f>
        <v>PassIntercepted</v>
      </c>
      <c r="AW549" t="str" cm="1">
        <f t="array" ref="AW549">IFERROR(IF(P549&lt;&gt;"",P549,IF(OR($S549="",$T549=""),"",IF($T549&lt;&gt;"",_xlfn._xlws.FILTER(P:P,($BT:$BT=$BT549)*($I:$I=$I549)*($T:$T=$T549)*($S:$S=_xlfn.MINIFS($S:$S,$T:$T,"="&amp;$T549)),""))))&amp;"",IF(P549="","",""))&amp;""</f>
        <v/>
      </c>
      <c r="AX549" t="str" cm="1">
        <f t="array" ref="AX549">IFERROR(IF(Q549&lt;&gt;"",Q549,IF(OR($S549="",$T549=""),"",IF($T549&lt;&gt;"",_xlfn._xlws.FILTER(Q:Q,($BT:$BT=$BT549)*($I:$I=$I549)*($T:$T=$T549)*($S:$S=_xlfn.MINIFS($S:$S,$T:$T,"="&amp;$T549)),""))))&amp;"",IF(Q549="","",""))&amp;""</f>
        <v/>
      </c>
      <c r="AY549" t="str" cm="1">
        <f t="array" ref="AY549">IFERROR(IF(R549&lt;&gt;"",R549,IF(OR($S549="",$T549=""),"",IF($T549&lt;&gt;"",_xlfn._xlws.FILTER(R:R,($BT:$BT=$BT549)*($I:$I=$I549)*($T:$T=$T549)*($S:$S=_xlfn.MINIFS($S:$S,$T:$T,"="&amp;$T549)),""))))&amp;"",IF(R549="","",""))&amp;""</f>
        <v/>
      </c>
      <c r="AZ549" s="6">
        <f t="shared" si="908"/>
        <v>47</v>
      </c>
      <c r="BA549">
        <f t="shared" ref="BA549:BC549" si="966">BA548</f>
        <v>18991</v>
      </c>
      <c r="BB549" t="str">
        <f t="shared" si="966"/>
        <v>Triple J</v>
      </c>
      <c r="BC549" t="str">
        <f t="shared" si="966"/>
        <v>Velodrome</v>
      </c>
      <c r="BD549" t="str">
        <f t="shared" si="910"/>
        <v>Pass</v>
      </c>
      <c r="BE549" t="str">
        <f t="shared" si="911"/>
        <v>Pass_Intercepted</v>
      </c>
      <c r="BF549" t="str">
        <f t="shared" si="912"/>
        <v>Pass-Backhand</v>
      </c>
      <c r="BG549" t="str">
        <f t="shared" si="894"/>
        <v>u</v>
      </c>
      <c r="BH549" cm="1">
        <f t="array" aca="1" ref="BH549" ca="1">IFERROR(_xlfn._xlws.FILTER(shifts!A:A,(shifts!B:B=events!Z549)*(shifts!AG:AG&gt;=events!BJ549)*(shifts!AH:AH&lt;=events!BK549)),BH548)</f>
        <v>18</v>
      </c>
      <c r="BI549" s="15">
        <f t="shared" si="913"/>
        <v>0</v>
      </c>
      <c r="BJ549">
        <f t="shared" si="914"/>
        <v>599</v>
      </c>
      <c r="BK549">
        <f t="shared" si="915"/>
        <v>599</v>
      </c>
      <c r="BL549" s="15">
        <f>SUMIFS(BI$2:BI549,K$2:K549,"=Intermission")+SUMIFS(BI$2:BI549,K$2:K549,"=Timeout")</f>
        <v>0</v>
      </c>
      <c r="BM549">
        <f t="shared" si="916"/>
        <v>0</v>
      </c>
      <c r="BN549" s="19">
        <f t="shared" si="917"/>
        <v>481</v>
      </c>
      <c r="BO549">
        <f t="shared" si="918"/>
        <v>476</v>
      </c>
      <c r="BP549" s="17">
        <f t="shared" si="919"/>
        <v>481</v>
      </c>
      <c r="BQ549" t="str">
        <f t="shared" si="920"/>
        <v>opp_team_player_1</v>
      </c>
      <c r="BR549">
        <f>COUNTIFS(S$3:S549,"="&amp;S549,AH$3:AH549,"="&amp;AH549)</f>
        <v>1</v>
      </c>
      <c r="BS549" t="str">
        <f>IFERROR(VLOOKUP(BA549&amp;BT549&amp;X549,game_rosters!U:W,3,FALSE),"")</f>
        <v>P100002</v>
      </c>
      <c r="BT549" t="str">
        <f t="shared" si="921"/>
        <v>Velodrome</v>
      </c>
    </row>
    <row r="550" spans="1:72" x14ac:dyDescent="0.2">
      <c r="A550">
        <f t="shared" si="896"/>
        <v>1</v>
      </c>
      <c r="D550" s="26" t="s">
        <v>729</v>
      </c>
      <c r="E550" s="4"/>
      <c r="F550" s="45"/>
      <c r="G550" s="4"/>
      <c r="H550" s="47"/>
      <c r="J550" s="26" t="s">
        <v>736</v>
      </c>
      <c r="K550" t="s">
        <v>9</v>
      </c>
      <c r="N550" t="str">
        <f t="shared" si="940"/>
        <v/>
      </c>
      <c r="Q550" t="str">
        <f t="shared" si="934"/>
        <v/>
      </c>
      <c r="S550">
        <f>IF(A550=1,MAX($S$2:$S549)+1,IF(OR($I550&lt;&gt;"",A550="x"),$S549,""))</f>
        <v>273</v>
      </c>
      <c r="T550">
        <f>IF(D550=1,MAX($T$2:$T549)+1,IF(S550=S549,$T549,IF(D550="x",T549,IF(D549="x","",""))))</f>
        <v>35</v>
      </c>
      <c r="U550" t="str">
        <f>IF(B550=1,MAX($U$2:$U549)+1,IF(AND($T550&lt;&gt;"",$T550=$T549),$U549,IF(B550="x",U549,"")))</f>
        <v/>
      </c>
      <c r="V550" t="str">
        <f>IF(C550=1,MAX($V$2:$V549)+1,IF(AND($T550&lt;&gt;"",$T550=$T549),$U549,IF(C550="x",V549,"")))</f>
        <v/>
      </c>
      <c r="W550" t="str" cm="1">
        <f t="array" ref="W550">IFERROR(_xlfn._xlws.FILTER(game_rosters!AC:AC,(game_rosters!J:J=events!X550)*(K550&lt;&gt;"")),"")</f>
        <v>h</v>
      </c>
      <c r="X550" cm="1">
        <f t="array" ref="X550">IF($I550&lt;&gt;"",$I550,INDEX($I$1:$I550,ROW()-COUNTIFS($T$1:$T550,"="&amp;$T550,$S$1:$S550,"&lt;"&amp;$S550)))</f>
        <v>69</v>
      </c>
      <c r="Y550" cm="1">
        <f t="array" ref="Y550">IFERROR(IF(_xlfn._xlws.FILTER(game_rosters!$J:$J,(game_rosters!$G:$G=events!$AM550)*(game_rosters!$J:$J=events!$X550))&gt;0,1,""),"")</f>
        <v>1</v>
      </c>
      <c r="Z550" s="6">
        <f t="shared" si="897"/>
        <v>1</v>
      </c>
      <c r="AA550">
        <f t="shared" si="898"/>
        <v>1273</v>
      </c>
      <c r="AB550">
        <f t="shared" si="899"/>
        <v>9035</v>
      </c>
      <c r="AC550">
        <f t="shared" si="900"/>
        <v>9035</v>
      </c>
      <c r="AD550" t="str">
        <f t="shared" si="901"/>
        <v>9</v>
      </c>
      <c r="AE550" t="str">
        <f t="shared" si="902"/>
        <v>59</v>
      </c>
      <c r="AF550" t="str">
        <f t="shared" si="903"/>
        <v/>
      </c>
      <c r="AG550" t="str">
        <f t="shared" si="904"/>
        <v/>
      </c>
      <c r="AH550" t="str">
        <f t="shared" si="947"/>
        <v>e</v>
      </c>
      <c r="AI550" t="str">
        <f t="shared" si="948"/>
        <v>d</v>
      </c>
      <c r="AJ550" t="str">
        <f t="shared" si="948"/>
        <v>d</v>
      </c>
      <c r="AK550" t="str">
        <f t="shared" si="949"/>
        <v>d</v>
      </c>
      <c r="AL550" t="str">
        <f t="shared" si="950"/>
        <v>o</v>
      </c>
      <c r="AM550" t="str">
        <f t="shared" si="905"/>
        <v>Home</v>
      </c>
      <c r="AN550" t="str">
        <f t="shared" si="951"/>
        <v>h</v>
      </c>
      <c r="AO550" t="str">
        <f t="shared" si="952"/>
        <v>d</v>
      </c>
      <c r="AP550" t="str">
        <f t="shared" si="953"/>
        <v>o</v>
      </c>
      <c r="AQ550" t="str">
        <f>IF(AM550&lt;&gt;"",AM550,IF($AC550=#REF!,#REF!,""))</f>
        <v>Home</v>
      </c>
      <c r="AR550" t="str">
        <f t="shared" si="954"/>
        <v>h</v>
      </c>
      <c r="AS550" t="str">
        <f t="shared" si="955"/>
        <v>Offensive</v>
      </c>
      <c r="AT550" t="str">
        <f t="shared" si="906"/>
        <v/>
      </c>
      <c r="AU550" t="str">
        <f t="shared" si="907"/>
        <v/>
      </c>
      <c r="AV550" t="str" cm="1">
        <f t="array" ref="AV550">IFERROR(IF(O550&lt;&gt;"",O550,IF(OR($S550="",$T550=""),"",IF(O550&lt;&gt;"",O550,IF($T550&lt;&gt;"",_xlfn._xlws.FILTER(O:O,($BT:$BT=$BT550)*($I:$I=$I550)*($T:$T=$T550)*($S:$S=_xlfn.MINIFS($S:$S,$T:$T,"="&amp;$T550)),"")))))&amp;"",IF(O550="","",""))&amp;""</f>
        <v/>
      </c>
      <c r="AW550" t="str" cm="1">
        <f t="array" ref="AW550">IFERROR(IF(P550&lt;&gt;"",P550,IF(OR($S550="",$T550=""),"",IF($T550&lt;&gt;"",_xlfn._xlws.FILTER(P:P,($BT:$BT=$BT550)*($I:$I=$I550)*($T:$T=$T550)*($S:$S=_xlfn.MINIFS($S:$S,$T:$T,"="&amp;$T550)),""))))&amp;"",IF(P550="","",""))&amp;""</f>
        <v/>
      </c>
      <c r="AX550" t="str" cm="1">
        <f t="array" ref="AX550">IFERROR(IF(Q550&lt;&gt;"",Q550,IF(OR($S550="",$T550=""),"",IF($T550&lt;&gt;"",_xlfn._xlws.FILTER(Q:Q,($BT:$BT=$BT550)*($I:$I=$I550)*($T:$T=$T550)*($S:$S=_xlfn.MINIFS($S:$S,$T:$T,"="&amp;$T550)),""))))&amp;"",IF(Q550="","",""))&amp;""</f>
        <v/>
      </c>
      <c r="AY550" t="str" cm="1">
        <f t="array" ref="AY550">IFERROR(IF(R550&lt;&gt;"",R550,IF(OR($S550="",$T550=""),"",IF($T550&lt;&gt;"",_xlfn._xlws.FILTER(R:R,($BT:$BT=$BT550)*($I:$I=$I550)*($T:$T=$T550)*($S:$S=_xlfn.MINIFS($S:$S,$T:$T,"="&amp;$T550)),""))))&amp;"",IF(R550="","",""))&amp;""</f>
        <v/>
      </c>
      <c r="AZ550" s="6">
        <f t="shared" si="908"/>
        <v>47</v>
      </c>
      <c r="BA550">
        <f t="shared" ref="BA550:BC550" si="967">BA549</f>
        <v>18991</v>
      </c>
      <c r="BB550" t="str">
        <f t="shared" si="967"/>
        <v>Triple J</v>
      </c>
      <c r="BC550" t="str">
        <f t="shared" si="967"/>
        <v>Velodrome</v>
      </c>
      <c r="BD550" t="str">
        <f t="shared" si="910"/>
        <v>Turnover</v>
      </c>
      <c r="BE550" t="str">
        <f t="shared" si="911"/>
        <v/>
      </c>
      <c r="BF550" t="str">
        <f t="shared" si="912"/>
        <v/>
      </c>
      <c r="BG550" t="str">
        <f t="shared" si="894"/>
        <v/>
      </c>
      <c r="BH550" cm="1">
        <f t="array" aca="1" ref="BH550" ca="1">IFERROR(_xlfn._xlws.FILTER(shifts!A:A,(shifts!B:B=events!Z550)*(shifts!AG:AG&gt;=events!BJ550)*(shifts!AH:AH&lt;=events!BK550)),BH549)</f>
        <v>18</v>
      </c>
      <c r="BI550" s="15">
        <f t="shared" si="913"/>
        <v>0</v>
      </c>
      <c r="BJ550">
        <f t="shared" si="914"/>
        <v>599</v>
      </c>
      <c r="BK550">
        <f t="shared" si="915"/>
        <v>599</v>
      </c>
      <c r="BL550" s="15">
        <f>SUMIFS(BI$2:BI550,K$2:K550,"=Intermission")+SUMIFS(BI$2:BI550,K$2:K550,"=Timeout")</f>
        <v>0</v>
      </c>
      <c r="BM550">
        <f t="shared" si="916"/>
        <v>0</v>
      </c>
      <c r="BN550" s="19">
        <f t="shared" si="917"/>
        <v>481</v>
      </c>
      <c r="BO550">
        <f t="shared" si="918"/>
        <v>476</v>
      </c>
      <c r="BP550" s="17">
        <f t="shared" si="919"/>
        <v>481</v>
      </c>
      <c r="BQ550" t="str">
        <f t="shared" si="920"/>
        <v>event_team_player_1</v>
      </c>
      <c r="BR550">
        <f>COUNTIFS(S$3:S550,"="&amp;S550,AH$3:AH550,"="&amp;AH550)</f>
        <v>1</v>
      </c>
      <c r="BS550" t="str">
        <f>IFERROR(VLOOKUP(BA550&amp;BT550&amp;X550,game_rosters!U:W,3,FALSE),"")</f>
        <v>P100014</v>
      </c>
      <c r="BT550" t="str">
        <f t="shared" si="921"/>
        <v>Triple J</v>
      </c>
    </row>
    <row r="551" spans="1:72" x14ac:dyDescent="0.2">
      <c r="A551" t="str">
        <f t="shared" si="896"/>
        <v>x</v>
      </c>
      <c r="D551" s="26" t="s">
        <v>729</v>
      </c>
      <c r="E551" s="4"/>
      <c r="F551" s="45"/>
      <c r="G551" s="4"/>
      <c r="H551" s="47"/>
      <c r="J551" s="26" t="str">
        <f t="shared" si="925"/>
        <v/>
      </c>
      <c r="N551" t="str">
        <f t="shared" si="940"/>
        <v/>
      </c>
      <c r="Q551" t="str">
        <f t="shared" si="934"/>
        <v/>
      </c>
      <c r="S551">
        <f>IF(A551=1,MAX($S$2:$S550)+1,IF(OR($I551&lt;&gt;"",A551="x"),$S550,""))</f>
        <v>273</v>
      </c>
      <c r="T551">
        <f>IF(D551=1,MAX($T$2:$T550)+1,IF(S551=S550,$T550,IF(D551="x",T550,IF(D550="x","",""))))</f>
        <v>35</v>
      </c>
      <c r="U551" t="str">
        <f>IF(B551=1,MAX($U$2:$U550)+1,IF(AND($T551&lt;&gt;"",$T551=$T550),$U550,IF(B551="x",U550,"")))</f>
        <v/>
      </c>
      <c r="V551" t="str">
        <f>IF(C551=1,MAX($V$2:$V550)+1,IF(AND($T551&lt;&gt;"",$T551=$T550),$U550,IF(C551="x",V550,"")))</f>
        <v/>
      </c>
      <c r="W551" t="str" cm="1">
        <f t="array" ref="W551">IFERROR(_xlfn._xlws.FILTER(game_rosters!AC:AC,(game_rosters!J:J=events!X551)*(K551&lt;&gt;"")),"")</f>
        <v/>
      </c>
      <c r="X551" cm="1">
        <f t="array" ref="X551">IF($I551&lt;&gt;"",$I551,INDEX($I$1:$I551,ROW()-COUNTIFS($T$1:$T551,"="&amp;$T551,$S$1:$S551,"&lt;"&amp;$S551)))</f>
        <v>90</v>
      </c>
      <c r="Y551" cm="1">
        <f t="array" ref="Y551">IFERROR(IF(_xlfn._xlws.FILTER(game_rosters!$J:$J,(game_rosters!$G:$G=events!$AM551)*(game_rosters!$J:$J=events!$X551))&gt;0,1,""),"")</f>
        <v>1</v>
      </c>
      <c r="Z551" s="6">
        <f t="shared" si="897"/>
        <v>1</v>
      </c>
      <c r="AA551">
        <f t="shared" si="898"/>
        <v>1273</v>
      </c>
      <c r="AB551">
        <f t="shared" si="899"/>
        <v>9035</v>
      </c>
      <c r="AC551">
        <f t="shared" si="900"/>
        <v>9035</v>
      </c>
      <c r="AD551" t="str">
        <f t="shared" si="901"/>
        <v>9</v>
      </c>
      <c r="AE551" t="str">
        <f t="shared" si="902"/>
        <v>59</v>
      </c>
      <c r="AF551" t="str">
        <f t="shared" si="903"/>
        <v/>
      </c>
      <c r="AG551" t="str">
        <f t="shared" si="904"/>
        <v/>
      </c>
      <c r="AH551" t="str">
        <f t="shared" si="947"/>
        <v>e</v>
      </c>
      <c r="AI551" t="str">
        <f t="shared" si="948"/>
        <v>d</v>
      </c>
      <c r="AJ551" t="str">
        <f t="shared" si="948"/>
        <v>d</v>
      </c>
      <c r="AK551" t="str">
        <f t="shared" si="949"/>
        <v/>
      </c>
      <c r="AL551" t="str">
        <f t="shared" si="950"/>
        <v/>
      </c>
      <c r="AM551" t="str">
        <f t="shared" si="905"/>
        <v>Home</v>
      </c>
      <c r="AN551" t="str">
        <f t="shared" si="951"/>
        <v>h</v>
      </c>
      <c r="AO551" t="str">
        <f t="shared" si="952"/>
        <v>d</v>
      </c>
      <c r="AP551" t="str">
        <f t="shared" si="953"/>
        <v>o</v>
      </c>
      <c r="AQ551" t="str">
        <f>IF(AM551&lt;&gt;"",AM551,IF($AC551=#REF!,#REF!,""))</f>
        <v>Home</v>
      </c>
      <c r="AR551" t="str">
        <f t="shared" si="954"/>
        <v>h</v>
      </c>
      <c r="AS551" t="str">
        <f t="shared" si="955"/>
        <v>Offensive</v>
      </c>
      <c r="AT551" t="str">
        <f t="shared" si="906"/>
        <v/>
      </c>
      <c r="AU551" t="str">
        <f t="shared" si="907"/>
        <v/>
      </c>
      <c r="AV551" t="str" cm="1">
        <f t="array" ref="AV551">IFERROR(IF(O551&lt;&gt;"",O551,IF(OR($S551="",$T551=""),"",IF(O551&lt;&gt;"",O551,IF($T551&lt;&gt;"",_xlfn._xlws.FILTER(O:O,($BT:$BT=$BT551)*($I:$I=$I551)*($T:$T=$T551)*($S:$S=_xlfn.MINIFS($S:$S,$T:$T,"="&amp;$T551)),"")))))&amp;"",IF(O551="","",""))&amp;""</f>
        <v/>
      </c>
      <c r="AW551" t="str" cm="1">
        <f t="array" ref="AW551">IFERROR(IF(P551&lt;&gt;"",P551,IF(OR($S551="",$T551=""),"",IF($T551&lt;&gt;"",_xlfn._xlws.FILTER(P:P,($BT:$BT=$BT551)*($I:$I=$I551)*($T:$T=$T551)*($S:$S=_xlfn.MINIFS($S:$S,$T:$T,"="&amp;$T551)),""))))&amp;"",IF(P551="","",""))&amp;""</f>
        <v/>
      </c>
      <c r="AX551" t="str" cm="1">
        <f t="array" ref="AX551">IFERROR(IF(Q551&lt;&gt;"",Q551,IF(OR($S551="",$T551=""),"",IF($T551&lt;&gt;"",_xlfn._xlws.FILTER(Q:Q,($BT:$BT=$BT551)*($I:$I=$I551)*($T:$T=$T551)*($S:$S=_xlfn.MINIFS($S:$S,$T:$T,"="&amp;$T551)),""))))&amp;"",IF(Q551="","",""))&amp;""</f>
        <v/>
      </c>
      <c r="AY551" t="str" cm="1">
        <f t="array" ref="AY551">IFERROR(IF(R551&lt;&gt;"",R551,IF(OR($S551="",$T551=""),"",IF($T551&lt;&gt;"",_xlfn._xlws.FILTER(R:R,($BT:$BT=$BT551)*($I:$I=$I551)*($T:$T=$T551)*($S:$S=_xlfn.MINIFS($S:$S,$T:$T,"="&amp;$T551)),""))))&amp;"",IF(R551="","",""))&amp;""</f>
        <v/>
      </c>
      <c r="AZ551" s="6">
        <f t="shared" si="908"/>
        <v>47</v>
      </c>
      <c r="BA551">
        <f t="shared" ref="BA551:BC551" si="968">BA550</f>
        <v>18991</v>
      </c>
      <c r="BB551" t="str">
        <f t="shared" si="968"/>
        <v>Triple J</v>
      </c>
      <c r="BC551" t="str">
        <f t="shared" si="968"/>
        <v>Velodrome</v>
      </c>
      <c r="BD551" t="str">
        <f t="shared" si="910"/>
        <v>Turnover</v>
      </c>
      <c r="BE551" t="str">
        <f t="shared" si="911"/>
        <v/>
      </c>
      <c r="BF551" t="str">
        <f t="shared" si="912"/>
        <v/>
      </c>
      <c r="BG551" t="str">
        <f t="shared" si="894"/>
        <v/>
      </c>
      <c r="BH551" cm="1">
        <f t="array" aca="1" ref="BH551" ca="1">IFERROR(_xlfn._xlws.FILTER(shifts!A:A,(shifts!B:B=events!Z551)*(shifts!AG:AG&gt;=events!BJ551)*(shifts!AH:AH&lt;=events!BK551)),BH550)</f>
        <v>18</v>
      </c>
      <c r="BI551" s="15">
        <f t="shared" si="913"/>
        <v>0</v>
      </c>
      <c r="BJ551">
        <f t="shared" si="914"/>
        <v>599</v>
      </c>
      <c r="BK551">
        <f t="shared" si="915"/>
        <v>599</v>
      </c>
      <c r="BL551" s="15">
        <f>SUMIFS(BI$2:BI551,K$2:K551,"=Intermission")+SUMIFS(BI$2:BI551,K$2:K551,"=Timeout")</f>
        <v>0</v>
      </c>
      <c r="BM551">
        <f t="shared" si="916"/>
        <v>0</v>
      </c>
      <c r="BN551" s="19">
        <f t="shared" si="917"/>
        <v>481</v>
      </c>
      <c r="BO551">
        <f t="shared" si="918"/>
        <v>476</v>
      </c>
      <c r="BP551" s="17">
        <f t="shared" si="919"/>
        <v>481</v>
      </c>
      <c r="BQ551" t="str">
        <f t="shared" si="920"/>
        <v>event_team_player_2</v>
      </c>
      <c r="BR551">
        <f>COUNTIFS(S$3:S551,"="&amp;S551,AH$3:AH551,"="&amp;AH551)</f>
        <v>2</v>
      </c>
      <c r="BS551" t="str">
        <f>IFERROR(VLOOKUP(BA551&amp;BT551&amp;X551,game_rosters!U:W,3,FALSE),"")</f>
        <v>P100233</v>
      </c>
      <c r="BT551" t="str">
        <f t="shared" si="921"/>
        <v>Triple J</v>
      </c>
    </row>
    <row r="552" spans="1:72" x14ac:dyDescent="0.2">
      <c r="A552" t="str">
        <f t="shared" si="896"/>
        <v>x</v>
      </c>
      <c r="D552" s="26" t="s">
        <v>729</v>
      </c>
      <c r="E552" s="4"/>
      <c r="F552" s="45"/>
      <c r="G552" s="4"/>
      <c r="H552" s="47"/>
      <c r="J552" s="26" t="str">
        <f t="shared" si="925"/>
        <v/>
      </c>
      <c r="N552" t="str">
        <f t="shared" si="940"/>
        <v/>
      </c>
      <c r="Q552" t="str">
        <f t="shared" si="934"/>
        <v/>
      </c>
      <c r="S552">
        <f>IF(A552=1,MAX($S$2:$S551)+1,IF(OR($I552&lt;&gt;"",A552="x"),$S551,""))</f>
        <v>273</v>
      </c>
      <c r="T552">
        <f>IF(D552=1,MAX($T$2:$T551)+1,IF(S552=S551,$T551,IF(D552="x",T551,IF(D551="x","",""))))</f>
        <v>35</v>
      </c>
      <c r="U552" t="str">
        <f>IF(B552=1,MAX($U$2:$U551)+1,IF(AND($T552&lt;&gt;"",$T552=$T551),$U551,IF(B552="x",U551,"")))</f>
        <v/>
      </c>
      <c r="V552" t="str">
        <f>IF(C552=1,MAX($V$2:$V551)+1,IF(AND($T552&lt;&gt;"",$T552=$T551),$U551,IF(C552="x",V551,"")))</f>
        <v/>
      </c>
      <c r="W552" t="str" cm="1">
        <f t="array" ref="W552">IFERROR(_xlfn._xlws.FILTER(game_rosters!AC:AC,(game_rosters!J:J=events!X552)*(K552&lt;&gt;"")),"")</f>
        <v/>
      </c>
      <c r="X552" cm="1">
        <f t="array" ref="X552">IF($I552&lt;&gt;"",$I552,INDEX($I$1:$I552,ROW()-COUNTIFS($T$1:$T552,"="&amp;$T552,$S$1:$S552,"&lt;"&amp;$S552)))</f>
        <v>91</v>
      </c>
      <c r="Y552" t="str" cm="1">
        <f t="array" ref="Y552">IFERROR(IF(_xlfn._xlws.FILTER(game_rosters!$J:$J,(game_rosters!$G:$G=events!$AM552)*(game_rosters!$J:$J=events!$X552))&gt;0,1,""),"")</f>
        <v/>
      </c>
      <c r="Z552" s="6">
        <f t="shared" si="897"/>
        <v>1</v>
      </c>
      <c r="AA552">
        <f t="shared" si="898"/>
        <v>1273</v>
      </c>
      <c r="AB552">
        <f t="shared" si="899"/>
        <v>9035</v>
      </c>
      <c r="AC552">
        <f t="shared" si="900"/>
        <v>9035</v>
      </c>
      <c r="AD552" t="str">
        <f t="shared" si="901"/>
        <v>9</v>
      </c>
      <c r="AE552" t="str">
        <f t="shared" si="902"/>
        <v>59</v>
      </c>
      <c r="AF552" t="str">
        <f t="shared" si="903"/>
        <v/>
      </c>
      <c r="AG552" t="str">
        <f t="shared" si="904"/>
        <v/>
      </c>
      <c r="AH552" t="str">
        <f t="shared" si="947"/>
        <v>o</v>
      </c>
      <c r="AI552" t="str">
        <f t="shared" si="948"/>
        <v>d</v>
      </c>
      <c r="AJ552" t="str">
        <f t="shared" si="948"/>
        <v>d</v>
      </c>
      <c r="AK552" t="str">
        <f t="shared" si="949"/>
        <v/>
      </c>
      <c r="AL552" t="str">
        <f t="shared" si="950"/>
        <v/>
      </c>
      <c r="AM552" t="str">
        <f t="shared" si="905"/>
        <v>Home</v>
      </c>
      <c r="AN552" t="str">
        <f t="shared" si="951"/>
        <v>h</v>
      </c>
      <c r="AO552" t="str">
        <f t="shared" si="952"/>
        <v>d</v>
      </c>
      <c r="AP552" t="str">
        <f t="shared" si="953"/>
        <v>o</v>
      </c>
      <c r="AQ552" t="str">
        <f>IF(AM552&lt;&gt;"",AM552,IF($AC552=#REF!,#REF!,""))</f>
        <v>Home</v>
      </c>
      <c r="AR552" t="str">
        <f t="shared" si="954"/>
        <v>h</v>
      </c>
      <c r="AS552" t="str">
        <f t="shared" si="955"/>
        <v>Defensive</v>
      </c>
      <c r="AT552" t="str">
        <f t="shared" si="906"/>
        <v/>
      </c>
      <c r="AU552" t="str">
        <f t="shared" si="907"/>
        <v/>
      </c>
      <c r="AV552" t="str" cm="1">
        <f t="array" ref="AV552">IFERROR(IF(O552&lt;&gt;"",O552,IF(OR($S552="",$T552=""),"",IF(O552&lt;&gt;"",O552,IF($T552&lt;&gt;"",_xlfn._xlws.FILTER(O:O,($BT:$BT=$BT552)*($I:$I=$I552)*($T:$T=$T552)*($S:$S=_xlfn.MINIFS($S:$S,$T:$T,"="&amp;$T552)),"")))))&amp;"",IF(O552="","",""))&amp;""</f>
        <v/>
      </c>
      <c r="AW552" t="str" cm="1">
        <f t="array" ref="AW552">IFERROR(IF(P552&lt;&gt;"",P552,IF(OR($S552="",$T552=""),"",IF($T552&lt;&gt;"",_xlfn._xlws.FILTER(P:P,($BT:$BT=$BT552)*($I:$I=$I552)*($T:$T=$T552)*($S:$S=_xlfn.MINIFS($S:$S,$T:$T,"="&amp;$T552)),""))))&amp;"",IF(P552="","",""))&amp;""</f>
        <v/>
      </c>
      <c r="AX552" t="str" cm="1">
        <f t="array" ref="AX552">IFERROR(IF(Q552&lt;&gt;"",Q552,IF(OR($S552="",$T552=""),"",IF($T552&lt;&gt;"",_xlfn._xlws.FILTER(Q:Q,($BT:$BT=$BT552)*($I:$I=$I552)*($T:$T=$T552)*($S:$S=_xlfn.MINIFS($S:$S,$T:$T,"="&amp;$T552)),""))))&amp;"",IF(Q552="","",""))&amp;""</f>
        <v/>
      </c>
      <c r="AY552" t="str" cm="1">
        <f t="array" ref="AY552">IFERROR(IF(R552&lt;&gt;"",R552,IF(OR($S552="",$T552=""),"",IF($T552&lt;&gt;"",_xlfn._xlws.FILTER(R:R,($BT:$BT=$BT552)*($I:$I=$I552)*($T:$T=$T552)*($S:$S=_xlfn.MINIFS($S:$S,$T:$T,"="&amp;$T552)),""))))&amp;"",IF(R552="","",""))&amp;""</f>
        <v/>
      </c>
      <c r="AZ552" s="6">
        <f t="shared" si="908"/>
        <v>47</v>
      </c>
      <c r="BA552">
        <f t="shared" ref="BA552:BC552" si="969">BA551</f>
        <v>18991</v>
      </c>
      <c r="BB552" t="str">
        <f t="shared" si="969"/>
        <v>Triple J</v>
      </c>
      <c r="BC552" t="str">
        <f t="shared" si="969"/>
        <v>Velodrome</v>
      </c>
      <c r="BD552" t="str">
        <f t="shared" si="910"/>
        <v>Turnover</v>
      </c>
      <c r="BE552" t="str">
        <f t="shared" si="911"/>
        <v/>
      </c>
      <c r="BF552" t="str">
        <f t="shared" si="912"/>
        <v/>
      </c>
      <c r="BG552" t="str">
        <f t="shared" si="894"/>
        <v/>
      </c>
      <c r="BH552" cm="1">
        <f t="array" aca="1" ref="BH552" ca="1">IFERROR(_xlfn._xlws.FILTER(shifts!A:A,(shifts!B:B=events!Z552)*(shifts!AG:AG&gt;=events!BJ552)*(shifts!AH:AH&lt;=events!BK552)),BH551)</f>
        <v>18</v>
      </c>
      <c r="BI552" s="15">
        <f t="shared" si="913"/>
        <v>0</v>
      </c>
      <c r="BJ552">
        <f t="shared" si="914"/>
        <v>599</v>
      </c>
      <c r="BK552">
        <f t="shared" si="915"/>
        <v>599</v>
      </c>
      <c r="BL552" s="15">
        <f>SUMIFS(BI$2:BI552,K$2:K552,"=Intermission")+SUMIFS(BI$2:BI552,K$2:K552,"=Timeout")</f>
        <v>0</v>
      </c>
      <c r="BM552">
        <f t="shared" si="916"/>
        <v>0</v>
      </c>
      <c r="BN552" s="19">
        <f t="shared" si="917"/>
        <v>481</v>
      </c>
      <c r="BO552">
        <f t="shared" si="918"/>
        <v>476</v>
      </c>
      <c r="BP552" s="17">
        <f t="shared" si="919"/>
        <v>481</v>
      </c>
      <c r="BQ552" t="str">
        <f t="shared" si="920"/>
        <v>opp_team_player_1</v>
      </c>
      <c r="BR552">
        <f>COUNTIFS(S$3:S552,"="&amp;S552,AH$3:AH552,"="&amp;AH552)</f>
        <v>1</v>
      </c>
      <c r="BS552" t="str">
        <f>IFERROR(VLOOKUP(BA552&amp;BT552&amp;X552,game_rosters!U:W,3,FALSE),"")</f>
        <v>P100002</v>
      </c>
      <c r="BT552" t="str">
        <f t="shared" si="921"/>
        <v>Velodrome</v>
      </c>
    </row>
    <row r="553" spans="1:72" x14ac:dyDescent="0.2">
      <c r="A553">
        <f t="shared" si="896"/>
        <v>1</v>
      </c>
      <c r="E553" s="4" t="s">
        <v>1070</v>
      </c>
      <c r="F553" s="45" t="s">
        <v>1033</v>
      </c>
      <c r="G553" s="4"/>
      <c r="H553" s="47" t="s">
        <v>753</v>
      </c>
      <c r="I553" s="26">
        <v>91</v>
      </c>
      <c r="J553" s="26" t="s">
        <v>368</v>
      </c>
      <c r="K553" t="s">
        <v>13</v>
      </c>
      <c r="N553" t="str">
        <f t="shared" si="940"/>
        <v/>
      </c>
      <c r="Q553" t="str">
        <f t="shared" si="934"/>
        <v/>
      </c>
      <c r="R553" s="26">
        <v>1</v>
      </c>
      <c r="S553">
        <f>IF(A553=1,MAX($S$2:$S552)+1,IF(OR($I553&lt;&gt;"",A553="x"),$S552,""))</f>
        <v>274</v>
      </c>
      <c r="T553" t="str">
        <f>IF(D553=1,MAX($T$2:$T552)+1,IF(S553=S552,$T552,IF(D553="x",T552,IF(D552="x","",""))))</f>
        <v/>
      </c>
      <c r="U553" t="str">
        <f>IF(B553=1,MAX($U$2:$U552)+1,IF(AND($T553&lt;&gt;"",$T553=$T552),$U552,IF(B553="x",U552,"")))</f>
        <v/>
      </c>
      <c r="V553" t="str">
        <f>IF(C553=1,MAX($V$2:$V552)+1,IF(AND($T553&lt;&gt;"",$T553=$T552),$U552,IF(C553="x",V552,"")))</f>
        <v/>
      </c>
      <c r="W553" t="str" cm="1">
        <f t="array" ref="W553">IFERROR(_xlfn._xlws.FILTER(game_rosters!AC:AC,(game_rosters!J:J=events!X553)*(K553&lt;&gt;"")),"")</f>
        <v>a</v>
      </c>
      <c r="X553" cm="1">
        <f t="array" ref="X553">IF($I553&lt;&gt;"",$I553,INDEX($I$1:$I553,ROW()-COUNTIFS($T$1:$T553,"="&amp;$T553,$S$1:$S553,"&lt;"&amp;$S553)))</f>
        <v>91</v>
      </c>
      <c r="Y553" cm="1">
        <f t="array" ref="Y553">IFERROR(IF(_xlfn._xlws.FILTER(game_rosters!$J:$J,(game_rosters!$G:$G=events!$AM553)*(game_rosters!$J:$J=events!$X553))&gt;0,1,""),"")</f>
        <v>1</v>
      </c>
      <c r="Z553" s="6">
        <f t="shared" si="897"/>
        <v>1</v>
      </c>
      <c r="AA553">
        <f t="shared" si="898"/>
        <v>1274</v>
      </c>
      <c r="AB553" t="str">
        <f t="shared" si="899"/>
        <v/>
      </c>
      <c r="AC553">
        <f t="shared" si="900"/>
        <v>1274</v>
      </c>
      <c r="AD553" t="str">
        <f t="shared" si="901"/>
        <v>9</v>
      </c>
      <c r="AE553" t="str">
        <f t="shared" si="902"/>
        <v>57</v>
      </c>
      <c r="AF553" t="str">
        <f t="shared" si="903"/>
        <v>9</v>
      </c>
      <c r="AG553" t="str">
        <f t="shared" si="904"/>
        <v>55</v>
      </c>
      <c r="AH553" t="str">
        <f t="shared" si="947"/>
        <v>e</v>
      </c>
      <c r="AI553" t="str">
        <f t="shared" si="948"/>
        <v>o</v>
      </c>
      <c r="AJ553" t="str">
        <f t="shared" si="948"/>
        <v>o</v>
      </c>
      <c r="AK553" t="str">
        <f t="shared" si="949"/>
        <v>d</v>
      </c>
      <c r="AL553" t="str">
        <f t="shared" si="950"/>
        <v>o</v>
      </c>
      <c r="AM553" t="str">
        <f t="shared" si="905"/>
        <v>Away</v>
      </c>
      <c r="AN553" t="str">
        <f t="shared" si="951"/>
        <v>a</v>
      </c>
      <c r="AO553" t="str">
        <f t="shared" si="952"/>
        <v>d</v>
      </c>
      <c r="AP553" t="str">
        <f t="shared" si="953"/>
        <v>o</v>
      </c>
      <c r="AQ553" t="str">
        <f>IF(AM553&lt;&gt;"",AM553,IF($AC553=#REF!,#REF!,""))</f>
        <v>Away</v>
      </c>
      <c r="AR553" t="str">
        <f t="shared" si="954"/>
        <v>a</v>
      </c>
      <c r="AS553" t="str">
        <f t="shared" si="955"/>
        <v>Offensive</v>
      </c>
      <c r="AT553" t="str">
        <f t="shared" si="906"/>
        <v/>
      </c>
      <c r="AU553" t="str">
        <f t="shared" si="907"/>
        <v/>
      </c>
      <c r="AV553" t="str" cm="1">
        <f t="array" ref="AV553">IFERROR(IF(O553&lt;&gt;"",O553,IF(OR($S553="",$T553=""),"",IF(O553&lt;&gt;"",O553,IF($T553&lt;&gt;"",_xlfn._xlws.FILTER(O:O,($BT:$BT=$BT553)*($I:$I=$I553)*($T:$T=$T553)*($S:$S=_xlfn.MINIFS($S:$S,$T:$T,"="&amp;$T553)),"")))))&amp;"",IF(O553="","",""))&amp;""</f>
        <v/>
      </c>
      <c r="AW553" t="str" cm="1">
        <f t="array" ref="AW553">IFERROR(IF(P553&lt;&gt;"",P553,IF(OR($S553="",$T553=""),"",IF($T553&lt;&gt;"",_xlfn._xlws.FILTER(P:P,($BT:$BT=$BT553)*($I:$I=$I553)*($T:$T=$T553)*($S:$S=_xlfn.MINIFS($S:$S,$T:$T,"="&amp;$T553)),""))))&amp;"",IF(P553="","",""))&amp;""</f>
        <v/>
      </c>
      <c r="AX553" t="str" cm="1">
        <f t="array" ref="AX553">IFERROR(IF(Q553&lt;&gt;"",Q553,IF(OR($S553="",$T553=""),"",IF($T553&lt;&gt;"",_xlfn._xlws.FILTER(Q:Q,($BT:$BT=$BT553)*($I:$I=$I553)*($T:$T=$T553)*($S:$S=_xlfn.MINIFS($S:$S,$T:$T,"="&amp;$T553)),""))))&amp;"",IF(Q553="","",""))&amp;""</f>
        <v/>
      </c>
      <c r="AY553" t="str" cm="1">
        <f t="array" ref="AY553">IFERROR(IF(R553&lt;&gt;"",R553,IF(OR($S553="",$T553=""),"",IF($T553&lt;&gt;"",_xlfn._xlws.FILTER(R:R,($BT:$BT=$BT553)*($I:$I=$I553)*($T:$T=$T553)*($S:$S=_xlfn.MINIFS($S:$S,$T:$T,"="&amp;$T553)),""))))&amp;"",IF(R553="","",""))&amp;""</f>
        <v>1</v>
      </c>
      <c r="AZ553" s="6">
        <f t="shared" si="908"/>
        <v>47</v>
      </c>
      <c r="BA553">
        <f t="shared" ref="BA553:BC553" si="970">BA552</f>
        <v>18991</v>
      </c>
      <c r="BB553" t="str">
        <f t="shared" si="970"/>
        <v>Triple J</v>
      </c>
      <c r="BC553" t="str">
        <f t="shared" si="970"/>
        <v>Velodrome</v>
      </c>
      <c r="BD553" t="str">
        <f t="shared" si="910"/>
        <v>Possession</v>
      </c>
      <c r="BE553" t="str">
        <f t="shared" si="911"/>
        <v/>
      </c>
      <c r="BF553" t="str">
        <f t="shared" si="912"/>
        <v/>
      </c>
      <c r="BG553" t="str">
        <f t="shared" si="894"/>
        <v/>
      </c>
      <c r="BH553" cm="1">
        <f t="array" aca="1" ref="BH553" ca="1">IFERROR(_xlfn._xlws.FILTER(shifts!A:A,(shifts!B:B=events!Z553)*(shifts!AG:AG&gt;=events!BJ553)*(shifts!AH:AH&lt;=events!BK553)),BH552)</f>
        <v>18</v>
      </c>
      <c r="BI553" s="15">
        <f t="shared" si="913"/>
        <v>2</v>
      </c>
      <c r="BJ553">
        <f t="shared" si="914"/>
        <v>597</v>
      </c>
      <c r="BK553">
        <f t="shared" si="915"/>
        <v>595</v>
      </c>
      <c r="BL553" s="15">
        <f>SUMIFS(BI$2:BI553,K$2:K553,"=Intermission")+SUMIFS(BI$2:BI553,K$2:K553,"=Timeout")</f>
        <v>0</v>
      </c>
      <c r="BM553">
        <f t="shared" si="916"/>
        <v>0</v>
      </c>
      <c r="BN553" s="19">
        <f t="shared" si="917"/>
        <v>483</v>
      </c>
      <c r="BO553">
        <f t="shared" si="918"/>
        <v>478</v>
      </c>
      <c r="BP553" s="17">
        <f t="shared" si="919"/>
        <v>485</v>
      </c>
      <c r="BQ553" t="str">
        <f t="shared" si="920"/>
        <v>event_team_player_1</v>
      </c>
      <c r="BR553">
        <f>COUNTIFS(S$3:S553,"="&amp;S553,AH$3:AH553,"="&amp;AH553)</f>
        <v>1</v>
      </c>
      <c r="BS553" t="str">
        <f>IFERROR(VLOOKUP(BA553&amp;BT553&amp;X553,game_rosters!U:W,3,FALSE),"")</f>
        <v>P100002</v>
      </c>
      <c r="BT553" t="str">
        <f t="shared" si="921"/>
        <v>Velodrome</v>
      </c>
    </row>
    <row r="554" spans="1:72" x14ac:dyDescent="0.2">
      <c r="A554" t="str">
        <f t="shared" si="896"/>
        <v/>
      </c>
      <c r="E554" s="4"/>
      <c r="F554" s="45"/>
      <c r="G554" s="4"/>
      <c r="H554" s="47"/>
      <c r="I554" s="26">
        <v>69</v>
      </c>
      <c r="J554" s="26" t="str">
        <f t="shared" si="925"/>
        <v/>
      </c>
      <c r="N554" t="str">
        <f t="shared" si="940"/>
        <v/>
      </c>
      <c r="Q554" t="str">
        <f t="shared" si="934"/>
        <v/>
      </c>
      <c r="R554" s="26">
        <v>1</v>
      </c>
      <c r="S554">
        <f>IF(A554=1,MAX($S$2:$S553)+1,IF(OR($I554&lt;&gt;"",A554="x"),$S553,""))</f>
        <v>274</v>
      </c>
      <c r="T554" t="str">
        <f>IF(D554=1,MAX($T$2:$T553)+1,IF(S554=S553,$T553,IF(D554="x",T553,IF(D553="x","",""))))</f>
        <v/>
      </c>
      <c r="U554" t="str">
        <f>IF(B554=1,MAX($U$2:$U553)+1,IF(AND($T554&lt;&gt;"",$T554=$T553),$U553,IF(B554="x",U553,"")))</f>
        <v/>
      </c>
      <c r="V554" t="str">
        <f>IF(C554=1,MAX($V$2:$V553)+1,IF(AND($T554&lt;&gt;"",$T554=$T553),$U553,IF(C554="x",V553,"")))</f>
        <v/>
      </c>
      <c r="W554" t="str" cm="1">
        <f t="array" ref="W554">IFERROR(_xlfn._xlws.FILTER(game_rosters!AC:AC,(game_rosters!J:J=events!X554)*(K554&lt;&gt;"")),"")</f>
        <v/>
      </c>
      <c r="X554" cm="1">
        <f t="array" ref="X554">IF($I554&lt;&gt;"",$I554,INDEX($I$1:$I554,ROW()-COUNTIFS($T$1:$T554,"="&amp;$T554,$S$1:$S554,"&lt;"&amp;$S554)))</f>
        <v>69</v>
      </c>
      <c r="Y554" t="str" cm="1">
        <f t="array" ref="Y554">IFERROR(IF(_xlfn._xlws.FILTER(game_rosters!$J:$J,(game_rosters!$G:$G=events!$AM554)*(game_rosters!$J:$J=events!$X554))&gt;0,1,""),"")</f>
        <v/>
      </c>
      <c r="Z554" s="6">
        <f t="shared" si="897"/>
        <v>1</v>
      </c>
      <c r="AA554">
        <f t="shared" si="898"/>
        <v>1274</v>
      </c>
      <c r="AB554" t="str">
        <f t="shared" si="899"/>
        <v/>
      </c>
      <c r="AC554">
        <f t="shared" si="900"/>
        <v>1274</v>
      </c>
      <c r="AD554" t="str">
        <f t="shared" si="901"/>
        <v>9</v>
      </c>
      <c r="AE554" t="str">
        <f t="shared" si="902"/>
        <v>57</v>
      </c>
      <c r="AF554" t="str">
        <f t="shared" si="903"/>
        <v>9</v>
      </c>
      <c r="AG554" t="str">
        <f t="shared" si="904"/>
        <v>55</v>
      </c>
      <c r="AH554" t="str">
        <f t="shared" si="947"/>
        <v>o</v>
      </c>
      <c r="AI554" t="str">
        <f t="shared" si="948"/>
        <v>o</v>
      </c>
      <c r="AJ554" t="str">
        <f t="shared" si="948"/>
        <v>o</v>
      </c>
      <c r="AK554" t="str">
        <f t="shared" si="949"/>
        <v/>
      </c>
      <c r="AL554" t="str">
        <f t="shared" si="950"/>
        <v/>
      </c>
      <c r="AM554" t="str">
        <f t="shared" si="905"/>
        <v>Away</v>
      </c>
      <c r="AN554" t="str">
        <f t="shared" si="951"/>
        <v>a</v>
      </c>
      <c r="AO554" t="str">
        <f t="shared" si="952"/>
        <v>d</v>
      </c>
      <c r="AP554" t="str">
        <f t="shared" si="953"/>
        <v>o</v>
      </c>
      <c r="AQ554" t="str">
        <f>IF(AM554&lt;&gt;"",AM554,IF($AC554=#REF!,#REF!,""))</f>
        <v>Away</v>
      </c>
      <c r="AR554" t="str">
        <f t="shared" si="954"/>
        <v>a</v>
      </c>
      <c r="AS554" t="str">
        <f t="shared" si="955"/>
        <v>Defensive</v>
      </c>
      <c r="AT554" t="str">
        <f t="shared" si="906"/>
        <v/>
      </c>
      <c r="AU554" t="str">
        <f t="shared" si="907"/>
        <v/>
      </c>
      <c r="AV554" t="str" cm="1">
        <f t="array" ref="AV554">IFERROR(IF(O554&lt;&gt;"",O554,IF(OR($S554="",$T554=""),"",IF(O554&lt;&gt;"",O554,IF($T554&lt;&gt;"",_xlfn._xlws.FILTER(O:O,($BT:$BT=$BT554)*($I:$I=$I554)*($T:$T=$T554)*($S:$S=_xlfn.MINIFS($S:$S,$T:$T,"="&amp;$T554)),"")))))&amp;"",IF(O554="","",""))&amp;""</f>
        <v/>
      </c>
      <c r="AW554" t="str" cm="1">
        <f t="array" ref="AW554">IFERROR(IF(P554&lt;&gt;"",P554,IF(OR($S554="",$T554=""),"",IF($T554&lt;&gt;"",_xlfn._xlws.FILTER(P:P,($BT:$BT=$BT554)*($I:$I=$I554)*($T:$T=$T554)*($S:$S=_xlfn.MINIFS($S:$S,$T:$T,"="&amp;$T554)),""))))&amp;"",IF(P554="","",""))&amp;""</f>
        <v/>
      </c>
      <c r="AX554" t="str" cm="1">
        <f t="array" ref="AX554">IFERROR(IF(Q554&lt;&gt;"",Q554,IF(OR($S554="",$T554=""),"",IF($T554&lt;&gt;"",_xlfn._xlws.FILTER(Q:Q,($BT:$BT=$BT554)*($I:$I=$I554)*($T:$T=$T554)*($S:$S=_xlfn.MINIFS($S:$S,$T:$T,"="&amp;$T554)),""))))&amp;"",IF(Q554="","",""))&amp;""</f>
        <v/>
      </c>
      <c r="AY554" t="str" cm="1">
        <f t="array" ref="AY554">IFERROR(IF(R554&lt;&gt;"",R554,IF(OR($S554="",$T554=""),"",IF($T554&lt;&gt;"",_xlfn._xlws.FILTER(R:R,($BT:$BT=$BT554)*($I:$I=$I554)*($T:$T=$T554)*($S:$S=_xlfn.MINIFS($S:$S,$T:$T,"="&amp;$T554)),""))))&amp;"",IF(R554="","",""))&amp;""</f>
        <v>1</v>
      </c>
      <c r="AZ554" s="6">
        <f t="shared" si="908"/>
        <v>47</v>
      </c>
      <c r="BA554">
        <f t="shared" ref="BA554:BC554" si="971">BA553</f>
        <v>18991</v>
      </c>
      <c r="BB554" t="str">
        <f t="shared" si="971"/>
        <v>Triple J</v>
      </c>
      <c r="BC554" t="str">
        <f t="shared" si="971"/>
        <v>Velodrome</v>
      </c>
      <c r="BD554" t="str">
        <f t="shared" si="910"/>
        <v>Possession</v>
      </c>
      <c r="BE554" t="str">
        <f t="shared" si="911"/>
        <v/>
      </c>
      <c r="BF554" t="str">
        <f t="shared" si="912"/>
        <v/>
      </c>
      <c r="BG554" t="str">
        <f t="shared" si="894"/>
        <v/>
      </c>
      <c r="BH554" cm="1">
        <f t="array" aca="1" ref="BH554" ca="1">IFERROR(_xlfn._xlws.FILTER(shifts!A:A,(shifts!B:B=events!Z554)*(shifts!AG:AG&gt;=events!BJ554)*(shifts!AH:AH&lt;=events!BK554)),BH553)</f>
        <v>18</v>
      </c>
      <c r="BI554" s="15">
        <f t="shared" si="913"/>
        <v>2</v>
      </c>
      <c r="BJ554">
        <f t="shared" si="914"/>
        <v>597</v>
      </c>
      <c r="BK554">
        <f t="shared" si="915"/>
        <v>595</v>
      </c>
      <c r="BL554" s="15">
        <f>SUMIFS(BI$2:BI554,K$2:K554,"=Intermission")+SUMIFS(BI$2:BI554,K$2:K554,"=Timeout")</f>
        <v>0</v>
      </c>
      <c r="BM554">
        <f t="shared" si="916"/>
        <v>0</v>
      </c>
      <c r="BN554" s="19">
        <f t="shared" si="917"/>
        <v>483</v>
      </c>
      <c r="BO554">
        <f t="shared" si="918"/>
        <v>478</v>
      </c>
      <c r="BP554" s="17">
        <f t="shared" si="919"/>
        <v>485</v>
      </c>
      <c r="BQ554" t="str">
        <f t="shared" si="920"/>
        <v>opp_team_player_1</v>
      </c>
      <c r="BR554">
        <f>COUNTIFS(S$3:S554,"="&amp;S554,AH$3:AH554,"="&amp;AH554)</f>
        <v>1</v>
      </c>
      <c r="BS554" t="str">
        <f>IFERROR(VLOOKUP(BA554&amp;BT554&amp;X554,game_rosters!U:W,3,FALSE),"")</f>
        <v>P100014</v>
      </c>
      <c r="BT554" t="str">
        <f t="shared" si="921"/>
        <v>Triple J</v>
      </c>
    </row>
    <row r="555" spans="1:72" x14ac:dyDescent="0.2">
      <c r="A555">
        <f t="shared" si="896"/>
        <v>1</v>
      </c>
      <c r="E555" s="4"/>
      <c r="F555" s="45"/>
      <c r="G555" s="4"/>
      <c r="H555" s="47"/>
      <c r="I555" s="26">
        <v>91</v>
      </c>
      <c r="J555" s="26" t="s">
        <v>368</v>
      </c>
      <c r="K555" t="s">
        <v>7</v>
      </c>
      <c r="L555" t="s">
        <v>192</v>
      </c>
      <c r="M555" t="s">
        <v>68</v>
      </c>
      <c r="N555" t="str">
        <f t="shared" si="940"/>
        <v>u</v>
      </c>
      <c r="Q555" t="str">
        <f t="shared" si="934"/>
        <v/>
      </c>
      <c r="R555" s="26">
        <v>1</v>
      </c>
      <c r="S555">
        <f>IF(A555=1,MAX($S$2:$S554)+1,IF(OR($I555&lt;&gt;"",A555="x"),$S554,""))</f>
        <v>275</v>
      </c>
      <c r="T555" t="str">
        <f>IF(D555=1,MAX($T$2:$T554)+1,IF(S555=S554,$T554,IF(D555="x",T554,IF(D554="x","",""))))</f>
        <v/>
      </c>
      <c r="U555" t="str">
        <f>IF(B555=1,MAX($U$2:$U554)+1,IF(AND($T555&lt;&gt;"",$T555=$T554),$U554,IF(B555="x",U554,"")))</f>
        <v/>
      </c>
      <c r="V555" t="str">
        <f>IF(C555=1,MAX($V$2:$V554)+1,IF(AND($T555&lt;&gt;"",$T555=$T554),$U554,IF(C555="x",V554,"")))</f>
        <v/>
      </c>
      <c r="W555" t="str" cm="1">
        <f t="array" ref="W555">IFERROR(_xlfn._xlws.FILTER(game_rosters!AC:AC,(game_rosters!J:J=events!X555)*(K555&lt;&gt;"")),"")</f>
        <v>a</v>
      </c>
      <c r="X555" cm="1">
        <f t="array" ref="X555">IF($I555&lt;&gt;"",$I555,INDEX($I$1:$I555,ROW()-COUNTIFS($T$1:$T555,"="&amp;$T555,$S$1:$S555,"&lt;"&amp;$S555)))</f>
        <v>91</v>
      </c>
      <c r="Y555" cm="1">
        <f t="array" ref="Y555">IFERROR(IF(_xlfn._xlws.FILTER(game_rosters!$J:$J,(game_rosters!$G:$G=events!$AM555)*(game_rosters!$J:$J=events!$X555))&gt;0,1,""),"")</f>
        <v>1</v>
      </c>
      <c r="Z555" s="6">
        <f t="shared" si="897"/>
        <v>1</v>
      </c>
      <c r="AA555">
        <f t="shared" si="898"/>
        <v>1275</v>
      </c>
      <c r="AB555" t="str">
        <f t="shared" si="899"/>
        <v/>
      </c>
      <c r="AC555">
        <f t="shared" si="900"/>
        <v>1275</v>
      </c>
      <c r="AD555" t="str">
        <f t="shared" si="901"/>
        <v>9</v>
      </c>
      <c r="AE555" t="str">
        <f t="shared" si="902"/>
        <v>55</v>
      </c>
      <c r="AF555" t="str">
        <f t="shared" si="903"/>
        <v/>
      </c>
      <c r="AG555" t="str">
        <f t="shared" si="904"/>
        <v/>
      </c>
      <c r="AH555" t="str">
        <f t="shared" si="947"/>
        <v>e</v>
      </c>
      <c r="AI555" t="str">
        <f t="shared" ref="AI555:AJ570" si="972">IF($J555&lt;&gt;"",$J555,IF($AC555=$AC554,AI554,""))</f>
        <v>o</v>
      </c>
      <c r="AJ555" t="str">
        <f t="shared" si="972"/>
        <v>o</v>
      </c>
      <c r="AK555" t="str">
        <f t="shared" si="949"/>
        <v>d</v>
      </c>
      <c r="AL555" t="str">
        <f t="shared" si="950"/>
        <v>o</v>
      </c>
      <c r="AM555" t="str">
        <f t="shared" si="905"/>
        <v>Away</v>
      </c>
      <c r="AN555" t="str">
        <f t="shared" si="951"/>
        <v>a</v>
      </c>
      <c r="AO555" t="str">
        <f t="shared" si="952"/>
        <v>d</v>
      </c>
      <c r="AP555" t="str">
        <f t="shared" si="953"/>
        <v>o</v>
      </c>
      <c r="AQ555" t="str">
        <f>IF(AM555&lt;&gt;"",AM555,IF($AC555=#REF!,#REF!,""))</f>
        <v>Away</v>
      </c>
      <c r="AR555" t="str">
        <f t="shared" si="954"/>
        <v>a</v>
      </c>
      <c r="AS555" t="str">
        <f t="shared" si="955"/>
        <v>Offensive</v>
      </c>
      <c r="AT555" t="str">
        <f t="shared" si="906"/>
        <v/>
      </c>
      <c r="AU555" t="str">
        <f t="shared" si="907"/>
        <v/>
      </c>
      <c r="AV555" t="str" cm="1">
        <f t="array" ref="AV555">IFERROR(IF(O555&lt;&gt;"",O555,IF(OR($S555="",$T555=""),"",IF(O555&lt;&gt;"",O555,IF($T555&lt;&gt;"",_xlfn._xlws.FILTER(O:O,($BT:$BT=$BT555)*($I:$I=$I555)*($T:$T=$T555)*($S:$S=_xlfn.MINIFS($S:$S,$T:$T,"="&amp;$T555)),"")))))&amp;"",IF(O555="","",""))&amp;""</f>
        <v/>
      </c>
      <c r="AW555" t="str" cm="1">
        <f t="array" ref="AW555">IFERROR(IF(P555&lt;&gt;"",P555,IF(OR($S555="",$T555=""),"",IF($T555&lt;&gt;"",_xlfn._xlws.FILTER(P:P,($BT:$BT=$BT555)*($I:$I=$I555)*($T:$T=$T555)*($S:$S=_xlfn.MINIFS($S:$S,$T:$T,"="&amp;$T555)),""))))&amp;"",IF(P555="","",""))&amp;""</f>
        <v/>
      </c>
      <c r="AX555" t="str" cm="1">
        <f t="array" ref="AX555">IFERROR(IF(Q555&lt;&gt;"",Q555,IF(OR($S555="",$T555=""),"",IF($T555&lt;&gt;"",_xlfn._xlws.FILTER(Q:Q,($BT:$BT=$BT555)*($I:$I=$I555)*($T:$T=$T555)*($S:$S=_xlfn.MINIFS($S:$S,$T:$T,"="&amp;$T555)),""))))&amp;"",IF(Q555="","",""))&amp;""</f>
        <v/>
      </c>
      <c r="AY555" t="str" cm="1">
        <f t="array" ref="AY555">IFERROR(IF(R555&lt;&gt;"",R555,IF(OR($S555="",$T555=""),"",IF($T555&lt;&gt;"",_xlfn._xlws.FILTER(R:R,($BT:$BT=$BT555)*($I:$I=$I555)*($T:$T=$T555)*($S:$S=_xlfn.MINIFS($S:$S,$T:$T,"="&amp;$T555)),""))))&amp;"",IF(R555="","",""))&amp;""</f>
        <v>1</v>
      </c>
      <c r="AZ555" s="6">
        <f t="shared" si="908"/>
        <v>47</v>
      </c>
      <c r="BA555">
        <f t="shared" ref="BA555:BC555" si="973">BA554</f>
        <v>18991</v>
      </c>
      <c r="BB555" t="str">
        <f t="shared" si="973"/>
        <v>Triple J</v>
      </c>
      <c r="BC555" t="str">
        <f t="shared" si="973"/>
        <v>Velodrome</v>
      </c>
      <c r="BD555" t="str">
        <f t="shared" si="910"/>
        <v>Pass</v>
      </c>
      <c r="BE555" t="str">
        <f t="shared" si="911"/>
        <v>Pass_Deflected</v>
      </c>
      <c r="BF555" t="str">
        <f t="shared" si="912"/>
        <v>Pass-Forehand</v>
      </c>
      <c r="BG555" t="str">
        <f t="shared" si="894"/>
        <v>u</v>
      </c>
      <c r="BH555" cm="1">
        <f t="array" aca="1" ref="BH555" ca="1">IFERROR(_xlfn._xlws.FILTER(shifts!A:A,(shifts!B:B=events!Z555)*(shifts!AG:AG&gt;=events!BJ555)*(shifts!AH:AH&lt;=events!BK555)),BH554)</f>
        <v>18</v>
      </c>
      <c r="BI555" s="15">
        <f t="shared" si="913"/>
        <v>0</v>
      </c>
      <c r="BJ555">
        <f t="shared" si="914"/>
        <v>595</v>
      </c>
      <c r="BK555">
        <f t="shared" si="915"/>
        <v>595</v>
      </c>
      <c r="BL555" s="15">
        <f>SUMIFS(BI$2:BI555,K$2:K555,"=Intermission")+SUMIFS(BI$2:BI555,K$2:K555,"=Timeout")</f>
        <v>0</v>
      </c>
      <c r="BM555">
        <f t="shared" si="916"/>
        <v>0</v>
      </c>
      <c r="BN555" s="19">
        <f t="shared" si="917"/>
        <v>485</v>
      </c>
      <c r="BO555">
        <f t="shared" si="918"/>
        <v>480</v>
      </c>
      <c r="BP555" s="17">
        <f t="shared" si="919"/>
        <v>485</v>
      </c>
      <c r="BQ555" t="str">
        <f t="shared" si="920"/>
        <v>event_team_player_1</v>
      </c>
      <c r="BR555">
        <f>COUNTIFS(S$3:S555,"="&amp;S555,AH$3:AH555,"="&amp;AH555)</f>
        <v>1</v>
      </c>
      <c r="BS555" t="str">
        <f>IFERROR(VLOOKUP(BA555&amp;BT555&amp;X555,game_rosters!U:W,3,FALSE),"")</f>
        <v>P100002</v>
      </c>
      <c r="BT555" t="str">
        <f t="shared" si="921"/>
        <v>Velodrome</v>
      </c>
    </row>
    <row r="556" spans="1:72" x14ac:dyDescent="0.2">
      <c r="A556" t="str">
        <f t="shared" si="896"/>
        <v/>
      </c>
      <c r="E556" s="4"/>
      <c r="F556" s="45"/>
      <c r="G556" s="4"/>
      <c r="H556" s="47"/>
      <c r="I556" s="26">
        <v>24</v>
      </c>
      <c r="J556" s="26" t="str">
        <f t="shared" si="925"/>
        <v/>
      </c>
      <c r="N556" t="str">
        <f t="shared" si="940"/>
        <v/>
      </c>
      <c r="Q556" t="str">
        <f t="shared" si="934"/>
        <v/>
      </c>
      <c r="S556">
        <f>IF(A556=1,MAX($S$2:$S555)+1,IF(OR($I556&lt;&gt;"",A556="x"),$S555,""))</f>
        <v>275</v>
      </c>
      <c r="T556" t="str">
        <f>IF(D556=1,MAX($T$2:$T555)+1,IF(S556=S555,$T555,IF(D556="x",T555,IF(D555="x","",""))))</f>
        <v/>
      </c>
      <c r="U556" t="str">
        <f>IF(B556=1,MAX($U$2:$U555)+1,IF(AND($T556&lt;&gt;"",$T556=$T555),$U555,IF(B556="x",U555,"")))</f>
        <v/>
      </c>
      <c r="V556" t="str">
        <f>IF(C556=1,MAX($V$2:$V555)+1,IF(AND($T556&lt;&gt;"",$T556=$T555),$U555,IF(C556="x",V555,"")))</f>
        <v/>
      </c>
      <c r="W556" t="str" cm="1">
        <f t="array" ref="W556">IFERROR(_xlfn._xlws.FILTER(game_rosters!AC:AC,(game_rosters!J:J=events!X556)*(K556&lt;&gt;"")),"")</f>
        <v/>
      </c>
      <c r="X556" cm="1">
        <f t="array" ref="X556">IF($I556&lt;&gt;"",$I556,INDEX($I$1:$I556,ROW()-COUNTIFS($T$1:$T556,"="&amp;$T556,$S$1:$S556,"&lt;"&amp;$S556)))</f>
        <v>24</v>
      </c>
      <c r="Y556" cm="1">
        <f t="array" ref="Y556">IFERROR(IF(_xlfn._xlws.FILTER(game_rosters!$J:$J,(game_rosters!$G:$G=events!$AM556)*(game_rosters!$J:$J=events!$X556))&gt;0,1,""),"")</f>
        <v>1</v>
      </c>
      <c r="Z556" s="6">
        <f t="shared" si="897"/>
        <v>1</v>
      </c>
      <c r="AA556">
        <f t="shared" si="898"/>
        <v>1275</v>
      </c>
      <c r="AB556" t="str">
        <f t="shared" si="899"/>
        <v/>
      </c>
      <c r="AC556">
        <f t="shared" si="900"/>
        <v>1275</v>
      </c>
      <c r="AD556" t="str">
        <f t="shared" si="901"/>
        <v>9</v>
      </c>
      <c r="AE556" t="str">
        <f t="shared" si="902"/>
        <v>55</v>
      </c>
      <c r="AF556" t="str">
        <f t="shared" si="903"/>
        <v/>
      </c>
      <c r="AG556" t="str">
        <f t="shared" si="904"/>
        <v/>
      </c>
      <c r="AH556" t="str">
        <f t="shared" si="947"/>
        <v>e</v>
      </c>
      <c r="AI556" t="str">
        <f t="shared" si="972"/>
        <v>o</v>
      </c>
      <c r="AJ556" t="str">
        <f t="shared" si="972"/>
        <v>o</v>
      </c>
      <c r="AK556" t="str">
        <f t="shared" si="949"/>
        <v/>
      </c>
      <c r="AL556" t="str">
        <f t="shared" si="950"/>
        <v/>
      </c>
      <c r="AM556" t="str">
        <f t="shared" si="905"/>
        <v>Away</v>
      </c>
      <c r="AN556" t="str">
        <f t="shared" si="951"/>
        <v>a</v>
      </c>
      <c r="AO556" t="str">
        <f t="shared" si="952"/>
        <v>d</v>
      </c>
      <c r="AP556" t="str">
        <f t="shared" si="953"/>
        <v>o</v>
      </c>
      <c r="AQ556" t="str">
        <f>IF(AM556&lt;&gt;"",AM556,IF($AC556=#REF!,#REF!,""))</f>
        <v>Away</v>
      </c>
      <c r="AR556" t="str">
        <f t="shared" si="954"/>
        <v>a</v>
      </c>
      <c r="AS556" t="str">
        <f t="shared" si="955"/>
        <v>Offensive</v>
      </c>
      <c r="AT556" t="str">
        <f t="shared" si="906"/>
        <v/>
      </c>
      <c r="AU556" t="str">
        <f t="shared" si="907"/>
        <v/>
      </c>
      <c r="AV556" t="str" cm="1">
        <f t="array" ref="AV556">IFERROR(IF(O556&lt;&gt;"",O556,IF(OR($S556="",$T556=""),"",IF(O556&lt;&gt;"",O556,IF($T556&lt;&gt;"",_xlfn._xlws.FILTER(O:O,($BT:$BT=$BT556)*($I:$I=$I556)*($T:$T=$T556)*($S:$S=_xlfn.MINIFS($S:$S,$T:$T,"="&amp;$T556)),"")))))&amp;"",IF(O556="","",""))&amp;""</f>
        <v/>
      </c>
      <c r="AW556" t="str" cm="1">
        <f t="array" ref="AW556">IFERROR(IF(P556&lt;&gt;"",P556,IF(OR($S556="",$T556=""),"",IF($T556&lt;&gt;"",_xlfn._xlws.FILTER(P:P,($BT:$BT=$BT556)*($I:$I=$I556)*($T:$T=$T556)*($S:$S=_xlfn.MINIFS($S:$S,$T:$T,"="&amp;$T556)),""))))&amp;"",IF(P556="","",""))&amp;""</f>
        <v/>
      </c>
      <c r="AX556" t="str" cm="1">
        <f t="array" ref="AX556">IFERROR(IF(Q556&lt;&gt;"",Q556,IF(OR($S556="",$T556=""),"",IF($T556&lt;&gt;"",_xlfn._xlws.FILTER(Q:Q,($BT:$BT=$BT556)*($I:$I=$I556)*($T:$T=$T556)*($S:$S=_xlfn.MINIFS($S:$S,$T:$T,"="&amp;$T556)),""))))&amp;"",IF(Q556="","",""))&amp;""</f>
        <v/>
      </c>
      <c r="AY556" t="str" cm="1">
        <f t="array" ref="AY556">IFERROR(IF(R556&lt;&gt;"",R556,IF(OR($S556="",$T556=""),"",IF($T556&lt;&gt;"",_xlfn._xlws.FILTER(R:R,($BT:$BT=$BT556)*($I:$I=$I556)*($T:$T=$T556)*($S:$S=_xlfn.MINIFS($S:$S,$T:$T,"="&amp;$T556)),""))))&amp;"",IF(R556="","",""))&amp;""</f>
        <v/>
      </c>
      <c r="AZ556" s="6">
        <f t="shared" si="908"/>
        <v>47</v>
      </c>
      <c r="BA556">
        <f t="shared" ref="BA556:BC556" si="974">BA555</f>
        <v>18991</v>
      </c>
      <c r="BB556" t="str">
        <f t="shared" si="974"/>
        <v>Triple J</v>
      </c>
      <c r="BC556" t="str">
        <f t="shared" si="974"/>
        <v>Velodrome</v>
      </c>
      <c r="BD556" t="str">
        <f t="shared" si="910"/>
        <v>Pass</v>
      </c>
      <c r="BE556" t="str">
        <f t="shared" si="911"/>
        <v>Pass_Deflected</v>
      </c>
      <c r="BF556" t="str">
        <f t="shared" si="912"/>
        <v>Pass-Forehand</v>
      </c>
      <c r="BG556" t="str">
        <f t="shared" si="894"/>
        <v>u</v>
      </c>
      <c r="BH556" cm="1">
        <f t="array" aca="1" ref="BH556" ca="1">IFERROR(_xlfn._xlws.FILTER(shifts!A:A,(shifts!B:B=events!Z556)*(shifts!AG:AG&gt;=events!BJ556)*(shifts!AH:AH&lt;=events!BK556)),BH555)</f>
        <v>18</v>
      </c>
      <c r="BI556" s="15">
        <f t="shared" si="913"/>
        <v>0</v>
      </c>
      <c r="BJ556">
        <f t="shared" si="914"/>
        <v>595</v>
      </c>
      <c r="BK556">
        <f t="shared" si="915"/>
        <v>595</v>
      </c>
      <c r="BL556" s="15">
        <f>SUMIFS(BI$2:BI556,K$2:K556,"=Intermission")+SUMIFS(BI$2:BI556,K$2:K556,"=Timeout")</f>
        <v>0</v>
      </c>
      <c r="BM556">
        <f t="shared" si="916"/>
        <v>0</v>
      </c>
      <c r="BN556" s="19">
        <f t="shared" si="917"/>
        <v>485</v>
      </c>
      <c r="BO556">
        <f t="shared" si="918"/>
        <v>480</v>
      </c>
      <c r="BP556" s="17">
        <f t="shared" si="919"/>
        <v>485</v>
      </c>
      <c r="BQ556" t="str">
        <f t="shared" si="920"/>
        <v>event_team_player_2</v>
      </c>
      <c r="BR556">
        <f>COUNTIFS(S$3:S556,"="&amp;S556,AH$3:AH556,"="&amp;AH556)</f>
        <v>2</v>
      </c>
      <c r="BS556" t="str">
        <f>IFERROR(VLOOKUP(BA556&amp;BT556&amp;X556,game_rosters!U:W,3,FALSE),"")</f>
        <v>P100230</v>
      </c>
      <c r="BT556" t="str">
        <f t="shared" si="921"/>
        <v>Velodrome</v>
      </c>
    </row>
    <row r="557" spans="1:72" x14ac:dyDescent="0.2">
      <c r="A557" t="str">
        <f t="shared" si="896"/>
        <v/>
      </c>
      <c r="E557" s="4"/>
      <c r="F557" s="45"/>
      <c r="G557" s="4"/>
      <c r="H557" s="47"/>
      <c r="I557" s="26">
        <v>69</v>
      </c>
      <c r="J557" s="26" t="str">
        <f t="shared" si="925"/>
        <v/>
      </c>
      <c r="N557" t="str">
        <f t="shared" si="940"/>
        <v/>
      </c>
      <c r="O557" t="s">
        <v>566</v>
      </c>
      <c r="Q557" t="str">
        <f t="shared" si="934"/>
        <v/>
      </c>
      <c r="R557" s="26">
        <v>1</v>
      </c>
      <c r="S557">
        <f>IF(A557=1,MAX($S$2:$S556)+1,IF(OR($I557&lt;&gt;"",A557="x"),$S556,""))</f>
        <v>275</v>
      </c>
      <c r="T557" t="str">
        <f>IF(D557=1,MAX($T$2:$T556)+1,IF(S557=S556,$T556,IF(D557="x",T556,IF(D556="x","",""))))</f>
        <v/>
      </c>
      <c r="U557" t="str">
        <f>IF(B557=1,MAX($U$2:$U556)+1,IF(AND($T557&lt;&gt;"",$T557=$T556),$U556,IF(B557="x",U556,"")))</f>
        <v/>
      </c>
      <c r="V557" t="str">
        <f>IF(C557=1,MAX($V$2:$V556)+1,IF(AND($T557&lt;&gt;"",$T557=$T556),$U556,IF(C557="x",V556,"")))</f>
        <v/>
      </c>
      <c r="W557" t="str" cm="1">
        <f t="array" ref="W557">IFERROR(_xlfn._xlws.FILTER(game_rosters!AC:AC,(game_rosters!J:J=events!X557)*(K557&lt;&gt;"")),"")</f>
        <v/>
      </c>
      <c r="X557" cm="1">
        <f t="array" ref="X557">IF($I557&lt;&gt;"",$I557,INDEX($I$1:$I557,ROW()-COUNTIFS($T$1:$T557,"="&amp;$T557,$S$1:$S557,"&lt;"&amp;$S557)))</f>
        <v>69</v>
      </c>
      <c r="Y557" t="str" cm="1">
        <f t="array" ref="Y557">IFERROR(IF(_xlfn._xlws.FILTER(game_rosters!$J:$J,(game_rosters!$G:$G=events!$AM557)*(game_rosters!$J:$J=events!$X557))&gt;0,1,""),"")</f>
        <v/>
      </c>
      <c r="Z557" s="6">
        <f t="shared" si="897"/>
        <v>1</v>
      </c>
      <c r="AA557">
        <f t="shared" si="898"/>
        <v>1275</v>
      </c>
      <c r="AB557" t="str">
        <f t="shared" si="899"/>
        <v/>
      </c>
      <c r="AC557">
        <f t="shared" si="900"/>
        <v>1275</v>
      </c>
      <c r="AD557" t="str">
        <f t="shared" si="901"/>
        <v>9</v>
      </c>
      <c r="AE557" t="str">
        <f t="shared" si="902"/>
        <v>55</v>
      </c>
      <c r="AF557" t="str">
        <f t="shared" si="903"/>
        <v/>
      </c>
      <c r="AG557" t="str">
        <f t="shared" si="904"/>
        <v/>
      </c>
      <c r="AH557" t="str">
        <f t="shared" si="947"/>
        <v>o</v>
      </c>
      <c r="AI557" t="str">
        <f t="shared" si="972"/>
        <v>o</v>
      </c>
      <c r="AJ557" t="str">
        <f t="shared" si="972"/>
        <v>o</v>
      </c>
      <c r="AK557" t="str">
        <f t="shared" si="949"/>
        <v/>
      </c>
      <c r="AL557" t="str">
        <f t="shared" si="950"/>
        <v/>
      </c>
      <c r="AM557" t="str">
        <f t="shared" si="905"/>
        <v>Away</v>
      </c>
      <c r="AN557" t="str">
        <f t="shared" si="951"/>
        <v>a</v>
      </c>
      <c r="AO557" t="str">
        <f t="shared" si="952"/>
        <v>d</v>
      </c>
      <c r="AP557" t="str">
        <f t="shared" si="953"/>
        <v>o</v>
      </c>
      <c r="AQ557" t="str">
        <f>IF(AM557&lt;&gt;"",AM557,IF($AC557=#REF!,#REF!,""))</f>
        <v>Away</v>
      </c>
      <c r="AR557" t="str">
        <f t="shared" si="954"/>
        <v>a</v>
      </c>
      <c r="AS557" t="str">
        <f t="shared" si="955"/>
        <v>Defensive</v>
      </c>
      <c r="AT557" t="str">
        <f t="shared" si="906"/>
        <v/>
      </c>
      <c r="AU557" t="str">
        <f t="shared" si="907"/>
        <v/>
      </c>
      <c r="AV557" t="str" cm="1">
        <f t="array" ref="AV557">IFERROR(IF(O557&lt;&gt;"",O557,IF(OR($S557="",$T557=""),"",IF(O557&lt;&gt;"",O557,IF($T557&lt;&gt;"",_xlfn._xlws.FILTER(O:O,($BT:$BT=$BT557)*($I:$I=$I557)*($T:$T=$T557)*($S:$S=_xlfn.MINIFS($S:$S,$T:$T,"="&amp;$T557)),"")))))&amp;"",IF(O557="","",""))&amp;""</f>
        <v>InShotPassLane</v>
      </c>
      <c r="AW557" t="str" cm="1">
        <f t="array" ref="AW557">IFERROR(IF(P557&lt;&gt;"",P557,IF(OR($S557="",$T557=""),"",IF($T557&lt;&gt;"",_xlfn._xlws.FILTER(P:P,($BT:$BT=$BT557)*($I:$I=$I557)*($T:$T=$T557)*($S:$S=_xlfn.MINIFS($S:$S,$T:$T,"="&amp;$T557)),""))))&amp;"",IF(P557="","",""))&amp;""</f>
        <v/>
      </c>
      <c r="AX557" t="str" cm="1">
        <f t="array" ref="AX557">IFERROR(IF(Q557&lt;&gt;"",Q557,IF(OR($S557="",$T557=""),"",IF($T557&lt;&gt;"",_xlfn._xlws.FILTER(Q:Q,($BT:$BT=$BT557)*($I:$I=$I557)*($T:$T=$T557)*($S:$S=_xlfn.MINIFS($S:$S,$T:$T,"="&amp;$T557)),""))))&amp;"",IF(Q557="","",""))&amp;""</f>
        <v/>
      </c>
      <c r="AY557" t="str" cm="1">
        <f t="array" ref="AY557">IFERROR(IF(R557&lt;&gt;"",R557,IF(OR($S557="",$T557=""),"",IF($T557&lt;&gt;"",_xlfn._xlws.FILTER(R:R,($BT:$BT=$BT557)*($I:$I=$I557)*($T:$T=$T557)*($S:$S=_xlfn.MINIFS($S:$S,$T:$T,"="&amp;$T557)),""))))&amp;"",IF(R557="","",""))&amp;""</f>
        <v>1</v>
      </c>
      <c r="AZ557" s="6">
        <f t="shared" si="908"/>
        <v>47</v>
      </c>
      <c r="BA557">
        <f t="shared" ref="BA557:BC557" si="975">BA556</f>
        <v>18991</v>
      </c>
      <c r="BB557" t="str">
        <f t="shared" si="975"/>
        <v>Triple J</v>
      </c>
      <c r="BC557" t="str">
        <f t="shared" si="975"/>
        <v>Velodrome</v>
      </c>
      <c r="BD557" t="str">
        <f t="shared" si="910"/>
        <v>Pass</v>
      </c>
      <c r="BE557" t="str">
        <f t="shared" si="911"/>
        <v>Pass_Deflected</v>
      </c>
      <c r="BF557" t="str">
        <f t="shared" si="912"/>
        <v>Pass-Forehand</v>
      </c>
      <c r="BG557" t="str">
        <f t="shared" si="894"/>
        <v>u</v>
      </c>
      <c r="BH557" cm="1">
        <f t="array" aca="1" ref="BH557" ca="1">IFERROR(_xlfn._xlws.FILTER(shifts!A:A,(shifts!B:B=events!Z557)*(shifts!AG:AG&gt;=events!BJ557)*(shifts!AH:AH&lt;=events!BK557)),BH556)</f>
        <v>18</v>
      </c>
      <c r="BI557" s="15">
        <f t="shared" si="913"/>
        <v>0</v>
      </c>
      <c r="BJ557">
        <f t="shared" si="914"/>
        <v>595</v>
      </c>
      <c r="BK557">
        <f t="shared" si="915"/>
        <v>595</v>
      </c>
      <c r="BL557" s="15">
        <f>SUMIFS(BI$2:BI557,K$2:K557,"=Intermission")+SUMIFS(BI$2:BI557,K$2:K557,"=Timeout")</f>
        <v>0</v>
      </c>
      <c r="BM557">
        <f t="shared" si="916"/>
        <v>0</v>
      </c>
      <c r="BN557" s="19">
        <f t="shared" si="917"/>
        <v>485</v>
      </c>
      <c r="BO557">
        <f t="shared" si="918"/>
        <v>480</v>
      </c>
      <c r="BP557" s="17">
        <f t="shared" si="919"/>
        <v>485</v>
      </c>
      <c r="BQ557" t="str">
        <f t="shared" si="920"/>
        <v>opp_team_player_1</v>
      </c>
      <c r="BR557">
        <f>COUNTIFS(S$3:S557,"="&amp;S557,AH$3:AH557,"="&amp;AH557)</f>
        <v>1</v>
      </c>
      <c r="BS557" t="str">
        <f>IFERROR(VLOOKUP(BA557&amp;BT557&amp;X557,game_rosters!U:W,3,FALSE),"")</f>
        <v>P100014</v>
      </c>
      <c r="BT557" t="str">
        <f t="shared" si="921"/>
        <v>Triple J</v>
      </c>
    </row>
    <row r="558" spans="1:72" x14ac:dyDescent="0.2">
      <c r="A558" t="str">
        <f t="shared" si="896"/>
        <v/>
      </c>
      <c r="E558" s="4"/>
      <c r="F558" s="45"/>
      <c r="G558" s="4"/>
      <c r="H558" s="47"/>
      <c r="I558" s="26">
        <v>10</v>
      </c>
      <c r="J558" s="26" t="str">
        <f t="shared" si="925"/>
        <v/>
      </c>
      <c r="N558" t="str">
        <f t="shared" si="940"/>
        <v/>
      </c>
      <c r="O558" t="s">
        <v>782</v>
      </c>
      <c r="Q558" t="str">
        <f t="shared" si="934"/>
        <v/>
      </c>
      <c r="S558">
        <f>IF(A558=1,MAX($S$2:$S557)+1,IF(OR($I558&lt;&gt;"",A558="x"),$S557,""))</f>
        <v>275</v>
      </c>
      <c r="T558" t="str">
        <f>IF(D558=1,MAX($T$2:$T557)+1,IF(S558=S557,$T557,IF(D558="x",T557,IF(D557="x","",""))))</f>
        <v/>
      </c>
      <c r="U558" t="str">
        <f>IF(B558=1,MAX($U$2:$U557)+1,IF(AND($T558&lt;&gt;"",$T558=$T557),$U557,IF(B558="x",U557,"")))</f>
        <v/>
      </c>
      <c r="V558" t="str">
        <f>IF(C558=1,MAX($V$2:$V557)+1,IF(AND($T558&lt;&gt;"",$T558=$T557),$U557,IF(C558="x",V557,"")))</f>
        <v/>
      </c>
      <c r="W558" t="str" cm="1">
        <f t="array" ref="W558">IFERROR(_xlfn._xlws.FILTER(game_rosters!AC:AC,(game_rosters!J:J=events!X558)*(K558&lt;&gt;"")),"")</f>
        <v/>
      </c>
      <c r="X558" cm="1">
        <f t="array" ref="X558">IF($I558&lt;&gt;"",$I558,INDEX($I$1:$I558,ROW()-COUNTIFS($T$1:$T558,"="&amp;$T558,$S$1:$S558,"&lt;"&amp;$S558)))</f>
        <v>10</v>
      </c>
      <c r="Y558" t="str" cm="1">
        <f t="array" ref="Y558">IFERROR(IF(_xlfn._xlws.FILTER(game_rosters!$J:$J,(game_rosters!$G:$G=events!$AM558)*(game_rosters!$J:$J=events!$X558))&gt;0,1,""),"")</f>
        <v/>
      </c>
      <c r="Z558" s="6">
        <f t="shared" si="897"/>
        <v>1</v>
      </c>
      <c r="AA558">
        <f t="shared" si="898"/>
        <v>1275</v>
      </c>
      <c r="AB558" t="str">
        <f t="shared" si="899"/>
        <v/>
      </c>
      <c r="AC558">
        <f t="shared" si="900"/>
        <v>1275</v>
      </c>
      <c r="AD558" t="str">
        <f t="shared" si="901"/>
        <v>9</v>
      </c>
      <c r="AE558" t="str">
        <f t="shared" si="902"/>
        <v>55</v>
      </c>
      <c r="AF558" t="str">
        <f t="shared" si="903"/>
        <v/>
      </c>
      <c r="AG558" t="str">
        <f t="shared" si="904"/>
        <v/>
      </c>
      <c r="AH558" t="str">
        <f t="shared" si="947"/>
        <v>o</v>
      </c>
      <c r="AI558" t="str">
        <f t="shared" si="972"/>
        <v>o</v>
      </c>
      <c r="AJ558" t="str">
        <f t="shared" si="972"/>
        <v>o</v>
      </c>
      <c r="AK558" t="str">
        <f t="shared" si="949"/>
        <v/>
      </c>
      <c r="AL558" t="str">
        <f t="shared" si="950"/>
        <v/>
      </c>
      <c r="AM558" t="str">
        <f t="shared" si="905"/>
        <v>Away</v>
      </c>
      <c r="AN558" t="str">
        <f t="shared" si="951"/>
        <v>a</v>
      </c>
      <c r="AO558" t="str">
        <f t="shared" si="952"/>
        <v>d</v>
      </c>
      <c r="AP558" t="str">
        <f t="shared" si="953"/>
        <v>o</v>
      </c>
      <c r="AQ558" t="str">
        <f>IF(AM558&lt;&gt;"",AM558,IF($AC558=#REF!,#REF!,""))</f>
        <v>Away</v>
      </c>
      <c r="AR558" t="str">
        <f t="shared" si="954"/>
        <v>a</v>
      </c>
      <c r="AS558" t="str">
        <f t="shared" si="955"/>
        <v>Defensive</v>
      </c>
      <c r="AT558" t="str">
        <f t="shared" si="906"/>
        <v/>
      </c>
      <c r="AU558" t="str">
        <f t="shared" si="907"/>
        <v/>
      </c>
      <c r="AV558" t="str" cm="1">
        <f t="array" ref="AV558">IFERROR(IF(O558&lt;&gt;"",O558,IF(OR($S558="",$T558=""),"",IF(O558&lt;&gt;"",O558,IF($T558&lt;&gt;"",_xlfn._xlws.FILTER(O:O,($BT:$BT=$BT558)*($I:$I=$I558)*($T:$T=$T558)*($S:$S=_xlfn.MINIFS($S:$S,$T:$T,"="&amp;$T558)),"")))))&amp;"",IF(O558="","",""))&amp;""</f>
        <v>PassDeflected</v>
      </c>
      <c r="AW558" t="str" cm="1">
        <f t="array" ref="AW558">IFERROR(IF(P558&lt;&gt;"",P558,IF(OR($S558="",$T558=""),"",IF($T558&lt;&gt;"",_xlfn._xlws.FILTER(P:P,($BT:$BT=$BT558)*($I:$I=$I558)*($T:$T=$T558)*($S:$S=_xlfn.MINIFS($S:$S,$T:$T,"="&amp;$T558)),""))))&amp;"",IF(P558="","",""))&amp;""</f>
        <v/>
      </c>
      <c r="AX558" t="str" cm="1">
        <f t="array" ref="AX558">IFERROR(IF(Q558&lt;&gt;"",Q558,IF(OR($S558="",$T558=""),"",IF($T558&lt;&gt;"",_xlfn._xlws.FILTER(Q:Q,($BT:$BT=$BT558)*($I:$I=$I558)*($T:$T=$T558)*($S:$S=_xlfn.MINIFS($S:$S,$T:$T,"="&amp;$T558)),""))))&amp;"",IF(Q558="","",""))&amp;""</f>
        <v/>
      </c>
      <c r="AY558" t="str" cm="1">
        <f t="array" ref="AY558">IFERROR(IF(R558&lt;&gt;"",R558,IF(OR($S558="",$T558=""),"",IF($T558&lt;&gt;"",_xlfn._xlws.FILTER(R:R,($BT:$BT=$BT558)*($I:$I=$I558)*($T:$T=$T558)*($S:$S=_xlfn.MINIFS($S:$S,$T:$T,"="&amp;$T558)),""))))&amp;"",IF(R558="","",""))&amp;""</f>
        <v/>
      </c>
      <c r="AZ558" s="6">
        <f t="shared" si="908"/>
        <v>47</v>
      </c>
      <c r="BA558">
        <f t="shared" ref="BA558:BC558" si="976">BA557</f>
        <v>18991</v>
      </c>
      <c r="BB558" t="str">
        <f t="shared" si="976"/>
        <v>Triple J</v>
      </c>
      <c r="BC558" t="str">
        <f t="shared" si="976"/>
        <v>Velodrome</v>
      </c>
      <c r="BD558" t="str">
        <f t="shared" si="910"/>
        <v>Pass</v>
      </c>
      <c r="BE558" t="str">
        <f t="shared" si="911"/>
        <v>Pass_Deflected</v>
      </c>
      <c r="BF558" t="str">
        <f t="shared" si="912"/>
        <v>Pass-Forehand</v>
      </c>
      <c r="BG558" t="str">
        <f t="shared" si="894"/>
        <v>u</v>
      </c>
      <c r="BH558" cm="1">
        <f t="array" aca="1" ref="BH558" ca="1">IFERROR(_xlfn._xlws.FILTER(shifts!A:A,(shifts!B:B=events!Z558)*(shifts!AG:AG&gt;=events!BJ558)*(shifts!AH:AH&lt;=events!BK558)),BH557)</f>
        <v>18</v>
      </c>
      <c r="BI558" s="15">
        <f t="shared" si="913"/>
        <v>0</v>
      </c>
      <c r="BJ558">
        <f t="shared" si="914"/>
        <v>595</v>
      </c>
      <c r="BK558">
        <f t="shared" si="915"/>
        <v>595</v>
      </c>
      <c r="BL558" s="15">
        <f>SUMIFS(BI$2:BI558,K$2:K558,"=Intermission")+SUMIFS(BI$2:BI558,K$2:K558,"=Timeout")</f>
        <v>0</v>
      </c>
      <c r="BM558">
        <f t="shared" si="916"/>
        <v>0</v>
      </c>
      <c r="BN558" s="19">
        <f t="shared" si="917"/>
        <v>485</v>
      </c>
      <c r="BO558">
        <f t="shared" si="918"/>
        <v>480</v>
      </c>
      <c r="BP558" s="17">
        <f t="shared" si="919"/>
        <v>485</v>
      </c>
      <c r="BQ558" t="str">
        <f t="shared" si="920"/>
        <v>opp_team_player_2</v>
      </c>
      <c r="BR558">
        <f>COUNTIFS(S$3:S558,"="&amp;S558,AH$3:AH558,"="&amp;AH558)</f>
        <v>2</v>
      </c>
      <c r="BS558" t="str">
        <f>IFERROR(VLOOKUP(BA558&amp;BT558&amp;X558,game_rosters!U:W,3,FALSE),"")</f>
        <v>P100183</v>
      </c>
      <c r="BT558" t="str">
        <f t="shared" si="921"/>
        <v>Triple J</v>
      </c>
    </row>
    <row r="559" spans="1:72" x14ac:dyDescent="0.2">
      <c r="A559">
        <f t="shared" si="896"/>
        <v>1</v>
      </c>
      <c r="E559" s="4"/>
      <c r="F559" s="45" t="s">
        <v>1053</v>
      </c>
      <c r="G559" s="4"/>
      <c r="H559" s="47" t="s">
        <v>1044</v>
      </c>
      <c r="I559" s="26">
        <v>70</v>
      </c>
      <c r="J559" s="26" t="s">
        <v>368</v>
      </c>
      <c r="K559" t="s">
        <v>13</v>
      </c>
      <c r="L559" t="s">
        <v>587</v>
      </c>
      <c r="N559" t="s">
        <v>594</v>
      </c>
      <c r="O559" t="s">
        <v>907</v>
      </c>
      <c r="Q559" t="str">
        <f t="shared" si="934"/>
        <v>u</v>
      </c>
      <c r="S559">
        <f>IF(A559=1,MAX($S$2:$S558)+1,IF(OR($I559&lt;&gt;"",A559="x"),$S558,""))</f>
        <v>276</v>
      </c>
      <c r="T559" t="str">
        <f>IF(D559=1,MAX($T$2:$T558)+1,IF(S559=S558,$T558,IF(D559="x",T558,IF(D558="x","",""))))</f>
        <v/>
      </c>
      <c r="U559" t="str">
        <f>IF(B559=1,MAX($U$2:$U558)+1,IF(AND($T559&lt;&gt;"",$T559=$T558),$U558,IF(B559="x",U558,"")))</f>
        <v/>
      </c>
      <c r="V559" t="str">
        <f>IF(C559=1,MAX($V$2:$V558)+1,IF(AND($T559&lt;&gt;"",$T559=$T558),$U558,IF(C559="x",V558,"")))</f>
        <v/>
      </c>
      <c r="W559" t="str" cm="1">
        <f t="array" ref="W559">IFERROR(_xlfn._xlws.FILTER(game_rosters!AC:AC,(game_rosters!J:J=events!X559)*(K559&lt;&gt;"")),"")</f>
        <v>a</v>
      </c>
      <c r="X559" cm="1">
        <f t="array" ref="X559">IF($I559&lt;&gt;"",$I559,INDEX($I$1:$I559,ROW()-COUNTIFS($T$1:$T559,"="&amp;$T559,$S$1:$S559,"&lt;"&amp;$S559)))</f>
        <v>70</v>
      </c>
      <c r="Y559" cm="1">
        <f t="array" ref="Y559">IFERROR(IF(_xlfn._xlws.FILTER(game_rosters!$J:$J,(game_rosters!$G:$G=events!$AM559)*(game_rosters!$J:$J=events!$X559))&gt;0,1,""),"")</f>
        <v>1</v>
      </c>
      <c r="Z559" s="6">
        <f t="shared" si="897"/>
        <v>1</v>
      </c>
      <c r="AA559">
        <f t="shared" si="898"/>
        <v>1276</v>
      </c>
      <c r="AB559" t="str">
        <f t="shared" si="899"/>
        <v/>
      </c>
      <c r="AC559">
        <f t="shared" si="900"/>
        <v>1276</v>
      </c>
      <c r="AD559" t="str">
        <f t="shared" si="901"/>
        <v>9</v>
      </c>
      <c r="AE559" t="str">
        <f t="shared" si="902"/>
        <v>53</v>
      </c>
      <c r="AF559" t="str">
        <f t="shared" si="903"/>
        <v>9</v>
      </c>
      <c r="AG559" t="str">
        <f t="shared" si="904"/>
        <v>52</v>
      </c>
      <c r="AH559" t="str">
        <f t="shared" si="947"/>
        <v>e</v>
      </c>
      <c r="AI559" t="str">
        <f t="shared" si="972"/>
        <v>o</v>
      </c>
      <c r="AJ559" t="str">
        <f t="shared" si="972"/>
        <v>o</v>
      </c>
      <c r="AK559" t="str">
        <f t="shared" si="949"/>
        <v>d</v>
      </c>
      <c r="AL559" t="str">
        <f t="shared" si="950"/>
        <v>o</v>
      </c>
      <c r="AM559" t="str">
        <f t="shared" si="905"/>
        <v>Away</v>
      </c>
      <c r="AN559" t="str">
        <f t="shared" si="951"/>
        <v>a</v>
      </c>
      <c r="AO559" t="str">
        <f t="shared" si="952"/>
        <v>d</v>
      </c>
      <c r="AP559" t="str">
        <f t="shared" si="953"/>
        <v>o</v>
      </c>
      <c r="AQ559" t="str">
        <f>IF(AM559&lt;&gt;"",AM559,IF($AC559=#REF!,#REF!,""))</f>
        <v>Away</v>
      </c>
      <c r="AR559" t="str">
        <f t="shared" si="954"/>
        <v>a</v>
      </c>
      <c r="AS559" t="str">
        <f t="shared" si="955"/>
        <v>Offensive</v>
      </c>
      <c r="AT559" t="str">
        <f t="shared" si="906"/>
        <v/>
      </c>
      <c r="AU559" t="str">
        <f t="shared" si="907"/>
        <v/>
      </c>
      <c r="AV559" t="str" cm="1">
        <f t="array" ref="AV559">IFERROR(IF(O559&lt;&gt;"",O559,IF(OR($S559="",$T559=""),"",IF(O559&lt;&gt;"",O559,IF($T559&lt;&gt;"",_xlfn._xlws.FILTER(O:O,($BT:$BT=$BT559)*($I:$I=$I559)*($T:$T=$T559)*($S:$S=_xlfn.MINIFS($S:$S,$T:$T,"="&amp;$T559)),"")))))&amp;"",IF(O559="","",""))&amp;""</f>
        <v>PuckRecoveryRetreivalPass</v>
      </c>
      <c r="AW559" t="str" cm="1">
        <f t="array" ref="AW559">IFERROR(IF(P559&lt;&gt;"",P559,IF(OR($S559="",$T559=""),"",IF($T559&lt;&gt;"",_xlfn._xlws.FILTER(P:P,($BT:$BT=$BT559)*($I:$I=$I559)*($T:$T=$T559)*($S:$S=_xlfn.MINIFS($S:$S,$T:$T,"="&amp;$T559)),""))))&amp;"",IF(P559="","",""))&amp;""</f>
        <v/>
      </c>
      <c r="AX559" t="str" cm="1">
        <f t="array" ref="AX559">IFERROR(IF(Q559&lt;&gt;"",Q559,IF(OR($S559="",$T559=""),"",IF($T559&lt;&gt;"",_xlfn._xlws.FILTER(Q:Q,($BT:$BT=$BT559)*($I:$I=$I559)*($T:$T=$T559)*($S:$S=_xlfn.MINIFS($S:$S,$T:$T,"="&amp;$T559)),""))))&amp;"",IF(Q559="","",""))&amp;""</f>
        <v>u</v>
      </c>
      <c r="AY559" t="str" cm="1">
        <f t="array" ref="AY559">IFERROR(IF(R559&lt;&gt;"",R559,IF(OR($S559="",$T559=""),"",IF($T559&lt;&gt;"",_xlfn._xlws.FILTER(R:R,($BT:$BT=$BT559)*($I:$I=$I559)*($T:$T=$T559)*($S:$S=_xlfn.MINIFS($S:$S,$T:$T,"="&amp;$T559)),""))))&amp;"",IF(R559="","",""))&amp;""</f>
        <v/>
      </c>
      <c r="AZ559" s="6">
        <f t="shared" si="908"/>
        <v>47</v>
      </c>
      <c r="BA559">
        <f t="shared" ref="BA559:BC559" si="977">BA558</f>
        <v>18991</v>
      </c>
      <c r="BB559" t="str">
        <f t="shared" si="977"/>
        <v>Triple J</v>
      </c>
      <c r="BC559" t="str">
        <f t="shared" si="977"/>
        <v>Velodrome</v>
      </c>
      <c r="BD559" t="str">
        <f t="shared" si="910"/>
        <v>Possession</v>
      </c>
      <c r="BE559" t="str">
        <f t="shared" si="911"/>
        <v>PuckRecovery</v>
      </c>
      <c r="BF559" t="str">
        <f t="shared" si="912"/>
        <v/>
      </c>
      <c r="BG559" t="str">
        <f t="shared" si="894"/>
        <v>u</v>
      </c>
      <c r="BH559" cm="1">
        <f t="array" aca="1" ref="BH559" ca="1">IFERROR(_xlfn._xlws.FILTER(shifts!A:A,(shifts!B:B=events!Z559)*(shifts!AG:AG&gt;=events!BJ559)*(shifts!AH:AH&lt;=events!BK559)),BH558)</f>
        <v>18</v>
      </c>
      <c r="BI559" s="15">
        <f t="shared" si="913"/>
        <v>1</v>
      </c>
      <c r="BJ559">
        <f t="shared" si="914"/>
        <v>593</v>
      </c>
      <c r="BK559">
        <f t="shared" si="915"/>
        <v>592</v>
      </c>
      <c r="BL559" s="15">
        <f>SUMIFS(BI$2:BI559,K$2:K559,"=Intermission")+SUMIFS(BI$2:BI559,K$2:K559,"=Timeout")</f>
        <v>0</v>
      </c>
      <c r="BM559">
        <f t="shared" si="916"/>
        <v>0</v>
      </c>
      <c r="BN559" s="19">
        <f t="shared" si="917"/>
        <v>487</v>
      </c>
      <c r="BO559">
        <f t="shared" si="918"/>
        <v>482</v>
      </c>
      <c r="BP559" s="17">
        <f t="shared" si="919"/>
        <v>488</v>
      </c>
      <c r="BQ559" t="str">
        <f t="shared" si="920"/>
        <v>event_team_player_1</v>
      </c>
      <c r="BR559">
        <f>COUNTIFS(S$3:S559,"="&amp;S559,AH$3:AH559,"="&amp;AH559)</f>
        <v>1</v>
      </c>
      <c r="BS559" t="str">
        <f>IFERROR(VLOOKUP(BA559&amp;BT559&amp;X559,game_rosters!U:W,3,FALSE),"")</f>
        <v>P100001</v>
      </c>
      <c r="BT559" t="str">
        <f t="shared" si="921"/>
        <v>Velodrome</v>
      </c>
    </row>
    <row r="560" spans="1:72" x14ac:dyDescent="0.2">
      <c r="A560">
        <f t="shared" si="896"/>
        <v>1</v>
      </c>
      <c r="E560" s="4"/>
      <c r="F560" s="45"/>
      <c r="G560" s="4"/>
      <c r="H560" s="47"/>
      <c r="I560" s="26">
        <v>70</v>
      </c>
      <c r="J560" s="26" t="s">
        <v>368</v>
      </c>
      <c r="K560" t="s">
        <v>9</v>
      </c>
      <c r="L560" t="s">
        <v>173</v>
      </c>
      <c r="M560" t="s">
        <v>71</v>
      </c>
      <c r="N560" t="str">
        <f t="shared" si="940"/>
        <v>u</v>
      </c>
      <c r="Q560" t="str">
        <f t="shared" si="934"/>
        <v/>
      </c>
      <c r="S560">
        <f>IF(A560=1,MAX($S$2:$S559)+1,IF(OR($I560&lt;&gt;"",A560="x"),$S559,""))</f>
        <v>277</v>
      </c>
      <c r="T560" t="str">
        <f>IF(D560=1,MAX($T$2:$T559)+1,IF(S560=S559,$T559,IF(D560="x",T559,IF(D559="x","",""))))</f>
        <v/>
      </c>
      <c r="U560" t="str">
        <f>IF(B560=1,MAX($U$2:$U559)+1,IF(AND($T560&lt;&gt;"",$T560=$T559),$U559,IF(B560="x",U559,"")))</f>
        <v/>
      </c>
      <c r="V560" t="str">
        <f>IF(C560=1,MAX($V$2:$V559)+1,IF(AND($T560&lt;&gt;"",$T560=$T559),$U559,IF(C560="x",V559,"")))</f>
        <v/>
      </c>
      <c r="W560" t="str" cm="1">
        <f t="array" ref="W560">IFERROR(_xlfn._xlws.FILTER(game_rosters!AC:AC,(game_rosters!J:J=events!X560)*(K560&lt;&gt;"")),"")</f>
        <v>a</v>
      </c>
      <c r="X560" cm="1">
        <f t="array" ref="X560">IF($I560&lt;&gt;"",$I560,INDEX($I$1:$I560,ROW()-COUNTIFS($T$1:$T560,"="&amp;$T560,$S$1:$S560,"&lt;"&amp;$S560)))</f>
        <v>70</v>
      </c>
      <c r="Y560" cm="1">
        <f t="array" ref="Y560">IFERROR(IF(_xlfn._xlws.FILTER(game_rosters!$J:$J,(game_rosters!$G:$G=events!$AM560)*(game_rosters!$J:$J=events!$X560))&gt;0,1,""),"")</f>
        <v>1</v>
      </c>
      <c r="Z560" s="6">
        <f t="shared" si="897"/>
        <v>1</v>
      </c>
      <c r="AA560">
        <f t="shared" si="898"/>
        <v>1277</v>
      </c>
      <c r="AB560" t="str">
        <f t="shared" si="899"/>
        <v/>
      </c>
      <c r="AC560">
        <f t="shared" si="900"/>
        <v>1277</v>
      </c>
      <c r="AD560" t="str">
        <f t="shared" si="901"/>
        <v>9</v>
      </c>
      <c r="AE560" t="str">
        <f t="shared" si="902"/>
        <v>52</v>
      </c>
      <c r="AF560" t="str">
        <f t="shared" si="903"/>
        <v/>
      </c>
      <c r="AG560" t="str">
        <f t="shared" si="904"/>
        <v/>
      </c>
      <c r="AH560" t="str">
        <f t="shared" si="947"/>
        <v>e</v>
      </c>
      <c r="AI560" t="str">
        <f t="shared" si="972"/>
        <v>o</v>
      </c>
      <c r="AJ560" t="str">
        <f t="shared" si="972"/>
        <v>o</v>
      </c>
      <c r="AK560" t="str">
        <f t="shared" si="949"/>
        <v>d</v>
      </c>
      <c r="AL560" t="str">
        <f t="shared" si="950"/>
        <v>o</v>
      </c>
      <c r="AM560" t="str">
        <f t="shared" si="905"/>
        <v>Away</v>
      </c>
      <c r="AN560" t="str">
        <f t="shared" si="951"/>
        <v>a</v>
      </c>
      <c r="AO560" t="str">
        <f t="shared" si="952"/>
        <v>d</v>
      </c>
      <c r="AP560" t="str">
        <f t="shared" si="953"/>
        <v>o</v>
      </c>
      <c r="AQ560" t="str">
        <f>IF(AM560&lt;&gt;"",AM560,IF($AC560=#REF!,#REF!,""))</f>
        <v>Away</v>
      </c>
      <c r="AR560" t="str">
        <f t="shared" si="954"/>
        <v>a</v>
      </c>
      <c r="AS560" t="str">
        <f t="shared" si="955"/>
        <v>Offensive</v>
      </c>
      <c r="AT560" t="str">
        <f t="shared" si="906"/>
        <v/>
      </c>
      <c r="AU560" t="str">
        <f t="shared" si="907"/>
        <v/>
      </c>
      <c r="AV560" t="str" cm="1">
        <f t="array" ref="AV560">IFERROR(IF(O560&lt;&gt;"",O560,IF(OR($S560="",$T560=""),"",IF(O560&lt;&gt;"",O560,IF($T560&lt;&gt;"",_xlfn._xlws.FILTER(O:O,($BT:$BT=$BT560)*($I:$I=$I560)*($T:$T=$T560)*($S:$S=_xlfn.MINIFS($S:$S,$T:$T,"="&amp;$T560)),"")))))&amp;"",IF(O560="","",""))&amp;""</f>
        <v/>
      </c>
      <c r="AW560" t="str" cm="1">
        <f t="array" ref="AW560">IFERROR(IF(P560&lt;&gt;"",P560,IF(OR($S560="",$T560=""),"",IF($T560&lt;&gt;"",_xlfn._xlws.FILTER(P:P,($BT:$BT=$BT560)*($I:$I=$I560)*($T:$T=$T560)*($S:$S=_xlfn.MINIFS($S:$S,$T:$T,"="&amp;$T560)),""))))&amp;"",IF(P560="","",""))&amp;""</f>
        <v/>
      </c>
      <c r="AX560" t="str" cm="1">
        <f t="array" ref="AX560">IFERROR(IF(Q560&lt;&gt;"",Q560,IF(OR($S560="",$T560=""),"",IF($T560&lt;&gt;"",_xlfn._xlws.FILTER(Q:Q,($BT:$BT=$BT560)*($I:$I=$I560)*($T:$T=$T560)*($S:$S=_xlfn.MINIFS($S:$S,$T:$T,"="&amp;$T560)),""))))&amp;"",IF(Q560="","",""))&amp;""</f>
        <v/>
      </c>
      <c r="AY560" t="str" cm="1">
        <f t="array" ref="AY560">IFERROR(IF(R560&lt;&gt;"",R560,IF(OR($S560="",$T560=""),"",IF($T560&lt;&gt;"",_xlfn._xlws.FILTER(R:R,($BT:$BT=$BT560)*($I:$I=$I560)*($T:$T=$T560)*($S:$S=_xlfn.MINIFS($S:$S,$T:$T,"="&amp;$T560)),""))))&amp;"",IF(R560="","",""))&amp;""</f>
        <v/>
      </c>
      <c r="AZ560" s="6">
        <f t="shared" si="908"/>
        <v>47</v>
      </c>
      <c r="BA560">
        <f t="shared" ref="BA560:BC560" si="978">BA559</f>
        <v>18991</v>
      </c>
      <c r="BB560" t="str">
        <f t="shared" si="978"/>
        <v>Triple J</v>
      </c>
      <c r="BC560" t="str">
        <f t="shared" si="978"/>
        <v>Velodrome</v>
      </c>
      <c r="BD560" t="str">
        <f t="shared" si="910"/>
        <v>Turnover</v>
      </c>
      <c r="BE560" t="str">
        <f t="shared" si="911"/>
        <v>Turnover_Giveaway</v>
      </c>
      <c r="BF560" t="str">
        <f t="shared" si="912"/>
        <v>Giveaway-Misplayed</v>
      </c>
      <c r="BG560" t="str">
        <f t="shared" si="894"/>
        <v>u</v>
      </c>
      <c r="BH560" cm="1">
        <f t="array" aca="1" ref="BH560" ca="1">IFERROR(_xlfn._xlws.FILTER(shifts!A:A,(shifts!B:B=events!Z560)*(shifts!AG:AG&gt;=events!BJ560)*(shifts!AH:AH&lt;=events!BK560)),BH559)</f>
        <v>18</v>
      </c>
      <c r="BI560" s="15">
        <f t="shared" si="913"/>
        <v>0</v>
      </c>
      <c r="BJ560">
        <f t="shared" si="914"/>
        <v>592</v>
      </c>
      <c r="BK560">
        <f t="shared" si="915"/>
        <v>592</v>
      </c>
      <c r="BL560" s="15">
        <f>SUMIFS(BI$2:BI560,K$2:K560,"=Intermission")+SUMIFS(BI$2:BI560,K$2:K560,"=Timeout")</f>
        <v>0</v>
      </c>
      <c r="BM560">
        <f t="shared" si="916"/>
        <v>0</v>
      </c>
      <c r="BN560" s="19">
        <f t="shared" si="917"/>
        <v>488</v>
      </c>
      <c r="BO560">
        <f t="shared" si="918"/>
        <v>483</v>
      </c>
      <c r="BP560" s="17">
        <f t="shared" si="919"/>
        <v>488</v>
      </c>
      <c r="BQ560" t="str">
        <f t="shared" si="920"/>
        <v>event_team_player_1</v>
      </c>
      <c r="BR560">
        <f>COUNTIFS(S$3:S560,"="&amp;S560,AH$3:AH560,"="&amp;AH560)</f>
        <v>1</v>
      </c>
      <c r="BS560" t="str">
        <f>IFERROR(VLOOKUP(BA560&amp;BT560&amp;X560,game_rosters!U:W,3,FALSE),"")</f>
        <v>P100001</v>
      </c>
      <c r="BT560" t="str">
        <f t="shared" si="921"/>
        <v>Velodrome</v>
      </c>
    </row>
    <row r="561" spans="1:72" x14ac:dyDescent="0.2">
      <c r="A561">
        <f t="shared" si="896"/>
        <v>1</v>
      </c>
      <c r="E561" s="4"/>
      <c r="F561" s="45"/>
      <c r="G561" s="4"/>
      <c r="H561" s="47"/>
      <c r="I561" s="26">
        <v>90</v>
      </c>
      <c r="J561" s="26" t="s">
        <v>736</v>
      </c>
      <c r="K561" t="s">
        <v>13</v>
      </c>
      <c r="L561" t="s">
        <v>586</v>
      </c>
      <c r="N561" t="s">
        <v>594</v>
      </c>
      <c r="O561" t="s">
        <v>910</v>
      </c>
      <c r="Q561" t="str">
        <f t="shared" si="934"/>
        <v>u</v>
      </c>
      <c r="S561">
        <f>IF(A561=1,MAX($S$2:$S560)+1,IF(OR($I561&lt;&gt;"",A561="x"),$S560,""))</f>
        <v>278</v>
      </c>
      <c r="T561" t="str">
        <f>IF(D561=1,MAX($T$2:$T560)+1,IF(S561=S560,$T560,IF(D561="x",T560,IF(D560="x","",""))))</f>
        <v/>
      </c>
      <c r="U561" t="str">
        <f>IF(B561=1,MAX($U$2:$U560)+1,IF(AND($T561&lt;&gt;"",$T561=$T560),$U560,IF(B561="x",U560,"")))</f>
        <v/>
      </c>
      <c r="V561" t="str">
        <f>IF(C561=1,MAX($V$2:$V560)+1,IF(AND($T561&lt;&gt;"",$T561=$T560),$U560,IF(C561="x",V560,"")))</f>
        <v/>
      </c>
      <c r="W561" t="str" cm="1">
        <f t="array" ref="W561">IFERROR(_xlfn._xlws.FILTER(game_rosters!AC:AC,(game_rosters!J:J=events!X561)*(K561&lt;&gt;"")),"")</f>
        <v>h</v>
      </c>
      <c r="X561" cm="1">
        <f t="array" ref="X561">IF($I561&lt;&gt;"",$I561,INDEX($I$1:$I561,ROW()-COUNTIFS($T$1:$T561,"="&amp;$T561,$S$1:$S561,"&lt;"&amp;$S561)))</f>
        <v>90</v>
      </c>
      <c r="Y561" cm="1">
        <f t="array" ref="Y561">IFERROR(IF(_xlfn._xlws.FILTER(game_rosters!$J:$J,(game_rosters!$G:$G=events!$AM561)*(game_rosters!$J:$J=events!$X561))&gt;0,1,""),"")</f>
        <v>1</v>
      </c>
      <c r="Z561" s="6">
        <f t="shared" si="897"/>
        <v>1</v>
      </c>
      <c r="AA561">
        <f t="shared" si="898"/>
        <v>1278</v>
      </c>
      <c r="AB561" t="str">
        <f t="shared" si="899"/>
        <v/>
      </c>
      <c r="AC561">
        <f t="shared" si="900"/>
        <v>1278</v>
      </c>
      <c r="AD561" t="str">
        <f t="shared" si="901"/>
        <v>9</v>
      </c>
      <c r="AE561" t="str">
        <f t="shared" si="902"/>
        <v>52</v>
      </c>
      <c r="AF561" t="str">
        <f t="shared" si="903"/>
        <v/>
      </c>
      <c r="AG561" t="str">
        <f t="shared" si="904"/>
        <v/>
      </c>
      <c r="AH561" t="str">
        <f t="shared" si="947"/>
        <v>e</v>
      </c>
      <c r="AI561" t="str">
        <f t="shared" si="972"/>
        <v>d</v>
      </c>
      <c r="AJ561" t="str">
        <f t="shared" si="972"/>
        <v>d</v>
      </c>
      <c r="AK561" t="str">
        <f t="shared" si="949"/>
        <v>d</v>
      </c>
      <c r="AL561" t="str">
        <f t="shared" si="950"/>
        <v>o</v>
      </c>
      <c r="AM561" t="str">
        <f t="shared" si="905"/>
        <v>Home</v>
      </c>
      <c r="AN561" t="str">
        <f t="shared" si="951"/>
        <v>h</v>
      </c>
      <c r="AO561" t="str">
        <f t="shared" si="952"/>
        <v>d</v>
      </c>
      <c r="AP561" t="str">
        <f t="shared" si="953"/>
        <v>o</v>
      </c>
      <c r="AQ561" t="str">
        <f>IF(AM561&lt;&gt;"",AM561,IF($AC561=#REF!,#REF!,""))</f>
        <v>Home</v>
      </c>
      <c r="AR561" t="str">
        <f t="shared" si="954"/>
        <v>h</v>
      </c>
      <c r="AS561" t="str">
        <f t="shared" si="955"/>
        <v>Offensive</v>
      </c>
      <c r="AT561" t="str">
        <f t="shared" si="906"/>
        <v/>
      </c>
      <c r="AU561" t="str">
        <f t="shared" si="907"/>
        <v/>
      </c>
      <c r="AV561" t="str" cm="1">
        <f t="array" ref="AV561">IFERROR(IF(O561&lt;&gt;"",O561,IF(OR($S561="",$T561=""),"",IF(O561&lt;&gt;"",O561,IF($T561&lt;&gt;"",_xlfn._xlws.FILTER(O:O,($BT:$BT=$BT561)*($I:$I=$I561)*($T:$T=$T561)*($S:$S=_xlfn.MINIFS($S:$S,$T:$T,"="&amp;$T561)),"")))))&amp;"",IF(O561="","",""))&amp;""</f>
        <v>PuckRecoveryRetreivalTurnover</v>
      </c>
      <c r="AW561" t="str" cm="1">
        <f t="array" ref="AW561">IFERROR(IF(P561&lt;&gt;"",P561,IF(OR($S561="",$T561=""),"",IF($T561&lt;&gt;"",_xlfn._xlws.FILTER(P:P,($BT:$BT=$BT561)*($I:$I=$I561)*($T:$T=$T561)*($S:$S=_xlfn.MINIFS($S:$S,$T:$T,"="&amp;$T561)),""))))&amp;"",IF(P561="","",""))&amp;""</f>
        <v/>
      </c>
      <c r="AX561" t="str" cm="1">
        <f t="array" ref="AX561">IFERROR(IF(Q561&lt;&gt;"",Q561,IF(OR($S561="",$T561=""),"",IF($T561&lt;&gt;"",_xlfn._xlws.FILTER(Q:Q,($BT:$BT=$BT561)*($I:$I=$I561)*($T:$T=$T561)*($S:$S=_xlfn.MINIFS($S:$S,$T:$T,"="&amp;$T561)),""))))&amp;"",IF(Q561="","",""))&amp;""</f>
        <v>u</v>
      </c>
      <c r="AY561" t="str" cm="1">
        <f t="array" ref="AY561">IFERROR(IF(R561&lt;&gt;"",R561,IF(OR($S561="",$T561=""),"",IF($T561&lt;&gt;"",_xlfn._xlws.FILTER(R:R,($BT:$BT=$BT561)*($I:$I=$I561)*($T:$T=$T561)*($S:$S=_xlfn.MINIFS($S:$S,$T:$T,"="&amp;$T561)),""))))&amp;"",IF(R561="","",""))&amp;""</f>
        <v/>
      </c>
      <c r="AZ561" s="6">
        <f t="shared" si="908"/>
        <v>47</v>
      </c>
      <c r="BA561">
        <f t="shared" ref="BA561:BC561" si="979">BA560</f>
        <v>18991</v>
      </c>
      <c r="BB561" t="str">
        <f t="shared" si="979"/>
        <v>Triple J</v>
      </c>
      <c r="BC561" t="str">
        <f t="shared" si="979"/>
        <v>Velodrome</v>
      </c>
      <c r="BD561" t="str">
        <f t="shared" si="910"/>
        <v>Possession</v>
      </c>
      <c r="BE561" t="str">
        <f t="shared" si="911"/>
        <v>PuckRetrieval</v>
      </c>
      <c r="BF561" t="str">
        <f t="shared" si="912"/>
        <v/>
      </c>
      <c r="BG561" t="str">
        <f t="shared" si="894"/>
        <v>u</v>
      </c>
      <c r="BH561" cm="1">
        <f t="array" aca="1" ref="BH561" ca="1">IFERROR(_xlfn._xlws.FILTER(shifts!A:A,(shifts!B:B=events!Z561)*(shifts!AG:AG&gt;=events!BJ561)*(shifts!AH:AH&lt;=events!BK561)),BH560)</f>
        <v>18</v>
      </c>
      <c r="BI561" s="15">
        <f t="shared" si="913"/>
        <v>0</v>
      </c>
      <c r="BJ561">
        <f t="shared" si="914"/>
        <v>592</v>
      </c>
      <c r="BK561">
        <f t="shared" si="915"/>
        <v>592</v>
      </c>
      <c r="BL561" s="15">
        <f>SUMIFS(BI$2:BI561,K$2:K561,"=Intermission")+SUMIFS(BI$2:BI561,K$2:K561,"=Timeout")</f>
        <v>0</v>
      </c>
      <c r="BM561">
        <f t="shared" si="916"/>
        <v>0</v>
      </c>
      <c r="BN561" s="19">
        <f t="shared" si="917"/>
        <v>488</v>
      </c>
      <c r="BO561">
        <f t="shared" si="918"/>
        <v>483</v>
      </c>
      <c r="BP561" s="17">
        <f t="shared" si="919"/>
        <v>488</v>
      </c>
      <c r="BQ561" t="str">
        <f t="shared" si="920"/>
        <v>event_team_player_1</v>
      </c>
      <c r="BR561">
        <f>COUNTIFS(S$3:S561,"="&amp;S561,AH$3:AH561,"="&amp;AH561)</f>
        <v>1</v>
      </c>
      <c r="BS561" t="str">
        <f>IFERROR(VLOOKUP(BA561&amp;BT561&amp;X561,game_rosters!U:W,3,FALSE),"")</f>
        <v>P100233</v>
      </c>
      <c r="BT561" t="str">
        <f t="shared" si="921"/>
        <v>Triple J</v>
      </c>
    </row>
    <row r="562" spans="1:72" x14ac:dyDescent="0.2">
      <c r="A562">
        <f t="shared" si="896"/>
        <v>1</v>
      </c>
      <c r="D562" s="26">
        <v>1</v>
      </c>
      <c r="E562" s="4"/>
      <c r="F562" s="45" t="s">
        <v>1066</v>
      </c>
      <c r="G562" s="4"/>
      <c r="H562" s="47"/>
      <c r="I562" s="26">
        <v>90</v>
      </c>
      <c r="J562" s="26" t="s">
        <v>736</v>
      </c>
      <c r="K562" t="s">
        <v>238</v>
      </c>
      <c r="L562" t="s">
        <v>184</v>
      </c>
      <c r="M562" t="s">
        <v>90</v>
      </c>
      <c r="N562" t="str">
        <f t="shared" si="940"/>
        <v>s</v>
      </c>
      <c r="Q562" t="str">
        <f t="shared" si="934"/>
        <v/>
      </c>
      <c r="S562">
        <f>IF(A562=1,MAX($S$2:$S561)+1,IF(OR($I562&lt;&gt;"",A562="x"),$S561,""))</f>
        <v>279</v>
      </c>
      <c r="T562">
        <f>IF(D562=1,MAX($T$2:$T561)+1,IF(S562=S561,$T561,IF(D562="x",T561,IF(D561="x","",""))))</f>
        <v>36</v>
      </c>
      <c r="U562" t="str">
        <f>IF(B562=1,MAX($U$2:$U561)+1,IF(AND($T562&lt;&gt;"",$T562=$T561),$U561,IF(B562="x",U561,"")))</f>
        <v/>
      </c>
      <c r="V562" t="str">
        <f>IF(C562=1,MAX($V$2:$V561)+1,IF(AND($T562&lt;&gt;"",$T562=$T561),$U561,IF(C562="x",V561,"")))</f>
        <v/>
      </c>
      <c r="W562" t="str" cm="1">
        <f t="array" ref="W562">IFERROR(_xlfn._xlws.FILTER(game_rosters!AC:AC,(game_rosters!J:J=events!X562)*(K562&lt;&gt;"")),"")</f>
        <v>h</v>
      </c>
      <c r="X562" cm="1">
        <f t="array" ref="X562">IF($I562&lt;&gt;"",$I562,INDEX($I$1:$I562,ROW()-COUNTIFS($T$1:$T562,"="&amp;$T562,$S$1:$S562,"&lt;"&amp;$S562)))</f>
        <v>90</v>
      </c>
      <c r="Y562" cm="1">
        <f t="array" ref="Y562">IFERROR(IF(_xlfn._xlws.FILTER(game_rosters!$J:$J,(game_rosters!$G:$G=events!$AM562)*(game_rosters!$J:$J=events!$X562))&gt;0,1,""),"")</f>
        <v>1</v>
      </c>
      <c r="Z562" s="6">
        <f t="shared" si="897"/>
        <v>1</v>
      </c>
      <c r="AA562">
        <f t="shared" si="898"/>
        <v>1279</v>
      </c>
      <c r="AB562">
        <f t="shared" si="899"/>
        <v>9036</v>
      </c>
      <c r="AC562">
        <f t="shared" si="900"/>
        <v>9036</v>
      </c>
      <c r="AD562" t="str">
        <f t="shared" si="901"/>
        <v>9</v>
      </c>
      <c r="AE562" t="str">
        <f t="shared" si="902"/>
        <v>48</v>
      </c>
      <c r="AF562" t="str">
        <f t="shared" si="903"/>
        <v/>
      </c>
      <c r="AG562" t="str">
        <f t="shared" si="904"/>
        <v/>
      </c>
      <c r="AH562" t="str">
        <f t="shared" si="947"/>
        <v>e</v>
      </c>
      <c r="AI562" t="str">
        <f t="shared" si="972"/>
        <v>d</v>
      </c>
      <c r="AJ562" t="str">
        <f t="shared" si="972"/>
        <v>d</v>
      </c>
      <c r="AK562" t="str">
        <f t="shared" si="949"/>
        <v>d</v>
      </c>
      <c r="AL562" t="str">
        <f t="shared" si="950"/>
        <v>o</v>
      </c>
      <c r="AM562" t="str">
        <f t="shared" si="905"/>
        <v>Home</v>
      </c>
      <c r="AN562" t="str">
        <f t="shared" si="951"/>
        <v>h</v>
      </c>
      <c r="AO562" t="str">
        <f t="shared" si="952"/>
        <v>d</v>
      </c>
      <c r="AP562" t="str">
        <f t="shared" si="953"/>
        <v>o</v>
      </c>
      <c r="AQ562" t="str">
        <f>IF(AM562&lt;&gt;"",AM562,IF($AC562=#REF!,#REF!,""))</f>
        <v>Home</v>
      </c>
      <c r="AR562" t="str">
        <f t="shared" si="954"/>
        <v>h</v>
      </c>
      <c r="AS562" t="str">
        <f t="shared" si="955"/>
        <v>Offensive</v>
      </c>
      <c r="AT562" t="str">
        <f t="shared" si="906"/>
        <v/>
      </c>
      <c r="AU562" t="str">
        <f t="shared" si="907"/>
        <v/>
      </c>
      <c r="AV562" t="str" cm="1">
        <f t="array" ref="AV562">IFERROR(IF(O562&lt;&gt;"",O562,IF(OR($S562="",$T562=""),"",IF(O562&lt;&gt;"",O562,IF($T562&lt;&gt;"",_xlfn._xlws.FILTER(O:O,($BT:$BT=$BT562)*($I:$I=$I562)*($T:$T=$T562)*($S:$S=_xlfn.MINIFS($S:$S,$T:$T,"="&amp;$T562)),"")))))&amp;"",IF(O562="","",""))&amp;""</f>
        <v/>
      </c>
      <c r="AW562" t="str" cm="1">
        <f t="array" ref="AW562">IFERROR(IF(P562&lt;&gt;"",P562,IF(OR($S562="",$T562=""),"",IF($T562&lt;&gt;"",_xlfn._xlws.FILTER(P:P,($BT:$BT=$BT562)*($I:$I=$I562)*($T:$T=$T562)*($S:$S=_xlfn.MINIFS($S:$S,$T:$T,"="&amp;$T562)),""))))&amp;"",IF(P562="","",""))&amp;""</f>
        <v/>
      </c>
      <c r="AX562" t="str" cm="1">
        <f t="array" ref="AX562">IFERROR(IF(Q562&lt;&gt;"",Q562,IF(OR($S562="",$T562=""),"",IF($T562&lt;&gt;"",_xlfn._xlws.FILTER(Q:Q,($BT:$BT=$BT562)*($I:$I=$I562)*($T:$T=$T562)*($S:$S=_xlfn.MINIFS($S:$S,$T:$T,"="&amp;$T562)),""))))&amp;"",IF(Q562="","",""))&amp;""</f>
        <v/>
      </c>
      <c r="AY562" t="str" cm="1">
        <f t="array" ref="AY562">IFERROR(IF(R562&lt;&gt;"",R562,IF(OR($S562="",$T562=""),"",IF($T562&lt;&gt;"",_xlfn._xlws.FILTER(R:R,($BT:$BT=$BT562)*($I:$I=$I562)*($T:$T=$T562)*($S:$S=_xlfn.MINIFS($S:$S,$T:$T,"="&amp;$T562)),""))))&amp;"",IF(R562="","",""))&amp;""</f>
        <v/>
      </c>
      <c r="AZ562" s="6">
        <f t="shared" si="908"/>
        <v>48</v>
      </c>
      <c r="BA562">
        <f t="shared" ref="BA562:BC562" si="980">BA561</f>
        <v>18991</v>
      </c>
      <c r="BB562" t="str">
        <f t="shared" si="980"/>
        <v>Triple J</v>
      </c>
      <c r="BC562" t="str">
        <f t="shared" si="980"/>
        <v>Velodrome</v>
      </c>
      <c r="BD562" t="str">
        <f t="shared" si="910"/>
        <v>Zone_Entry_Exit</v>
      </c>
      <c r="BE562" t="str">
        <f t="shared" si="911"/>
        <v>Zone_Exit</v>
      </c>
      <c r="BF562" t="str">
        <f t="shared" si="912"/>
        <v>ZoneExit-Clear</v>
      </c>
      <c r="BG562" t="str">
        <f t="shared" si="894"/>
        <v>s</v>
      </c>
      <c r="BH562" cm="1">
        <f t="array" aca="1" ref="BH562" ca="1">IFERROR(_xlfn._xlws.FILTER(shifts!A:A,(shifts!B:B=events!Z562)*(shifts!AG:AG&gt;=events!BJ562)*(shifts!AH:AH&lt;=events!BK562)),BH561)</f>
        <v>18</v>
      </c>
      <c r="BI562" s="15">
        <f t="shared" si="913"/>
        <v>0</v>
      </c>
      <c r="BJ562">
        <f t="shared" si="914"/>
        <v>588</v>
      </c>
      <c r="BK562">
        <f t="shared" si="915"/>
        <v>588</v>
      </c>
      <c r="BL562" s="15">
        <f>SUMIFS(BI$2:BI562,K$2:K562,"=Intermission")+SUMIFS(BI$2:BI562,K$2:K562,"=Timeout")</f>
        <v>0</v>
      </c>
      <c r="BM562">
        <f t="shared" si="916"/>
        <v>0</v>
      </c>
      <c r="BN562" s="19">
        <f t="shared" si="917"/>
        <v>492</v>
      </c>
      <c r="BO562">
        <f t="shared" si="918"/>
        <v>487</v>
      </c>
      <c r="BP562" s="17">
        <f t="shared" si="919"/>
        <v>492</v>
      </c>
      <c r="BQ562" t="str">
        <f t="shared" si="920"/>
        <v>event_team_player_1</v>
      </c>
      <c r="BR562">
        <f>COUNTIFS(S$3:S562,"="&amp;S562,AH$3:AH562,"="&amp;AH562)</f>
        <v>1</v>
      </c>
      <c r="BS562" t="str">
        <f>IFERROR(VLOOKUP(BA562&amp;BT562&amp;X562,game_rosters!U:W,3,FALSE),"")</f>
        <v>P100233</v>
      </c>
      <c r="BT562" t="str">
        <f t="shared" si="921"/>
        <v>Triple J</v>
      </c>
    </row>
    <row r="563" spans="1:72" x14ac:dyDescent="0.2">
      <c r="A563">
        <f t="shared" si="896"/>
        <v>1</v>
      </c>
      <c r="D563" s="26" t="s">
        <v>729</v>
      </c>
      <c r="E563" s="4"/>
      <c r="F563" s="45"/>
      <c r="G563" s="4"/>
      <c r="H563" s="47"/>
      <c r="J563" s="26" t="s">
        <v>736</v>
      </c>
      <c r="K563" t="s">
        <v>9</v>
      </c>
      <c r="L563" t="s">
        <v>173</v>
      </c>
      <c r="M563" t="s">
        <v>354</v>
      </c>
      <c r="N563" t="str">
        <f t="shared" si="940"/>
        <v>u</v>
      </c>
      <c r="Q563" t="str">
        <f t="shared" si="934"/>
        <v/>
      </c>
      <c r="S563">
        <f>IF(A563=1,MAX($S$2:$S562)+1,IF(OR($I563&lt;&gt;"",A563="x"),$S562,""))</f>
        <v>280</v>
      </c>
      <c r="T563">
        <f>IF(D563=1,MAX($T$2:$T562)+1,IF(S563=S562,$T562,IF(D563="x",T562,IF(D562="x","",""))))</f>
        <v>36</v>
      </c>
      <c r="U563" t="str">
        <f>IF(B563=1,MAX($U$2:$U562)+1,IF(AND($T563&lt;&gt;"",$T563=$T562),$U562,IF(B563="x",U562,"")))</f>
        <v/>
      </c>
      <c r="V563" t="str">
        <f>IF(C563=1,MAX($V$2:$V562)+1,IF(AND($T563&lt;&gt;"",$T563=$T562),$U562,IF(C563="x",V562,"")))</f>
        <v/>
      </c>
      <c r="W563" t="str" cm="1">
        <f t="array" ref="W563">IFERROR(_xlfn._xlws.FILTER(game_rosters!AC:AC,(game_rosters!J:J=events!X563)*(K563&lt;&gt;"")),"")</f>
        <v>h</v>
      </c>
      <c r="X563" cm="1">
        <f t="array" ref="X563">IF($I563&lt;&gt;"",$I563,INDEX($I$1:$I563,ROW()-COUNTIFS($T$1:$T563,"="&amp;$T563,$S$1:$S563,"&lt;"&amp;$S563)))</f>
        <v>90</v>
      </c>
      <c r="Y563" cm="1">
        <f t="array" ref="Y563">IFERROR(IF(_xlfn._xlws.FILTER(game_rosters!$J:$J,(game_rosters!$G:$G=events!$AM563)*(game_rosters!$J:$J=events!$X563))&gt;0,1,""),"")</f>
        <v>1</v>
      </c>
      <c r="Z563" s="6">
        <f t="shared" si="897"/>
        <v>1</v>
      </c>
      <c r="AA563">
        <f t="shared" si="898"/>
        <v>1280</v>
      </c>
      <c r="AB563">
        <f t="shared" si="899"/>
        <v>9036</v>
      </c>
      <c r="AC563">
        <f t="shared" si="900"/>
        <v>9036</v>
      </c>
      <c r="AD563" t="str">
        <f t="shared" si="901"/>
        <v>9</v>
      </c>
      <c r="AE563" t="str">
        <f t="shared" si="902"/>
        <v>48</v>
      </c>
      <c r="AF563" t="str">
        <f t="shared" si="903"/>
        <v/>
      </c>
      <c r="AG563" t="str">
        <f t="shared" si="904"/>
        <v/>
      </c>
      <c r="AH563" t="str">
        <f t="shared" si="947"/>
        <v>e</v>
      </c>
      <c r="AI563" t="str">
        <f t="shared" si="972"/>
        <v>d</v>
      </c>
      <c r="AJ563" t="str">
        <f t="shared" si="972"/>
        <v>d</v>
      </c>
      <c r="AK563" t="str">
        <f t="shared" si="949"/>
        <v>d</v>
      </c>
      <c r="AL563" t="str">
        <f t="shared" si="950"/>
        <v>o</v>
      </c>
      <c r="AM563" t="str">
        <f t="shared" si="905"/>
        <v>Home</v>
      </c>
      <c r="AN563" t="str">
        <f t="shared" si="951"/>
        <v>h</v>
      </c>
      <c r="AO563" t="str">
        <f t="shared" si="952"/>
        <v>d</v>
      </c>
      <c r="AP563" t="str">
        <f t="shared" si="953"/>
        <v>o</v>
      </c>
      <c r="AQ563" t="str">
        <f>IF(AM563&lt;&gt;"",AM563,IF($AC563=#REF!,#REF!,""))</f>
        <v>Home</v>
      </c>
      <c r="AR563" t="str">
        <f t="shared" si="954"/>
        <v>h</v>
      </c>
      <c r="AS563" t="str">
        <f t="shared" si="955"/>
        <v>Offensive</v>
      </c>
      <c r="AT563" t="str">
        <f t="shared" si="906"/>
        <v/>
      </c>
      <c r="AU563" t="str">
        <f t="shared" si="907"/>
        <v/>
      </c>
      <c r="AV563" t="str" cm="1">
        <f t="array" ref="AV563">IFERROR(IF(O563&lt;&gt;"",O563,IF(OR($S563="",$T563=""),"",IF(O563&lt;&gt;"",O563,IF($T563&lt;&gt;"",_xlfn._xlws.FILTER(O:O,($BT:$BT=$BT563)*($I:$I=$I563)*($T:$T=$T563)*($S:$S=_xlfn.MINIFS($S:$S,$T:$T,"="&amp;$T563)),"")))))&amp;"",IF(O563="","",""))&amp;""</f>
        <v/>
      </c>
      <c r="AW563" t="str" cm="1">
        <f t="array" ref="AW563">IFERROR(IF(P563&lt;&gt;"",P563,IF(OR($S563="",$T563=""),"",IF($T563&lt;&gt;"",_xlfn._xlws.FILTER(P:P,($BT:$BT=$BT563)*($I:$I=$I563)*($T:$T=$T563)*($S:$S=_xlfn.MINIFS($S:$S,$T:$T,"="&amp;$T563)),""))))&amp;"",IF(P563="","",""))&amp;""</f>
        <v/>
      </c>
      <c r="AX563" t="str" cm="1">
        <f t="array" ref="AX563">IFERROR(IF(Q563&lt;&gt;"",Q563,IF(OR($S563="",$T563=""),"",IF($T563&lt;&gt;"",_xlfn._xlws.FILTER(Q:Q,($BT:$BT=$BT563)*($I:$I=$I563)*($T:$T=$T563)*($S:$S=_xlfn.MINIFS($S:$S,$T:$T,"="&amp;$T563)),""))))&amp;"",IF(Q563="","",""))&amp;""</f>
        <v/>
      </c>
      <c r="AY563" t="str" cm="1">
        <f t="array" ref="AY563">IFERROR(IF(R563&lt;&gt;"",R563,IF(OR($S563="",$T563=""),"",IF($T563&lt;&gt;"",_xlfn._xlws.FILTER(R:R,($BT:$BT=$BT563)*($I:$I=$I563)*($T:$T=$T563)*($S:$S=_xlfn.MINIFS($S:$S,$T:$T,"="&amp;$T563)),""))))&amp;"",IF(R563="","",""))&amp;""</f>
        <v/>
      </c>
      <c r="AZ563" s="6">
        <f t="shared" si="908"/>
        <v>48</v>
      </c>
      <c r="BA563">
        <f t="shared" ref="BA563:BC563" si="981">BA562</f>
        <v>18991</v>
      </c>
      <c r="BB563" t="str">
        <f t="shared" si="981"/>
        <v>Triple J</v>
      </c>
      <c r="BC563" t="str">
        <f t="shared" si="981"/>
        <v>Velodrome</v>
      </c>
      <c r="BD563" t="str">
        <f t="shared" si="910"/>
        <v>Turnover</v>
      </c>
      <c r="BE563" t="str">
        <f t="shared" si="911"/>
        <v>Turnover_Giveaway</v>
      </c>
      <c r="BF563" t="str">
        <f t="shared" si="912"/>
        <v>Giveaway-ZoneClear/Dump</v>
      </c>
      <c r="BG563" t="str">
        <f t="shared" si="894"/>
        <v>u</v>
      </c>
      <c r="BH563" cm="1">
        <f t="array" aca="1" ref="BH563" ca="1">IFERROR(_xlfn._xlws.FILTER(shifts!A:A,(shifts!B:B=events!Z563)*(shifts!AG:AG&gt;=events!BJ563)*(shifts!AH:AH&lt;=events!BK563)),BH562)</f>
        <v>18</v>
      </c>
      <c r="BI563" s="15">
        <f t="shared" si="913"/>
        <v>0</v>
      </c>
      <c r="BJ563">
        <f t="shared" si="914"/>
        <v>588</v>
      </c>
      <c r="BK563">
        <f t="shared" si="915"/>
        <v>588</v>
      </c>
      <c r="BL563" s="15">
        <f>SUMIFS(BI$2:BI563,K$2:K563,"=Intermission")+SUMIFS(BI$2:BI563,K$2:K563,"=Timeout")</f>
        <v>0</v>
      </c>
      <c r="BM563">
        <f t="shared" si="916"/>
        <v>0</v>
      </c>
      <c r="BN563" s="19">
        <f t="shared" si="917"/>
        <v>492</v>
      </c>
      <c r="BO563">
        <f t="shared" si="918"/>
        <v>487</v>
      </c>
      <c r="BP563" s="17">
        <f t="shared" si="919"/>
        <v>492</v>
      </c>
      <c r="BQ563" t="str">
        <f t="shared" si="920"/>
        <v>event_team_player_1</v>
      </c>
      <c r="BR563">
        <f>COUNTIFS(S$3:S563,"="&amp;S563,AH$3:AH563,"="&amp;AH563)</f>
        <v>1</v>
      </c>
      <c r="BS563" t="str">
        <f>IFERROR(VLOOKUP(BA563&amp;BT563&amp;X563,game_rosters!U:W,3,FALSE),"")</f>
        <v>P100233</v>
      </c>
      <c r="BT563" t="str">
        <f t="shared" si="921"/>
        <v>Triple J</v>
      </c>
    </row>
    <row r="564" spans="1:72" x14ac:dyDescent="0.2">
      <c r="A564">
        <f t="shared" si="896"/>
        <v>1</v>
      </c>
      <c r="E564" s="4"/>
      <c r="F564" s="45" t="s">
        <v>1049</v>
      </c>
      <c r="G564" s="4"/>
      <c r="H564" s="47" t="s">
        <v>1041</v>
      </c>
      <c r="I564" s="26">
        <v>84</v>
      </c>
      <c r="J564" s="26" t="s">
        <v>734</v>
      </c>
      <c r="K564" t="s">
        <v>13</v>
      </c>
      <c r="L564" t="s">
        <v>586</v>
      </c>
      <c r="N564" t="s">
        <v>595</v>
      </c>
      <c r="O564" t="s">
        <v>912</v>
      </c>
      <c r="Q564" t="str">
        <f t="shared" si="934"/>
        <v>s</v>
      </c>
      <c r="S564">
        <f>IF(A564=1,MAX($S$2:$S563)+1,IF(OR($I564&lt;&gt;"",A564="x"),$S563,""))</f>
        <v>281</v>
      </c>
      <c r="T564" t="str">
        <f>IF(D564=1,MAX($T$2:$T563)+1,IF(S564=S563,$T563,IF(D564="x",T563,IF(D563="x","",""))))</f>
        <v/>
      </c>
      <c r="U564" t="str">
        <f>IF(B564=1,MAX($U$2:$U563)+1,IF(AND($T564&lt;&gt;"",$T564=$T563),$U563,IF(B564="x",U563,"")))</f>
        <v/>
      </c>
      <c r="V564" t="str">
        <f>IF(C564=1,MAX($V$2:$V563)+1,IF(AND($T564&lt;&gt;"",$T564=$T563),$U563,IF(C564="x",V563,"")))</f>
        <v/>
      </c>
      <c r="W564" t="str" cm="1">
        <f t="array" ref="W564">IFERROR(_xlfn._xlws.FILTER(game_rosters!AC:AC,(game_rosters!J:J=events!X564)*(K564&lt;&gt;"")),"")</f>
        <v>a</v>
      </c>
      <c r="X564" cm="1">
        <f t="array" ref="X564">IF($I564&lt;&gt;"",$I564,INDEX($I$1:$I564,ROW()-COUNTIFS($T$1:$T564,"="&amp;$T564,$S$1:$S564,"&lt;"&amp;$S564)))</f>
        <v>84</v>
      </c>
      <c r="Y564" cm="1">
        <f t="array" ref="Y564">IFERROR(IF(_xlfn._xlws.FILTER(game_rosters!$J:$J,(game_rosters!$G:$G=events!$AM564)*(game_rosters!$J:$J=events!$X564))&gt;0,1,""),"")</f>
        <v>1</v>
      </c>
      <c r="Z564" s="6">
        <f t="shared" si="897"/>
        <v>1</v>
      </c>
      <c r="AA564">
        <f t="shared" si="898"/>
        <v>1281</v>
      </c>
      <c r="AB564" t="str">
        <f t="shared" si="899"/>
        <v/>
      </c>
      <c r="AC564">
        <f t="shared" si="900"/>
        <v>1281</v>
      </c>
      <c r="AD564" t="str">
        <f t="shared" si="901"/>
        <v>9</v>
      </c>
      <c r="AE564" t="str">
        <f t="shared" si="902"/>
        <v>45</v>
      </c>
      <c r="AF564" t="str">
        <f t="shared" si="903"/>
        <v>9</v>
      </c>
      <c r="AG564" t="str">
        <f t="shared" si="904"/>
        <v>43</v>
      </c>
      <c r="AH564" t="str">
        <f t="shared" si="947"/>
        <v>e</v>
      </c>
      <c r="AI564" t="str">
        <f t="shared" si="972"/>
        <v>n</v>
      </c>
      <c r="AJ564" t="str">
        <f t="shared" si="972"/>
        <v>n</v>
      </c>
      <c r="AK564" t="str">
        <f t="shared" si="949"/>
        <v>n</v>
      </c>
      <c r="AL564" t="str">
        <f t="shared" si="950"/>
        <v>n</v>
      </c>
      <c r="AM564" t="str">
        <f t="shared" si="905"/>
        <v>Away</v>
      </c>
      <c r="AN564" t="str">
        <f t="shared" si="951"/>
        <v>a</v>
      </c>
      <c r="AO564" t="str">
        <f t="shared" si="952"/>
        <v>n</v>
      </c>
      <c r="AP564" t="str">
        <f t="shared" si="953"/>
        <v>n</v>
      </c>
      <c r="AQ564" t="str">
        <f>IF(AM564&lt;&gt;"",AM564,IF($AC564=#REF!,#REF!,""))</f>
        <v>Away</v>
      </c>
      <c r="AR564" t="str">
        <f t="shared" si="954"/>
        <v>a</v>
      </c>
      <c r="AS564" t="str">
        <f t="shared" si="955"/>
        <v>Offensive</v>
      </c>
      <c r="AT564" t="str">
        <f t="shared" si="906"/>
        <v/>
      </c>
      <c r="AU564" t="str">
        <f t="shared" si="907"/>
        <v/>
      </c>
      <c r="AV564" t="str" cm="1">
        <f t="array" ref="AV564">IFERROR(IF(O564&lt;&gt;"",O564,IF(OR($S564="",$T564=""),"",IF(O564&lt;&gt;"",O564,IF($T564&lt;&gt;"",_xlfn._xlws.FILTER(O:O,($BT:$BT=$BT564)*($I:$I=$I564)*($T:$T=$T564)*($S:$S=_xlfn.MINIFS($S:$S,$T:$T,"="&amp;$T564)),"")))))&amp;"",IF(O564="","",""))&amp;""</f>
        <v>PuckRecoveryRetreivalClear</v>
      </c>
      <c r="AW564" t="str" cm="1">
        <f t="array" ref="AW564">IFERROR(IF(P564&lt;&gt;"",P564,IF(OR($S564="",$T564=""),"",IF($T564&lt;&gt;"",_xlfn._xlws.FILTER(P:P,($BT:$BT=$BT564)*($I:$I=$I564)*($T:$T=$T564)*($S:$S=_xlfn.MINIFS($S:$S,$T:$T,"="&amp;$T564)),""))))&amp;"",IF(P564="","",""))&amp;""</f>
        <v/>
      </c>
      <c r="AX564" t="str" cm="1">
        <f t="array" ref="AX564">IFERROR(IF(Q564&lt;&gt;"",Q564,IF(OR($S564="",$T564=""),"",IF($T564&lt;&gt;"",_xlfn._xlws.FILTER(Q:Q,($BT:$BT=$BT564)*($I:$I=$I564)*($T:$T=$T564)*($S:$S=_xlfn.MINIFS($S:$S,$T:$T,"="&amp;$T564)),""))))&amp;"",IF(Q564="","",""))&amp;""</f>
        <v>s</v>
      </c>
      <c r="AY564" t="str" cm="1">
        <f t="array" ref="AY564">IFERROR(IF(R564&lt;&gt;"",R564,IF(OR($S564="",$T564=""),"",IF($T564&lt;&gt;"",_xlfn._xlws.FILTER(R:R,($BT:$BT=$BT564)*($I:$I=$I564)*($T:$T=$T564)*($S:$S=_xlfn.MINIFS($S:$S,$T:$T,"="&amp;$T564)),""))))&amp;"",IF(R564="","",""))&amp;""</f>
        <v/>
      </c>
      <c r="AZ564" s="6">
        <f t="shared" si="908"/>
        <v>48</v>
      </c>
      <c r="BA564">
        <f t="shared" ref="BA564:BC564" si="982">BA563</f>
        <v>18991</v>
      </c>
      <c r="BB564" t="str">
        <f t="shared" si="982"/>
        <v>Triple J</v>
      </c>
      <c r="BC564" t="str">
        <f t="shared" si="982"/>
        <v>Velodrome</v>
      </c>
      <c r="BD564" t="str">
        <f t="shared" si="910"/>
        <v>Possession</v>
      </c>
      <c r="BE564" t="str">
        <f t="shared" si="911"/>
        <v>PuckRetrieval</v>
      </c>
      <c r="BF564" t="str">
        <f t="shared" si="912"/>
        <v/>
      </c>
      <c r="BG564" t="str">
        <f t="shared" si="894"/>
        <v>s</v>
      </c>
      <c r="BH564" cm="1">
        <f t="array" aca="1" ref="BH564" ca="1">IFERROR(_xlfn._xlws.FILTER(shifts!A:A,(shifts!B:B=events!Z564)*(shifts!AG:AG&gt;=events!BJ564)*(shifts!AH:AH&lt;=events!BK564)),BH563)</f>
        <v>18</v>
      </c>
      <c r="BI564" s="15">
        <f t="shared" si="913"/>
        <v>2</v>
      </c>
      <c r="BJ564">
        <f t="shared" si="914"/>
        <v>585</v>
      </c>
      <c r="BK564">
        <f t="shared" si="915"/>
        <v>583</v>
      </c>
      <c r="BL564" s="15">
        <f>SUMIFS(BI$2:BI564,K$2:K564,"=Intermission")+SUMIFS(BI$2:BI564,K$2:K564,"=Timeout")</f>
        <v>0</v>
      </c>
      <c r="BM564">
        <f t="shared" si="916"/>
        <v>0</v>
      </c>
      <c r="BN564" s="19">
        <f t="shared" si="917"/>
        <v>495</v>
      </c>
      <c r="BO564">
        <f t="shared" si="918"/>
        <v>490</v>
      </c>
      <c r="BP564" s="17">
        <f t="shared" si="919"/>
        <v>497</v>
      </c>
      <c r="BQ564" t="str">
        <f t="shared" si="920"/>
        <v>event_team_player_1</v>
      </c>
      <c r="BR564">
        <f>COUNTIFS(S$3:S564,"="&amp;S564,AH$3:AH564,"="&amp;AH564)</f>
        <v>1</v>
      </c>
      <c r="BS564" t="str">
        <f>IFERROR(VLOOKUP(BA564&amp;BT564&amp;X564,game_rosters!U:W,3,FALSE),"")</f>
        <v>P100198</v>
      </c>
      <c r="BT564" t="str">
        <f t="shared" si="921"/>
        <v>Velodrome</v>
      </c>
    </row>
    <row r="565" spans="1:72" x14ac:dyDescent="0.2">
      <c r="A565">
        <f t="shared" si="896"/>
        <v>1</v>
      </c>
      <c r="E565" s="4"/>
      <c r="F565" s="45"/>
      <c r="G565" s="4"/>
      <c r="H565" s="47"/>
      <c r="I565" s="26">
        <v>84</v>
      </c>
      <c r="J565" s="26" t="s">
        <v>734</v>
      </c>
      <c r="K565" t="s">
        <v>7</v>
      </c>
      <c r="L565" t="s">
        <v>182</v>
      </c>
      <c r="M565" t="s">
        <v>65</v>
      </c>
      <c r="N565" t="str">
        <f t="shared" si="940"/>
        <v>u</v>
      </c>
      <c r="Q565" t="str">
        <f t="shared" si="934"/>
        <v/>
      </c>
      <c r="S565">
        <f>IF(A565=1,MAX($S$2:$S564)+1,IF(OR($I565&lt;&gt;"",A565="x"),$S564,""))</f>
        <v>282</v>
      </c>
      <c r="T565" t="str">
        <f>IF(D565=1,MAX($T$2:$T564)+1,IF(S565=S564,$T564,IF(D565="x",T564,IF(D564="x","",""))))</f>
        <v/>
      </c>
      <c r="U565" t="str">
        <f>IF(B565=1,MAX($U$2:$U564)+1,IF(AND($T565&lt;&gt;"",$T565=$T564),$U564,IF(B565="x",U564,"")))</f>
        <v/>
      </c>
      <c r="V565" t="str">
        <f>IF(C565=1,MAX($V$2:$V564)+1,IF(AND($T565&lt;&gt;"",$T565=$T564),$U564,IF(C565="x",V564,"")))</f>
        <v/>
      </c>
      <c r="W565" t="str" cm="1">
        <f t="array" ref="W565">IFERROR(_xlfn._xlws.FILTER(game_rosters!AC:AC,(game_rosters!J:J=events!X565)*(K565&lt;&gt;"")),"")</f>
        <v>a</v>
      </c>
      <c r="X565" cm="1">
        <f t="array" ref="X565">IF($I565&lt;&gt;"",$I565,INDEX($I$1:$I565,ROW()-COUNTIFS($T$1:$T565,"="&amp;$T565,$S$1:$S565,"&lt;"&amp;$S565)))</f>
        <v>84</v>
      </c>
      <c r="Y565" cm="1">
        <f t="array" ref="Y565">IFERROR(IF(_xlfn._xlws.FILTER(game_rosters!$J:$J,(game_rosters!$G:$G=events!$AM565)*(game_rosters!$J:$J=events!$X565))&gt;0,1,""),"")</f>
        <v>1</v>
      </c>
      <c r="Z565" s="6">
        <f t="shared" si="897"/>
        <v>1</v>
      </c>
      <c r="AA565">
        <f t="shared" si="898"/>
        <v>1282</v>
      </c>
      <c r="AB565" t="str">
        <f t="shared" si="899"/>
        <v/>
      </c>
      <c r="AC565">
        <f t="shared" si="900"/>
        <v>1282</v>
      </c>
      <c r="AD565" t="str">
        <f t="shared" si="901"/>
        <v>9</v>
      </c>
      <c r="AE565" t="str">
        <f t="shared" si="902"/>
        <v>43</v>
      </c>
      <c r="AF565" t="str">
        <f t="shared" si="903"/>
        <v/>
      </c>
      <c r="AG565" t="str">
        <f t="shared" si="904"/>
        <v/>
      </c>
      <c r="AH565" t="str">
        <f t="shared" si="947"/>
        <v>e</v>
      </c>
      <c r="AI565" t="str">
        <f t="shared" si="972"/>
        <v>n</v>
      </c>
      <c r="AJ565" t="str">
        <f t="shared" si="972"/>
        <v>n</v>
      </c>
      <c r="AK565" t="str">
        <f t="shared" si="949"/>
        <v>n</v>
      </c>
      <c r="AL565" t="str">
        <f t="shared" si="950"/>
        <v>n</v>
      </c>
      <c r="AM565" t="str">
        <f t="shared" si="905"/>
        <v>Away</v>
      </c>
      <c r="AN565" t="str">
        <f t="shared" si="951"/>
        <v>a</v>
      </c>
      <c r="AO565" t="str">
        <f t="shared" si="952"/>
        <v>n</v>
      </c>
      <c r="AP565" t="str">
        <f t="shared" si="953"/>
        <v>n</v>
      </c>
      <c r="AQ565" t="str">
        <f>IF(AM565&lt;&gt;"",AM565,IF($AC565=#REF!,#REF!,""))</f>
        <v>Away</v>
      </c>
      <c r="AR565" t="str">
        <f t="shared" si="954"/>
        <v>a</v>
      </c>
      <c r="AS565" t="str">
        <f t="shared" si="955"/>
        <v>Offensive</v>
      </c>
      <c r="AT565" t="str">
        <f t="shared" si="906"/>
        <v/>
      </c>
      <c r="AU565" t="str">
        <f t="shared" si="907"/>
        <v/>
      </c>
      <c r="AV565" t="str" cm="1">
        <f t="array" ref="AV565">IFERROR(IF(O565&lt;&gt;"",O565,IF(OR($S565="",$T565=""),"",IF(O565&lt;&gt;"",O565,IF($T565&lt;&gt;"",_xlfn._xlws.FILTER(O:O,($BT:$BT=$BT565)*($I:$I=$I565)*($T:$T=$T565)*($S:$S=_xlfn.MINIFS($S:$S,$T:$T,"="&amp;$T565)),"")))))&amp;"",IF(O565="","",""))&amp;""</f>
        <v/>
      </c>
      <c r="AW565" t="str" cm="1">
        <f t="array" ref="AW565">IFERROR(IF(P565&lt;&gt;"",P565,IF(OR($S565="",$T565=""),"",IF($T565&lt;&gt;"",_xlfn._xlws.FILTER(P:P,($BT:$BT=$BT565)*($I:$I=$I565)*($T:$T=$T565)*($S:$S=_xlfn.MINIFS($S:$S,$T:$T,"="&amp;$T565)),""))))&amp;"",IF(P565="","",""))&amp;""</f>
        <v/>
      </c>
      <c r="AX565" t="str" cm="1">
        <f t="array" ref="AX565">IFERROR(IF(Q565&lt;&gt;"",Q565,IF(OR($S565="",$T565=""),"",IF($T565&lt;&gt;"",_xlfn._xlws.FILTER(Q:Q,($BT:$BT=$BT565)*($I:$I=$I565)*($T:$T=$T565)*($S:$S=_xlfn.MINIFS($S:$S,$T:$T,"="&amp;$T565)),""))))&amp;"",IF(Q565="","",""))&amp;""</f>
        <v/>
      </c>
      <c r="AY565" t="str" cm="1">
        <f t="array" ref="AY565">IFERROR(IF(R565&lt;&gt;"",R565,IF(OR($S565="",$T565=""),"",IF($T565&lt;&gt;"",_xlfn._xlws.FILTER(R:R,($BT:$BT=$BT565)*($I:$I=$I565)*($T:$T=$T565)*($S:$S=_xlfn.MINIFS($S:$S,$T:$T,"="&amp;$T565)),""))))&amp;"",IF(R565="","",""))&amp;""</f>
        <v/>
      </c>
      <c r="AZ565" s="6">
        <f t="shared" si="908"/>
        <v>48</v>
      </c>
      <c r="BA565">
        <f t="shared" ref="BA565:BC565" si="983">BA564</f>
        <v>18991</v>
      </c>
      <c r="BB565" t="str">
        <f t="shared" si="983"/>
        <v>Triple J</v>
      </c>
      <c r="BC565" t="str">
        <f t="shared" si="983"/>
        <v>Velodrome</v>
      </c>
      <c r="BD565" t="str">
        <f t="shared" si="910"/>
        <v>Pass</v>
      </c>
      <c r="BE565" t="str">
        <f t="shared" si="911"/>
        <v>Pass_Missed</v>
      </c>
      <c r="BF565" t="str">
        <f t="shared" si="912"/>
        <v>Pass-Stretch</v>
      </c>
      <c r="BG565" t="str">
        <f t="shared" si="894"/>
        <v>u</v>
      </c>
      <c r="BH565" cm="1">
        <f t="array" aca="1" ref="BH565" ca="1">IFERROR(_xlfn._xlws.FILTER(shifts!A:A,(shifts!B:B=events!Z565)*(shifts!AG:AG&gt;=events!BJ565)*(shifts!AH:AH&lt;=events!BK565)),BH564)</f>
        <v>18</v>
      </c>
      <c r="BI565" s="15">
        <f t="shared" si="913"/>
        <v>0</v>
      </c>
      <c r="BJ565">
        <f t="shared" si="914"/>
        <v>583</v>
      </c>
      <c r="BK565">
        <f t="shared" si="915"/>
        <v>583</v>
      </c>
      <c r="BL565" s="15">
        <f>SUMIFS(BI$2:BI565,K$2:K565,"=Intermission")+SUMIFS(BI$2:BI565,K$2:K565,"=Timeout")</f>
        <v>0</v>
      </c>
      <c r="BM565">
        <f t="shared" si="916"/>
        <v>0</v>
      </c>
      <c r="BN565" s="19">
        <f t="shared" si="917"/>
        <v>497</v>
      </c>
      <c r="BO565">
        <f t="shared" si="918"/>
        <v>492</v>
      </c>
      <c r="BP565" s="17">
        <f t="shared" si="919"/>
        <v>497</v>
      </c>
      <c r="BQ565" t="str">
        <f t="shared" si="920"/>
        <v>event_team_player_1</v>
      </c>
      <c r="BR565">
        <f>COUNTIFS(S$3:S565,"="&amp;S565,AH$3:AH565,"="&amp;AH565)</f>
        <v>1</v>
      </c>
      <c r="BS565" t="str">
        <f>IFERROR(VLOOKUP(BA565&amp;BT565&amp;X565,game_rosters!U:W,3,FALSE),"")</f>
        <v>P100198</v>
      </c>
      <c r="BT565" t="str">
        <f t="shared" si="921"/>
        <v>Velodrome</v>
      </c>
    </row>
    <row r="566" spans="1:72" x14ac:dyDescent="0.2">
      <c r="A566" t="str">
        <f t="shared" si="896"/>
        <v/>
      </c>
      <c r="E566" s="4"/>
      <c r="F566" s="45"/>
      <c r="G566" s="4"/>
      <c r="H566" s="47"/>
      <c r="I566" s="26">
        <v>91</v>
      </c>
      <c r="J566" s="26" t="str">
        <f t="shared" si="925"/>
        <v/>
      </c>
      <c r="N566" t="str">
        <f t="shared" si="940"/>
        <v/>
      </c>
      <c r="Q566" t="str">
        <f t="shared" si="934"/>
        <v/>
      </c>
      <c r="S566">
        <f>IF(A566=1,MAX($S$2:$S565)+1,IF(OR($I566&lt;&gt;"",A566="x"),$S565,""))</f>
        <v>282</v>
      </c>
      <c r="T566" t="str">
        <f>IF(D566=1,MAX($T$2:$T565)+1,IF(S566=S565,$T565,IF(D566="x",T565,IF(D565="x","",""))))</f>
        <v/>
      </c>
      <c r="U566" t="str">
        <f>IF(B566=1,MAX($U$2:$U565)+1,IF(AND($T566&lt;&gt;"",$T566=$T565),$U565,IF(B566="x",U565,"")))</f>
        <v/>
      </c>
      <c r="V566" t="str">
        <f>IF(C566=1,MAX($V$2:$V565)+1,IF(AND($T566&lt;&gt;"",$T566=$T565),$U565,IF(C566="x",V565,"")))</f>
        <v/>
      </c>
      <c r="W566" t="str" cm="1">
        <f t="array" ref="W566">IFERROR(_xlfn._xlws.FILTER(game_rosters!AC:AC,(game_rosters!J:J=events!X566)*(K566&lt;&gt;"")),"")</f>
        <v/>
      </c>
      <c r="X566" cm="1">
        <f t="array" ref="X566">IF($I566&lt;&gt;"",$I566,INDEX($I$1:$I566,ROW()-COUNTIFS($T$1:$T566,"="&amp;$T566,$S$1:$S566,"&lt;"&amp;$S566)))</f>
        <v>91</v>
      </c>
      <c r="Y566" cm="1">
        <f t="array" ref="Y566">IFERROR(IF(_xlfn._xlws.FILTER(game_rosters!$J:$J,(game_rosters!$G:$G=events!$AM566)*(game_rosters!$J:$J=events!$X566))&gt;0,1,""),"")</f>
        <v>1</v>
      </c>
      <c r="Z566" s="6">
        <f t="shared" si="897"/>
        <v>1</v>
      </c>
      <c r="AA566">
        <f t="shared" si="898"/>
        <v>1282</v>
      </c>
      <c r="AB566" t="str">
        <f t="shared" si="899"/>
        <v/>
      </c>
      <c r="AC566">
        <f t="shared" si="900"/>
        <v>1282</v>
      </c>
      <c r="AD566" t="str">
        <f t="shared" si="901"/>
        <v>9</v>
      </c>
      <c r="AE566" t="str">
        <f t="shared" si="902"/>
        <v>43</v>
      </c>
      <c r="AF566" t="str">
        <f t="shared" si="903"/>
        <v/>
      </c>
      <c r="AG566" t="str">
        <f t="shared" si="904"/>
        <v/>
      </c>
      <c r="AH566" t="str">
        <f t="shared" si="947"/>
        <v>e</v>
      </c>
      <c r="AI566" t="str">
        <f t="shared" si="972"/>
        <v>n</v>
      </c>
      <c r="AJ566" t="str">
        <f t="shared" si="972"/>
        <v>n</v>
      </c>
      <c r="AK566" t="str">
        <f t="shared" si="949"/>
        <v/>
      </c>
      <c r="AL566" t="str">
        <f t="shared" si="950"/>
        <v/>
      </c>
      <c r="AM566" t="str">
        <f t="shared" si="905"/>
        <v>Away</v>
      </c>
      <c r="AN566" t="str">
        <f t="shared" si="951"/>
        <v>a</v>
      </c>
      <c r="AO566" t="str">
        <f t="shared" si="952"/>
        <v>n</v>
      </c>
      <c r="AP566" t="str">
        <f t="shared" si="953"/>
        <v>n</v>
      </c>
      <c r="AQ566" t="str">
        <f>IF(AM566&lt;&gt;"",AM566,IF($AC566=#REF!,#REF!,""))</f>
        <v>Away</v>
      </c>
      <c r="AR566" t="str">
        <f t="shared" si="954"/>
        <v>a</v>
      </c>
      <c r="AS566" t="str">
        <f t="shared" si="955"/>
        <v>Offensive</v>
      </c>
      <c r="AT566" t="str">
        <f t="shared" si="906"/>
        <v/>
      </c>
      <c r="AU566" t="str">
        <f t="shared" si="907"/>
        <v/>
      </c>
      <c r="AV566" t="str" cm="1">
        <f t="array" ref="AV566">IFERROR(IF(O566&lt;&gt;"",O566,IF(OR($S566="",$T566=""),"",IF(O566&lt;&gt;"",O566,IF($T566&lt;&gt;"",_xlfn._xlws.FILTER(O:O,($BT:$BT=$BT566)*($I:$I=$I566)*($T:$T=$T566)*($S:$S=_xlfn.MINIFS($S:$S,$T:$T,"="&amp;$T566)),"")))))&amp;"",IF(O566="","",""))&amp;""</f>
        <v/>
      </c>
      <c r="AW566" t="str" cm="1">
        <f t="array" ref="AW566">IFERROR(IF(P566&lt;&gt;"",P566,IF(OR($S566="",$T566=""),"",IF($T566&lt;&gt;"",_xlfn._xlws.FILTER(P:P,($BT:$BT=$BT566)*($I:$I=$I566)*($T:$T=$T566)*($S:$S=_xlfn.MINIFS($S:$S,$T:$T,"="&amp;$T566)),""))))&amp;"",IF(P566="","",""))&amp;""</f>
        <v/>
      </c>
      <c r="AX566" t="str" cm="1">
        <f t="array" ref="AX566">IFERROR(IF(Q566&lt;&gt;"",Q566,IF(OR($S566="",$T566=""),"",IF($T566&lt;&gt;"",_xlfn._xlws.FILTER(Q:Q,($BT:$BT=$BT566)*($I:$I=$I566)*($T:$T=$T566)*($S:$S=_xlfn.MINIFS($S:$S,$T:$T,"="&amp;$T566)),""))))&amp;"",IF(Q566="","",""))&amp;""</f>
        <v/>
      </c>
      <c r="AY566" t="str" cm="1">
        <f t="array" ref="AY566">IFERROR(IF(R566&lt;&gt;"",R566,IF(OR($S566="",$T566=""),"",IF($T566&lt;&gt;"",_xlfn._xlws.FILTER(R:R,($BT:$BT=$BT566)*($I:$I=$I566)*($T:$T=$T566)*($S:$S=_xlfn.MINIFS($S:$S,$T:$T,"="&amp;$T566)),""))))&amp;"",IF(R566="","",""))&amp;""</f>
        <v/>
      </c>
      <c r="AZ566" s="6">
        <f t="shared" si="908"/>
        <v>48</v>
      </c>
      <c r="BA566">
        <f t="shared" ref="BA566:BC566" si="984">BA565</f>
        <v>18991</v>
      </c>
      <c r="BB566" t="str">
        <f t="shared" si="984"/>
        <v>Triple J</v>
      </c>
      <c r="BC566" t="str">
        <f t="shared" si="984"/>
        <v>Velodrome</v>
      </c>
      <c r="BD566" t="str">
        <f t="shared" si="910"/>
        <v>Pass</v>
      </c>
      <c r="BE566" t="str">
        <f t="shared" si="911"/>
        <v>Pass_Missed</v>
      </c>
      <c r="BF566" t="str">
        <f t="shared" si="912"/>
        <v>Pass-Stretch</v>
      </c>
      <c r="BG566" t="str">
        <f t="shared" si="894"/>
        <v>u</v>
      </c>
      <c r="BH566" cm="1">
        <f t="array" aca="1" ref="BH566" ca="1">IFERROR(_xlfn._xlws.FILTER(shifts!A:A,(shifts!B:B=events!Z566)*(shifts!AG:AG&gt;=events!BJ566)*(shifts!AH:AH&lt;=events!BK566)),BH565)</f>
        <v>18</v>
      </c>
      <c r="BI566" s="15">
        <f t="shared" si="913"/>
        <v>0</v>
      </c>
      <c r="BJ566">
        <f t="shared" si="914"/>
        <v>583</v>
      </c>
      <c r="BK566">
        <f t="shared" si="915"/>
        <v>583</v>
      </c>
      <c r="BL566" s="15">
        <f>SUMIFS(BI$2:BI566,K$2:K566,"=Intermission")+SUMIFS(BI$2:BI566,K$2:K566,"=Timeout")</f>
        <v>0</v>
      </c>
      <c r="BM566">
        <f t="shared" si="916"/>
        <v>0</v>
      </c>
      <c r="BN566" s="19">
        <f t="shared" si="917"/>
        <v>497</v>
      </c>
      <c r="BO566">
        <f t="shared" si="918"/>
        <v>492</v>
      </c>
      <c r="BP566" s="17">
        <f t="shared" si="919"/>
        <v>497</v>
      </c>
      <c r="BQ566" t="str">
        <f t="shared" si="920"/>
        <v>event_team_player_2</v>
      </c>
      <c r="BR566">
        <f>COUNTIFS(S$3:S566,"="&amp;S566,AH$3:AH566,"="&amp;AH566)</f>
        <v>2</v>
      </c>
      <c r="BS566" t="str">
        <f>IFERROR(VLOOKUP(BA566&amp;BT566&amp;X566,game_rosters!U:W,3,FALSE),"")</f>
        <v>P100002</v>
      </c>
      <c r="BT566" t="str">
        <f t="shared" si="921"/>
        <v>Velodrome</v>
      </c>
    </row>
    <row r="567" spans="1:72" x14ac:dyDescent="0.2">
      <c r="A567">
        <f t="shared" si="896"/>
        <v>1</v>
      </c>
      <c r="E567" s="4"/>
      <c r="F567" s="45" t="s">
        <v>1037</v>
      </c>
      <c r="G567" s="4"/>
      <c r="H567" s="47" t="s">
        <v>1068</v>
      </c>
      <c r="I567" s="26">
        <v>70</v>
      </c>
      <c r="J567" s="26" t="s">
        <v>734</v>
      </c>
      <c r="K567" t="s">
        <v>13</v>
      </c>
      <c r="N567" t="str">
        <f t="shared" si="940"/>
        <v/>
      </c>
      <c r="Q567" t="str">
        <f t="shared" si="934"/>
        <v/>
      </c>
      <c r="R567" s="26">
        <v>1</v>
      </c>
      <c r="S567">
        <f>IF(A567=1,MAX($S$2:$S566)+1,IF(OR($I567&lt;&gt;"",A567="x"),$S566,""))</f>
        <v>283</v>
      </c>
      <c r="T567" t="str">
        <f>IF(D567=1,MAX($T$2:$T566)+1,IF(S567=S566,$T566,IF(D567="x",T566,IF(D566="x","",""))))</f>
        <v/>
      </c>
      <c r="U567" t="str">
        <f>IF(B567=1,MAX($U$2:$U566)+1,IF(AND($T567&lt;&gt;"",$T567=$T566),$U566,IF(B567="x",U566,"")))</f>
        <v/>
      </c>
      <c r="V567" t="str">
        <f>IF(C567=1,MAX($V$2:$V566)+1,IF(AND($T567&lt;&gt;"",$T567=$T566),$U566,IF(C567="x",V566,"")))</f>
        <v/>
      </c>
      <c r="W567" t="str" cm="1">
        <f t="array" ref="W567">IFERROR(_xlfn._xlws.FILTER(game_rosters!AC:AC,(game_rosters!J:J=events!X567)*(K567&lt;&gt;"")),"")</f>
        <v>a</v>
      </c>
      <c r="X567" cm="1">
        <f t="array" ref="X567">IF($I567&lt;&gt;"",$I567,INDEX($I$1:$I567,ROW()-COUNTIFS($T$1:$T567,"="&amp;$T567,$S$1:$S567,"&lt;"&amp;$S567)))</f>
        <v>70</v>
      </c>
      <c r="Y567" cm="1">
        <f t="array" ref="Y567">IFERROR(IF(_xlfn._xlws.FILTER(game_rosters!$J:$J,(game_rosters!$G:$G=events!$AM567)*(game_rosters!$J:$J=events!$X567))&gt;0,1,""),"")</f>
        <v>1</v>
      </c>
      <c r="Z567" s="6">
        <f t="shared" si="897"/>
        <v>1</v>
      </c>
      <c r="AA567">
        <f t="shared" si="898"/>
        <v>1283</v>
      </c>
      <c r="AB567" t="str">
        <f t="shared" si="899"/>
        <v/>
      </c>
      <c r="AC567">
        <f t="shared" si="900"/>
        <v>1283</v>
      </c>
      <c r="AD567" t="str">
        <f t="shared" si="901"/>
        <v>9</v>
      </c>
      <c r="AE567" t="str">
        <f t="shared" si="902"/>
        <v>41</v>
      </c>
      <c r="AF567" t="str">
        <f t="shared" si="903"/>
        <v>9</v>
      </c>
      <c r="AG567" t="str">
        <f t="shared" si="904"/>
        <v>40</v>
      </c>
      <c r="AH567" t="str">
        <f t="shared" si="947"/>
        <v>e</v>
      </c>
      <c r="AI567" t="str">
        <f t="shared" si="972"/>
        <v>n</v>
      </c>
      <c r="AJ567" t="str">
        <f t="shared" si="972"/>
        <v>n</v>
      </c>
      <c r="AK567" t="str">
        <f t="shared" si="949"/>
        <v>n</v>
      </c>
      <c r="AL567" t="str">
        <f t="shared" si="950"/>
        <v>n</v>
      </c>
      <c r="AM567" t="str">
        <f t="shared" si="905"/>
        <v>Away</v>
      </c>
      <c r="AN567" t="str">
        <f t="shared" si="951"/>
        <v>a</v>
      </c>
      <c r="AO567" t="str">
        <f t="shared" si="952"/>
        <v>n</v>
      </c>
      <c r="AP567" t="str">
        <f t="shared" si="953"/>
        <v>n</v>
      </c>
      <c r="AQ567" t="str">
        <f>IF(AM567&lt;&gt;"",AM567,IF($AC567=#REF!,#REF!,""))</f>
        <v>Away</v>
      </c>
      <c r="AR567" t="str">
        <f t="shared" si="954"/>
        <v>a</v>
      </c>
      <c r="AS567" t="str">
        <f t="shared" si="955"/>
        <v>Offensive</v>
      </c>
      <c r="AT567" t="str">
        <f t="shared" si="906"/>
        <v/>
      </c>
      <c r="AU567" t="str">
        <f t="shared" si="907"/>
        <v/>
      </c>
      <c r="AV567" t="str" cm="1">
        <f t="array" ref="AV567">IFERROR(IF(O567&lt;&gt;"",O567,IF(OR($S567="",$T567=""),"",IF(O567&lt;&gt;"",O567,IF($T567&lt;&gt;"",_xlfn._xlws.FILTER(O:O,($BT:$BT=$BT567)*($I:$I=$I567)*($T:$T=$T567)*($S:$S=_xlfn.MINIFS($S:$S,$T:$T,"="&amp;$T567)),"")))))&amp;"",IF(O567="","",""))&amp;""</f>
        <v/>
      </c>
      <c r="AW567" t="str" cm="1">
        <f t="array" ref="AW567">IFERROR(IF(P567&lt;&gt;"",P567,IF(OR($S567="",$T567=""),"",IF($T567&lt;&gt;"",_xlfn._xlws.FILTER(P:P,($BT:$BT=$BT567)*($I:$I=$I567)*($T:$T=$T567)*($S:$S=_xlfn.MINIFS($S:$S,$T:$T,"="&amp;$T567)),""))))&amp;"",IF(P567="","",""))&amp;""</f>
        <v/>
      </c>
      <c r="AX567" t="str" cm="1">
        <f t="array" ref="AX567">IFERROR(IF(Q567&lt;&gt;"",Q567,IF(OR($S567="",$T567=""),"",IF($T567&lt;&gt;"",_xlfn._xlws.FILTER(Q:Q,($BT:$BT=$BT567)*($I:$I=$I567)*($T:$T=$T567)*($S:$S=_xlfn.MINIFS($S:$S,$T:$T,"="&amp;$T567)),""))))&amp;"",IF(Q567="","",""))&amp;""</f>
        <v/>
      </c>
      <c r="AY567" t="str" cm="1">
        <f t="array" ref="AY567">IFERROR(IF(R567&lt;&gt;"",R567,IF(OR($S567="",$T567=""),"",IF($T567&lt;&gt;"",_xlfn._xlws.FILTER(R:R,($BT:$BT=$BT567)*($I:$I=$I567)*($T:$T=$T567)*($S:$S=_xlfn.MINIFS($S:$S,$T:$T,"="&amp;$T567)),""))))&amp;"",IF(R567="","",""))&amp;""</f>
        <v>1</v>
      </c>
      <c r="AZ567" s="6">
        <f t="shared" si="908"/>
        <v>48</v>
      </c>
      <c r="BA567">
        <f t="shared" ref="BA567:BC567" si="985">BA566</f>
        <v>18991</v>
      </c>
      <c r="BB567" t="str">
        <f t="shared" si="985"/>
        <v>Triple J</v>
      </c>
      <c r="BC567" t="str">
        <f t="shared" si="985"/>
        <v>Velodrome</v>
      </c>
      <c r="BD567" t="str">
        <f t="shared" si="910"/>
        <v>Possession</v>
      </c>
      <c r="BE567" t="str">
        <f t="shared" si="911"/>
        <v/>
      </c>
      <c r="BF567" t="str">
        <f t="shared" si="912"/>
        <v/>
      </c>
      <c r="BG567" t="str">
        <f t="shared" si="894"/>
        <v/>
      </c>
      <c r="BH567" cm="1">
        <f t="array" aca="1" ref="BH567" ca="1">IFERROR(_xlfn._xlws.FILTER(shifts!A:A,(shifts!B:B=events!Z567)*(shifts!AG:AG&gt;=events!BJ567)*(shifts!AH:AH&lt;=events!BK567)),BH566)</f>
        <v>18</v>
      </c>
      <c r="BI567" s="15">
        <f t="shared" si="913"/>
        <v>1</v>
      </c>
      <c r="BJ567">
        <f t="shared" si="914"/>
        <v>581</v>
      </c>
      <c r="BK567">
        <f t="shared" si="915"/>
        <v>580</v>
      </c>
      <c r="BL567" s="15">
        <f>SUMIFS(BI$2:BI567,K$2:K567,"=Intermission")+SUMIFS(BI$2:BI567,K$2:K567,"=Timeout")</f>
        <v>0</v>
      </c>
      <c r="BM567">
        <f t="shared" si="916"/>
        <v>0</v>
      </c>
      <c r="BN567" s="19">
        <f t="shared" si="917"/>
        <v>499</v>
      </c>
      <c r="BO567">
        <f t="shared" si="918"/>
        <v>494</v>
      </c>
      <c r="BP567" s="17">
        <f t="shared" si="919"/>
        <v>500</v>
      </c>
      <c r="BQ567" t="str">
        <f t="shared" si="920"/>
        <v>event_team_player_1</v>
      </c>
      <c r="BR567">
        <f>COUNTIFS(S$3:S567,"="&amp;S567,AH$3:AH567,"="&amp;AH567)</f>
        <v>1</v>
      </c>
      <c r="BS567" t="str">
        <f>IFERROR(VLOOKUP(BA567&amp;BT567&amp;X567,game_rosters!U:W,3,FALSE),"")</f>
        <v>P100001</v>
      </c>
      <c r="BT567" t="str">
        <f t="shared" si="921"/>
        <v>Velodrome</v>
      </c>
    </row>
    <row r="568" spans="1:72" x14ac:dyDescent="0.2">
      <c r="A568" t="str">
        <f t="shared" si="896"/>
        <v/>
      </c>
      <c r="E568" s="4"/>
      <c r="F568" s="45"/>
      <c r="G568" s="4"/>
      <c r="H568" s="47"/>
      <c r="I568" s="26">
        <v>21</v>
      </c>
      <c r="J568" s="26" t="str">
        <f t="shared" si="925"/>
        <v/>
      </c>
      <c r="N568" t="str">
        <f t="shared" si="940"/>
        <v/>
      </c>
      <c r="Q568" t="str">
        <f t="shared" si="934"/>
        <v/>
      </c>
      <c r="R568" s="26">
        <v>1</v>
      </c>
      <c r="S568">
        <f>IF(A568=1,MAX($S$2:$S567)+1,IF(OR($I568&lt;&gt;"",A568="x"),$S567,""))</f>
        <v>283</v>
      </c>
      <c r="T568" t="str">
        <f>IF(D568=1,MAX($T$2:$T567)+1,IF(S568=S567,$T567,IF(D568="x",T567,IF(D567="x","",""))))</f>
        <v/>
      </c>
      <c r="U568" t="str">
        <f>IF(B568=1,MAX($U$2:$U567)+1,IF(AND($T568&lt;&gt;"",$T568=$T567),$U567,IF(B568="x",U567,"")))</f>
        <v/>
      </c>
      <c r="V568" t="str">
        <f>IF(C568=1,MAX($V$2:$V567)+1,IF(AND($T568&lt;&gt;"",$T568=$T567),$U567,IF(C568="x",V567,"")))</f>
        <v/>
      </c>
      <c r="W568" t="str" cm="1">
        <f t="array" ref="W568">IFERROR(_xlfn._xlws.FILTER(game_rosters!AC:AC,(game_rosters!J:J=events!X568)*(K568&lt;&gt;"")),"")</f>
        <v/>
      </c>
      <c r="X568" cm="1">
        <f t="array" ref="X568">IF($I568&lt;&gt;"",$I568,INDEX($I$1:$I568,ROW()-COUNTIFS($T$1:$T568,"="&amp;$T568,$S$1:$S568,"&lt;"&amp;$S568)))</f>
        <v>21</v>
      </c>
      <c r="Y568" t="str" cm="1">
        <f t="array" ref="Y568">IFERROR(IF(_xlfn._xlws.FILTER(game_rosters!$J:$J,(game_rosters!$G:$G=events!$AM568)*(game_rosters!$J:$J=events!$X568))&gt;0,1,""),"")</f>
        <v/>
      </c>
      <c r="Z568" s="6">
        <f t="shared" si="897"/>
        <v>1</v>
      </c>
      <c r="AA568">
        <f t="shared" si="898"/>
        <v>1283</v>
      </c>
      <c r="AB568" t="str">
        <f t="shared" si="899"/>
        <v/>
      </c>
      <c r="AC568">
        <f t="shared" si="900"/>
        <v>1283</v>
      </c>
      <c r="AD568" t="str">
        <f t="shared" si="901"/>
        <v>9</v>
      </c>
      <c r="AE568" t="str">
        <f t="shared" si="902"/>
        <v>41</v>
      </c>
      <c r="AF568" t="str">
        <f t="shared" si="903"/>
        <v>9</v>
      </c>
      <c r="AG568" t="str">
        <f t="shared" si="904"/>
        <v>40</v>
      </c>
      <c r="AH568" t="str">
        <f t="shared" si="947"/>
        <v>o</v>
      </c>
      <c r="AI568" t="str">
        <f t="shared" si="972"/>
        <v>n</v>
      </c>
      <c r="AJ568" t="str">
        <f t="shared" si="972"/>
        <v>n</v>
      </c>
      <c r="AK568" t="str">
        <f t="shared" si="949"/>
        <v/>
      </c>
      <c r="AL568" t="str">
        <f t="shared" si="950"/>
        <v/>
      </c>
      <c r="AM568" t="str">
        <f t="shared" si="905"/>
        <v>Away</v>
      </c>
      <c r="AN568" t="str">
        <f t="shared" si="951"/>
        <v>a</v>
      </c>
      <c r="AO568" t="str">
        <f t="shared" si="952"/>
        <v>n</v>
      </c>
      <c r="AP568" t="str">
        <f t="shared" si="953"/>
        <v>n</v>
      </c>
      <c r="AQ568" t="str">
        <f>IF(AM568&lt;&gt;"",AM568,IF($AC568=#REF!,#REF!,""))</f>
        <v>Away</v>
      </c>
      <c r="AR568" t="str">
        <f t="shared" si="954"/>
        <v>a</v>
      </c>
      <c r="AS568" t="str">
        <f t="shared" si="955"/>
        <v>Defensive</v>
      </c>
      <c r="AT568" t="str">
        <f t="shared" si="906"/>
        <v/>
      </c>
      <c r="AU568" t="str">
        <f t="shared" si="907"/>
        <v/>
      </c>
      <c r="AV568" t="str" cm="1">
        <f t="array" ref="AV568">IFERROR(IF(O568&lt;&gt;"",O568,IF(OR($S568="",$T568=""),"",IF(O568&lt;&gt;"",O568,IF($T568&lt;&gt;"",_xlfn._xlws.FILTER(O:O,($BT:$BT=$BT568)*($I:$I=$I568)*($T:$T=$T568)*($S:$S=_xlfn.MINIFS($S:$S,$T:$T,"="&amp;$T568)),"")))))&amp;"",IF(O568="","",""))&amp;""</f>
        <v/>
      </c>
      <c r="AW568" t="str" cm="1">
        <f t="array" ref="AW568">IFERROR(IF(P568&lt;&gt;"",P568,IF(OR($S568="",$T568=""),"",IF($T568&lt;&gt;"",_xlfn._xlws.FILTER(P:P,($BT:$BT=$BT568)*($I:$I=$I568)*($T:$T=$T568)*($S:$S=_xlfn.MINIFS($S:$S,$T:$T,"="&amp;$T568)),""))))&amp;"",IF(P568="","",""))&amp;""</f>
        <v/>
      </c>
      <c r="AX568" t="str" cm="1">
        <f t="array" ref="AX568">IFERROR(IF(Q568&lt;&gt;"",Q568,IF(OR($S568="",$T568=""),"",IF($T568&lt;&gt;"",_xlfn._xlws.FILTER(Q:Q,($BT:$BT=$BT568)*($I:$I=$I568)*($T:$T=$T568)*($S:$S=_xlfn.MINIFS($S:$S,$T:$T,"="&amp;$T568)),""))))&amp;"",IF(Q568="","",""))&amp;""</f>
        <v/>
      </c>
      <c r="AY568" t="str" cm="1">
        <f t="array" ref="AY568">IFERROR(IF(R568&lt;&gt;"",R568,IF(OR($S568="",$T568=""),"",IF($T568&lt;&gt;"",_xlfn._xlws.FILTER(R:R,($BT:$BT=$BT568)*($I:$I=$I568)*($T:$T=$T568)*($S:$S=_xlfn.MINIFS($S:$S,$T:$T,"="&amp;$T568)),""))))&amp;"",IF(R568="","",""))&amp;""</f>
        <v>1</v>
      </c>
      <c r="AZ568" s="6">
        <f t="shared" si="908"/>
        <v>48</v>
      </c>
      <c r="BA568">
        <f t="shared" ref="BA568:BC568" si="986">BA567</f>
        <v>18991</v>
      </c>
      <c r="BB568" t="str">
        <f t="shared" si="986"/>
        <v>Triple J</v>
      </c>
      <c r="BC568" t="str">
        <f t="shared" si="986"/>
        <v>Velodrome</v>
      </c>
      <c r="BD568" t="str">
        <f t="shared" si="910"/>
        <v>Possession</v>
      </c>
      <c r="BE568" t="str">
        <f t="shared" si="911"/>
        <v/>
      </c>
      <c r="BF568" t="str">
        <f t="shared" si="912"/>
        <v/>
      </c>
      <c r="BG568" t="str">
        <f t="shared" si="894"/>
        <v/>
      </c>
      <c r="BH568" cm="1">
        <f t="array" aca="1" ref="BH568" ca="1">IFERROR(_xlfn._xlws.FILTER(shifts!A:A,(shifts!B:B=events!Z568)*(shifts!AG:AG&gt;=events!BJ568)*(shifts!AH:AH&lt;=events!BK568)),BH567)</f>
        <v>18</v>
      </c>
      <c r="BI568" s="15">
        <f t="shared" si="913"/>
        <v>1</v>
      </c>
      <c r="BJ568">
        <f t="shared" si="914"/>
        <v>581</v>
      </c>
      <c r="BK568">
        <f t="shared" si="915"/>
        <v>580</v>
      </c>
      <c r="BL568" s="15">
        <f>SUMIFS(BI$2:BI568,K$2:K568,"=Intermission")+SUMIFS(BI$2:BI568,K$2:K568,"=Timeout")</f>
        <v>0</v>
      </c>
      <c r="BM568">
        <f t="shared" si="916"/>
        <v>0</v>
      </c>
      <c r="BN568" s="19">
        <f t="shared" si="917"/>
        <v>499</v>
      </c>
      <c r="BO568">
        <f t="shared" si="918"/>
        <v>494</v>
      </c>
      <c r="BP568" s="17">
        <f t="shared" si="919"/>
        <v>500</v>
      </c>
      <c r="BQ568" t="str">
        <f t="shared" si="920"/>
        <v>opp_team_player_1</v>
      </c>
      <c r="BR568">
        <f>COUNTIFS(S$3:S568,"="&amp;S568,AH$3:AH568,"="&amp;AH568)</f>
        <v>1</v>
      </c>
      <c r="BS568" t="str">
        <f>IFERROR(VLOOKUP(BA568&amp;BT568&amp;X568,game_rosters!U:W,3,FALSE),"")</f>
        <v>P100019</v>
      </c>
      <c r="BT568" t="str">
        <f t="shared" si="921"/>
        <v>Triple J</v>
      </c>
    </row>
    <row r="569" spans="1:72" x14ac:dyDescent="0.2">
      <c r="A569">
        <f t="shared" si="896"/>
        <v>1</v>
      </c>
      <c r="D569" s="26">
        <v>1</v>
      </c>
      <c r="E569" s="4"/>
      <c r="F569" s="45" t="s">
        <v>749</v>
      </c>
      <c r="G569" s="4"/>
      <c r="H569" s="47"/>
      <c r="I569" s="26">
        <v>70</v>
      </c>
      <c r="J569" s="26" t="s">
        <v>734</v>
      </c>
      <c r="K569" t="s">
        <v>7</v>
      </c>
      <c r="L569" t="s">
        <v>172</v>
      </c>
      <c r="M569" t="s">
        <v>67</v>
      </c>
      <c r="N569" t="str">
        <f t="shared" si="940"/>
        <v>s</v>
      </c>
      <c r="Q569" t="str">
        <f t="shared" si="934"/>
        <v/>
      </c>
      <c r="S569">
        <f>IF(A569=1,MAX($S$2:$S568)+1,IF(OR($I569&lt;&gt;"",A569="x"),$S568,""))</f>
        <v>284</v>
      </c>
      <c r="T569">
        <f>IF(D569=1,MAX($T$2:$T568)+1,IF(S569=S568,$T568,IF(D569="x",T568,IF(D568="x","",""))))</f>
        <v>37</v>
      </c>
      <c r="U569" t="str">
        <f>IF(B569=1,MAX($U$2:$U568)+1,IF(AND($T569&lt;&gt;"",$T569=$T568),$U568,IF(B569="x",U568,"")))</f>
        <v/>
      </c>
      <c r="V569" t="str">
        <f>IF(C569=1,MAX($V$2:$V568)+1,IF(AND($T569&lt;&gt;"",$T569=$T568),$U568,IF(C569="x",V568,"")))</f>
        <v/>
      </c>
      <c r="W569" t="str" cm="1">
        <f t="array" ref="W569">IFERROR(_xlfn._xlws.FILTER(game_rosters!AC:AC,(game_rosters!J:J=events!X569)*(K569&lt;&gt;"")),"")</f>
        <v>a</v>
      </c>
      <c r="X569" cm="1">
        <f t="array" ref="X569">IF($I569&lt;&gt;"",$I569,INDEX($I$1:$I569,ROW()-COUNTIFS($T$1:$T569,"="&amp;$T569,$S$1:$S569,"&lt;"&amp;$S569)))</f>
        <v>70</v>
      </c>
      <c r="Y569" cm="1">
        <f t="array" ref="Y569">IFERROR(IF(_xlfn._xlws.FILTER(game_rosters!$J:$J,(game_rosters!$G:$G=events!$AM569)*(game_rosters!$J:$J=events!$X569))&gt;0,1,""),"")</f>
        <v>1</v>
      </c>
      <c r="Z569" s="6">
        <f t="shared" si="897"/>
        <v>1</v>
      </c>
      <c r="AA569">
        <f t="shared" si="898"/>
        <v>1284</v>
      </c>
      <c r="AB569">
        <f t="shared" si="899"/>
        <v>9037</v>
      </c>
      <c r="AC569">
        <f t="shared" si="900"/>
        <v>9037</v>
      </c>
      <c r="AD569" t="str">
        <f t="shared" si="901"/>
        <v>9</v>
      </c>
      <c r="AE569" t="str">
        <f t="shared" si="902"/>
        <v>39</v>
      </c>
      <c r="AF569" t="str">
        <f t="shared" si="903"/>
        <v/>
      </c>
      <c r="AG569" t="str">
        <f t="shared" si="904"/>
        <v/>
      </c>
      <c r="AH569" t="str">
        <f t="shared" si="947"/>
        <v>e</v>
      </c>
      <c r="AI569" t="str">
        <f t="shared" si="972"/>
        <v>n</v>
      </c>
      <c r="AJ569" t="str">
        <f t="shared" si="972"/>
        <v>n</v>
      </c>
      <c r="AK569" t="str">
        <f t="shared" si="949"/>
        <v>n</v>
      </c>
      <c r="AL569" t="str">
        <f t="shared" si="950"/>
        <v>n</v>
      </c>
      <c r="AM569" t="str">
        <f t="shared" si="905"/>
        <v>Away</v>
      </c>
      <c r="AN569" t="str">
        <f t="shared" si="951"/>
        <v>a</v>
      </c>
      <c r="AO569" t="str">
        <f t="shared" si="952"/>
        <v>n</v>
      </c>
      <c r="AP569" t="str">
        <f t="shared" si="953"/>
        <v>n</v>
      </c>
      <c r="AQ569" t="str">
        <f>IF(AM569&lt;&gt;"",AM569,IF($AC569=#REF!,#REF!,""))</f>
        <v>Away</v>
      </c>
      <c r="AR569" t="str">
        <f t="shared" si="954"/>
        <v>a</v>
      </c>
      <c r="AS569" t="str">
        <f t="shared" si="955"/>
        <v>Offensive</v>
      </c>
      <c r="AT569" t="str">
        <f t="shared" si="906"/>
        <v/>
      </c>
      <c r="AU569" t="str">
        <f t="shared" si="907"/>
        <v/>
      </c>
      <c r="AV569" t="str" cm="1">
        <f t="array" ref="AV569">IFERROR(IF(O569&lt;&gt;"",O569,IF(OR($S569="",$T569=""),"",IF(O569&lt;&gt;"",O569,IF($T569&lt;&gt;"",_xlfn._xlws.FILTER(O:O,($BT:$BT=$BT569)*($I:$I=$I569)*($T:$T=$T569)*($S:$S=_xlfn.MINIFS($S:$S,$T:$T,"="&amp;$T569)),"")))))&amp;"",IF(O569="","",""))&amp;""</f>
        <v/>
      </c>
      <c r="AW569" t="str" cm="1">
        <f t="array" ref="AW569">IFERROR(IF(P569&lt;&gt;"",P569,IF(OR($S569="",$T569=""),"",IF($T569&lt;&gt;"",_xlfn._xlws.FILTER(P:P,($BT:$BT=$BT569)*($I:$I=$I569)*($T:$T=$T569)*($S:$S=_xlfn.MINIFS($S:$S,$T:$T,"="&amp;$T569)),""))))&amp;"",IF(P569="","",""))&amp;""</f>
        <v/>
      </c>
      <c r="AX569" t="str" cm="1">
        <f t="array" ref="AX569">IFERROR(IF(Q569&lt;&gt;"",Q569,IF(OR($S569="",$T569=""),"",IF($T569&lt;&gt;"",_xlfn._xlws.FILTER(Q:Q,($BT:$BT=$BT569)*($I:$I=$I569)*($T:$T=$T569)*($S:$S=_xlfn.MINIFS($S:$S,$T:$T,"="&amp;$T569)),""))))&amp;"",IF(Q569="","",""))&amp;""</f>
        <v/>
      </c>
      <c r="AY569" t="str" cm="1">
        <f t="array" ref="AY569">IFERROR(IF(R569&lt;&gt;"",R569,IF(OR($S569="",$T569=""),"",IF($T569&lt;&gt;"",_xlfn._xlws.FILTER(R:R,($BT:$BT=$BT569)*($I:$I=$I569)*($T:$T=$T569)*($S:$S=_xlfn.MINIFS($S:$S,$T:$T,"="&amp;$T569)),""))))&amp;"",IF(R569="","",""))&amp;""</f>
        <v/>
      </c>
      <c r="AZ569" s="6">
        <f t="shared" si="908"/>
        <v>48</v>
      </c>
      <c r="BA569">
        <f t="shared" ref="BA569:BC569" si="987">BA568</f>
        <v>18991</v>
      </c>
      <c r="BB569" t="str">
        <f t="shared" si="987"/>
        <v>Triple J</v>
      </c>
      <c r="BC569" t="str">
        <f t="shared" si="987"/>
        <v>Velodrome</v>
      </c>
      <c r="BD569" t="str">
        <f t="shared" si="910"/>
        <v>Pass</v>
      </c>
      <c r="BE569" t="str">
        <f t="shared" si="911"/>
        <v>Pass_Completed</v>
      </c>
      <c r="BF569" t="str">
        <f t="shared" si="912"/>
        <v>Pass-Backhand</v>
      </c>
      <c r="BG569" t="str">
        <f t="shared" si="894"/>
        <v>s</v>
      </c>
      <c r="BH569" cm="1">
        <f t="array" aca="1" ref="BH569" ca="1">IFERROR(_xlfn._xlws.FILTER(shifts!A:A,(shifts!B:B=events!Z569)*(shifts!AG:AG&gt;=events!BJ569)*(shifts!AH:AH&lt;=events!BK569)),BH568)</f>
        <v>18</v>
      </c>
      <c r="BI569" s="15">
        <f t="shared" si="913"/>
        <v>0</v>
      </c>
      <c r="BJ569">
        <f t="shared" si="914"/>
        <v>579</v>
      </c>
      <c r="BK569">
        <f t="shared" si="915"/>
        <v>579</v>
      </c>
      <c r="BL569" s="15">
        <f>SUMIFS(BI$2:BI569,K$2:K569,"=Intermission")+SUMIFS(BI$2:BI569,K$2:K569,"=Timeout")</f>
        <v>0</v>
      </c>
      <c r="BM569">
        <f t="shared" si="916"/>
        <v>0</v>
      </c>
      <c r="BN569" s="19">
        <f t="shared" si="917"/>
        <v>501</v>
      </c>
      <c r="BO569">
        <f t="shared" si="918"/>
        <v>496</v>
      </c>
      <c r="BP569" s="17">
        <f t="shared" si="919"/>
        <v>501</v>
      </c>
      <c r="BQ569" t="str">
        <f t="shared" si="920"/>
        <v>event_team_player_1</v>
      </c>
      <c r="BR569">
        <f>COUNTIFS(S$3:S569,"="&amp;S569,AH$3:AH569,"="&amp;AH569)</f>
        <v>1</v>
      </c>
      <c r="BS569" t="str">
        <f>IFERROR(VLOOKUP(BA569&amp;BT569&amp;X569,game_rosters!U:W,3,FALSE),"")</f>
        <v>P100001</v>
      </c>
      <c r="BT569" t="str">
        <f t="shared" si="921"/>
        <v>Velodrome</v>
      </c>
    </row>
    <row r="570" spans="1:72" x14ac:dyDescent="0.2">
      <c r="A570" t="str">
        <f t="shared" si="896"/>
        <v>x</v>
      </c>
      <c r="D570" s="26" t="s">
        <v>729</v>
      </c>
      <c r="E570" s="4"/>
      <c r="F570" s="45"/>
      <c r="G570" s="4"/>
      <c r="H570" s="47"/>
      <c r="I570" s="26">
        <v>91</v>
      </c>
      <c r="J570" s="26" t="str">
        <f t="shared" si="925"/>
        <v/>
      </c>
      <c r="N570" t="str">
        <f t="shared" si="940"/>
        <v/>
      </c>
      <c r="Q570" t="str">
        <f t="shared" si="934"/>
        <v/>
      </c>
      <c r="S570">
        <f>IF(A570=1,MAX($S$2:$S569)+1,IF(OR($I570&lt;&gt;"",A570="x"),$S569,""))</f>
        <v>284</v>
      </c>
      <c r="T570">
        <f>IF(D570=1,MAX($T$2:$T569)+1,IF(S570=S569,$T569,IF(D570="x",T569,IF(D569="x","",""))))</f>
        <v>37</v>
      </c>
      <c r="U570" t="str">
        <f>IF(B570=1,MAX($U$2:$U569)+1,IF(AND($T570&lt;&gt;"",$T570=$T569),$U569,IF(B570="x",U569,"")))</f>
        <v/>
      </c>
      <c r="V570" t="str">
        <f>IF(C570=1,MAX($V$2:$V569)+1,IF(AND($T570&lt;&gt;"",$T570=$T569),$U569,IF(C570="x",V569,"")))</f>
        <v/>
      </c>
      <c r="W570" t="str" cm="1">
        <f t="array" ref="W570">IFERROR(_xlfn._xlws.FILTER(game_rosters!AC:AC,(game_rosters!J:J=events!X570)*(K570&lt;&gt;"")),"")</f>
        <v/>
      </c>
      <c r="X570" cm="1">
        <f t="array" ref="X570">IF($I570&lt;&gt;"",$I570,INDEX($I$1:$I570,ROW()-COUNTIFS($T$1:$T570,"="&amp;$T570,$S$1:$S570,"&lt;"&amp;$S570)))</f>
        <v>91</v>
      </c>
      <c r="Y570" cm="1">
        <f t="array" ref="Y570">IFERROR(IF(_xlfn._xlws.FILTER(game_rosters!$J:$J,(game_rosters!$G:$G=events!$AM570)*(game_rosters!$J:$J=events!$X570))&gt;0,1,""),"")</f>
        <v>1</v>
      </c>
      <c r="Z570" s="6">
        <f t="shared" si="897"/>
        <v>1</v>
      </c>
      <c r="AA570">
        <f t="shared" si="898"/>
        <v>1284</v>
      </c>
      <c r="AB570">
        <f t="shared" si="899"/>
        <v>9037</v>
      </c>
      <c r="AC570">
        <f t="shared" si="900"/>
        <v>9037</v>
      </c>
      <c r="AD570" t="str">
        <f t="shared" si="901"/>
        <v>9</v>
      </c>
      <c r="AE570" t="str">
        <f t="shared" si="902"/>
        <v>39</v>
      </c>
      <c r="AF570" t="str">
        <f t="shared" si="903"/>
        <v/>
      </c>
      <c r="AG570" t="str">
        <f t="shared" si="904"/>
        <v/>
      </c>
      <c r="AH570" t="str">
        <f t="shared" si="947"/>
        <v>e</v>
      </c>
      <c r="AI570" t="str">
        <f t="shared" si="972"/>
        <v>n</v>
      </c>
      <c r="AJ570" t="str">
        <f t="shared" si="972"/>
        <v>n</v>
      </c>
      <c r="AK570" t="str">
        <f t="shared" si="949"/>
        <v/>
      </c>
      <c r="AL570" t="str">
        <f t="shared" si="950"/>
        <v/>
      </c>
      <c r="AM570" t="str">
        <f t="shared" si="905"/>
        <v>Away</v>
      </c>
      <c r="AN570" t="str">
        <f t="shared" si="951"/>
        <v>a</v>
      </c>
      <c r="AO570" t="str">
        <f t="shared" si="952"/>
        <v>n</v>
      </c>
      <c r="AP570" t="str">
        <f t="shared" si="953"/>
        <v>n</v>
      </c>
      <c r="AQ570" t="str">
        <f>IF(AM570&lt;&gt;"",AM570,IF($AC570=#REF!,#REF!,""))</f>
        <v>Away</v>
      </c>
      <c r="AR570" t="str">
        <f t="shared" si="954"/>
        <v>a</v>
      </c>
      <c r="AS570" t="str">
        <f t="shared" si="955"/>
        <v>Offensive</v>
      </c>
      <c r="AT570" t="str">
        <f t="shared" si="906"/>
        <v/>
      </c>
      <c r="AU570" t="str">
        <f t="shared" si="907"/>
        <v/>
      </c>
      <c r="AV570" t="str" cm="1">
        <f t="array" ref="AV570">IFERROR(IF(O570&lt;&gt;"",O570,IF(OR($S570="",$T570=""),"",IF(O570&lt;&gt;"",O570,IF($T570&lt;&gt;"",_xlfn._xlws.FILTER(O:O,($BT:$BT=$BT570)*($I:$I=$I570)*($T:$T=$T570)*($S:$S=_xlfn.MINIFS($S:$S,$T:$T,"="&amp;$T570)),"")))))&amp;"",IF(O570="","",""))&amp;""</f>
        <v/>
      </c>
      <c r="AW570" t="str" cm="1">
        <f t="array" ref="AW570">IFERROR(IF(P570&lt;&gt;"",P570,IF(OR($S570="",$T570=""),"",IF($T570&lt;&gt;"",_xlfn._xlws.FILTER(P:P,($BT:$BT=$BT570)*($I:$I=$I570)*($T:$T=$T570)*($S:$S=_xlfn.MINIFS($S:$S,$T:$T,"="&amp;$T570)),""))))&amp;"",IF(P570="","",""))&amp;""</f>
        <v/>
      </c>
      <c r="AX570" t="str" cm="1">
        <f t="array" ref="AX570">IFERROR(IF(Q570&lt;&gt;"",Q570,IF(OR($S570="",$T570=""),"",IF($T570&lt;&gt;"",_xlfn._xlws.FILTER(Q:Q,($BT:$BT=$BT570)*($I:$I=$I570)*($T:$T=$T570)*($S:$S=_xlfn.MINIFS($S:$S,$T:$T,"="&amp;$T570)),""))))&amp;"",IF(Q570="","",""))&amp;""</f>
        <v/>
      </c>
      <c r="AY570" t="str" cm="1">
        <f t="array" ref="AY570">IFERROR(IF(R570&lt;&gt;"",R570,IF(OR($S570="",$T570=""),"",IF($T570&lt;&gt;"",_xlfn._xlws.FILTER(R:R,($BT:$BT=$BT570)*($I:$I=$I570)*($T:$T=$T570)*($S:$S=_xlfn.MINIFS($S:$S,$T:$T,"="&amp;$T570)),""))))&amp;"",IF(R570="","",""))&amp;""</f>
        <v/>
      </c>
      <c r="AZ570" s="6">
        <f t="shared" si="908"/>
        <v>48</v>
      </c>
      <c r="BA570">
        <f t="shared" ref="BA570:BC570" si="988">BA569</f>
        <v>18991</v>
      </c>
      <c r="BB570" t="str">
        <f t="shared" si="988"/>
        <v>Triple J</v>
      </c>
      <c r="BC570" t="str">
        <f t="shared" si="988"/>
        <v>Velodrome</v>
      </c>
      <c r="BD570" t="str">
        <f t="shared" si="910"/>
        <v>Pass</v>
      </c>
      <c r="BE570" t="str">
        <f t="shared" si="911"/>
        <v>Pass_Completed</v>
      </c>
      <c r="BF570" t="str">
        <f t="shared" si="912"/>
        <v>Pass-Backhand</v>
      </c>
      <c r="BG570" t="str">
        <f t="shared" si="894"/>
        <v>s</v>
      </c>
      <c r="BH570" cm="1">
        <f t="array" aca="1" ref="BH570" ca="1">IFERROR(_xlfn._xlws.FILTER(shifts!A:A,(shifts!B:B=events!Z570)*(shifts!AG:AG&gt;=events!BJ570)*(shifts!AH:AH&lt;=events!BK570)),BH569)</f>
        <v>18</v>
      </c>
      <c r="BI570" s="15">
        <f t="shared" si="913"/>
        <v>0</v>
      </c>
      <c r="BJ570">
        <f t="shared" si="914"/>
        <v>579</v>
      </c>
      <c r="BK570">
        <f t="shared" si="915"/>
        <v>579</v>
      </c>
      <c r="BL570" s="15">
        <f>SUMIFS(BI$2:BI570,K$2:K570,"=Intermission")+SUMIFS(BI$2:BI570,K$2:K570,"=Timeout")</f>
        <v>0</v>
      </c>
      <c r="BM570">
        <f t="shared" si="916"/>
        <v>0</v>
      </c>
      <c r="BN570" s="19">
        <f t="shared" si="917"/>
        <v>501</v>
      </c>
      <c r="BO570">
        <f t="shared" si="918"/>
        <v>496</v>
      </c>
      <c r="BP570" s="17">
        <f t="shared" si="919"/>
        <v>501</v>
      </c>
      <c r="BQ570" t="str">
        <f t="shared" si="920"/>
        <v>event_team_player_2</v>
      </c>
      <c r="BR570">
        <f>COUNTIFS(S$3:S570,"="&amp;S570,AH$3:AH570,"="&amp;AH570)</f>
        <v>2</v>
      </c>
      <c r="BS570" t="str">
        <f>IFERROR(VLOOKUP(BA570&amp;BT570&amp;X570,game_rosters!U:W,3,FALSE),"")</f>
        <v>P100002</v>
      </c>
      <c r="BT570" t="str">
        <f t="shared" si="921"/>
        <v>Velodrome</v>
      </c>
    </row>
    <row r="571" spans="1:72" x14ac:dyDescent="0.2">
      <c r="A571">
        <f t="shared" si="896"/>
        <v>1</v>
      </c>
      <c r="D571" s="26" t="s">
        <v>729</v>
      </c>
      <c r="E571" s="4"/>
      <c r="F571" s="45"/>
      <c r="G571" s="4"/>
      <c r="H571" s="47"/>
      <c r="J571" s="26" t="s">
        <v>734</v>
      </c>
      <c r="K571" t="s">
        <v>238</v>
      </c>
      <c r="L571" t="s">
        <v>174</v>
      </c>
      <c r="M571" t="s">
        <v>86</v>
      </c>
      <c r="N571" t="str">
        <f t="shared" si="940"/>
        <v>s</v>
      </c>
      <c r="Q571" t="str">
        <f t="shared" si="934"/>
        <v/>
      </c>
      <c r="S571">
        <f>IF(A571=1,MAX($S$2:$S570)+1,IF(OR($I571&lt;&gt;"",A571="x"),$S570,""))</f>
        <v>285</v>
      </c>
      <c r="T571">
        <f>IF(D571=1,MAX($T$2:$T570)+1,IF(S571=S570,$T570,IF(D571="x",T570,IF(D570="x","",""))))</f>
        <v>37</v>
      </c>
      <c r="U571" t="str">
        <f>IF(B571=1,MAX($U$2:$U570)+1,IF(AND($T571&lt;&gt;"",$T571=$T570),$U570,IF(B571="x",U570,"")))</f>
        <v/>
      </c>
      <c r="V571" t="str">
        <f>IF(C571=1,MAX($V$2:$V570)+1,IF(AND($T571&lt;&gt;"",$T571=$T570),$U570,IF(C571="x",V570,"")))</f>
        <v/>
      </c>
      <c r="W571" t="str" cm="1">
        <f t="array" ref="W571">IFERROR(_xlfn._xlws.FILTER(game_rosters!AC:AC,(game_rosters!J:J=events!X571)*(K571&lt;&gt;"")),"")</f>
        <v>a</v>
      </c>
      <c r="X571" cm="1">
        <f t="array" ref="X571">IF($I571&lt;&gt;"",$I571,INDEX($I$1:$I571,ROW()-COUNTIFS($T$1:$T571,"="&amp;$T571,$S$1:$S571,"&lt;"&amp;$S571)))</f>
        <v>70</v>
      </c>
      <c r="Y571" cm="1">
        <f t="array" ref="Y571">IFERROR(IF(_xlfn._xlws.FILTER(game_rosters!$J:$J,(game_rosters!$G:$G=events!$AM571)*(game_rosters!$J:$J=events!$X571))&gt;0,1,""),"")</f>
        <v>1</v>
      </c>
      <c r="Z571" s="6">
        <f t="shared" si="897"/>
        <v>1</v>
      </c>
      <c r="AA571">
        <f t="shared" si="898"/>
        <v>1285</v>
      </c>
      <c r="AB571">
        <f t="shared" si="899"/>
        <v>9037</v>
      </c>
      <c r="AC571">
        <f t="shared" si="900"/>
        <v>9037</v>
      </c>
      <c r="AD571" t="str">
        <f t="shared" si="901"/>
        <v>9</v>
      </c>
      <c r="AE571" t="str">
        <f t="shared" si="902"/>
        <v>39</v>
      </c>
      <c r="AF571" t="str">
        <f t="shared" si="903"/>
        <v/>
      </c>
      <c r="AG571" t="str">
        <f t="shared" si="904"/>
        <v/>
      </c>
      <c r="AH571" t="str">
        <f t="shared" si="947"/>
        <v>e</v>
      </c>
      <c r="AI571" t="str">
        <f t="shared" ref="AI571:AJ586" si="989">IF($J571&lt;&gt;"",$J571,IF($AC571=$AC570,AI570,""))</f>
        <v>n</v>
      </c>
      <c r="AJ571" t="str">
        <f t="shared" si="989"/>
        <v>n</v>
      </c>
      <c r="AK571" t="str">
        <f t="shared" si="949"/>
        <v>n</v>
      </c>
      <c r="AL571" t="str">
        <f t="shared" si="950"/>
        <v>n</v>
      </c>
      <c r="AM571" t="str">
        <f t="shared" si="905"/>
        <v>Away</v>
      </c>
      <c r="AN571" t="str">
        <f t="shared" si="951"/>
        <v>a</v>
      </c>
      <c r="AO571" t="str">
        <f t="shared" si="952"/>
        <v>n</v>
      </c>
      <c r="AP571" t="str">
        <f t="shared" si="953"/>
        <v>n</v>
      </c>
      <c r="AQ571" t="str">
        <f>IF(AM571&lt;&gt;"",AM571,IF($AC571=#REF!,#REF!,""))</f>
        <v>Away</v>
      </c>
      <c r="AR571" t="str">
        <f t="shared" si="954"/>
        <v>a</v>
      </c>
      <c r="AS571" t="str">
        <f t="shared" si="955"/>
        <v>Offensive</v>
      </c>
      <c r="AT571" t="str">
        <f t="shared" si="906"/>
        <v/>
      </c>
      <c r="AU571" t="str">
        <f t="shared" si="907"/>
        <v/>
      </c>
      <c r="AV571" t="str" cm="1">
        <f t="array" ref="AV571">IFERROR(IF(O571&lt;&gt;"",O571,IF(OR($S571="",$T571=""),"",IF(O571&lt;&gt;"",O571,IF($T571&lt;&gt;"",_xlfn._xlws.FILTER(O:O,($BT:$BT=$BT571)*($I:$I=$I571)*($T:$T=$T571)*($S:$S=_xlfn.MINIFS($S:$S,$T:$T,"="&amp;$T571)),"")))))&amp;"",IF(O571="","",""))&amp;""</f>
        <v/>
      </c>
      <c r="AW571" t="str" cm="1">
        <f t="array" ref="AW571">IFERROR(IF(P571&lt;&gt;"",P571,IF(OR($S571="",$T571=""),"",IF($T571&lt;&gt;"",_xlfn._xlws.FILTER(P:P,($BT:$BT=$BT571)*($I:$I=$I571)*($T:$T=$T571)*($S:$S=_xlfn.MINIFS($S:$S,$T:$T,"="&amp;$T571)),""))))&amp;"",IF(P571="","",""))&amp;""</f>
        <v/>
      </c>
      <c r="AX571" t="str" cm="1">
        <f t="array" ref="AX571">IFERROR(IF(Q571&lt;&gt;"",Q571,IF(OR($S571="",$T571=""),"",IF($T571&lt;&gt;"",_xlfn._xlws.FILTER(Q:Q,($BT:$BT=$BT571)*($I:$I=$I571)*($T:$T=$T571)*($S:$S=_xlfn.MINIFS($S:$S,$T:$T,"="&amp;$T571)),""))))&amp;"",IF(Q571="","",""))&amp;""</f>
        <v/>
      </c>
      <c r="AY571" t="str" cm="1">
        <f t="array" ref="AY571">IFERROR(IF(R571&lt;&gt;"",R571,IF(OR($S571="",$T571=""),"",IF($T571&lt;&gt;"",_xlfn._xlws.FILTER(R:R,($BT:$BT=$BT571)*($I:$I=$I571)*($T:$T=$T571)*($S:$S=_xlfn.MINIFS($S:$S,$T:$T,"="&amp;$T571)),""))))&amp;"",IF(R571="","",""))&amp;""</f>
        <v/>
      </c>
      <c r="AZ571" s="6">
        <f t="shared" si="908"/>
        <v>49</v>
      </c>
      <c r="BA571">
        <f t="shared" ref="BA571:BC571" si="990">BA570</f>
        <v>18991</v>
      </c>
      <c r="BB571" t="str">
        <f t="shared" si="990"/>
        <v>Triple J</v>
      </c>
      <c r="BC571" t="str">
        <f t="shared" si="990"/>
        <v>Velodrome</v>
      </c>
      <c r="BD571" t="str">
        <f t="shared" si="910"/>
        <v>Zone_Entry_Exit</v>
      </c>
      <c r="BE571" t="str">
        <f t="shared" si="911"/>
        <v>Zone_Entry</v>
      </c>
      <c r="BF571" t="str">
        <f t="shared" si="912"/>
        <v>ZoneEntry-Pass</v>
      </c>
      <c r="BG571" t="str">
        <f t="shared" si="894"/>
        <v>s</v>
      </c>
      <c r="BH571" cm="1">
        <f t="array" aca="1" ref="BH571" ca="1">IFERROR(_xlfn._xlws.FILTER(shifts!A:A,(shifts!B:B=events!Z571)*(shifts!AG:AG&gt;=events!BJ571)*(shifts!AH:AH&lt;=events!BK571)),BH570)</f>
        <v>18</v>
      </c>
      <c r="BI571" s="15">
        <f t="shared" si="913"/>
        <v>0</v>
      </c>
      <c r="BJ571">
        <f t="shared" si="914"/>
        <v>579</v>
      </c>
      <c r="BK571">
        <f t="shared" si="915"/>
        <v>579</v>
      </c>
      <c r="BL571" s="15">
        <f>SUMIFS(BI$2:BI571,K$2:K571,"=Intermission")+SUMIFS(BI$2:BI571,K$2:K571,"=Timeout")</f>
        <v>0</v>
      </c>
      <c r="BM571">
        <f t="shared" si="916"/>
        <v>0</v>
      </c>
      <c r="BN571" s="19">
        <f t="shared" si="917"/>
        <v>501</v>
      </c>
      <c r="BO571">
        <f t="shared" si="918"/>
        <v>496</v>
      </c>
      <c r="BP571" s="17">
        <f t="shared" si="919"/>
        <v>501</v>
      </c>
      <c r="BQ571" t="str">
        <f t="shared" si="920"/>
        <v>event_team_player_1</v>
      </c>
      <c r="BR571">
        <f>COUNTIFS(S$3:S571,"="&amp;S571,AH$3:AH571,"="&amp;AH571)</f>
        <v>1</v>
      </c>
      <c r="BS571" t="str">
        <f>IFERROR(VLOOKUP(BA571&amp;BT571&amp;X571,game_rosters!U:W,3,FALSE),"")</f>
        <v>P100001</v>
      </c>
      <c r="BT571" t="str">
        <f t="shared" si="921"/>
        <v>Velodrome</v>
      </c>
    </row>
    <row r="572" spans="1:72" x14ac:dyDescent="0.2">
      <c r="A572" t="str">
        <f t="shared" si="896"/>
        <v>x</v>
      </c>
      <c r="D572" s="26" t="s">
        <v>729</v>
      </c>
      <c r="E572" s="4"/>
      <c r="F572" s="45"/>
      <c r="G572" s="4"/>
      <c r="H572" s="47"/>
      <c r="J572" s="26" t="str">
        <f t="shared" si="925"/>
        <v/>
      </c>
      <c r="N572" t="str">
        <f t="shared" si="940"/>
        <v/>
      </c>
      <c r="Q572" t="str">
        <f t="shared" si="934"/>
        <v/>
      </c>
      <c r="S572">
        <f>IF(A572=1,MAX($S$2:$S571)+1,IF(OR($I572&lt;&gt;"",A572="x"),$S571,""))</f>
        <v>285</v>
      </c>
      <c r="T572">
        <f>IF(D572=1,MAX($T$2:$T571)+1,IF(S572=S571,$T571,IF(D572="x",T571,IF(D571="x","",""))))</f>
        <v>37</v>
      </c>
      <c r="U572" t="str">
        <f>IF(B572=1,MAX($U$2:$U571)+1,IF(AND($T572&lt;&gt;"",$T572=$T571),$U571,IF(B572="x",U571,"")))</f>
        <v/>
      </c>
      <c r="V572" t="str">
        <f>IF(C572=1,MAX($V$2:$V571)+1,IF(AND($T572&lt;&gt;"",$T572=$T571),$U571,IF(C572="x",V571,"")))</f>
        <v/>
      </c>
      <c r="W572" t="str" cm="1">
        <f t="array" ref="W572">IFERROR(_xlfn._xlws.FILTER(game_rosters!AC:AC,(game_rosters!J:J=events!X572)*(K572&lt;&gt;"")),"")</f>
        <v/>
      </c>
      <c r="X572" cm="1">
        <f t="array" ref="X572">IF($I572&lt;&gt;"",$I572,INDEX($I$1:$I572,ROW()-COUNTIFS($T$1:$T572,"="&amp;$T572,$S$1:$S572,"&lt;"&amp;$S572)))</f>
        <v>91</v>
      </c>
      <c r="Y572" cm="1">
        <f t="array" ref="Y572">IFERROR(IF(_xlfn._xlws.FILTER(game_rosters!$J:$J,(game_rosters!$G:$G=events!$AM572)*(game_rosters!$J:$J=events!$X572))&gt;0,1,""),"")</f>
        <v>1</v>
      </c>
      <c r="Z572" s="6">
        <f t="shared" si="897"/>
        <v>1</v>
      </c>
      <c r="AA572">
        <f t="shared" si="898"/>
        <v>1285</v>
      </c>
      <c r="AB572">
        <f t="shared" si="899"/>
        <v>9037</v>
      </c>
      <c r="AC572">
        <f t="shared" si="900"/>
        <v>9037</v>
      </c>
      <c r="AD572" t="str">
        <f t="shared" si="901"/>
        <v>9</v>
      </c>
      <c r="AE572" t="str">
        <f t="shared" si="902"/>
        <v>39</v>
      </c>
      <c r="AF572" t="str">
        <f t="shared" si="903"/>
        <v/>
      </c>
      <c r="AG572" t="str">
        <f t="shared" si="904"/>
        <v/>
      </c>
      <c r="AH572" t="str">
        <f t="shared" si="947"/>
        <v>e</v>
      </c>
      <c r="AI572" t="str">
        <f t="shared" si="989"/>
        <v>n</v>
      </c>
      <c r="AJ572" t="str">
        <f t="shared" si="989"/>
        <v>n</v>
      </c>
      <c r="AK572" t="str">
        <f t="shared" si="949"/>
        <v/>
      </c>
      <c r="AL572" t="str">
        <f t="shared" si="950"/>
        <v/>
      </c>
      <c r="AM572" t="str">
        <f t="shared" si="905"/>
        <v>Away</v>
      </c>
      <c r="AN572" t="str">
        <f t="shared" si="951"/>
        <v>a</v>
      </c>
      <c r="AO572" t="str">
        <f t="shared" si="952"/>
        <v>n</v>
      </c>
      <c r="AP572" t="str">
        <f t="shared" si="953"/>
        <v>n</v>
      </c>
      <c r="AQ572" t="str">
        <f>IF(AM572&lt;&gt;"",AM572,IF($AC572=#REF!,#REF!,""))</f>
        <v>Away</v>
      </c>
      <c r="AR572" t="str">
        <f t="shared" si="954"/>
        <v>a</v>
      </c>
      <c r="AS572" t="str">
        <f t="shared" si="955"/>
        <v>Offensive</v>
      </c>
      <c r="AT572" t="str">
        <f t="shared" si="906"/>
        <v/>
      </c>
      <c r="AU572" t="str">
        <f t="shared" si="907"/>
        <v/>
      </c>
      <c r="AV572" t="str" cm="1">
        <f t="array" ref="AV572">IFERROR(IF(O572&lt;&gt;"",O572,IF(OR($S572="",$T572=""),"",IF(O572&lt;&gt;"",O572,IF($T572&lt;&gt;"",_xlfn._xlws.FILTER(O:O,($BT:$BT=$BT572)*($I:$I=$I572)*($T:$T=$T572)*($S:$S=_xlfn.MINIFS($S:$S,$T:$T,"="&amp;$T572)),"")))))&amp;"",IF(O572="","",""))&amp;""</f>
        <v/>
      </c>
      <c r="AW572" t="str" cm="1">
        <f t="array" ref="AW572">IFERROR(IF(P572&lt;&gt;"",P572,IF(OR($S572="",$T572=""),"",IF($T572&lt;&gt;"",_xlfn._xlws.FILTER(P:P,($BT:$BT=$BT572)*($I:$I=$I572)*($T:$T=$T572)*($S:$S=_xlfn.MINIFS($S:$S,$T:$T,"="&amp;$T572)),""))))&amp;"",IF(P572="","",""))&amp;""</f>
        <v/>
      </c>
      <c r="AX572" t="str" cm="1">
        <f t="array" ref="AX572">IFERROR(IF(Q572&lt;&gt;"",Q572,IF(OR($S572="",$T572=""),"",IF($T572&lt;&gt;"",_xlfn._xlws.FILTER(Q:Q,($BT:$BT=$BT572)*($I:$I=$I572)*($T:$T=$T572)*($S:$S=_xlfn.MINIFS($S:$S,$T:$T,"="&amp;$T572)),""))))&amp;"",IF(Q572="","",""))&amp;""</f>
        <v/>
      </c>
      <c r="AY572" t="str" cm="1">
        <f t="array" ref="AY572">IFERROR(IF(R572&lt;&gt;"",R572,IF(OR($S572="",$T572=""),"",IF($T572&lt;&gt;"",_xlfn._xlws.FILTER(R:R,($BT:$BT=$BT572)*($I:$I=$I572)*($T:$T=$T572)*($S:$S=_xlfn.MINIFS($S:$S,$T:$T,"="&amp;$T572)),""))))&amp;"",IF(R572="","",""))&amp;""</f>
        <v/>
      </c>
      <c r="AZ572" s="6">
        <f t="shared" si="908"/>
        <v>49</v>
      </c>
      <c r="BA572">
        <f t="shared" ref="BA572:BC572" si="991">BA571</f>
        <v>18991</v>
      </c>
      <c r="BB572" t="str">
        <f t="shared" si="991"/>
        <v>Triple J</v>
      </c>
      <c r="BC572" t="str">
        <f t="shared" si="991"/>
        <v>Velodrome</v>
      </c>
      <c r="BD572" t="str">
        <f t="shared" si="910"/>
        <v>Zone_Entry_Exit</v>
      </c>
      <c r="BE572" t="str">
        <f t="shared" si="911"/>
        <v>Zone_Entry</v>
      </c>
      <c r="BF572" t="str">
        <f t="shared" si="912"/>
        <v>ZoneEntry-Pass</v>
      </c>
      <c r="BG572" t="str">
        <f t="shared" si="894"/>
        <v>s</v>
      </c>
      <c r="BH572" cm="1">
        <f t="array" aca="1" ref="BH572" ca="1">IFERROR(_xlfn._xlws.FILTER(shifts!A:A,(shifts!B:B=events!Z572)*(shifts!AG:AG&gt;=events!BJ572)*(shifts!AH:AH&lt;=events!BK572)),BH571)</f>
        <v>18</v>
      </c>
      <c r="BI572" s="15">
        <f t="shared" si="913"/>
        <v>0</v>
      </c>
      <c r="BJ572">
        <f t="shared" si="914"/>
        <v>579</v>
      </c>
      <c r="BK572">
        <f t="shared" si="915"/>
        <v>579</v>
      </c>
      <c r="BL572" s="15">
        <f>SUMIFS(BI$2:BI572,K$2:K572,"=Intermission")+SUMIFS(BI$2:BI572,K$2:K572,"=Timeout")</f>
        <v>0</v>
      </c>
      <c r="BM572">
        <f t="shared" si="916"/>
        <v>0</v>
      </c>
      <c r="BN572" s="19">
        <f t="shared" si="917"/>
        <v>501</v>
      </c>
      <c r="BO572">
        <f t="shared" si="918"/>
        <v>496</v>
      </c>
      <c r="BP572" s="17">
        <f t="shared" si="919"/>
        <v>501</v>
      </c>
      <c r="BQ572" t="str">
        <f t="shared" si="920"/>
        <v>event_team_player_2</v>
      </c>
      <c r="BR572">
        <f>COUNTIFS(S$3:S572,"="&amp;S572,AH$3:AH572,"="&amp;AH572)</f>
        <v>2</v>
      </c>
      <c r="BS572" t="str">
        <f>IFERROR(VLOOKUP(BA572&amp;BT572&amp;X572,game_rosters!U:W,3,FALSE),"")</f>
        <v>P100002</v>
      </c>
      <c r="BT572" t="str">
        <f t="shared" si="921"/>
        <v>Velodrome</v>
      </c>
    </row>
    <row r="573" spans="1:72" x14ac:dyDescent="0.2">
      <c r="A573">
        <f t="shared" si="896"/>
        <v>1</v>
      </c>
      <c r="E573" s="4"/>
      <c r="F573" s="45"/>
      <c r="G573" s="4"/>
      <c r="H573" s="47" t="s">
        <v>750</v>
      </c>
      <c r="I573" s="26">
        <v>91</v>
      </c>
      <c r="J573" s="26" t="s">
        <v>368</v>
      </c>
      <c r="K573" t="s">
        <v>13</v>
      </c>
      <c r="N573" t="str">
        <f t="shared" si="940"/>
        <v/>
      </c>
      <c r="O573" t="s">
        <v>149</v>
      </c>
      <c r="Q573" t="str">
        <f t="shared" si="934"/>
        <v/>
      </c>
      <c r="S573">
        <f>IF(A573=1,MAX($S$2:$S572)+1,IF(OR($I573&lt;&gt;"",A573="x"),$S572,""))</f>
        <v>286</v>
      </c>
      <c r="T573" t="str">
        <f>IF(D573=1,MAX($T$2:$T572)+1,IF(S573=S572,$T572,IF(D573="x",T572,IF(D572="x","",""))))</f>
        <v/>
      </c>
      <c r="U573" t="str">
        <f>IF(B573=1,MAX($U$2:$U572)+1,IF(AND($T573&lt;&gt;"",$T573=$T572),$U572,IF(B573="x",U572,"")))</f>
        <v/>
      </c>
      <c r="V573" t="str">
        <f>IF(C573=1,MAX($V$2:$V572)+1,IF(AND($T573&lt;&gt;"",$T573=$T572),$U572,IF(C573="x",V572,"")))</f>
        <v/>
      </c>
      <c r="W573" t="str" cm="1">
        <f t="array" ref="W573">IFERROR(_xlfn._xlws.FILTER(game_rosters!AC:AC,(game_rosters!J:J=events!X573)*(K573&lt;&gt;"")),"")</f>
        <v>a</v>
      </c>
      <c r="X573" cm="1">
        <f t="array" ref="X573">IF($I573&lt;&gt;"",$I573,INDEX($I$1:$I573,ROW()-COUNTIFS($T$1:$T573,"="&amp;$T573,$S$1:$S573,"&lt;"&amp;$S573)))</f>
        <v>91</v>
      </c>
      <c r="Y573" cm="1">
        <f t="array" ref="Y573">IFERROR(IF(_xlfn._xlws.FILTER(game_rosters!$J:$J,(game_rosters!$G:$G=events!$AM573)*(game_rosters!$J:$J=events!$X573))&gt;0,1,""),"")</f>
        <v>1</v>
      </c>
      <c r="Z573" s="6">
        <f t="shared" si="897"/>
        <v>1</v>
      </c>
      <c r="AA573">
        <f t="shared" si="898"/>
        <v>1286</v>
      </c>
      <c r="AB573" t="str">
        <f t="shared" si="899"/>
        <v/>
      </c>
      <c r="AC573">
        <f t="shared" si="900"/>
        <v>1286</v>
      </c>
      <c r="AD573" t="str">
        <f t="shared" si="901"/>
        <v>9</v>
      </c>
      <c r="AE573" t="str">
        <f t="shared" si="902"/>
        <v>39</v>
      </c>
      <c r="AF573" t="str">
        <f t="shared" si="903"/>
        <v>9</v>
      </c>
      <c r="AG573" t="str">
        <f t="shared" si="904"/>
        <v>35</v>
      </c>
      <c r="AH573" t="str">
        <f t="shared" si="947"/>
        <v>e</v>
      </c>
      <c r="AI573" t="str">
        <f t="shared" si="989"/>
        <v>o</v>
      </c>
      <c r="AJ573" t="str">
        <f t="shared" si="989"/>
        <v>o</v>
      </c>
      <c r="AK573" t="str">
        <f t="shared" si="949"/>
        <v>d</v>
      </c>
      <c r="AL573" t="str">
        <f t="shared" si="950"/>
        <v>o</v>
      </c>
      <c r="AM573" t="str">
        <f t="shared" si="905"/>
        <v>Away</v>
      </c>
      <c r="AN573" t="str">
        <f t="shared" si="951"/>
        <v>a</v>
      </c>
      <c r="AO573" t="str">
        <f t="shared" si="952"/>
        <v>d</v>
      </c>
      <c r="AP573" t="str">
        <f t="shared" si="953"/>
        <v>o</v>
      </c>
      <c r="AQ573" t="str">
        <f>IF(AM573&lt;&gt;"",AM573,IF($AC573=#REF!,#REF!,""))</f>
        <v>Away</v>
      </c>
      <c r="AR573" t="str">
        <f t="shared" si="954"/>
        <v>a</v>
      </c>
      <c r="AS573" t="str">
        <f t="shared" si="955"/>
        <v>Offensive</v>
      </c>
      <c r="AT573" t="str">
        <f t="shared" si="906"/>
        <v/>
      </c>
      <c r="AU573" t="str">
        <f t="shared" si="907"/>
        <v/>
      </c>
      <c r="AV573" t="str" cm="1">
        <f t="array" ref="AV573">IFERROR(IF(O573&lt;&gt;"",O573,IF(OR($S573="",$T573=""),"",IF(O573&lt;&gt;"",O573,IF($T573&lt;&gt;"",_xlfn._xlws.FILTER(O:O,($BT:$BT=$BT573)*($I:$I=$I573)*($T:$T=$T573)*($S:$S=_xlfn.MINIFS($S:$S,$T:$T,"="&amp;$T573)),"")))))&amp;"",IF(O573="","",""))&amp;""</f>
        <v>Delay</v>
      </c>
      <c r="AW573" t="str" cm="1">
        <f t="array" ref="AW573">IFERROR(IF(P573&lt;&gt;"",P573,IF(OR($S573="",$T573=""),"",IF($T573&lt;&gt;"",_xlfn._xlws.FILTER(P:P,($BT:$BT=$BT573)*($I:$I=$I573)*($T:$T=$T573)*($S:$S=_xlfn.MINIFS($S:$S,$T:$T,"="&amp;$T573)),""))))&amp;"",IF(P573="","",""))&amp;""</f>
        <v/>
      </c>
      <c r="AX573" t="str" cm="1">
        <f t="array" ref="AX573">IFERROR(IF(Q573&lt;&gt;"",Q573,IF(OR($S573="",$T573=""),"",IF($T573&lt;&gt;"",_xlfn._xlws.FILTER(Q:Q,($BT:$BT=$BT573)*($I:$I=$I573)*($T:$T=$T573)*($S:$S=_xlfn.MINIFS($S:$S,$T:$T,"="&amp;$T573)),""))))&amp;"",IF(Q573="","",""))&amp;""</f>
        <v/>
      </c>
      <c r="AY573" t="str" cm="1">
        <f t="array" ref="AY573">IFERROR(IF(R573&lt;&gt;"",R573,IF(OR($S573="",$T573=""),"",IF($T573&lt;&gt;"",_xlfn._xlws.FILTER(R:R,($BT:$BT=$BT573)*($I:$I=$I573)*($T:$T=$T573)*($S:$S=_xlfn.MINIFS($S:$S,$T:$T,"="&amp;$T573)),""))))&amp;"",IF(R573="","",""))&amp;""</f>
        <v/>
      </c>
      <c r="AZ573" s="6">
        <f t="shared" si="908"/>
        <v>49</v>
      </c>
      <c r="BA573">
        <f t="shared" ref="BA573:BC573" si="992">BA572</f>
        <v>18991</v>
      </c>
      <c r="BB573" t="str">
        <f t="shared" si="992"/>
        <v>Triple J</v>
      </c>
      <c r="BC573" t="str">
        <f t="shared" si="992"/>
        <v>Velodrome</v>
      </c>
      <c r="BD573" t="str">
        <f t="shared" si="910"/>
        <v>Possession</v>
      </c>
      <c r="BE573" t="str">
        <f t="shared" si="911"/>
        <v/>
      </c>
      <c r="BF573" t="str">
        <f t="shared" si="912"/>
        <v/>
      </c>
      <c r="BG573" t="str">
        <f t="shared" si="894"/>
        <v/>
      </c>
      <c r="BH573" cm="1">
        <f t="array" aca="1" ref="BH573" ca="1">IFERROR(_xlfn._xlws.FILTER(shifts!A:A,(shifts!B:B=events!Z573)*(shifts!AG:AG&gt;=events!BJ573)*(shifts!AH:AH&lt;=events!BK573)),BH572)</f>
        <v>18</v>
      </c>
      <c r="BI573" s="15">
        <f t="shared" si="913"/>
        <v>4</v>
      </c>
      <c r="BJ573">
        <f t="shared" si="914"/>
        <v>579</v>
      </c>
      <c r="BK573">
        <f t="shared" si="915"/>
        <v>575</v>
      </c>
      <c r="BL573" s="15">
        <f>SUMIFS(BI$2:BI573,K$2:K573,"=Intermission")+SUMIFS(BI$2:BI573,K$2:K573,"=Timeout")</f>
        <v>0</v>
      </c>
      <c r="BM573">
        <f t="shared" si="916"/>
        <v>0</v>
      </c>
      <c r="BN573" s="19">
        <f t="shared" si="917"/>
        <v>501</v>
      </c>
      <c r="BO573">
        <f t="shared" si="918"/>
        <v>496</v>
      </c>
      <c r="BP573" s="17">
        <f t="shared" si="919"/>
        <v>505</v>
      </c>
      <c r="BQ573" t="str">
        <f t="shared" si="920"/>
        <v>event_team_player_1</v>
      </c>
      <c r="BR573">
        <f>COUNTIFS(S$3:S573,"="&amp;S573,AH$3:AH573,"="&amp;AH573)</f>
        <v>1</v>
      </c>
      <c r="BS573" t="str">
        <f>IFERROR(VLOOKUP(BA573&amp;BT573&amp;X573,game_rosters!U:W,3,FALSE),"")</f>
        <v>P100002</v>
      </c>
      <c r="BT573" t="str">
        <f t="shared" si="921"/>
        <v>Velodrome</v>
      </c>
    </row>
    <row r="574" spans="1:72" x14ac:dyDescent="0.2">
      <c r="A574" t="str">
        <f t="shared" si="896"/>
        <v/>
      </c>
      <c r="E574" s="4"/>
      <c r="F574" s="45"/>
      <c r="G574" s="4"/>
      <c r="H574" s="47"/>
      <c r="I574" s="26">
        <v>57</v>
      </c>
      <c r="J574" s="26" t="str">
        <f t="shared" si="925"/>
        <v/>
      </c>
      <c r="N574" t="str">
        <f t="shared" si="940"/>
        <v/>
      </c>
      <c r="Q574" t="str">
        <f t="shared" si="934"/>
        <v/>
      </c>
      <c r="S574">
        <f>IF(A574=1,MAX($S$2:$S573)+1,IF(OR($I574&lt;&gt;"",A574="x"),$S573,""))</f>
        <v>286</v>
      </c>
      <c r="T574" t="str">
        <f>IF(D574=1,MAX($T$2:$T573)+1,IF(S574=S573,$T573,IF(D574="x",T573,IF(D573="x","",""))))</f>
        <v/>
      </c>
      <c r="U574" t="str">
        <f>IF(B574=1,MAX($U$2:$U573)+1,IF(AND($T574&lt;&gt;"",$T574=$T573),$U573,IF(B574="x",U573,"")))</f>
        <v/>
      </c>
      <c r="V574" t="str">
        <f>IF(C574=1,MAX($V$2:$V573)+1,IF(AND($T574&lt;&gt;"",$T574=$T573),$U573,IF(C574="x",V573,"")))</f>
        <v/>
      </c>
      <c r="W574" t="str" cm="1">
        <f t="array" ref="W574">IFERROR(_xlfn._xlws.FILTER(game_rosters!AC:AC,(game_rosters!J:J=events!X574)*(K574&lt;&gt;"")),"")</f>
        <v/>
      </c>
      <c r="X574" cm="1">
        <f t="array" ref="X574">IF($I574&lt;&gt;"",$I574,INDEX($I$1:$I574,ROW()-COUNTIFS($T$1:$T574,"="&amp;$T574,$S$1:$S574,"&lt;"&amp;$S574)))</f>
        <v>57</v>
      </c>
      <c r="Y574" t="str" cm="1">
        <f t="array" ref="Y574">IFERROR(IF(_xlfn._xlws.FILTER(game_rosters!$J:$J,(game_rosters!$G:$G=events!$AM574)*(game_rosters!$J:$J=events!$X574))&gt;0,1,""),"")</f>
        <v/>
      </c>
      <c r="Z574" s="6">
        <f t="shared" si="897"/>
        <v>1</v>
      </c>
      <c r="AA574">
        <f t="shared" si="898"/>
        <v>1286</v>
      </c>
      <c r="AB574" t="str">
        <f t="shared" si="899"/>
        <v/>
      </c>
      <c r="AC574">
        <f t="shared" si="900"/>
        <v>1286</v>
      </c>
      <c r="AD574" t="str">
        <f t="shared" si="901"/>
        <v>9</v>
      </c>
      <c r="AE574" t="str">
        <f t="shared" si="902"/>
        <v>39</v>
      </c>
      <c r="AF574" t="str">
        <f t="shared" si="903"/>
        <v>9</v>
      </c>
      <c r="AG574" t="str">
        <f t="shared" si="904"/>
        <v>35</v>
      </c>
      <c r="AH574" t="str">
        <f t="shared" si="947"/>
        <v>o</v>
      </c>
      <c r="AI574" t="str">
        <f t="shared" si="989"/>
        <v>o</v>
      </c>
      <c r="AJ574" t="str">
        <f t="shared" si="989"/>
        <v>o</v>
      </c>
      <c r="AK574" t="str">
        <f t="shared" si="949"/>
        <v/>
      </c>
      <c r="AL574" t="str">
        <f t="shared" si="950"/>
        <v/>
      </c>
      <c r="AM574" t="str">
        <f t="shared" si="905"/>
        <v>Away</v>
      </c>
      <c r="AN574" t="str">
        <f t="shared" si="951"/>
        <v>a</v>
      </c>
      <c r="AO574" t="str">
        <f t="shared" si="952"/>
        <v>d</v>
      </c>
      <c r="AP574" t="str">
        <f t="shared" si="953"/>
        <v>o</v>
      </c>
      <c r="AQ574" t="str">
        <f>IF(AM574&lt;&gt;"",AM574,IF($AC574=#REF!,#REF!,""))</f>
        <v>Away</v>
      </c>
      <c r="AR574" t="str">
        <f t="shared" si="954"/>
        <v>a</v>
      </c>
      <c r="AS574" t="str">
        <f t="shared" si="955"/>
        <v>Defensive</v>
      </c>
      <c r="AT574" t="str">
        <f t="shared" si="906"/>
        <v/>
      </c>
      <c r="AU574" t="str">
        <f t="shared" si="907"/>
        <v/>
      </c>
      <c r="AV574" t="str" cm="1">
        <f t="array" ref="AV574">IFERROR(IF(O574&lt;&gt;"",O574,IF(OR($S574="",$T574=""),"",IF(O574&lt;&gt;"",O574,IF($T574&lt;&gt;"",_xlfn._xlws.FILTER(O:O,($BT:$BT=$BT574)*($I:$I=$I574)*($T:$T=$T574)*($S:$S=_xlfn.MINIFS($S:$S,$T:$T,"="&amp;$T574)),"")))))&amp;"",IF(O574="","",""))&amp;""</f>
        <v/>
      </c>
      <c r="AW574" t="str" cm="1">
        <f t="array" ref="AW574">IFERROR(IF(P574&lt;&gt;"",P574,IF(OR($S574="",$T574=""),"",IF($T574&lt;&gt;"",_xlfn._xlws.FILTER(P:P,($BT:$BT=$BT574)*($I:$I=$I574)*($T:$T=$T574)*($S:$S=_xlfn.MINIFS($S:$S,$T:$T,"="&amp;$T574)),""))))&amp;"",IF(P574="","",""))&amp;""</f>
        <v/>
      </c>
      <c r="AX574" t="str" cm="1">
        <f t="array" ref="AX574">IFERROR(IF(Q574&lt;&gt;"",Q574,IF(OR($S574="",$T574=""),"",IF($T574&lt;&gt;"",_xlfn._xlws.FILTER(Q:Q,($BT:$BT=$BT574)*($I:$I=$I574)*($T:$T=$T574)*($S:$S=_xlfn.MINIFS($S:$S,$T:$T,"="&amp;$T574)),""))))&amp;"",IF(Q574="","",""))&amp;""</f>
        <v/>
      </c>
      <c r="AY574" t="str" cm="1">
        <f t="array" ref="AY574">IFERROR(IF(R574&lt;&gt;"",R574,IF(OR($S574="",$T574=""),"",IF($T574&lt;&gt;"",_xlfn._xlws.FILTER(R:R,($BT:$BT=$BT574)*($I:$I=$I574)*($T:$T=$T574)*($S:$S=_xlfn.MINIFS($S:$S,$T:$T,"="&amp;$T574)),""))))&amp;"",IF(R574="","",""))&amp;""</f>
        <v/>
      </c>
      <c r="AZ574" s="6">
        <f t="shared" si="908"/>
        <v>49</v>
      </c>
      <c r="BA574">
        <f t="shared" ref="BA574:BC574" si="993">BA573</f>
        <v>18991</v>
      </c>
      <c r="BB574" t="str">
        <f t="shared" si="993"/>
        <v>Triple J</v>
      </c>
      <c r="BC574" t="str">
        <f t="shared" si="993"/>
        <v>Velodrome</v>
      </c>
      <c r="BD574" t="str">
        <f t="shared" si="910"/>
        <v>Possession</v>
      </c>
      <c r="BE574" t="str">
        <f t="shared" si="911"/>
        <v/>
      </c>
      <c r="BF574" t="str">
        <f t="shared" si="912"/>
        <v/>
      </c>
      <c r="BG574" t="str">
        <f t="shared" si="894"/>
        <v/>
      </c>
      <c r="BH574" cm="1">
        <f t="array" aca="1" ref="BH574" ca="1">IFERROR(_xlfn._xlws.FILTER(shifts!A:A,(shifts!B:B=events!Z574)*(shifts!AG:AG&gt;=events!BJ574)*(shifts!AH:AH&lt;=events!BK574)),BH573)</f>
        <v>18</v>
      </c>
      <c r="BI574" s="15">
        <f t="shared" si="913"/>
        <v>4</v>
      </c>
      <c r="BJ574">
        <f t="shared" si="914"/>
        <v>579</v>
      </c>
      <c r="BK574">
        <f t="shared" si="915"/>
        <v>575</v>
      </c>
      <c r="BL574" s="15">
        <f>SUMIFS(BI$2:BI574,K$2:K574,"=Intermission")+SUMIFS(BI$2:BI574,K$2:K574,"=Timeout")</f>
        <v>0</v>
      </c>
      <c r="BM574">
        <f t="shared" si="916"/>
        <v>0</v>
      </c>
      <c r="BN574" s="19">
        <f t="shared" si="917"/>
        <v>501</v>
      </c>
      <c r="BO574">
        <f t="shared" si="918"/>
        <v>496</v>
      </c>
      <c r="BP574" s="17">
        <f t="shared" si="919"/>
        <v>505</v>
      </c>
      <c r="BQ574" t="str">
        <f t="shared" si="920"/>
        <v>opp_team_player_1</v>
      </c>
      <c r="BR574">
        <f>COUNTIFS(S$3:S574,"="&amp;S574,AH$3:AH574,"="&amp;AH574)</f>
        <v>1</v>
      </c>
      <c r="BS574" t="str">
        <f>IFERROR(VLOOKUP(BA574&amp;BT574&amp;X574,game_rosters!U:W,3,FALSE),"")</f>
        <v>P100007</v>
      </c>
      <c r="BT574" t="str">
        <f t="shared" si="921"/>
        <v>Triple J</v>
      </c>
    </row>
    <row r="575" spans="1:72" x14ac:dyDescent="0.2">
      <c r="A575">
        <f t="shared" si="896"/>
        <v>1</v>
      </c>
      <c r="E575" s="4"/>
      <c r="F575" s="45"/>
      <c r="G575" s="4"/>
      <c r="H575" s="47"/>
      <c r="I575" s="26">
        <v>91</v>
      </c>
      <c r="J575" s="26" t="s">
        <v>368</v>
      </c>
      <c r="K575" t="s">
        <v>7</v>
      </c>
      <c r="L575" t="s">
        <v>192</v>
      </c>
      <c r="M575" t="s">
        <v>68</v>
      </c>
      <c r="N575" t="str">
        <f t="shared" si="940"/>
        <v>u</v>
      </c>
      <c r="Q575" t="str">
        <f t="shared" si="934"/>
        <v/>
      </c>
      <c r="R575" s="26">
        <v>1</v>
      </c>
      <c r="S575">
        <f>IF(A575=1,MAX($S$2:$S574)+1,IF(OR($I575&lt;&gt;"",A575="x"),$S574,""))</f>
        <v>287</v>
      </c>
      <c r="T575" t="str">
        <f>IF(D575=1,MAX($T$2:$T574)+1,IF(S575=S574,$T574,IF(D575="x",T574,IF(D574="x","",""))))</f>
        <v/>
      </c>
      <c r="U575" t="str">
        <f>IF(B575=1,MAX($U$2:$U574)+1,IF(AND($T575&lt;&gt;"",$T575=$T574),$U574,IF(B575="x",U574,"")))</f>
        <v/>
      </c>
      <c r="V575" t="str">
        <f>IF(C575=1,MAX($V$2:$V574)+1,IF(AND($T575&lt;&gt;"",$T575=$T574),$U574,IF(C575="x",V574,"")))</f>
        <v/>
      </c>
      <c r="W575" t="str" cm="1">
        <f t="array" ref="W575">IFERROR(_xlfn._xlws.FILTER(game_rosters!AC:AC,(game_rosters!J:J=events!X575)*(K575&lt;&gt;"")),"")</f>
        <v>a</v>
      </c>
      <c r="X575" cm="1">
        <f t="array" ref="X575">IF($I575&lt;&gt;"",$I575,INDEX($I$1:$I575,ROW()-COUNTIFS($T$1:$T575,"="&amp;$T575,$S$1:$S575,"&lt;"&amp;$S575)))</f>
        <v>91</v>
      </c>
      <c r="Y575" cm="1">
        <f t="array" ref="Y575">IFERROR(IF(_xlfn._xlws.FILTER(game_rosters!$J:$J,(game_rosters!$G:$G=events!$AM575)*(game_rosters!$J:$J=events!$X575))&gt;0,1,""),"")</f>
        <v>1</v>
      </c>
      <c r="Z575" s="6">
        <f t="shared" si="897"/>
        <v>1</v>
      </c>
      <c r="AA575">
        <f t="shared" si="898"/>
        <v>1287</v>
      </c>
      <c r="AB575" t="str">
        <f t="shared" si="899"/>
        <v/>
      </c>
      <c r="AC575">
        <f t="shared" si="900"/>
        <v>1287</v>
      </c>
      <c r="AD575" t="str">
        <f t="shared" si="901"/>
        <v>9</v>
      </c>
      <c r="AE575" t="str">
        <f t="shared" si="902"/>
        <v>35</v>
      </c>
      <c r="AF575" t="str">
        <f t="shared" si="903"/>
        <v/>
      </c>
      <c r="AG575" t="str">
        <f t="shared" si="904"/>
        <v/>
      </c>
      <c r="AH575" t="str">
        <f t="shared" si="947"/>
        <v>e</v>
      </c>
      <c r="AI575" t="str">
        <f t="shared" si="989"/>
        <v>o</v>
      </c>
      <c r="AJ575" t="str">
        <f t="shared" si="989"/>
        <v>o</v>
      </c>
      <c r="AK575" t="str">
        <f t="shared" si="949"/>
        <v>d</v>
      </c>
      <c r="AL575" t="str">
        <f t="shared" si="950"/>
        <v>o</v>
      </c>
      <c r="AM575" t="str">
        <f t="shared" si="905"/>
        <v>Away</v>
      </c>
      <c r="AN575" t="str">
        <f t="shared" si="951"/>
        <v>a</v>
      </c>
      <c r="AO575" t="str">
        <f t="shared" si="952"/>
        <v>d</v>
      </c>
      <c r="AP575" t="str">
        <f t="shared" si="953"/>
        <v>o</v>
      </c>
      <c r="AQ575" t="str">
        <f>IF(AM575&lt;&gt;"",AM575,IF($AC575=#REF!,#REF!,""))</f>
        <v>Away</v>
      </c>
      <c r="AR575" t="str">
        <f t="shared" si="954"/>
        <v>a</v>
      </c>
      <c r="AS575" t="str">
        <f t="shared" si="955"/>
        <v>Offensive</v>
      </c>
      <c r="AT575" t="str">
        <f t="shared" si="906"/>
        <v/>
      </c>
      <c r="AU575" t="str">
        <f t="shared" si="907"/>
        <v/>
      </c>
      <c r="AV575" t="str" cm="1">
        <f t="array" ref="AV575">IFERROR(IF(O575&lt;&gt;"",O575,IF(OR($S575="",$T575=""),"",IF(O575&lt;&gt;"",O575,IF($T575&lt;&gt;"",_xlfn._xlws.FILTER(O:O,($BT:$BT=$BT575)*($I:$I=$I575)*($T:$T=$T575)*($S:$S=_xlfn.MINIFS($S:$S,$T:$T,"="&amp;$T575)),"")))))&amp;"",IF(O575="","",""))&amp;""</f>
        <v/>
      </c>
      <c r="AW575" t="str" cm="1">
        <f t="array" ref="AW575">IFERROR(IF(P575&lt;&gt;"",P575,IF(OR($S575="",$T575=""),"",IF($T575&lt;&gt;"",_xlfn._xlws.FILTER(P:P,($BT:$BT=$BT575)*($I:$I=$I575)*($T:$T=$T575)*($S:$S=_xlfn.MINIFS($S:$S,$T:$T,"="&amp;$T575)),""))))&amp;"",IF(P575="","",""))&amp;""</f>
        <v/>
      </c>
      <c r="AX575" t="str" cm="1">
        <f t="array" ref="AX575">IFERROR(IF(Q575&lt;&gt;"",Q575,IF(OR($S575="",$T575=""),"",IF($T575&lt;&gt;"",_xlfn._xlws.FILTER(Q:Q,($BT:$BT=$BT575)*($I:$I=$I575)*($T:$T=$T575)*($S:$S=_xlfn.MINIFS($S:$S,$T:$T,"="&amp;$T575)),""))))&amp;"",IF(Q575="","",""))&amp;""</f>
        <v/>
      </c>
      <c r="AY575" t="str" cm="1">
        <f t="array" ref="AY575">IFERROR(IF(R575&lt;&gt;"",R575,IF(OR($S575="",$T575=""),"",IF($T575&lt;&gt;"",_xlfn._xlws.FILTER(R:R,($BT:$BT=$BT575)*($I:$I=$I575)*($T:$T=$T575)*($S:$S=_xlfn.MINIFS($S:$S,$T:$T,"="&amp;$T575)),""))))&amp;"",IF(R575="","",""))&amp;""</f>
        <v>1</v>
      </c>
      <c r="AZ575" s="6">
        <f t="shared" si="908"/>
        <v>49</v>
      </c>
      <c r="BA575">
        <f t="shared" ref="BA575:BC575" si="994">BA574</f>
        <v>18991</v>
      </c>
      <c r="BB575" t="str">
        <f t="shared" si="994"/>
        <v>Triple J</v>
      </c>
      <c r="BC575" t="str">
        <f t="shared" si="994"/>
        <v>Velodrome</v>
      </c>
      <c r="BD575" t="str">
        <f t="shared" si="910"/>
        <v>Pass</v>
      </c>
      <c r="BE575" t="str">
        <f t="shared" si="911"/>
        <v>Pass_Deflected</v>
      </c>
      <c r="BF575" t="str">
        <f t="shared" si="912"/>
        <v>Pass-Forehand</v>
      </c>
      <c r="BG575" t="str">
        <f t="shared" si="894"/>
        <v>u</v>
      </c>
      <c r="BH575" cm="1">
        <f t="array" aca="1" ref="BH575" ca="1">IFERROR(_xlfn._xlws.FILTER(shifts!A:A,(shifts!B:B=events!Z575)*(shifts!AG:AG&gt;=events!BJ575)*(shifts!AH:AH&lt;=events!BK575)),BH574)</f>
        <v>18</v>
      </c>
      <c r="BI575" s="15">
        <f t="shared" si="913"/>
        <v>0</v>
      </c>
      <c r="BJ575">
        <f t="shared" si="914"/>
        <v>575</v>
      </c>
      <c r="BK575">
        <f t="shared" si="915"/>
        <v>575</v>
      </c>
      <c r="BL575" s="15">
        <f>SUMIFS(BI$2:BI575,K$2:K575,"=Intermission")+SUMIFS(BI$2:BI575,K$2:K575,"=Timeout")</f>
        <v>0</v>
      </c>
      <c r="BM575">
        <f t="shared" si="916"/>
        <v>0</v>
      </c>
      <c r="BN575" s="19">
        <f t="shared" si="917"/>
        <v>505</v>
      </c>
      <c r="BO575">
        <f t="shared" si="918"/>
        <v>500</v>
      </c>
      <c r="BP575" s="17">
        <f t="shared" si="919"/>
        <v>505</v>
      </c>
      <c r="BQ575" t="str">
        <f t="shared" si="920"/>
        <v>event_team_player_1</v>
      </c>
      <c r="BR575">
        <f>COUNTIFS(S$3:S575,"="&amp;S575,AH$3:AH575,"="&amp;AH575)</f>
        <v>1</v>
      </c>
      <c r="BS575" t="str">
        <f>IFERROR(VLOOKUP(BA575&amp;BT575&amp;X575,game_rosters!U:W,3,FALSE),"")</f>
        <v>P100002</v>
      </c>
      <c r="BT575" t="str">
        <f t="shared" si="921"/>
        <v>Velodrome</v>
      </c>
    </row>
    <row r="576" spans="1:72" x14ac:dyDescent="0.2">
      <c r="A576" t="str">
        <f t="shared" si="896"/>
        <v/>
      </c>
      <c r="E576" s="4"/>
      <c r="F576" s="45"/>
      <c r="G576" s="4"/>
      <c r="H576" s="47"/>
      <c r="I576" s="26">
        <v>24</v>
      </c>
      <c r="J576" s="26" t="str">
        <f t="shared" si="925"/>
        <v/>
      </c>
      <c r="N576" t="str">
        <f t="shared" si="940"/>
        <v/>
      </c>
      <c r="Q576" t="str">
        <f t="shared" si="934"/>
        <v/>
      </c>
      <c r="S576">
        <f>IF(A576=1,MAX($S$2:$S575)+1,IF(OR($I576&lt;&gt;"",A576="x"),$S575,""))</f>
        <v>287</v>
      </c>
      <c r="T576" t="str">
        <f>IF(D576=1,MAX($T$2:$T575)+1,IF(S576=S575,$T575,IF(D576="x",T575,IF(D575="x","",""))))</f>
        <v/>
      </c>
      <c r="U576" t="str">
        <f>IF(B576=1,MAX($U$2:$U575)+1,IF(AND($T576&lt;&gt;"",$T576=$T575),$U575,IF(B576="x",U575,"")))</f>
        <v/>
      </c>
      <c r="V576" t="str">
        <f>IF(C576=1,MAX($V$2:$V575)+1,IF(AND($T576&lt;&gt;"",$T576=$T575),$U575,IF(C576="x",V575,"")))</f>
        <v/>
      </c>
      <c r="W576" t="str" cm="1">
        <f t="array" ref="W576">IFERROR(_xlfn._xlws.FILTER(game_rosters!AC:AC,(game_rosters!J:J=events!X576)*(K576&lt;&gt;"")),"")</f>
        <v/>
      </c>
      <c r="X576" cm="1">
        <f t="array" ref="X576">IF($I576&lt;&gt;"",$I576,INDEX($I$1:$I576,ROW()-COUNTIFS($T$1:$T576,"="&amp;$T576,$S$1:$S576,"&lt;"&amp;$S576)))</f>
        <v>24</v>
      </c>
      <c r="Y576" cm="1">
        <f t="array" ref="Y576">IFERROR(IF(_xlfn._xlws.FILTER(game_rosters!$J:$J,(game_rosters!$G:$G=events!$AM576)*(game_rosters!$J:$J=events!$X576))&gt;0,1,""),"")</f>
        <v>1</v>
      </c>
      <c r="Z576" s="6">
        <f t="shared" si="897"/>
        <v>1</v>
      </c>
      <c r="AA576">
        <f t="shared" si="898"/>
        <v>1287</v>
      </c>
      <c r="AB576" t="str">
        <f t="shared" si="899"/>
        <v/>
      </c>
      <c r="AC576">
        <f t="shared" si="900"/>
        <v>1287</v>
      </c>
      <c r="AD576" t="str">
        <f t="shared" si="901"/>
        <v>9</v>
      </c>
      <c r="AE576" t="str">
        <f t="shared" si="902"/>
        <v>35</v>
      </c>
      <c r="AF576" t="str">
        <f t="shared" si="903"/>
        <v/>
      </c>
      <c r="AG576" t="str">
        <f t="shared" si="904"/>
        <v/>
      </c>
      <c r="AH576" t="str">
        <f t="shared" si="947"/>
        <v>e</v>
      </c>
      <c r="AI576" t="str">
        <f t="shared" si="989"/>
        <v>o</v>
      </c>
      <c r="AJ576" t="str">
        <f t="shared" si="989"/>
        <v>o</v>
      </c>
      <c r="AK576" t="str">
        <f t="shared" si="949"/>
        <v/>
      </c>
      <c r="AL576" t="str">
        <f t="shared" si="950"/>
        <v/>
      </c>
      <c r="AM576" t="str">
        <f t="shared" si="905"/>
        <v>Away</v>
      </c>
      <c r="AN576" t="str">
        <f t="shared" si="951"/>
        <v>a</v>
      </c>
      <c r="AO576" t="str">
        <f t="shared" si="952"/>
        <v>d</v>
      </c>
      <c r="AP576" t="str">
        <f t="shared" si="953"/>
        <v>o</v>
      </c>
      <c r="AQ576" t="str">
        <f>IF(AM576&lt;&gt;"",AM576,IF($AC576=#REF!,#REF!,""))</f>
        <v>Away</v>
      </c>
      <c r="AR576" t="str">
        <f t="shared" si="954"/>
        <v>a</v>
      </c>
      <c r="AS576" t="str">
        <f t="shared" si="955"/>
        <v>Offensive</v>
      </c>
      <c r="AT576" t="str">
        <f t="shared" si="906"/>
        <v/>
      </c>
      <c r="AU576" t="str">
        <f t="shared" si="907"/>
        <v/>
      </c>
      <c r="AV576" t="str" cm="1">
        <f t="array" ref="AV576">IFERROR(IF(O576&lt;&gt;"",O576,IF(OR($S576="",$T576=""),"",IF(O576&lt;&gt;"",O576,IF($T576&lt;&gt;"",_xlfn._xlws.FILTER(O:O,($BT:$BT=$BT576)*($I:$I=$I576)*($T:$T=$T576)*($S:$S=_xlfn.MINIFS($S:$S,$T:$T,"="&amp;$T576)),"")))))&amp;"",IF(O576="","",""))&amp;""</f>
        <v/>
      </c>
      <c r="AW576" t="str" cm="1">
        <f t="array" ref="AW576">IFERROR(IF(P576&lt;&gt;"",P576,IF(OR($S576="",$T576=""),"",IF($T576&lt;&gt;"",_xlfn._xlws.FILTER(P:P,($BT:$BT=$BT576)*($I:$I=$I576)*($T:$T=$T576)*($S:$S=_xlfn.MINIFS($S:$S,$T:$T,"="&amp;$T576)),""))))&amp;"",IF(P576="","",""))&amp;""</f>
        <v/>
      </c>
      <c r="AX576" t="str" cm="1">
        <f t="array" ref="AX576">IFERROR(IF(Q576&lt;&gt;"",Q576,IF(OR($S576="",$T576=""),"",IF($T576&lt;&gt;"",_xlfn._xlws.FILTER(Q:Q,($BT:$BT=$BT576)*($I:$I=$I576)*($T:$T=$T576)*($S:$S=_xlfn.MINIFS($S:$S,$T:$T,"="&amp;$T576)),""))))&amp;"",IF(Q576="","",""))&amp;""</f>
        <v/>
      </c>
      <c r="AY576" t="str" cm="1">
        <f t="array" ref="AY576">IFERROR(IF(R576&lt;&gt;"",R576,IF(OR($S576="",$T576=""),"",IF($T576&lt;&gt;"",_xlfn._xlws.FILTER(R:R,($BT:$BT=$BT576)*($I:$I=$I576)*($T:$T=$T576)*($S:$S=_xlfn.MINIFS($S:$S,$T:$T,"="&amp;$T576)),""))))&amp;"",IF(R576="","",""))&amp;""</f>
        <v/>
      </c>
      <c r="AZ576" s="6">
        <f t="shared" si="908"/>
        <v>49</v>
      </c>
      <c r="BA576">
        <f t="shared" ref="BA576:BC576" si="995">BA575</f>
        <v>18991</v>
      </c>
      <c r="BB576" t="str">
        <f t="shared" si="995"/>
        <v>Triple J</v>
      </c>
      <c r="BC576" t="str">
        <f t="shared" si="995"/>
        <v>Velodrome</v>
      </c>
      <c r="BD576" t="str">
        <f t="shared" si="910"/>
        <v>Pass</v>
      </c>
      <c r="BE576" t="str">
        <f t="shared" si="911"/>
        <v>Pass_Deflected</v>
      </c>
      <c r="BF576" t="str">
        <f t="shared" si="912"/>
        <v>Pass-Forehand</v>
      </c>
      <c r="BG576" t="str">
        <f t="shared" si="894"/>
        <v>u</v>
      </c>
      <c r="BH576" cm="1">
        <f t="array" aca="1" ref="BH576" ca="1">IFERROR(_xlfn._xlws.FILTER(shifts!A:A,(shifts!B:B=events!Z576)*(shifts!AG:AG&gt;=events!BJ576)*(shifts!AH:AH&lt;=events!BK576)),BH575)</f>
        <v>18</v>
      </c>
      <c r="BI576" s="15">
        <f t="shared" si="913"/>
        <v>0</v>
      </c>
      <c r="BJ576">
        <f t="shared" si="914"/>
        <v>575</v>
      </c>
      <c r="BK576">
        <f t="shared" si="915"/>
        <v>575</v>
      </c>
      <c r="BL576" s="15">
        <f>SUMIFS(BI$2:BI576,K$2:K576,"=Intermission")+SUMIFS(BI$2:BI576,K$2:K576,"=Timeout")</f>
        <v>0</v>
      </c>
      <c r="BM576">
        <f t="shared" si="916"/>
        <v>0</v>
      </c>
      <c r="BN576" s="19">
        <f t="shared" si="917"/>
        <v>505</v>
      </c>
      <c r="BO576">
        <f t="shared" si="918"/>
        <v>500</v>
      </c>
      <c r="BP576" s="17">
        <f t="shared" si="919"/>
        <v>505</v>
      </c>
      <c r="BQ576" t="str">
        <f t="shared" si="920"/>
        <v>event_team_player_2</v>
      </c>
      <c r="BR576">
        <f>COUNTIFS(S$3:S576,"="&amp;S576,AH$3:AH576,"="&amp;AH576)</f>
        <v>2</v>
      </c>
      <c r="BS576" t="str">
        <f>IFERROR(VLOOKUP(BA576&amp;BT576&amp;X576,game_rosters!U:W,3,FALSE),"")</f>
        <v>P100230</v>
      </c>
      <c r="BT576" t="str">
        <f t="shared" si="921"/>
        <v>Velodrome</v>
      </c>
    </row>
    <row r="577" spans="1:72" x14ac:dyDescent="0.2">
      <c r="A577" t="str">
        <f t="shared" si="896"/>
        <v/>
      </c>
      <c r="E577" s="4"/>
      <c r="F577" s="45"/>
      <c r="G577" s="4"/>
      <c r="H577" s="47"/>
      <c r="I577" s="26">
        <v>57</v>
      </c>
      <c r="J577" s="26" t="str">
        <f t="shared" si="925"/>
        <v/>
      </c>
      <c r="N577" t="str">
        <f t="shared" si="940"/>
        <v/>
      </c>
      <c r="Q577" t="str">
        <f t="shared" si="934"/>
        <v/>
      </c>
      <c r="R577" s="26">
        <v>1</v>
      </c>
      <c r="S577">
        <f>IF(A577=1,MAX($S$2:$S576)+1,IF(OR($I577&lt;&gt;"",A577="x"),$S576,""))</f>
        <v>287</v>
      </c>
      <c r="T577" t="str">
        <f>IF(D577=1,MAX($T$2:$T576)+1,IF(S577=S576,$T576,IF(D577="x",T576,IF(D576="x","",""))))</f>
        <v/>
      </c>
      <c r="U577" t="str">
        <f>IF(B577=1,MAX($U$2:$U576)+1,IF(AND($T577&lt;&gt;"",$T577=$T576),$U576,IF(B577="x",U576,"")))</f>
        <v/>
      </c>
      <c r="V577" t="str">
        <f>IF(C577=1,MAX($V$2:$V576)+1,IF(AND($T577&lt;&gt;"",$T577=$T576),$U576,IF(C577="x",V576,"")))</f>
        <v/>
      </c>
      <c r="W577" t="str" cm="1">
        <f t="array" ref="W577">IFERROR(_xlfn._xlws.FILTER(game_rosters!AC:AC,(game_rosters!J:J=events!X577)*(K577&lt;&gt;"")),"")</f>
        <v/>
      </c>
      <c r="X577" cm="1">
        <f t="array" ref="X577">IF($I577&lt;&gt;"",$I577,INDEX($I$1:$I577,ROW()-COUNTIFS($T$1:$T577,"="&amp;$T577,$S$1:$S577,"&lt;"&amp;$S577)))</f>
        <v>57</v>
      </c>
      <c r="Y577" t="str" cm="1">
        <f t="array" ref="Y577">IFERROR(IF(_xlfn._xlws.FILTER(game_rosters!$J:$J,(game_rosters!$G:$G=events!$AM577)*(game_rosters!$J:$J=events!$X577))&gt;0,1,""),"")</f>
        <v/>
      </c>
      <c r="Z577" s="6">
        <f t="shared" si="897"/>
        <v>1</v>
      </c>
      <c r="AA577">
        <f t="shared" si="898"/>
        <v>1287</v>
      </c>
      <c r="AB577" t="str">
        <f t="shared" si="899"/>
        <v/>
      </c>
      <c r="AC577">
        <f t="shared" si="900"/>
        <v>1287</v>
      </c>
      <c r="AD577" t="str">
        <f t="shared" si="901"/>
        <v>9</v>
      </c>
      <c r="AE577" t="str">
        <f t="shared" si="902"/>
        <v>35</v>
      </c>
      <c r="AF577" t="str">
        <f t="shared" si="903"/>
        <v/>
      </c>
      <c r="AG577" t="str">
        <f t="shared" si="904"/>
        <v/>
      </c>
      <c r="AH577" t="str">
        <f t="shared" si="947"/>
        <v>o</v>
      </c>
      <c r="AI577" t="str">
        <f t="shared" si="989"/>
        <v>o</v>
      </c>
      <c r="AJ577" t="str">
        <f t="shared" si="989"/>
        <v>o</v>
      </c>
      <c r="AK577" t="str">
        <f t="shared" si="949"/>
        <v/>
      </c>
      <c r="AL577" t="str">
        <f t="shared" si="950"/>
        <v/>
      </c>
      <c r="AM577" t="str">
        <f t="shared" si="905"/>
        <v>Away</v>
      </c>
      <c r="AN577" t="str">
        <f t="shared" si="951"/>
        <v>a</v>
      </c>
      <c r="AO577" t="str">
        <f t="shared" si="952"/>
        <v>d</v>
      </c>
      <c r="AP577" t="str">
        <f t="shared" si="953"/>
        <v>o</v>
      </c>
      <c r="AQ577" t="str">
        <f>IF(AM577&lt;&gt;"",AM577,IF($AC577=#REF!,#REF!,""))</f>
        <v>Away</v>
      </c>
      <c r="AR577" t="str">
        <f t="shared" si="954"/>
        <v>a</v>
      </c>
      <c r="AS577" t="str">
        <f t="shared" si="955"/>
        <v>Defensive</v>
      </c>
      <c r="AT577" t="str">
        <f t="shared" si="906"/>
        <v/>
      </c>
      <c r="AU577" t="str">
        <f t="shared" si="907"/>
        <v/>
      </c>
      <c r="AV577" t="str" cm="1">
        <f t="array" ref="AV577">IFERROR(IF(O577&lt;&gt;"",O577,IF(OR($S577="",$T577=""),"",IF(O577&lt;&gt;"",O577,IF($T577&lt;&gt;"",_xlfn._xlws.FILTER(O:O,($BT:$BT=$BT577)*($I:$I=$I577)*($T:$T=$T577)*($S:$S=_xlfn.MINIFS($S:$S,$T:$T,"="&amp;$T577)),"")))))&amp;"",IF(O577="","",""))&amp;""</f>
        <v/>
      </c>
      <c r="AW577" t="str" cm="1">
        <f t="array" ref="AW577">IFERROR(IF(P577&lt;&gt;"",P577,IF(OR($S577="",$T577=""),"",IF($T577&lt;&gt;"",_xlfn._xlws.FILTER(P:P,($BT:$BT=$BT577)*($I:$I=$I577)*($T:$T=$T577)*($S:$S=_xlfn.MINIFS($S:$S,$T:$T,"="&amp;$T577)),""))))&amp;"",IF(P577="","",""))&amp;""</f>
        <v/>
      </c>
      <c r="AX577" t="str" cm="1">
        <f t="array" ref="AX577">IFERROR(IF(Q577&lt;&gt;"",Q577,IF(OR($S577="",$T577=""),"",IF($T577&lt;&gt;"",_xlfn._xlws.FILTER(Q:Q,($BT:$BT=$BT577)*($I:$I=$I577)*($T:$T=$T577)*($S:$S=_xlfn.MINIFS($S:$S,$T:$T,"="&amp;$T577)),""))))&amp;"",IF(Q577="","",""))&amp;""</f>
        <v/>
      </c>
      <c r="AY577" t="str" cm="1">
        <f t="array" ref="AY577">IFERROR(IF(R577&lt;&gt;"",R577,IF(OR($S577="",$T577=""),"",IF($T577&lt;&gt;"",_xlfn._xlws.FILTER(R:R,($BT:$BT=$BT577)*($I:$I=$I577)*($T:$T=$T577)*($S:$S=_xlfn.MINIFS($S:$S,$T:$T,"="&amp;$T577)),""))))&amp;"",IF(R577="","",""))&amp;""</f>
        <v>1</v>
      </c>
      <c r="AZ577" s="6">
        <f t="shared" si="908"/>
        <v>49</v>
      </c>
      <c r="BA577">
        <f t="shared" ref="BA577:BC577" si="996">BA576</f>
        <v>18991</v>
      </c>
      <c r="BB577" t="str">
        <f t="shared" si="996"/>
        <v>Triple J</v>
      </c>
      <c r="BC577" t="str">
        <f t="shared" si="996"/>
        <v>Velodrome</v>
      </c>
      <c r="BD577" t="str">
        <f t="shared" si="910"/>
        <v>Pass</v>
      </c>
      <c r="BE577" t="str">
        <f t="shared" si="911"/>
        <v>Pass_Deflected</v>
      </c>
      <c r="BF577" t="str">
        <f t="shared" si="912"/>
        <v>Pass-Forehand</v>
      </c>
      <c r="BG577" t="str">
        <f t="shared" si="894"/>
        <v>u</v>
      </c>
      <c r="BH577" cm="1">
        <f t="array" aca="1" ref="BH577" ca="1">IFERROR(_xlfn._xlws.FILTER(shifts!A:A,(shifts!B:B=events!Z577)*(shifts!AG:AG&gt;=events!BJ577)*(shifts!AH:AH&lt;=events!BK577)),BH576)</f>
        <v>18</v>
      </c>
      <c r="BI577" s="15">
        <f t="shared" si="913"/>
        <v>0</v>
      </c>
      <c r="BJ577">
        <f t="shared" si="914"/>
        <v>575</v>
      </c>
      <c r="BK577">
        <f t="shared" si="915"/>
        <v>575</v>
      </c>
      <c r="BL577" s="15">
        <f>SUMIFS(BI$2:BI577,K$2:K577,"=Intermission")+SUMIFS(BI$2:BI577,K$2:K577,"=Timeout")</f>
        <v>0</v>
      </c>
      <c r="BM577">
        <f t="shared" si="916"/>
        <v>0</v>
      </c>
      <c r="BN577" s="19">
        <f t="shared" si="917"/>
        <v>505</v>
      </c>
      <c r="BO577">
        <f t="shared" si="918"/>
        <v>500</v>
      </c>
      <c r="BP577" s="17">
        <f t="shared" si="919"/>
        <v>505</v>
      </c>
      <c r="BQ577" t="str">
        <f t="shared" si="920"/>
        <v>opp_team_player_1</v>
      </c>
      <c r="BR577">
        <f>COUNTIFS(S$3:S577,"="&amp;S577,AH$3:AH577,"="&amp;AH577)</f>
        <v>1</v>
      </c>
      <c r="BS577" t="str">
        <f>IFERROR(VLOOKUP(BA577&amp;BT577&amp;X577,game_rosters!U:W,3,FALSE),"")</f>
        <v>P100007</v>
      </c>
      <c r="BT577" t="str">
        <f t="shared" si="921"/>
        <v>Triple J</v>
      </c>
    </row>
    <row r="578" spans="1:72" x14ac:dyDescent="0.2">
      <c r="A578" t="str">
        <f t="shared" si="896"/>
        <v/>
      </c>
      <c r="E578" s="4"/>
      <c r="F578" s="45"/>
      <c r="G578" s="4"/>
      <c r="H578" s="47"/>
      <c r="I578" s="26">
        <v>10</v>
      </c>
      <c r="J578" s="26" t="str">
        <f t="shared" si="925"/>
        <v/>
      </c>
      <c r="N578" t="str">
        <f t="shared" si="940"/>
        <v/>
      </c>
      <c r="O578" t="s">
        <v>782</v>
      </c>
      <c r="Q578" t="str">
        <f t="shared" si="934"/>
        <v/>
      </c>
      <c r="S578">
        <f>IF(A578=1,MAX($S$2:$S577)+1,IF(OR($I578&lt;&gt;"",A578="x"),$S577,""))</f>
        <v>287</v>
      </c>
      <c r="T578" t="str">
        <f>IF(D578=1,MAX($T$2:$T577)+1,IF(S578=S577,$T577,IF(D578="x",T577,IF(D577="x","",""))))</f>
        <v/>
      </c>
      <c r="U578" t="str">
        <f>IF(B578=1,MAX($U$2:$U577)+1,IF(AND($T578&lt;&gt;"",$T578=$T577),$U577,IF(B578="x",U577,"")))</f>
        <v/>
      </c>
      <c r="V578" t="str">
        <f>IF(C578=1,MAX($V$2:$V577)+1,IF(AND($T578&lt;&gt;"",$T578=$T577),$U577,IF(C578="x",V577,"")))</f>
        <v/>
      </c>
      <c r="W578" t="str" cm="1">
        <f t="array" ref="W578">IFERROR(_xlfn._xlws.FILTER(game_rosters!AC:AC,(game_rosters!J:J=events!X578)*(K578&lt;&gt;"")),"")</f>
        <v/>
      </c>
      <c r="X578" cm="1">
        <f t="array" ref="X578">IF($I578&lt;&gt;"",$I578,INDEX($I$1:$I578,ROW()-COUNTIFS($T$1:$T578,"="&amp;$T578,$S$1:$S578,"&lt;"&amp;$S578)))</f>
        <v>10</v>
      </c>
      <c r="Y578" t="str" cm="1">
        <f t="array" ref="Y578">IFERROR(IF(_xlfn._xlws.FILTER(game_rosters!$J:$J,(game_rosters!$G:$G=events!$AM578)*(game_rosters!$J:$J=events!$X578))&gt;0,1,""),"")</f>
        <v/>
      </c>
      <c r="Z578" s="6">
        <f t="shared" si="897"/>
        <v>1</v>
      </c>
      <c r="AA578">
        <f t="shared" si="898"/>
        <v>1287</v>
      </c>
      <c r="AB578" t="str">
        <f t="shared" si="899"/>
        <v/>
      </c>
      <c r="AC578">
        <f t="shared" si="900"/>
        <v>1287</v>
      </c>
      <c r="AD578" t="str">
        <f t="shared" si="901"/>
        <v>9</v>
      </c>
      <c r="AE578" t="str">
        <f t="shared" si="902"/>
        <v>35</v>
      </c>
      <c r="AF578" t="str">
        <f t="shared" si="903"/>
        <v/>
      </c>
      <c r="AG578" t="str">
        <f t="shared" si="904"/>
        <v/>
      </c>
      <c r="AH578" t="str">
        <f t="shared" si="947"/>
        <v>o</v>
      </c>
      <c r="AI578" t="str">
        <f t="shared" si="989"/>
        <v>o</v>
      </c>
      <c r="AJ578" t="str">
        <f t="shared" si="989"/>
        <v>o</v>
      </c>
      <c r="AK578" t="str">
        <f t="shared" si="949"/>
        <v/>
      </c>
      <c r="AL578" t="str">
        <f t="shared" si="950"/>
        <v/>
      </c>
      <c r="AM578" t="str">
        <f t="shared" si="905"/>
        <v>Away</v>
      </c>
      <c r="AN578" t="str">
        <f t="shared" si="951"/>
        <v>a</v>
      </c>
      <c r="AO578" t="str">
        <f t="shared" si="952"/>
        <v>d</v>
      </c>
      <c r="AP578" t="str">
        <f t="shared" si="953"/>
        <v>o</v>
      </c>
      <c r="AQ578" t="str">
        <f>IF(AM578&lt;&gt;"",AM578,IF($AC578=#REF!,#REF!,""))</f>
        <v>Away</v>
      </c>
      <c r="AR578" t="str">
        <f t="shared" si="954"/>
        <v>a</v>
      </c>
      <c r="AS578" t="str">
        <f t="shared" si="955"/>
        <v>Defensive</v>
      </c>
      <c r="AT578" t="str">
        <f t="shared" si="906"/>
        <v/>
      </c>
      <c r="AU578" t="str">
        <f t="shared" si="907"/>
        <v/>
      </c>
      <c r="AV578" t="str" cm="1">
        <f t="array" ref="AV578">IFERROR(IF(O578&lt;&gt;"",O578,IF(OR($S578="",$T578=""),"",IF(O578&lt;&gt;"",O578,IF($T578&lt;&gt;"",_xlfn._xlws.FILTER(O:O,($BT:$BT=$BT578)*($I:$I=$I578)*($T:$T=$T578)*($S:$S=_xlfn.MINIFS($S:$S,$T:$T,"="&amp;$T578)),"")))))&amp;"",IF(O578="","",""))&amp;""</f>
        <v>PassDeflected</v>
      </c>
      <c r="AW578" t="str" cm="1">
        <f t="array" ref="AW578">IFERROR(IF(P578&lt;&gt;"",P578,IF(OR($S578="",$T578=""),"",IF($T578&lt;&gt;"",_xlfn._xlws.FILTER(P:P,($BT:$BT=$BT578)*($I:$I=$I578)*($T:$T=$T578)*($S:$S=_xlfn.MINIFS($S:$S,$T:$T,"="&amp;$T578)),""))))&amp;"",IF(P578="","",""))&amp;""</f>
        <v/>
      </c>
      <c r="AX578" t="str" cm="1">
        <f t="array" ref="AX578">IFERROR(IF(Q578&lt;&gt;"",Q578,IF(OR($S578="",$T578=""),"",IF($T578&lt;&gt;"",_xlfn._xlws.FILTER(Q:Q,($BT:$BT=$BT578)*($I:$I=$I578)*($T:$T=$T578)*($S:$S=_xlfn.MINIFS($S:$S,$T:$T,"="&amp;$T578)),""))))&amp;"",IF(Q578="","",""))&amp;""</f>
        <v/>
      </c>
      <c r="AY578" t="str" cm="1">
        <f t="array" ref="AY578">IFERROR(IF(R578&lt;&gt;"",R578,IF(OR($S578="",$T578=""),"",IF($T578&lt;&gt;"",_xlfn._xlws.FILTER(R:R,($BT:$BT=$BT578)*($I:$I=$I578)*($T:$T=$T578)*($S:$S=_xlfn.MINIFS($S:$S,$T:$T,"="&amp;$T578)),""))))&amp;"",IF(R578="","",""))&amp;""</f>
        <v/>
      </c>
      <c r="AZ578" s="6">
        <f t="shared" si="908"/>
        <v>49</v>
      </c>
      <c r="BA578">
        <f t="shared" ref="BA578:BC578" si="997">BA577</f>
        <v>18991</v>
      </c>
      <c r="BB578" t="str">
        <f t="shared" si="997"/>
        <v>Triple J</v>
      </c>
      <c r="BC578" t="str">
        <f t="shared" si="997"/>
        <v>Velodrome</v>
      </c>
      <c r="BD578" t="str">
        <f t="shared" si="910"/>
        <v>Pass</v>
      </c>
      <c r="BE578" t="str">
        <f t="shared" si="911"/>
        <v>Pass_Deflected</v>
      </c>
      <c r="BF578" t="str">
        <f t="shared" si="912"/>
        <v>Pass-Forehand</v>
      </c>
      <c r="BG578" t="str">
        <f t="shared" si="894"/>
        <v>u</v>
      </c>
      <c r="BH578" cm="1">
        <f t="array" aca="1" ref="BH578" ca="1">IFERROR(_xlfn._xlws.FILTER(shifts!A:A,(shifts!B:B=events!Z578)*(shifts!AG:AG&gt;=events!BJ578)*(shifts!AH:AH&lt;=events!BK578)),BH577)</f>
        <v>18</v>
      </c>
      <c r="BI578" s="15">
        <f t="shared" si="913"/>
        <v>0</v>
      </c>
      <c r="BJ578">
        <f t="shared" si="914"/>
        <v>575</v>
      </c>
      <c r="BK578">
        <f t="shared" si="915"/>
        <v>575</v>
      </c>
      <c r="BL578" s="15">
        <f>SUMIFS(BI$2:BI578,K$2:K578,"=Intermission")+SUMIFS(BI$2:BI578,K$2:K578,"=Timeout")</f>
        <v>0</v>
      </c>
      <c r="BM578">
        <f t="shared" si="916"/>
        <v>0</v>
      </c>
      <c r="BN578" s="19">
        <f t="shared" si="917"/>
        <v>505</v>
      </c>
      <c r="BO578">
        <f t="shared" si="918"/>
        <v>500</v>
      </c>
      <c r="BP578" s="17">
        <f t="shared" si="919"/>
        <v>505</v>
      </c>
      <c r="BQ578" t="str">
        <f t="shared" si="920"/>
        <v>opp_team_player_2</v>
      </c>
      <c r="BR578">
        <f>COUNTIFS(S$3:S578,"="&amp;S578,AH$3:AH578,"="&amp;AH578)</f>
        <v>2</v>
      </c>
      <c r="BS578" t="str">
        <f>IFERROR(VLOOKUP(BA578&amp;BT578&amp;X578,game_rosters!U:W,3,FALSE),"")</f>
        <v>P100183</v>
      </c>
      <c r="BT578" t="str">
        <f t="shared" si="921"/>
        <v>Triple J</v>
      </c>
    </row>
    <row r="579" spans="1:72" x14ac:dyDescent="0.2">
      <c r="A579">
        <f t="shared" si="896"/>
        <v>1</v>
      </c>
      <c r="E579" s="4"/>
      <c r="F579" s="45" t="s">
        <v>1048</v>
      </c>
      <c r="G579" s="4"/>
      <c r="H579" s="47"/>
      <c r="I579" s="26">
        <v>22</v>
      </c>
      <c r="J579" s="26" t="s">
        <v>368</v>
      </c>
      <c r="K579" t="s">
        <v>13</v>
      </c>
      <c r="L579" t="s">
        <v>587</v>
      </c>
      <c r="N579" t="s">
        <v>594</v>
      </c>
      <c r="O579" t="s">
        <v>907</v>
      </c>
      <c r="Q579" t="str">
        <f t="shared" si="934"/>
        <v>u</v>
      </c>
      <c r="S579">
        <f>IF(A579=1,MAX($S$2:$S578)+1,IF(OR($I579&lt;&gt;"",A579="x"),$S578,""))</f>
        <v>288</v>
      </c>
      <c r="T579" t="str">
        <f>IF(D579=1,MAX($T$2:$T578)+1,IF(S579=S578,$T578,IF(D579="x",T578,IF(D578="x","",""))))</f>
        <v/>
      </c>
      <c r="U579" t="str">
        <f>IF(B579=1,MAX($U$2:$U578)+1,IF(AND($T579&lt;&gt;"",$T579=$T578),$U578,IF(B579="x",U578,"")))</f>
        <v/>
      </c>
      <c r="V579" t="str">
        <f>IF(C579=1,MAX($V$2:$V578)+1,IF(AND($T579&lt;&gt;"",$T579=$T578),$U578,IF(C579="x",V578,"")))</f>
        <v/>
      </c>
      <c r="W579" t="str" cm="1">
        <f t="array" ref="W579">IFERROR(_xlfn._xlws.FILTER(game_rosters!AC:AC,(game_rosters!J:J=events!X579)*(K579&lt;&gt;"")),"")</f>
        <v>a</v>
      </c>
      <c r="X579" cm="1">
        <f t="array" ref="X579">IF($I579&lt;&gt;"",$I579,INDEX($I$1:$I579,ROW()-COUNTIFS($T$1:$T579,"="&amp;$T579,$S$1:$S579,"&lt;"&amp;$S579)))</f>
        <v>22</v>
      </c>
      <c r="Y579" cm="1">
        <f t="array" ref="Y579">IFERROR(IF(_xlfn._xlws.FILTER(game_rosters!$J:$J,(game_rosters!$G:$G=events!$AM579)*(game_rosters!$J:$J=events!$X579))&gt;0,1,""),"")</f>
        <v>1</v>
      </c>
      <c r="Z579" s="6">
        <f t="shared" si="897"/>
        <v>1</v>
      </c>
      <c r="AA579">
        <f t="shared" si="898"/>
        <v>1288</v>
      </c>
      <c r="AB579" t="str">
        <f t="shared" si="899"/>
        <v/>
      </c>
      <c r="AC579">
        <f t="shared" si="900"/>
        <v>1288</v>
      </c>
      <c r="AD579" t="str">
        <f t="shared" si="901"/>
        <v>9</v>
      </c>
      <c r="AE579" t="str">
        <f t="shared" si="902"/>
        <v>32</v>
      </c>
      <c r="AF579" t="str">
        <f t="shared" si="903"/>
        <v/>
      </c>
      <c r="AG579" t="str">
        <f t="shared" si="904"/>
        <v/>
      </c>
      <c r="AH579" t="str">
        <f t="shared" si="947"/>
        <v>e</v>
      </c>
      <c r="AI579" t="str">
        <f t="shared" si="989"/>
        <v>o</v>
      </c>
      <c r="AJ579" t="str">
        <f t="shared" si="989"/>
        <v>o</v>
      </c>
      <c r="AK579" t="str">
        <f t="shared" si="949"/>
        <v>d</v>
      </c>
      <c r="AL579" t="str">
        <f t="shared" si="950"/>
        <v>o</v>
      </c>
      <c r="AM579" t="str">
        <f t="shared" si="905"/>
        <v>Away</v>
      </c>
      <c r="AN579" t="str">
        <f t="shared" si="951"/>
        <v>a</v>
      </c>
      <c r="AO579" t="str">
        <f t="shared" si="952"/>
        <v>d</v>
      </c>
      <c r="AP579" t="str">
        <f t="shared" si="953"/>
        <v>o</v>
      </c>
      <c r="AQ579" t="str">
        <f>IF(AM579&lt;&gt;"",AM579,IF($AC579=#REF!,#REF!,""))</f>
        <v>Away</v>
      </c>
      <c r="AR579" t="str">
        <f t="shared" si="954"/>
        <v>a</v>
      </c>
      <c r="AS579" t="str">
        <f t="shared" si="955"/>
        <v>Offensive</v>
      </c>
      <c r="AT579" t="str">
        <f t="shared" si="906"/>
        <v/>
      </c>
      <c r="AU579" t="str">
        <f t="shared" si="907"/>
        <v/>
      </c>
      <c r="AV579" t="str" cm="1">
        <f t="array" ref="AV579">IFERROR(IF(O579&lt;&gt;"",O579,IF(OR($S579="",$T579=""),"",IF(O579&lt;&gt;"",O579,IF($T579&lt;&gt;"",_xlfn._xlws.FILTER(O:O,($BT:$BT=$BT579)*($I:$I=$I579)*($T:$T=$T579)*($S:$S=_xlfn.MINIFS($S:$S,$T:$T,"="&amp;$T579)),"")))))&amp;"",IF(O579="","",""))&amp;""</f>
        <v>PuckRecoveryRetreivalPass</v>
      </c>
      <c r="AW579" t="str" cm="1">
        <f t="array" ref="AW579">IFERROR(IF(P579&lt;&gt;"",P579,IF(OR($S579="",$T579=""),"",IF($T579&lt;&gt;"",_xlfn._xlws.FILTER(P:P,($BT:$BT=$BT579)*($I:$I=$I579)*($T:$T=$T579)*($S:$S=_xlfn.MINIFS($S:$S,$T:$T,"="&amp;$T579)),""))))&amp;"",IF(P579="","",""))&amp;""</f>
        <v/>
      </c>
      <c r="AX579" t="str" cm="1">
        <f t="array" ref="AX579">IFERROR(IF(Q579&lt;&gt;"",Q579,IF(OR($S579="",$T579=""),"",IF($T579&lt;&gt;"",_xlfn._xlws.FILTER(Q:Q,($BT:$BT=$BT579)*($I:$I=$I579)*($T:$T=$T579)*($S:$S=_xlfn.MINIFS($S:$S,$T:$T,"="&amp;$T579)),""))))&amp;"",IF(Q579="","",""))&amp;""</f>
        <v>u</v>
      </c>
      <c r="AY579" t="str" cm="1">
        <f t="array" ref="AY579">IFERROR(IF(R579&lt;&gt;"",R579,IF(OR($S579="",$T579=""),"",IF($T579&lt;&gt;"",_xlfn._xlws.FILTER(R:R,($BT:$BT=$BT579)*($I:$I=$I579)*($T:$T=$T579)*($S:$S=_xlfn.MINIFS($S:$S,$T:$T,"="&amp;$T579)),""))))&amp;"",IF(R579="","",""))&amp;""</f>
        <v/>
      </c>
      <c r="AZ579" s="6">
        <f t="shared" si="908"/>
        <v>49</v>
      </c>
      <c r="BA579">
        <f t="shared" ref="BA579:BC579" si="998">BA578</f>
        <v>18991</v>
      </c>
      <c r="BB579" t="str">
        <f t="shared" si="998"/>
        <v>Triple J</v>
      </c>
      <c r="BC579" t="str">
        <f t="shared" si="998"/>
        <v>Velodrome</v>
      </c>
      <c r="BD579" t="str">
        <f t="shared" si="910"/>
        <v>Possession</v>
      </c>
      <c r="BE579" t="str">
        <f t="shared" si="911"/>
        <v>PuckRecovery</v>
      </c>
      <c r="BF579" t="str">
        <f t="shared" si="912"/>
        <v/>
      </c>
      <c r="BG579" t="str">
        <f t="shared" ref="BG579:BG642" si="999">IF($N579&lt;&gt;"",$N579,IF($S579=$S578,BG578,""))</f>
        <v>u</v>
      </c>
      <c r="BH579" cm="1">
        <f t="array" aca="1" ref="BH579" ca="1">IFERROR(_xlfn._xlws.FILTER(shifts!A:A,(shifts!B:B=events!Z579)*(shifts!AG:AG&gt;=events!BJ579)*(shifts!AH:AH&lt;=events!BK579)),BH578)</f>
        <v>18</v>
      </c>
      <c r="BI579" s="15">
        <f t="shared" si="913"/>
        <v>0</v>
      </c>
      <c r="BJ579">
        <f t="shared" si="914"/>
        <v>572</v>
      </c>
      <c r="BK579">
        <f t="shared" si="915"/>
        <v>572</v>
      </c>
      <c r="BL579" s="15">
        <f>SUMIFS(BI$2:BI579,K$2:K579,"=Intermission")+SUMIFS(BI$2:BI579,K$2:K579,"=Timeout")</f>
        <v>0</v>
      </c>
      <c r="BM579">
        <f t="shared" si="916"/>
        <v>0</v>
      </c>
      <c r="BN579" s="19">
        <f t="shared" si="917"/>
        <v>508</v>
      </c>
      <c r="BO579">
        <f t="shared" si="918"/>
        <v>503</v>
      </c>
      <c r="BP579" s="17">
        <f t="shared" si="919"/>
        <v>508</v>
      </c>
      <c r="BQ579" t="str">
        <f t="shared" si="920"/>
        <v>event_team_player_1</v>
      </c>
      <c r="BR579">
        <f>COUNTIFS(S$3:S579,"="&amp;S579,AH$3:AH579,"="&amp;AH579)</f>
        <v>1</v>
      </c>
      <c r="BS579" t="str">
        <f>IFERROR(VLOOKUP(BA579&amp;BT579&amp;X579,game_rosters!U:W,3,FALSE),"")</f>
        <v>P100108</v>
      </c>
      <c r="BT579" t="str">
        <f t="shared" si="921"/>
        <v>Velodrome</v>
      </c>
    </row>
    <row r="580" spans="1:72" x14ac:dyDescent="0.2">
      <c r="A580">
        <f t="shared" si="896"/>
        <v>1</v>
      </c>
      <c r="E580" s="4"/>
      <c r="F580" s="45"/>
      <c r="G580" s="4"/>
      <c r="H580" s="47"/>
      <c r="I580" s="26">
        <v>22</v>
      </c>
      <c r="J580" s="26" t="s">
        <v>368</v>
      </c>
      <c r="K580" t="s">
        <v>9</v>
      </c>
      <c r="L580" t="s">
        <v>173</v>
      </c>
      <c r="M580" t="s">
        <v>391</v>
      </c>
      <c r="N580" t="str">
        <f t="shared" si="940"/>
        <v>u</v>
      </c>
      <c r="O580" t="s">
        <v>576</v>
      </c>
      <c r="Q580" t="str">
        <f t="shared" si="934"/>
        <v>u</v>
      </c>
      <c r="S580">
        <f>IF(A580=1,MAX($S$2:$S579)+1,IF(OR($I580&lt;&gt;"",A580="x"),$S579,""))</f>
        <v>289</v>
      </c>
      <c r="T580" t="str">
        <f>IF(D580=1,MAX($T$2:$T579)+1,IF(S580=S579,$T579,IF(D580="x",T579,IF(D579="x","",""))))</f>
        <v/>
      </c>
      <c r="U580" t="str">
        <f>IF(B580=1,MAX($U$2:$U579)+1,IF(AND($T580&lt;&gt;"",$T580=$T579),$U579,IF(B580="x",U579,"")))</f>
        <v/>
      </c>
      <c r="V580" t="str">
        <f>IF(C580=1,MAX($V$2:$V579)+1,IF(AND($T580&lt;&gt;"",$T580=$T579),$U579,IF(C580="x",V579,"")))</f>
        <v/>
      </c>
      <c r="W580" t="str" cm="1">
        <f t="array" ref="W580">IFERROR(_xlfn._xlws.FILTER(game_rosters!AC:AC,(game_rosters!J:J=events!X580)*(K580&lt;&gt;"")),"")</f>
        <v>a</v>
      </c>
      <c r="X580" cm="1">
        <f t="array" ref="X580">IF($I580&lt;&gt;"",$I580,INDEX($I$1:$I580,ROW()-COUNTIFS($T$1:$T580,"="&amp;$T580,$S$1:$S580,"&lt;"&amp;$S580)))</f>
        <v>22</v>
      </c>
      <c r="Y580" cm="1">
        <f t="array" ref="Y580">IFERROR(IF(_xlfn._xlws.FILTER(game_rosters!$J:$J,(game_rosters!$G:$G=events!$AM580)*(game_rosters!$J:$J=events!$X580))&gt;0,1,""),"")</f>
        <v>1</v>
      </c>
      <c r="Z580" s="6">
        <f t="shared" si="897"/>
        <v>1</v>
      </c>
      <c r="AA580">
        <f t="shared" si="898"/>
        <v>1289</v>
      </c>
      <c r="AB580" t="str">
        <f t="shared" si="899"/>
        <v/>
      </c>
      <c r="AC580">
        <f t="shared" si="900"/>
        <v>1289</v>
      </c>
      <c r="AD580" t="str">
        <f t="shared" si="901"/>
        <v>9</v>
      </c>
      <c r="AE580" t="str">
        <f t="shared" si="902"/>
        <v>32</v>
      </c>
      <c r="AF580" t="str">
        <f t="shared" si="903"/>
        <v/>
      </c>
      <c r="AG580" t="str">
        <f t="shared" si="904"/>
        <v/>
      </c>
      <c r="AH580" t="str">
        <f t="shared" si="947"/>
        <v>e</v>
      </c>
      <c r="AI580" t="str">
        <f t="shared" si="989"/>
        <v>o</v>
      </c>
      <c r="AJ580" t="str">
        <f t="shared" si="989"/>
        <v>o</v>
      </c>
      <c r="AK580" t="str">
        <f t="shared" si="949"/>
        <v>d</v>
      </c>
      <c r="AL580" t="str">
        <f t="shared" si="950"/>
        <v>o</v>
      </c>
      <c r="AM580" t="str">
        <f t="shared" si="905"/>
        <v>Away</v>
      </c>
      <c r="AN580" t="str">
        <f t="shared" si="951"/>
        <v>a</v>
      </c>
      <c r="AO580" t="str">
        <f t="shared" si="952"/>
        <v>d</v>
      </c>
      <c r="AP580" t="str">
        <f t="shared" si="953"/>
        <v>o</v>
      </c>
      <c r="AQ580" t="str">
        <f>IF(AM580&lt;&gt;"",AM580,IF($AC580=#REF!,#REF!,""))</f>
        <v>Away</v>
      </c>
      <c r="AR580" t="str">
        <f t="shared" si="954"/>
        <v>a</v>
      </c>
      <c r="AS580" t="str">
        <f t="shared" si="955"/>
        <v>Offensive</v>
      </c>
      <c r="AT580" t="str">
        <f t="shared" si="906"/>
        <v/>
      </c>
      <c r="AU580" t="str">
        <f t="shared" si="907"/>
        <v/>
      </c>
      <c r="AV580" t="str" cm="1">
        <f t="array" ref="AV580">IFERROR(IF(O580&lt;&gt;"",O580,IF(OR($S580="",$T580=""),"",IF(O580&lt;&gt;"",O580,IF($T580&lt;&gt;"",_xlfn._xlws.FILTER(O:O,($BT:$BT=$BT580)*($I:$I=$I580)*($T:$T=$T580)*($S:$S=_xlfn.MINIFS($S:$S,$T:$T,"="&amp;$T580)),"")))))&amp;"",IF(O580="","",""))&amp;""</f>
        <v>SecondTouch</v>
      </c>
      <c r="AW580" t="str" cm="1">
        <f t="array" ref="AW580">IFERROR(IF(P580&lt;&gt;"",P580,IF(OR($S580="",$T580=""),"",IF($T580&lt;&gt;"",_xlfn._xlws.FILTER(P:P,($BT:$BT=$BT580)*($I:$I=$I580)*($T:$T=$T580)*($S:$S=_xlfn.MINIFS($S:$S,$T:$T,"="&amp;$T580)),""))))&amp;"",IF(P580="","",""))&amp;""</f>
        <v/>
      </c>
      <c r="AX580" t="str" cm="1">
        <f t="array" ref="AX580">IFERROR(IF(Q580&lt;&gt;"",Q580,IF(OR($S580="",$T580=""),"",IF($T580&lt;&gt;"",_xlfn._xlws.FILTER(Q:Q,($BT:$BT=$BT580)*($I:$I=$I580)*($T:$T=$T580)*($S:$S=_xlfn.MINIFS($S:$S,$T:$T,"="&amp;$T580)),""))))&amp;"",IF(Q580="","",""))&amp;""</f>
        <v>u</v>
      </c>
      <c r="AY580" t="str" cm="1">
        <f t="array" ref="AY580">IFERROR(IF(R580&lt;&gt;"",R580,IF(OR($S580="",$T580=""),"",IF($T580&lt;&gt;"",_xlfn._xlws.FILTER(R:R,($BT:$BT=$BT580)*($I:$I=$I580)*($T:$T=$T580)*($S:$S=_xlfn.MINIFS($S:$S,$T:$T,"="&amp;$T580)),""))))&amp;"",IF(R580="","",""))&amp;""</f>
        <v/>
      </c>
      <c r="AZ580" s="6">
        <f t="shared" si="908"/>
        <v>49</v>
      </c>
      <c r="BA580">
        <f t="shared" ref="BA580:BC580" si="1000">BA579</f>
        <v>18991</v>
      </c>
      <c r="BB580" t="str">
        <f t="shared" si="1000"/>
        <v>Triple J</v>
      </c>
      <c r="BC580" t="str">
        <f t="shared" si="1000"/>
        <v>Velodrome</v>
      </c>
      <c r="BD580" t="str">
        <f t="shared" si="910"/>
        <v>Turnover</v>
      </c>
      <c r="BE580" t="str">
        <f t="shared" si="911"/>
        <v>Turnover_Giveaway</v>
      </c>
      <c r="BF580" t="str">
        <f t="shared" si="912"/>
        <v>Giveaway-DumpInZone</v>
      </c>
      <c r="BG580" t="str">
        <f t="shared" si="999"/>
        <v>u</v>
      </c>
      <c r="BH580" cm="1">
        <f t="array" aca="1" ref="BH580" ca="1">IFERROR(_xlfn._xlws.FILTER(shifts!A:A,(shifts!B:B=events!Z580)*(shifts!AG:AG&gt;=events!BJ580)*(shifts!AH:AH&lt;=events!BK580)),BH579)</f>
        <v>18</v>
      </c>
      <c r="BI580" s="15">
        <f t="shared" si="913"/>
        <v>0</v>
      </c>
      <c r="BJ580">
        <f t="shared" si="914"/>
        <v>572</v>
      </c>
      <c r="BK580">
        <f t="shared" si="915"/>
        <v>572</v>
      </c>
      <c r="BL580" s="15">
        <f>SUMIFS(BI$2:BI580,K$2:K580,"=Intermission")+SUMIFS(BI$2:BI580,K$2:K580,"=Timeout")</f>
        <v>0</v>
      </c>
      <c r="BM580">
        <f t="shared" si="916"/>
        <v>0</v>
      </c>
      <c r="BN580" s="19">
        <f t="shared" si="917"/>
        <v>508</v>
      </c>
      <c r="BO580">
        <f t="shared" si="918"/>
        <v>503</v>
      </c>
      <c r="BP580" s="17">
        <f t="shared" si="919"/>
        <v>508</v>
      </c>
      <c r="BQ580" t="str">
        <f t="shared" si="920"/>
        <v>event_team_player_1</v>
      </c>
      <c r="BR580">
        <f>COUNTIFS(S$3:S580,"="&amp;S580,AH$3:AH580,"="&amp;AH580)</f>
        <v>1</v>
      </c>
      <c r="BS580" t="str">
        <f>IFERROR(VLOOKUP(BA580&amp;BT580&amp;X580,game_rosters!U:W,3,FALSE),"")</f>
        <v>P100108</v>
      </c>
      <c r="BT580" t="str">
        <f t="shared" si="921"/>
        <v>Velodrome</v>
      </c>
    </row>
    <row r="581" spans="1:72" x14ac:dyDescent="0.2">
      <c r="A581" t="str">
        <f t="shared" ref="A581:A643" si="1001">IF(K581&lt;&gt;"",1,IF(D581="x","x",""))</f>
        <v/>
      </c>
      <c r="E581" s="4"/>
      <c r="F581" s="45"/>
      <c r="G581" s="4"/>
      <c r="H581" s="47"/>
      <c r="I581" s="26">
        <v>90</v>
      </c>
      <c r="J581" s="26" t="str">
        <f t="shared" si="925"/>
        <v/>
      </c>
      <c r="N581" t="str">
        <f t="shared" si="940"/>
        <v/>
      </c>
      <c r="Q581" t="str">
        <f t="shared" si="934"/>
        <v/>
      </c>
      <c r="S581">
        <f>IF(A581=1,MAX($S$2:$S580)+1,IF(OR($I581&lt;&gt;"",A581="x"),$S580,""))</f>
        <v>289</v>
      </c>
      <c r="T581" t="str">
        <f>IF(D581=1,MAX($T$2:$T580)+1,IF(S581=S580,$T580,IF(D581="x",T580,IF(D580="x","",""))))</f>
        <v/>
      </c>
      <c r="U581" t="str">
        <f>IF(B581=1,MAX($U$2:$U580)+1,IF(AND($T581&lt;&gt;"",$T581=$T580),$U580,IF(B581="x",U580,"")))</f>
        <v/>
      </c>
      <c r="V581" t="str">
        <f>IF(C581=1,MAX($V$2:$V580)+1,IF(AND($T581&lt;&gt;"",$T581=$T580),$U580,IF(C581="x",V580,"")))</f>
        <v/>
      </c>
      <c r="W581" t="str" cm="1">
        <f t="array" ref="W581">IFERROR(_xlfn._xlws.FILTER(game_rosters!AC:AC,(game_rosters!J:J=events!X581)*(K581&lt;&gt;"")),"")</f>
        <v/>
      </c>
      <c r="X581" cm="1">
        <f t="array" ref="X581">IF($I581&lt;&gt;"",$I581,INDEX($I$1:$I581,ROW()-COUNTIFS($T$1:$T581,"="&amp;$T581,$S$1:$S581,"&lt;"&amp;$S581)))</f>
        <v>90</v>
      </c>
      <c r="Y581" t="str" cm="1">
        <f t="array" ref="Y581">IFERROR(IF(_xlfn._xlws.FILTER(game_rosters!$J:$J,(game_rosters!$G:$G=events!$AM581)*(game_rosters!$J:$J=events!$X581))&gt;0,1,""),"")</f>
        <v/>
      </c>
      <c r="Z581" s="6">
        <f t="shared" ref="Z581:Z644" si="1002">IF(K581="Intermission",Z580+1,Z580)</f>
        <v>1</v>
      </c>
      <c r="AA581">
        <f t="shared" ref="AA581:AA644" si="1003">S581+1000</f>
        <v>1289</v>
      </c>
      <c r="AB581" t="str">
        <f t="shared" ref="AB581:AB644" si="1004">IF(T581&lt;&gt;"",9000+T581,"")</f>
        <v/>
      </c>
      <c r="AC581">
        <f t="shared" ref="AC581:AC644" si="1005">IF(AB581&lt;&gt;"",AB581,S581+1000)</f>
        <v>1289</v>
      </c>
      <c r="AD581" t="str">
        <f t="shared" ref="AD581:AD644" si="1006">IF(E581&lt;&gt;"",E581,IF($AC581=$AC580,AD580,IF(AF580&lt;&gt;"",AF580,IF(AD580&lt;&gt;"",AD580,""))))</f>
        <v>9</v>
      </c>
      <c r="AE581" t="str">
        <f t="shared" ref="AE581:AE644" si="1007">IF(F581&lt;&gt;"",F581,IF($AC581=$AC580,AE580,IF(AG580&lt;&gt;"",AG580,IF(AE580&lt;&gt;"",AE580,""))))</f>
        <v>32</v>
      </c>
      <c r="AF581" t="str">
        <f t="shared" ref="AF581:AF644" si="1008">IF(G581&lt;&gt;"",G581,IF($AC581=$AC580,AF580,IF(H581="","",AD581)))</f>
        <v/>
      </c>
      <c r="AG581" t="str">
        <f t="shared" ref="AG581:AG644" si="1009">IF(H581&lt;&gt;"",H581,IF($S581=$S580,AG580,""))</f>
        <v/>
      </c>
      <c r="AH581" t="str">
        <f t="shared" si="947"/>
        <v>o</v>
      </c>
      <c r="AI581" t="str">
        <f t="shared" si="989"/>
        <v>o</v>
      </c>
      <c r="AJ581" t="str">
        <f t="shared" si="989"/>
        <v>o</v>
      </c>
      <c r="AK581" t="str">
        <f t="shared" si="949"/>
        <v/>
      </c>
      <c r="AL581" t="str">
        <f t="shared" si="950"/>
        <v/>
      </c>
      <c r="AM581" t="str">
        <f t="shared" ref="AM581:AM644" si="1010">IF(AN581="H","Home",IF(AN581="A","Away",""))</f>
        <v>Away</v>
      </c>
      <c r="AN581" t="str">
        <f t="shared" si="951"/>
        <v>a</v>
      </c>
      <c r="AO581" t="str">
        <f t="shared" si="952"/>
        <v>d</v>
      </c>
      <c r="AP581" t="str">
        <f t="shared" si="953"/>
        <v>o</v>
      </c>
      <c r="AQ581" t="str">
        <f>IF(AM581&lt;&gt;"",AM581,IF($AC581=#REF!,#REF!,""))</f>
        <v>Away</v>
      </c>
      <c r="AR581" t="str">
        <f t="shared" si="954"/>
        <v>a</v>
      </c>
      <c r="AS581" t="str">
        <f t="shared" si="955"/>
        <v>Defensive</v>
      </c>
      <c r="AT581" t="str">
        <f t="shared" ref="AT581:AT644" si="1011">IF(U581&lt;&gt;"",U581+5000,"")</f>
        <v/>
      </c>
      <c r="AU581" t="str">
        <f t="shared" ref="AU581:AU644" si="1012">IF(V581&lt;&gt;"",V581+6000,"")</f>
        <v/>
      </c>
      <c r="AV581" t="str" cm="1">
        <f t="array" ref="AV581">IFERROR(IF(O581&lt;&gt;"",O581,IF(OR($S581="",$T581=""),"",IF(O581&lt;&gt;"",O581,IF($T581&lt;&gt;"",_xlfn._xlws.FILTER(O:O,($BT:$BT=$BT581)*($I:$I=$I581)*($T:$T=$T581)*($S:$S=_xlfn.MINIFS($S:$S,$T:$T,"="&amp;$T581)),"")))))&amp;"",IF(O581="","",""))&amp;""</f>
        <v/>
      </c>
      <c r="AW581" t="str" cm="1">
        <f t="array" ref="AW581">IFERROR(IF(P581&lt;&gt;"",P581,IF(OR($S581="",$T581=""),"",IF($T581&lt;&gt;"",_xlfn._xlws.FILTER(P:P,($BT:$BT=$BT581)*($I:$I=$I581)*($T:$T=$T581)*($S:$S=_xlfn.MINIFS($S:$S,$T:$T,"="&amp;$T581)),""))))&amp;"",IF(P581="","",""))&amp;""</f>
        <v/>
      </c>
      <c r="AX581" t="str" cm="1">
        <f t="array" ref="AX581">IFERROR(IF(Q581&lt;&gt;"",Q581,IF(OR($S581="",$T581=""),"",IF($T581&lt;&gt;"",_xlfn._xlws.FILTER(Q:Q,($BT:$BT=$BT581)*($I:$I=$I581)*($T:$T=$T581)*($S:$S=_xlfn.MINIFS($S:$S,$T:$T,"="&amp;$T581)),""))))&amp;"",IF(Q581="","",""))&amp;""</f>
        <v/>
      </c>
      <c r="AY581" t="str" cm="1">
        <f t="array" ref="AY581">IFERROR(IF(R581&lt;&gt;"",R581,IF(OR($S581="",$T581=""),"",IF($T581&lt;&gt;"",_xlfn._xlws.FILTER(R:R,($BT:$BT=$BT581)*($I:$I=$I581)*($T:$T=$T581)*($S:$S=_xlfn.MINIFS($S:$S,$T:$T,"="&amp;$T581)),""))))&amp;"",IF(R581="","",""))&amp;""</f>
        <v/>
      </c>
      <c r="AZ581" s="6">
        <f t="shared" ref="AZ581:AZ644" si="1013">IF(OR(L581="Zone_Entry",L581="Zone_Exit"),AZ580+1,AZ580)</f>
        <v>49</v>
      </c>
      <c r="BA581">
        <f t="shared" ref="BA581:BC581" si="1014">BA580</f>
        <v>18991</v>
      </c>
      <c r="BB581" t="str">
        <f t="shared" si="1014"/>
        <v>Triple J</v>
      </c>
      <c r="BC581" t="str">
        <f t="shared" si="1014"/>
        <v>Velodrome</v>
      </c>
      <c r="BD581" t="str">
        <f t="shared" ref="BD581:BD644" si="1015">IF($K581&lt;&gt;"",$K581,IF($S581=$S580,BD580,""))</f>
        <v>Turnover</v>
      </c>
      <c r="BE581" t="str">
        <f t="shared" ref="BE581:BE644" si="1016">IF(L581&lt;&gt;"",L581,IF($S581=$S580,BE580,""))</f>
        <v>Turnover_Giveaway</v>
      </c>
      <c r="BF581" t="str">
        <f t="shared" ref="BF581:BF644" si="1017">IF(M581&lt;&gt;"",M581,IF($S581=$S580,BF580,""))</f>
        <v>Giveaway-DumpInZone</v>
      </c>
      <c r="BG581" t="str">
        <f t="shared" si="999"/>
        <v>u</v>
      </c>
      <c r="BH581" cm="1">
        <f t="array" aca="1" ref="BH581" ca="1">IFERROR(_xlfn._xlws.FILTER(shifts!A:A,(shifts!B:B=events!Z581)*(shifts!AG:AG&gt;=events!BJ581)*(shifts!AH:AH&lt;=events!BK581)),BH580)</f>
        <v>18</v>
      </c>
      <c r="BI581" s="15">
        <f t="shared" ref="BI581:BI644" si="1018">IF(AND(AF581="",AG581=""),0,((AD581*60)+AE581)-((AF581*60)+AG581))</f>
        <v>0</v>
      </c>
      <c r="BJ581">
        <f t="shared" ref="BJ581:BJ644" si="1019">(AD581*60)+AE581</f>
        <v>572</v>
      </c>
      <c r="BK581">
        <f t="shared" ref="BK581:BK644" si="1020">IF(AND(AF581="",AG581=""),BJ581,((AF581*60)+AG581))</f>
        <v>572</v>
      </c>
      <c r="BL581" s="15">
        <f>SUMIFS(BI$2:BI581,K$2:K581,"=Intermission")+SUMIFS(BI$2:BI581,K$2:K581,"=Timeout")</f>
        <v>0</v>
      </c>
      <c r="BM581">
        <f t="shared" ref="BM581:BM644" si="1021">IF(Z581=1,0,IF(Z581=2,1080+BL581,IF(Z581=3,(1080*2)+BL581,0)))</f>
        <v>0</v>
      </c>
      <c r="BN581" s="19">
        <f t="shared" ref="BN581:BN644" si="1022">IF(K581="Intermission",BN580,((1080)-((AD581*60)+AE581))+BM581)</f>
        <v>508</v>
      </c>
      <c r="BO581">
        <f t="shared" ref="BO581:BO644" si="1023">IF(BN581&lt;5,0,BN581-5)</f>
        <v>503</v>
      </c>
      <c r="BP581" s="17">
        <f t="shared" ref="BP581:BP644" si="1024">BO581+BI581+5</f>
        <v>508</v>
      </c>
      <c r="BQ581" t="str">
        <f t="shared" ref="BQ581:BQ644" si="1025">IF(AH581="e","event_team_player_"&amp;BR581,IF(AH581="o","opp_team_player_"&amp;BR581,""))</f>
        <v>opp_team_player_1</v>
      </c>
      <c r="BR581">
        <f>COUNTIFS(S$3:S581,"="&amp;S581,AH$3:AH581,"="&amp;AH581)</f>
        <v>1</v>
      </c>
      <c r="BS581" t="str">
        <f>IFERROR(VLOOKUP(BA581&amp;BT581&amp;X581,game_rosters!U:W,3,FALSE),"")</f>
        <v>P100233</v>
      </c>
      <c r="BT581" t="str">
        <f t="shared" ref="BT581:BT644" si="1026">IF(AQ581="","",IF(AND(AQ581="Away",AH581="e"),BC581,IF(AND(AQ581="Home",AH581="e"),BB581,IF(AND(AQ581="Away",AH581="o"),BB581,IF(AND(AQ581="Home",AH581="o"),BC581)))))</f>
        <v>Triple J</v>
      </c>
    </row>
    <row r="582" spans="1:72" x14ac:dyDescent="0.2">
      <c r="A582">
        <f t="shared" si="1001"/>
        <v>1</v>
      </c>
      <c r="E582" s="4"/>
      <c r="F582" s="45" t="s">
        <v>1046</v>
      </c>
      <c r="G582" s="4"/>
      <c r="H582" s="47" t="s">
        <v>1052</v>
      </c>
      <c r="I582" s="26">
        <v>10</v>
      </c>
      <c r="J582" s="26" t="s">
        <v>736</v>
      </c>
      <c r="K582" t="s">
        <v>13</v>
      </c>
      <c r="N582" t="str">
        <f t="shared" si="940"/>
        <v/>
      </c>
      <c r="Q582" t="str">
        <f t="shared" si="934"/>
        <v/>
      </c>
      <c r="S582">
        <f>IF(A582=1,MAX($S$2:$S581)+1,IF(OR($I582&lt;&gt;"",A582="x"),$S581,""))</f>
        <v>290</v>
      </c>
      <c r="T582" t="str">
        <f>IF(D582=1,MAX($T$2:$T581)+1,IF(S582=S581,$T581,IF(D582="x",T581,IF(D581="x","",""))))</f>
        <v/>
      </c>
      <c r="U582" t="str">
        <f>IF(B582=1,MAX($U$2:$U581)+1,IF(AND($T582&lt;&gt;"",$T582=$T581),$U581,IF(B582="x",U581,"")))</f>
        <v/>
      </c>
      <c r="V582" t="str">
        <f>IF(C582=1,MAX($V$2:$V581)+1,IF(AND($T582&lt;&gt;"",$T582=$T581),$U581,IF(C582="x",V581,"")))</f>
        <v/>
      </c>
      <c r="W582" t="str" cm="1">
        <f t="array" ref="W582">IFERROR(_xlfn._xlws.FILTER(game_rosters!AC:AC,(game_rosters!J:J=events!X582)*(K582&lt;&gt;"")),"")</f>
        <v>h</v>
      </c>
      <c r="X582" cm="1">
        <f t="array" ref="X582">IF($I582&lt;&gt;"",$I582,INDEX($I$1:$I582,ROW()-COUNTIFS($T$1:$T582,"="&amp;$T582,$S$1:$S582,"&lt;"&amp;$S582)))</f>
        <v>10</v>
      </c>
      <c r="Y582" cm="1">
        <f t="array" ref="Y582">IFERROR(IF(_xlfn._xlws.FILTER(game_rosters!$J:$J,(game_rosters!$G:$G=events!$AM582)*(game_rosters!$J:$J=events!$X582))&gt;0,1,""),"")</f>
        <v>1</v>
      </c>
      <c r="Z582" s="6">
        <f t="shared" si="1002"/>
        <v>1</v>
      </c>
      <c r="AA582">
        <f t="shared" si="1003"/>
        <v>1290</v>
      </c>
      <c r="AB582" t="str">
        <f t="shared" si="1004"/>
        <v/>
      </c>
      <c r="AC582">
        <f t="shared" si="1005"/>
        <v>1290</v>
      </c>
      <c r="AD582" t="str">
        <f t="shared" si="1006"/>
        <v>9</v>
      </c>
      <c r="AE582" t="str">
        <f t="shared" si="1007"/>
        <v>30</v>
      </c>
      <c r="AF582" t="str">
        <f t="shared" si="1008"/>
        <v>9</v>
      </c>
      <c r="AG582" t="str">
        <f t="shared" si="1009"/>
        <v>28</v>
      </c>
      <c r="AH582" t="str">
        <f t="shared" si="947"/>
        <v>e</v>
      </c>
      <c r="AI582" t="str">
        <f t="shared" si="989"/>
        <v>d</v>
      </c>
      <c r="AJ582" t="str">
        <f t="shared" si="989"/>
        <v>d</v>
      </c>
      <c r="AK582" t="str">
        <f t="shared" si="949"/>
        <v>d</v>
      </c>
      <c r="AL582" t="str">
        <f t="shared" si="950"/>
        <v>o</v>
      </c>
      <c r="AM582" t="str">
        <f t="shared" si="1010"/>
        <v>Home</v>
      </c>
      <c r="AN582" t="str">
        <f t="shared" si="951"/>
        <v>h</v>
      </c>
      <c r="AO582" t="str">
        <f t="shared" si="952"/>
        <v>d</v>
      </c>
      <c r="AP582" t="str">
        <f t="shared" si="953"/>
        <v>o</v>
      </c>
      <c r="AQ582" t="str">
        <f>IF(AM582&lt;&gt;"",AM582,IF($AC582=#REF!,#REF!,""))</f>
        <v>Home</v>
      </c>
      <c r="AR582" t="str">
        <f t="shared" si="954"/>
        <v>h</v>
      </c>
      <c r="AS582" t="str">
        <f t="shared" si="955"/>
        <v>Offensive</v>
      </c>
      <c r="AT582" t="str">
        <f t="shared" si="1011"/>
        <v/>
      </c>
      <c r="AU582" t="str">
        <f t="shared" si="1012"/>
        <v/>
      </c>
      <c r="AV582" t="str" cm="1">
        <f t="array" ref="AV582">IFERROR(IF(O582&lt;&gt;"",O582,IF(OR($S582="",$T582=""),"",IF(O582&lt;&gt;"",O582,IF($T582&lt;&gt;"",_xlfn._xlws.FILTER(O:O,($BT:$BT=$BT582)*($I:$I=$I582)*($T:$T=$T582)*($S:$S=_xlfn.MINIFS($S:$S,$T:$T,"="&amp;$T582)),"")))))&amp;"",IF(O582="","",""))&amp;""</f>
        <v/>
      </c>
      <c r="AW582" t="str" cm="1">
        <f t="array" ref="AW582">IFERROR(IF(P582&lt;&gt;"",P582,IF(OR($S582="",$T582=""),"",IF($T582&lt;&gt;"",_xlfn._xlws.FILTER(P:P,($BT:$BT=$BT582)*($I:$I=$I582)*($T:$T=$T582)*($S:$S=_xlfn.MINIFS($S:$S,$T:$T,"="&amp;$T582)),""))))&amp;"",IF(P582="","",""))&amp;""</f>
        <v/>
      </c>
      <c r="AX582" t="str" cm="1">
        <f t="array" ref="AX582">IFERROR(IF(Q582&lt;&gt;"",Q582,IF(OR($S582="",$T582=""),"",IF($T582&lt;&gt;"",_xlfn._xlws.FILTER(Q:Q,($BT:$BT=$BT582)*($I:$I=$I582)*($T:$T=$T582)*($S:$S=_xlfn.MINIFS($S:$S,$T:$T,"="&amp;$T582)),""))))&amp;"",IF(Q582="","",""))&amp;""</f>
        <v/>
      </c>
      <c r="AY582" t="str" cm="1">
        <f t="array" ref="AY582">IFERROR(IF(R582&lt;&gt;"",R582,IF(OR($S582="",$T582=""),"",IF($T582&lt;&gt;"",_xlfn._xlws.FILTER(R:R,($BT:$BT=$BT582)*($I:$I=$I582)*($T:$T=$T582)*($S:$S=_xlfn.MINIFS($S:$S,$T:$T,"="&amp;$T582)),""))))&amp;"",IF(R582="","",""))&amp;""</f>
        <v/>
      </c>
      <c r="AZ582" s="6">
        <f t="shared" si="1013"/>
        <v>49</v>
      </c>
      <c r="BA582">
        <f t="shared" ref="BA582:BC582" si="1027">BA581</f>
        <v>18991</v>
      </c>
      <c r="BB582" t="str">
        <f t="shared" si="1027"/>
        <v>Triple J</v>
      </c>
      <c r="BC582" t="str">
        <f t="shared" si="1027"/>
        <v>Velodrome</v>
      </c>
      <c r="BD582" t="str">
        <f t="shared" si="1015"/>
        <v>Possession</v>
      </c>
      <c r="BE582" t="str">
        <f t="shared" si="1016"/>
        <v/>
      </c>
      <c r="BF582" t="str">
        <f t="shared" si="1017"/>
        <v/>
      </c>
      <c r="BG582" t="str">
        <f t="shared" si="999"/>
        <v/>
      </c>
      <c r="BH582" cm="1">
        <f t="array" aca="1" ref="BH582" ca="1">IFERROR(_xlfn._xlws.FILTER(shifts!A:A,(shifts!B:B=events!Z582)*(shifts!AG:AG&gt;=events!BJ582)*(shifts!AH:AH&lt;=events!BK582)),BH581)</f>
        <v>18</v>
      </c>
      <c r="BI582" s="15">
        <f t="shared" si="1018"/>
        <v>2</v>
      </c>
      <c r="BJ582">
        <f t="shared" si="1019"/>
        <v>570</v>
      </c>
      <c r="BK582">
        <f t="shared" si="1020"/>
        <v>568</v>
      </c>
      <c r="BL582" s="15">
        <f>SUMIFS(BI$2:BI582,K$2:K582,"=Intermission")+SUMIFS(BI$2:BI582,K$2:K582,"=Timeout")</f>
        <v>0</v>
      </c>
      <c r="BM582">
        <f t="shared" si="1021"/>
        <v>0</v>
      </c>
      <c r="BN582" s="19">
        <f t="shared" si="1022"/>
        <v>510</v>
      </c>
      <c r="BO582">
        <f t="shared" si="1023"/>
        <v>505</v>
      </c>
      <c r="BP582" s="17">
        <f t="shared" si="1024"/>
        <v>512</v>
      </c>
      <c r="BQ582" t="str">
        <f t="shared" si="1025"/>
        <v>event_team_player_1</v>
      </c>
      <c r="BR582">
        <f>COUNTIFS(S$3:S582,"="&amp;S582,AH$3:AH582,"="&amp;AH582)</f>
        <v>1</v>
      </c>
      <c r="BS582" t="str">
        <f>IFERROR(VLOOKUP(BA582&amp;BT582&amp;X582,game_rosters!U:W,3,FALSE),"")</f>
        <v>P100183</v>
      </c>
      <c r="BT582" t="str">
        <f t="shared" si="1026"/>
        <v>Triple J</v>
      </c>
    </row>
    <row r="583" spans="1:72" x14ac:dyDescent="0.2">
      <c r="A583">
        <f t="shared" si="1001"/>
        <v>1</v>
      </c>
      <c r="D583" s="26">
        <v>1</v>
      </c>
      <c r="E583" s="4"/>
      <c r="F583" s="45"/>
      <c r="G583" s="4"/>
      <c r="H583" s="47"/>
      <c r="I583" s="26">
        <v>10</v>
      </c>
      <c r="J583" s="26" t="s">
        <v>736</v>
      </c>
      <c r="K583" t="s">
        <v>7</v>
      </c>
      <c r="L583" t="s">
        <v>192</v>
      </c>
      <c r="M583" t="s">
        <v>68</v>
      </c>
      <c r="N583" t="str">
        <f t="shared" si="940"/>
        <v>u</v>
      </c>
      <c r="Q583" t="str">
        <f t="shared" si="934"/>
        <v/>
      </c>
      <c r="R583" s="26">
        <v>1</v>
      </c>
      <c r="S583">
        <f>IF(A583=1,MAX($S$2:$S582)+1,IF(OR($I583&lt;&gt;"",A583="x"),$S582,""))</f>
        <v>291</v>
      </c>
      <c r="T583">
        <f>IF(D583=1,MAX($T$2:$T582)+1,IF(S583=S582,$T582,IF(D583="x",T582,IF(D582="x","",""))))</f>
        <v>38</v>
      </c>
      <c r="U583" t="str">
        <f>IF(B583=1,MAX($U$2:$U582)+1,IF(AND($T583&lt;&gt;"",$T583=$T582),$U582,IF(B583="x",U582,"")))</f>
        <v/>
      </c>
      <c r="V583" t="str">
        <f>IF(C583=1,MAX($V$2:$V582)+1,IF(AND($T583&lt;&gt;"",$T583=$T582),$U582,IF(C583="x",V582,"")))</f>
        <v/>
      </c>
      <c r="W583" t="str" cm="1">
        <f t="array" ref="W583">IFERROR(_xlfn._xlws.FILTER(game_rosters!AC:AC,(game_rosters!J:J=events!X583)*(K583&lt;&gt;"")),"")</f>
        <v>h</v>
      </c>
      <c r="X583" cm="1">
        <f t="array" ref="X583">IF($I583&lt;&gt;"",$I583,INDEX($I$1:$I583,ROW()-COUNTIFS($T$1:$T583,"="&amp;$T583,$S$1:$S583,"&lt;"&amp;$S583)))</f>
        <v>10</v>
      </c>
      <c r="Y583" cm="1">
        <f t="array" ref="Y583">IFERROR(IF(_xlfn._xlws.FILTER(game_rosters!$J:$J,(game_rosters!$G:$G=events!$AM583)*(game_rosters!$J:$J=events!$X583))&gt;0,1,""),"")</f>
        <v>1</v>
      </c>
      <c r="Z583" s="6">
        <f t="shared" si="1002"/>
        <v>1</v>
      </c>
      <c r="AA583">
        <f t="shared" si="1003"/>
        <v>1291</v>
      </c>
      <c r="AB583">
        <f t="shared" si="1004"/>
        <v>9038</v>
      </c>
      <c r="AC583">
        <f t="shared" si="1005"/>
        <v>9038</v>
      </c>
      <c r="AD583" t="str">
        <f t="shared" si="1006"/>
        <v>9</v>
      </c>
      <c r="AE583" t="str">
        <f t="shared" si="1007"/>
        <v>28</v>
      </c>
      <c r="AF583" t="str">
        <f t="shared" si="1008"/>
        <v/>
      </c>
      <c r="AG583" t="str">
        <f t="shared" si="1009"/>
        <v/>
      </c>
      <c r="AH583" t="str">
        <f t="shared" si="947"/>
        <v>e</v>
      </c>
      <c r="AI583" t="str">
        <f t="shared" si="989"/>
        <v>d</v>
      </c>
      <c r="AJ583" t="str">
        <f t="shared" si="989"/>
        <v>d</v>
      </c>
      <c r="AK583" t="str">
        <f t="shared" si="949"/>
        <v>d</v>
      </c>
      <c r="AL583" t="str">
        <f t="shared" si="950"/>
        <v>o</v>
      </c>
      <c r="AM583" t="str">
        <f t="shared" si="1010"/>
        <v>Home</v>
      </c>
      <c r="AN583" t="str">
        <f t="shared" si="951"/>
        <v>h</v>
      </c>
      <c r="AO583" t="str">
        <f t="shared" si="952"/>
        <v>d</v>
      </c>
      <c r="AP583" t="str">
        <f t="shared" si="953"/>
        <v>o</v>
      </c>
      <c r="AQ583" t="str">
        <f>IF(AM583&lt;&gt;"",AM583,IF($AC583=#REF!,#REF!,""))</f>
        <v>Home</v>
      </c>
      <c r="AR583" t="str">
        <f t="shared" si="954"/>
        <v>h</v>
      </c>
      <c r="AS583" t="str">
        <f t="shared" si="955"/>
        <v>Offensive</v>
      </c>
      <c r="AT583" t="str">
        <f t="shared" si="1011"/>
        <v/>
      </c>
      <c r="AU583" t="str">
        <f t="shared" si="1012"/>
        <v/>
      </c>
      <c r="AV583" t="str" cm="1">
        <f t="array" ref="AV583">IFERROR(IF(O583&lt;&gt;"",O583,IF(OR($S583="",$T583=""),"",IF(O583&lt;&gt;"",O583,IF($T583&lt;&gt;"",_xlfn._xlws.FILTER(O:O,($BT:$BT=$BT583)*($I:$I=$I583)*($T:$T=$T583)*($S:$S=_xlfn.MINIFS($S:$S,$T:$T,"="&amp;$T583)),"")))))&amp;"",IF(O583="","",""))&amp;""</f>
        <v/>
      </c>
      <c r="AW583" t="str" cm="1">
        <f t="array" ref="AW583">IFERROR(IF(P583&lt;&gt;"",P583,IF(OR($S583="",$T583=""),"",IF($T583&lt;&gt;"",_xlfn._xlws.FILTER(P:P,($BT:$BT=$BT583)*($I:$I=$I583)*($T:$T=$T583)*($S:$S=_xlfn.MINIFS($S:$S,$T:$T,"="&amp;$T583)),""))))&amp;"",IF(P583="","",""))&amp;""</f>
        <v/>
      </c>
      <c r="AX583" t="str" cm="1">
        <f t="array" ref="AX583">IFERROR(IF(Q583&lt;&gt;"",Q583,IF(OR($S583="",$T583=""),"",IF($T583&lt;&gt;"",_xlfn._xlws.FILTER(Q:Q,($BT:$BT=$BT583)*($I:$I=$I583)*($T:$T=$T583)*($S:$S=_xlfn.MINIFS($S:$S,$T:$T,"="&amp;$T583)),""))))&amp;"",IF(Q583="","",""))&amp;""</f>
        <v/>
      </c>
      <c r="AY583" t="str" cm="1">
        <f t="array" ref="AY583">IFERROR(IF(R583&lt;&gt;"",R583,IF(OR($S583="",$T583=""),"",IF($T583&lt;&gt;"",_xlfn._xlws.FILTER(R:R,($BT:$BT=$BT583)*($I:$I=$I583)*($T:$T=$T583)*($S:$S=_xlfn.MINIFS($S:$S,$T:$T,"="&amp;$T583)),""))))&amp;"",IF(R583="","",""))&amp;""</f>
        <v>1</v>
      </c>
      <c r="AZ583" s="6">
        <f t="shared" si="1013"/>
        <v>49</v>
      </c>
      <c r="BA583">
        <f t="shared" ref="BA583:BC583" si="1028">BA582</f>
        <v>18991</v>
      </c>
      <c r="BB583" t="str">
        <f t="shared" si="1028"/>
        <v>Triple J</v>
      </c>
      <c r="BC583" t="str">
        <f t="shared" si="1028"/>
        <v>Velodrome</v>
      </c>
      <c r="BD583" t="str">
        <f t="shared" si="1015"/>
        <v>Pass</v>
      </c>
      <c r="BE583" t="str">
        <f t="shared" si="1016"/>
        <v>Pass_Deflected</v>
      </c>
      <c r="BF583" t="str">
        <f t="shared" si="1017"/>
        <v>Pass-Forehand</v>
      </c>
      <c r="BG583" t="str">
        <f t="shared" si="999"/>
        <v>u</v>
      </c>
      <c r="BH583" cm="1">
        <f t="array" aca="1" ref="BH583" ca="1">IFERROR(_xlfn._xlws.FILTER(shifts!A:A,(shifts!B:B=events!Z583)*(shifts!AG:AG&gt;=events!BJ583)*(shifts!AH:AH&lt;=events!BK583)),BH582)</f>
        <v>18</v>
      </c>
      <c r="BI583" s="15">
        <f t="shared" si="1018"/>
        <v>0</v>
      </c>
      <c r="BJ583">
        <f t="shared" si="1019"/>
        <v>568</v>
      </c>
      <c r="BK583">
        <f t="shared" si="1020"/>
        <v>568</v>
      </c>
      <c r="BL583" s="15">
        <f>SUMIFS(BI$2:BI583,K$2:K583,"=Intermission")+SUMIFS(BI$2:BI583,K$2:K583,"=Timeout")</f>
        <v>0</v>
      </c>
      <c r="BM583">
        <f t="shared" si="1021"/>
        <v>0</v>
      </c>
      <c r="BN583" s="19">
        <f t="shared" si="1022"/>
        <v>512</v>
      </c>
      <c r="BO583">
        <f t="shared" si="1023"/>
        <v>507</v>
      </c>
      <c r="BP583" s="17">
        <f t="shared" si="1024"/>
        <v>512</v>
      </c>
      <c r="BQ583" t="str">
        <f t="shared" si="1025"/>
        <v>event_team_player_1</v>
      </c>
      <c r="BR583">
        <f>COUNTIFS(S$3:S583,"="&amp;S583,AH$3:AH583,"="&amp;AH583)</f>
        <v>1</v>
      </c>
      <c r="BS583" t="str">
        <f>IFERROR(VLOOKUP(BA583&amp;BT583&amp;X583,game_rosters!U:W,3,FALSE),"")</f>
        <v>P100183</v>
      </c>
      <c r="BT583" t="str">
        <f t="shared" si="1026"/>
        <v>Triple J</v>
      </c>
    </row>
    <row r="584" spans="1:72" x14ac:dyDescent="0.2">
      <c r="A584" t="str">
        <f t="shared" si="1001"/>
        <v>x</v>
      </c>
      <c r="D584" s="26" t="s">
        <v>729</v>
      </c>
      <c r="E584" s="4"/>
      <c r="F584" s="45"/>
      <c r="G584" s="4"/>
      <c r="H584" s="47"/>
      <c r="I584" s="26">
        <v>21</v>
      </c>
      <c r="J584" s="26" t="str">
        <f t="shared" ref="J584:J645" si="1029">IF(OR(K584="Goal",K584="Shot",L584="Zone_Entry",M584="Stoppage-Goal",M583="Stoppage-Goal"),"o",IF(OR(K584="Save",K584="Rebound",L584="Zone_Exit",M584="Stoppage-GoalieStoppage",M583="Stoppage-GoalieStoppage"),"d",IF(OR(L584="Faceoff_AfterGoal",L584="Faceoff_PeriodStart",698="Faceoff_GameStart",M583="Stoppage-Goal"),"n","")))</f>
        <v/>
      </c>
      <c r="N584" t="str">
        <f t="shared" si="940"/>
        <v/>
      </c>
      <c r="Q584" t="str">
        <f t="shared" si="934"/>
        <v/>
      </c>
      <c r="S584">
        <f>IF(A584=1,MAX($S$2:$S583)+1,IF(OR($I584&lt;&gt;"",A584="x"),$S583,""))</f>
        <v>291</v>
      </c>
      <c r="T584">
        <f>IF(D584=1,MAX($T$2:$T583)+1,IF(S584=S583,$T583,IF(D584="x",T583,IF(D583="x","",""))))</f>
        <v>38</v>
      </c>
      <c r="U584" t="str">
        <f>IF(B584=1,MAX($U$2:$U583)+1,IF(AND($T584&lt;&gt;"",$T584=$T583),$U583,IF(B584="x",U583,"")))</f>
        <v/>
      </c>
      <c r="V584" t="str">
        <f>IF(C584=1,MAX($V$2:$V583)+1,IF(AND($T584&lt;&gt;"",$T584=$T583),$U583,IF(C584="x",V583,"")))</f>
        <v/>
      </c>
      <c r="W584" t="str" cm="1">
        <f t="array" ref="W584">IFERROR(_xlfn._xlws.FILTER(game_rosters!AC:AC,(game_rosters!J:J=events!X584)*(K584&lt;&gt;"")),"")</f>
        <v/>
      </c>
      <c r="X584" cm="1">
        <f t="array" ref="X584">IF($I584&lt;&gt;"",$I584,INDEX($I$1:$I584,ROW()-COUNTIFS($T$1:$T584,"="&amp;$T584,$S$1:$S584,"&lt;"&amp;$S584)))</f>
        <v>21</v>
      </c>
      <c r="Y584" cm="1">
        <f t="array" ref="Y584">IFERROR(IF(_xlfn._xlws.FILTER(game_rosters!$J:$J,(game_rosters!$G:$G=events!$AM584)*(game_rosters!$J:$J=events!$X584))&gt;0,1,""),"")</f>
        <v>1</v>
      </c>
      <c r="Z584" s="6">
        <f t="shared" si="1002"/>
        <v>1</v>
      </c>
      <c r="AA584">
        <f t="shared" si="1003"/>
        <v>1291</v>
      </c>
      <c r="AB584">
        <f t="shared" si="1004"/>
        <v>9038</v>
      </c>
      <c r="AC584">
        <f t="shared" si="1005"/>
        <v>9038</v>
      </c>
      <c r="AD584" t="str">
        <f t="shared" si="1006"/>
        <v>9</v>
      </c>
      <c r="AE584" t="str">
        <f t="shared" si="1007"/>
        <v>28</v>
      </c>
      <c r="AF584" t="str">
        <f t="shared" si="1008"/>
        <v/>
      </c>
      <c r="AG584" t="str">
        <f t="shared" si="1009"/>
        <v/>
      </c>
      <c r="AH584" t="str">
        <f t="shared" si="947"/>
        <v>e</v>
      </c>
      <c r="AI584" t="str">
        <f t="shared" si="989"/>
        <v>d</v>
      </c>
      <c r="AJ584" t="str">
        <f t="shared" si="989"/>
        <v>d</v>
      </c>
      <c r="AK584" t="str">
        <f t="shared" si="949"/>
        <v/>
      </c>
      <c r="AL584" t="str">
        <f t="shared" si="950"/>
        <v/>
      </c>
      <c r="AM584" t="str">
        <f t="shared" si="1010"/>
        <v>Home</v>
      </c>
      <c r="AN584" t="str">
        <f t="shared" si="951"/>
        <v>h</v>
      </c>
      <c r="AO584" t="str">
        <f t="shared" si="952"/>
        <v>d</v>
      </c>
      <c r="AP584" t="str">
        <f t="shared" si="953"/>
        <v>o</v>
      </c>
      <c r="AQ584" t="str">
        <f>IF(AM584&lt;&gt;"",AM584,IF($AC584=#REF!,#REF!,""))</f>
        <v>Home</v>
      </c>
      <c r="AR584" t="str">
        <f t="shared" si="954"/>
        <v>h</v>
      </c>
      <c r="AS584" t="str">
        <f t="shared" si="955"/>
        <v>Offensive</v>
      </c>
      <c r="AT584" t="str">
        <f t="shared" si="1011"/>
        <v/>
      </c>
      <c r="AU584" t="str">
        <f t="shared" si="1012"/>
        <v/>
      </c>
      <c r="AV584" t="str" cm="1">
        <f t="array" ref="AV584">IFERROR(IF(O584&lt;&gt;"",O584,IF(OR($S584="",$T584=""),"",IF(O584&lt;&gt;"",O584,IF($T584&lt;&gt;"",_xlfn._xlws.FILTER(O:O,($BT:$BT=$BT584)*($I:$I=$I584)*($T:$T=$T584)*($S:$S=_xlfn.MINIFS($S:$S,$T:$T,"="&amp;$T584)),"")))))&amp;"",IF(O584="","",""))&amp;""</f>
        <v/>
      </c>
      <c r="AW584" t="str" cm="1">
        <f t="array" ref="AW584">IFERROR(IF(P584&lt;&gt;"",P584,IF(OR($S584="",$T584=""),"",IF($T584&lt;&gt;"",_xlfn._xlws.FILTER(P:P,($BT:$BT=$BT584)*($I:$I=$I584)*($T:$T=$T584)*($S:$S=_xlfn.MINIFS($S:$S,$T:$T,"="&amp;$T584)),""))))&amp;"",IF(P584="","",""))&amp;""</f>
        <v/>
      </c>
      <c r="AX584" t="str" cm="1">
        <f t="array" ref="AX584">IFERROR(IF(Q584&lt;&gt;"",Q584,IF(OR($S584="",$T584=""),"",IF($T584&lt;&gt;"",_xlfn._xlws.FILTER(Q:Q,($BT:$BT=$BT584)*($I:$I=$I584)*($T:$T=$T584)*($S:$S=_xlfn.MINIFS($S:$S,$T:$T,"="&amp;$T584)),""))))&amp;"",IF(Q584="","",""))&amp;""</f>
        <v/>
      </c>
      <c r="AY584" t="str" cm="1">
        <f t="array" ref="AY584">IFERROR(IF(R584&lt;&gt;"",R584,IF(OR($S584="",$T584=""),"",IF($T584&lt;&gt;"",_xlfn._xlws.FILTER(R:R,($BT:$BT=$BT584)*($I:$I=$I584)*($T:$T=$T584)*($S:$S=_xlfn.MINIFS($S:$S,$T:$T,"="&amp;$T584)),""))))&amp;"",IF(R584="","",""))&amp;""</f>
        <v/>
      </c>
      <c r="AZ584" s="6">
        <f t="shared" si="1013"/>
        <v>49</v>
      </c>
      <c r="BA584">
        <f t="shared" ref="BA584:BC584" si="1030">BA583</f>
        <v>18991</v>
      </c>
      <c r="BB584" t="str">
        <f t="shared" si="1030"/>
        <v>Triple J</v>
      </c>
      <c r="BC584" t="str">
        <f t="shared" si="1030"/>
        <v>Velodrome</v>
      </c>
      <c r="BD584" t="str">
        <f t="shared" si="1015"/>
        <v>Pass</v>
      </c>
      <c r="BE584" t="str">
        <f t="shared" si="1016"/>
        <v>Pass_Deflected</v>
      </c>
      <c r="BF584" t="str">
        <f t="shared" si="1017"/>
        <v>Pass-Forehand</v>
      </c>
      <c r="BG584" t="str">
        <f t="shared" si="999"/>
        <v>u</v>
      </c>
      <c r="BH584" cm="1">
        <f t="array" aca="1" ref="BH584" ca="1">IFERROR(_xlfn._xlws.FILTER(shifts!A:A,(shifts!B:B=events!Z584)*(shifts!AG:AG&gt;=events!BJ584)*(shifts!AH:AH&lt;=events!BK584)),BH583)</f>
        <v>18</v>
      </c>
      <c r="BI584" s="15">
        <f t="shared" si="1018"/>
        <v>0</v>
      </c>
      <c r="BJ584">
        <f t="shared" si="1019"/>
        <v>568</v>
      </c>
      <c r="BK584">
        <f t="shared" si="1020"/>
        <v>568</v>
      </c>
      <c r="BL584" s="15">
        <f>SUMIFS(BI$2:BI584,K$2:K584,"=Intermission")+SUMIFS(BI$2:BI584,K$2:K584,"=Timeout")</f>
        <v>0</v>
      </c>
      <c r="BM584">
        <f t="shared" si="1021"/>
        <v>0</v>
      </c>
      <c r="BN584" s="19">
        <f t="shared" si="1022"/>
        <v>512</v>
      </c>
      <c r="BO584">
        <f t="shared" si="1023"/>
        <v>507</v>
      </c>
      <c r="BP584" s="17">
        <f t="shared" si="1024"/>
        <v>512</v>
      </c>
      <c r="BQ584" t="str">
        <f t="shared" si="1025"/>
        <v>event_team_player_2</v>
      </c>
      <c r="BR584">
        <f>COUNTIFS(S$3:S584,"="&amp;S584,AH$3:AH584,"="&amp;AH584)</f>
        <v>2</v>
      </c>
      <c r="BS584" t="str">
        <f>IFERROR(VLOOKUP(BA584&amp;BT584&amp;X584,game_rosters!U:W,3,FALSE),"")</f>
        <v>P100019</v>
      </c>
      <c r="BT584" t="str">
        <f t="shared" si="1026"/>
        <v>Triple J</v>
      </c>
    </row>
    <row r="585" spans="1:72" x14ac:dyDescent="0.2">
      <c r="A585" t="str">
        <f t="shared" si="1001"/>
        <v>x</v>
      </c>
      <c r="D585" s="26" t="s">
        <v>729</v>
      </c>
      <c r="E585" s="4"/>
      <c r="F585" s="45"/>
      <c r="G585" s="4"/>
      <c r="H585" s="47"/>
      <c r="I585" s="26">
        <v>24</v>
      </c>
      <c r="J585" s="26" t="str">
        <f t="shared" si="1029"/>
        <v/>
      </c>
      <c r="N585" t="str">
        <f t="shared" si="940"/>
        <v/>
      </c>
      <c r="O585" t="s">
        <v>566</v>
      </c>
      <c r="Q585" t="str">
        <f t="shared" si="934"/>
        <v/>
      </c>
      <c r="R585" s="26">
        <v>1</v>
      </c>
      <c r="S585">
        <f>IF(A585=1,MAX($S$2:$S584)+1,IF(OR($I585&lt;&gt;"",A585="x"),$S584,""))</f>
        <v>291</v>
      </c>
      <c r="T585">
        <f>IF(D585=1,MAX($T$2:$T584)+1,IF(S585=S584,$T584,IF(D585="x",T584,IF(D584="x","",""))))</f>
        <v>38</v>
      </c>
      <c r="U585" t="str">
        <f>IF(B585=1,MAX($U$2:$U584)+1,IF(AND($T585&lt;&gt;"",$T585=$T584),$U584,IF(B585="x",U584,"")))</f>
        <v/>
      </c>
      <c r="V585" t="str">
        <f>IF(C585=1,MAX($V$2:$V584)+1,IF(AND($T585&lt;&gt;"",$T585=$T584),$U584,IF(C585="x",V584,"")))</f>
        <v/>
      </c>
      <c r="W585" t="str" cm="1">
        <f t="array" ref="W585">IFERROR(_xlfn._xlws.FILTER(game_rosters!AC:AC,(game_rosters!J:J=events!X585)*(K585&lt;&gt;"")),"")</f>
        <v/>
      </c>
      <c r="X585" cm="1">
        <f t="array" ref="X585">IF($I585&lt;&gt;"",$I585,INDEX($I$1:$I585,ROW()-COUNTIFS($T$1:$T585,"="&amp;$T585,$S$1:$S585,"&lt;"&amp;$S585)))</f>
        <v>24</v>
      </c>
      <c r="Y585" t="str" cm="1">
        <f t="array" ref="Y585">IFERROR(IF(_xlfn._xlws.FILTER(game_rosters!$J:$J,(game_rosters!$G:$G=events!$AM585)*(game_rosters!$J:$J=events!$X585))&gt;0,1,""),"")</f>
        <v/>
      </c>
      <c r="Z585" s="6">
        <f t="shared" si="1002"/>
        <v>1</v>
      </c>
      <c r="AA585">
        <f t="shared" si="1003"/>
        <v>1291</v>
      </c>
      <c r="AB585">
        <f t="shared" si="1004"/>
        <v>9038</v>
      </c>
      <c r="AC585">
        <f t="shared" si="1005"/>
        <v>9038</v>
      </c>
      <c r="AD585" t="str">
        <f t="shared" si="1006"/>
        <v>9</v>
      </c>
      <c r="AE585" t="str">
        <f t="shared" si="1007"/>
        <v>28</v>
      </c>
      <c r="AF585" t="str">
        <f t="shared" si="1008"/>
        <v/>
      </c>
      <c r="AG585" t="str">
        <f t="shared" si="1009"/>
        <v/>
      </c>
      <c r="AH585" t="str">
        <f t="shared" si="947"/>
        <v>o</v>
      </c>
      <c r="AI585" t="str">
        <f t="shared" si="989"/>
        <v>d</v>
      </c>
      <c r="AJ585" t="str">
        <f t="shared" si="989"/>
        <v>d</v>
      </c>
      <c r="AK585" t="str">
        <f t="shared" si="949"/>
        <v/>
      </c>
      <c r="AL585" t="str">
        <f t="shared" si="950"/>
        <v/>
      </c>
      <c r="AM585" t="str">
        <f t="shared" si="1010"/>
        <v>Home</v>
      </c>
      <c r="AN585" t="str">
        <f t="shared" si="951"/>
        <v>h</v>
      </c>
      <c r="AO585" t="str">
        <f t="shared" si="952"/>
        <v>d</v>
      </c>
      <c r="AP585" t="str">
        <f t="shared" si="953"/>
        <v>o</v>
      </c>
      <c r="AQ585" t="str">
        <f>IF(AM585&lt;&gt;"",AM585,IF($AC585=#REF!,#REF!,""))</f>
        <v>Home</v>
      </c>
      <c r="AR585" t="str">
        <f t="shared" si="954"/>
        <v>h</v>
      </c>
      <c r="AS585" t="str">
        <f t="shared" si="955"/>
        <v>Defensive</v>
      </c>
      <c r="AT585" t="str">
        <f t="shared" si="1011"/>
        <v/>
      </c>
      <c r="AU585" t="str">
        <f t="shared" si="1012"/>
        <v/>
      </c>
      <c r="AV585" t="str" cm="1">
        <f t="array" ref="AV585">IFERROR(IF(O585&lt;&gt;"",O585,IF(OR($S585="",$T585=""),"",IF(O585&lt;&gt;"",O585,IF($T585&lt;&gt;"",_xlfn._xlws.FILTER(O:O,($BT:$BT=$BT585)*($I:$I=$I585)*($T:$T=$T585)*($S:$S=_xlfn.MINIFS($S:$S,$T:$T,"="&amp;$T585)),"")))))&amp;"",IF(O585="","",""))&amp;""</f>
        <v>InShotPassLane</v>
      </c>
      <c r="AW585" t="str" cm="1">
        <f t="array" ref="AW585">IFERROR(IF(P585&lt;&gt;"",P585,IF(OR($S585="",$T585=""),"",IF($T585&lt;&gt;"",_xlfn._xlws.FILTER(P:P,($BT:$BT=$BT585)*($I:$I=$I585)*($T:$T=$T585)*($S:$S=_xlfn.MINIFS($S:$S,$T:$T,"="&amp;$T585)),""))))&amp;"",IF(P585="","",""))&amp;""</f>
        <v/>
      </c>
      <c r="AX585" t="str" cm="1">
        <f t="array" ref="AX585">IFERROR(IF(Q585&lt;&gt;"",Q585,IF(OR($S585="",$T585=""),"",IF($T585&lt;&gt;"",_xlfn._xlws.FILTER(Q:Q,($BT:$BT=$BT585)*($I:$I=$I585)*($T:$T=$T585)*($S:$S=_xlfn.MINIFS($S:$S,$T:$T,"="&amp;$T585)),""))))&amp;"",IF(Q585="","",""))&amp;""</f>
        <v/>
      </c>
      <c r="AY585" t="str" cm="1">
        <f t="array" ref="AY585">IFERROR(IF(R585&lt;&gt;"",R585,IF(OR($S585="",$T585=""),"",IF($T585&lt;&gt;"",_xlfn._xlws.FILTER(R:R,($BT:$BT=$BT585)*($I:$I=$I585)*($T:$T=$T585)*($S:$S=_xlfn.MINIFS($S:$S,$T:$T,"="&amp;$T585)),""))))&amp;"",IF(R585="","",""))&amp;""</f>
        <v>1</v>
      </c>
      <c r="AZ585" s="6">
        <f t="shared" si="1013"/>
        <v>49</v>
      </c>
      <c r="BA585">
        <f t="shared" ref="BA585:BC585" si="1031">BA584</f>
        <v>18991</v>
      </c>
      <c r="BB585" t="str">
        <f t="shared" si="1031"/>
        <v>Triple J</v>
      </c>
      <c r="BC585" t="str">
        <f t="shared" si="1031"/>
        <v>Velodrome</v>
      </c>
      <c r="BD585" t="str">
        <f t="shared" si="1015"/>
        <v>Pass</v>
      </c>
      <c r="BE585" t="str">
        <f t="shared" si="1016"/>
        <v>Pass_Deflected</v>
      </c>
      <c r="BF585" t="str">
        <f t="shared" si="1017"/>
        <v>Pass-Forehand</v>
      </c>
      <c r="BG585" t="str">
        <f t="shared" si="999"/>
        <v>u</v>
      </c>
      <c r="BH585" cm="1">
        <f t="array" aca="1" ref="BH585" ca="1">IFERROR(_xlfn._xlws.FILTER(shifts!A:A,(shifts!B:B=events!Z585)*(shifts!AG:AG&gt;=events!BJ585)*(shifts!AH:AH&lt;=events!BK585)),BH584)</f>
        <v>18</v>
      </c>
      <c r="BI585" s="15">
        <f t="shared" si="1018"/>
        <v>0</v>
      </c>
      <c r="BJ585">
        <f t="shared" si="1019"/>
        <v>568</v>
      </c>
      <c r="BK585">
        <f t="shared" si="1020"/>
        <v>568</v>
      </c>
      <c r="BL585" s="15">
        <f>SUMIFS(BI$2:BI585,K$2:K585,"=Intermission")+SUMIFS(BI$2:BI585,K$2:K585,"=Timeout")</f>
        <v>0</v>
      </c>
      <c r="BM585">
        <f t="shared" si="1021"/>
        <v>0</v>
      </c>
      <c r="BN585" s="19">
        <f t="shared" si="1022"/>
        <v>512</v>
      </c>
      <c r="BO585">
        <f t="shared" si="1023"/>
        <v>507</v>
      </c>
      <c r="BP585" s="17">
        <f t="shared" si="1024"/>
        <v>512</v>
      </c>
      <c r="BQ585" t="str">
        <f t="shared" si="1025"/>
        <v>opp_team_player_1</v>
      </c>
      <c r="BR585">
        <f>COUNTIFS(S$3:S585,"="&amp;S585,AH$3:AH585,"="&amp;AH585)</f>
        <v>1</v>
      </c>
      <c r="BS585" t="str">
        <f>IFERROR(VLOOKUP(BA585&amp;BT585&amp;X585,game_rosters!U:W,3,FALSE),"")</f>
        <v>P100230</v>
      </c>
      <c r="BT585" t="str">
        <f t="shared" si="1026"/>
        <v>Velodrome</v>
      </c>
    </row>
    <row r="586" spans="1:72" x14ac:dyDescent="0.2">
      <c r="A586" t="str">
        <f t="shared" si="1001"/>
        <v>x</v>
      </c>
      <c r="D586" s="26" t="s">
        <v>729</v>
      </c>
      <c r="E586" s="4"/>
      <c r="F586" s="45"/>
      <c r="G586" s="4"/>
      <c r="H586" s="47"/>
      <c r="I586" s="26">
        <v>91</v>
      </c>
      <c r="J586" s="26" t="str">
        <f t="shared" si="1029"/>
        <v/>
      </c>
      <c r="N586" t="str">
        <f t="shared" si="940"/>
        <v/>
      </c>
      <c r="O586" t="s">
        <v>782</v>
      </c>
      <c r="Q586" t="str">
        <f t="shared" si="934"/>
        <v/>
      </c>
      <c r="S586">
        <f>IF(A586=1,MAX($S$2:$S585)+1,IF(OR($I586&lt;&gt;"",A586="x"),$S585,""))</f>
        <v>291</v>
      </c>
      <c r="T586">
        <f>IF(D586=1,MAX($T$2:$T585)+1,IF(S586=S585,$T585,IF(D586="x",T585,IF(D585="x","",""))))</f>
        <v>38</v>
      </c>
      <c r="U586" t="str">
        <f>IF(B586=1,MAX($U$2:$U585)+1,IF(AND($T586&lt;&gt;"",$T586=$T585),$U585,IF(B586="x",U585,"")))</f>
        <v/>
      </c>
      <c r="V586" t="str">
        <f>IF(C586=1,MAX($V$2:$V585)+1,IF(AND($T586&lt;&gt;"",$T586=$T585),$U585,IF(C586="x",V585,"")))</f>
        <v/>
      </c>
      <c r="W586" t="str" cm="1">
        <f t="array" ref="W586">IFERROR(_xlfn._xlws.FILTER(game_rosters!AC:AC,(game_rosters!J:J=events!X586)*(K586&lt;&gt;"")),"")</f>
        <v/>
      </c>
      <c r="X586" cm="1">
        <f t="array" ref="X586">IF($I586&lt;&gt;"",$I586,INDEX($I$1:$I586,ROW()-COUNTIFS($T$1:$T586,"="&amp;$T586,$S$1:$S586,"&lt;"&amp;$S586)))</f>
        <v>91</v>
      </c>
      <c r="Y586" t="str" cm="1">
        <f t="array" ref="Y586">IFERROR(IF(_xlfn._xlws.FILTER(game_rosters!$J:$J,(game_rosters!$G:$G=events!$AM586)*(game_rosters!$J:$J=events!$X586))&gt;0,1,""),"")</f>
        <v/>
      </c>
      <c r="Z586" s="6">
        <f t="shared" si="1002"/>
        <v>1</v>
      </c>
      <c r="AA586">
        <f t="shared" si="1003"/>
        <v>1291</v>
      </c>
      <c r="AB586">
        <f t="shared" si="1004"/>
        <v>9038</v>
      </c>
      <c r="AC586">
        <f t="shared" si="1005"/>
        <v>9038</v>
      </c>
      <c r="AD586" t="str">
        <f t="shared" si="1006"/>
        <v>9</v>
      </c>
      <c r="AE586" t="str">
        <f t="shared" si="1007"/>
        <v>28</v>
      </c>
      <c r="AF586" t="str">
        <f t="shared" si="1008"/>
        <v/>
      </c>
      <c r="AG586" t="str">
        <f t="shared" si="1009"/>
        <v/>
      </c>
      <c r="AH586" t="str">
        <f t="shared" si="947"/>
        <v>o</v>
      </c>
      <c r="AI586" t="str">
        <f t="shared" si="989"/>
        <v>d</v>
      </c>
      <c r="AJ586" t="str">
        <f t="shared" si="989"/>
        <v>d</v>
      </c>
      <c r="AK586" t="str">
        <f t="shared" si="949"/>
        <v/>
      </c>
      <c r="AL586" t="str">
        <f t="shared" si="950"/>
        <v/>
      </c>
      <c r="AM586" t="str">
        <f t="shared" si="1010"/>
        <v>Home</v>
      </c>
      <c r="AN586" t="str">
        <f t="shared" si="951"/>
        <v>h</v>
      </c>
      <c r="AO586" t="str">
        <f t="shared" si="952"/>
        <v>d</v>
      </c>
      <c r="AP586" t="str">
        <f t="shared" si="953"/>
        <v>o</v>
      </c>
      <c r="AQ586" t="str">
        <f>IF(AM586&lt;&gt;"",AM586,IF($AC586=#REF!,#REF!,""))</f>
        <v>Home</v>
      </c>
      <c r="AR586" t="str">
        <f t="shared" si="954"/>
        <v>h</v>
      </c>
      <c r="AS586" t="str">
        <f t="shared" si="955"/>
        <v>Defensive</v>
      </c>
      <c r="AT586" t="str">
        <f t="shared" si="1011"/>
        <v/>
      </c>
      <c r="AU586" t="str">
        <f t="shared" si="1012"/>
        <v/>
      </c>
      <c r="AV586" t="str" cm="1">
        <f t="array" ref="AV586">IFERROR(IF(O586&lt;&gt;"",O586,IF(OR($S586="",$T586=""),"",IF(O586&lt;&gt;"",O586,IF($T586&lt;&gt;"",_xlfn._xlws.FILTER(O:O,($BT:$BT=$BT586)*($I:$I=$I586)*($T:$T=$T586)*($S:$S=_xlfn.MINIFS($S:$S,$T:$T,"="&amp;$T586)),"")))))&amp;"",IF(O586="","",""))&amp;""</f>
        <v>PassDeflected</v>
      </c>
      <c r="AW586" t="str" cm="1">
        <f t="array" ref="AW586">IFERROR(IF(P586&lt;&gt;"",P586,IF(OR($S586="",$T586=""),"",IF($T586&lt;&gt;"",_xlfn._xlws.FILTER(P:P,($BT:$BT=$BT586)*($I:$I=$I586)*($T:$T=$T586)*($S:$S=_xlfn.MINIFS($S:$S,$T:$T,"="&amp;$T586)),""))))&amp;"",IF(P586="","",""))&amp;""</f>
        <v/>
      </c>
      <c r="AX586" t="str" cm="1">
        <f t="array" ref="AX586">IFERROR(IF(Q586&lt;&gt;"",Q586,IF(OR($S586="",$T586=""),"",IF($T586&lt;&gt;"",_xlfn._xlws.FILTER(Q:Q,($BT:$BT=$BT586)*($I:$I=$I586)*($T:$T=$T586)*($S:$S=_xlfn.MINIFS($S:$S,$T:$T,"="&amp;$T586)),""))))&amp;"",IF(Q586="","",""))&amp;""</f>
        <v/>
      </c>
      <c r="AY586" t="str" cm="1">
        <f t="array" ref="AY586">IFERROR(IF(R586&lt;&gt;"",R586,IF(OR($S586="",$T586=""),"",IF($T586&lt;&gt;"",_xlfn._xlws.FILTER(R:R,($BT:$BT=$BT586)*($I:$I=$I586)*($T:$T=$T586)*($S:$S=_xlfn.MINIFS($S:$S,$T:$T,"="&amp;$T586)),""))))&amp;"",IF(R586="","",""))&amp;""</f>
        <v/>
      </c>
      <c r="AZ586" s="6">
        <f t="shared" si="1013"/>
        <v>49</v>
      </c>
      <c r="BA586">
        <f t="shared" ref="BA586:BC586" si="1032">BA585</f>
        <v>18991</v>
      </c>
      <c r="BB586" t="str">
        <f t="shared" si="1032"/>
        <v>Triple J</v>
      </c>
      <c r="BC586" t="str">
        <f t="shared" si="1032"/>
        <v>Velodrome</v>
      </c>
      <c r="BD586" t="str">
        <f t="shared" si="1015"/>
        <v>Pass</v>
      </c>
      <c r="BE586" t="str">
        <f t="shared" si="1016"/>
        <v>Pass_Deflected</v>
      </c>
      <c r="BF586" t="str">
        <f t="shared" si="1017"/>
        <v>Pass-Forehand</v>
      </c>
      <c r="BG586" t="str">
        <f t="shared" si="999"/>
        <v>u</v>
      </c>
      <c r="BH586" cm="1">
        <f t="array" aca="1" ref="BH586" ca="1">IFERROR(_xlfn._xlws.FILTER(shifts!A:A,(shifts!B:B=events!Z586)*(shifts!AG:AG&gt;=events!BJ586)*(shifts!AH:AH&lt;=events!BK586)),BH585)</f>
        <v>18</v>
      </c>
      <c r="BI586" s="15">
        <f t="shared" si="1018"/>
        <v>0</v>
      </c>
      <c r="BJ586">
        <f t="shared" si="1019"/>
        <v>568</v>
      </c>
      <c r="BK586">
        <f t="shared" si="1020"/>
        <v>568</v>
      </c>
      <c r="BL586" s="15">
        <f>SUMIFS(BI$2:BI586,K$2:K586,"=Intermission")+SUMIFS(BI$2:BI586,K$2:K586,"=Timeout")</f>
        <v>0</v>
      </c>
      <c r="BM586">
        <f t="shared" si="1021"/>
        <v>0</v>
      </c>
      <c r="BN586" s="19">
        <f t="shared" si="1022"/>
        <v>512</v>
      </c>
      <c r="BO586">
        <f t="shared" si="1023"/>
        <v>507</v>
      </c>
      <c r="BP586" s="17">
        <f t="shared" si="1024"/>
        <v>512</v>
      </c>
      <c r="BQ586" t="str">
        <f t="shared" si="1025"/>
        <v>opp_team_player_2</v>
      </c>
      <c r="BR586">
        <f>COUNTIFS(S$3:S586,"="&amp;S586,AH$3:AH586,"="&amp;AH586)</f>
        <v>2</v>
      </c>
      <c r="BS586" t="str">
        <f>IFERROR(VLOOKUP(BA586&amp;BT586&amp;X586,game_rosters!U:W,3,FALSE),"")</f>
        <v>P100002</v>
      </c>
      <c r="BT586" t="str">
        <f t="shared" si="1026"/>
        <v>Velodrome</v>
      </c>
    </row>
    <row r="587" spans="1:72" x14ac:dyDescent="0.2">
      <c r="A587">
        <f t="shared" si="1001"/>
        <v>1</v>
      </c>
      <c r="D587" s="26" t="s">
        <v>729</v>
      </c>
      <c r="E587" s="4"/>
      <c r="F587" s="45"/>
      <c r="G587" s="4"/>
      <c r="H587" s="47"/>
      <c r="J587" s="26" t="s">
        <v>736</v>
      </c>
      <c r="K587" t="s">
        <v>9</v>
      </c>
      <c r="L587" t="s">
        <v>173</v>
      </c>
      <c r="M587" t="s">
        <v>75</v>
      </c>
      <c r="N587" t="str">
        <f t="shared" si="940"/>
        <v>u</v>
      </c>
      <c r="Q587" t="str">
        <f t="shared" si="934"/>
        <v/>
      </c>
      <c r="S587">
        <f>IF(A587=1,MAX($S$2:$S586)+1,IF(OR($I587&lt;&gt;"",A587="x"),$S586,""))</f>
        <v>292</v>
      </c>
      <c r="T587">
        <f>IF(D587=1,MAX($T$2:$T586)+1,IF(S587=S586,$T586,IF(D587="x",T586,IF(D586="x","",""))))</f>
        <v>38</v>
      </c>
      <c r="U587" t="str">
        <f>IF(B587=1,MAX($U$2:$U586)+1,IF(AND($T587&lt;&gt;"",$T587=$T586),$U586,IF(B587="x",U586,"")))</f>
        <v/>
      </c>
      <c r="V587" t="str">
        <f>IF(C587=1,MAX($V$2:$V586)+1,IF(AND($T587&lt;&gt;"",$T587=$T586),$U586,IF(C587="x",V586,"")))</f>
        <v/>
      </c>
      <c r="W587" t="str" cm="1">
        <f t="array" ref="W587">IFERROR(_xlfn._xlws.FILTER(game_rosters!AC:AC,(game_rosters!J:J=events!X587)*(K587&lt;&gt;"")),"")</f>
        <v>h</v>
      </c>
      <c r="X587" cm="1">
        <f t="array" ref="X587">IF($I587&lt;&gt;"",$I587,INDEX($I$1:$I587,ROW()-COUNTIFS($T$1:$T587,"="&amp;$T587,$S$1:$S587,"&lt;"&amp;$S587)))</f>
        <v>10</v>
      </c>
      <c r="Y587" cm="1">
        <f t="array" ref="Y587">IFERROR(IF(_xlfn._xlws.FILTER(game_rosters!$J:$J,(game_rosters!$G:$G=events!$AM587)*(game_rosters!$J:$J=events!$X587))&gt;0,1,""),"")</f>
        <v>1</v>
      </c>
      <c r="Z587" s="6">
        <f t="shared" si="1002"/>
        <v>1</v>
      </c>
      <c r="AA587">
        <f t="shared" si="1003"/>
        <v>1292</v>
      </c>
      <c r="AB587">
        <f t="shared" si="1004"/>
        <v>9038</v>
      </c>
      <c r="AC587">
        <f t="shared" si="1005"/>
        <v>9038</v>
      </c>
      <c r="AD587" t="str">
        <f t="shared" si="1006"/>
        <v>9</v>
      </c>
      <c r="AE587" t="str">
        <f t="shared" si="1007"/>
        <v>28</v>
      </c>
      <c r="AF587" t="str">
        <f t="shared" si="1008"/>
        <v/>
      </c>
      <c r="AG587" t="str">
        <f t="shared" si="1009"/>
        <v/>
      </c>
      <c r="AH587" t="str">
        <f t="shared" si="947"/>
        <v>e</v>
      </c>
      <c r="AI587" t="str">
        <f t="shared" ref="AI587:AJ602" si="1033">IF($J587&lt;&gt;"",$J587,IF($AC587=$AC586,AI586,""))</f>
        <v>d</v>
      </c>
      <c r="AJ587" t="str">
        <f t="shared" si="1033"/>
        <v>d</v>
      </c>
      <c r="AK587" t="str">
        <f t="shared" si="949"/>
        <v>d</v>
      </c>
      <c r="AL587" t="str">
        <f t="shared" si="950"/>
        <v>o</v>
      </c>
      <c r="AM587" t="str">
        <f t="shared" si="1010"/>
        <v>Home</v>
      </c>
      <c r="AN587" t="str">
        <f t="shared" si="951"/>
        <v>h</v>
      </c>
      <c r="AO587" t="str">
        <f t="shared" si="952"/>
        <v>d</v>
      </c>
      <c r="AP587" t="str">
        <f t="shared" si="953"/>
        <v>o</v>
      </c>
      <c r="AQ587" t="str">
        <f>IF(AM587&lt;&gt;"",AM587,IF($AC587=#REF!,#REF!,""))</f>
        <v>Home</v>
      </c>
      <c r="AR587" t="str">
        <f t="shared" si="954"/>
        <v>h</v>
      </c>
      <c r="AS587" t="str">
        <f t="shared" si="955"/>
        <v>Offensive</v>
      </c>
      <c r="AT587" t="str">
        <f t="shared" si="1011"/>
        <v/>
      </c>
      <c r="AU587" t="str">
        <f t="shared" si="1012"/>
        <v/>
      </c>
      <c r="AV587" t="str" cm="1">
        <f t="array" ref="AV587">IFERROR(IF(O587&lt;&gt;"",O587,IF(OR($S587="",$T587=""),"",IF(O587&lt;&gt;"",O587,IF($T587&lt;&gt;"",_xlfn._xlws.FILTER(O:O,($BT:$BT=$BT587)*($I:$I=$I587)*($T:$T=$T587)*($S:$S=_xlfn.MINIFS($S:$S,$T:$T,"="&amp;$T587)),"")))))&amp;"",IF(O587="","",""))&amp;""</f>
        <v/>
      </c>
      <c r="AW587" t="str" cm="1">
        <f t="array" ref="AW587">IFERROR(IF(P587&lt;&gt;"",P587,IF(OR($S587="",$T587=""),"",IF($T587&lt;&gt;"",_xlfn._xlws.FILTER(P:P,($BT:$BT=$BT587)*($I:$I=$I587)*($T:$T=$T587)*($S:$S=_xlfn.MINIFS($S:$S,$T:$T,"="&amp;$T587)),""))))&amp;"",IF(P587="","",""))&amp;""</f>
        <v/>
      </c>
      <c r="AX587" t="str" cm="1">
        <f t="array" ref="AX587">IFERROR(IF(Q587&lt;&gt;"",Q587,IF(OR($S587="",$T587=""),"",IF($T587&lt;&gt;"",_xlfn._xlws.FILTER(Q:Q,($BT:$BT=$BT587)*($I:$I=$I587)*($T:$T=$T587)*($S:$S=_xlfn.MINIFS($S:$S,$T:$T,"="&amp;$T587)),""))))&amp;"",IF(Q587="","",""))&amp;""</f>
        <v/>
      </c>
      <c r="AY587" t="str" cm="1">
        <f t="array" ref="AY587">IFERROR(IF(R587&lt;&gt;"",R587,IF(OR($S587="",$T587=""),"",IF($T587&lt;&gt;"",_xlfn._xlws.FILTER(R:R,($BT:$BT=$BT587)*($I:$I=$I587)*($T:$T=$T587)*($S:$S=_xlfn.MINIFS($S:$S,$T:$T,"="&amp;$T587)),""))))&amp;"",IF(R587="","",""))&amp;""</f>
        <v/>
      </c>
      <c r="AZ587" s="6">
        <f t="shared" si="1013"/>
        <v>49</v>
      </c>
      <c r="BA587">
        <f t="shared" ref="BA587:BC587" si="1034">BA586</f>
        <v>18991</v>
      </c>
      <c r="BB587" t="str">
        <f t="shared" si="1034"/>
        <v>Triple J</v>
      </c>
      <c r="BC587" t="str">
        <f t="shared" si="1034"/>
        <v>Velodrome</v>
      </c>
      <c r="BD587" t="str">
        <f t="shared" si="1015"/>
        <v>Turnover</v>
      </c>
      <c r="BE587" t="str">
        <f t="shared" si="1016"/>
        <v>Turnover_Giveaway</v>
      </c>
      <c r="BF587" t="str">
        <f t="shared" si="1017"/>
        <v>Giveaway-PassBlocked</v>
      </c>
      <c r="BG587" t="str">
        <f t="shared" si="999"/>
        <v>u</v>
      </c>
      <c r="BH587" cm="1">
        <f t="array" aca="1" ref="BH587" ca="1">IFERROR(_xlfn._xlws.FILTER(shifts!A:A,(shifts!B:B=events!Z587)*(shifts!AG:AG&gt;=events!BJ587)*(shifts!AH:AH&lt;=events!BK587)),BH586)</f>
        <v>18</v>
      </c>
      <c r="BI587" s="15">
        <f t="shared" si="1018"/>
        <v>0</v>
      </c>
      <c r="BJ587">
        <f t="shared" si="1019"/>
        <v>568</v>
      </c>
      <c r="BK587">
        <f t="shared" si="1020"/>
        <v>568</v>
      </c>
      <c r="BL587" s="15">
        <f>SUMIFS(BI$2:BI587,K$2:K587,"=Intermission")+SUMIFS(BI$2:BI587,K$2:K587,"=Timeout")</f>
        <v>0</v>
      </c>
      <c r="BM587">
        <f t="shared" si="1021"/>
        <v>0</v>
      </c>
      <c r="BN587" s="19">
        <f t="shared" si="1022"/>
        <v>512</v>
      </c>
      <c r="BO587">
        <f t="shared" si="1023"/>
        <v>507</v>
      </c>
      <c r="BP587" s="17">
        <f t="shared" si="1024"/>
        <v>512</v>
      </c>
      <c r="BQ587" t="str">
        <f t="shared" si="1025"/>
        <v>event_team_player_1</v>
      </c>
      <c r="BR587">
        <f>COUNTIFS(S$3:S587,"="&amp;S587,AH$3:AH587,"="&amp;AH587)</f>
        <v>1</v>
      </c>
      <c r="BS587" t="str">
        <f>IFERROR(VLOOKUP(BA587&amp;BT587&amp;X587,game_rosters!U:W,3,FALSE),"")</f>
        <v>P100183</v>
      </c>
      <c r="BT587" t="str">
        <f t="shared" si="1026"/>
        <v>Triple J</v>
      </c>
    </row>
    <row r="588" spans="1:72" x14ac:dyDescent="0.2">
      <c r="A588" t="str">
        <f t="shared" si="1001"/>
        <v>x</v>
      </c>
      <c r="D588" s="26" t="s">
        <v>729</v>
      </c>
      <c r="E588" s="4"/>
      <c r="F588" s="45"/>
      <c r="G588" s="4"/>
      <c r="H588" s="47"/>
      <c r="J588" s="26" t="str">
        <f t="shared" si="1029"/>
        <v/>
      </c>
      <c r="N588" t="str">
        <f t="shared" si="940"/>
        <v/>
      </c>
      <c r="Q588" t="str">
        <f t="shared" si="934"/>
        <v/>
      </c>
      <c r="S588">
        <f>IF(A588=1,MAX($S$2:$S587)+1,IF(OR($I588&lt;&gt;"",A588="x"),$S587,""))</f>
        <v>292</v>
      </c>
      <c r="T588">
        <f>IF(D588=1,MAX($T$2:$T587)+1,IF(S588=S587,$T587,IF(D588="x",T587,IF(D587="x","",""))))</f>
        <v>38</v>
      </c>
      <c r="U588" t="str">
        <f>IF(B588=1,MAX($U$2:$U587)+1,IF(AND($T588&lt;&gt;"",$T588=$T587),$U587,IF(B588="x",U587,"")))</f>
        <v/>
      </c>
      <c r="V588" t="str">
        <f>IF(C588=1,MAX($V$2:$V587)+1,IF(AND($T588&lt;&gt;"",$T588=$T587),$U587,IF(C588="x",V587,"")))</f>
        <v/>
      </c>
      <c r="W588" t="str" cm="1">
        <f t="array" ref="W588">IFERROR(_xlfn._xlws.FILTER(game_rosters!AC:AC,(game_rosters!J:J=events!X588)*(K588&lt;&gt;"")),"")</f>
        <v/>
      </c>
      <c r="X588" cm="1">
        <f t="array" ref="X588">IF($I588&lt;&gt;"",$I588,INDEX($I$1:$I588,ROW()-COUNTIFS($T$1:$T588,"="&amp;$T588,$S$1:$S588,"&lt;"&amp;$S588)))</f>
        <v>21</v>
      </c>
      <c r="Y588" cm="1">
        <f t="array" ref="Y588">IFERROR(IF(_xlfn._xlws.FILTER(game_rosters!$J:$J,(game_rosters!$G:$G=events!$AM588)*(game_rosters!$J:$J=events!$X588))&gt;0,1,""),"")</f>
        <v>1</v>
      </c>
      <c r="Z588" s="6">
        <f t="shared" si="1002"/>
        <v>1</v>
      </c>
      <c r="AA588">
        <f t="shared" si="1003"/>
        <v>1292</v>
      </c>
      <c r="AB588">
        <f t="shared" si="1004"/>
        <v>9038</v>
      </c>
      <c r="AC588">
        <f t="shared" si="1005"/>
        <v>9038</v>
      </c>
      <c r="AD588" t="str">
        <f t="shared" si="1006"/>
        <v>9</v>
      </c>
      <c r="AE588" t="str">
        <f t="shared" si="1007"/>
        <v>28</v>
      </c>
      <c r="AF588" t="str">
        <f t="shared" si="1008"/>
        <v/>
      </c>
      <c r="AG588" t="str">
        <f t="shared" si="1009"/>
        <v/>
      </c>
      <c r="AH588" t="str">
        <f t="shared" si="947"/>
        <v>e</v>
      </c>
      <c r="AI588" t="str">
        <f t="shared" si="1033"/>
        <v>d</v>
      </c>
      <c r="AJ588" t="str">
        <f t="shared" si="1033"/>
        <v>d</v>
      </c>
      <c r="AK588" t="str">
        <f t="shared" si="949"/>
        <v/>
      </c>
      <c r="AL588" t="str">
        <f t="shared" si="950"/>
        <v/>
      </c>
      <c r="AM588" t="str">
        <f t="shared" si="1010"/>
        <v>Home</v>
      </c>
      <c r="AN588" t="str">
        <f t="shared" si="951"/>
        <v>h</v>
      </c>
      <c r="AO588" t="str">
        <f t="shared" si="952"/>
        <v>d</v>
      </c>
      <c r="AP588" t="str">
        <f t="shared" si="953"/>
        <v>o</v>
      </c>
      <c r="AQ588" t="str">
        <f>IF(AM588&lt;&gt;"",AM588,IF($AC588=#REF!,#REF!,""))</f>
        <v>Home</v>
      </c>
      <c r="AR588" t="str">
        <f t="shared" si="954"/>
        <v>h</v>
      </c>
      <c r="AS588" t="str">
        <f t="shared" si="955"/>
        <v>Offensive</v>
      </c>
      <c r="AT588" t="str">
        <f t="shared" si="1011"/>
        <v/>
      </c>
      <c r="AU588" t="str">
        <f t="shared" si="1012"/>
        <v/>
      </c>
      <c r="AV588" t="str" cm="1">
        <f t="array" ref="AV588">IFERROR(IF(O588&lt;&gt;"",O588,IF(OR($S588="",$T588=""),"",IF(O588&lt;&gt;"",O588,IF($T588&lt;&gt;"",_xlfn._xlws.FILTER(O:O,($BT:$BT=$BT588)*($I:$I=$I588)*($T:$T=$T588)*($S:$S=_xlfn.MINIFS($S:$S,$T:$T,"="&amp;$T588)),"")))))&amp;"",IF(O588="","",""))&amp;""</f>
        <v/>
      </c>
      <c r="AW588" t="str" cm="1">
        <f t="array" ref="AW588">IFERROR(IF(P588&lt;&gt;"",P588,IF(OR($S588="",$T588=""),"",IF($T588&lt;&gt;"",_xlfn._xlws.FILTER(P:P,($BT:$BT=$BT588)*($I:$I=$I588)*($T:$T=$T588)*($S:$S=_xlfn.MINIFS($S:$S,$T:$T,"="&amp;$T588)),""))))&amp;"",IF(P588="","",""))&amp;""</f>
        <v/>
      </c>
      <c r="AX588" t="str" cm="1">
        <f t="array" ref="AX588">IFERROR(IF(Q588&lt;&gt;"",Q588,IF(OR($S588="",$T588=""),"",IF($T588&lt;&gt;"",_xlfn._xlws.FILTER(Q:Q,($BT:$BT=$BT588)*($I:$I=$I588)*($T:$T=$T588)*($S:$S=_xlfn.MINIFS($S:$S,$T:$T,"="&amp;$T588)),""))))&amp;"",IF(Q588="","",""))&amp;""</f>
        <v/>
      </c>
      <c r="AY588" t="str" cm="1">
        <f t="array" ref="AY588">IFERROR(IF(R588&lt;&gt;"",R588,IF(OR($S588="",$T588=""),"",IF($T588&lt;&gt;"",_xlfn._xlws.FILTER(R:R,($BT:$BT=$BT588)*($I:$I=$I588)*($T:$T=$T588)*($S:$S=_xlfn.MINIFS($S:$S,$T:$T,"="&amp;$T588)),""))))&amp;"",IF(R588="","",""))&amp;""</f>
        <v/>
      </c>
      <c r="AZ588" s="6">
        <f t="shared" si="1013"/>
        <v>49</v>
      </c>
      <c r="BA588">
        <f t="shared" ref="BA588:BC588" si="1035">BA587</f>
        <v>18991</v>
      </c>
      <c r="BB588" t="str">
        <f t="shared" si="1035"/>
        <v>Triple J</v>
      </c>
      <c r="BC588" t="str">
        <f t="shared" si="1035"/>
        <v>Velodrome</v>
      </c>
      <c r="BD588" t="str">
        <f t="shared" si="1015"/>
        <v>Turnover</v>
      </c>
      <c r="BE588" t="str">
        <f t="shared" si="1016"/>
        <v>Turnover_Giveaway</v>
      </c>
      <c r="BF588" t="str">
        <f t="shared" si="1017"/>
        <v>Giveaway-PassBlocked</v>
      </c>
      <c r="BG588" t="str">
        <f t="shared" si="999"/>
        <v>u</v>
      </c>
      <c r="BH588" cm="1">
        <f t="array" aca="1" ref="BH588" ca="1">IFERROR(_xlfn._xlws.FILTER(shifts!A:A,(shifts!B:B=events!Z588)*(shifts!AG:AG&gt;=events!BJ588)*(shifts!AH:AH&lt;=events!BK588)),BH587)</f>
        <v>18</v>
      </c>
      <c r="BI588" s="15">
        <f t="shared" si="1018"/>
        <v>0</v>
      </c>
      <c r="BJ588">
        <f t="shared" si="1019"/>
        <v>568</v>
      </c>
      <c r="BK588">
        <f t="shared" si="1020"/>
        <v>568</v>
      </c>
      <c r="BL588" s="15">
        <f>SUMIFS(BI$2:BI588,K$2:K588,"=Intermission")+SUMIFS(BI$2:BI588,K$2:K588,"=Timeout")</f>
        <v>0</v>
      </c>
      <c r="BM588">
        <f t="shared" si="1021"/>
        <v>0</v>
      </c>
      <c r="BN588" s="19">
        <f t="shared" si="1022"/>
        <v>512</v>
      </c>
      <c r="BO588">
        <f t="shared" si="1023"/>
        <v>507</v>
      </c>
      <c r="BP588" s="17">
        <f t="shared" si="1024"/>
        <v>512</v>
      </c>
      <c r="BQ588" t="str">
        <f t="shared" si="1025"/>
        <v>event_team_player_2</v>
      </c>
      <c r="BR588">
        <f>COUNTIFS(S$3:S588,"="&amp;S588,AH$3:AH588,"="&amp;AH588)</f>
        <v>2</v>
      </c>
      <c r="BS588" t="str">
        <f>IFERROR(VLOOKUP(BA588&amp;BT588&amp;X588,game_rosters!U:W,3,FALSE),"")</f>
        <v>P100019</v>
      </c>
      <c r="BT588" t="str">
        <f t="shared" si="1026"/>
        <v>Triple J</v>
      </c>
    </row>
    <row r="589" spans="1:72" x14ac:dyDescent="0.2">
      <c r="A589" t="str">
        <f t="shared" si="1001"/>
        <v>x</v>
      </c>
      <c r="D589" s="26" t="s">
        <v>729</v>
      </c>
      <c r="E589" s="4"/>
      <c r="F589" s="45"/>
      <c r="G589" s="4"/>
      <c r="H589" s="47"/>
      <c r="J589" s="26" t="str">
        <f t="shared" si="1029"/>
        <v/>
      </c>
      <c r="N589" t="str">
        <f t="shared" si="940"/>
        <v/>
      </c>
      <c r="Q589" t="str">
        <f t="shared" si="934"/>
        <v/>
      </c>
      <c r="S589">
        <f>IF(A589=1,MAX($S$2:$S588)+1,IF(OR($I589&lt;&gt;"",A589="x"),$S588,""))</f>
        <v>292</v>
      </c>
      <c r="T589">
        <f>IF(D589=1,MAX($T$2:$T588)+1,IF(S589=S588,$T588,IF(D589="x",T588,IF(D588="x","",""))))</f>
        <v>38</v>
      </c>
      <c r="U589" t="str">
        <f>IF(B589=1,MAX($U$2:$U588)+1,IF(AND($T589&lt;&gt;"",$T589=$T588),$U588,IF(B589="x",U588,"")))</f>
        <v/>
      </c>
      <c r="V589" t="str">
        <f>IF(C589=1,MAX($V$2:$V588)+1,IF(AND($T589&lt;&gt;"",$T589=$T588),$U588,IF(C589="x",V588,"")))</f>
        <v/>
      </c>
      <c r="W589" t="str" cm="1">
        <f t="array" ref="W589">IFERROR(_xlfn._xlws.FILTER(game_rosters!AC:AC,(game_rosters!J:J=events!X589)*(K589&lt;&gt;"")),"")</f>
        <v/>
      </c>
      <c r="X589" cm="1">
        <f t="array" ref="X589">IF($I589&lt;&gt;"",$I589,INDEX($I$1:$I589,ROW()-COUNTIFS($T$1:$T589,"="&amp;$T589,$S$1:$S589,"&lt;"&amp;$S589)))</f>
        <v>24</v>
      </c>
      <c r="Y589" t="str" cm="1">
        <f t="array" ref="Y589">IFERROR(IF(_xlfn._xlws.FILTER(game_rosters!$J:$J,(game_rosters!$G:$G=events!$AM589)*(game_rosters!$J:$J=events!$X589))&gt;0,1,""),"")</f>
        <v/>
      </c>
      <c r="Z589" s="6">
        <f t="shared" si="1002"/>
        <v>1</v>
      </c>
      <c r="AA589">
        <f t="shared" si="1003"/>
        <v>1292</v>
      </c>
      <c r="AB589">
        <f t="shared" si="1004"/>
        <v>9038</v>
      </c>
      <c r="AC589">
        <f t="shared" si="1005"/>
        <v>9038</v>
      </c>
      <c r="AD589" t="str">
        <f t="shared" si="1006"/>
        <v>9</v>
      </c>
      <c r="AE589" t="str">
        <f t="shared" si="1007"/>
        <v>28</v>
      </c>
      <c r="AF589" t="str">
        <f t="shared" si="1008"/>
        <v/>
      </c>
      <c r="AG589" t="str">
        <f t="shared" si="1009"/>
        <v/>
      </c>
      <c r="AH589" t="str">
        <f t="shared" si="947"/>
        <v>o</v>
      </c>
      <c r="AI589" t="str">
        <f t="shared" si="1033"/>
        <v>d</v>
      </c>
      <c r="AJ589" t="str">
        <f t="shared" si="1033"/>
        <v>d</v>
      </c>
      <c r="AK589" t="str">
        <f t="shared" si="949"/>
        <v/>
      </c>
      <c r="AL589" t="str">
        <f t="shared" si="950"/>
        <v/>
      </c>
      <c r="AM589" t="str">
        <f t="shared" si="1010"/>
        <v>Home</v>
      </c>
      <c r="AN589" t="str">
        <f t="shared" si="951"/>
        <v>h</v>
      </c>
      <c r="AO589" t="str">
        <f t="shared" si="952"/>
        <v>d</v>
      </c>
      <c r="AP589" t="str">
        <f t="shared" si="953"/>
        <v>o</v>
      </c>
      <c r="AQ589" t="str">
        <f>IF(AM589&lt;&gt;"",AM589,IF($AC589=#REF!,#REF!,""))</f>
        <v>Home</v>
      </c>
      <c r="AR589" t="str">
        <f t="shared" si="954"/>
        <v>h</v>
      </c>
      <c r="AS589" t="str">
        <f t="shared" si="955"/>
        <v>Defensive</v>
      </c>
      <c r="AT589" t="str">
        <f t="shared" si="1011"/>
        <v/>
      </c>
      <c r="AU589" t="str">
        <f t="shared" si="1012"/>
        <v/>
      </c>
      <c r="AV589" t="str" cm="1">
        <f t="array" ref="AV589">IFERROR(IF(O589&lt;&gt;"",O589,IF(OR($S589="",$T589=""),"",IF(O589&lt;&gt;"",O589,IF($T589&lt;&gt;"",_xlfn._xlws.FILTER(O:O,($BT:$BT=$BT589)*($I:$I=$I589)*($T:$T=$T589)*($S:$S=_xlfn.MINIFS($S:$S,$T:$T,"="&amp;$T589)),"")))))&amp;"",IF(O589="","",""))&amp;""</f>
        <v/>
      </c>
      <c r="AW589" t="str" cm="1">
        <f t="array" ref="AW589">IFERROR(IF(P589&lt;&gt;"",P589,IF(OR($S589="",$T589=""),"",IF($T589&lt;&gt;"",_xlfn._xlws.FILTER(P:P,($BT:$BT=$BT589)*($I:$I=$I589)*($T:$T=$T589)*($S:$S=_xlfn.MINIFS($S:$S,$T:$T,"="&amp;$T589)),""))))&amp;"",IF(P589="","",""))&amp;""</f>
        <v/>
      </c>
      <c r="AX589" t="str" cm="1">
        <f t="array" ref="AX589">IFERROR(IF(Q589&lt;&gt;"",Q589,IF(OR($S589="",$T589=""),"",IF($T589&lt;&gt;"",_xlfn._xlws.FILTER(Q:Q,($BT:$BT=$BT589)*($I:$I=$I589)*($T:$T=$T589)*($S:$S=_xlfn.MINIFS($S:$S,$T:$T,"="&amp;$T589)),""))))&amp;"",IF(Q589="","",""))&amp;""</f>
        <v/>
      </c>
      <c r="AY589" t="str" cm="1">
        <f t="array" ref="AY589">IFERROR(IF(R589&lt;&gt;"",R589,IF(OR($S589="",$T589=""),"",IF($T589&lt;&gt;"",_xlfn._xlws.FILTER(R:R,($BT:$BT=$BT589)*($I:$I=$I589)*($T:$T=$T589)*($S:$S=_xlfn.MINIFS($S:$S,$T:$T,"="&amp;$T589)),""))))&amp;"",IF(R589="","",""))&amp;""</f>
        <v/>
      </c>
      <c r="AZ589" s="6">
        <f t="shared" si="1013"/>
        <v>49</v>
      </c>
      <c r="BA589">
        <f t="shared" ref="BA589:BC589" si="1036">BA588</f>
        <v>18991</v>
      </c>
      <c r="BB589" t="str">
        <f t="shared" si="1036"/>
        <v>Triple J</v>
      </c>
      <c r="BC589" t="str">
        <f t="shared" si="1036"/>
        <v>Velodrome</v>
      </c>
      <c r="BD589" t="str">
        <f t="shared" si="1015"/>
        <v>Turnover</v>
      </c>
      <c r="BE589" t="str">
        <f t="shared" si="1016"/>
        <v>Turnover_Giveaway</v>
      </c>
      <c r="BF589" t="str">
        <f t="shared" si="1017"/>
        <v>Giveaway-PassBlocked</v>
      </c>
      <c r="BG589" t="str">
        <f t="shared" si="999"/>
        <v>u</v>
      </c>
      <c r="BH589" cm="1">
        <f t="array" aca="1" ref="BH589" ca="1">IFERROR(_xlfn._xlws.FILTER(shifts!A:A,(shifts!B:B=events!Z589)*(shifts!AG:AG&gt;=events!BJ589)*(shifts!AH:AH&lt;=events!BK589)),BH588)</f>
        <v>18</v>
      </c>
      <c r="BI589" s="15">
        <f t="shared" si="1018"/>
        <v>0</v>
      </c>
      <c r="BJ589">
        <f t="shared" si="1019"/>
        <v>568</v>
      </c>
      <c r="BK589">
        <f t="shared" si="1020"/>
        <v>568</v>
      </c>
      <c r="BL589" s="15">
        <f>SUMIFS(BI$2:BI589,K$2:K589,"=Intermission")+SUMIFS(BI$2:BI589,K$2:K589,"=Timeout")</f>
        <v>0</v>
      </c>
      <c r="BM589">
        <f t="shared" si="1021"/>
        <v>0</v>
      </c>
      <c r="BN589" s="19">
        <f t="shared" si="1022"/>
        <v>512</v>
      </c>
      <c r="BO589">
        <f t="shared" si="1023"/>
        <v>507</v>
      </c>
      <c r="BP589" s="17">
        <f t="shared" si="1024"/>
        <v>512</v>
      </c>
      <c r="BQ589" t="str">
        <f t="shared" si="1025"/>
        <v>opp_team_player_1</v>
      </c>
      <c r="BR589">
        <f>COUNTIFS(S$3:S589,"="&amp;S589,AH$3:AH589,"="&amp;AH589)</f>
        <v>1</v>
      </c>
      <c r="BS589" t="str">
        <f>IFERROR(VLOOKUP(BA589&amp;BT589&amp;X589,game_rosters!U:W,3,FALSE),"")</f>
        <v>P100230</v>
      </c>
      <c r="BT589" t="str">
        <f t="shared" si="1026"/>
        <v>Velodrome</v>
      </c>
    </row>
    <row r="590" spans="1:72" x14ac:dyDescent="0.2">
      <c r="A590" t="str">
        <f t="shared" si="1001"/>
        <v>x</v>
      </c>
      <c r="D590" s="26" t="s">
        <v>729</v>
      </c>
      <c r="E590" s="4"/>
      <c r="F590" s="45"/>
      <c r="G590" s="4"/>
      <c r="H590" s="47"/>
      <c r="J590" s="26" t="str">
        <f t="shared" si="1029"/>
        <v/>
      </c>
      <c r="N590" t="str">
        <f t="shared" si="940"/>
        <v/>
      </c>
      <c r="Q590" t="str">
        <f t="shared" si="934"/>
        <v/>
      </c>
      <c r="S590">
        <f>IF(A590=1,MAX($S$2:$S589)+1,IF(OR($I590&lt;&gt;"",A590="x"),$S589,""))</f>
        <v>292</v>
      </c>
      <c r="T590">
        <f>IF(D590=1,MAX($T$2:$T589)+1,IF(S590=S589,$T589,IF(D590="x",T589,IF(D589="x","",""))))</f>
        <v>38</v>
      </c>
      <c r="U590" t="str">
        <f>IF(B590=1,MAX($U$2:$U589)+1,IF(AND($T590&lt;&gt;"",$T590=$T589),$U589,IF(B590="x",U589,"")))</f>
        <v/>
      </c>
      <c r="V590" t="str">
        <f>IF(C590=1,MAX($V$2:$V589)+1,IF(AND($T590&lt;&gt;"",$T590=$T589),$U589,IF(C590="x",V589,"")))</f>
        <v/>
      </c>
      <c r="W590" t="str" cm="1">
        <f t="array" ref="W590">IFERROR(_xlfn._xlws.FILTER(game_rosters!AC:AC,(game_rosters!J:J=events!X590)*(K590&lt;&gt;"")),"")</f>
        <v/>
      </c>
      <c r="X590" cm="1">
        <f t="array" ref="X590">IF($I590&lt;&gt;"",$I590,INDEX($I$1:$I590,ROW()-COUNTIFS($T$1:$T590,"="&amp;$T590,$S$1:$S590,"&lt;"&amp;$S590)))</f>
        <v>91</v>
      </c>
      <c r="Y590" t="str" cm="1">
        <f t="array" ref="Y590">IFERROR(IF(_xlfn._xlws.FILTER(game_rosters!$J:$J,(game_rosters!$G:$G=events!$AM590)*(game_rosters!$J:$J=events!$X590))&gt;0,1,""),"")</f>
        <v/>
      </c>
      <c r="Z590" s="6">
        <f t="shared" si="1002"/>
        <v>1</v>
      </c>
      <c r="AA590">
        <f t="shared" si="1003"/>
        <v>1292</v>
      </c>
      <c r="AB590">
        <f t="shared" si="1004"/>
        <v>9038</v>
      </c>
      <c r="AC590">
        <f t="shared" si="1005"/>
        <v>9038</v>
      </c>
      <c r="AD590" t="str">
        <f t="shared" si="1006"/>
        <v>9</v>
      </c>
      <c r="AE590" t="str">
        <f t="shared" si="1007"/>
        <v>28</v>
      </c>
      <c r="AF590" t="str">
        <f t="shared" si="1008"/>
        <v/>
      </c>
      <c r="AG590" t="str">
        <f t="shared" si="1009"/>
        <v/>
      </c>
      <c r="AH590" t="str">
        <f t="shared" si="947"/>
        <v>o</v>
      </c>
      <c r="AI590" t="str">
        <f t="shared" si="1033"/>
        <v>d</v>
      </c>
      <c r="AJ590" t="str">
        <f t="shared" si="1033"/>
        <v>d</v>
      </c>
      <c r="AK590" t="str">
        <f t="shared" si="949"/>
        <v/>
      </c>
      <c r="AL590" t="str">
        <f t="shared" si="950"/>
        <v/>
      </c>
      <c r="AM590" t="str">
        <f t="shared" si="1010"/>
        <v>Home</v>
      </c>
      <c r="AN590" t="str">
        <f t="shared" si="951"/>
        <v>h</v>
      </c>
      <c r="AO590" t="str">
        <f t="shared" si="952"/>
        <v>d</v>
      </c>
      <c r="AP590" t="str">
        <f t="shared" si="953"/>
        <v>o</v>
      </c>
      <c r="AQ590" t="str">
        <f>IF(AM590&lt;&gt;"",AM590,IF($AC590=#REF!,#REF!,""))</f>
        <v>Home</v>
      </c>
      <c r="AR590" t="str">
        <f t="shared" si="954"/>
        <v>h</v>
      </c>
      <c r="AS590" t="str">
        <f t="shared" si="955"/>
        <v>Defensive</v>
      </c>
      <c r="AT590" t="str">
        <f t="shared" si="1011"/>
        <v/>
      </c>
      <c r="AU590" t="str">
        <f t="shared" si="1012"/>
        <v/>
      </c>
      <c r="AV590" t="str" cm="1">
        <f t="array" ref="AV590">IFERROR(IF(O590&lt;&gt;"",O590,IF(OR($S590="",$T590=""),"",IF(O590&lt;&gt;"",O590,IF($T590&lt;&gt;"",_xlfn._xlws.FILTER(O:O,($BT:$BT=$BT590)*($I:$I=$I590)*($T:$T=$T590)*($S:$S=_xlfn.MINIFS($S:$S,$T:$T,"="&amp;$T590)),"")))))&amp;"",IF(O590="","",""))&amp;""</f>
        <v/>
      </c>
      <c r="AW590" t="str" cm="1">
        <f t="array" ref="AW590">IFERROR(IF(P590&lt;&gt;"",P590,IF(OR($S590="",$T590=""),"",IF($T590&lt;&gt;"",_xlfn._xlws.FILTER(P:P,($BT:$BT=$BT590)*($I:$I=$I590)*($T:$T=$T590)*($S:$S=_xlfn.MINIFS($S:$S,$T:$T,"="&amp;$T590)),""))))&amp;"",IF(P590="","",""))&amp;""</f>
        <v/>
      </c>
      <c r="AX590" t="str" cm="1">
        <f t="array" ref="AX590">IFERROR(IF(Q590&lt;&gt;"",Q590,IF(OR($S590="",$T590=""),"",IF($T590&lt;&gt;"",_xlfn._xlws.FILTER(Q:Q,($BT:$BT=$BT590)*($I:$I=$I590)*($T:$T=$T590)*($S:$S=_xlfn.MINIFS($S:$S,$T:$T,"="&amp;$T590)),""))))&amp;"",IF(Q590="","",""))&amp;""</f>
        <v/>
      </c>
      <c r="AY590" t="str" cm="1">
        <f t="array" ref="AY590">IFERROR(IF(R590&lt;&gt;"",R590,IF(OR($S590="",$T590=""),"",IF($T590&lt;&gt;"",_xlfn._xlws.FILTER(R:R,($BT:$BT=$BT590)*($I:$I=$I590)*($T:$T=$T590)*($S:$S=_xlfn.MINIFS($S:$S,$T:$T,"="&amp;$T590)),""))))&amp;"",IF(R590="","",""))&amp;""</f>
        <v/>
      </c>
      <c r="AZ590" s="6">
        <f t="shared" si="1013"/>
        <v>49</v>
      </c>
      <c r="BA590">
        <f t="shared" ref="BA590:BC590" si="1037">BA589</f>
        <v>18991</v>
      </c>
      <c r="BB590" t="str">
        <f t="shared" si="1037"/>
        <v>Triple J</v>
      </c>
      <c r="BC590" t="str">
        <f t="shared" si="1037"/>
        <v>Velodrome</v>
      </c>
      <c r="BD590" t="str">
        <f t="shared" si="1015"/>
        <v>Turnover</v>
      </c>
      <c r="BE590" t="str">
        <f t="shared" si="1016"/>
        <v>Turnover_Giveaway</v>
      </c>
      <c r="BF590" t="str">
        <f t="shared" si="1017"/>
        <v>Giveaway-PassBlocked</v>
      </c>
      <c r="BG590" t="str">
        <f t="shared" si="999"/>
        <v>u</v>
      </c>
      <c r="BH590" cm="1">
        <f t="array" aca="1" ref="BH590" ca="1">IFERROR(_xlfn._xlws.FILTER(shifts!A:A,(shifts!B:B=events!Z590)*(shifts!AG:AG&gt;=events!BJ590)*(shifts!AH:AH&lt;=events!BK590)),BH589)</f>
        <v>18</v>
      </c>
      <c r="BI590" s="15">
        <f t="shared" si="1018"/>
        <v>0</v>
      </c>
      <c r="BJ590">
        <f t="shared" si="1019"/>
        <v>568</v>
      </c>
      <c r="BK590">
        <f t="shared" si="1020"/>
        <v>568</v>
      </c>
      <c r="BL590" s="15">
        <f>SUMIFS(BI$2:BI590,K$2:K590,"=Intermission")+SUMIFS(BI$2:BI590,K$2:K590,"=Timeout")</f>
        <v>0</v>
      </c>
      <c r="BM590">
        <f t="shared" si="1021"/>
        <v>0</v>
      </c>
      <c r="BN590" s="19">
        <f t="shared" si="1022"/>
        <v>512</v>
      </c>
      <c r="BO590">
        <f t="shared" si="1023"/>
        <v>507</v>
      </c>
      <c r="BP590" s="17">
        <f t="shared" si="1024"/>
        <v>512</v>
      </c>
      <c r="BQ590" t="str">
        <f t="shared" si="1025"/>
        <v>opp_team_player_2</v>
      </c>
      <c r="BR590">
        <f>COUNTIFS(S$3:S590,"="&amp;S590,AH$3:AH590,"="&amp;AH590)</f>
        <v>2</v>
      </c>
      <c r="BS590" t="str">
        <f>IFERROR(VLOOKUP(BA590&amp;BT590&amp;X590,game_rosters!U:W,3,FALSE),"")</f>
        <v>P100002</v>
      </c>
      <c r="BT590" t="str">
        <f t="shared" si="1026"/>
        <v>Velodrome</v>
      </c>
    </row>
    <row r="591" spans="1:72" x14ac:dyDescent="0.2">
      <c r="A591">
        <f t="shared" si="1001"/>
        <v>1</v>
      </c>
      <c r="E591" s="4"/>
      <c r="F591" s="45" t="s">
        <v>739</v>
      </c>
      <c r="G591" s="4"/>
      <c r="H591" s="47" t="s">
        <v>740</v>
      </c>
      <c r="I591" s="26">
        <v>22</v>
      </c>
      <c r="J591" s="26" t="s">
        <v>368</v>
      </c>
      <c r="K591" t="s">
        <v>13</v>
      </c>
      <c r="L591" t="s">
        <v>586</v>
      </c>
      <c r="N591" t="s">
        <v>594</v>
      </c>
      <c r="O591" t="s">
        <v>907</v>
      </c>
      <c r="Q591" t="str">
        <f t="shared" si="934"/>
        <v>u</v>
      </c>
      <c r="S591">
        <f>IF(A591=1,MAX($S$2:$S590)+1,IF(OR($I591&lt;&gt;"",A591="x"),$S590,""))</f>
        <v>293</v>
      </c>
      <c r="T591" t="str">
        <f>IF(D591=1,MAX($T$2:$T590)+1,IF(S591=S590,$T590,IF(D591="x",T590,IF(D590="x","",""))))</f>
        <v/>
      </c>
      <c r="U591" t="str">
        <f>IF(B591=1,MAX($U$2:$U590)+1,IF(AND($T591&lt;&gt;"",$T591=$T590),$U590,IF(B591="x",U590,"")))</f>
        <v/>
      </c>
      <c r="V591" t="str">
        <f>IF(C591=1,MAX($V$2:$V590)+1,IF(AND($T591&lt;&gt;"",$T591=$T590),$U590,IF(C591="x",V590,"")))</f>
        <v/>
      </c>
      <c r="W591" t="str" cm="1">
        <f t="array" ref="W591">IFERROR(_xlfn._xlws.FILTER(game_rosters!AC:AC,(game_rosters!J:J=events!X591)*(K591&lt;&gt;"")),"")</f>
        <v>a</v>
      </c>
      <c r="X591" cm="1">
        <f t="array" ref="X591">IF($I591&lt;&gt;"",$I591,INDEX($I$1:$I591,ROW()-COUNTIFS($T$1:$T591,"="&amp;$T591,$S$1:$S591,"&lt;"&amp;$S591)))</f>
        <v>22</v>
      </c>
      <c r="Y591" cm="1">
        <f t="array" ref="Y591">IFERROR(IF(_xlfn._xlws.FILTER(game_rosters!$J:$J,(game_rosters!$G:$G=events!$AM591)*(game_rosters!$J:$J=events!$X591))&gt;0,1,""),"")</f>
        <v>1</v>
      </c>
      <c r="Z591" s="6">
        <f t="shared" si="1002"/>
        <v>1</v>
      </c>
      <c r="AA591">
        <f t="shared" si="1003"/>
        <v>1293</v>
      </c>
      <c r="AB591" t="str">
        <f t="shared" si="1004"/>
        <v/>
      </c>
      <c r="AC591">
        <f t="shared" si="1005"/>
        <v>1293</v>
      </c>
      <c r="AD591" t="str">
        <f t="shared" si="1006"/>
        <v>9</v>
      </c>
      <c r="AE591" t="str">
        <f t="shared" si="1007"/>
        <v>26</v>
      </c>
      <c r="AF591" t="str">
        <f t="shared" si="1008"/>
        <v>9</v>
      </c>
      <c r="AG591" t="str">
        <f t="shared" si="1009"/>
        <v>25</v>
      </c>
      <c r="AH591" t="str">
        <f t="shared" si="947"/>
        <v>e</v>
      </c>
      <c r="AI591" t="str">
        <f t="shared" si="1033"/>
        <v>o</v>
      </c>
      <c r="AJ591" t="str">
        <f t="shared" si="1033"/>
        <v>o</v>
      </c>
      <c r="AK591" t="str">
        <f t="shared" si="949"/>
        <v>d</v>
      </c>
      <c r="AL591" t="str">
        <f t="shared" si="950"/>
        <v>o</v>
      </c>
      <c r="AM591" t="str">
        <f t="shared" si="1010"/>
        <v>Away</v>
      </c>
      <c r="AN591" t="str">
        <f t="shared" si="951"/>
        <v>a</v>
      </c>
      <c r="AO591" t="str">
        <f t="shared" si="952"/>
        <v>d</v>
      </c>
      <c r="AP591" t="str">
        <f t="shared" si="953"/>
        <v>o</v>
      </c>
      <c r="AQ591" t="str">
        <f>IF(AM591&lt;&gt;"",AM591,IF($AC591=#REF!,#REF!,""))</f>
        <v>Away</v>
      </c>
      <c r="AR591" t="str">
        <f t="shared" si="954"/>
        <v>a</v>
      </c>
      <c r="AS591" t="str">
        <f t="shared" si="955"/>
        <v>Offensive</v>
      </c>
      <c r="AT591" t="str">
        <f t="shared" si="1011"/>
        <v/>
      </c>
      <c r="AU591" t="str">
        <f t="shared" si="1012"/>
        <v/>
      </c>
      <c r="AV591" t="str" cm="1">
        <f t="array" ref="AV591">IFERROR(IF(O591&lt;&gt;"",O591,IF(OR($S591="",$T591=""),"",IF(O591&lt;&gt;"",O591,IF($T591&lt;&gt;"",_xlfn._xlws.FILTER(O:O,($BT:$BT=$BT591)*($I:$I=$I591)*($T:$T=$T591)*($S:$S=_xlfn.MINIFS($S:$S,$T:$T,"="&amp;$T591)),"")))))&amp;"",IF(O591="","",""))&amp;""</f>
        <v>PuckRecoveryRetreivalPass</v>
      </c>
      <c r="AW591" t="str" cm="1">
        <f t="array" ref="AW591">IFERROR(IF(P591&lt;&gt;"",P591,IF(OR($S591="",$T591=""),"",IF($T591&lt;&gt;"",_xlfn._xlws.FILTER(P:P,($BT:$BT=$BT591)*($I:$I=$I591)*($T:$T=$T591)*($S:$S=_xlfn.MINIFS($S:$S,$T:$T,"="&amp;$T591)),""))))&amp;"",IF(P591="","",""))&amp;""</f>
        <v/>
      </c>
      <c r="AX591" t="str" cm="1">
        <f t="array" ref="AX591">IFERROR(IF(Q591&lt;&gt;"",Q591,IF(OR($S591="",$T591=""),"",IF($T591&lt;&gt;"",_xlfn._xlws.FILTER(Q:Q,($BT:$BT=$BT591)*($I:$I=$I591)*($T:$T=$T591)*($S:$S=_xlfn.MINIFS($S:$S,$T:$T,"="&amp;$T591)),""))))&amp;"",IF(Q591="","",""))&amp;""</f>
        <v>u</v>
      </c>
      <c r="AY591" t="str" cm="1">
        <f t="array" ref="AY591">IFERROR(IF(R591&lt;&gt;"",R591,IF(OR($S591="",$T591=""),"",IF($T591&lt;&gt;"",_xlfn._xlws.FILTER(R:R,($BT:$BT=$BT591)*($I:$I=$I591)*($T:$T=$T591)*($S:$S=_xlfn.MINIFS($S:$S,$T:$T,"="&amp;$T591)),""))))&amp;"",IF(R591="","",""))&amp;""</f>
        <v/>
      </c>
      <c r="AZ591" s="6">
        <f t="shared" si="1013"/>
        <v>49</v>
      </c>
      <c r="BA591">
        <f t="shared" ref="BA591:BC591" si="1038">BA590</f>
        <v>18991</v>
      </c>
      <c r="BB591" t="str">
        <f t="shared" si="1038"/>
        <v>Triple J</v>
      </c>
      <c r="BC591" t="str">
        <f t="shared" si="1038"/>
        <v>Velodrome</v>
      </c>
      <c r="BD591" t="str">
        <f t="shared" si="1015"/>
        <v>Possession</v>
      </c>
      <c r="BE591" t="str">
        <f t="shared" si="1016"/>
        <v>PuckRetrieval</v>
      </c>
      <c r="BF591" t="str">
        <f t="shared" si="1017"/>
        <v/>
      </c>
      <c r="BG591" t="str">
        <f t="shared" si="999"/>
        <v>u</v>
      </c>
      <c r="BH591" cm="1">
        <f t="array" aca="1" ref="BH591" ca="1">IFERROR(_xlfn._xlws.FILTER(shifts!A:A,(shifts!B:B=events!Z591)*(shifts!AG:AG&gt;=events!BJ591)*(shifts!AH:AH&lt;=events!BK591)),BH590)</f>
        <v>18</v>
      </c>
      <c r="BI591" s="15">
        <f t="shared" si="1018"/>
        <v>1</v>
      </c>
      <c r="BJ591">
        <f t="shared" si="1019"/>
        <v>566</v>
      </c>
      <c r="BK591">
        <f t="shared" si="1020"/>
        <v>565</v>
      </c>
      <c r="BL591" s="15">
        <f>SUMIFS(BI$2:BI591,K$2:K591,"=Intermission")+SUMIFS(BI$2:BI591,K$2:K591,"=Timeout")</f>
        <v>0</v>
      </c>
      <c r="BM591">
        <f t="shared" si="1021"/>
        <v>0</v>
      </c>
      <c r="BN591" s="19">
        <f t="shared" si="1022"/>
        <v>514</v>
      </c>
      <c r="BO591">
        <f t="shared" si="1023"/>
        <v>509</v>
      </c>
      <c r="BP591" s="17">
        <f t="shared" si="1024"/>
        <v>515</v>
      </c>
      <c r="BQ591" t="str">
        <f t="shared" si="1025"/>
        <v>event_team_player_1</v>
      </c>
      <c r="BR591">
        <f>COUNTIFS(S$3:S591,"="&amp;S591,AH$3:AH591,"="&amp;AH591)</f>
        <v>1</v>
      </c>
      <c r="BS591" t="str">
        <f>IFERROR(VLOOKUP(BA591&amp;BT591&amp;X591,game_rosters!U:W,3,FALSE),"")</f>
        <v>P100108</v>
      </c>
      <c r="BT591" t="str">
        <f t="shared" si="1026"/>
        <v>Velodrome</v>
      </c>
    </row>
    <row r="592" spans="1:72" x14ac:dyDescent="0.2">
      <c r="A592">
        <f t="shared" si="1001"/>
        <v>1</v>
      </c>
      <c r="D592" s="26">
        <v>1</v>
      </c>
      <c r="E592" s="4"/>
      <c r="F592" s="45"/>
      <c r="G592" s="4"/>
      <c r="H592" s="47"/>
      <c r="I592" s="26">
        <v>22</v>
      </c>
      <c r="J592" s="26" t="str">
        <f t="shared" si="1029"/>
        <v>o</v>
      </c>
      <c r="K592" t="s">
        <v>6</v>
      </c>
      <c r="L592" t="s">
        <v>191</v>
      </c>
      <c r="M592" t="s">
        <v>51</v>
      </c>
      <c r="N592" t="str">
        <f t="shared" si="940"/>
        <v>u</v>
      </c>
      <c r="Q592" t="str">
        <f t="shared" ref="Q592:Q655" si="1039">IF(O592="","",IF(AND(N592&lt;&gt;"",OR(O592&lt;&gt;"",P592&lt;&gt;"")),N592,IF(OR(ISNUMBER(SEARCH("attemp",O592)),ISNUMBER(SEARCH("beat",O592)),ISNUMBER(SEARCH("mis",O592)),ISNUMBER(SEARCH("fail",O592)),ISNUMBER(SEARCH("loss",O592)),ISNUMBER(SEARCH("lost",O592)),ISNUMBER(SEARCH("attemp",P592)),ISNUMBER(SEARCH("mis",P592)),ISNUMBER(SEARCH("fail",P592)),ISNUMBER(SEARCH("loss",P592)),ISNUMBER(SEARCH("beat",P592)),ISNUMBER(SEARCH("lost",P592))),"u","")))</f>
        <v/>
      </c>
      <c r="S592">
        <f>IF(A592=1,MAX($S$2:$S591)+1,IF(OR($I592&lt;&gt;"",A592="x"),$S591,""))</f>
        <v>294</v>
      </c>
      <c r="T592">
        <f>IF(D592=1,MAX($T$2:$T591)+1,IF(S592=S591,$T591,IF(D592="x",T591,IF(D591="x","",""))))</f>
        <v>39</v>
      </c>
      <c r="U592" t="str">
        <f>IF(B592=1,MAX($U$2:$U591)+1,IF(AND($T592&lt;&gt;"",$T592=$T591),$U591,IF(B592="x",U591,"")))</f>
        <v/>
      </c>
      <c r="V592" t="str">
        <f>IF(C592=1,MAX($V$2:$V591)+1,IF(AND($T592&lt;&gt;"",$T592=$T591),$U591,IF(C592="x",V591,"")))</f>
        <v/>
      </c>
      <c r="W592" t="str" cm="1">
        <f t="array" ref="W592">IFERROR(_xlfn._xlws.FILTER(game_rosters!AC:AC,(game_rosters!J:J=events!X592)*(K592&lt;&gt;"")),"")</f>
        <v>a</v>
      </c>
      <c r="X592" cm="1">
        <f t="array" ref="X592">IF($I592&lt;&gt;"",$I592,INDEX($I$1:$I592,ROW()-COUNTIFS($T$1:$T592,"="&amp;$T592,$S$1:$S592,"&lt;"&amp;$S592)))</f>
        <v>22</v>
      </c>
      <c r="Y592" cm="1">
        <f t="array" ref="Y592">IFERROR(IF(_xlfn._xlws.FILTER(game_rosters!$J:$J,(game_rosters!$G:$G=events!$AM592)*(game_rosters!$J:$J=events!$X592))&gt;0,1,""),"")</f>
        <v>1</v>
      </c>
      <c r="Z592" s="6">
        <f t="shared" si="1002"/>
        <v>1</v>
      </c>
      <c r="AA592">
        <f t="shared" si="1003"/>
        <v>1294</v>
      </c>
      <c r="AB592">
        <f t="shared" si="1004"/>
        <v>9039</v>
      </c>
      <c r="AC592">
        <f t="shared" si="1005"/>
        <v>9039</v>
      </c>
      <c r="AD592" t="str">
        <f t="shared" si="1006"/>
        <v>9</v>
      </c>
      <c r="AE592" t="str">
        <f t="shared" si="1007"/>
        <v>25</v>
      </c>
      <c r="AF592" t="str">
        <f t="shared" si="1008"/>
        <v/>
      </c>
      <c r="AG592" t="str">
        <f t="shared" si="1009"/>
        <v/>
      </c>
      <c r="AH592" t="str">
        <f t="shared" si="947"/>
        <v>e</v>
      </c>
      <c r="AI592" t="str">
        <f t="shared" si="1033"/>
        <v>o</v>
      </c>
      <c r="AJ592" t="str">
        <f t="shared" si="1033"/>
        <v>o</v>
      </c>
      <c r="AK592" t="str">
        <f t="shared" si="949"/>
        <v>d</v>
      </c>
      <c r="AL592" t="str">
        <f t="shared" si="950"/>
        <v>o</v>
      </c>
      <c r="AM592" t="str">
        <f t="shared" si="1010"/>
        <v>Away</v>
      </c>
      <c r="AN592" t="str">
        <f t="shared" si="951"/>
        <v>a</v>
      </c>
      <c r="AO592" t="str">
        <f t="shared" si="952"/>
        <v>d</v>
      </c>
      <c r="AP592" t="str">
        <f t="shared" si="953"/>
        <v>o</v>
      </c>
      <c r="AQ592" t="str">
        <f>IF(AM592&lt;&gt;"",AM592,IF($AC592=#REF!,#REF!,""))</f>
        <v>Away</v>
      </c>
      <c r="AR592" t="str">
        <f t="shared" si="954"/>
        <v>a</v>
      </c>
      <c r="AS592" t="str">
        <f t="shared" si="955"/>
        <v>Offensive</v>
      </c>
      <c r="AT592" t="str">
        <f t="shared" si="1011"/>
        <v/>
      </c>
      <c r="AU592" t="str">
        <f t="shared" si="1012"/>
        <v/>
      </c>
      <c r="AV592" t="str" cm="1">
        <f t="array" ref="AV592">IFERROR(IF(O592&lt;&gt;"",O592,IF(OR($S592="",$T592=""),"",IF(O592&lt;&gt;"",O592,IF($T592&lt;&gt;"",_xlfn._xlws.FILTER(O:O,($BT:$BT=$BT592)*($I:$I=$I592)*($T:$T=$T592)*($S:$S=_xlfn.MINIFS($S:$S,$T:$T,"="&amp;$T592)),"")))))&amp;"",IF(O592="","",""))&amp;""</f>
        <v/>
      </c>
      <c r="AW592" t="str" cm="1">
        <f t="array" ref="AW592">IFERROR(IF(P592&lt;&gt;"",P592,IF(OR($S592="",$T592=""),"",IF($T592&lt;&gt;"",_xlfn._xlws.FILTER(P:P,($BT:$BT=$BT592)*($I:$I=$I592)*($T:$T=$T592)*($S:$S=_xlfn.MINIFS($S:$S,$T:$T,"="&amp;$T592)),""))))&amp;"",IF(P592="","",""))&amp;""</f>
        <v/>
      </c>
      <c r="AX592" t="str" cm="1">
        <f t="array" ref="AX592">IFERROR(IF(Q592&lt;&gt;"",Q592,IF(OR($S592="",$T592=""),"",IF($T592&lt;&gt;"",_xlfn._xlws.FILTER(Q:Q,($BT:$BT=$BT592)*($I:$I=$I592)*($T:$T=$T592)*($S:$S=_xlfn.MINIFS($S:$S,$T:$T,"="&amp;$T592)),""))))&amp;"",IF(Q592="","",""))&amp;""</f>
        <v/>
      </c>
      <c r="AY592" t="str" cm="1">
        <f t="array" ref="AY592">IFERROR(IF(R592&lt;&gt;"",R592,IF(OR($S592="",$T592=""),"",IF($T592&lt;&gt;"",_xlfn._xlws.FILTER(R:R,($BT:$BT=$BT592)*($I:$I=$I592)*($T:$T=$T592)*($S:$S=_xlfn.MINIFS($S:$S,$T:$T,"="&amp;$T592)),""))))&amp;"",IF(R592="","",""))&amp;""</f>
        <v/>
      </c>
      <c r="AZ592" s="6">
        <f t="shared" si="1013"/>
        <v>49</v>
      </c>
      <c r="BA592">
        <f t="shared" ref="BA592:BC592" si="1040">BA591</f>
        <v>18991</v>
      </c>
      <c r="BB592" t="str">
        <f t="shared" si="1040"/>
        <v>Triple J</v>
      </c>
      <c r="BC592" t="str">
        <f t="shared" si="1040"/>
        <v>Velodrome</v>
      </c>
      <c r="BD592" t="str">
        <f t="shared" si="1015"/>
        <v>Shot</v>
      </c>
      <c r="BE592" t="str">
        <f t="shared" si="1016"/>
        <v>Shot_Blocked</v>
      </c>
      <c r="BF592" t="str">
        <f t="shared" si="1017"/>
        <v>Shot-Wrist</v>
      </c>
      <c r="BG592" t="str">
        <f t="shared" si="999"/>
        <v>u</v>
      </c>
      <c r="BH592" cm="1">
        <f t="array" aca="1" ref="BH592" ca="1">IFERROR(_xlfn._xlws.FILTER(shifts!A:A,(shifts!B:B=events!Z592)*(shifts!AG:AG&gt;=events!BJ592)*(shifts!AH:AH&lt;=events!BK592)),BH591)</f>
        <v>18</v>
      </c>
      <c r="BI592" s="15">
        <f t="shared" si="1018"/>
        <v>0</v>
      </c>
      <c r="BJ592">
        <f t="shared" si="1019"/>
        <v>565</v>
      </c>
      <c r="BK592">
        <f t="shared" si="1020"/>
        <v>565</v>
      </c>
      <c r="BL592" s="15">
        <f>SUMIFS(BI$2:BI592,K$2:K592,"=Intermission")+SUMIFS(BI$2:BI592,K$2:K592,"=Timeout")</f>
        <v>0</v>
      </c>
      <c r="BM592">
        <f t="shared" si="1021"/>
        <v>0</v>
      </c>
      <c r="BN592" s="19">
        <f t="shared" si="1022"/>
        <v>515</v>
      </c>
      <c r="BO592">
        <f t="shared" si="1023"/>
        <v>510</v>
      </c>
      <c r="BP592" s="17">
        <f t="shared" si="1024"/>
        <v>515</v>
      </c>
      <c r="BQ592" t="str">
        <f t="shared" si="1025"/>
        <v>event_team_player_1</v>
      </c>
      <c r="BR592">
        <f>COUNTIFS(S$3:S592,"="&amp;S592,AH$3:AH592,"="&amp;AH592)</f>
        <v>1</v>
      </c>
      <c r="BS592" t="str">
        <f>IFERROR(VLOOKUP(BA592&amp;BT592&amp;X592,game_rosters!U:W,3,FALSE),"")</f>
        <v>P100108</v>
      </c>
      <c r="BT592" t="str">
        <f t="shared" si="1026"/>
        <v>Velodrome</v>
      </c>
    </row>
    <row r="593" spans="1:72" x14ac:dyDescent="0.2">
      <c r="A593" t="str">
        <f t="shared" si="1001"/>
        <v>x</v>
      </c>
      <c r="D593" s="26" t="s">
        <v>729</v>
      </c>
      <c r="E593" s="4"/>
      <c r="F593" s="45"/>
      <c r="G593" s="4"/>
      <c r="H593" s="47"/>
      <c r="I593" s="26">
        <v>10</v>
      </c>
      <c r="J593" s="26" t="str">
        <f t="shared" si="1029"/>
        <v/>
      </c>
      <c r="N593" t="str">
        <f t="shared" si="940"/>
        <v/>
      </c>
      <c r="O593" t="s">
        <v>556</v>
      </c>
      <c r="Q593" t="str">
        <f t="shared" si="1039"/>
        <v/>
      </c>
      <c r="S593">
        <f>IF(A593=1,MAX($S$2:$S592)+1,IF(OR($I593&lt;&gt;"",A593="x"),$S592,""))</f>
        <v>294</v>
      </c>
      <c r="T593">
        <f>IF(D593=1,MAX($T$2:$T592)+1,IF(S593=S592,$T592,IF(D593="x",T592,IF(D592="x","",""))))</f>
        <v>39</v>
      </c>
      <c r="U593" t="str">
        <f>IF(B593=1,MAX($U$2:$U592)+1,IF(AND($T593&lt;&gt;"",$T593=$T592),$U592,IF(B593="x",U592,"")))</f>
        <v/>
      </c>
      <c r="V593" t="str">
        <f>IF(C593=1,MAX($V$2:$V592)+1,IF(AND($T593&lt;&gt;"",$T593=$T592),$U592,IF(C593="x",V592,"")))</f>
        <v/>
      </c>
      <c r="W593" t="str" cm="1">
        <f t="array" ref="W593">IFERROR(_xlfn._xlws.FILTER(game_rosters!AC:AC,(game_rosters!J:J=events!X593)*(K593&lt;&gt;"")),"")</f>
        <v/>
      </c>
      <c r="X593" cm="1">
        <f t="array" ref="X593">IF($I593&lt;&gt;"",$I593,INDEX($I$1:$I593,ROW()-COUNTIFS($T$1:$T593,"="&amp;$T593,$S$1:$S593,"&lt;"&amp;$S593)))</f>
        <v>10</v>
      </c>
      <c r="Y593" t="str" cm="1">
        <f t="array" ref="Y593">IFERROR(IF(_xlfn._xlws.FILTER(game_rosters!$J:$J,(game_rosters!$G:$G=events!$AM593)*(game_rosters!$J:$J=events!$X593))&gt;0,1,""),"")</f>
        <v/>
      </c>
      <c r="Z593" s="6">
        <f t="shared" si="1002"/>
        <v>1</v>
      </c>
      <c r="AA593">
        <f t="shared" si="1003"/>
        <v>1294</v>
      </c>
      <c r="AB593">
        <f t="shared" si="1004"/>
        <v>9039</v>
      </c>
      <c r="AC593">
        <f t="shared" si="1005"/>
        <v>9039</v>
      </c>
      <c r="AD593" t="str">
        <f t="shared" si="1006"/>
        <v>9</v>
      </c>
      <c r="AE593" t="str">
        <f t="shared" si="1007"/>
        <v>25</v>
      </c>
      <c r="AF593" t="str">
        <f t="shared" si="1008"/>
        <v/>
      </c>
      <c r="AG593" t="str">
        <f t="shared" si="1009"/>
        <v/>
      </c>
      <c r="AH593" t="str">
        <f t="shared" si="947"/>
        <v>o</v>
      </c>
      <c r="AI593" t="str">
        <f t="shared" si="1033"/>
        <v>o</v>
      </c>
      <c r="AJ593" t="str">
        <f t="shared" si="1033"/>
        <v>o</v>
      </c>
      <c r="AK593" t="str">
        <f t="shared" si="949"/>
        <v/>
      </c>
      <c r="AL593" t="str">
        <f t="shared" si="950"/>
        <v/>
      </c>
      <c r="AM593" t="str">
        <f t="shared" si="1010"/>
        <v>Away</v>
      </c>
      <c r="AN593" t="str">
        <f t="shared" si="951"/>
        <v>a</v>
      </c>
      <c r="AO593" t="str">
        <f t="shared" si="952"/>
        <v>d</v>
      </c>
      <c r="AP593" t="str">
        <f t="shared" si="953"/>
        <v>o</v>
      </c>
      <c r="AQ593" t="str">
        <f>IF(AM593&lt;&gt;"",AM593,IF($AC593=#REF!,#REF!,""))</f>
        <v>Away</v>
      </c>
      <c r="AR593" t="str">
        <f t="shared" si="954"/>
        <v>a</v>
      </c>
      <c r="AS593" t="str">
        <f t="shared" si="955"/>
        <v>Defensive</v>
      </c>
      <c r="AT593" t="str">
        <f t="shared" si="1011"/>
        <v/>
      </c>
      <c r="AU593" t="str">
        <f t="shared" si="1012"/>
        <v/>
      </c>
      <c r="AV593" t="str" cm="1">
        <f t="array" ref="AV593">IFERROR(IF(O593&lt;&gt;"",O593,IF(OR($S593="",$T593=""),"",IF(O593&lt;&gt;"",O593,IF($T593&lt;&gt;"",_xlfn._xlws.FILTER(O:O,($BT:$BT=$BT593)*($I:$I=$I593)*($T:$T=$T593)*($S:$S=_xlfn.MINIFS($S:$S,$T:$T,"="&amp;$T593)),"")))))&amp;"",IF(O593="","",""))&amp;""</f>
        <v>BlockedShot</v>
      </c>
      <c r="AW593" t="str" cm="1">
        <f t="array" ref="AW593">IFERROR(IF(P593&lt;&gt;"",P593,IF(OR($S593="",$T593=""),"",IF($T593&lt;&gt;"",_xlfn._xlws.FILTER(P:P,($BT:$BT=$BT593)*($I:$I=$I593)*($T:$T=$T593)*($S:$S=_xlfn.MINIFS($S:$S,$T:$T,"="&amp;$T593)),""))))&amp;"",IF(P593="","",""))&amp;""</f>
        <v/>
      </c>
      <c r="AX593" t="str" cm="1">
        <f t="array" ref="AX593">IFERROR(IF(Q593&lt;&gt;"",Q593,IF(OR($S593="",$T593=""),"",IF($T593&lt;&gt;"",_xlfn._xlws.FILTER(Q:Q,($BT:$BT=$BT593)*($I:$I=$I593)*($T:$T=$T593)*($S:$S=_xlfn.MINIFS($S:$S,$T:$T,"="&amp;$T593)),""))))&amp;"",IF(Q593="","",""))&amp;""</f>
        <v/>
      </c>
      <c r="AY593" t="str" cm="1">
        <f t="array" ref="AY593">IFERROR(IF(R593&lt;&gt;"",R593,IF(OR($S593="",$T593=""),"",IF($T593&lt;&gt;"",_xlfn._xlws.FILTER(R:R,($BT:$BT=$BT593)*($I:$I=$I593)*($T:$T=$T593)*($S:$S=_xlfn.MINIFS($S:$S,$T:$T,"="&amp;$T593)),""))))&amp;"",IF(R593="","",""))&amp;""</f>
        <v/>
      </c>
      <c r="AZ593" s="6">
        <f t="shared" si="1013"/>
        <v>49</v>
      </c>
      <c r="BA593">
        <f t="shared" ref="BA593:BC593" si="1041">BA592</f>
        <v>18991</v>
      </c>
      <c r="BB593" t="str">
        <f t="shared" si="1041"/>
        <v>Triple J</v>
      </c>
      <c r="BC593" t="str">
        <f t="shared" si="1041"/>
        <v>Velodrome</v>
      </c>
      <c r="BD593" t="str">
        <f t="shared" si="1015"/>
        <v>Shot</v>
      </c>
      <c r="BE593" t="str">
        <f t="shared" si="1016"/>
        <v>Shot_Blocked</v>
      </c>
      <c r="BF593" t="str">
        <f t="shared" si="1017"/>
        <v>Shot-Wrist</v>
      </c>
      <c r="BG593" t="str">
        <f t="shared" si="999"/>
        <v>u</v>
      </c>
      <c r="BH593" cm="1">
        <f t="array" aca="1" ref="BH593" ca="1">IFERROR(_xlfn._xlws.FILTER(shifts!A:A,(shifts!B:B=events!Z593)*(shifts!AG:AG&gt;=events!BJ593)*(shifts!AH:AH&lt;=events!BK593)),BH592)</f>
        <v>18</v>
      </c>
      <c r="BI593" s="15">
        <f t="shared" si="1018"/>
        <v>0</v>
      </c>
      <c r="BJ593">
        <f t="shared" si="1019"/>
        <v>565</v>
      </c>
      <c r="BK593">
        <f t="shared" si="1020"/>
        <v>565</v>
      </c>
      <c r="BL593" s="15">
        <f>SUMIFS(BI$2:BI593,K$2:K593,"=Intermission")+SUMIFS(BI$2:BI593,K$2:K593,"=Timeout")</f>
        <v>0</v>
      </c>
      <c r="BM593">
        <f t="shared" si="1021"/>
        <v>0</v>
      </c>
      <c r="BN593" s="19">
        <f t="shared" si="1022"/>
        <v>515</v>
      </c>
      <c r="BO593">
        <f t="shared" si="1023"/>
        <v>510</v>
      </c>
      <c r="BP593" s="17">
        <f t="shared" si="1024"/>
        <v>515</v>
      </c>
      <c r="BQ593" t="str">
        <f t="shared" si="1025"/>
        <v>opp_team_player_1</v>
      </c>
      <c r="BR593">
        <f>COUNTIFS(S$3:S593,"="&amp;S593,AH$3:AH593,"="&amp;AH593)</f>
        <v>1</v>
      </c>
      <c r="BS593" t="str">
        <f>IFERROR(VLOOKUP(BA593&amp;BT593&amp;X593,game_rosters!U:W,3,FALSE),"")</f>
        <v>P100183</v>
      </c>
      <c r="BT593" t="str">
        <f t="shared" si="1026"/>
        <v>Triple J</v>
      </c>
    </row>
    <row r="594" spans="1:72" x14ac:dyDescent="0.2">
      <c r="A594">
        <f t="shared" si="1001"/>
        <v>1</v>
      </c>
      <c r="D594" s="26" t="s">
        <v>729</v>
      </c>
      <c r="E594" s="4"/>
      <c r="F594" s="45"/>
      <c r="G594" s="4"/>
      <c r="H594" s="47"/>
      <c r="J594" s="26" t="str">
        <f t="shared" si="1029"/>
        <v/>
      </c>
      <c r="K594" t="s">
        <v>9</v>
      </c>
      <c r="L594" t="s">
        <v>173</v>
      </c>
      <c r="M594" t="s">
        <v>76</v>
      </c>
      <c r="N594" t="str">
        <f t="shared" si="940"/>
        <v>u</v>
      </c>
      <c r="Q594" t="str">
        <f t="shared" si="1039"/>
        <v/>
      </c>
      <c r="S594">
        <f>IF(A594=1,MAX($S$2:$S593)+1,IF(OR($I594&lt;&gt;"",A594="x"),$S593,""))</f>
        <v>295</v>
      </c>
      <c r="T594">
        <f>IF(D594=1,MAX($T$2:$T593)+1,IF(S594=S593,$T593,IF(D594="x",T593,IF(D593="x","",""))))</f>
        <v>39</v>
      </c>
      <c r="U594" t="str">
        <f>IF(B594=1,MAX($U$2:$U593)+1,IF(AND($T594&lt;&gt;"",$T594=$T593),$U593,IF(B594="x",U593,"")))</f>
        <v/>
      </c>
      <c r="V594" t="str">
        <f>IF(C594=1,MAX($V$2:$V593)+1,IF(AND($T594&lt;&gt;"",$T594=$T593),$U593,IF(C594="x",V593,"")))</f>
        <v/>
      </c>
      <c r="W594" t="str" cm="1">
        <f t="array" ref="W594">IFERROR(_xlfn._xlws.FILTER(game_rosters!AC:AC,(game_rosters!J:J=events!X594)*(K594&lt;&gt;"")),"")</f>
        <v>a</v>
      </c>
      <c r="X594" cm="1">
        <f t="array" ref="X594">IF($I594&lt;&gt;"",$I594,INDEX($I$1:$I594,ROW()-COUNTIFS($T$1:$T594,"="&amp;$T594,$S$1:$S594,"&lt;"&amp;$S594)))</f>
        <v>22</v>
      </c>
      <c r="Y594" cm="1">
        <f t="array" ref="Y594">IFERROR(IF(_xlfn._xlws.FILTER(game_rosters!$J:$J,(game_rosters!$G:$G=events!$AM594)*(game_rosters!$J:$J=events!$X594))&gt;0,1,""),"")</f>
        <v>1</v>
      </c>
      <c r="Z594" s="6">
        <f t="shared" si="1002"/>
        <v>1</v>
      </c>
      <c r="AA594">
        <f t="shared" si="1003"/>
        <v>1295</v>
      </c>
      <c r="AB594">
        <f t="shared" si="1004"/>
        <v>9039</v>
      </c>
      <c r="AC594">
        <f t="shared" si="1005"/>
        <v>9039</v>
      </c>
      <c r="AD594" t="str">
        <f t="shared" si="1006"/>
        <v>9</v>
      </c>
      <c r="AE594" t="str">
        <f t="shared" si="1007"/>
        <v>25</v>
      </c>
      <c r="AF594" t="str">
        <f t="shared" si="1008"/>
        <v/>
      </c>
      <c r="AG594" t="str">
        <f t="shared" si="1009"/>
        <v/>
      </c>
      <c r="AH594" t="str">
        <f t="shared" si="947"/>
        <v>e</v>
      </c>
      <c r="AI594" t="str">
        <f t="shared" si="1033"/>
        <v>o</v>
      </c>
      <c r="AJ594" t="str">
        <f t="shared" si="1033"/>
        <v>o</v>
      </c>
      <c r="AK594" t="str">
        <f t="shared" si="949"/>
        <v>d</v>
      </c>
      <c r="AL594" t="str">
        <f t="shared" si="950"/>
        <v/>
      </c>
      <c r="AM594" t="str">
        <f t="shared" si="1010"/>
        <v>Away</v>
      </c>
      <c r="AN594" t="str">
        <f t="shared" si="951"/>
        <v>a</v>
      </c>
      <c r="AO594" t="str">
        <f t="shared" si="952"/>
        <v>d</v>
      </c>
      <c r="AP594" t="str">
        <f t="shared" si="953"/>
        <v>o</v>
      </c>
      <c r="AQ594" t="str">
        <f>IF(AM594&lt;&gt;"",AM594,IF($AC594=#REF!,#REF!,""))</f>
        <v>Away</v>
      </c>
      <c r="AR594" t="str">
        <f t="shared" si="954"/>
        <v>a</v>
      </c>
      <c r="AS594" t="str">
        <f t="shared" si="955"/>
        <v>Offensive</v>
      </c>
      <c r="AT594" t="str">
        <f t="shared" si="1011"/>
        <v/>
      </c>
      <c r="AU594" t="str">
        <f t="shared" si="1012"/>
        <v/>
      </c>
      <c r="AV594" t="str" cm="1">
        <f t="array" ref="AV594">IFERROR(IF(O594&lt;&gt;"",O594,IF(OR($S594="",$T594=""),"",IF(O594&lt;&gt;"",O594,IF($T594&lt;&gt;"",_xlfn._xlws.FILTER(O:O,($BT:$BT=$BT594)*($I:$I=$I594)*($T:$T=$T594)*($S:$S=_xlfn.MINIFS($S:$S,$T:$T,"="&amp;$T594)),"")))))&amp;"",IF(O594="","",""))&amp;""</f>
        <v/>
      </c>
      <c r="AW594" t="str" cm="1">
        <f t="array" ref="AW594">IFERROR(IF(P594&lt;&gt;"",P594,IF(OR($S594="",$T594=""),"",IF($T594&lt;&gt;"",_xlfn._xlws.FILTER(P:P,($BT:$BT=$BT594)*($I:$I=$I594)*($T:$T=$T594)*($S:$S=_xlfn.MINIFS($S:$S,$T:$T,"="&amp;$T594)),""))))&amp;"",IF(P594="","",""))&amp;""</f>
        <v/>
      </c>
      <c r="AX594" t="str" cm="1">
        <f t="array" ref="AX594">IFERROR(IF(Q594&lt;&gt;"",Q594,IF(OR($S594="",$T594=""),"",IF($T594&lt;&gt;"",_xlfn._xlws.FILTER(Q:Q,($BT:$BT=$BT594)*($I:$I=$I594)*($T:$T=$T594)*($S:$S=_xlfn.MINIFS($S:$S,$T:$T,"="&amp;$T594)),""))))&amp;"",IF(Q594="","",""))&amp;""</f>
        <v/>
      </c>
      <c r="AY594" t="str" cm="1">
        <f t="array" ref="AY594">IFERROR(IF(R594&lt;&gt;"",R594,IF(OR($S594="",$T594=""),"",IF($T594&lt;&gt;"",_xlfn._xlws.FILTER(R:R,($BT:$BT=$BT594)*($I:$I=$I594)*($T:$T=$T594)*($S:$S=_xlfn.MINIFS($S:$S,$T:$T,"="&amp;$T594)),""))))&amp;"",IF(R594="","",""))&amp;""</f>
        <v/>
      </c>
      <c r="AZ594" s="6">
        <f t="shared" si="1013"/>
        <v>49</v>
      </c>
      <c r="BA594">
        <f t="shared" ref="BA594:BC594" si="1042">BA593</f>
        <v>18991</v>
      </c>
      <c r="BB594" t="str">
        <f t="shared" si="1042"/>
        <v>Triple J</v>
      </c>
      <c r="BC594" t="str">
        <f t="shared" si="1042"/>
        <v>Velodrome</v>
      </c>
      <c r="BD594" t="str">
        <f t="shared" si="1015"/>
        <v>Turnover</v>
      </c>
      <c r="BE594" t="str">
        <f t="shared" si="1016"/>
        <v>Turnover_Giveaway</v>
      </c>
      <c r="BF594" t="str">
        <f t="shared" si="1017"/>
        <v>Giveaway-ShotBlocked</v>
      </c>
      <c r="BG594" t="str">
        <f t="shared" si="999"/>
        <v>u</v>
      </c>
      <c r="BH594" cm="1">
        <f t="array" aca="1" ref="BH594" ca="1">IFERROR(_xlfn._xlws.FILTER(shifts!A:A,(shifts!B:B=events!Z594)*(shifts!AG:AG&gt;=events!BJ594)*(shifts!AH:AH&lt;=events!BK594)),BH593)</f>
        <v>18</v>
      </c>
      <c r="BI594" s="15">
        <f t="shared" si="1018"/>
        <v>0</v>
      </c>
      <c r="BJ594">
        <f t="shared" si="1019"/>
        <v>565</v>
      </c>
      <c r="BK594">
        <f t="shared" si="1020"/>
        <v>565</v>
      </c>
      <c r="BL594" s="15">
        <f>SUMIFS(BI$2:BI594,K$2:K594,"=Intermission")+SUMIFS(BI$2:BI594,K$2:K594,"=Timeout")</f>
        <v>0</v>
      </c>
      <c r="BM594">
        <f t="shared" si="1021"/>
        <v>0</v>
      </c>
      <c r="BN594" s="19">
        <f t="shared" si="1022"/>
        <v>515</v>
      </c>
      <c r="BO594">
        <f t="shared" si="1023"/>
        <v>510</v>
      </c>
      <c r="BP594" s="17">
        <f t="shared" si="1024"/>
        <v>515</v>
      </c>
      <c r="BQ594" t="str">
        <f t="shared" si="1025"/>
        <v>event_team_player_1</v>
      </c>
      <c r="BR594">
        <f>COUNTIFS(S$3:S594,"="&amp;S594,AH$3:AH594,"="&amp;AH594)</f>
        <v>1</v>
      </c>
      <c r="BS594" t="str">
        <f>IFERROR(VLOOKUP(BA594&amp;BT594&amp;X594,game_rosters!U:W,3,FALSE),"")</f>
        <v>P100108</v>
      </c>
      <c r="BT594" t="str">
        <f t="shared" si="1026"/>
        <v>Velodrome</v>
      </c>
    </row>
    <row r="595" spans="1:72" x14ac:dyDescent="0.2">
      <c r="A595" t="str">
        <f t="shared" si="1001"/>
        <v>x</v>
      </c>
      <c r="D595" s="26" t="s">
        <v>729</v>
      </c>
      <c r="E595" s="4"/>
      <c r="F595" s="45"/>
      <c r="G595" s="4"/>
      <c r="H595" s="47"/>
      <c r="J595" s="26" t="str">
        <f t="shared" si="1029"/>
        <v/>
      </c>
      <c r="N595" t="str">
        <f t="shared" si="940"/>
        <v/>
      </c>
      <c r="Q595" t="str">
        <f t="shared" si="1039"/>
        <v/>
      </c>
      <c r="S595">
        <f>IF(A595=1,MAX($S$2:$S594)+1,IF(OR($I595&lt;&gt;"",A595="x"),$S594,""))</f>
        <v>295</v>
      </c>
      <c r="T595">
        <f>IF(D595=1,MAX($T$2:$T594)+1,IF(S595=S594,$T594,IF(D595="x",T594,IF(D594="x","",""))))</f>
        <v>39</v>
      </c>
      <c r="U595" t="str">
        <f>IF(B595=1,MAX($U$2:$U594)+1,IF(AND($T595&lt;&gt;"",$T595=$T594),$U594,IF(B595="x",U594,"")))</f>
        <v/>
      </c>
      <c r="V595" t="str">
        <f>IF(C595=1,MAX($V$2:$V594)+1,IF(AND($T595&lt;&gt;"",$T595=$T594),$U594,IF(C595="x",V594,"")))</f>
        <v/>
      </c>
      <c r="W595" t="str" cm="1">
        <f t="array" ref="W595">IFERROR(_xlfn._xlws.FILTER(game_rosters!AC:AC,(game_rosters!J:J=events!X595)*(K595&lt;&gt;"")),"")</f>
        <v/>
      </c>
      <c r="X595" cm="1">
        <f t="array" ref="X595">IF($I595&lt;&gt;"",$I595,INDEX($I$1:$I595,ROW()-COUNTIFS($T$1:$T595,"="&amp;$T595,$S$1:$S595,"&lt;"&amp;$S595)))</f>
        <v>10</v>
      </c>
      <c r="Y595" t="str" cm="1">
        <f t="array" ref="Y595">IFERROR(IF(_xlfn._xlws.FILTER(game_rosters!$J:$J,(game_rosters!$G:$G=events!$AM595)*(game_rosters!$J:$J=events!$X595))&gt;0,1,""),"")</f>
        <v/>
      </c>
      <c r="Z595" s="6">
        <f t="shared" si="1002"/>
        <v>1</v>
      </c>
      <c r="AA595">
        <f t="shared" si="1003"/>
        <v>1295</v>
      </c>
      <c r="AB595">
        <f t="shared" si="1004"/>
        <v>9039</v>
      </c>
      <c r="AC595">
        <f t="shared" si="1005"/>
        <v>9039</v>
      </c>
      <c r="AD595" t="str">
        <f t="shared" si="1006"/>
        <v>9</v>
      </c>
      <c r="AE595" t="str">
        <f t="shared" si="1007"/>
        <v>25</v>
      </c>
      <c r="AF595" t="str">
        <f t="shared" si="1008"/>
        <v/>
      </c>
      <c r="AG595" t="str">
        <f t="shared" si="1009"/>
        <v/>
      </c>
      <c r="AH595" t="str">
        <f t="shared" si="947"/>
        <v>o</v>
      </c>
      <c r="AI595" t="str">
        <f t="shared" si="1033"/>
        <v>o</v>
      </c>
      <c r="AJ595" t="str">
        <f t="shared" si="1033"/>
        <v>o</v>
      </c>
      <c r="AK595" t="str">
        <f t="shared" si="949"/>
        <v/>
      </c>
      <c r="AL595" t="str">
        <f t="shared" si="950"/>
        <v/>
      </c>
      <c r="AM595" t="str">
        <f t="shared" si="1010"/>
        <v>Away</v>
      </c>
      <c r="AN595" t="str">
        <f t="shared" si="951"/>
        <v>a</v>
      </c>
      <c r="AO595" t="str">
        <f t="shared" si="952"/>
        <v>d</v>
      </c>
      <c r="AP595" t="str">
        <f t="shared" si="953"/>
        <v>o</v>
      </c>
      <c r="AQ595" t="str">
        <f>IF(AM595&lt;&gt;"",AM595,IF($AC595=#REF!,#REF!,""))</f>
        <v>Away</v>
      </c>
      <c r="AR595" t="str">
        <f t="shared" si="954"/>
        <v>a</v>
      </c>
      <c r="AS595" t="str">
        <f t="shared" si="955"/>
        <v>Defensive</v>
      </c>
      <c r="AT595" t="str">
        <f t="shared" si="1011"/>
        <v/>
      </c>
      <c r="AU595" t="str">
        <f t="shared" si="1012"/>
        <v/>
      </c>
      <c r="AV595" t="str" cm="1">
        <f t="array" ref="AV595">IFERROR(IF(O595&lt;&gt;"",O595,IF(OR($S595="",$T595=""),"",IF(O595&lt;&gt;"",O595,IF($T595&lt;&gt;"",_xlfn._xlws.FILTER(O:O,($BT:$BT=$BT595)*($I:$I=$I595)*($T:$T=$T595)*($S:$S=_xlfn.MINIFS($S:$S,$T:$T,"="&amp;$T595)),"")))))&amp;"",IF(O595="","",""))&amp;""</f>
        <v/>
      </c>
      <c r="AW595" t="str" cm="1">
        <f t="array" ref="AW595">IFERROR(IF(P595&lt;&gt;"",P595,IF(OR($S595="",$T595=""),"",IF($T595&lt;&gt;"",_xlfn._xlws.FILTER(P:P,($BT:$BT=$BT595)*($I:$I=$I595)*($T:$T=$T595)*($S:$S=_xlfn.MINIFS($S:$S,$T:$T,"="&amp;$T595)),""))))&amp;"",IF(P595="","",""))&amp;""</f>
        <v/>
      </c>
      <c r="AX595" t="str" cm="1">
        <f t="array" ref="AX595">IFERROR(IF(Q595&lt;&gt;"",Q595,IF(OR($S595="",$T595=""),"",IF($T595&lt;&gt;"",_xlfn._xlws.FILTER(Q:Q,($BT:$BT=$BT595)*($I:$I=$I595)*($T:$T=$T595)*($S:$S=_xlfn.MINIFS($S:$S,$T:$T,"="&amp;$T595)),""))))&amp;"",IF(Q595="","",""))&amp;""</f>
        <v/>
      </c>
      <c r="AY595" t="str" cm="1">
        <f t="array" ref="AY595">IFERROR(IF(R595&lt;&gt;"",R595,IF(OR($S595="",$T595=""),"",IF($T595&lt;&gt;"",_xlfn._xlws.FILTER(R:R,($BT:$BT=$BT595)*($I:$I=$I595)*($T:$T=$T595)*($S:$S=_xlfn.MINIFS($S:$S,$T:$T,"="&amp;$T595)),""))))&amp;"",IF(R595="","",""))&amp;""</f>
        <v/>
      </c>
      <c r="AZ595" s="6">
        <f t="shared" si="1013"/>
        <v>49</v>
      </c>
      <c r="BA595">
        <f t="shared" ref="BA595:BC595" si="1043">BA594</f>
        <v>18991</v>
      </c>
      <c r="BB595" t="str">
        <f t="shared" si="1043"/>
        <v>Triple J</v>
      </c>
      <c r="BC595" t="str">
        <f t="shared" si="1043"/>
        <v>Velodrome</v>
      </c>
      <c r="BD595" t="str">
        <f t="shared" si="1015"/>
        <v>Turnover</v>
      </c>
      <c r="BE595" t="str">
        <f t="shared" si="1016"/>
        <v>Turnover_Giveaway</v>
      </c>
      <c r="BF595" t="str">
        <f t="shared" si="1017"/>
        <v>Giveaway-ShotBlocked</v>
      </c>
      <c r="BG595" t="str">
        <f t="shared" si="999"/>
        <v>u</v>
      </c>
      <c r="BH595" cm="1">
        <f t="array" aca="1" ref="BH595" ca="1">IFERROR(_xlfn._xlws.FILTER(shifts!A:A,(shifts!B:B=events!Z595)*(shifts!AG:AG&gt;=events!BJ595)*(shifts!AH:AH&lt;=events!BK595)),BH594)</f>
        <v>18</v>
      </c>
      <c r="BI595" s="15">
        <f t="shared" si="1018"/>
        <v>0</v>
      </c>
      <c r="BJ595">
        <f t="shared" si="1019"/>
        <v>565</v>
      </c>
      <c r="BK595">
        <f t="shared" si="1020"/>
        <v>565</v>
      </c>
      <c r="BL595" s="15">
        <f>SUMIFS(BI$2:BI595,K$2:K595,"=Intermission")+SUMIFS(BI$2:BI595,K$2:K595,"=Timeout")</f>
        <v>0</v>
      </c>
      <c r="BM595">
        <f t="shared" si="1021"/>
        <v>0</v>
      </c>
      <c r="BN595" s="19">
        <f t="shared" si="1022"/>
        <v>515</v>
      </c>
      <c r="BO595">
        <f t="shared" si="1023"/>
        <v>510</v>
      </c>
      <c r="BP595" s="17">
        <f t="shared" si="1024"/>
        <v>515</v>
      </c>
      <c r="BQ595" t="str">
        <f t="shared" si="1025"/>
        <v>opp_team_player_1</v>
      </c>
      <c r="BR595">
        <f>COUNTIFS(S$3:S595,"="&amp;S595,AH$3:AH595,"="&amp;AH595)</f>
        <v>1</v>
      </c>
      <c r="BS595" t="str">
        <f>IFERROR(VLOOKUP(BA595&amp;BT595&amp;X595,game_rosters!U:W,3,FALSE),"")</f>
        <v>P100183</v>
      </c>
      <c r="BT595" t="str">
        <f t="shared" si="1026"/>
        <v>Triple J</v>
      </c>
    </row>
    <row r="596" spans="1:72" x14ac:dyDescent="0.2">
      <c r="A596">
        <f t="shared" si="1001"/>
        <v>1</v>
      </c>
      <c r="E596" s="4"/>
      <c r="F596" s="45" t="s">
        <v>1067</v>
      </c>
      <c r="G596" s="4"/>
      <c r="H596" s="47"/>
      <c r="I596" s="26">
        <v>10</v>
      </c>
      <c r="J596" s="26" t="s">
        <v>736</v>
      </c>
      <c r="K596" t="s">
        <v>13</v>
      </c>
      <c r="L596" t="s">
        <v>586</v>
      </c>
      <c r="N596" t="s">
        <v>594</v>
      </c>
      <c r="O596" t="s">
        <v>909</v>
      </c>
      <c r="Q596" t="str">
        <f t="shared" si="1039"/>
        <v>u</v>
      </c>
      <c r="R596" s="26">
        <v>1</v>
      </c>
      <c r="S596">
        <f>IF(A596=1,MAX($S$2:$S595)+1,IF(OR($I596&lt;&gt;"",A596="x"),$S595,""))</f>
        <v>296</v>
      </c>
      <c r="T596" t="str">
        <f>IF(D596=1,MAX($T$2:$T595)+1,IF(S596=S595,$T595,IF(D596="x",T595,IF(D595="x","",""))))</f>
        <v/>
      </c>
      <c r="U596" t="str">
        <f>IF(B596=1,MAX($U$2:$U595)+1,IF(AND($T596&lt;&gt;"",$T596=$T595),$U595,IF(B596="x",U595,"")))</f>
        <v/>
      </c>
      <c r="V596" t="str">
        <f>IF(C596=1,MAX($V$2:$V595)+1,IF(AND($T596&lt;&gt;"",$T596=$T595),$U595,IF(C596="x",V595,"")))</f>
        <v/>
      </c>
      <c r="W596" t="str" cm="1">
        <f t="array" ref="W596">IFERROR(_xlfn._xlws.FILTER(game_rosters!AC:AC,(game_rosters!J:J=events!X596)*(K596&lt;&gt;"")),"")</f>
        <v>h</v>
      </c>
      <c r="X596" cm="1">
        <f t="array" ref="X596">IF($I596&lt;&gt;"",$I596,INDEX($I$1:$I596,ROW()-COUNTIFS($T$1:$T596,"="&amp;$T596,$S$1:$S596,"&lt;"&amp;$S596)))</f>
        <v>10</v>
      </c>
      <c r="Y596" cm="1">
        <f t="array" ref="Y596">IFERROR(IF(_xlfn._xlws.FILTER(game_rosters!$J:$J,(game_rosters!$G:$G=events!$AM596)*(game_rosters!$J:$J=events!$X596))&gt;0,1,""),"")</f>
        <v>1</v>
      </c>
      <c r="Z596" s="6">
        <f t="shared" si="1002"/>
        <v>1</v>
      </c>
      <c r="AA596">
        <f t="shared" si="1003"/>
        <v>1296</v>
      </c>
      <c r="AB596" t="str">
        <f t="shared" si="1004"/>
        <v/>
      </c>
      <c r="AC596">
        <f t="shared" si="1005"/>
        <v>1296</v>
      </c>
      <c r="AD596" t="str">
        <f t="shared" si="1006"/>
        <v>9</v>
      </c>
      <c r="AE596" t="str">
        <f t="shared" si="1007"/>
        <v>22</v>
      </c>
      <c r="AF596" t="str">
        <f t="shared" si="1008"/>
        <v/>
      </c>
      <c r="AG596" t="str">
        <f t="shared" si="1009"/>
        <v/>
      </c>
      <c r="AH596" t="str">
        <f t="shared" si="947"/>
        <v>e</v>
      </c>
      <c r="AI596" t="str">
        <f t="shared" si="1033"/>
        <v>d</v>
      </c>
      <c r="AJ596" t="str">
        <f t="shared" si="1033"/>
        <v>d</v>
      </c>
      <c r="AK596" t="str">
        <f t="shared" si="949"/>
        <v>d</v>
      </c>
      <c r="AL596" t="str">
        <f t="shared" si="950"/>
        <v>o</v>
      </c>
      <c r="AM596" t="str">
        <f t="shared" si="1010"/>
        <v>Home</v>
      </c>
      <c r="AN596" t="str">
        <f t="shared" si="951"/>
        <v>h</v>
      </c>
      <c r="AO596" t="str">
        <f t="shared" si="952"/>
        <v>d</v>
      </c>
      <c r="AP596" t="str">
        <f t="shared" si="953"/>
        <v>o</v>
      </c>
      <c r="AQ596" t="str">
        <f>IF(AM596&lt;&gt;"",AM596,IF($AC596=#REF!,#REF!,""))</f>
        <v>Home</v>
      </c>
      <c r="AR596" t="str">
        <f t="shared" si="954"/>
        <v>h</v>
      </c>
      <c r="AS596" t="str">
        <f t="shared" si="955"/>
        <v>Offensive</v>
      </c>
      <c r="AT596" t="str">
        <f t="shared" si="1011"/>
        <v/>
      </c>
      <c r="AU596" t="str">
        <f t="shared" si="1012"/>
        <v/>
      </c>
      <c r="AV596" t="str" cm="1">
        <f t="array" ref="AV596">IFERROR(IF(O596&lt;&gt;"",O596,IF(OR($S596="",$T596=""),"",IF(O596&lt;&gt;"",O596,IF($T596&lt;&gt;"",_xlfn._xlws.FILTER(O:O,($BT:$BT=$BT596)*($I:$I=$I596)*($T:$T=$T596)*($S:$S=_xlfn.MINIFS($S:$S,$T:$T,"="&amp;$T596)),"")))))&amp;"",IF(O596="","",""))&amp;""</f>
        <v>PuckRecoveryRetreivalShot</v>
      </c>
      <c r="AW596" t="str" cm="1">
        <f t="array" ref="AW596">IFERROR(IF(P596&lt;&gt;"",P596,IF(OR($S596="",$T596=""),"",IF($T596&lt;&gt;"",_xlfn._xlws.FILTER(P:P,($BT:$BT=$BT596)*($I:$I=$I596)*($T:$T=$T596)*($S:$S=_xlfn.MINIFS($S:$S,$T:$T,"="&amp;$T596)),""))))&amp;"",IF(P596="","",""))&amp;""</f>
        <v/>
      </c>
      <c r="AX596" t="str" cm="1">
        <f t="array" ref="AX596">IFERROR(IF(Q596&lt;&gt;"",Q596,IF(OR($S596="",$T596=""),"",IF($T596&lt;&gt;"",_xlfn._xlws.FILTER(Q:Q,($BT:$BT=$BT596)*($I:$I=$I596)*($T:$T=$T596)*($S:$S=_xlfn.MINIFS($S:$S,$T:$T,"="&amp;$T596)),""))))&amp;"",IF(Q596="","",""))&amp;""</f>
        <v>u</v>
      </c>
      <c r="AY596" t="str" cm="1">
        <f t="array" ref="AY596">IFERROR(IF(R596&lt;&gt;"",R596,IF(OR($S596="",$T596=""),"",IF($T596&lt;&gt;"",_xlfn._xlws.FILTER(R:R,($BT:$BT=$BT596)*($I:$I=$I596)*($T:$T=$T596)*($S:$S=_xlfn.MINIFS($S:$S,$T:$T,"="&amp;$T596)),""))))&amp;"",IF(R596="","",""))&amp;""</f>
        <v>1</v>
      </c>
      <c r="AZ596" s="6">
        <f t="shared" si="1013"/>
        <v>49</v>
      </c>
      <c r="BA596">
        <f t="shared" ref="BA596:BC596" si="1044">BA595</f>
        <v>18991</v>
      </c>
      <c r="BB596" t="str">
        <f t="shared" si="1044"/>
        <v>Triple J</v>
      </c>
      <c r="BC596" t="str">
        <f t="shared" si="1044"/>
        <v>Velodrome</v>
      </c>
      <c r="BD596" t="str">
        <f t="shared" si="1015"/>
        <v>Possession</v>
      </c>
      <c r="BE596" t="str">
        <f t="shared" si="1016"/>
        <v>PuckRetrieval</v>
      </c>
      <c r="BF596" t="str">
        <f t="shared" si="1017"/>
        <v/>
      </c>
      <c r="BG596" t="str">
        <f t="shared" si="999"/>
        <v>u</v>
      </c>
      <c r="BH596" cm="1">
        <f t="array" aca="1" ref="BH596" ca="1">IFERROR(_xlfn._xlws.FILTER(shifts!A:A,(shifts!B:B=events!Z596)*(shifts!AG:AG&gt;=events!BJ596)*(shifts!AH:AH&lt;=events!BK596)),BH595)</f>
        <v>18</v>
      </c>
      <c r="BI596" s="15">
        <f t="shared" si="1018"/>
        <v>0</v>
      </c>
      <c r="BJ596">
        <f t="shared" si="1019"/>
        <v>562</v>
      </c>
      <c r="BK596">
        <f t="shared" si="1020"/>
        <v>562</v>
      </c>
      <c r="BL596" s="15">
        <f>SUMIFS(BI$2:BI596,K$2:K596,"=Intermission")+SUMIFS(BI$2:BI596,K$2:K596,"=Timeout")</f>
        <v>0</v>
      </c>
      <c r="BM596">
        <f t="shared" si="1021"/>
        <v>0</v>
      </c>
      <c r="BN596" s="19">
        <f t="shared" si="1022"/>
        <v>518</v>
      </c>
      <c r="BO596">
        <f t="shared" si="1023"/>
        <v>513</v>
      </c>
      <c r="BP596" s="17">
        <f t="shared" si="1024"/>
        <v>518</v>
      </c>
      <c r="BQ596" t="str">
        <f t="shared" si="1025"/>
        <v>event_team_player_1</v>
      </c>
      <c r="BR596">
        <f>COUNTIFS(S$3:S596,"="&amp;S596,AH$3:AH596,"="&amp;AH596)</f>
        <v>1</v>
      </c>
      <c r="BS596" t="str">
        <f>IFERROR(VLOOKUP(BA596&amp;BT596&amp;X596,game_rosters!U:W,3,FALSE),"")</f>
        <v>P100183</v>
      </c>
      <c r="BT596" t="str">
        <f t="shared" si="1026"/>
        <v>Triple J</v>
      </c>
    </row>
    <row r="597" spans="1:72" x14ac:dyDescent="0.2">
      <c r="A597" t="str">
        <f t="shared" si="1001"/>
        <v/>
      </c>
      <c r="E597" s="4"/>
      <c r="F597" s="45"/>
      <c r="G597" s="4"/>
      <c r="H597" s="47"/>
      <c r="I597" s="26">
        <v>22</v>
      </c>
      <c r="J597" s="26" t="str">
        <f t="shared" si="1029"/>
        <v/>
      </c>
      <c r="N597" t="str">
        <f t="shared" ref="N597:N660" si="1045">IF(K597="","",IF(K597="Goal","s",IF(AND(K597="Zone_Entry_Exit",OR(ISNUMBER(SEARCH("fail",L597)),ISNUMBER(SEARCH("FromExitClear",M597)),ISNUMBER(SEARCH("miss",M597)))),"u",IF(AND(K597="Zone_Entry_Exit",OR(NOT(ISNUMBER(SEARCH("fail",L597))),NOT(ISNUMBER(SEARCH("FromExitClear",M597))),NOT(ISNUMBER(SEARCH("miss",M597))))),"s",IF(AND(OR(K597="Shot",K597="Pass"),OR(ISNUMBER(SEARCH("complete",L597)),ISNUMBER(SEARCH("goal",L597)),ISNUMBER(SEARCH("OnNet",L597)))),"s",IF(L597="Turnover_Giveaway","u",IF(AND(OR(K597="Shot",K597="Pass"),OR(ISNUMBER(SEARCH("fail",L597)),NOT(ISNUMBER(SEARCH("complete",L597))),NOT(ISNUMBER(SEARCH("OnNet",L597))))),"u","")))))))</f>
        <v/>
      </c>
      <c r="O597" t="s">
        <v>909</v>
      </c>
      <c r="Q597" t="s">
        <v>594</v>
      </c>
      <c r="R597" s="26">
        <v>1</v>
      </c>
      <c r="S597">
        <f>IF(A597=1,MAX($S$2:$S596)+1,IF(OR($I597&lt;&gt;"",A597="x"),$S596,""))</f>
        <v>296</v>
      </c>
      <c r="T597" t="str">
        <f>IF(D597=1,MAX($T$2:$T596)+1,IF(S597=S596,$T596,IF(D597="x",T596,IF(D596="x","",""))))</f>
        <v/>
      </c>
      <c r="U597" t="str">
        <f>IF(B597=1,MAX($U$2:$U596)+1,IF(AND($T597&lt;&gt;"",$T597=$T596),$U596,IF(B597="x",U596,"")))</f>
        <v/>
      </c>
      <c r="V597" t="str">
        <f>IF(C597=1,MAX($V$2:$V596)+1,IF(AND($T597&lt;&gt;"",$T597=$T596),$U596,IF(C597="x",V596,"")))</f>
        <v/>
      </c>
      <c r="W597" t="str" cm="1">
        <f t="array" ref="W597">IFERROR(_xlfn._xlws.FILTER(game_rosters!AC:AC,(game_rosters!J:J=events!X597)*(K597&lt;&gt;"")),"")</f>
        <v/>
      </c>
      <c r="X597" cm="1">
        <f t="array" ref="X597">IF($I597&lt;&gt;"",$I597,INDEX($I$1:$I597,ROW()-COUNTIFS($T$1:$T597,"="&amp;$T597,$S$1:$S597,"&lt;"&amp;$S597)))</f>
        <v>22</v>
      </c>
      <c r="Y597" t="str" cm="1">
        <f t="array" ref="Y597">IFERROR(IF(_xlfn._xlws.FILTER(game_rosters!$J:$J,(game_rosters!$G:$G=events!$AM597)*(game_rosters!$J:$J=events!$X597))&gt;0,1,""),"")</f>
        <v/>
      </c>
      <c r="Z597" s="6">
        <f t="shared" si="1002"/>
        <v>1</v>
      </c>
      <c r="AA597">
        <f t="shared" si="1003"/>
        <v>1296</v>
      </c>
      <c r="AB597" t="str">
        <f t="shared" si="1004"/>
        <v/>
      </c>
      <c r="AC597">
        <f t="shared" si="1005"/>
        <v>1296</v>
      </c>
      <c r="AD597" t="str">
        <f t="shared" si="1006"/>
        <v>9</v>
      </c>
      <c r="AE597" t="str">
        <f t="shared" si="1007"/>
        <v>22</v>
      </c>
      <c r="AF597" t="str">
        <f t="shared" si="1008"/>
        <v/>
      </c>
      <c r="AG597" t="str">
        <f t="shared" si="1009"/>
        <v/>
      </c>
      <c r="AH597" t="str">
        <f t="shared" si="947"/>
        <v>o</v>
      </c>
      <c r="AI597" t="str">
        <f t="shared" si="1033"/>
        <v>d</v>
      </c>
      <c r="AJ597" t="str">
        <f t="shared" si="1033"/>
        <v>d</v>
      </c>
      <c r="AK597" t="str">
        <f t="shared" si="949"/>
        <v/>
      </c>
      <c r="AL597" t="str">
        <f t="shared" si="950"/>
        <v/>
      </c>
      <c r="AM597" t="str">
        <f t="shared" si="1010"/>
        <v>Home</v>
      </c>
      <c r="AN597" t="str">
        <f t="shared" si="951"/>
        <v>h</v>
      </c>
      <c r="AO597" t="str">
        <f t="shared" si="952"/>
        <v>d</v>
      </c>
      <c r="AP597" t="str">
        <f t="shared" si="953"/>
        <v>o</v>
      </c>
      <c r="AQ597" t="str">
        <f>IF(AM597&lt;&gt;"",AM597,IF($AC597=#REF!,#REF!,""))</f>
        <v>Home</v>
      </c>
      <c r="AR597" t="str">
        <f t="shared" si="954"/>
        <v>h</v>
      </c>
      <c r="AS597" t="str">
        <f t="shared" si="955"/>
        <v>Defensive</v>
      </c>
      <c r="AT597" t="str">
        <f t="shared" si="1011"/>
        <v/>
      </c>
      <c r="AU597" t="str">
        <f t="shared" si="1012"/>
        <v/>
      </c>
      <c r="AV597" t="str" cm="1">
        <f t="array" ref="AV597">IFERROR(IF(O597&lt;&gt;"",O597,IF(OR($S597="",$T597=""),"",IF(O597&lt;&gt;"",O597,IF($T597&lt;&gt;"",_xlfn._xlws.FILTER(O:O,($BT:$BT=$BT597)*($I:$I=$I597)*($T:$T=$T597)*($S:$S=_xlfn.MINIFS($S:$S,$T:$T,"="&amp;$T597)),"")))))&amp;"",IF(O597="","",""))&amp;""</f>
        <v>PuckRecoveryRetreivalShot</v>
      </c>
      <c r="AW597" t="str" cm="1">
        <f t="array" ref="AW597">IFERROR(IF(P597&lt;&gt;"",P597,IF(OR($S597="",$T597=""),"",IF($T597&lt;&gt;"",_xlfn._xlws.FILTER(P:P,($BT:$BT=$BT597)*($I:$I=$I597)*($T:$T=$T597)*($S:$S=_xlfn.MINIFS($S:$S,$T:$T,"="&amp;$T597)),""))))&amp;"",IF(P597="","",""))&amp;""</f>
        <v/>
      </c>
      <c r="AX597" t="str" cm="1">
        <f t="array" ref="AX597">IFERROR(IF(Q597&lt;&gt;"",Q597,IF(OR($S597="",$T597=""),"",IF($T597&lt;&gt;"",_xlfn._xlws.FILTER(Q:Q,($BT:$BT=$BT597)*($I:$I=$I597)*($T:$T=$T597)*($S:$S=_xlfn.MINIFS($S:$S,$T:$T,"="&amp;$T597)),""))))&amp;"",IF(Q597="","",""))&amp;""</f>
        <v>u</v>
      </c>
      <c r="AY597" t="str" cm="1">
        <f t="array" ref="AY597">IFERROR(IF(R597&lt;&gt;"",R597,IF(OR($S597="",$T597=""),"",IF($T597&lt;&gt;"",_xlfn._xlws.FILTER(R:R,($BT:$BT=$BT597)*($I:$I=$I597)*($T:$T=$T597)*($S:$S=_xlfn.MINIFS($S:$S,$T:$T,"="&amp;$T597)),""))))&amp;"",IF(R597="","",""))&amp;""</f>
        <v>1</v>
      </c>
      <c r="AZ597" s="6">
        <f t="shared" si="1013"/>
        <v>49</v>
      </c>
      <c r="BA597">
        <f t="shared" ref="BA597:BC597" si="1046">BA596</f>
        <v>18991</v>
      </c>
      <c r="BB597" t="str">
        <f t="shared" si="1046"/>
        <v>Triple J</v>
      </c>
      <c r="BC597" t="str">
        <f t="shared" si="1046"/>
        <v>Velodrome</v>
      </c>
      <c r="BD597" t="str">
        <f t="shared" si="1015"/>
        <v>Possession</v>
      </c>
      <c r="BE597" t="str">
        <f t="shared" si="1016"/>
        <v>PuckRetrieval</v>
      </c>
      <c r="BF597" t="str">
        <f t="shared" si="1017"/>
        <v/>
      </c>
      <c r="BG597" t="str">
        <f t="shared" si="999"/>
        <v>u</v>
      </c>
      <c r="BH597" cm="1">
        <f t="array" aca="1" ref="BH597" ca="1">IFERROR(_xlfn._xlws.FILTER(shifts!A:A,(shifts!B:B=events!Z597)*(shifts!AG:AG&gt;=events!BJ597)*(shifts!AH:AH&lt;=events!BK597)),BH596)</f>
        <v>18</v>
      </c>
      <c r="BI597" s="15">
        <f t="shared" si="1018"/>
        <v>0</v>
      </c>
      <c r="BJ597">
        <f t="shared" si="1019"/>
        <v>562</v>
      </c>
      <c r="BK597">
        <f t="shared" si="1020"/>
        <v>562</v>
      </c>
      <c r="BL597" s="15">
        <f>SUMIFS(BI$2:BI597,K$2:K597,"=Intermission")+SUMIFS(BI$2:BI597,K$2:K597,"=Timeout")</f>
        <v>0</v>
      </c>
      <c r="BM597">
        <f t="shared" si="1021"/>
        <v>0</v>
      </c>
      <c r="BN597" s="19">
        <f t="shared" si="1022"/>
        <v>518</v>
      </c>
      <c r="BO597">
        <f t="shared" si="1023"/>
        <v>513</v>
      </c>
      <c r="BP597" s="17">
        <f t="shared" si="1024"/>
        <v>518</v>
      </c>
      <c r="BQ597" t="str">
        <f t="shared" si="1025"/>
        <v>opp_team_player_1</v>
      </c>
      <c r="BR597">
        <f>COUNTIFS(S$3:S597,"="&amp;S597,AH$3:AH597,"="&amp;AH597)</f>
        <v>1</v>
      </c>
      <c r="BS597" t="str">
        <f>IFERROR(VLOOKUP(BA597&amp;BT597&amp;X597,game_rosters!U:W,3,FALSE),"")</f>
        <v>P100108</v>
      </c>
      <c r="BT597" t="str">
        <f t="shared" si="1026"/>
        <v>Velodrome</v>
      </c>
    </row>
    <row r="598" spans="1:72" x14ac:dyDescent="0.2">
      <c r="A598">
        <f t="shared" si="1001"/>
        <v>1</v>
      </c>
      <c r="E598" s="4"/>
      <c r="F598" s="45"/>
      <c r="G598" s="4"/>
      <c r="H598" s="47"/>
      <c r="I598" s="26">
        <v>10</v>
      </c>
      <c r="J598" s="26" t="s">
        <v>736</v>
      </c>
      <c r="K598" t="s">
        <v>9</v>
      </c>
      <c r="L598" t="s">
        <v>173</v>
      </c>
      <c r="M598" t="s">
        <v>365</v>
      </c>
      <c r="N598" t="str">
        <f t="shared" si="1045"/>
        <v>u</v>
      </c>
      <c r="O598" t="s">
        <v>769</v>
      </c>
      <c r="Q598" t="str">
        <f t="shared" si="1039"/>
        <v>u</v>
      </c>
      <c r="S598">
        <f>IF(A598=1,MAX($S$2:$S597)+1,IF(OR($I598&lt;&gt;"",A598="x"),$S597,""))</f>
        <v>297</v>
      </c>
      <c r="T598" t="str">
        <f>IF(D598=1,MAX($T$2:$T597)+1,IF(S598=S597,$T597,IF(D598="x",T597,IF(D597="x","",""))))</f>
        <v/>
      </c>
      <c r="U598" t="str">
        <f>IF(B598=1,MAX($U$2:$U597)+1,IF(AND($T598&lt;&gt;"",$T598=$T597),$U597,IF(B598="x",U597,"")))</f>
        <v/>
      </c>
      <c r="V598" t="str">
        <f>IF(C598=1,MAX($V$2:$V597)+1,IF(AND($T598&lt;&gt;"",$T598=$T597),$U597,IF(C598="x",V597,"")))</f>
        <v/>
      </c>
      <c r="W598" t="str" cm="1">
        <f t="array" ref="W598">IFERROR(_xlfn._xlws.FILTER(game_rosters!AC:AC,(game_rosters!J:J=events!X598)*(K598&lt;&gt;"")),"")</f>
        <v>h</v>
      </c>
      <c r="X598" cm="1">
        <f t="array" ref="X598">IF($I598&lt;&gt;"",$I598,INDEX($I$1:$I598,ROW()-COUNTIFS($T$1:$T598,"="&amp;$T598,$S$1:$S598,"&lt;"&amp;$S598)))</f>
        <v>10</v>
      </c>
      <c r="Y598" cm="1">
        <f t="array" ref="Y598">IFERROR(IF(_xlfn._xlws.FILTER(game_rosters!$J:$J,(game_rosters!$G:$G=events!$AM598)*(game_rosters!$J:$J=events!$X598))&gt;0,1,""),"")</f>
        <v>1</v>
      </c>
      <c r="Z598" s="6">
        <f t="shared" si="1002"/>
        <v>1</v>
      </c>
      <c r="AA598">
        <f t="shared" si="1003"/>
        <v>1297</v>
      </c>
      <c r="AB598" t="str">
        <f t="shared" si="1004"/>
        <v/>
      </c>
      <c r="AC598">
        <f t="shared" si="1005"/>
        <v>1297</v>
      </c>
      <c r="AD598" t="str">
        <f t="shared" si="1006"/>
        <v>9</v>
      </c>
      <c r="AE598" t="str">
        <f t="shared" si="1007"/>
        <v>22</v>
      </c>
      <c r="AF598" t="str">
        <f t="shared" si="1008"/>
        <v/>
      </c>
      <c r="AG598" t="str">
        <f t="shared" si="1009"/>
        <v/>
      </c>
      <c r="AH598" t="str">
        <f t="shared" si="947"/>
        <v>e</v>
      </c>
      <c r="AI598" t="str">
        <f t="shared" si="1033"/>
        <v>d</v>
      </c>
      <c r="AJ598" t="str">
        <f t="shared" si="1033"/>
        <v>d</v>
      </c>
      <c r="AK598" t="str">
        <f t="shared" si="949"/>
        <v>d</v>
      </c>
      <c r="AL598" t="str">
        <f t="shared" si="950"/>
        <v>o</v>
      </c>
      <c r="AM598" t="str">
        <f t="shared" si="1010"/>
        <v>Home</v>
      </c>
      <c r="AN598" t="str">
        <f t="shared" si="951"/>
        <v>h</v>
      </c>
      <c r="AO598" t="str">
        <f t="shared" si="952"/>
        <v>d</v>
      </c>
      <c r="AP598" t="str">
        <f t="shared" si="953"/>
        <v>o</v>
      </c>
      <c r="AQ598" t="str">
        <f>IF(AM598&lt;&gt;"",AM598,IF($AC598=#REF!,#REF!,""))</f>
        <v>Home</v>
      </c>
      <c r="AR598" t="str">
        <f t="shared" si="954"/>
        <v>h</v>
      </c>
      <c r="AS598" t="str">
        <f t="shared" si="955"/>
        <v>Offensive</v>
      </c>
      <c r="AT598" t="str">
        <f t="shared" si="1011"/>
        <v/>
      </c>
      <c r="AU598" t="str">
        <f t="shared" si="1012"/>
        <v/>
      </c>
      <c r="AV598" t="str" cm="1">
        <f t="array" ref="AV598">IFERROR(IF(O598&lt;&gt;"",O598,IF(OR($S598="",$T598=""),"",IF(O598&lt;&gt;"",O598,IF($T598&lt;&gt;"",_xlfn._xlws.FILTER(O:O,($BT:$BT=$BT598)*($I:$I=$I598)*($T:$T=$T598)*($S:$S=_xlfn.MINIFS($S:$S,$T:$T,"="&amp;$T598)),"")))))&amp;"",IF(O598="","",""))&amp;""</f>
        <v>AttemptedBreakOutClear</v>
      </c>
      <c r="AW598" t="str" cm="1">
        <f t="array" ref="AW598">IFERROR(IF(P598&lt;&gt;"",P598,IF(OR($S598="",$T598=""),"",IF($T598&lt;&gt;"",_xlfn._xlws.FILTER(P:P,($BT:$BT=$BT598)*($I:$I=$I598)*($T:$T=$T598)*($S:$S=_xlfn.MINIFS($S:$S,$T:$T,"="&amp;$T598)),""))))&amp;"",IF(P598="","",""))&amp;""</f>
        <v/>
      </c>
      <c r="AX598" t="str" cm="1">
        <f t="array" ref="AX598">IFERROR(IF(Q598&lt;&gt;"",Q598,IF(OR($S598="",$T598=""),"",IF($T598&lt;&gt;"",_xlfn._xlws.FILTER(Q:Q,($BT:$BT=$BT598)*($I:$I=$I598)*($T:$T=$T598)*($S:$S=_xlfn.MINIFS($S:$S,$T:$T,"="&amp;$T598)),""))))&amp;"",IF(Q598="","",""))&amp;""</f>
        <v>u</v>
      </c>
      <c r="AY598" t="str" cm="1">
        <f t="array" ref="AY598">IFERROR(IF(R598&lt;&gt;"",R598,IF(OR($S598="",$T598=""),"",IF($T598&lt;&gt;"",_xlfn._xlws.FILTER(R:R,($BT:$BT=$BT598)*($I:$I=$I598)*($T:$T=$T598)*($S:$S=_xlfn.MINIFS($S:$S,$T:$T,"="&amp;$T598)),""))))&amp;"",IF(R598="","",""))&amp;""</f>
        <v/>
      </c>
      <c r="AZ598" s="6">
        <f t="shared" si="1013"/>
        <v>49</v>
      </c>
      <c r="BA598">
        <f t="shared" ref="BA598:BC598" si="1047">BA597</f>
        <v>18991</v>
      </c>
      <c r="BB598" t="str">
        <f t="shared" si="1047"/>
        <v>Triple J</v>
      </c>
      <c r="BC598" t="str">
        <f t="shared" si="1047"/>
        <v>Velodrome</v>
      </c>
      <c r="BD598" t="str">
        <f t="shared" si="1015"/>
        <v>Turnover</v>
      </c>
      <c r="BE598" t="str">
        <f t="shared" si="1016"/>
        <v>Turnover_Giveaway</v>
      </c>
      <c r="BF598" t="str">
        <f t="shared" si="1017"/>
        <v>Giveaway-AttemptedZoneClear/Dump</v>
      </c>
      <c r="BG598" t="str">
        <f t="shared" si="999"/>
        <v>u</v>
      </c>
      <c r="BH598" cm="1">
        <f t="array" aca="1" ref="BH598" ca="1">IFERROR(_xlfn._xlws.FILTER(shifts!A:A,(shifts!B:B=events!Z598)*(shifts!AG:AG&gt;=events!BJ598)*(shifts!AH:AH&lt;=events!BK598)),BH597)</f>
        <v>18</v>
      </c>
      <c r="BI598" s="15">
        <f t="shared" si="1018"/>
        <v>0</v>
      </c>
      <c r="BJ598">
        <f t="shared" si="1019"/>
        <v>562</v>
      </c>
      <c r="BK598">
        <f t="shared" si="1020"/>
        <v>562</v>
      </c>
      <c r="BL598" s="15">
        <f>SUMIFS(BI$2:BI598,K$2:K598,"=Intermission")+SUMIFS(BI$2:BI598,K$2:K598,"=Timeout")</f>
        <v>0</v>
      </c>
      <c r="BM598">
        <f t="shared" si="1021"/>
        <v>0</v>
      </c>
      <c r="BN598" s="19">
        <f t="shared" si="1022"/>
        <v>518</v>
      </c>
      <c r="BO598">
        <f t="shared" si="1023"/>
        <v>513</v>
      </c>
      <c r="BP598" s="17">
        <f t="shared" si="1024"/>
        <v>518</v>
      </c>
      <c r="BQ598" t="str">
        <f t="shared" si="1025"/>
        <v>event_team_player_1</v>
      </c>
      <c r="BR598">
        <f>COUNTIFS(S$3:S598,"="&amp;S598,AH$3:AH598,"="&amp;AH598)</f>
        <v>1</v>
      </c>
      <c r="BS598" t="str">
        <f>IFERROR(VLOOKUP(BA598&amp;BT598&amp;X598,game_rosters!U:W,3,FALSE),"")</f>
        <v>P100183</v>
      </c>
      <c r="BT598" t="str">
        <f t="shared" si="1026"/>
        <v>Triple J</v>
      </c>
    </row>
    <row r="599" spans="1:72" x14ac:dyDescent="0.2">
      <c r="A599">
        <f t="shared" si="1001"/>
        <v>1</v>
      </c>
      <c r="E599" s="4"/>
      <c r="F599" s="45" t="s">
        <v>1036</v>
      </c>
      <c r="G599" s="4"/>
      <c r="H599" s="47"/>
      <c r="I599" s="26">
        <v>70</v>
      </c>
      <c r="J599" s="26" t="s">
        <v>368</v>
      </c>
      <c r="K599" t="s">
        <v>238</v>
      </c>
      <c r="L599" t="s">
        <v>193</v>
      </c>
      <c r="M599" t="s">
        <v>91</v>
      </c>
      <c r="N599" t="str">
        <f t="shared" si="1045"/>
        <v>s</v>
      </c>
      <c r="Q599" t="str">
        <f t="shared" si="1039"/>
        <v/>
      </c>
      <c r="S599">
        <f>IF(A599=1,MAX($S$2:$S598)+1,IF(OR($I599&lt;&gt;"",A599="x"),$S598,""))</f>
        <v>298</v>
      </c>
      <c r="T599" t="str">
        <f>IF(D599=1,MAX($T$2:$T598)+1,IF(S599=S598,$T598,IF(D599="x",T598,IF(D598="x","",""))))</f>
        <v/>
      </c>
      <c r="U599" t="str">
        <f>IF(B599=1,MAX($U$2:$U598)+1,IF(AND($T599&lt;&gt;"",$T599=$T598),$U598,IF(B599="x",U598,"")))</f>
        <v/>
      </c>
      <c r="V599" t="str">
        <f>IF(C599=1,MAX($V$2:$V598)+1,IF(AND($T599&lt;&gt;"",$T599=$T598),$U598,IF(C599="x",V598,"")))</f>
        <v/>
      </c>
      <c r="W599" t="str" cm="1">
        <f t="array" ref="W599">IFERROR(_xlfn._xlws.FILTER(game_rosters!AC:AC,(game_rosters!J:J=events!X599)*(K599&lt;&gt;"")),"")</f>
        <v>a</v>
      </c>
      <c r="X599" cm="1">
        <f t="array" ref="X599">IF($I599&lt;&gt;"",$I599,INDEX($I$1:$I599,ROW()-COUNTIFS($T$1:$T599,"="&amp;$T599,$S$1:$S599,"&lt;"&amp;$S599)))</f>
        <v>70</v>
      </c>
      <c r="Y599" cm="1">
        <f t="array" ref="Y599">IFERROR(IF(_xlfn._xlws.FILTER(game_rosters!$J:$J,(game_rosters!$G:$G=events!$AM599)*(game_rosters!$J:$J=events!$X599))&gt;0,1,""),"")</f>
        <v>1</v>
      </c>
      <c r="Z599" s="6">
        <f t="shared" si="1002"/>
        <v>1</v>
      </c>
      <c r="AA599">
        <f t="shared" si="1003"/>
        <v>1298</v>
      </c>
      <c r="AB599" t="str">
        <f t="shared" si="1004"/>
        <v/>
      </c>
      <c r="AC599">
        <f t="shared" si="1005"/>
        <v>1298</v>
      </c>
      <c r="AD599" t="str">
        <f t="shared" si="1006"/>
        <v>9</v>
      </c>
      <c r="AE599" t="str">
        <f t="shared" si="1007"/>
        <v>20</v>
      </c>
      <c r="AF599" t="str">
        <f t="shared" si="1008"/>
        <v/>
      </c>
      <c r="AG599" t="str">
        <f t="shared" si="1009"/>
        <v/>
      </c>
      <c r="AH599" t="str">
        <f t="shared" si="947"/>
        <v>e</v>
      </c>
      <c r="AI599" t="str">
        <f t="shared" si="1033"/>
        <v>o</v>
      </c>
      <c r="AJ599" t="str">
        <f t="shared" si="1033"/>
        <v>o</v>
      </c>
      <c r="AK599" t="str">
        <f t="shared" si="949"/>
        <v>d</v>
      </c>
      <c r="AL599" t="str">
        <f t="shared" si="950"/>
        <v>o</v>
      </c>
      <c r="AM599" t="str">
        <f t="shared" si="1010"/>
        <v>Away</v>
      </c>
      <c r="AN599" t="str">
        <f t="shared" si="951"/>
        <v>a</v>
      </c>
      <c r="AO599" t="str">
        <f t="shared" si="952"/>
        <v>d</v>
      </c>
      <c r="AP599" t="str">
        <f t="shared" si="953"/>
        <v>o</v>
      </c>
      <c r="AQ599" t="str">
        <f>IF(AM599&lt;&gt;"",AM599,IF($AC599=#REF!,#REF!,""))</f>
        <v>Away</v>
      </c>
      <c r="AR599" t="str">
        <f t="shared" si="954"/>
        <v>a</v>
      </c>
      <c r="AS599" t="str">
        <f t="shared" si="955"/>
        <v>Offensive</v>
      </c>
      <c r="AT599" t="str">
        <f t="shared" si="1011"/>
        <v/>
      </c>
      <c r="AU599" t="str">
        <f t="shared" si="1012"/>
        <v/>
      </c>
      <c r="AV599" t="str" cm="1">
        <f t="array" ref="AV599">IFERROR(IF(O599&lt;&gt;"",O599,IF(OR($S599="",$T599=""),"",IF(O599&lt;&gt;"",O599,IF($T599&lt;&gt;"",_xlfn._xlws.FILTER(O:O,($BT:$BT=$BT599)*($I:$I=$I599)*($T:$T=$T599)*($S:$S=_xlfn.MINIFS($S:$S,$T:$T,"="&amp;$T599)),"")))))&amp;"",IF(O599="","",""))&amp;""</f>
        <v/>
      </c>
      <c r="AW599" t="str" cm="1">
        <f t="array" ref="AW599">IFERROR(IF(P599&lt;&gt;"",P599,IF(OR($S599="",$T599=""),"",IF($T599&lt;&gt;"",_xlfn._xlws.FILTER(P:P,($BT:$BT=$BT599)*($I:$I=$I599)*($T:$T=$T599)*($S:$S=_xlfn.MINIFS($S:$S,$T:$T,"="&amp;$T599)),""))))&amp;"",IF(P599="","",""))&amp;""</f>
        <v/>
      </c>
      <c r="AX599" t="str" cm="1">
        <f t="array" ref="AX599">IFERROR(IF(Q599&lt;&gt;"",Q599,IF(OR($S599="",$T599=""),"",IF($T599&lt;&gt;"",_xlfn._xlws.FILTER(Q:Q,($BT:$BT=$BT599)*($I:$I=$I599)*($T:$T=$T599)*($S:$S=_xlfn.MINIFS($S:$S,$T:$T,"="&amp;$T599)),""))))&amp;"",IF(Q599="","",""))&amp;""</f>
        <v/>
      </c>
      <c r="AY599" t="str" cm="1">
        <f t="array" ref="AY599">IFERROR(IF(R599&lt;&gt;"",R599,IF(OR($S599="",$T599=""),"",IF($T599&lt;&gt;"",_xlfn._xlws.FILTER(R:R,($BT:$BT=$BT599)*($I:$I=$I599)*($T:$T=$T599)*($S:$S=_xlfn.MINIFS($S:$S,$T:$T,"="&amp;$T599)),""))))&amp;"",IF(R599="","",""))&amp;""</f>
        <v/>
      </c>
      <c r="AZ599" s="6">
        <f t="shared" si="1013"/>
        <v>49</v>
      </c>
      <c r="BA599">
        <f t="shared" ref="BA599:BC599" si="1048">BA598</f>
        <v>18991</v>
      </c>
      <c r="BB599" t="str">
        <f t="shared" si="1048"/>
        <v>Triple J</v>
      </c>
      <c r="BC599" t="str">
        <f t="shared" si="1048"/>
        <v>Velodrome</v>
      </c>
      <c r="BD599" t="str">
        <f t="shared" si="1015"/>
        <v>Zone_Entry_Exit</v>
      </c>
      <c r="BE599" t="str">
        <f t="shared" si="1016"/>
        <v>Zone_Keepin</v>
      </c>
      <c r="BF599" t="str">
        <f t="shared" si="1017"/>
        <v>Zone-KeepIn</v>
      </c>
      <c r="BG599" t="str">
        <f t="shared" si="999"/>
        <v>s</v>
      </c>
      <c r="BH599" cm="1">
        <f t="array" aca="1" ref="BH599" ca="1">IFERROR(_xlfn._xlws.FILTER(shifts!A:A,(shifts!B:B=events!Z599)*(shifts!AG:AG&gt;=events!BJ599)*(shifts!AH:AH&lt;=events!BK599)),BH598)</f>
        <v>18</v>
      </c>
      <c r="BI599" s="15">
        <f t="shared" si="1018"/>
        <v>0</v>
      </c>
      <c r="BJ599">
        <f t="shared" si="1019"/>
        <v>560</v>
      </c>
      <c r="BK599">
        <f t="shared" si="1020"/>
        <v>560</v>
      </c>
      <c r="BL599" s="15">
        <f>SUMIFS(BI$2:BI599,K$2:K599,"=Intermission")+SUMIFS(BI$2:BI599,K$2:K599,"=Timeout")</f>
        <v>0</v>
      </c>
      <c r="BM599">
        <f t="shared" si="1021"/>
        <v>0</v>
      </c>
      <c r="BN599" s="19">
        <f t="shared" si="1022"/>
        <v>520</v>
      </c>
      <c r="BO599">
        <f t="shared" si="1023"/>
        <v>515</v>
      </c>
      <c r="BP599" s="17">
        <f t="shared" si="1024"/>
        <v>520</v>
      </c>
      <c r="BQ599" t="str">
        <f t="shared" si="1025"/>
        <v>event_team_player_1</v>
      </c>
      <c r="BR599">
        <f>COUNTIFS(S$3:S599,"="&amp;S599,AH$3:AH599,"="&amp;AH599)</f>
        <v>1</v>
      </c>
      <c r="BS599" t="str">
        <f>IFERROR(VLOOKUP(BA599&amp;BT599&amp;X599,game_rosters!U:W,3,FALSE),"")</f>
        <v>P100001</v>
      </c>
      <c r="BT599" t="str">
        <f t="shared" si="1026"/>
        <v>Velodrome</v>
      </c>
    </row>
    <row r="600" spans="1:72" x14ac:dyDescent="0.2">
      <c r="A600">
        <f t="shared" si="1001"/>
        <v>1</v>
      </c>
      <c r="E600" s="4"/>
      <c r="F600" s="45"/>
      <c r="G600" s="4"/>
      <c r="H600" s="47"/>
      <c r="I600" s="26">
        <v>70</v>
      </c>
      <c r="J600" s="26" t="str">
        <f t="shared" si="1029"/>
        <v/>
      </c>
      <c r="K600" t="s">
        <v>13</v>
      </c>
      <c r="L600" t="s">
        <v>586</v>
      </c>
      <c r="N600" t="s">
        <v>594</v>
      </c>
      <c r="O600" t="s">
        <v>911</v>
      </c>
      <c r="P600" t="s">
        <v>150</v>
      </c>
      <c r="Q600" t="str">
        <f t="shared" si="1039"/>
        <v>u</v>
      </c>
      <c r="R600" s="26">
        <v>1</v>
      </c>
      <c r="S600">
        <f>IF(A600=1,MAX($S$2:$S599)+1,IF(OR($I600&lt;&gt;"",A600="x"),$S599,""))</f>
        <v>299</v>
      </c>
      <c r="T600" t="str">
        <f>IF(D600=1,MAX($T$2:$T599)+1,IF(S600=S599,$T599,IF(D600="x",T599,IF(D599="x","",""))))</f>
        <v/>
      </c>
      <c r="U600" t="str">
        <f>IF(B600=1,MAX($U$2:$U599)+1,IF(AND($T600&lt;&gt;"",$T600=$T599),$U599,IF(B600="x",U599,"")))</f>
        <v/>
      </c>
      <c r="V600" t="str">
        <f>IF(C600=1,MAX($V$2:$V599)+1,IF(AND($T600&lt;&gt;"",$T600=$T599),$U599,IF(C600="x",V599,"")))</f>
        <v/>
      </c>
      <c r="W600" t="str" cm="1">
        <f t="array" ref="W600">IFERROR(_xlfn._xlws.FILTER(game_rosters!AC:AC,(game_rosters!J:J=events!X600)*(K600&lt;&gt;"")),"")</f>
        <v>a</v>
      </c>
      <c r="X600" cm="1">
        <f t="array" ref="X600">IF($I600&lt;&gt;"",$I600,INDEX($I$1:$I600,ROW()-COUNTIFS($T$1:$T600,"="&amp;$T600,$S$1:$S600,"&lt;"&amp;$S600)))</f>
        <v>70</v>
      </c>
      <c r="Y600" cm="1">
        <f t="array" ref="Y600">IFERROR(IF(_xlfn._xlws.FILTER(game_rosters!$J:$J,(game_rosters!$G:$G=events!$AM600)*(game_rosters!$J:$J=events!$X600))&gt;0,1,""),"")</f>
        <v>1</v>
      </c>
      <c r="Z600" s="6">
        <f t="shared" si="1002"/>
        <v>1</v>
      </c>
      <c r="AA600">
        <f t="shared" si="1003"/>
        <v>1299</v>
      </c>
      <c r="AB600" t="str">
        <f t="shared" si="1004"/>
        <v/>
      </c>
      <c r="AC600">
        <f t="shared" si="1005"/>
        <v>1299</v>
      </c>
      <c r="AD600" t="str">
        <f t="shared" si="1006"/>
        <v>9</v>
      </c>
      <c r="AE600" t="str">
        <f t="shared" si="1007"/>
        <v>20</v>
      </c>
      <c r="AF600" t="str">
        <f t="shared" si="1008"/>
        <v/>
      </c>
      <c r="AG600" t="str">
        <f t="shared" si="1009"/>
        <v/>
      </c>
      <c r="AH600" t="str">
        <f t="shared" si="947"/>
        <v>e</v>
      </c>
      <c r="AI600" t="str">
        <f t="shared" si="1033"/>
        <v/>
      </c>
      <c r="AJ600" t="str">
        <f t="shared" si="1033"/>
        <v/>
      </c>
      <c r="AK600" t="str">
        <f t="shared" si="949"/>
        <v/>
      </c>
      <c r="AL600" t="str">
        <f t="shared" si="950"/>
        <v/>
      </c>
      <c r="AM600" t="str">
        <f t="shared" si="1010"/>
        <v>Away</v>
      </c>
      <c r="AN600" t="str">
        <f t="shared" si="951"/>
        <v>a</v>
      </c>
      <c r="AO600" t="str">
        <f t="shared" si="952"/>
        <v/>
      </c>
      <c r="AP600" t="str">
        <f t="shared" si="953"/>
        <v/>
      </c>
      <c r="AQ600" t="str">
        <f>IF(AM600&lt;&gt;"",AM600,IF($AC600=#REF!,#REF!,""))</f>
        <v>Away</v>
      </c>
      <c r="AR600" t="str">
        <f t="shared" si="954"/>
        <v>a</v>
      </c>
      <c r="AS600" t="str">
        <f t="shared" si="955"/>
        <v>Offensive</v>
      </c>
      <c r="AT600" t="str">
        <f t="shared" si="1011"/>
        <v/>
      </c>
      <c r="AU600" t="str">
        <f t="shared" si="1012"/>
        <v/>
      </c>
      <c r="AV600" t="str" cm="1">
        <f t="array" ref="AV600">IFERROR(IF(O600&lt;&gt;"",O600,IF(OR($S600="",$T600=""),"",IF(O600&lt;&gt;"",O600,IF($T600&lt;&gt;"",_xlfn._xlws.FILTER(O:O,($BT:$BT=$BT600)*($I:$I=$I600)*($T:$T=$T600)*($S:$S=_xlfn.MINIFS($S:$S,$T:$T,"="&amp;$T600)),"")))))&amp;"",IF(O600="","",""))&amp;""</f>
        <v>PuckRecoveryRetreivalAttemptedClear</v>
      </c>
      <c r="AW600" t="str" cm="1">
        <f t="array" ref="AW600">IFERROR(IF(P600&lt;&gt;"",P600,IF(OR($S600="",$T600=""),"",IF($T600&lt;&gt;"",_xlfn._xlws.FILTER(P:P,($BT:$BT=$BT600)*($I:$I=$I600)*($T:$T=$T600)*($S:$S=_xlfn.MINIFS($S:$S,$T:$T,"="&amp;$T600)),""))))&amp;"",IF(P600="","",""))&amp;""</f>
        <v>Deke</v>
      </c>
      <c r="AX600" t="str" cm="1">
        <f t="array" ref="AX600">IFERROR(IF(Q600&lt;&gt;"",Q600,IF(OR($S600="",$T600=""),"",IF($T600&lt;&gt;"",_xlfn._xlws.FILTER(Q:Q,($BT:$BT=$BT600)*($I:$I=$I600)*($T:$T=$T600)*($S:$S=_xlfn.MINIFS($S:$S,$T:$T,"="&amp;$T600)),""))))&amp;"",IF(Q600="","",""))&amp;""</f>
        <v>u</v>
      </c>
      <c r="AY600" t="str" cm="1">
        <f t="array" ref="AY600">IFERROR(IF(R600&lt;&gt;"",R600,IF(OR($S600="",$T600=""),"",IF($T600&lt;&gt;"",_xlfn._xlws.FILTER(R:R,($BT:$BT=$BT600)*($I:$I=$I600)*($T:$T=$T600)*($S:$S=_xlfn.MINIFS($S:$S,$T:$T,"="&amp;$T600)),""))))&amp;"",IF(R600="","",""))&amp;""</f>
        <v>1</v>
      </c>
      <c r="AZ600" s="6">
        <f t="shared" si="1013"/>
        <v>49</v>
      </c>
      <c r="BA600">
        <f t="shared" ref="BA600:BC600" si="1049">BA599</f>
        <v>18991</v>
      </c>
      <c r="BB600" t="str">
        <f t="shared" si="1049"/>
        <v>Triple J</v>
      </c>
      <c r="BC600" t="str">
        <f t="shared" si="1049"/>
        <v>Velodrome</v>
      </c>
      <c r="BD600" t="str">
        <f t="shared" si="1015"/>
        <v>Possession</v>
      </c>
      <c r="BE600" t="str">
        <f t="shared" si="1016"/>
        <v>PuckRetrieval</v>
      </c>
      <c r="BF600" t="str">
        <f t="shared" si="1017"/>
        <v/>
      </c>
      <c r="BG600" t="str">
        <f t="shared" si="999"/>
        <v>u</v>
      </c>
      <c r="BH600" cm="1">
        <f t="array" aca="1" ref="BH600" ca="1">IFERROR(_xlfn._xlws.FILTER(shifts!A:A,(shifts!B:B=events!Z600)*(shifts!AG:AG&gt;=events!BJ600)*(shifts!AH:AH&lt;=events!BK600)),BH599)</f>
        <v>18</v>
      </c>
      <c r="BI600" s="15">
        <f t="shared" si="1018"/>
        <v>0</v>
      </c>
      <c r="BJ600">
        <f t="shared" si="1019"/>
        <v>560</v>
      </c>
      <c r="BK600">
        <f t="shared" si="1020"/>
        <v>560</v>
      </c>
      <c r="BL600" s="15">
        <f>SUMIFS(BI$2:BI600,K$2:K600,"=Intermission")+SUMIFS(BI$2:BI600,K$2:K600,"=Timeout")</f>
        <v>0</v>
      </c>
      <c r="BM600">
        <f t="shared" si="1021"/>
        <v>0</v>
      </c>
      <c r="BN600" s="19">
        <f t="shared" si="1022"/>
        <v>520</v>
      </c>
      <c r="BO600">
        <f t="shared" si="1023"/>
        <v>515</v>
      </c>
      <c r="BP600" s="17">
        <f t="shared" si="1024"/>
        <v>520</v>
      </c>
      <c r="BQ600" t="str">
        <f t="shared" si="1025"/>
        <v>event_team_player_1</v>
      </c>
      <c r="BR600">
        <f>COUNTIFS(S$3:S600,"="&amp;S600,AH$3:AH600,"="&amp;AH600)</f>
        <v>1</v>
      </c>
      <c r="BS600" t="str">
        <f>IFERROR(VLOOKUP(BA600&amp;BT600&amp;X600,game_rosters!U:W,3,FALSE),"")</f>
        <v>P100001</v>
      </c>
      <c r="BT600" t="str">
        <f t="shared" si="1026"/>
        <v>Velodrome</v>
      </c>
    </row>
    <row r="601" spans="1:72" x14ac:dyDescent="0.2">
      <c r="A601" t="str">
        <f t="shared" si="1001"/>
        <v/>
      </c>
      <c r="E601" s="4"/>
      <c r="F601" s="45"/>
      <c r="G601" s="4"/>
      <c r="H601" s="47"/>
      <c r="I601" s="26">
        <v>10</v>
      </c>
      <c r="J601" s="26" t="str">
        <f t="shared" si="1029"/>
        <v/>
      </c>
      <c r="N601" t="str">
        <f t="shared" si="1045"/>
        <v/>
      </c>
      <c r="O601" t="s">
        <v>783</v>
      </c>
      <c r="Q601" t="str">
        <f t="shared" si="1039"/>
        <v/>
      </c>
      <c r="R601" s="26">
        <v>1</v>
      </c>
      <c r="S601">
        <f>IF(A601=1,MAX($S$2:$S600)+1,IF(OR($I601&lt;&gt;"",A601="x"),$S600,""))</f>
        <v>299</v>
      </c>
      <c r="T601" t="str">
        <f>IF(D601=1,MAX($T$2:$T600)+1,IF(S601=S600,$T600,IF(D601="x",T600,IF(D600="x","",""))))</f>
        <v/>
      </c>
      <c r="U601" t="str">
        <f>IF(B601=1,MAX($U$2:$U600)+1,IF(AND($T601&lt;&gt;"",$T601=$T600),$U600,IF(B601="x",U600,"")))</f>
        <v/>
      </c>
      <c r="V601" t="str">
        <f>IF(C601=1,MAX($V$2:$V600)+1,IF(AND($T601&lt;&gt;"",$T601=$T600),$U600,IF(C601="x",V600,"")))</f>
        <v/>
      </c>
      <c r="W601" t="str" cm="1">
        <f t="array" ref="W601">IFERROR(_xlfn._xlws.FILTER(game_rosters!AC:AC,(game_rosters!J:J=events!X601)*(K601&lt;&gt;"")),"")</f>
        <v/>
      </c>
      <c r="X601" cm="1">
        <f t="array" ref="X601">IF($I601&lt;&gt;"",$I601,INDEX($I$1:$I601,ROW()-COUNTIFS($T$1:$T601,"="&amp;$T601,$S$1:$S601,"&lt;"&amp;$S601)))</f>
        <v>10</v>
      </c>
      <c r="Y601" t="str" cm="1">
        <f t="array" ref="Y601">IFERROR(IF(_xlfn._xlws.FILTER(game_rosters!$J:$J,(game_rosters!$G:$G=events!$AM601)*(game_rosters!$J:$J=events!$X601))&gt;0,1,""),"")</f>
        <v/>
      </c>
      <c r="Z601" s="6">
        <f t="shared" si="1002"/>
        <v>1</v>
      </c>
      <c r="AA601">
        <f t="shared" si="1003"/>
        <v>1299</v>
      </c>
      <c r="AB601" t="str">
        <f t="shared" si="1004"/>
        <v/>
      </c>
      <c r="AC601">
        <f t="shared" si="1005"/>
        <v>1299</v>
      </c>
      <c r="AD601" t="str">
        <f t="shared" si="1006"/>
        <v>9</v>
      </c>
      <c r="AE601" t="str">
        <f t="shared" si="1007"/>
        <v>20</v>
      </c>
      <c r="AF601" t="str">
        <f t="shared" si="1008"/>
        <v/>
      </c>
      <c r="AG601" t="str">
        <f t="shared" si="1009"/>
        <v/>
      </c>
      <c r="AH601" t="str">
        <f t="shared" si="947"/>
        <v>o</v>
      </c>
      <c r="AI601" t="str">
        <f t="shared" si="1033"/>
        <v/>
      </c>
      <c r="AJ601" t="str">
        <f t="shared" si="1033"/>
        <v/>
      </c>
      <c r="AK601" t="str">
        <f t="shared" si="949"/>
        <v/>
      </c>
      <c r="AL601" t="str">
        <f t="shared" si="950"/>
        <v/>
      </c>
      <c r="AM601" t="str">
        <f t="shared" si="1010"/>
        <v>Away</v>
      </c>
      <c r="AN601" t="str">
        <f t="shared" si="951"/>
        <v>a</v>
      </c>
      <c r="AO601" t="str">
        <f t="shared" si="952"/>
        <v/>
      </c>
      <c r="AP601" t="str">
        <f t="shared" si="953"/>
        <v/>
      </c>
      <c r="AQ601" t="str">
        <f>IF(AM601&lt;&gt;"",AM601,IF($AC601=#REF!,#REF!,""))</f>
        <v>Away</v>
      </c>
      <c r="AR601" t="str">
        <f t="shared" si="954"/>
        <v>a</v>
      </c>
      <c r="AS601" t="str">
        <f t="shared" si="955"/>
        <v>Defensive</v>
      </c>
      <c r="AT601" t="str">
        <f t="shared" si="1011"/>
        <v/>
      </c>
      <c r="AU601" t="str">
        <f t="shared" si="1012"/>
        <v/>
      </c>
      <c r="AV601" t="str" cm="1">
        <f t="array" ref="AV601">IFERROR(IF(O601&lt;&gt;"",O601,IF(OR($S601="",$T601=""),"",IF(O601&lt;&gt;"",O601,IF($T601&lt;&gt;"",_xlfn._xlws.FILTER(O:O,($BT:$BT=$BT601)*($I:$I=$I601)*($T:$T=$T601)*($S:$S=_xlfn.MINIFS($S:$S,$T:$T,"="&amp;$T601)),"")))))&amp;"",IF(O601="","",""))&amp;""</f>
        <v>StoppedDeke</v>
      </c>
      <c r="AW601" t="str" cm="1">
        <f t="array" ref="AW601">IFERROR(IF(P601&lt;&gt;"",P601,IF(OR($S601="",$T601=""),"",IF($T601&lt;&gt;"",_xlfn._xlws.FILTER(P:P,($BT:$BT=$BT601)*($I:$I=$I601)*($T:$T=$T601)*($S:$S=_xlfn.MINIFS($S:$S,$T:$T,"="&amp;$T601)),""))))&amp;"",IF(P601="","",""))&amp;""</f>
        <v/>
      </c>
      <c r="AX601" t="str" cm="1">
        <f t="array" ref="AX601">IFERROR(IF(Q601&lt;&gt;"",Q601,IF(OR($S601="",$T601=""),"",IF($T601&lt;&gt;"",_xlfn._xlws.FILTER(Q:Q,($BT:$BT=$BT601)*($I:$I=$I601)*($T:$T=$T601)*($S:$S=_xlfn.MINIFS($S:$S,$T:$T,"="&amp;$T601)),""))))&amp;"",IF(Q601="","",""))&amp;""</f>
        <v/>
      </c>
      <c r="AY601" t="str" cm="1">
        <f t="array" ref="AY601">IFERROR(IF(R601&lt;&gt;"",R601,IF(OR($S601="",$T601=""),"",IF($T601&lt;&gt;"",_xlfn._xlws.FILTER(R:R,($BT:$BT=$BT601)*($I:$I=$I601)*($T:$T=$T601)*($S:$S=_xlfn.MINIFS($S:$S,$T:$T,"="&amp;$T601)),""))))&amp;"",IF(R601="","",""))&amp;""</f>
        <v>1</v>
      </c>
      <c r="AZ601" s="6">
        <f t="shared" si="1013"/>
        <v>49</v>
      </c>
      <c r="BA601">
        <f t="shared" ref="BA601:BC601" si="1050">BA600</f>
        <v>18991</v>
      </c>
      <c r="BB601" t="str">
        <f t="shared" si="1050"/>
        <v>Triple J</v>
      </c>
      <c r="BC601" t="str">
        <f t="shared" si="1050"/>
        <v>Velodrome</v>
      </c>
      <c r="BD601" t="str">
        <f t="shared" si="1015"/>
        <v>Possession</v>
      </c>
      <c r="BE601" t="str">
        <f t="shared" si="1016"/>
        <v>PuckRetrieval</v>
      </c>
      <c r="BF601" t="str">
        <f t="shared" si="1017"/>
        <v/>
      </c>
      <c r="BG601" t="str">
        <f t="shared" si="999"/>
        <v>u</v>
      </c>
      <c r="BH601" cm="1">
        <f t="array" aca="1" ref="BH601" ca="1">IFERROR(_xlfn._xlws.FILTER(shifts!A:A,(shifts!B:B=events!Z601)*(shifts!AG:AG&gt;=events!BJ601)*(shifts!AH:AH&lt;=events!BK601)),BH600)</f>
        <v>18</v>
      </c>
      <c r="BI601" s="15">
        <f t="shared" si="1018"/>
        <v>0</v>
      </c>
      <c r="BJ601">
        <f t="shared" si="1019"/>
        <v>560</v>
      </c>
      <c r="BK601">
        <f t="shared" si="1020"/>
        <v>560</v>
      </c>
      <c r="BL601" s="15">
        <f>SUMIFS(BI$2:BI601,K$2:K601,"=Intermission")+SUMIFS(BI$2:BI601,K$2:K601,"=Timeout")</f>
        <v>0</v>
      </c>
      <c r="BM601">
        <f t="shared" si="1021"/>
        <v>0</v>
      </c>
      <c r="BN601" s="19">
        <f t="shared" si="1022"/>
        <v>520</v>
      </c>
      <c r="BO601">
        <f t="shared" si="1023"/>
        <v>515</v>
      </c>
      <c r="BP601" s="17">
        <f t="shared" si="1024"/>
        <v>520</v>
      </c>
      <c r="BQ601" t="str">
        <f t="shared" si="1025"/>
        <v>opp_team_player_1</v>
      </c>
      <c r="BR601">
        <f>COUNTIFS(S$3:S601,"="&amp;S601,AH$3:AH601,"="&amp;AH601)</f>
        <v>1</v>
      </c>
      <c r="BS601" t="str">
        <f>IFERROR(VLOOKUP(BA601&amp;BT601&amp;X601,game_rosters!U:W,3,FALSE),"")</f>
        <v>P100183</v>
      </c>
      <c r="BT601" t="str">
        <f t="shared" si="1026"/>
        <v>Triple J</v>
      </c>
    </row>
    <row r="602" spans="1:72" x14ac:dyDescent="0.2">
      <c r="A602">
        <f t="shared" si="1001"/>
        <v>1</v>
      </c>
      <c r="E602" s="4"/>
      <c r="F602" s="45"/>
      <c r="G602" s="4"/>
      <c r="H602" s="47"/>
      <c r="I602" s="26">
        <v>10</v>
      </c>
      <c r="J602" s="26" t="str">
        <f t="shared" si="1029"/>
        <v/>
      </c>
      <c r="K602" t="s">
        <v>9</v>
      </c>
      <c r="L602" t="s">
        <v>183</v>
      </c>
      <c r="M602" t="s">
        <v>80</v>
      </c>
      <c r="N602" t="s">
        <v>595</v>
      </c>
      <c r="O602" t="s">
        <v>156</v>
      </c>
      <c r="Q602" t="str">
        <f t="shared" si="1039"/>
        <v>s</v>
      </c>
      <c r="R602" s="26">
        <v>1</v>
      </c>
      <c r="S602">
        <f>IF(A602=1,MAX($S$2:$S601)+1,IF(OR($I602&lt;&gt;"",A602="x"),$S601,""))</f>
        <v>300</v>
      </c>
      <c r="T602" t="str">
        <f>IF(D602=1,MAX($T$2:$T601)+1,IF(S602=S601,$T601,IF(D602="x",T601,IF(D601="x","",""))))</f>
        <v/>
      </c>
      <c r="U602" t="str">
        <f>IF(B602=1,MAX($U$2:$U601)+1,IF(AND($T602&lt;&gt;"",$T602=$T601),$U601,IF(B602="x",U601,"")))</f>
        <v/>
      </c>
      <c r="V602" t="str">
        <f>IF(C602=1,MAX($V$2:$V601)+1,IF(AND($T602&lt;&gt;"",$T602=$T601),$U601,IF(C602="x",V601,"")))</f>
        <v/>
      </c>
      <c r="W602" t="str" cm="1">
        <f t="array" ref="W602">IFERROR(_xlfn._xlws.FILTER(game_rosters!AC:AC,(game_rosters!J:J=events!X602)*(K602&lt;&gt;"")),"")</f>
        <v>h</v>
      </c>
      <c r="X602" cm="1">
        <f t="array" ref="X602">IF($I602&lt;&gt;"",$I602,INDEX($I$1:$I602,ROW()-COUNTIFS($T$1:$T602,"="&amp;$T602,$S$1:$S602,"&lt;"&amp;$S602)))</f>
        <v>10</v>
      </c>
      <c r="Y602" cm="1">
        <f t="array" ref="Y602">IFERROR(IF(_xlfn._xlws.FILTER(game_rosters!$J:$J,(game_rosters!$G:$G=events!$AM602)*(game_rosters!$J:$J=events!$X602))&gt;0,1,""),"")</f>
        <v>1</v>
      </c>
      <c r="Z602" s="6">
        <f t="shared" si="1002"/>
        <v>1</v>
      </c>
      <c r="AA602">
        <f t="shared" si="1003"/>
        <v>1300</v>
      </c>
      <c r="AB602" t="str">
        <f t="shared" si="1004"/>
        <v/>
      </c>
      <c r="AC602">
        <f t="shared" si="1005"/>
        <v>1300</v>
      </c>
      <c r="AD602" t="str">
        <f t="shared" si="1006"/>
        <v>9</v>
      </c>
      <c r="AE602" t="str">
        <f t="shared" si="1007"/>
        <v>20</v>
      </c>
      <c r="AF602" t="str">
        <f t="shared" si="1008"/>
        <v/>
      </c>
      <c r="AG602" t="str">
        <f t="shared" si="1009"/>
        <v/>
      </c>
      <c r="AH602" t="str">
        <f t="shared" si="947"/>
        <v>e</v>
      </c>
      <c r="AI602" t="str">
        <f t="shared" si="1033"/>
        <v/>
      </c>
      <c r="AJ602" t="str">
        <f t="shared" si="1033"/>
        <v/>
      </c>
      <c r="AK602" t="str">
        <f t="shared" si="949"/>
        <v/>
      </c>
      <c r="AL602" t="str">
        <f t="shared" si="950"/>
        <v/>
      </c>
      <c r="AM602" t="str">
        <f t="shared" si="1010"/>
        <v>Home</v>
      </c>
      <c r="AN602" t="str">
        <f t="shared" si="951"/>
        <v>h</v>
      </c>
      <c r="AO602" t="str">
        <f t="shared" si="952"/>
        <v/>
      </c>
      <c r="AP602" t="str">
        <f t="shared" si="953"/>
        <v/>
      </c>
      <c r="AQ602" t="str">
        <f>IF(AM602&lt;&gt;"",AM602,IF($AC602=#REF!,#REF!,""))</f>
        <v>Home</v>
      </c>
      <c r="AR602" t="str">
        <f t="shared" si="954"/>
        <v>h</v>
      </c>
      <c r="AS602" t="str">
        <f t="shared" si="955"/>
        <v>Defensive</v>
      </c>
      <c r="AT602" t="str">
        <f t="shared" si="1011"/>
        <v/>
      </c>
      <c r="AU602" t="str">
        <f t="shared" si="1012"/>
        <v/>
      </c>
      <c r="AV602" t="str" cm="1">
        <f t="array" ref="AV602">IFERROR(IF(O602&lt;&gt;"",O602,IF(OR($S602="",$T602=""),"",IF(O602&lt;&gt;"",O602,IF($T602&lt;&gt;"",_xlfn._xlws.FILTER(O:O,($BT:$BT=$BT602)*($I:$I=$I602)*($T:$T=$T602)*($S:$S=_xlfn.MINIFS($S:$S,$T:$T,"="&amp;$T602)),"")))))&amp;"",IF(O602="","",""))&amp;""</f>
        <v>PokeCheck</v>
      </c>
      <c r="AW602" t="str" cm="1">
        <f t="array" ref="AW602">IFERROR(IF(P602&lt;&gt;"",P602,IF(OR($S602="",$T602=""),"",IF($T602&lt;&gt;"",_xlfn._xlws.FILTER(P:P,($BT:$BT=$BT602)*($I:$I=$I602)*($T:$T=$T602)*($S:$S=_xlfn.MINIFS($S:$S,$T:$T,"="&amp;$T602)),""))))&amp;"",IF(P602="","",""))&amp;""</f>
        <v/>
      </c>
      <c r="AX602" t="str" cm="1">
        <f t="array" ref="AX602">IFERROR(IF(Q602&lt;&gt;"",Q602,IF(OR($S602="",$T602=""),"",IF($T602&lt;&gt;"",_xlfn._xlws.FILTER(Q:Q,($BT:$BT=$BT602)*($I:$I=$I602)*($T:$T=$T602)*($S:$S=_xlfn.MINIFS($S:$S,$T:$T,"="&amp;$T602)),""))))&amp;"",IF(Q602="","",""))&amp;""</f>
        <v>s</v>
      </c>
      <c r="AY602" t="str" cm="1">
        <f t="array" ref="AY602">IFERROR(IF(R602&lt;&gt;"",R602,IF(OR($S602="",$T602=""),"",IF($T602&lt;&gt;"",_xlfn._xlws.FILTER(R:R,($BT:$BT=$BT602)*($I:$I=$I602)*($T:$T=$T602)*($S:$S=_xlfn.MINIFS($S:$S,$T:$T,"="&amp;$T602)),""))))&amp;"",IF(R602="","",""))&amp;""</f>
        <v>1</v>
      </c>
      <c r="AZ602" s="6">
        <f t="shared" si="1013"/>
        <v>49</v>
      </c>
      <c r="BA602">
        <f t="shared" ref="BA602:BC602" si="1051">BA601</f>
        <v>18991</v>
      </c>
      <c r="BB602" t="str">
        <f t="shared" si="1051"/>
        <v>Triple J</v>
      </c>
      <c r="BC602" t="str">
        <f t="shared" si="1051"/>
        <v>Velodrome</v>
      </c>
      <c r="BD602" t="str">
        <f t="shared" si="1015"/>
        <v>Turnover</v>
      </c>
      <c r="BE602" t="str">
        <f t="shared" si="1016"/>
        <v>Turnover_Takeaway</v>
      </c>
      <c r="BF602" t="str">
        <f t="shared" si="1017"/>
        <v>Takeaway-PokeCheck</v>
      </c>
      <c r="BG602" t="str">
        <f t="shared" si="999"/>
        <v>s</v>
      </c>
      <c r="BH602" cm="1">
        <f t="array" aca="1" ref="BH602" ca="1">IFERROR(_xlfn._xlws.FILTER(shifts!A:A,(shifts!B:B=events!Z602)*(shifts!AG:AG&gt;=events!BJ602)*(shifts!AH:AH&lt;=events!BK602)),BH601)</f>
        <v>18</v>
      </c>
      <c r="BI602" s="15">
        <f t="shared" si="1018"/>
        <v>0</v>
      </c>
      <c r="BJ602">
        <f t="shared" si="1019"/>
        <v>560</v>
      </c>
      <c r="BK602">
        <f t="shared" si="1020"/>
        <v>560</v>
      </c>
      <c r="BL602" s="15">
        <f>SUMIFS(BI$2:BI602,K$2:K602,"=Intermission")+SUMIFS(BI$2:BI602,K$2:K602,"=Timeout")</f>
        <v>0</v>
      </c>
      <c r="BM602">
        <f t="shared" si="1021"/>
        <v>0</v>
      </c>
      <c r="BN602" s="19">
        <f t="shared" si="1022"/>
        <v>520</v>
      </c>
      <c r="BO602">
        <f t="shared" si="1023"/>
        <v>515</v>
      </c>
      <c r="BP602" s="17">
        <f t="shared" si="1024"/>
        <v>520</v>
      </c>
      <c r="BQ602" t="str">
        <f t="shared" si="1025"/>
        <v>event_team_player_1</v>
      </c>
      <c r="BR602">
        <f>COUNTIFS(S$3:S602,"="&amp;S602,AH$3:AH602,"="&amp;AH602)</f>
        <v>1</v>
      </c>
      <c r="BS602" t="str">
        <f>IFERROR(VLOOKUP(BA602&amp;BT602&amp;X602,game_rosters!U:W,3,FALSE),"")</f>
        <v>P100183</v>
      </c>
      <c r="BT602" t="str">
        <f t="shared" si="1026"/>
        <v>Triple J</v>
      </c>
    </row>
    <row r="603" spans="1:72" x14ac:dyDescent="0.2">
      <c r="A603" t="str">
        <f t="shared" si="1001"/>
        <v/>
      </c>
      <c r="E603" s="4"/>
      <c r="F603" s="45"/>
      <c r="G603" s="4"/>
      <c r="H603" s="47"/>
      <c r="I603" s="26">
        <v>70</v>
      </c>
      <c r="J603" s="26" t="str">
        <f t="shared" si="1029"/>
        <v/>
      </c>
      <c r="N603" t="str">
        <f t="shared" si="1045"/>
        <v/>
      </c>
      <c r="O603" t="s">
        <v>785</v>
      </c>
      <c r="Q603" t="str">
        <f t="shared" si="1039"/>
        <v>u</v>
      </c>
      <c r="R603" s="26">
        <v>1</v>
      </c>
      <c r="S603">
        <f>IF(A603=1,MAX($S$2:$S602)+1,IF(OR($I603&lt;&gt;"",A603="x"),$S602,""))</f>
        <v>300</v>
      </c>
      <c r="T603" t="str">
        <f>IF(D603=1,MAX($T$2:$T602)+1,IF(S603=S602,$T602,IF(D603="x",T602,IF(D602="x","",""))))</f>
        <v/>
      </c>
      <c r="U603" t="str">
        <f>IF(B603=1,MAX($U$2:$U602)+1,IF(AND($T603&lt;&gt;"",$T603=$T602),$U602,IF(B603="x",U602,"")))</f>
        <v/>
      </c>
      <c r="V603" t="str">
        <f>IF(C603=1,MAX($V$2:$V602)+1,IF(AND($T603&lt;&gt;"",$T603=$T602),$U602,IF(C603="x",V602,"")))</f>
        <v/>
      </c>
      <c r="W603" t="str" cm="1">
        <f t="array" ref="W603">IFERROR(_xlfn._xlws.FILTER(game_rosters!AC:AC,(game_rosters!J:J=events!X603)*(K603&lt;&gt;"")),"")</f>
        <v/>
      </c>
      <c r="X603" cm="1">
        <f t="array" ref="X603">IF($I603&lt;&gt;"",$I603,INDEX($I$1:$I603,ROW()-COUNTIFS($T$1:$T603,"="&amp;$T603,$S$1:$S603,"&lt;"&amp;$S603)))</f>
        <v>70</v>
      </c>
      <c r="Y603" t="str" cm="1">
        <f t="array" ref="Y603">IFERROR(IF(_xlfn._xlws.FILTER(game_rosters!$J:$J,(game_rosters!$G:$G=events!$AM603)*(game_rosters!$J:$J=events!$X603))&gt;0,1,""),"")</f>
        <v/>
      </c>
      <c r="Z603" s="6">
        <f t="shared" si="1002"/>
        <v>1</v>
      </c>
      <c r="AA603">
        <f t="shared" si="1003"/>
        <v>1300</v>
      </c>
      <c r="AB603" t="str">
        <f t="shared" si="1004"/>
        <v/>
      </c>
      <c r="AC603">
        <f t="shared" si="1005"/>
        <v>1300</v>
      </c>
      <c r="AD603" t="str">
        <f t="shared" si="1006"/>
        <v>9</v>
      </c>
      <c r="AE603" t="str">
        <f t="shared" si="1007"/>
        <v>20</v>
      </c>
      <c r="AF603" t="str">
        <f t="shared" si="1008"/>
        <v/>
      </c>
      <c r="AG603" t="str">
        <f t="shared" si="1009"/>
        <v/>
      </c>
      <c r="AH603" t="str">
        <f t="shared" ref="AH603:AH666" si="1052">IF(Y603="x","",IF(Y603=1,"e","o"))</f>
        <v>o</v>
      </c>
      <c r="AI603" t="str">
        <f t="shared" ref="AI603:AJ618" si="1053">IF($J603&lt;&gt;"",$J603,IF($AC603=$AC602,AI602,""))</f>
        <v/>
      </c>
      <c r="AJ603" t="str">
        <f t="shared" si="1053"/>
        <v/>
      </c>
      <c r="AK603" t="str">
        <f t="shared" ref="AK603:AK666" si="1054">IF($W603="","",IF($AI603="","",IF($W603="h",$AI603,IF($AI603="n","n",IF(AND($W603="a",$AI603="d"),"o",IF(AND($W603="a",$AI603="o"),"d"))))))</f>
        <v/>
      </c>
      <c r="AL603" t="str">
        <f t="shared" ref="AL603:AL666" si="1055">IF($W603="","",IF(J603="","",IF(AK603="n","n",IF(AK603="d","o",IF(AK603="o","d","")))))</f>
        <v/>
      </c>
      <c r="AM603" t="str">
        <f t="shared" si="1010"/>
        <v>Home</v>
      </c>
      <c r="AN603" t="str">
        <f t="shared" ref="AN603:AN666" si="1056">IF($W603&lt;&gt;"",$W603,IF($AC603=AC602,AN602,""))</f>
        <v>h</v>
      </c>
      <c r="AO603" t="str">
        <f t="shared" ref="AO603:AO666" si="1057">IF(AK603&lt;&gt;"",AK603,IF($AC603=AC602,AO602,""))</f>
        <v/>
      </c>
      <c r="AP603" t="str">
        <f t="shared" ref="AP603:AP666" si="1058">IF(AL603&lt;&gt;"",AL603,IF($AC603=AC602,AP602,""))</f>
        <v/>
      </c>
      <c r="AQ603" t="str">
        <f>IF(AM603&lt;&gt;"",AM603,IF($AC603=#REF!,#REF!,""))</f>
        <v>Home</v>
      </c>
      <c r="AR603" t="str">
        <f t="shared" ref="AR603:AR666" si="1059">IF(AN603&lt;&gt;"",AN603,IF($AC603=AC602,AQ602,""))</f>
        <v>h</v>
      </c>
      <c r="AS603" t="str">
        <f t="shared" ref="AS603:AS666" si="1060">IF(AND(AH603="e",OR(BD603="Save",BE603="Turnover_Takeaway",BE603="Play_Defensive")),"Defensive",IF(AND(AH603="o",OR(BD603="Save",BE603="Turnover_Takeaway",BE603="Play_Defensive")),"Offensive",IF(OR(BD603="Deadice",BD603="Stoppage",BD603="Intermission"),"",IF(AH603="e","Offensive",IF(AH603="o","Defensive","")))))</f>
        <v>Offensive</v>
      </c>
      <c r="AT603" t="str">
        <f t="shared" si="1011"/>
        <v/>
      </c>
      <c r="AU603" t="str">
        <f t="shared" si="1012"/>
        <v/>
      </c>
      <c r="AV603" t="str" cm="1">
        <f t="array" ref="AV603">IFERROR(IF(O603&lt;&gt;"",O603,IF(OR($S603="",$T603=""),"",IF(O603&lt;&gt;"",O603,IF($T603&lt;&gt;"",_xlfn._xlws.FILTER(O:O,($BT:$BT=$BT603)*($I:$I=$I603)*($T:$T=$T603)*($S:$S=_xlfn.MINIFS($S:$S,$T:$T,"="&amp;$T603)),"")))))&amp;"",IF(O603="","",""))&amp;""</f>
        <v>LostPuck</v>
      </c>
      <c r="AW603" t="str" cm="1">
        <f t="array" ref="AW603">IFERROR(IF(P603&lt;&gt;"",P603,IF(OR($S603="",$T603=""),"",IF($T603&lt;&gt;"",_xlfn._xlws.FILTER(P:P,($BT:$BT=$BT603)*($I:$I=$I603)*($T:$T=$T603)*($S:$S=_xlfn.MINIFS($S:$S,$T:$T,"="&amp;$T603)),""))))&amp;"",IF(P603="","",""))&amp;""</f>
        <v/>
      </c>
      <c r="AX603" t="str" cm="1">
        <f t="array" ref="AX603">IFERROR(IF(Q603&lt;&gt;"",Q603,IF(OR($S603="",$T603=""),"",IF($T603&lt;&gt;"",_xlfn._xlws.FILTER(Q:Q,($BT:$BT=$BT603)*($I:$I=$I603)*($T:$T=$T603)*($S:$S=_xlfn.MINIFS($S:$S,$T:$T,"="&amp;$T603)),""))))&amp;"",IF(Q603="","",""))&amp;""</f>
        <v>u</v>
      </c>
      <c r="AY603" t="str" cm="1">
        <f t="array" ref="AY603">IFERROR(IF(R603&lt;&gt;"",R603,IF(OR($S603="",$T603=""),"",IF($T603&lt;&gt;"",_xlfn._xlws.FILTER(R:R,($BT:$BT=$BT603)*($I:$I=$I603)*($T:$T=$T603)*($S:$S=_xlfn.MINIFS($S:$S,$T:$T,"="&amp;$T603)),""))))&amp;"",IF(R603="","",""))&amp;""</f>
        <v>1</v>
      </c>
      <c r="AZ603" s="6">
        <f t="shared" si="1013"/>
        <v>49</v>
      </c>
      <c r="BA603">
        <f t="shared" ref="BA603:BC603" si="1061">BA602</f>
        <v>18991</v>
      </c>
      <c r="BB603" t="str">
        <f t="shared" si="1061"/>
        <v>Triple J</v>
      </c>
      <c r="BC603" t="str">
        <f t="shared" si="1061"/>
        <v>Velodrome</v>
      </c>
      <c r="BD603" t="str">
        <f t="shared" si="1015"/>
        <v>Turnover</v>
      </c>
      <c r="BE603" t="str">
        <f t="shared" si="1016"/>
        <v>Turnover_Takeaway</v>
      </c>
      <c r="BF603" t="str">
        <f t="shared" si="1017"/>
        <v>Takeaway-PokeCheck</v>
      </c>
      <c r="BG603" t="str">
        <f t="shared" si="999"/>
        <v>s</v>
      </c>
      <c r="BH603" cm="1">
        <f t="array" aca="1" ref="BH603" ca="1">IFERROR(_xlfn._xlws.FILTER(shifts!A:A,(shifts!B:B=events!Z603)*(shifts!AG:AG&gt;=events!BJ603)*(shifts!AH:AH&lt;=events!BK603)),BH602)</f>
        <v>18</v>
      </c>
      <c r="BI603" s="15">
        <f t="shared" si="1018"/>
        <v>0</v>
      </c>
      <c r="BJ603">
        <f t="shared" si="1019"/>
        <v>560</v>
      </c>
      <c r="BK603">
        <f t="shared" si="1020"/>
        <v>560</v>
      </c>
      <c r="BL603" s="15">
        <f>SUMIFS(BI$2:BI603,K$2:K603,"=Intermission")+SUMIFS(BI$2:BI603,K$2:K603,"=Timeout")</f>
        <v>0</v>
      </c>
      <c r="BM603">
        <f t="shared" si="1021"/>
        <v>0</v>
      </c>
      <c r="BN603" s="19">
        <f t="shared" si="1022"/>
        <v>520</v>
      </c>
      <c r="BO603">
        <f t="shared" si="1023"/>
        <v>515</v>
      </c>
      <c r="BP603" s="17">
        <f t="shared" si="1024"/>
        <v>520</v>
      </c>
      <c r="BQ603" t="str">
        <f t="shared" si="1025"/>
        <v>opp_team_player_1</v>
      </c>
      <c r="BR603">
        <f>COUNTIFS(S$3:S603,"="&amp;S603,AH$3:AH603,"="&amp;AH603)</f>
        <v>1</v>
      </c>
      <c r="BS603" t="str">
        <f>IFERROR(VLOOKUP(BA603&amp;BT603&amp;X603,game_rosters!U:W,3,FALSE),"")</f>
        <v>P100001</v>
      </c>
      <c r="BT603" t="str">
        <f t="shared" si="1026"/>
        <v>Velodrome</v>
      </c>
    </row>
    <row r="604" spans="1:72" x14ac:dyDescent="0.2">
      <c r="A604">
        <f t="shared" si="1001"/>
        <v>1</v>
      </c>
      <c r="E604" s="4"/>
      <c r="F604" s="45" t="s">
        <v>732</v>
      </c>
      <c r="G604" s="4"/>
      <c r="H604" s="47" t="s">
        <v>744</v>
      </c>
      <c r="I604" s="26">
        <v>10</v>
      </c>
      <c r="J604" s="26" t="s">
        <v>736</v>
      </c>
      <c r="K604" t="s">
        <v>13</v>
      </c>
      <c r="L604" t="s">
        <v>586</v>
      </c>
      <c r="N604" t="s">
        <v>594</v>
      </c>
      <c r="O604" t="s">
        <v>910</v>
      </c>
      <c r="Q604" t="str">
        <f t="shared" si="1039"/>
        <v>u</v>
      </c>
      <c r="S604">
        <f>IF(A604=1,MAX($S$2:$S603)+1,IF(OR($I604&lt;&gt;"",A604="x"),$S603,""))</f>
        <v>301</v>
      </c>
      <c r="T604" t="str">
        <f>IF(D604=1,MAX($T$2:$T603)+1,IF(S604=S603,$T603,IF(D604="x",T603,IF(D603="x","",""))))</f>
        <v/>
      </c>
      <c r="U604" t="str">
        <f>IF(B604=1,MAX($U$2:$U603)+1,IF(AND($T604&lt;&gt;"",$T604=$T603),$U603,IF(B604="x",U603,"")))</f>
        <v/>
      </c>
      <c r="V604" t="str">
        <f>IF(C604=1,MAX($V$2:$V603)+1,IF(AND($T604&lt;&gt;"",$T604=$T603),$U603,IF(C604="x",V603,"")))</f>
        <v/>
      </c>
      <c r="W604" t="str" cm="1">
        <f t="array" ref="W604">IFERROR(_xlfn._xlws.FILTER(game_rosters!AC:AC,(game_rosters!J:J=events!X604)*(K604&lt;&gt;"")),"")</f>
        <v>h</v>
      </c>
      <c r="X604" cm="1">
        <f t="array" ref="X604">IF($I604&lt;&gt;"",$I604,INDEX($I$1:$I604,ROW()-COUNTIFS($T$1:$T604,"="&amp;$T604,$S$1:$S604,"&lt;"&amp;$S604)))</f>
        <v>10</v>
      </c>
      <c r="Y604" cm="1">
        <f t="array" ref="Y604">IFERROR(IF(_xlfn._xlws.FILTER(game_rosters!$J:$J,(game_rosters!$G:$G=events!$AM604)*(game_rosters!$J:$J=events!$X604))&gt;0,1,""),"")</f>
        <v>1</v>
      </c>
      <c r="Z604" s="6">
        <f t="shared" si="1002"/>
        <v>1</v>
      </c>
      <c r="AA604">
        <f t="shared" si="1003"/>
        <v>1301</v>
      </c>
      <c r="AB604" t="str">
        <f t="shared" si="1004"/>
        <v/>
      </c>
      <c r="AC604">
        <f t="shared" si="1005"/>
        <v>1301</v>
      </c>
      <c r="AD604" t="str">
        <f t="shared" si="1006"/>
        <v>9</v>
      </c>
      <c r="AE604" t="str">
        <f t="shared" si="1007"/>
        <v>17</v>
      </c>
      <c r="AF604" t="str">
        <f t="shared" si="1008"/>
        <v>9</v>
      </c>
      <c r="AG604" t="str">
        <f t="shared" si="1009"/>
        <v>15</v>
      </c>
      <c r="AH604" t="str">
        <f t="shared" si="1052"/>
        <v>e</v>
      </c>
      <c r="AI604" t="str">
        <f t="shared" si="1053"/>
        <v>d</v>
      </c>
      <c r="AJ604" t="str">
        <f t="shared" si="1053"/>
        <v>d</v>
      </c>
      <c r="AK604" t="str">
        <f t="shared" si="1054"/>
        <v>d</v>
      </c>
      <c r="AL604" t="str">
        <f t="shared" si="1055"/>
        <v>o</v>
      </c>
      <c r="AM604" t="str">
        <f t="shared" si="1010"/>
        <v>Home</v>
      </c>
      <c r="AN604" t="str">
        <f t="shared" si="1056"/>
        <v>h</v>
      </c>
      <c r="AO604" t="str">
        <f t="shared" si="1057"/>
        <v>d</v>
      </c>
      <c r="AP604" t="str">
        <f t="shared" si="1058"/>
        <v>o</v>
      </c>
      <c r="AQ604" t="str">
        <f>IF(AM604&lt;&gt;"",AM604,IF($AC604=#REF!,#REF!,""))</f>
        <v>Home</v>
      </c>
      <c r="AR604" t="str">
        <f t="shared" si="1059"/>
        <v>h</v>
      </c>
      <c r="AS604" t="str">
        <f t="shared" si="1060"/>
        <v>Offensive</v>
      </c>
      <c r="AT604" t="str">
        <f t="shared" si="1011"/>
        <v/>
      </c>
      <c r="AU604" t="str">
        <f t="shared" si="1012"/>
        <v/>
      </c>
      <c r="AV604" t="str" cm="1">
        <f t="array" ref="AV604">IFERROR(IF(O604&lt;&gt;"",O604,IF(OR($S604="",$T604=""),"",IF(O604&lt;&gt;"",O604,IF($T604&lt;&gt;"",_xlfn._xlws.FILTER(O:O,($BT:$BT=$BT604)*($I:$I=$I604)*($T:$T=$T604)*($S:$S=_xlfn.MINIFS($S:$S,$T:$T,"="&amp;$T604)),"")))))&amp;"",IF(O604="","",""))&amp;""</f>
        <v>PuckRecoveryRetreivalTurnover</v>
      </c>
      <c r="AW604" t="str" cm="1">
        <f t="array" ref="AW604">IFERROR(IF(P604&lt;&gt;"",P604,IF(OR($S604="",$T604=""),"",IF($T604&lt;&gt;"",_xlfn._xlws.FILTER(P:P,($BT:$BT=$BT604)*($I:$I=$I604)*($T:$T=$T604)*($S:$S=_xlfn.MINIFS($S:$S,$T:$T,"="&amp;$T604)),""))))&amp;"",IF(P604="","",""))&amp;""</f>
        <v/>
      </c>
      <c r="AX604" t="str" cm="1">
        <f t="array" ref="AX604">IFERROR(IF(Q604&lt;&gt;"",Q604,IF(OR($S604="",$T604=""),"",IF($T604&lt;&gt;"",_xlfn._xlws.FILTER(Q:Q,($BT:$BT=$BT604)*($I:$I=$I604)*($T:$T=$T604)*($S:$S=_xlfn.MINIFS($S:$S,$T:$T,"="&amp;$T604)),""))))&amp;"",IF(Q604="","",""))&amp;""</f>
        <v>u</v>
      </c>
      <c r="AY604" t="str" cm="1">
        <f t="array" ref="AY604">IFERROR(IF(R604&lt;&gt;"",R604,IF(OR($S604="",$T604=""),"",IF($T604&lt;&gt;"",_xlfn._xlws.FILTER(R:R,($BT:$BT=$BT604)*($I:$I=$I604)*($T:$T=$T604)*($S:$S=_xlfn.MINIFS($S:$S,$T:$T,"="&amp;$T604)),""))))&amp;"",IF(R604="","",""))&amp;""</f>
        <v/>
      </c>
      <c r="AZ604" s="6">
        <f t="shared" si="1013"/>
        <v>49</v>
      </c>
      <c r="BA604">
        <f t="shared" ref="BA604:BC604" si="1062">BA603</f>
        <v>18991</v>
      </c>
      <c r="BB604" t="str">
        <f t="shared" si="1062"/>
        <v>Triple J</v>
      </c>
      <c r="BC604" t="str">
        <f t="shared" si="1062"/>
        <v>Velodrome</v>
      </c>
      <c r="BD604" t="str">
        <f t="shared" si="1015"/>
        <v>Possession</v>
      </c>
      <c r="BE604" t="str">
        <f t="shared" si="1016"/>
        <v>PuckRetrieval</v>
      </c>
      <c r="BF604" t="str">
        <f t="shared" si="1017"/>
        <v/>
      </c>
      <c r="BG604" t="str">
        <f t="shared" si="999"/>
        <v>u</v>
      </c>
      <c r="BH604" cm="1">
        <f t="array" aca="1" ref="BH604" ca="1">IFERROR(_xlfn._xlws.FILTER(shifts!A:A,(shifts!B:B=events!Z604)*(shifts!AG:AG&gt;=events!BJ604)*(shifts!AH:AH&lt;=events!BK604)),BH603)</f>
        <v>18</v>
      </c>
      <c r="BI604" s="15">
        <f t="shared" si="1018"/>
        <v>2</v>
      </c>
      <c r="BJ604">
        <f t="shared" si="1019"/>
        <v>557</v>
      </c>
      <c r="BK604">
        <f t="shared" si="1020"/>
        <v>555</v>
      </c>
      <c r="BL604" s="15">
        <f>SUMIFS(BI$2:BI604,K$2:K604,"=Intermission")+SUMIFS(BI$2:BI604,K$2:K604,"=Timeout")</f>
        <v>0</v>
      </c>
      <c r="BM604">
        <f t="shared" si="1021"/>
        <v>0</v>
      </c>
      <c r="BN604" s="19">
        <f t="shared" si="1022"/>
        <v>523</v>
      </c>
      <c r="BO604">
        <f t="shared" si="1023"/>
        <v>518</v>
      </c>
      <c r="BP604" s="17">
        <f t="shared" si="1024"/>
        <v>525</v>
      </c>
      <c r="BQ604" t="str">
        <f t="shared" si="1025"/>
        <v>event_team_player_1</v>
      </c>
      <c r="BR604">
        <f>COUNTIFS(S$3:S604,"="&amp;S604,AH$3:AH604,"="&amp;AH604)</f>
        <v>1</v>
      </c>
      <c r="BS604" t="str">
        <f>IFERROR(VLOOKUP(BA604&amp;BT604&amp;X604,game_rosters!U:W,3,FALSE),"")</f>
        <v>P100183</v>
      </c>
      <c r="BT604" t="str">
        <f t="shared" si="1026"/>
        <v>Triple J</v>
      </c>
    </row>
    <row r="605" spans="1:72" x14ac:dyDescent="0.2">
      <c r="A605">
        <f t="shared" si="1001"/>
        <v>1</v>
      </c>
      <c r="D605" s="26">
        <v>1</v>
      </c>
      <c r="E605" s="4"/>
      <c r="F605" s="45"/>
      <c r="G605" s="4"/>
      <c r="H605" s="47"/>
      <c r="I605" s="26">
        <v>10</v>
      </c>
      <c r="J605" s="26" t="s">
        <v>736</v>
      </c>
      <c r="K605" t="s">
        <v>238</v>
      </c>
      <c r="L605" t="s">
        <v>184</v>
      </c>
      <c r="M605" t="s">
        <v>90</v>
      </c>
      <c r="N605" t="str">
        <f t="shared" si="1045"/>
        <v>s</v>
      </c>
      <c r="Q605" t="str">
        <f t="shared" si="1039"/>
        <v/>
      </c>
      <c r="S605">
        <f>IF(A605=1,MAX($S$2:$S604)+1,IF(OR($I605&lt;&gt;"",A605="x"),$S604,""))</f>
        <v>302</v>
      </c>
      <c r="T605">
        <f>IF(D605=1,MAX($T$2:$T604)+1,IF(S605=S604,$T604,IF(D605="x",T604,IF(D604="x","",""))))</f>
        <v>40</v>
      </c>
      <c r="U605" t="str">
        <f>IF(B605=1,MAX($U$2:$U604)+1,IF(AND($T605&lt;&gt;"",$T605=$T604),$U604,IF(B605="x",U604,"")))</f>
        <v/>
      </c>
      <c r="V605" t="str">
        <f>IF(C605=1,MAX($V$2:$V604)+1,IF(AND($T605&lt;&gt;"",$T605=$T604),$U604,IF(C605="x",V604,"")))</f>
        <v/>
      </c>
      <c r="W605" t="str" cm="1">
        <f t="array" ref="W605">IFERROR(_xlfn._xlws.FILTER(game_rosters!AC:AC,(game_rosters!J:J=events!X605)*(K605&lt;&gt;"")),"")</f>
        <v>h</v>
      </c>
      <c r="X605" cm="1">
        <f t="array" ref="X605">IF($I605&lt;&gt;"",$I605,INDEX($I$1:$I605,ROW()-COUNTIFS($T$1:$T605,"="&amp;$T605,$S$1:$S605,"&lt;"&amp;$S605)))</f>
        <v>10</v>
      </c>
      <c r="Y605" cm="1">
        <f t="array" ref="Y605">IFERROR(IF(_xlfn._xlws.FILTER(game_rosters!$J:$J,(game_rosters!$G:$G=events!$AM605)*(game_rosters!$J:$J=events!$X605))&gt;0,1,""),"")</f>
        <v>1</v>
      </c>
      <c r="Z605" s="6">
        <f t="shared" si="1002"/>
        <v>1</v>
      </c>
      <c r="AA605">
        <f t="shared" si="1003"/>
        <v>1302</v>
      </c>
      <c r="AB605">
        <f t="shared" si="1004"/>
        <v>9040</v>
      </c>
      <c r="AC605">
        <f t="shared" si="1005"/>
        <v>9040</v>
      </c>
      <c r="AD605" t="str">
        <f t="shared" si="1006"/>
        <v>9</v>
      </c>
      <c r="AE605" t="str">
        <f t="shared" si="1007"/>
        <v>15</v>
      </c>
      <c r="AF605" t="str">
        <f t="shared" si="1008"/>
        <v/>
      </c>
      <c r="AG605" t="str">
        <f t="shared" si="1009"/>
        <v/>
      </c>
      <c r="AH605" t="str">
        <f t="shared" si="1052"/>
        <v>e</v>
      </c>
      <c r="AI605" t="str">
        <f t="shared" si="1053"/>
        <v>d</v>
      </c>
      <c r="AJ605" t="str">
        <f t="shared" si="1053"/>
        <v>d</v>
      </c>
      <c r="AK605" t="str">
        <f t="shared" si="1054"/>
        <v>d</v>
      </c>
      <c r="AL605" t="str">
        <f t="shared" si="1055"/>
        <v>o</v>
      </c>
      <c r="AM605" t="str">
        <f t="shared" si="1010"/>
        <v>Home</v>
      </c>
      <c r="AN605" t="str">
        <f t="shared" si="1056"/>
        <v>h</v>
      </c>
      <c r="AO605" t="str">
        <f t="shared" si="1057"/>
        <v>d</v>
      </c>
      <c r="AP605" t="str">
        <f t="shared" si="1058"/>
        <v>o</v>
      </c>
      <c r="AQ605" t="str">
        <f>IF(AM605&lt;&gt;"",AM605,IF($AC605=#REF!,#REF!,""))</f>
        <v>Home</v>
      </c>
      <c r="AR605" t="str">
        <f t="shared" si="1059"/>
        <v>h</v>
      </c>
      <c r="AS605" t="str">
        <f t="shared" si="1060"/>
        <v>Offensive</v>
      </c>
      <c r="AT605" t="str">
        <f t="shared" si="1011"/>
        <v/>
      </c>
      <c r="AU605" t="str">
        <f t="shared" si="1012"/>
        <v/>
      </c>
      <c r="AV605" t="str" cm="1">
        <f t="array" ref="AV605">IFERROR(IF(O605&lt;&gt;"",O605,IF(OR($S605="",$T605=""),"",IF(O605&lt;&gt;"",O605,IF($T605&lt;&gt;"",_xlfn._xlws.FILTER(O:O,($BT:$BT=$BT605)*($I:$I=$I605)*($T:$T=$T605)*($S:$S=_xlfn.MINIFS($S:$S,$T:$T,"="&amp;$T605)),"")))))&amp;"",IF(O605="","",""))&amp;""</f>
        <v/>
      </c>
      <c r="AW605" t="str" cm="1">
        <f t="array" ref="AW605">IFERROR(IF(P605&lt;&gt;"",P605,IF(OR($S605="",$T605=""),"",IF($T605&lt;&gt;"",_xlfn._xlws.FILTER(P:P,($BT:$BT=$BT605)*($I:$I=$I605)*($T:$T=$T605)*($S:$S=_xlfn.MINIFS($S:$S,$T:$T,"="&amp;$T605)),""))))&amp;"",IF(P605="","",""))&amp;""</f>
        <v/>
      </c>
      <c r="AX605" t="str" cm="1">
        <f t="array" ref="AX605">IFERROR(IF(Q605&lt;&gt;"",Q605,IF(OR($S605="",$T605=""),"",IF($T605&lt;&gt;"",_xlfn._xlws.FILTER(Q:Q,($BT:$BT=$BT605)*($I:$I=$I605)*($T:$T=$T605)*($S:$S=_xlfn.MINIFS($S:$S,$T:$T,"="&amp;$T605)),""))))&amp;"",IF(Q605="","",""))&amp;""</f>
        <v/>
      </c>
      <c r="AY605" t="str" cm="1">
        <f t="array" ref="AY605">IFERROR(IF(R605&lt;&gt;"",R605,IF(OR($S605="",$T605=""),"",IF($T605&lt;&gt;"",_xlfn._xlws.FILTER(R:R,($BT:$BT=$BT605)*($I:$I=$I605)*($T:$T=$T605)*($S:$S=_xlfn.MINIFS($S:$S,$T:$T,"="&amp;$T605)),""))))&amp;"",IF(R605="","",""))&amp;""</f>
        <v/>
      </c>
      <c r="AZ605" s="6">
        <f t="shared" si="1013"/>
        <v>50</v>
      </c>
      <c r="BA605">
        <f t="shared" ref="BA605:BC605" si="1063">BA604</f>
        <v>18991</v>
      </c>
      <c r="BB605" t="str">
        <f t="shared" si="1063"/>
        <v>Triple J</v>
      </c>
      <c r="BC605" t="str">
        <f t="shared" si="1063"/>
        <v>Velodrome</v>
      </c>
      <c r="BD605" t="str">
        <f t="shared" si="1015"/>
        <v>Zone_Entry_Exit</v>
      </c>
      <c r="BE605" t="str">
        <f t="shared" si="1016"/>
        <v>Zone_Exit</v>
      </c>
      <c r="BF605" t="str">
        <f t="shared" si="1017"/>
        <v>ZoneExit-Clear</v>
      </c>
      <c r="BG605" t="str">
        <f t="shared" si="999"/>
        <v>s</v>
      </c>
      <c r="BH605" cm="1">
        <f t="array" aca="1" ref="BH605" ca="1">IFERROR(_xlfn._xlws.FILTER(shifts!A:A,(shifts!B:B=events!Z605)*(shifts!AG:AG&gt;=events!BJ605)*(shifts!AH:AH&lt;=events!BK605)),BH604)</f>
        <v>18</v>
      </c>
      <c r="BI605" s="15">
        <f t="shared" si="1018"/>
        <v>0</v>
      </c>
      <c r="BJ605">
        <f t="shared" si="1019"/>
        <v>555</v>
      </c>
      <c r="BK605">
        <f t="shared" si="1020"/>
        <v>555</v>
      </c>
      <c r="BL605" s="15">
        <f>SUMIFS(BI$2:BI605,K$2:K605,"=Intermission")+SUMIFS(BI$2:BI605,K$2:K605,"=Timeout")</f>
        <v>0</v>
      </c>
      <c r="BM605">
        <f t="shared" si="1021"/>
        <v>0</v>
      </c>
      <c r="BN605" s="19">
        <f t="shared" si="1022"/>
        <v>525</v>
      </c>
      <c r="BO605">
        <f t="shared" si="1023"/>
        <v>520</v>
      </c>
      <c r="BP605" s="17">
        <f t="shared" si="1024"/>
        <v>525</v>
      </c>
      <c r="BQ605" t="str">
        <f t="shared" si="1025"/>
        <v>event_team_player_1</v>
      </c>
      <c r="BR605">
        <f>COUNTIFS(S$3:S605,"="&amp;S605,AH$3:AH605,"="&amp;AH605)</f>
        <v>1</v>
      </c>
      <c r="BS605" t="str">
        <f>IFERROR(VLOOKUP(BA605&amp;BT605&amp;X605,game_rosters!U:W,3,FALSE),"")</f>
        <v>P100183</v>
      </c>
      <c r="BT605" t="str">
        <f t="shared" si="1026"/>
        <v>Triple J</v>
      </c>
    </row>
    <row r="606" spans="1:72" x14ac:dyDescent="0.2">
      <c r="A606">
        <f t="shared" si="1001"/>
        <v>1</v>
      </c>
      <c r="D606" s="26" t="s">
        <v>729</v>
      </c>
      <c r="E606" s="4"/>
      <c r="F606" s="45"/>
      <c r="G606" s="4"/>
      <c r="H606" s="47"/>
      <c r="I606" s="26">
        <v>10</v>
      </c>
      <c r="J606" s="26" t="s">
        <v>736</v>
      </c>
      <c r="K606" t="s">
        <v>9</v>
      </c>
      <c r="L606" t="s">
        <v>173</v>
      </c>
      <c r="M606" t="s">
        <v>354</v>
      </c>
      <c r="N606" t="str">
        <f t="shared" si="1045"/>
        <v>u</v>
      </c>
      <c r="Q606" t="str">
        <f t="shared" si="1039"/>
        <v/>
      </c>
      <c r="S606">
        <f>IF(A606=1,MAX($S$2:$S605)+1,IF(OR($I606&lt;&gt;"",A606="x"),$S605,""))</f>
        <v>303</v>
      </c>
      <c r="T606">
        <f>IF(D606=1,MAX($T$2:$T605)+1,IF(S606=S605,$T605,IF(D606="x",T605,IF(D605="x","",""))))</f>
        <v>40</v>
      </c>
      <c r="U606" t="str">
        <f>IF(B606=1,MAX($U$2:$U605)+1,IF(AND($T606&lt;&gt;"",$T606=$T605),$U605,IF(B606="x",U605,"")))</f>
        <v/>
      </c>
      <c r="V606" t="str">
        <f>IF(C606=1,MAX($V$2:$V605)+1,IF(AND($T606&lt;&gt;"",$T606=$T605),$U605,IF(C606="x",V605,"")))</f>
        <v/>
      </c>
      <c r="W606" t="str" cm="1">
        <f t="array" ref="W606">IFERROR(_xlfn._xlws.FILTER(game_rosters!AC:AC,(game_rosters!J:J=events!X606)*(K606&lt;&gt;"")),"")</f>
        <v>h</v>
      </c>
      <c r="X606" cm="1">
        <f t="array" ref="X606">IF($I606&lt;&gt;"",$I606,INDEX($I$1:$I606,ROW()-COUNTIFS($T$1:$T606,"="&amp;$T606,$S$1:$S606,"&lt;"&amp;$S606)))</f>
        <v>10</v>
      </c>
      <c r="Y606" cm="1">
        <f t="array" ref="Y606">IFERROR(IF(_xlfn._xlws.FILTER(game_rosters!$J:$J,(game_rosters!$G:$G=events!$AM606)*(game_rosters!$J:$J=events!$X606))&gt;0,1,""),"")</f>
        <v>1</v>
      </c>
      <c r="Z606" s="6">
        <f t="shared" si="1002"/>
        <v>1</v>
      </c>
      <c r="AA606">
        <f t="shared" si="1003"/>
        <v>1303</v>
      </c>
      <c r="AB606">
        <f t="shared" si="1004"/>
        <v>9040</v>
      </c>
      <c r="AC606">
        <f t="shared" si="1005"/>
        <v>9040</v>
      </c>
      <c r="AD606" t="str">
        <f t="shared" si="1006"/>
        <v>9</v>
      </c>
      <c r="AE606" t="str">
        <f t="shared" si="1007"/>
        <v>15</v>
      </c>
      <c r="AF606" t="str">
        <f t="shared" si="1008"/>
        <v/>
      </c>
      <c r="AG606" t="str">
        <f t="shared" si="1009"/>
        <v/>
      </c>
      <c r="AH606" t="str">
        <f t="shared" si="1052"/>
        <v>e</v>
      </c>
      <c r="AI606" t="str">
        <f t="shared" si="1053"/>
        <v>d</v>
      </c>
      <c r="AJ606" t="str">
        <f t="shared" si="1053"/>
        <v>d</v>
      </c>
      <c r="AK606" t="str">
        <f t="shared" si="1054"/>
        <v>d</v>
      </c>
      <c r="AL606" t="str">
        <f t="shared" si="1055"/>
        <v>o</v>
      </c>
      <c r="AM606" t="str">
        <f t="shared" si="1010"/>
        <v>Home</v>
      </c>
      <c r="AN606" t="str">
        <f t="shared" si="1056"/>
        <v>h</v>
      </c>
      <c r="AO606" t="str">
        <f t="shared" si="1057"/>
        <v>d</v>
      </c>
      <c r="AP606" t="str">
        <f t="shared" si="1058"/>
        <v>o</v>
      </c>
      <c r="AQ606" t="str">
        <f>IF(AM606&lt;&gt;"",AM606,IF($AC606=#REF!,#REF!,""))</f>
        <v>Home</v>
      </c>
      <c r="AR606" t="str">
        <f t="shared" si="1059"/>
        <v>h</v>
      </c>
      <c r="AS606" t="str">
        <f t="shared" si="1060"/>
        <v>Offensive</v>
      </c>
      <c r="AT606" t="str">
        <f t="shared" si="1011"/>
        <v/>
      </c>
      <c r="AU606" t="str">
        <f t="shared" si="1012"/>
        <v/>
      </c>
      <c r="AV606" t="str" cm="1">
        <f t="array" ref="AV606">IFERROR(IF(O606&lt;&gt;"",O606,IF(OR($S606="",$T606=""),"",IF(O606&lt;&gt;"",O606,IF($T606&lt;&gt;"",_xlfn._xlws.FILTER(O:O,($BT:$BT=$BT606)*($I:$I=$I606)*($T:$T=$T606)*($S:$S=_xlfn.MINIFS($S:$S,$T:$T,"="&amp;$T606)),"")))))&amp;"",IF(O606="","",""))&amp;""</f>
        <v/>
      </c>
      <c r="AW606" t="str" cm="1">
        <f t="array" ref="AW606">IFERROR(IF(P606&lt;&gt;"",P606,IF(OR($S606="",$T606=""),"",IF($T606&lt;&gt;"",_xlfn._xlws.FILTER(P:P,($BT:$BT=$BT606)*($I:$I=$I606)*($T:$T=$T606)*($S:$S=_xlfn.MINIFS($S:$S,$T:$T,"="&amp;$T606)),""))))&amp;"",IF(P606="","",""))&amp;""</f>
        <v/>
      </c>
      <c r="AX606" t="str" cm="1">
        <f t="array" ref="AX606">IFERROR(IF(Q606&lt;&gt;"",Q606,IF(OR($S606="",$T606=""),"",IF($T606&lt;&gt;"",_xlfn._xlws.FILTER(Q:Q,($BT:$BT=$BT606)*($I:$I=$I606)*($T:$T=$T606)*($S:$S=_xlfn.MINIFS($S:$S,$T:$T,"="&amp;$T606)),""))))&amp;"",IF(Q606="","",""))&amp;""</f>
        <v/>
      </c>
      <c r="AY606" t="str" cm="1">
        <f t="array" ref="AY606">IFERROR(IF(R606&lt;&gt;"",R606,IF(OR($S606="",$T606=""),"",IF($T606&lt;&gt;"",_xlfn._xlws.FILTER(R:R,($BT:$BT=$BT606)*($I:$I=$I606)*($T:$T=$T606)*($S:$S=_xlfn.MINIFS($S:$S,$T:$T,"="&amp;$T606)),""))))&amp;"",IF(R606="","",""))&amp;""</f>
        <v/>
      </c>
      <c r="AZ606" s="6">
        <f t="shared" si="1013"/>
        <v>50</v>
      </c>
      <c r="BA606">
        <f t="shared" ref="BA606:BC606" si="1064">BA605</f>
        <v>18991</v>
      </c>
      <c r="BB606" t="str">
        <f t="shared" si="1064"/>
        <v>Triple J</v>
      </c>
      <c r="BC606" t="str">
        <f t="shared" si="1064"/>
        <v>Velodrome</v>
      </c>
      <c r="BD606" t="str">
        <f t="shared" si="1015"/>
        <v>Turnover</v>
      </c>
      <c r="BE606" t="str">
        <f t="shared" si="1016"/>
        <v>Turnover_Giveaway</v>
      </c>
      <c r="BF606" t="str">
        <f t="shared" si="1017"/>
        <v>Giveaway-ZoneClear/Dump</v>
      </c>
      <c r="BG606" t="str">
        <f t="shared" si="999"/>
        <v>u</v>
      </c>
      <c r="BH606" cm="1">
        <f t="array" aca="1" ref="BH606" ca="1">IFERROR(_xlfn._xlws.FILTER(shifts!A:A,(shifts!B:B=events!Z606)*(shifts!AG:AG&gt;=events!BJ606)*(shifts!AH:AH&lt;=events!BK606)),BH605)</f>
        <v>18</v>
      </c>
      <c r="BI606" s="15">
        <f t="shared" si="1018"/>
        <v>0</v>
      </c>
      <c r="BJ606">
        <f t="shared" si="1019"/>
        <v>555</v>
      </c>
      <c r="BK606">
        <f t="shared" si="1020"/>
        <v>555</v>
      </c>
      <c r="BL606" s="15">
        <f>SUMIFS(BI$2:BI606,K$2:K606,"=Intermission")+SUMIFS(BI$2:BI606,K$2:K606,"=Timeout")</f>
        <v>0</v>
      </c>
      <c r="BM606">
        <f t="shared" si="1021"/>
        <v>0</v>
      </c>
      <c r="BN606" s="19">
        <f t="shared" si="1022"/>
        <v>525</v>
      </c>
      <c r="BO606">
        <f t="shared" si="1023"/>
        <v>520</v>
      </c>
      <c r="BP606" s="17">
        <f t="shared" si="1024"/>
        <v>525</v>
      </c>
      <c r="BQ606" t="str">
        <f t="shared" si="1025"/>
        <v>event_team_player_1</v>
      </c>
      <c r="BR606">
        <f>COUNTIFS(S$3:S606,"="&amp;S606,AH$3:AH606,"="&amp;AH606)</f>
        <v>1</v>
      </c>
      <c r="BS606" t="str">
        <f>IFERROR(VLOOKUP(BA606&amp;BT606&amp;X606,game_rosters!U:W,3,FALSE),"")</f>
        <v>P100183</v>
      </c>
      <c r="BT606" t="str">
        <f t="shared" si="1026"/>
        <v>Triple J</v>
      </c>
    </row>
    <row r="607" spans="1:72" x14ac:dyDescent="0.2">
      <c r="A607">
        <f t="shared" si="1001"/>
        <v>1</v>
      </c>
      <c r="E607" s="4"/>
      <c r="F607" s="45" t="s">
        <v>754</v>
      </c>
      <c r="G607" s="4"/>
      <c r="H607" s="47"/>
      <c r="I607" s="26">
        <v>84</v>
      </c>
      <c r="J607" s="26" t="s">
        <v>734</v>
      </c>
      <c r="K607" t="s">
        <v>13</v>
      </c>
      <c r="L607" t="s">
        <v>586</v>
      </c>
      <c r="N607" t="s">
        <v>595</v>
      </c>
      <c r="O607" t="s">
        <v>912</v>
      </c>
      <c r="Q607" t="str">
        <f t="shared" si="1039"/>
        <v>s</v>
      </c>
      <c r="S607">
        <f>IF(A607=1,MAX($S$2:$S606)+1,IF(OR($I607&lt;&gt;"",A607="x"),$S606,""))</f>
        <v>304</v>
      </c>
      <c r="T607" t="str">
        <f>IF(D607=1,MAX($T$2:$T606)+1,IF(S607=S606,$T606,IF(D607="x",T606,IF(D606="x","",""))))</f>
        <v/>
      </c>
      <c r="U607" t="str">
        <f>IF(B607=1,MAX($U$2:$U606)+1,IF(AND($T607&lt;&gt;"",$T607=$T606),$U606,IF(B607="x",U606,"")))</f>
        <v/>
      </c>
      <c r="V607" t="str">
        <f>IF(C607=1,MAX($V$2:$V606)+1,IF(AND($T607&lt;&gt;"",$T607=$T606),$U606,IF(C607="x",V606,"")))</f>
        <v/>
      </c>
      <c r="W607" t="str" cm="1">
        <f t="array" ref="W607">IFERROR(_xlfn._xlws.FILTER(game_rosters!AC:AC,(game_rosters!J:J=events!X607)*(K607&lt;&gt;"")),"")</f>
        <v>a</v>
      </c>
      <c r="X607" cm="1">
        <f t="array" ref="X607">IF($I607&lt;&gt;"",$I607,INDEX($I$1:$I607,ROW()-COUNTIFS($T$1:$T607,"="&amp;$T607,$S$1:$S607,"&lt;"&amp;$S607)))</f>
        <v>84</v>
      </c>
      <c r="Y607" cm="1">
        <f t="array" ref="Y607">IFERROR(IF(_xlfn._xlws.FILTER(game_rosters!$J:$J,(game_rosters!$G:$G=events!$AM607)*(game_rosters!$J:$J=events!$X607))&gt;0,1,""),"")</f>
        <v>1</v>
      </c>
      <c r="Z607" s="6">
        <f t="shared" si="1002"/>
        <v>1</v>
      </c>
      <c r="AA607">
        <f t="shared" si="1003"/>
        <v>1304</v>
      </c>
      <c r="AB607" t="str">
        <f t="shared" si="1004"/>
        <v/>
      </c>
      <c r="AC607">
        <f t="shared" si="1005"/>
        <v>1304</v>
      </c>
      <c r="AD607" t="str">
        <f t="shared" si="1006"/>
        <v>9</v>
      </c>
      <c r="AE607" t="str">
        <f t="shared" si="1007"/>
        <v>11</v>
      </c>
      <c r="AF607" t="str">
        <f t="shared" si="1008"/>
        <v/>
      </c>
      <c r="AG607" t="str">
        <f t="shared" si="1009"/>
        <v/>
      </c>
      <c r="AH607" t="str">
        <f t="shared" si="1052"/>
        <v>e</v>
      </c>
      <c r="AI607" t="str">
        <f t="shared" si="1053"/>
        <v>n</v>
      </c>
      <c r="AJ607" t="str">
        <f t="shared" si="1053"/>
        <v>n</v>
      </c>
      <c r="AK607" t="str">
        <f t="shared" si="1054"/>
        <v>n</v>
      </c>
      <c r="AL607" t="str">
        <f t="shared" si="1055"/>
        <v>n</v>
      </c>
      <c r="AM607" t="str">
        <f t="shared" si="1010"/>
        <v>Away</v>
      </c>
      <c r="AN607" t="str">
        <f t="shared" si="1056"/>
        <v>a</v>
      </c>
      <c r="AO607" t="str">
        <f t="shared" si="1057"/>
        <v>n</v>
      </c>
      <c r="AP607" t="str">
        <f t="shared" si="1058"/>
        <v>n</v>
      </c>
      <c r="AQ607" t="str">
        <f>IF(AM607&lt;&gt;"",AM607,IF($AC607=#REF!,#REF!,""))</f>
        <v>Away</v>
      </c>
      <c r="AR607" t="str">
        <f t="shared" si="1059"/>
        <v>a</v>
      </c>
      <c r="AS607" t="str">
        <f t="shared" si="1060"/>
        <v>Offensive</v>
      </c>
      <c r="AT607" t="str">
        <f t="shared" si="1011"/>
        <v/>
      </c>
      <c r="AU607" t="str">
        <f t="shared" si="1012"/>
        <v/>
      </c>
      <c r="AV607" t="str" cm="1">
        <f t="array" ref="AV607">IFERROR(IF(O607&lt;&gt;"",O607,IF(OR($S607="",$T607=""),"",IF(O607&lt;&gt;"",O607,IF($T607&lt;&gt;"",_xlfn._xlws.FILTER(O:O,($BT:$BT=$BT607)*($I:$I=$I607)*($T:$T=$T607)*($S:$S=_xlfn.MINIFS($S:$S,$T:$T,"="&amp;$T607)),"")))))&amp;"",IF(O607="","",""))&amp;""</f>
        <v>PuckRecoveryRetreivalClear</v>
      </c>
      <c r="AW607" t="str" cm="1">
        <f t="array" ref="AW607">IFERROR(IF(P607&lt;&gt;"",P607,IF(OR($S607="",$T607=""),"",IF($T607&lt;&gt;"",_xlfn._xlws.FILTER(P:P,($BT:$BT=$BT607)*($I:$I=$I607)*($T:$T=$T607)*($S:$S=_xlfn.MINIFS($S:$S,$T:$T,"="&amp;$T607)),""))))&amp;"",IF(P607="","",""))&amp;""</f>
        <v/>
      </c>
      <c r="AX607" t="str" cm="1">
        <f t="array" ref="AX607">IFERROR(IF(Q607&lt;&gt;"",Q607,IF(OR($S607="",$T607=""),"",IF($T607&lt;&gt;"",_xlfn._xlws.FILTER(Q:Q,($BT:$BT=$BT607)*($I:$I=$I607)*($T:$T=$T607)*($S:$S=_xlfn.MINIFS($S:$S,$T:$T,"="&amp;$T607)),""))))&amp;"",IF(Q607="","",""))&amp;""</f>
        <v>s</v>
      </c>
      <c r="AY607" t="str" cm="1">
        <f t="array" ref="AY607">IFERROR(IF(R607&lt;&gt;"",R607,IF(OR($S607="",$T607=""),"",IF($T607&lt;&gt;"",_xlfn._xlws.FILTER(R:R,($BT:$BT=$BT607)*($I:$I=$I607)*($T:$T=$T607)*($S:$S=_xlfn.MINIFS($S:$S,$T:$T,"="&amp;$T607)),""))))&amp;"",IF(R607="","",""))&amp;""</f>
        <v/>
      </c>
      <c r="AZ607" s="6">
        <f t="shared" si="1013"/>
        <v>50</v>
      </c>
      <c r="BA607">
        <f t="shared" ref="BA607:BC607" si="1065">BA606</f>
        <v>18991</v>
      </c>
      <c r="BB607" t="str">
        <f t="shared" si="1065"/>
        <v>Triple J</v>
      </c>
      <c r="BC607" t="str">
        <f t="shared" si="1065"/>
        <v>Velodrome</v>
      </c>
      <c r="BD607" t="str">
        <f t="shared" si="1015"/>
        <v>Possession</v>
      </c>
      <c r="BE607" t="str">
        <f t="shared" si="1016"/>
        <v>PuckRetrieval</v>
      </c>
      <c r="BF607" t="str">
        <f t="shared" si="1017"/>
        <v/>
      </c>
      <c r="BG607" t="str">
        <f t="shared" si="999"/>
        <v>s</v>
      </c>
      <c r="BH607" t="e" cm="1" vm="1">
        <f t="array" aca="1" ref="BH607" ca="1">IFERROR(_xlfn._xlws.FILTER(shifts!A:A,(shifts!B:B=events!Z607)*(shifts!AG:AG&gt;=events!BJ607)*(shifts!AH:AH&lt;=events!BK607)),BH606)</f>
        <v>#VALUE!</v>
      </c>
      <c r="BI607" s="15">
        <f t="shared" si="1018"/>
        <v>0</v>
      </c>
      <c r="BJ607">
        <f t="shared" si="1019"/>
        <v>551</v>
      </c>
      <c r="BK607">
        <f t="shared" si="1020"/>
        <v>551</v>
      </c>
      <c r="BL607" s="15">
        <f>SUMIFS(BI$2:BI607,K$2:K607,"=Intermission")+SUMIFS(BI$2:BI607,K$2:K607,"=Timeout")</f>
        <v>0</v>
      </c>
      <c r="BM607">
        <f t="shared" si="1021"/>
        <v>0</v>
      </c>
      <c r="BN607" s="19">
        <f t="shared" si="1022"/>
        <v>529</v>
      </c>
      <c r="BO607">
        <f t="shared" si="1023"/>
        <v>524</v>
      </c>
      <c r="BP607" s="17">
        <f t="shared" si="1024"/>
        <v>529</v>
      </c>
      <c r="BQ607" t="str">
        <f t="shared" si="1025"/>
        <v>event_team_player_1</v>
      </c>
      <c r="BR607">
        <f>COUNTIFS(S$3:S607,"="&amp;S607,AH$3:AH607,"="&amp;AH607)</f>
        <v>1</v>
      </c>
      <c r="BS607" t="str">
        <f>IFERROR(VLOOKUP(BA607&amp;BT607&amp;X607,game_rosters!U:W,3,FALSE),"")</f>
        <v>P100198</v>
      </c>
      <c r="BT607" t="str">
        <f t="shared" si="1026"/>
        <v>Velodrome</v>
      </c>
    </row>
    <row r="608" spans="1:72" x14ac:dyDescent="0.2">
      <c r="A608" t="str">
        <f t="shared" si="1001"/>
        <v/>
      </c>
      <c r="E608" s="4"/>
      <c r="F608" s="45"/>
      <c r="G608" s="4"/>
      <c r="H608" s="47"/>
      <c r="I608" s="26">
        <v>21</v>
      </c>
      <c r="J608" s="26" t="str">
        <f t="shared" si="1029"/>
        <v/>
      </c>
      <c r="N608" t="str">
        <f t="shared" si="1045"/>
        <v/>
      </c>
      <c r="Q608" t="str">
        <f t="shared" si="1039"/>
        <v/>
      </c>
      <c r="S608">
        <f>IF(A608=1,MAX($S$2:$S607)+1,IF(OR($I608&lt;&gt;"",A608="x"),$S607,""))</f>
        <v>304</v>
      </c>
      <c r="T608" t="str">
        <f>IF(D608=1,MAX($T$2:$T607)+1,IF(S608=S607,$T607,IF(D608="x",T607,IF(D607="x","",""))))</f>
        <v/>
      </c>
      <c r="U608" t="str">
        <f>IF(B608=1,MAX($U$2:$U607)+1,IF(AND($T608&lt;&gt;"",$T608=$T607),$U607,IF(B608="x",U607,"")))</f>
        <v/>
      </c>
      <c r="V608" t="str">
        <f>IF(C608=1,MAX($V$2:$V607)+1,IF(AND($T608&lt;&gt;"",$T608=$T607),$U607,IF(C608="x",V607,"")))</f>
        <v/>
      </c>
      <c r="W608" t="str" cm="1">
        <f t="array" ref="W608">IFERROR(_xlfn._xlws.FILTER(game_rosters!AC:AC,(game_rosters!J:J=events!X608)*(K608&lt;&gt;"")),"")</f>
        <v/>
      </c>
      <c r="X608" cm="1">
        <f t="array" ref="X608">IF($I608&lt;&gt;"",$I608,INDEX($I$1:$I608,ROW()-COUNTIFS($T$1:$T608,"="&amp;$T608,$S$1:$S608,"&lt;"&amp;$S608)))</f>
        <v>21</v>
      </c>
      <c r="Y608" t="str" cm="1">
        <f t="array" ref="Y608">IFERROR(IF(_xlfn._xlws.FILTER(game_rosters!$J:$J,(game_rosters!$G:$G=events!$AM608)*(game_rosters!$J:$J=events!$X608))&gt;0,1,""),"")</f>
        <v/>
      </c>
      <c r="Z608" s="6">
        <f t="shared" si="1002"/>
        <v>1</v>
      </c>
      <c r="AA608">
        <f t="shared" si="1003"/>
        <v>1304</v>
      </c>
      <c r="AB608" t="str">
        <f t="shared" si="1004"/>
        <v/>
      </c>
      <c r="AC608">
        <f t="shared" si="1005"/>
        <v>1304</v>
      </c>
      <c r="AD608" t="str">
        <f t="shared" si="1006"/>
        <v>9</v>
      </c>
      <c r="AE608" t="str">
        <f t="shared" si="1007"/>
        <v>11</v>
      </c>
      <c r="AF608" t="str">
        <f t="shared" si="1008"/>
        <v/>
      </c>
      <c r="AG608" t="str">
        <f t="shared" si="1009"/>
        <v/>
      </c>
      <c r="AH608" t="str">
        <f t="shared" si="1052"/>
        <v>o</v>
      </c>
      <c r="AI608" t="str">
        <f t="shared" si="1053"/>
        <v>n</v>
      </c>
      <c r="AJ608" t="str">
        <f t="shared" si="1053"/>
        <v>n</v>
      </c>
      <c r="AK608" t="str">
        <f t="shared" si="1054"/>
        <v/>
      </c>
      <c r="AL608" t="str">
        <f t="shared" si="1055"/>
        <v/>
      </c>
      <c r="AM608" t="str">
        <f t="shared" si="1010"/>
        <v>Away</v>
      </c>
      <c r="AN608" t="str">
        <f t="shared" si="1056"/>
        <v>a</v>
      </c>
      <c r="AO608" t="str">
        <f t="shared" si="1057"/>
        <v>n</v>
      </c>
      <c r="AP608" t="str">
        <f t="shared" si="1058"/>
        <v>n</v>
      </c>
      <c r="AQ608" t="str">
        <f>IF(AM608&lt;&gt;"",AM608,IF($AC608=#REF!,#REF!,""))</f>
        <v>Away</v>
      </c>
      <c r="AR608" t="str">
        <f t="shared" si="1059"/>
        <v>a</v>
      </c>
      <c r="AS608" t="str">
        <f t="shared" si="1060"/>
        <v>Defensive</v>
      </c>
      <c r="AT608" t="str">
        <f t="shared" si="1011"/>
        <v/>
      </c>
      <c r="AU608" t="str">
        <f t="shared" si="1012"/>
        <v/>
      </c>
      <c r="AV608" t="str" cm="1">
        <f t="array" ref="AV608">IFERROR(IF(O608&lt;&gt;"",O608,IF(OR($S608="",$T608=""),"",IF(O608&lt;&gt;"",O608,IF($T608&lt;&gt;"",_xlfn._xlws.FILTER(O:O,($BT:$BT=$BT608)*($I:$I=$I608)*($T:$T=$T608)*($S:$S=_xlfn.MINIFS($S:$S,$T:$T,"="&amp;$T608)),"")))))&amp;"",IF(O608="","",""))&amp;""</f>
        <v/>
      </c>
      <c r="AW608" t="str" cm="1">
        <f t="array" ref="AW608">IFERROR(IF(P608&lt;&gt;"",P608,IF(OR($S608="",$T608=""),"",IF($T608&lt;&gt;"",_xlfn._xlws.FILTER(P:P,($BT:$BT=$BT608)*($I:$I=$I608)*($T:$T=$T608)*($S:$S=_xlfn.MINIFS($S:$S,$T:$T,"="&amp;$T608)),""))))&amp;"",IF(P608="","",""))&amp;""</f>
        <v/>
      </c>
      <c r="AX608" t="str" cm="1">
        <f t="array" ref="AX608">IFERROR(IF(Q608&lt;&gt;"",Q608,IF(OR($S608="",$T608=""),"",IF($T608&lt;&gt;"",_xlfn._xlws.FILTER(Q:Q,($BT:$BT=$BT608)*($I:$I=$I608)*($T:$T=$T608)*($S:$S=_xlfn.MINIFS($S:$S,$T:$T,"="&amp;$T608)),""))))&amp;"",IF(Q608="","",""))&amp;""</f>
        <v/>
      </c>
      <c r="AY608" t="str" cm="1">
        <f t="array" ref="AY608">IFERROR(IF(R608&lt;&gt;"",R608,IF(OR($S608="",$T608=""),"",IF($T608&lt;&gt;"",_xlfn._xlws.FILTER(R:R,($BT:$BT=$BT608)*($I:$I=$I608)*($T:$T=$T608)*($S:$S=_xlfn.MINIFS($S:$S,$T:$T,"="&amp;$T608)),""))))&amp;"",IF(R608="","",""))&amp;""</f>
        <v/>
      </c>
      <c r="AZ608" s="6">
        <f t="shared" si="1013"/>
        <v>50</v>
      </c>
      <c r="BA608">
        <f t="shared" ref="BA608:BC608" si="1066">BA607</f>
        <v>18991</v>
      </c>
      <c r="BB608" t="str">
        <f t="shared" si="1066"/>
        <v>Triple J</v>
      </c>
      <c r="BC608" t="str">
        <f t="shared" si="1066"/>
        <v>Velodrome</v>
      </c>
      <c r="BD608" t="str">
        <f t="shared" si="1015"/>
        <v>Possession</v>
      </c>
      <c r="BE608" t="str">
        <f t="shared" si="1016"/>
        <v>PuckRetrieval</v>
      </c>
      <c r="BF608" t="str">
        <f t="shared" si="1017"/>
        <v/>
      </c>
      <c r="BG608" t="str">
        <f t="shared" si="999"/>
        <v>s</v>
      </c>
      <c r="BH608" t="e" cm="1" vm="1">
        <f t="array" aca="1" ref="BH608" ca="1">IFERROR(_xlfn._xlws.FILTER(shifts!A:A,(shifts!B:B=events!Z608)*(shifts!AG:AG&gt;=events!BJ608)*(shifts!AH:AH&lt;=events!BK608)),BH607)</f>
        <v>#VALUE!</v>
      </c>
      <c r="BI608" s="15">
        <f t="shared" si="1018"/>
        <v>0</v>
      </c>
      <c r="BJ608">
        <f t="shared" si="1019"/>
        <v>551</v>
      </c>
      <c r="BK608">
        <f t="shared" si="1020"/>
        <v>551</v>
      </c>
      <c r="BL608" s="15">
        <f>SUMIFS(BI$2:BI608,K$2:K608,"=Intermission")+SUMIFS(BI$2:BI608,K$2:K608,"=Timeout")</f>
        <v>0</v>
      </c>
      <c r="BM608">
        <f t="shared" si="1021"/>
        <v>0</v>
      </c>
      <c r="BN608" s="19">
        <f t="shared" si="1022"/>
        <v>529</v>
      </c>
      <c r="BO608">
        <f t="shared" si="1023"/>
        <v>524</v>
      </c>
      <c r="BP608" s="17">
        <f t="shared" si="1024"/>
        <v>529</v>
      </c>
      <c r="BQ608" t="str">
        <f t="shared" si="1025"/>
        <v>opp_team_player_1</v>
      </c>
      <c r="BR608">
        <f>COUNTIFS(S$3:S608,"="&amp;S608,AH$3:AH608,"="&amp;AH608)</f>
        <v>1</v>
      </c>
      <c r="BS608" t="str">
        <f>IFERROR(VLOOKUP(BA608&amp;BT608&amp;X608,game_rosters!U:W,3,FALSE),"")</f>
        <v>P100019</v>
      </c>
      <c r="BT608" t="str">
        <f t="shared" si="1026"/>
        <v>Triple J</v>
      </c>
    </row>
    <row r="609" spans="1:72" x14ac:dyDescent="0.2">
      <c r="A609">
        <f t="shared" si="1001"/>
        <v>1</v>
      </c>
      <c r="E609" s="4"/>
      <c r="F609" s="45"/>
      <c r="G609" s="4"/>
      <c r="H609" s="47"/>
      <c r="I609" s="26">
        <v>84</v>
      </c>
      <c r="J609" s="26" t="s">
        <v>734</v>
      </c>
      <c r="K609" t="s">
        <v>7</v>
      </c>
      <c r="L609" t="s">
        <v>172</v>
      </c>
      <c r="M609" t="s">
        <v>68</v>
      </c>
      <c r="N609" t="str">
        <f t="shared" si="1045"/>
        <v>s</v>
      </c>
      <c r="O609" t="s">
        <v>576</v>
      </c>
      <c r="Q609" t="str">
        <f t="shared" si="1039"/>
        <v>s</v>
      </c>
      <c r="R609" s="26">
        <v>1</v>
      </c>
      <c r="S609">
        <f>IF(A609=1,MAX($S$2:$S608)+1,IF(OR($I609&lt;&gt;"",A609="x"),$S608,""))</f>
        <v>305</v>
      </c>
      <c r="T609" t="str">
        <f>IF(D609=1,MAX($T$2:$T608)+1,IF(S609=S608,$T608,IF(D609="x",T608,IF(D608="x","",""))))</f>
        <v/>
      </c>
      <c r="U609" t="str">
        <f>IF(B609=1,MAX($U$2:$U608)+1,IF(AND($T609&lt;&gt;"",$T609=$T608),$U608,IF(B609="x",U608,"")))</f>
        <v/>
      </c>
      <c r="V609" t="str">
        <f>IF(C609=1,MAX($V$2:$V608)+1,IF(AND($T609&lt;&gt;"",$T609=$T608),$U608,IF(C609="x",V608,"")))</f>
        <v/>
      </c>
      <c r="W609" t="str" cm="1">
        <f t="array" ref="W609">IFERROR(_xlfn._xlws.FILTER(game_rosters!AC:AC,(game_rosters!J:J=events!X609)*(K609&lt;&gt;"")),"")</f>
        <v>a</v>
      </c>
      <c r="X609" cm="1">
        <f t="array" ref="X609">IF($I609&lt;&gt;"",$I609,INDEX($I$1:$I609,ROW()-COUNTIFS($T$1:$T609,"="&amp;$T609,$S$1:$S609,"&lt;"&amp;$S609)))</f>
        <v>84</v>
      </c>
      <c r="Y609" cm="1">
        <f t="array" ref="Y609">IFERROR(IF(_xlfn._xlws.FILTER(game_rosters!$J:$J,(game_rosters!$G:$G=events!$AM609)*(game_rosters!$J:$J=events!$X609))&gt;0,1,""),"")</f>
        <v>1</v>
      </c>
      <c r="Z609" s="6">
        <f t="shared" si="1002"/>
        <v>1</v>
      </c>
      <c r="AA609">
        <f t="shared" si="1003"/>
        <v>1305</v>
      </c>
      <c r="AB609" t="str">
        <f t="shared" si="1004"/>
        <v/>
      </c>
      <c r="AC609">
        <f t="shared" si="1005"/>
        <v>1305</v>
      </c>
      <c r="AD609" t="str">
        <f t="shared" si="1006"/>
        <v>9</v>
      </c>
      <c r="AE609" t="str">
        <f t="shared" si="1007"/>
        <v>11</v>
      </c>
      <c r="AF609" t="str">
        <f t="shared" si="1008"/>
        <v/>
      </c>
      <c r="AG609" t="str">
        <f t="shared" si="1009"/>
        <v/>
      </c>
      <c r="AH609" t="str">
        <f t="shared" si="1052"/>
        <v>e</v>
      </c>
      <c r="AI609" t="str">
        <f t="shared" si="1053"/>
        <v>n</v>
      </c>
      <c r="AJ609" t="str">
        <f t="shared" si="1053"/>
        <v>n</v>
      </c>
      <c r="AK609" t="str">
        <f t="shared" si="1054"/>
        <v>n</v>
      </c>
      <c r="AL609" t="str">
        <f t="shared" si="1055"/>
        <v>n</v>
      </c>
      <c r="AM609" t="str">
        <f t="shared" si="1010"/>
        <v>Away</v>
      </c>
      <c r="AN609" t="str">
        <f t="shared" si="1056"/>
        <v>a</v>
      </c>
      <c r="AO609" t="str">
        <f t="shared" si="1057"/>
        <v>n</v>
      </c>
      <c r="AP609" t="str">
        <f t="shared" si="1058"/>
        <v>n</v>
      </c>
      <c r="AQ609" t="str">
        <f>IF(AM609&lt;&gt;"",AM609,IF($AC609=#REF!,#REF!,""))</f>
        <v>Away</v>
      </c>
      <c r="AR609" t="str">
        <f t="shared" si="1059"/>
        <v>a</v>
      </c>
      <c r="AS609" t="str">
        <f t="shared" si="1060"/>
        <v>Offensive</v>
      </c>
      <c r="AT609" t="str">
        <f t="shared" si="1011"/>
        <v/>
      </c>
      <c r="AU609" t="str">
        <f t="shared" si="1012"/>
        <v/>
      </c>
      <c r="AV609" t="str" cm="1">
        <f t="array" ref="AV609">IFERROR(IF(O609&lt;&gt;"",O609,IF(OR($S609="",$T609=""),"",IF(O609&lt;&gt;"",O609,IF($T609&lt;&gt;"",_xlfn._xlws.FILTER(O:O,($BT:$BT=$BT609)*($I:$I=$I609)*($T:$T=$T609)*($S:$S=_xlfn.MINIFS($S:$S,$T:$T,"="&amp;$T609)),"")))))&amp;"",IF(O609="","",""))&amp;""</f>
        <v>SecondTouch</v>
      </c>
      <c r="AW609" t="str" cm="1">
        <f t="array" ref="AW609">IFERROR(IF(P609&lt;&gt;"",P609,IF(OR($S609="",$T609=""),"",IF($T609&lt;&gt;"",_xlfn._xlws.FILTER(P:P,($BT:$BT=$BT609)*($I:$I=$I609)*($T:$T=$T609)*($S:$S=_xlfn.MINIFS($S:$S,$T:$T,"="&amp;$T609)),""))))&amp;"",IF(P609="","",""))&amp;""</f>
        <v/>
      </c>
      <c r="AX609" t="str" cm="1">
        <f t="array" ref="AX609">IFERROR(IF(Q609&lt;&gt;"",Q609,IF(OR($S609="",$T609=""),"",IF($T609&lt;&gt;"",_xlfn._xlws.FILTER(Q:Q,($BT:$BT=$BT609)*($I:$I=$I609)*($T:$T=$T609)*($S:$S=_xlfn.MINIFS($S:$S,$T:$T,"="&amp;$T609)),""))))&amp;"",IF(Q609="","",""))&amp;""</f>
        <v>s</v>
      </c>
      <c r="AY609" t="str" cm="1">
        <f t="array" ref="AY609">IFERROR(IF(R609&lt;&gt;"",R609,IF(OR($S609="",$T609=""),"",IF($T609&lt;&gt;"",_xlfn._xlws.FILTER(R:R,($BT:$BT=$BT609)*($I:$I=$I609)*($T:$T=$T609)*($S:$S=_xlfn.MINIFS($S:$S,$T:$T,"="&amp;$T609)),""))))&amp;"",IF(R609="","",""))&amp;""</f>
        <v>1</v>
      </c>
      <c r="AZ609" s="6">
        <f t="shared" si="1013"/>
        <v>50</v>
      </c>
      <c r="BA609">
        <f t="shared" ref="BA609:BC609" si="1067">BA608</f>
        <v>18991</v>
      </c>
      <c r="BB609" t="str">
        <f t="shared" si="1067"/>
        <v>Triple J</v>
      </c>
      <c r="BC609" t="str">
        <f t="shared" si="1067"/>
        <v>Velodrome</v>
      </c>
      <c r="BD609" t="str">
        <f t="shared" si="1015"/>
        <v>Pass</v>
      </c>
      <c r="BE609" t="str">
        <f t="shared" si="1016"/>
        <v>Pass_Completed</v>
      </c>
      <c r="BF609" t="str">
        <f t="shared" si="1017"/>
        <v>Pass-Forehand</v>
      </c>
      <c r="BG609" t="str">
        <f t="shared" si="999"/>
        <v>s</v>
      </c>
      <c r="BH609" t="e" cm="1" vm="1">
        <f t="array" aca="1" ref="BH609" ca="1">IFERROR(_xlfn._xlws.FILTER(shifts!A:A,(shifts!B:B=events!Z609)*(shifts!AG:AG&gt;=events!BJ609)*(shifts!AH:AH&lt;=events!BK609)),BH608)</f>
        <v>#VALUE!</v>
      </c>
      <c r="BI609" s="15">
        <f t="shared" si="1018"/>
        <v>0</v>
      </c>
      <c r="BJ609">
        <f t="shared" si="1019"/>
        <v>551</v>
      </c>
      <c r="BK609">
        <f t="shared" si="1020"/>
        <v>551</v>
      </c>
      <c r="BL609" s="15">
        <f>SUMIFS(BI$2:BI609,K$2:K609,"=Intermission")+SUMIFS(BI$2:BI609,K$2:K609,"=Timeout")</f>
        <v>0</v>
      </c>
      <c r="BM609">
        <f t="shared" si="1021"/>
        <v>0</v>
      </c>
      <c r="BN609" s="19">
        <f t="shared" si="1022"/>
        <v>529</v>
      </c>
      <c r="BO609">
        <f t="shared" si="1023"/>
        <v>524</v>
      </c>
      <c r="BP609" s="17">
        <f t="shared" si="1024"/>
        <v>529</v>
      </c>
      <c r="BQ609" t="str">
        <f t="shared" si="1025"/>
        <v>event_team_player_1</v>
      </c>
      <c r="BR609">
        <f>COUNTIFS(S$3:S609,"="&amp;S609,AH$3:AH609,"="&amp;AH609)</f>
        <v>1</v>
      </c>
      <c r="BS609" t="str">
        <f>IFERROR(VLOOKUP(BA609&amp;BT609&amp;X609,game_rosters!U:W,3,FALSE),"")</f>
        <v>P100198</v>
      </c>
      <c r="BT609" t="str">
        <f t="shared" si="1026"/>
        <v>Velodrome</v>
      </c>
    </row>
    <row r="610" spans="1:72" x14ac:dyDescent="0.2">
      <c r="A610" t="str">
        <f t="shared" si="1001"/>
        <v/>
      </c>
      <c r="E610" s="4"/>
      <c r="F610" s="45"/>
      <c r="G610" s="4"/>
      <c r="H610" s="47"/>
      <c r="I610" s="26">
        <v>91</v>
      </c>
      <c r="J610" s="26" t="str">
        <f t="shared" si="1029"/>
        <v/>
      </c>
      <c r="N610" t="str">
        <f t="shared" si="1045"/>
        <v/>
      </c>
      <c r="Q610" t="str">
        <f t="shared" si="1039"/>
        <v/>
      </c>
      <c r="S610">
        <f>IF(A610=1,MAX($S$2:$S609)+1,IF(OR($I610&lt;&gt;"",A610="x"),$S609,""))</f>
        <v>305</v>
      </c>
      <c r="T610" t="str">
        <f>IF(D610=1,MAX($T$2:$T609)+1,IF(S610=S609,$T609,IF(D610="x",T609,IF(D609="x","",""))))</f>
        <v/>
      </c>
      <c r="U610" t="str">
        <f>IF(B610=1,MAX($U$2:$U609)+1,IF(AND($T610&lt;&gt;"",$T610=$T609),$U609,IF(B610="x",U609,"")))</f>
        <v/>
      </c>
      <c r="V610" t="str">
        <f>IF(C610=1,MAX($V$2:$V609)+1,IF(AND($T610&lt;&gt;"",$T610=$T609),$U609,IF(C610="x",V609,"")))</f>
        <v/>
      </c>
      <c r="W610" t="str" cm="1">
        <f t="array" ref="W610">IFERROR(_xlfn._xlws.FILTER(game_rosters!AC:AC,(game_rosters!J:J=events!X610)*(K610&lt;&gt;"")),"")</f>
        <v/>
      </c>
      <c r="X610" cm="1">
        <f t="array" ref="X610">IF($I610&lt;&gt;"",$I610,INDEX($I$1:$I610,ROW()-COUNTIFS($T$1:$T610,"="&amp;$T610,$S$1:$S610,"&lt;"&amp;$S610)))</f>
        <v>91</v>
      </c>
      <c r="Y610" cm="1">
        <f t="array" ref="Y610">IFERROR(IF(_xlfn._xlws.FILTER(game_rosters!$J:$J,(game_rosters!$G:$G=events!$AM610)*(game_rosters!$J:$J=events!$X610))&gt;0,1,""),"")</f>
        <v>1</v>
      </c>
      <c r="Z610" s="6">
        <f t="shared" si="1002"/>
        <v>1</v>
      </c>
      <c r="AA610">
        <f t="shared" si="1003"/>
        <v>1305</v>
      </c>
      <c r="AB610" t="str">
        <f t="shared" si="1004"/>
        <v/>
      </c>
      <c r="AC610">
        <f t="shared" si="1005"/>
        <v>1305</v>
      </c>
      <c r="AD610" t="str">
        <f t="shared" si="1006"/>
        <v>9</v>
      </c>
      <c r="AE610" t="str">
        <f t="shared" si="1007"/>
        <v>11</v>
      </c>
      <c r="AF610" t="str">
        <f t="shared" si="1008"/>
        <v/>
      </c>
      <c r="AG610" t="str">
        <f t="shared" si="1009"/>
        <v/>
      </c>
      <c r="AH610" t="str">
        <f t="shared" si="1052"/>
        <v>e</v>
      </c>
      <c r="AI610" t="str">
        <f t="shared" si="1053"/>
        <v>n</v>
      </c>
      <c r="AJ610" t="str">
        <f t="shared" si="1053"/>
        <v>n</v>
      </c>
      <c r="AK610" t="str">
        <f t="shared" si="1054"/>
        <v/>
      </c>
      <c r="AL610" t="str">
        <f t="shared" si="1055"/>
        <v/>
      </c>
      <c r="AM610" t="str">
        <f t="shared" si="1010"/>
        <v>Away</v>
      </c>
      <c r="AN610" t="str">
        <f t="shared" si="1056"/>
        <v>a</v>
      </c>
      <c r="AO610" t="str">
        <f t="shared" si="1057"/>
        <v>n</v>
      </c>
      <c r="AP610" t="str">
        <f t="shared" si="1058"/>
        <v>n</v>
      </c>
      <c r="AQ610" t="str">
        <f>IF(AM610&lt;&gt;"",AM610,IF($AC610=#REF!,#REF!,""))</f>
        <v>Away</v>
      </c>
      <c r="AR610" t="str">
        <f t="shared" si="1059"/>
        <v>a</v>
      </c>
      <c r="AS610" t="str">
        <f t="shared" si="1060"/>
        <v>Offensive</v>
      </c>
      <c r="AT610" t="str">
        <f t="shared" si="1011"/>
        <v/>
      </c>
      <c r="AU610" t="str">
        <f t="shared" si="1012"/>
        <v/>
      </c>
      <c r="AV610" t="str" cm="1">
        <f t="array" ref="AV610">IFERROR(IF(O610&lt;&gt;"",O610,IF(OR($S610="",$T610=""),"",IF(O610&lt;&gt;"",O610,IF($T610&lt;&gt;"",_xlfn._xlws.FILTER(O:O,($BT:$BT=$BT610)*($I:$I=$I610)*($T:$T=$T610)*($S:$S=_xlfn.MINIFS($S:$S,$T:$T,"="&amp;$T610)),"")))))&amp;"",IF(O610="","",""))&amp;""</f>
        <v/>
      </c>
      <c r="AW610" t="str" cm="1">
        <f t="array" ref="AW610">IFERROR(IF(P610&lt;&gt;"",P610,IF(OR($S610="",$T610=""),"",IF($T610&lt;&gt;"",_xlfn._xlws.FILTER(P:P,($BT:$BT=$BT610)*($I:$I=$I610)*($T:$T=$T610)*($S:$S=_xlfn.MINIFS($S:$S,$T:$T,"="&amp;$T610)),""))))&amp;"",IF(P610="","",""))&amp;""</f>
        <v/>
      </c>
      <c r="AX610" t="str" cm="1">
        <f t="array" ref="AX610">IFERROR(IF(Q610&lt;&gt;"",Q610,IF(OR($S610="",$T610=""),"",IF($T610&lt;&gt;"",_xlfn._xlws.FILTER(Q:Q,($BT:$BT=$BT610)*($I:$I=$I610)*($T:$T=$T610)*($S:$S=_xlfn.MINIFS($S:$S,$T:$T,"="&amp;$T610)),""))))&amp;"",IF(Q610="","",""))&amp;""</f>
        <v/>
      </c>
      <c r="AY610" t="str" cm="1">
        <f t="array" ref="AY610">IFERROR(IF(R610&lt;&gt;"",R610,IF(OR($S610="",$T610=""),"",IF($T610&lt;&gt;"",_xlfn._xlws.FILTER(R:R,($BT:$BT=$BT610)*($I:$I=$I610)*($T:$T=$T610)*($S:$S=_xlfn.MINIFS($S:$S,$T:$T,"="&amp;$T610)),""))))&amp;"",IF(R610="","",""))&amp;""</f>
        <v/>
      </c>
      <c r="AZ610" s="6">
        <f t="shared" si="1013"/>
        <v>50</v>
      </c>
      <c r="BA610">
        <f t="shared" ref="BA610:BC610" si="1068">BA609</f>
        <v>18991</v>
      </c>
      <c r="BB610" t="str">
        <f t="shared" si="1068"/>
        <v>Triple J</v>
      </c>
      <c r="BC610" t="str">
        <f t="shared" si="1068"/>
        <v>Velodrome</v>
      </c>
      <c r="BD610" t="str">
        <f t="shared" si="1015"/>
        <v>Pass</v>
      </c>
      <c r="BE610" t="str">
        <f t="shared" si="1016"/>
        <v>Pass_Completed</v>
      </c>
      <c r="BF610" t="str">
        <f t="shared" si="1017"/>
        <v>Pass-Forehand</v>
      </c>
      <c r="BG610" t="str">
        <f t="shared" si="999"/>
        <v>s</v>
      </c>
      <c r="BH610" t="e" cm="1" vm="1">
        <f t="array" aca="1" ref="BH610" ca="1">IFERROR(_xlfn._xlws.FILTER(shifts!A:A,(shifts!B:B=events!Z610)*(shifts!AG:AG&gt;=events!BJ610)*(shifts!AH:AH&lt;=events!BK610)),BH609)</f>
        <v>#VALUE!</v>
      </c>
      <c r="BI610" s="15">
        <f t="shared" si="1018"/>
        <v>0</v>
      </c>
      <c r="BJ610">
        <f t="shared" si="1019"/>
        <v>551</v>
      </c>
      <c r="BK610">
        <f t="shared" si="1020"/>
        <v>551</v>
      </c>
      <c r="BL610" s="15">
        <f>SUMIFS(BI$2:BI610,K$2:K610,"=Intermission")+SUMIFS(BI$2:BI610,K$2:K610,"=Timeout")</f>
        <v>0</v>
      </c>
      <c r="BM610">
        <f t="shared" si="1021"/>
        <v>0</v>
      </c>
      <c r="BN610" s="19">
        <f t="shared" si="1022"/>
        <v>529</v>
      </c>
      <c r="BO610">
        <f t="shared" si="1023"/>
        <v>524</v>
      </c>
      <c r="BP610" s="17">
        <f t="shared" si="1024"/>
        <v>529</v>
      </c>
      <c r="BQ610" t="str">
        <f t="shared" si="1025"/>
        <v>event_team_player_2</v>
      </c>
      <c r="BR610">
        <f>COUNTIFS(S$3:S610,"="&amp;S610,AH$3:AH610,"="&amp;AH610)</f>
        <v>2</v>
      </c>
      <c r="BS610" t="str">
        <f>IFERROR(VLOOKUP(BA610&amp;BT610&amp;X610,game_rosters!U:W,3,FALSE),"")</f>
        <v>P100002</v>
      </c>
      <c r="BT610" t="str">
        <f t="shared" si="1026"/>
        <v>Velodrome</v>
      </c>
    </row>
    <row r="611" spans="1:72" x14ac:dyDescent="0.2">
      <c r="A611" t="str">
        <f t="shared" si="1001"/>
        <v/>
      </c>
      <c r="E611" s="4"/>
      <c r="F611" s="45"/>
      <c r="G611" s="4"/>
      <c r="H611" s="47"/>
      <c r="I611" s="26">
        <v>21</v>
      </c>
      <c r="J611" s="26" t="str">
        <f t="shared" si="1029"/>
        <v/>
      </c>
      <c r="N611" t="str">
        <f t="shared" si="1045"/>
        <v/>
      </c>
      <c r="O611" t="s">
        <v>567</v>
      </c>
      <c r="Q611" t="str">
        <f t="shared" si="1039"/>
        <v/>
      </c>
      <c r="R611" s="26">
        <v>1</v>
      </c>
      <c r="S611">
        <f>IF(A611=1,MAX($S$2:$S610)+1,IF(OR($I611&lt;&gt;"",A611="x"),$S610,""))</f>
        <v>305</v>
      </c>
      <c r="T611" t="str">
        <f>IF(D611=1,MAX($T$2:$T610)+1,IF(S611=S610,$T610,IF(D611="x",T610,IF(D610="x","",""))))</f>
        <v/>
      </c>
      <c r="U611" t="str">
        <f>IF(B611=1,MAX($U$2:$U610)+1,IF(AND($T611&lt;&gt;"",$T611=$T610),$U610,IF(B611="x",U610,"")))</f>
        <v/>
      </c>
      <c r="V611" t="str">
        <f>IF(C611=1,MAX($V$2:$V610)+1,IF(AND($T611&lt;&gt;"",$T611=$T610),$U610,IF(C611="x",V610,"")))</f>
        <v/>
      </c>
      <c r="W611" t="str" cm="1">
        <f t="array" ref="W611">IFERROR(_xlfn._xlws.FILTER(game_rosters!AC:AC,(game_rosters!J:J=events!X611)*(K611&lt;&gt;"")),"")</f>
        <v/>
      </c>
      <c r="X611" cm="1">
        <f t="array" ref="X611">IF($I611&lt;&gt;"",$I611,INDEX($I$1:$I611,ROW()-COUNTIFS($T$1:$T611,"="&amp;$T611,$S$1:$S611,"&lt;"&amp;$S611)))</f>
        <v>21</v>
      </c>
      <c r="Y611" t="str" cm="1">
        <f t="array" ref="Y611">IFERROR(IF(_xlfn._xlws.FILTER(game_rosters!$J:$J,(game_rosters!$G:$G=events!$AM611)*(game_rosters!$J:$J=events!$X611))&gt;0,1,""),"")</f>
        <v/>
      </c>
      <c r="Z611" s="6">
        <f t="shared" si="1002"/>
        <v>1</v>
      </c>
      <c r="AA611">
        <f t="shared" si="1003"/>
        <v>1305</v>
      </c>
      <c r="AB611" t="str">
        <f t="shared" si="1004"/>
        <v/>
      </c>
      <c r="AC611">
        <f t="shared" si="1005"/>
        <v>1305</v>
      </c>
      <c r="AD611" t="str">
        <f t="shared" si="1006"/>
        <v>9</v>
      </c>
      <c r="AE611" t="str">
        <f t="shared" si="1007"/>
        <v>11</v>
      </c>
      <c r="AF611" t="str">
        <f t="shared" si="1008"/>
        <v/>
      </c>
      <c r="AG611" t="str">
        <f t="shared" si="1009"/>
        <v/>
      </c>
      <c r="AH611" t="str">
        <f t="shared" si="1052"/>
        <v>o</v>
      </c>
      <c r="AI611" t="str">
        <f t="shared" si="1053"/>
        <v>n</v>
      </c>
      <c r="AJ611" t="str">
        <f t="shared" si="1053"/>
        <v>n</v>
      </c>
      <c r="AK611" t="str">
        <f t="shared" si="1054"/>
        <v/>
      </c>
      <c r="AL611" t="str">
        <f t="shared" si="1055"/>
        <v/>
      </c>
      <c r="AM611" t="str">
        <f t="shared" si="1010"/>
        <v>Away</v>
      </c>
      <c r="AN611" t="str">
        <f t="shared" si="1056"/>
        <v>a</v>
      </c>
      <c r="AO611" t="str">
        <f t="shared" si="1057"/>
        <v>n</v>
      </c>
      <c r="AP611" t="str">
        <f t="shared" si="1058"/>
        <v>n</v>
      </c>
      <c r="AQ611" t="str">
        <f>IF(AM611&lt;&gt;"",AM611,IF($AC611=#REF!,#REF!,""))</f>
        <v>Away</v>
      </c>
      <c r="AR611" t="str">
        <f t="shared" si="1059"/>
        <v>a</v>
      </c>
      <c r="AS611" t="str">
        <f t="shared" si="1060"/>
        <v>Defensive</v>
      </c>
      <c r="AT611" t="str">
        <f t="shared" si="1011"/>
        <v/>
      </c>
      <c r="AU611" t="str">
        <f t="shared" si="1012"/>
        <v/>
      </c>
      <c r="AV611" t="str" cm="1">
        <f t="array" ref="AV611">IFERROR(IF(O611&lt;&gt;"",O611,IF(OR($S611="",$T611=""),"",IF(O611&lt;&gt;"",O611,IF($T611&lt;&gt;"",_xlfn._xlws.FILTER(O:O,($BT:$BT=$BT611)*($I:$I=$I611)*($T:$T=$T611)*($S:$S=_xlfn.MINIFS($S:$S,$T:$T,"="&amp;$T611)),"")))))&amp;"",IF(O611="","",""))&amp;""</f>
        <v>StickCheck</v>
      </c>
      <c r="AW611" t="str" cm="1">
        <f t="array" ref="AW611">IFERROR(IF(P611&lt;&gt;"",P611,IF(OR($S611="",$T611=""),"",IF($T611&lt;&gt;"",_xlfn._xlws.FILTER(P:P,($BT:$BT=$BT611)*($I:$I=$I611)*($T:$T=$T611)*($S:$S=_xlfn.MINIFS($S:$S,$T:$T,"="&amp;$T611)),""))))&amp;"",IF(P611="","",""))&amp;""</f>
        <v/>
      </c>
      <c r="AX611" t="str" cm="1">
        <f t="array" ref="AX611">IFERROR(IF(Q611&lt;&gt;"",Q611,IF(OR($S611="",$T611=""),"",IF($T611&lt;&gt;"",_xlfn._xlws.FILTER(Q:Q,($BT:$BT=$BT611)*($I:$I=$I611)*($T:$T=$T611)*($S:$S=_xlfn.MINIFS($S:$S,$T:$T,"="&amp;$T611)),""))))&amp;"",IF(Q611="","",""))&amp;""</f>
        <v/>
      </c>
      <c r="AY611" t="str" cm="1">
        <f t="array" ref="AY611">IFERROR(IF(R611&lt;&gt;"",R611,IF(OR($S611="",$T611=""),"",IF($T611&lt;&gt;"",_xlfn._xlws.FILTER(R:R,($BT:$BT=$BT611)*($I:$I=$I611)*($T:$T=$T611)*($S:$S=_xlfn.MINIFS($S:$S,$T:$T,"="&amp;$T611)),""))))&amp;"",IF(R611="","",""))&amp;""</f>
        <v>1</v>
      </c>
      <c r="AZ611" s="6">
        <f t="shared" si="1013"/>
        <v>50</v>
      </c>
      <c r="BA611">
        <f t="shared" ref="BA611:BC611" si="1069">BA610</f>
        <v>18991</v>
      </c>
      <c r="BB611" t="str">
        <f t="shared" si="1069"/>
        <v>Triple J</v>
      </c>
      <c r="BC611" t="str">
        <f t="shared" si="1069"/>
        <v>Velodrome</v>
      </c>
      <c r="BD611" t="str">
        <f t="shared" si="1015"/>
        <v>Pass</v>
      </c>
      <c r="BE611" t="str">
        <f t="shared" si="1016"/>
        <v>Pass_Completed</v>
      </c>
      <c r="BF611" t="str">
        <f t="shared" si="1017"/>
        <v>Pass-Forehand</v>
      </c>
      <c r="BG611" t="str">
        <f t="shared" si="999"/>
        <v>s</v>
      </c>
      <c r="BH611" t="e" cm="1" vm="1">
        <f t="array" aca="1" ref="BH611" ca="1">IFERROR(_xlfn._xlws.FILTER(shifts!A:A,(shifts!B:B=events!Z611)*(shifts!AG:AG&gt;=events!BJ611)*(shifts!AH:AH&lt;=events!BK611)),BH610)</f>
        <v>#VALUE!</v>
      </c>
      <c r="BI611" s="15">
        <f t="shared" si="1018"/>
        <v>0</v>
      </c>
      <c r="BJ611">
        <f t="shared" si="1019"/>
        <v>551</v>
      </c>
      <c r="BK611">
        <f t="shared" si="1020"/>
        <v>551</v>
      </c>
      <c r="BL611" s="15">
        <f>SUMIFS(BI$2:BI611,K$2:K611,"=Intermission")+SUMIFS(BI$2:BI611,K$2:K611,"=Timeout")</f>
        <v>0</v>
      </c>
      <c r="BM611">
        <f t="shared" si="1021"/>
        <v>0</v>
      </c>
      <c r="BN611" s="19">
        <f t="shared" si="1022"/>
        <v>529</v>
      </c>
      <c r="BO611">
        <f t="shared" si="1023"/>
        <v>524</v>
      </c>
      <c r="BP611" s="17">
        <f t="shared" si="1024"/>
        <v>529</v>
      </c>
      <c r="BQ611" t="str">
        <f t="shared" si="1025"/>
        <v>opp_team_player_1</v>
      </c>
      <c r="BR611">
        <f>COUNTIFS(S$3:S611,"="&amp;S611,AH$3:AH611,"="&amp;AH611)</f>
        <v>1</v>
      </c>
      <c r="BS611" t="str">
        <f>IFERROR(VLOOKUP(BA611&amp;BT611&amp;X611,game_rosters!U:W,3,FALSE),"")</f>
        <v>P100019</v>
      </c>
      <c r="BT611" t="str">
        <f t="shared" si="1026"/>
        <v>Triple J</v>
      </c>
    </row>
    <row r="612" spans="1:72" x14ac:dyDescent="0.2">
      <c r="A612">
        <f t="shared" si="1001"/>
        <v>1</v>
      </c>
      <c r="E612" s="4"/>
      <c r="F612" s="45" t="s">
        <v>1050</v>
      </c>
      <c r="G612" s="4"/>
      <c r="H612" s="47" t="s">
        <v>1047</v>
      </c>
      <c r="I612" s="26">
        <v>91</v>
      </c>
      <c r="J612" s="26" t="s">
        <v>734</v>
      </c>
      <c r="K612" t="s">
        <v>13</v>
      </c>
      <c r="N612" t="str">
        <f t="shared" si="1045"/>
        <v/>
      </c>
      <c r="O612" t="s">
        <v>149</v>
      </c>
      <c r="Q612" t="str">
        <f t="shared" si="1039"/>
        <v/>
      </c>
      <c r="R612" s="26">
        <v>1</v>
      </c>
      <c r="S612">
        <f>IF(A612=1,MAX($S$2:$S611)+1,IF(OR($I612&lt;&gt;"",A612="x"),$S611,""))</f>
        <v>306</v>
      </c>
      <c r="T612" t="str">
        <f>IF(D612=1,MAX($T$2:$T611)+1,IF(S612=S611,$T611,IF(D612="x",T611,IF(D611="x","",""))))</f>
        <v/>
      </c>
      <c r="U612" t="str">
        <f>IF(B612=1,MAX($U$2:$U611)+1,IF(AND($T612&lt;&gt;"",$T612=$T611),$U611,IF(B612="x",U611,"")))</f>
        <v/>
      </c>
      <c r="V612" t="str">
        <f>IF(C612=1,MAX($V$2:$V611)+1,IF(AND($T612&lt;&gt;"",$T612=$T611),$U611,IF(C612="x",V611,"")))</f>
        <v/>
      </c>
      <c r="W612" t="str" cm="1">
        <f t="array" ref="W612">IFERROR(_xlfn._xlws.FILTER(game_rosters!AC:AC,(game_rosters!J:J=events!X612)*(K612&lt;&gt;"")),"")</f>
        <v>a</v>
      </c>
      <c r="X612" cm="1">
        <f t="array" ref="X612">IF($I612&lt;&gt;"",$I612,INDEX($I$1:$I612,ROW()-COUNTIFS($T$1:$T612,"="&amp;$T612,$S$1:$S612,"&lt;"&amp;$S612)))</f>
        <v>91</v>
      </c>
      <c r="Y612" cm="1">
        <f t="array" ref="Y612">IFERROR(IF(_xlfn._xlws.FILTER(game_rosters!$J:$J,(game_rosters!$G:$G=events!$AM612)*(game_rosters!$J:$J=events!$X612))&gt;0,1,""),"")</f>
        <v>1</v>
      </c>
      <c r="Z612" s="6">
        <f t="shared" si="1002"/>
        <v>1</v>
      </c>
      <c r="AA612">
        <f t="shared" si="1003"/>
        <v>1306</v>
      </c>
      <c r="AB612" t="str">
        <f t="shared" si="1004"/>
        <v/>
      </c>
      <c r="AC612">
        <f t="shared" si="1005"/>
        <v>1306</v>
      </c>
      <c r="AD612" t="str">
        <f t="shared" si="1006"/>
        <v>9</v>
      </c>
      <c r="AE612" t="str">
        <f t="shared" si="1007"/>
        <v>10</v>
      </c>
      <c r="AF612" t="str">
        <f t="shared" si="1008"/>
        <v>9</v>
      </c>
      <c r="AG612" t="str">
        <f t="shared" si="1009"/>
        <v>09</v>
      </c>
      <c r="AH612" t="str">
        <f t="shared" si="1052"/>
        <v>e</v>
      </c>
      <c r="AI612" t="str">
        <f t="shared" si="1053"/>
        <v>n</v>
      </c>
      <c r="AJ612" t="str">
        <f t="shared" si="1053"/>
        <v>n</v>
      </c>
      <c r="AK612" t="str">
        <f t="shared" si="1054"/>
        <v>n</v>
      </c>
      <c r="AL612" t="str">
        <f t="shared" si="1055"/>
        <v>n</v>
      </c>
      <c r="AM612" t="str">
        <f t="shared" si="1010"/>
        <v>Away</v>
      </c>
      <c r="AN612" t="str">
        <f t="shared" si="1056"/>
        <v>a</v>
      </c>
      <c r="AO612" t="str">
        <f t="shared" si="1057"/>
        <v>n</v>
      </c>
      <c r="AP612" t="str">
        <f t="shared" si="1058"/>
        <v>n</v>
      </c>
      <c r="AQ612" t="str">
        <f>IF(AM612&lt;&gt;"",AM612,IF($AC612=#REF!,#REF!,""))</f>
        <v>Away</v>
      </c>
      <c r="AR612" t="str">
        <f t="shared" si="1059"/>
        <v>a</v>
      </c>
      <c r="AS612" t="str">
        <f t="shared" si="1060"/>
        <v>Offensive</v>
      </c>
      <c r="AT612" t="str">
        <f t="shared" si="1011"/>
        <v/>
      </c>
      <c r="AU612" t="str">
        <f t="shared" si="1012"/>
        <v/>
      </c>
      <c r="AV612" t="str" cm="1">
        <f t="array" ref="AV612">IFERROR(IF(O612&lt;&gt;"",O612,IF(OR($S612="",$T612=""),"",IF(O612&lt;&gt;"",O612,IF($T612&lt;&gt;"",_xlfn._xlws.FILTER(O:O,($BT:$BT=$BT612)*($I:$I=$I612)*($T:$T=$T612)*($S:$S=_xlfn.MINIFS($S:$S,$T:$T,"="&amp;$T612)),"")))))&amp;"",IF(O612="","",""))&amp;""</f>
        <v>Delay</v>
      </c>
      <c r="AW612" t="str" cm="1">
        <f t="array" ref="AW612">IFERROR(IF(P612&lt;&gt;"",P612,IF(OR($S612="",$T612=""),"",IF($T612&lt;&gt;"",_xlfn._xlws.FILTER(P:P,($BT:$BT=$BT612)*($I:$I=$I612)*($T:$T=$T612)*($S:$S=_xlfn.MINIFS($S:$S,$T:$T,"="&amp;$T612)),""))))&amp;"",IF(P612="","",""))&amp;""</f>
        <v/>
      </c>
      <c r="AX612" t="str" cm="1">
        <f t="array" ref="AX612">IFERROR(IF(Q612&lt;&gt;"",Q612,IF(OR($S612="",$T612=""),"",IF($T612&lt;&gt;"",_xlfn._xlws.FILTER(Q:Q,($BT:$BT=$BT612)*($I:$I=$I612)*($T:$T=$T612)*($S:$S=_xlfn.MINIFS($S:$S,$T:$T,"="&amp;$T612)),""))))&amp;"",IF(Q612="","",""))&amp;""</f>
        <v/>
      </c>
      <c r="AY612" t="str" cm="1">
        <f t="array" ref="AY612">IFERROR(IF(R612&lt;&gt;"",R612,IF(OR($S612="",$T612=""),"",IF($T612&lt;&gt;"",_xlfn._xlws.FILTER(R:R,($BT:$BT=$BT612)*($I:$I=$I612)*($T:$T=$T612)*($S:$S=_xlfn.MINIFS($S:$S,$T:$T,"="&amp;$T612)),""))))&amp;"",IF(R612="","",""))&amp;""</f>
        <v>1</v>
      </c>
      <c r="AZ612" s="6">
        <f t="shared" si="1013"/>
        <v>50</v>
      </c>
      <c r="BA612">
        <f t="shared" ref="BA612:BC612" si="1070">BA611</f>
        <v>18991</v>
      </c>
      <c r="BB612" t="str">
        <f t="shared" si="1070"/>
        <v>Triple J</v>
      </c>
      <c r="BC612" t="str">
        <f t="shared" si="1070"/>
        <v>Velodrome</v>
      </c>
      <c r="BD612" t="str">
        <f t="shared" si="1015"/>
        <v>Possession</v>
      </c>
      <c r="BE612" t="str">
        <f t="shared" si="1016"/>
        <v/>
      </c>
      <c r="BF612" t="str">
        <f t="shared" si="1017"/>
        <v/>
      </c>
      <c r="BG612" t="str">
        <f t="shared" si="999"/>
        <v/>
      </c>
      <c r="BH612" cm="1">
        <f t="array" aca="1" ref="BH612" ca="1">IFERROR(_xlfn._xlws.FILTER(shifts!A:A,(shifts!B:B=events!Z612)*(shifts!AG:AG&gt;=events!BJ612)*(shifts!AH:AH&lt;=events!BK612)),BH611)</f>
        <v>19</v>
      </c>
      <c r="BI612" s="15">
        <f t="shared" si="1018"/>
        <v>1</v>
      </c>
      <c r="BJ612">
        <f t="shared" si="1019"/>
        <v>550</v>
      </c>
      <c r="BK612">
        <f t="shared" si="1020"/>
        <v>549</v>
      </c>
      <c r="BL612" s="15">
        <f>SUMIFS(BI$2:BI612,K$2:K612,"=Intermission")+SUMIFS(BI$2:BI612,K$2:K612,"=Timeout")</f>
        <v>0</v>
      </c>
      <c r="BM612">
        <f t="shared" si="1021"/>
        <v>0</v>
      </c>
      <c r="BN612" s="19">
        <f t="shared" si="1022"/>
        <v>530</v>
      </c>
      <c r="BO612">
        <f t="shared" si="1023"/>
        <v>525</v>
      </c>
      <c r="BP612" s="17">
        <f t="shared" si="1024"/>
        <v>531</v>
      </c>
      <c r="BQ612" t="str">
        <f t="shared" si="1025"/>
        <v>event_team_player_1</v>
      </c>
      <c r="BR612">
        <f>COUNTIFS(S$3:S612,"="&amp;S612,AH$3:AH612,"="&amp;AH612)</f>
        <v>1</v>
      </c>
      <c r="BS612" t="str">
        <f>IFERROR(VLOOKUP(BA612&amp;BT612&amp;X612,game_rosters!U:W,3,FALSE),"")</f>
        <v>P100002</v>
      </c>
      <c r="BT612" t="str">
        <f t="shared" si="1026"/>
        <v>Velodrome</v>
      </c>
    </row>
    <row r="613" spans="1:72" x14ac:dyDescent="0.2">
      <c r="A613" t="str">
        <f t="shared" si="1001"/>
        <v/>
      </c>
      <c r="E613" s="4"/>
      <c r="F613" s="45"/>
      <c r="G613" s="4"/>
      <c r="H613" s="47"/>
      <c r="I613" s="26">
        <v>69</v>
      </c>
      <c r="J613" s="26" t="str">
        <f t="shared" si="1029"/>
        <v/>
      </c>
      <c r="N613" t="str">
        <f t="shared" si="1045"/>
        <v/>
      </c>
      <c r="Q613" t="str">
        <f t="shared" si="1039"/>
        <v/>
      </c>
      <c r="R613" s="26">
        <v>1</v>
      </c>
      <c r="S613">
        <f>IF(A613=1,MAX($S$2:$S612)+1,IF(OR($I613&lt;&gt;"",A613="x"),$S612,""))</f>
        <v>306</v>
      </c>
      <c r="T613" t="str">
        <f>IF(D613=1,MAX($T$2:$T612)+1,IF(S613=S612,$T612,IF(D613="x",T612,IF(D612="x","",""))))</f>
        <v/>
      </c>
      <c r="U613" t="str">
        <f>IF(B613=1,MAX($U$2:$U612)+1,IF(AND($T613&lt;&gt;"",$T613=$T612),$U612,IF(B613="x",U612,"")))</f>
        <v/>
      </c>
      <c r="V613" t="str">
        <f>IF(C613=1,MAX($V$2:$V612)+1,IF(AND($T613&lt;&gt;"",$T613=$T612),$U612,IF(C613="x",V612,"")))</f>
        <v/>
      </c>
      <c r="W613" t="str" cm="1">
        <f t="array" ref="W613">IFERROR(_xlfn._xlws.FILTER(game_rosters!AC:AC,(game_rosters!J:J=events!X613)*(K613&lt;&gt;"")),"")</f>
        <v/>
      </c>
      <c r="X613" cm="1">
        <f t="array" ref="X613">IF($I613&lt;&gt;"",$I613,INDEX($I$1:$I613,ROW()-COUNTIFS($T$1:$T613,"="&amp;$T613,$S$1:$S613,"&lt;"&amp;$S613)))</f>
        <v>69</v>
      </c>
      <c r="Y613" t="str" cm="1">
        <f t="array" ref="Y613">IFERROR(IF(_xlfn._xlws.FILTER(game_rosters!$J:$J,(game_rosters!$G:$G=events!$AM613)*(game_rosters!$J:$J=events!$X613))&gt;0,1,""),"")</f>
        <v/>
      </c>
      <c r="Z613" s="6">
        <f t="shared" si="1002"/>
        <v>1</v>
      </c>
      <c r="AA613">
        <f t="shared" si="1003"/>
        <v>1306</v>
      </c>
      <c r="AB613" t="str">
        <f t="shared" si="1004"/>
        <v/>
      </c>
      <c r="AC613">
        <f t="shared" si="1005"/>
        <v>1306</v>
      </c>
      <c r="AD613" t="str">
        <f t="shared" si="1006"/>
        <v>9</v>
      </c>
      <c r="AE613" t="str">
        <f t="shared" si="1007"/>
        <v>10</v>
      </c>
      <c r="AF613" t="str">
        <f t="shared" si="1008"/>
        <v>9</v>
      </c>
      <c r="AG613" t="str">
        <f t="shared" si="1009"/>
        <v>09</v>
      </c>
      <c r="AH613" t="str">
        <f t="shared" si="1052"/>
        <v>o</v>
      </c>
      <c r="AI613" t="str">
        <f t="shared" si="1053"/>
        <v>n</v>
      </c>
      <c r="AJ613" t="str">
        <f t="shared" si="1053"/>
        <v>n</v>
      </c>
      <c r="AK613" t="str">
        <f t="shared" si="1054"/>
        <v/>
      </c>
      <c r="AL613" t="str">
        <f t="shared" si="1055"/>
        <v/>
      </c>
      <c r="AM613" t="str">
        <f t="shared" si="1010"/>
        <v>Away</v>
      </c>
      <c r="AN613" t="str">
        <f t="shared" si="1056"/>
        <v>a</v>
      </c>
      <c r="AO613" t="str">
        <f t="shared" si="1057"/>
        <v>n</v>
      </c>
      <c r="AP613" t="str">
        <f t="shared" si="1058"/>
        <v>n</v>
      </c>
      <c r="AQ613" t="str">
        <f>IF(AM613&lt;&gt;"",AM613,IF($AC613=#REF!,#REF!,""))</f>
        <v>Away</v>
      </c>
      <c r="AR613" t="str">
        <f t="shared" si="1059"/>
        <v>a</v>
      </c>
      <c r="AS613" t="str">
        <f t="shared" si="1060"/>
        <v>Defensive</v>
      </c>
      <c r="AT613" t="str">
        <f t="shared" si="1011"/>
        <v/>
      </c>
      <c r="AU613" t="str">
        <f t="shared" si="1012"/>
        <v/>
      </c>
      <c r="AV613" t="str" cm="1">
        <f t="array" ref="AV613">IFERROR(IF(O613&lt;&gt;"",O613,IF(OR($S613="",$T613=""),"",IF(O613&lt;&gt;"",O613,IF($T613&lt;&gt;"",_xlfn._xlws.FILTER(O:O,($BT:$BT=$BT613)*($I:$I=$I613)*($T:$T=$T613)*($S:$S=_xlfn.MINIFS($S:$S,$T:$T,"="&amp;$T613)),"")))))&amp;"",IF(O613="","",""))&amp;""</f>
        <v/>
      </c>
      <c r="AW613" t="str" cm="1">
        <f t="array" ref="AW613">IFERROR(IF(P613&lt;&gt;"",P613,IF(OR($S613="",$T613=""),"",IF($T613&lt;&gt;"",_xlfn._xlws.FILTER(P:P,($BT:$BT=$BT613)*($I:$I=$I613)*($T:$T=$T613)*($S:$S=_xlfn.MINIFS($S:$S,$T:$T,"="&amp;$T613)),""))))&amp;"",IF(P613="","",""))&amp;""</f>
        <v/>
      </c>
      <c r="AX613" t="str" cm="1">
        <f t="array" ref="AX613">IFERROR(IF(Q613&lt;&gt;"",Q613,IF(OR($S613="",$T613=""),"",IF($T613&lt;&gt;"",_xlfn._xlws.FILTER(Q:Q,($BT:$BT=$BT613)*($I:$I=$I613)*($T:$T=$T613)*($S:$S=_xlfn.MINIFS($S:$S,$T:$T,"="&amp;$T613)),""))))&amp;"",IF(Q613="","",""))&amp;""</f>
        <v/>
      </c>
      <c r="AY613" t="str" cm="1">
        <f t="array" ref="AY613">IFERROR(IF(R613&lt;&gt;"",R613,IF(OR($S613="",$T613=""),"",IF($T613&lt;&gt;"",_xlfn._xlws.FILTER(R:R,($BT:$BT=$BT613)*($I:$I=$I613)*($T:$T=$T613)*($S:$S=_xlfn.MINIFS($S:$S,$T:$T,"="&amp;$T613)),""))))&amp;"",IF(R613="","",""))&amp;""</f>
        <v>1</v>
      </c>
      <c r="AZ613" s="6">
        <f t="shared" si="1013"/>
        <v>50</v>
      </c>
      <c r="BA613">
        <f t="shared" ref="BA613:BC613" si="1071">BA612</f>
        <v>18991</v>
      </c>
      <c r="BB613" t="str">
        <f t="shared" si="1071"/>
        <v>Triple J</v>
      </c>
      <c r="BC613" t="str">
        <f t="shared" si="1071"/>
        <v>Velodrome</v>
      </c>
      <c r="BD613" t="str">
        <f t="shared" si="1015"/>
        <v>Possession</v>
      </c>
      <c r="BE613" t="str">
        <f t="shared" si="1016"/>
        <v/>
      </c>
      <c r="BF613" t="str">
        <f t="shared" si="1017"/>
        <v/>
      </c>
      <c r="BG613" t="str">
        <f t="shared" si="999"/>
        <v/>
      </c>
      <c r="BH613" cm="1">
        <f t="array" aca="1" ref="BH613" ca="1">IFERROR(_xlfn._xlws.FILTER(shifts!A:A,(shifts!B:B=events!Z613)*(shifts!AG:AG&gt;=events!BJ613)*(shifts!AH:AH&lt;=events!BK613)),BH612)</f>
        <v>19</v>
      </c>
      <c r="BI613" s="15">
        <f t="shared" si="1018"/>
        <v>1</v>
      </c>
      <c r="BJ613">
        <f t="shared" si="1019"/>
        <v>550</v>
      </c>
      <c r="BK613">
        <f t="shared" si="1020"/>
        <v>549</v>
      </c>
      <c r="BL613" s="15">
        <f>SUMIFS(BI$2:BI613,K$2:K613,"=Intermission")+SUMIFS(BI$2:BI613,K$2:K613,"=Timeout")</f>
        <v>0</v>
      </c>
      <c r="BM613">
        <f t="shared" si="1021"/>
        <v>0</v>
      </c>
      <c r="BN613" s="19">
        <f t="shared" si="1022"/>
        <v>530</v>
      </c>
      <c r="BO613">
        <f t="shared" si="1023"/>
        <v>525</v>
      </c>
      <c r="BP613" s="17">
        <f t="shared" si="1024"/>
        <v>531</v>
      </c>
      <c r="BQ613" t="str">
        <f t="shared" si="1025"/>
        <v>opp_team_player_1</v>
      </c>
      <c r="BR613">
        <f>COUNTIFS(S$3:S613,"="&amp;S613,AH$3:AH613,"="&amp;AH613)</f>
        <v>1</v>
      </c>
      <c r="BS613" t="str">
        <f>IFERROR(VLOOKUP(BA613&amp;BT613&amp;X613,game_rosters!U:W,3,FALSE),"")</f>
        <v>P100014</v>
      </c>
      <c r="BT613" t="str">
        <f t="shared" si="1026"/>
        <v>Triple J</v>
      </c>
    </row>
    <row r="614" spans="1:72" x14ac:dyDescent="0.2">
      <c r="A614">
        <f t="shared" si="1001"/>
        <v>1</v>
      </c>
      <c r="E614" s="4"/>
      <c r="F614" s="45"/>
      <c r="G614" s="4"/>
      <c r="H614" s="47"/>
      <c r="I614" s="26">
        <v>91</v>
      </c>
      <c r="J614" s="26" t="s">
        <v>734</v>
      </c>
      <c r="K614" t="s">
        <v>7</v>
      </c>
      <c r="L614" t="s">
        <v>172</v>
      </c>
      <c r="M614" t="s">
        <v>67</v>
      </c>
      <c r="N614" t="str">
        <f t="shared" si="1045"/>
        <v>s</v>
      </c>
      <c r="Q614" t="str">
        <f t="shared" si="1039"/>
        <v/>
      </c>
      <c r="R614" s="26">
        <v>1</v>
      </c>
      <c r="S614">
        <f>IF(A614=1,MAX($S$2:$S613)+1,IF(OR($I614&lt;&gt;"",A614="x"),$S613,""))</f>
        <v>307</v>
      </c>
      <c r="T614" t="str">
        <f>IF(D614=1,MAX($T$2:$T613)+1,IF(S614=S613,$T613,IF(D614="x",T613,IF(D613="x","",""))))</f>
        <v/>
      </c>
      <c r="U614" t="str">
        <f>IF(B614=1,MAX($U$2:$U613)+1,IF(AND($T614&lt;&gt;"",$T614=$T613),$U613,IF(B614="x",U613,"")))</f>
        <v/>
      </c>
      <c r="V614" t="str">
        <f>IF(C614=1,MAX($V$2:$V613)+1,IF(AND($T614&lt;&gt;"",$T614=$T613),$U613,IF(C614="x",V613,"")))</f>
        <v/>
      </c>
      <c r="W614" t="str" cm="1">
        <f t="array" ref="W614">IFERROR(_xlfn._xlws.FILTER(game_rosters!AC:AC,(game_rosters!J:J=events!X614)*(K614&lt;&gt;"")),"")</f>
        <v>a</v>
      </c>
      <c r="X614" cm="1">
        <f t="array" ref="X614">IF($I614&lt;&gt;"",$I614,INDEX($I$1:$I614,ROW()-COUNTIFS($T$1:$T614,"="&amp;$T614,$S$1:$S614,"&lt;"&amp;$S614)))</f>
        <v>91</v>
      </c>
      <c r="Y614" cm="1">
        <f t="array" ref="Y614">IFERROR(IF(_xlfn._xlws.FILTER(game_rosters!$J:$J,(game_rosters!$G:$G=events!$AM614)*(game_rosters!$J:$J=events!$X614))&gt;0,1,""),"")</f>
        <v>1</v>
      </c>
      <c r="Z614" s="6">
        <f t="shared" si="1002"/>
        <v>1</v>
      </c>
      <c r="AA614">
        <f t="shared" si="1003"/>
        <v>1307</v>
      </c>
      <c r="AB614" t="str">
        <f t="shared" si="1004"/>
        <v/>
      </c>
      <c r="AC614">
        <f t="shared" si="1005"/>
        <v>1307</v>
      </c>
      <c r="AD614" t="str">
        <f t="shared" si="1006"/>
        <v>9</v>
      </c>
      <c r="AE614" t="str">
        <f t="shared" si="1007"/>
        <v>09</v>
      </c>
      <c r="AF614" t="str">
        <f t="shared" si="1008"/>
        <v/>
      </c>
      <c r="AG614" t="str">
        <f t="shared" si="1009"/>
        <v/>
      </c>
      <c r="AH614" t="str">
        <f t="shared" si="1052"/>
        <v>e</v>
      </c>
      <c r="AI614" t="str">
        <f t="shared" si="1053"/>
        <v>n</v>
      </c>
      <c r="AJ614" t="str">
        <f t="shared" si="1053"/>
        <v>n</v>
      </c>
      <c r="AK614" t="str">
        <f t="shared" si="1054"/>
        <v>n</v>
      </c>
      <c r="AL614" t="str">
        <f t="shared" si="1055"/>
        <v>n</v>
      </c>
      <c r="AM614" t="str">
        <f t="shared" si="1010"/>
        <v>Away</v>
      </c>
      <c r="AN614" t="str">
        <f t="shared" si="1056"/>
        <v>a</v>
      </c>
      <c r="AO614" t="str">
        <f t="shared" si="1057"/>
        <v>n</v>
      </c>
      <c r="AP614" t="str">
        <f t="shared" si="1058"/>
        <v>n</v>
      </c>
      <c r="AQ614" t="str">
        <f>IF(AM614&lt;&gt;"",AM614,IF($AC614=#REF!,#REF!,""))</f>
        <v>Away</v>
      </c>
      <c r="AR614" t="str">
        <f t="shared" si="1059"/>
        <v>a</v>
      </c>
      <c r="AS614" t="str">
        <f t="shared" si="1060"/>
        <v>Offensive</v>
      </c>
      <c r="AT614" t="str">
        <f t="shared" si="1011"/>
        <v/>
      </c>
      <c r="AU614" t="str">
        <f t="shared" si="1012"/>
        <v/>
      </c>
      <c r="AV614" t="str" cm="1">
        <f t="array" ref="AV614">IFERROR(IF(O614&lt;&gt;"",O614,IF(OR($S614="",$T614=""),"",IF(O614&lt;&gt;"",O614,IF($T614&lt;&gt;"",_xlfn._xlws.FILTER(O:O,($BT:$BT=$BT614)*($I:$I=$I614)*($T:$T=$T614)*($S:$S=_xlfn.MINIFS($S:$S,$T:$T,"="&amp;$T614)),"")))))&amp;"",IF(O614="","",""))&amp;""</f>
        <v/>
      </c>
      <c r="AW614" t="str" cm="1">
        <f t="array" ref="AW614">IFERROR(IF(P614&lt;&gt;"",P614,IF(OR($S614="",$T614=""),"",IF($T614&lt;&gt;"",_xlfn._xlws.FILTER(P:P,($BT:$BT=$BT614)*($I:$I=$I614)*($T:$T=$T614)*($S:$S=_xlfn.MINIFS($S:$S,$T:$T,"="&amp;$T614)),""))))&amp;"",IF(P614="","",""))&amp;""</f>
        <v/>
      </c>
      <c r="AX614" t="str" cm="1">
        <f t="array" ref="AX614">IFERROR(IF(Q614&lt;&gt;"",Q614,IF(OR($S614="",$T614=""),"",IF($T614&lt;&gt;"",_xlfn._xlws.FILTER(Q:Q,($BT:$BT=$BT614)*($I:$I=$I614)*($T:$T=$T614)*($S:$S=_xlfn.MINIFS($S:$S,$T:$T,"="&amp;$T614)),""))))&amp;"",IF(Q614="","",""))&amp;""</f>
        <v/>
      </c>
      <c r="AY614" t="str" cm="1">
        <f t="array" ref="AY614">IFERROR(IF(R614&lt;&gt;"",R614,IF(OR($S614="",$T614=""),"",IF($T614&lt;&gt;"",_xlfn._xlws.FILTER(R:R,($BT:$BT=$BT614)*($I:$I=$I614)*($T:$T=$T614)*($S:$S=_xlfn.MINIFS($S:$S,$T:$T,"="&amp;$T614)),""))))&amp;"",IF(R614="","",""))&amp;""</f>
        <v>1</v>
      </c>
      <c r="AZ614" s="6">
        <f t="shared" si="1013"/>
        <v>50</v>
      </c>
      <c r="BA614">
        <f t="shared" ref="BA614:BC614" si="1072">BA613</f>
        <v>18991</v>
      </c>
      <c r="BB614" t="str">
        <f t="shared" si="1072"/>
        <v>Triple J</v>
      </c>
      <c r="BC614" t="str">
        <f t="shared" si="1072"/>
        <v>Velodrome</v>
      </c>
      <c r="BD614" t="str">
        <f t="shared" si="1015"/>
        <v>Pass</v>
      </c>
      <c r="BE614" t="str">
        <f t="shared" si="1016"/>
        <v>Pass_Completed</v>
      </c>
      <c r="BF614" t="str">
        <f t="shared" si="1017"/>
        <v>Pass-Backhand</v>
      </c>
      <c r="BG614" t="str">
        <f t="shared" si="999"/>
        <v>s</v>
      </c>
      <c r="BH614" cm="1">
        <f t="array" aca="1" ref="BH614" ca="1">IFERROR(_xlfn._xlws.FILTER(shifts!A:A,(shifts!B:B=events!Z614)*(shifts!AG:AG&gt;=events!BJ614)*(shifts!AH:AH&lt;=events!BK614)),BH613)</f>
        <v>19</v>
      </c>
      <c r="BI614" s="15">
        <f t="shared" si="1018"/>
        <v>0</v>
      </c>
      <c r="BJ614">
        <f t="shared" si="1019"/>
        <v>549</v>
      </c>
      <c r="BK614">
        <f t="shared" si="1020"/>
        <v>549</v>
      </c>
      <c r="BL614" s="15">
        <f>SUMIFS(BI$2:BI614,K$2:K614,"=Intermission")+SUMIFS(BI$2:BI614,K$2:K614,"=Timeout")</f>
        <v>0</v>
      </c>
      <c r="BM614">
        <f t="shared" si="1021"/>
        <v>0</v>
      </c>
      <c r="BN614" s="19">
        <f t="shared" si="1022"/>
        <v>531</v>
      </c>
      <c r="BO614">
        <f t="shared" si="1023"/>
        <v>526</v>
      </c>
      <c r="BP614" s="17">
        <f t="shared" si="1024"/>
        <v>531</v>
      </c>
      <c r="BQ614" t="str">
        <f t="shared" si="1025"/>
        <v>event_team_player_1</v>
      </c>
      <c r="BR614">
        <f>COUNTIFS(S$3:S614,"="&amp;S614,AH$3:AH614,"="&amp;AH614)</f>
        <v>1</v>
      </c>
      <c r="BS614" t="str">
        <f>IFERROR(VLOOKUP(BA614&amp;BT614&amp;X614,game_rosters!U:W,3,FALSE),"")</f>
        <v>P100002</v>
      </c>
      <c r="BT614" t="str">
        <f t="shared" si="1026"/>
        <v>Velodrome</v>
      </c>
    </row>
    <row r="615" spans="1:72" x14ac:dyDescent="0.2">
      <c r="A615" t="str">
        <f t="shared" si="1001"/>
        <v/>
      </c>
      <c r="E615" s="4"/>
      <c r="F615" s="45"/>
      <c r="G615" s="4"/>
      <c r="H615" s="47"/>
      <c r="I615" s="26">
        <v>70</v>
      </c>
      <c r="J615" s="26" t="str">
        <f t="shared" si="1029"/>
        <v/>
      </c>
      <c r="N615" t="str">
        <f t="shared" si="1045"/>
        <v/>
      </c>
      <c r="Q615" t="str">
        <f t="shared" si="1039"/>
        <v/>
      </c>
      <c r="S615">
        <f>IF(A615=1,MAX($S$2:$S614)+1,IF(OR($I615&lt;&gt;"",A615="x"),$S614,""))</f>
        <v>307</v>
      </c>
      <c r="T615" t="str">
        <f>IF(D615=1,MAX($T$2:$T614)+1,IF(S615=S614,$T614,IF(D615="x",T614,IF(D614="x","",""))))</f>
        <v/>
      </c>
      <c r="U615" t="str">
        <f>IF(B615=1,MAX($U$2:$U614)+1,IF(AND($T615&lt;&gt;"",$T615=$T614),$U614,IF(B615="x",U614,"")))</f>
        <v/>
      </c>
      <c r="V615" t="str">
        <f>IF(C615=1,MAX($V$2:$V614)+1,IF(AND($T615&lt;&gt;"",$T615=$T614),$U614,IF(C615="x",V614,"")))</f>
        <v/>
      </c>
      <c r="W615" t="str" cm="1">
        <f t="array" ref="W615">IFERROR(_xlfn._xlws.FILTER(game_rosters!AC:AC,(game_rosters!J:J=events!X615)*(K615&lt;&gt;"")),"")</f>
        <v/>
      </c>
      <c r="X615" cm="1">
        <f t="array" ref="X615">IF($I615&lt;&gt;"",$I615,INDEX($I$1:$I615,ROW()-COUNTIFS($T$1:$T615,"="&amp;$T615,$S$1:$S615,"&lt;"&amp;$S615)))</f>
        <v>70</v>
      </c>
      <c r="Y615" cm="1">
        <f t="array" ref="Y615">IFERROR(IF(_xlfn._xlws.FILTER(game_rosters!$J:$J,(game_rosters!$G:$G=events!$AM615)*(game_rosters!$J:$J=events!$X615))&gt;0,1,""),"")</f>
        <v>1</v>
      </c>
      <c r="Z615" s="6">
        <f t="shared" si="1002"/>
        <v>1</v>
      </c>
      <c r="AA615">
        <f t="shared" si="1003"/>
        <v>1307</v>
      </c>
      <c r="AB615" t="str">
        <f t="shared" si="1004"/>
        <v/>
      </c>
      <c r="AC615">
        <f t="shared" si="1005"/>
        <v>1307</v>
      </c>
      <c r="AD615" t="str">
        <f t="shared" si="1006"/>
        <v>9</v>
      </c>
      <c r="AE615" t="str">
        <f t="shared" si="1007"/>
        <v>09</v>
      </c>
      <c r="AF615" t="str">
        <f t="shared" si="1008"/>
        <v/>
      </c>
      <c r="AG615" t="str">
        <f t="shared" si="1009"/>
        <v/>
      </c>
      <c r="AH615" t="str">
        <f t="shared" si="1052"/>
        <v>e</v>
      </c>
      <c r="AI615" t="str">
        <f t="shared" si="1053"/>
        <v>n</v>
      </c>
      <c r="AJ615" t="str">
        <f t="shared" si="1053"/>
        <v>n</v>
      </c>
      <c r="AK615" t="str">
        <f t="shared" si="1054"/>
        <v/>
      </c>
      <c r="AL615" t="str">
        <f t="shared" si="1055"/>
        <v/>
      </c>
      <c r="AM615" t="str">
        <f t="shared" si="1010"/>
        <v>Away</v>
      </c>
      <c r="AN615" t="str">
        <f t="shared" si="1056"/>
        <v>a</v>
      </c>
      <c r="AO615" t="str">
        <f t="shared" si="1057"/>
        <v>n</v>
      </c>
      <c r="AP615" t="str">
        <f t="shared" si="1058"/>
        <v>n</v>
      </c>
      <c r="AQ615" t="str">
        <f>IF(AM615&lt;&gt;"",AM615,IF($AC615=#REF!,#REF!,""))</f>
        <v>Away</v>
      </c>
      <c r="AR615" t="str">
        <f t="shared" si="1059"/>
        <v>a</v>
      </c>
      <c r="AS615" t="str">
        <f t="shared" si="1060"/>
        <v>Offensive</v>
      </c>
      <c r="AT615" t="str">
        <f t="shared" si="1011"/>
        <v/>
      </c>
      <c r="AU615" t="str">
        <f t="shared" si="1012"/>
        <v/>
      </c>
      <c r="AV615" t="str" cm="1">
        <f t="array" ref="AV615">IFERROR(IF(O615&lt;&gt;"",O615,IF(OR($S615="",$T615=""),"",IF(O615&lt;&gt;"",O615,IF($T615&lt;&gt;"",_xlfn._xlws.FILTER(O:O,($BT:$BT=$BT615)*($I:$I=$I615)*($T:$T=$T615)*($S:$S=_xlfn.MINIFS($S:$S,$T:$T,"="&amp;$T615)),"")))))&amp;"",IF(O615="","",""))&amp;""</f>
        <v/>
      </c>
      <c r="AW615" t="str" cm="1">
        <f t="array" ref="AW615">IFERROR(IF(P615&lt;&gt;"",P615,IF(OR($S615="",$T615=""),"",IF($T615&lt;&gt;"",_xlfn._xlws.FILTER(P:P,($BT:$BT=$BT615)*($I:$I=$I615)*($T:$T=$T615)*($S:$S=_xlfn.MINIFS($S:$S,$T:$T,"="&amp;$T615)),""))))&amp;"",IF(P615="","",""))&amp;""</f>
        <v/>
      </c>
      <c r="AX615" t="str" cm="1">
        <f t="array" ref="AX615">IFERROR(IF(Q615&lt;&gt;"",Q615,IF(OR($S615="",$T615=""),"",IF($T615&lt;&gt;"",_xlfn._xlws.FILTER(Q:Q,($BT:$BT=$BT615)*($I:$I=$I615)*($T:$T=$T615)*($S:$S=_xlfn.MINIFS($S:$S,$T:$T,"="&amp;$T615)),""))))&amp;"",IF(Q615="","",""))&amp;""</f>
        <v/>
      </c>
      <c r="AY615" t="str" cm="1">
        <f t="array" ref="AY615">IFERROR(IF(R615&lt;&gt;"",R615,IF(OR($S615="",$T615=""),"",IF($T615&lt;&gt;"",_xlfn._xlws.FILTER(R:R,($BT:$BT=$BT615)*($I:$I=$I615)*($T:$T=$T615)*($S:$S=_xlfn.MINIFS($S:$S,$T:$T,"="&amp;$T615)),""))))&amp;"",IF(R615="","",""))&amp;""</f>
        <v/>
      </c>
      <c r="AZ615" s="6">
        <f t="shared" si="1013"/>
        <v>50</v>
      </c>
      <c r="BA615">
        <f t="shared" ref="BA615:BC615" si="1073">BA614</f>
        <v>18991</v>
      </c>
      <c r="BB615" t="str">
        <f t="shared" si="1073"/>
        <v>Triple J</v>
      </c>
      <c r="BC615" t="str">
        <f t="shared" si="1073"/>
        <v>Velodrome</v>
      </c>
      <c r="BD615" t="str">
        <f t="shared" si="1015"/>
        <v>Pass</v>
      </c>
      <c r="BE615" t="str">
        <f t="shared" si="1016"/>
        <v>Pass_Completed</v>
      </c>
      <c r="BF615" t="str">
        <f t="shared" si="1017"/>
        <v>Pass-Backhand</v>
      </c>
      <c r="BG615" t="str">
        <f t="shared" si="999"/>
        <v>s</v>
      </c>
      <c r="BH615" cm="1">
        <f t="array" aca="1" ref="BH615" ca="1">IFERROR(_xlfn._xlws.FILTER(shifts!A:A,(shifts!B:B=events!Z615)*(shifts!AG:AG&gt;=events!BJ615)*(shifts!AH:AH&lt;=events!BK615)),BH614)</f>
        <v>19</v>
      </c>
      <c r="BI615" s="15">
        <f t="shared" si="1018"/>
        <v>0</v>
      </c>
      <c r="BJ615">
        <f t="shared" si="1019"/>
        <v>549</v>
      </c>
      <c r="BK615">
        <f t="shared" si="1020"/>
        <v>549</v>
      </c>
      <c r="BL615" s="15">
        <f>SUMIFS(BI$2:BI615,K$2:K615,"=Intermission")+SUMIFS(BI$2:BI615,K$2:K615,"=Timeout")</f>
        <v>0</v>
      </c>
      <c r="BM615">
        <f t="shared" si="1021"/>
        <v>0</v>
      </c>
      <c r="BN615" s="19">
        <f t="shared" si="1022"/>
        <v>531</v>
      </c>
      <c r="BO615">
        <f t="shared" si="1023"/>
        <v>526</v>
      </c>
      <c r="BP615" s="17">
        <f t="shared" si="1024"/>
        <v>531</v>
      </c>
      <c r="BQ615" t="str">
        <f t="shared" si="1025"/>
        <v>event_team_player_2</v>
      </c>
      <c r="BR615">
        <f>COUNTIFS(S$3:S615,"="&amp;S615,AH$3:AH615,"="&amp;AH615)</f>
        <v>2</v>
      </c>
      <c r="BS615" t="str">
        <f>IFERROR(VLOOKUP(BA615&amp;BT615&amp;X615,game_rosters!U:W,3,FALSE),"")</f>
        <v>P100001</v>
      </c>
      <c r="BT615" t="str">
        <f t="shared" si="1026"/>
        <v>Velodrome</v>
      </c>
    </row>
    <row r="616" spans="1:72" x14ac:dyDescent="0.2">
      <c r="A616" t="str">
        <f t="shared" si="1001"/>
        <v/>
      </c>
      <c r="E616" s="4"/>
      <c r="F616" s="45"/>
      <c r="G616" s="4"/>
      <c r="H616" s="47"/>
      <c r="I616" s="26">
        <v>69</v>
      </c>
      <c r="J616" s="26" t="str">
        <f t="shared" si="1029"/>
        <v/>
      </c>
      <c r="N616" t="str">
        <f t="shared" si="1045"/>
        <v/>
      </c>
      <c r="Q616" t="str">
        <f t="shared" si="1039"/>
        <v/>
      </c>
      <c r="R616" s="26">
        <v>1</v>
      </c>
      <c r="S616">
        <f>IF(A616=1,MAX($S$2:$S615)+1,IF(OR($I616&lt;&gt;"",A616="x"),$S615,""))</f>
        <v>307</v>
      </c>
      <c r="T616" t="str">
        <f>IF(D616=1,MAX($T$2:$T615)+1,IF(S616=S615,$T615,IF(D616="x",T615,IF(D615="x","",""))))</f>
        <v/>
      </c>
      <c r="U616" t="str">
        <f>IF(B616=1,MAX($U$2:$U615)+1,IF(AND($T616&lt;&gt;"",$T616=$T615),$U615,IF(B616="x",U615,"")))</f>
        <v/>
      </c>
      <c r="V616" t="str">
        <f>IF(C616=1,MAX($V$2:$V615)+1,IF(AND($T616&lt;&gt;"",$T616=$T615),$U615,IF(C616="x",V615,"")))</f>
        <v/>
      </c>
      <c r="W616" t="str" cm="1">
        <f t="array" ref="W616">IFERROR(_xlfn._xlws.FILTER(game_rosters!AC:AC,(game_rosters!J:J=events!X616)*(K616&lt;&gt;"")),"")</f>
        <v/>
      </c>
      <c r="X616" cm="1">
        <f t="array" ref="X616">IF($I616&lt;&gt;"",$I616,INDEX($I$1:$I616,ROW()-COUNTIFS($T$1:$T616,"="&amp;$T616,$S$1:$S616,"&lt;"&amp;$S616)))</f>
        <v>69</v>
      </c>
      <c r="Y616" t="str" cm="1">
        <f t="array" ref="Y616">IFERROR(IF(_xlfn._xlws.FILTER(game_rosters!$J:$J,(game_rosters!$G:$G=events!$AM616)*(game_rosters!$J:$J=events!$X616))&gt;0,1,""),"")</f>
        <v/>
      </c>
      <c r="Z616" s="6">
        <f t="shared" si="1002"/>
        <v>1</v>
      </c>
      <c r="AA616">
        <f t="shared" si="1003"/>
        <v>1307</v>
      </c>
      <c r="AB616" t="str">
        <f t="shared" si="1004"/>
        <v/>
      </c>
      <c r="AC616">
        <f t="shared" si="1005"/>
        <v>1307</v>
      </c>
      <c r="AD616" t="str">
        <f t="shared" si="1006"/>
        <v>9</v>
      </c>
      <c r="AE616" t="str">
        <f t="shared" si="1007"/>
        <v>09</v>
      </c>
      <c r="AF616" t="str">
        <f t="shared" si="1008"/>
        <v/>
      </c>
      <c r="AG616" t="str">
        <f t="shared" si="1009"/>
        <v/>
      </c>
      <c r="AH616" t="str">
        <f t="shared" si="1052"/>
        <v>o</v>
      </c>
      <c r="AI616" t="str">
        <f t="shared" si="1053"/>
        <v>n</v>
      </c>
      <c r="AJ616" t="str">
        <f t="shared" si="1053"/>
        <v>n</v>
      </c>
      <c r="AK616" t="str">
        <f t="shared" si="1054"/>
        <v/>
      </c>
      <c r="AL616" t="str">
        <f t="shared" si="1055"/>
        <v/>
      </c>
      <c r="AM616" t="str">
        <f t="shared" si="1010"/>
        <v>Away</v>
      </c>
      <c r="AN616" t="str">
        <f t="shared" si="1056"/>
        <v>a</v>
      </c>
      <c r="AO616" t="str">
        <f t="shared" si="1057"/>
        <v>n</v>
      </c>
      <c r="AP616" t="str">
        <f t="shared" si="1058"/>
        <v>n</v>
      </c>
      <c r="AQ616" t="str">
        <f>IF(AM616&lt;&gt;"",AM616,IF($AC616=#REF!,#REF!,""))</f>
        <v>Away</v>
      </c>
      <c r="AR616" t="str">
        <f t="shared" si="1059"/>
        <v>a</v>
      </c>
      <c r="AS616" t="str">
        <f t="shared" si="1060"/>
        <v>Defensive</v>
      </c>
      <c r="AT616" t="str">
        <f t="shared" si="1011"/>
        <v/>
      </c>
      <c r="AU616" t="str">
        <f t="shared" si="1012"/>
        <v/>
      </c>
      <c r="AV616" t="str" cm="1">
        <f t="array" ref="AV616">IFERROR(IF(O616&lt;&gt;"",O616,IF(OR($S616="",$T616=""),"",IF(O616&lt;&gt;"",O616,IF($T616&lt;&gt;"",_xlfn._xlws.FILTER(O:O,($BT:$BT=$BT616)*($I:$I=$I616)*($T:$T=$T616)*($S:$S=_xlfn.MINIFS($S:$S,$T:$T,"="&amp;$T616)),"")))))&amp;"",IF(O616="","",""))&amp;""</f>
        <v/>
      </c>
      <c r="AW616" t="str" cm="1">
        <f t="array" ref="AW616">IFERROR(IF(P616&lt;&gt;"",P616,IF(OR($S616="",$T616=""),"",IF($T616&lt;&gt;"",_xlfn._xlws.FILTER(P:P,($BT:$BT=$BT616)*($I:$I=$I616)*($T:$T=$T616)*($S:$S=_xlfn.MINIFS($S:$S,$T:$T,"="&amp;$T616)),""))))&amp;"",IF(P616="","",""))&amp;""</f>
        <v/>
      </c>
      <c r="AX616" t="str" cm="1">
        <f t="array" ref="AX616">IFERROR(IF(Q616&lt;&gt;"",Q616,IF(OR($S616="",$T616=""),"",IF($T616&lt;&gt;"",_xlfn._xlws.FILTER(Q:Q,($BT:$BT=$BT616)*($I:$I=$I616)*($T:$T=$T616)*($S:$S=_xlfn.MINIFS($S:$S,$T:$T,"="&amp;$T616)),""))))&amp;"",IF(Q616="","",""))&amp;""</f>
        <v/>
      </c>
      <c r="AY616" t="str" cm="1">
        <f t="array" ref="AY616">IFERROR(IF(R616&lt;&gt;"",R616,IF(OR($S616="",$T616=""),"",IF($T616&lt;&gt;"",_xlfn._xlws.FILTER(R:R,($BT:$BT=$BT616)*($I:$I=$I616)*($T:$T=$T616)*($S:$S=_xlfn.MINIFS($S:$S,$T:$T,"="&amp;$T616)),""))))&amp;"",IF(R616="","",""))&amp;""</f>
        <v>1</v>
      </c>
      <c r="AZ616" s="6">
        <f t="shared" si="1013"/>
        <v>50</v>
      </c>
      <c r="BA616">
        <f t="shared" ref="BA616:BC616" si="1074">BA615</f>
        <v>18991</v>
      </c>
      <c r="BB616" t="str">
        <f t="shared" si="1074"/>
        <v>Triple J</v>
      </c>
      <c r="BC616" t="str">
        <f t="shared" si="1074"/>
        <v>Velodrome</v>
      </c>
      <c r="BD616" t="str">
        <f t="shared" si="1015"/>
        <v>Pass</v>
      </c>
      <c r="BE616" t="str">
        <f t="shared" si="1016"/>
        <v>Pass_Completed</v>
      </c>
      <c r="BF616" t="str">
        <f t="shared" si="1017"/>
        <v>Pass-Backhand</v>
      </c>
      <c r="BG616" t="str">
        <f t="shared" si="999"/>
        <v>s</v>
      </c>
      <c r="BH616" cm="1">
        <f t="array" aca="1" ref="BH616" ca="1">IFERROR(_xlfn._xlws.FILTER(shifts!A:A,(shifts!B:B=events!Z616)*(shifts!AG:AG&gt;=events!BJ616)*(shifts!AH:AH&lt;=events!BK616)),BH615)</f>
        <v>19</v>
      </c>
      <c r="BI616" s="15">
        <f t="shared" si="1018"/>
        <v>0</v>
      </c>
      <c r="BJ616">
        <f t="shared" si="1019"/>
        <v>549</v>
      </c>
      <c r="BK616">
        <f t="shared" si="1020"/>
        <v>549</v>
      </c>
      <c r="BL616" s="15">
        <f>SUMIFS(BI$2:BI616,K$2:K616,"=Intermission")+SUMIFS(BI$2:BI616,K$2:K616,"=Timeout")</f>
        <v>0</v>
      </c>
      <c r="BM616">
        <f t="shared" si="1021"/>
        <v>0</v>
      </c>
      <c r="BN616" s="19">
        <f t="shared" si="1022"/>
        <v>531</v>
      </c>
      <c r="BO616">
        <f t="shared" si="1023"/>
        <v>526</v>
      </c>
      <c r="BP616" s="17">
        <f t="shared" si="1024"/>
        <v>531</v>
      </c>
      <c r="BQ616" t="str">
        <f t="shared" si="1025"/>
        <v>opp_team_player_1</v>
      </c>
      <c r="BR616">
        <f>COUNTIFS(S$3:S616,"="&amp;S616,AH$3:AH616,"="&amp;AH616)</f>
        <v>1</v>
      </c>
      <c r="BS616" t="str">
        <f>IFERROR(VLOOKUP(BA616&amp;BT616&amp;X616,game_rosters!U:W,3,FALSE),"")</f>
        <v>P100014</v>
      </c>
      <c r="BT616" t="str">
        <f t="shared" si="1026"/>
        <v>Triple J</v>
      </c>
    </row>
    <row r="617" spans="1:72" x14ac:dyDescent="0.2">
      <c r="A617">
        <f t="shared" si="1001"/>
        <v>1</v>
      </c>
      <c r="E617" s="4"/>
      <c r="F617" s="45" t="s">
        <v>747</v>
      </c>
      <c r="G617" s="4"/>
      <c r="H617" s="47" t="s">
        <v>1051</v>
      </c>
      <c r="I617" s="26">
        <v>70</v>
      </c>
      <c r="J617" s="26" t="str">
        <f t="shared" si="1029"/>
        <v>o</v>
      </c>
      <c r="K617" t="s">
        <v>238</v>
      </c>
      <c r="L617" t="s">
        <v>174</v>
      </c>
      <c r="M617" t="s">
        <v>85</v>
      </c>
      <c r="N617" t="str">
        <f t="shared" si="1045"/>
        <v>s</v>
      </c>
      <c r="O617" t="s">
        <v>149</v>
      </c>
      <c r="Q617" t="str">
        <f t="shared" si="1039"/>
        <v>s</v>
      </c>
      <c r="S617">
        <f>IF(A617=1,MAX($S$2:$S616)+1,IF(OR($I617&lt;&gt;"",A617="x"),$S616,""))</f>
        <v>308</v>
      </c>
      <c r="T617" t="str">
        <f>IF(D617=1,MAX($T$2:$T616)+1,IF(S617=S616,$T616,IF(D617="x",T616,IF(D616="x","",""))))</f>
        <v/>
      </c>
      <c r="U617" t="str">
        <f>IF(B617=1,MAX($U$2:$U616)+1,IF(AND($T617&lt;&gt;"",$T617=$T616),$U616,IF(B617="x",U616,"")))</f>
        <v/>
      </c>
      <c r="V617" t="str">
        <f>IF(C617=1,MAX($V$2:$V616)+1,IF(AND($T617&lt;&gt;"",$T617=$T616),$U616,IF(C617="x",V616,"")))</f>
        <v/>
      </c>
      <c r="W617" t="str" cm="1">
        <f t="array" ref="W617">IFERROR(_xlfn._xlws.FILTER(game_rosters!AC:AC,(game_rosters!J:J=events!X617)*(K617&lt;&gt;"")),"")</f>
        <v>a</v>
      </c>
      <c r="X617" cm="1">
        <f t="array" ref="X617">IF($I617&lt;&gt;"",$I617,INDEX($I$1:$I617,ROW()-COUNTIFS($T$1:$T617,"="&amp;$T617,$S$1:$S617,"&lt;"&amp;$S617)))</f>
        <v>70</v>
      </c>
      <c r="Y617" cm="1">
        <f t="array" ref="Y617">IFERROR(IF(_xlfn._xlws.FILTER(game_rosters!$J:$J,(game_rosters!$G:$G=events!$AM617)*(game_rosters!$J:$J=events!$X617))&gt;0,1,""),"")</f>
        <v>1</v>
      </c>
      <c r="Z617" s="6">
        <f t="shared" si="1002"/>
        <v>1</v>
      </c>
      <c r="AA617">
        <f t="shared" si="1003"/>
        <v>1308</v>
      </c>
      <c r="AB617" t="str">
        <f t="shared" si="1004"/>
        <v/>
      </c>
      <c r="AC617">
        <f t="shared" si="1005"/>
        <v>1308</v>
      </c>
      <c r="AD617" t="str">
        <f t="shared" si="1006"/>
        <v>9</v>
      </c>
      <c r="AE617" t="str">
        <f t="shared" si="1007"/>
        <v>07</v>
      </c>
      <c r="AF617" t="str">
        <f t="shared" si="1008"/>
        <v>9</v>
      </c>
      <c r="AG617" t="str">
        <f t="shared" si="1009"/>
        <v>04</v>
      </c>
      <c r="AH617" t="str">
        <f t="shared" si="1052"/>
        <v>e</v>
      </c>
      <c r="AI617" t="str">
        <f t="shared" si="1053"/>
        <v>o</v>
      </c>
      <c r="AJ617" t="str">
        <f t="shared" si="1053"/>
        <v>o</v>
      </c>
      <c r="AK617" t="str">
        <f t="shared" si="1054"/>
        <v>d</v>
      </c>
      <c r="AL617" t="str">
        <f t="shared" si="1055"/>
        <v>o</v>
      </c>
      <c r="AM617" t="str">
        <f t="shared" si="1010"/>
        <v>Away</v>
      </c>
      <c r="AN617" t="str">
        <f t="shared" si="1056"/>
        <v>a</v>
      </c>
      <c r="AO617" t="str">
        <f t="shared" si="1057"/>
        <v>d</v>
      </c>
      <c r="AP617" t="str">
        <f t="shared" si="1058"/>
        <v>o</v>
      </c>
      <c r="AQ617" t="str">
        <f>IF(AM617&lt;&gt;"",AM617,IF($AC617=#REF!,#REF!,""))</f>
        <v>Away</v>
      </c>
      <c r="AR617" t="str">
        <f t="shared" si="1059"/>
        <v>a</v>
      </c>
      <c r="AS617" t="str">
        <f t="shared" si="1060"/>
        <v>Offensive</v>
      </c>
      <c r="AT617" t="str">
        <f t="shared" si="1011"/>
        <v/>
      </c>
      <c r="AU617" t="str">
        <f t="shared" si="1012"/>
        <v/>
      </c>
      <c r="AV617" t="str" cm="1">
        <f t="array" ref="AV617">IFERROR(IF(O617&lt;&gt;"",O617,IF(OR($S617="",$T617=""),"",IF(O617&lt;&gt;"",O617,IF($T617&lt;&gt;"",_xlfn._xlws.FILTER(O:O,($BT:$BT=$BT617)*($I:$I=$I617)*($T:$T=$T617)*($S:$S=_xlfn.MINIFS($S:$S,$T:$T,"="&amp;$T617)),"")))))&amp;"",IF(O617="","",""))&amp;""</f>
        <v>Delay</v>
      </c>
      <c r="AW617" t="str" cm="1">
        <f t="array" ref="AW617">IFERROR(IF(P617&lt;&gt;"",P617,IF(OR($S617="",$T617=""),"",IF($T617&lt;&gt;"",_xlfn._xlws.FILTER(P:P,($BT:$BT=$BT617)*($I:$I=$I617)*($T:$T=$T617)*($S:$S=_xlfn.MINIFS($S:$S,$T:$T,"="&amp;$T617)),""))))&amp;"",IF(P617="","",""))&amp;""</f>
        <v/>
      </c>
      <c r="AX617" t="str" cm="1">
        <f t="array" ref="AX617">IFERROR(IF(Q617&lt;&gt;"",Q617,IF(OR($S617="",$T617=""),"",IF($T617&lt;&gt;"",_xlfn._xlws.FILTER(Q:Q,($BT:$BT=$BT617)*($I:$I=$I617)*($T:$T=$T617)*($S:$S=_xlfn.MINIFS($S:$S,$T:$T,"="&amp;$T617)),""))))&amp;"",IF(Q617="","",""))&amp;""</f>
        <v>s</v>
      </c>
      <c r="AY617" t="str" cm="1">
        <f t="array" ref="AY617">IFERROR(IF(R617&lt;&gt;"",R617,IF(OR($S617="",$T617=""),"",IF($T617&lt;&gt;"",_xlfn._xlws.FILTER(R:R,($BT:$BT=$BT617)*($I:$I=$I617)*($T:$T=$T617)*($S:$S=_xlfn.MINIFS($S:$S,$T:$T,"="&amp;$T617)),""))))&amp;"",IF(R617="","",""))&amp;""</f>
        <v/>
      </c>
      <c r="AZ617" s="6">
        <f t="shared" si="1013"/>
        <v>51</v>
      </c>
      <c r="BA617">
        <f t="shared" ref="BA617:BC617" si="1075">BA616</f>
        <v>18991</v>
      </c>
      <c r="BB617" t="str">
        <f t="shared" si="1075"/>
        <v>Triple J</v>
      </c>
      <c r="BC617" t="str">
        <f t="shared" si="1075"/>
        <v>Velodrome</v>
      </c>
      <c r="BD617" t="str">
        <f t="shared" si="1015"/>
        <v>Zone_Entry_Exit</v>
      </c>
      <c r="BE617" t="str">
        <f t="shared" si="1016"/>
        <v>Zone_Entry</v>
      </c>
      <c r="BF617" t="str">
        <f t="shared" si="1017"/>
        <v>ZoneEntry-Rush</v>
      </c>
      <c r="BG617" t="str">
        <f t="shared" si="999"/>
        <v>s</v>
      </c>
      <c r="BH617" cm="1">
        <f t="array" aca="1" ref="BH617" ca="1">IFERROR(_xlfn._xlws.FILTER(shifts!A:A,(shifts!B:B=events!Z617)*(shifts!AG:AG&gt;=events!BJ617)*(shifts!AH:AH&lt;=events!BK617)),BH616)</f>
        <v>19</v>
      </c>
      <c r="BI617" s="15">
        <f t="shared" si="1018"/>
        <v>3</v>
      </c>
      <c r="BJ617">
        <f t="shared" si="1019"/>
        <v>547</v>
      </c>
      <c r="BK617">
        <f t="shared" si="1020"/>
        <v>544</v>
      </c>
      <c r="BL617" s="15">
        <f>SUMIFS(BI$2:BI617,K$2:K617,"=Intermission")+SUMIFS(BI$2:BI617,K$2:K617,"=Timeout")</f>
        <v>0</v>
      </c>
      <c r="BM617">
        <f t="shared" si="1021"/>
        <v>0</v>
      </c>
      <c r="BN617" s="19">
        <f t="shared" si="1022"/>
        <v>533</v>
      </c>
      <c r="BO617">
        <f t="shared" si="1023"/>
        <v>528</v>
      </c>
      <c r="BP617" s="17">
        <f t="shared" si="1024"/>
        <v>536</v>
      </c>
      <c r="BQ617" t="str">
        <f t="shared" si="1025"/>
        <v>event_team_player_1</v>
      </c>
      <c r="BR617">
        <f>COUNTIFS(S$3:S617,"="&amp;S617,AH$3:AH617,"="&amp;AH617)</f>
        <v>1</v>
      </c>
      <c r="BS617" t="str">
        <f>IFERROR(VLOOKUP(BA617&amp;BT617&amp;X617,game_rosters!U:W,3,FALSE),"")</f>
        <v>P100001</v>
      </c>
      <c r="BT617" t="str">
        <f t="shared" si="1026"/>
        <v>Velodrome</v>
      </c>
    </row>
    <row r="618" spans="1:72" x14ac:dyDescent="0.2">
      <c r="A618" t="str">
        <f t="shared" si="1001"/>
        <v/>
      </c>
      <c r="E618" s="4"/>
      <c r="F618" s="45"/>
      <c r="G618" s="4"/>
      <c r="H618" s="47"/>
      <c r="I618" s="26">
        <v>41</v>
      </c>
      <c r="J618" s="26" t="str">
        <f t="shared" si="1029"/>
        <v/>
      </c>
      <c r="N618" t="str">
        <f t="shared" si="1045"/>
        <v/>
      </c>
      <c r="Q618" t="str">
        <f t="shared" si="1039"/>
        <v/>
      </c>
      <c r="S618">
        <f>IF(A618=1,MAX($S$2:$S617)+1,IF(OR($I618&lt;&gt;"",A618="x"),$S617,""))</f>
        <v>308</v>
      </c>
      <c r="T618" t="str">
        <f>IF(D618=1,MAX($T$2:$T617)+1,IF(S618=S617,$T617,IF(D618="x",T617,IF(D617="x","",""))))</f>
        <v/>
      </c>
      <c r="U618" t="str">
        <f>IF(B618=1,MAX($U$2:$U617)+1,IF(AND($T618&lt;&gt;"",$T618=$T617),$U617,IF(B618="x",U617,"")))</f>
        <v/>
      </c>
      <c r="V618" t="str">
        <f>IF(C618=1,MAX($V$2:$V617)+1,IF(AND($T618&lt;&gt;"",$T618=$T617),$U617,IF(C618="x",V617,"")))</f>
        <v/>
      </c>
      <c r="W618" t="str" cm="1">
        <f t="array" ref="W618">IFERROR(_xlfn._xlws.FILTER(game_rosters!AC:AC,(game_rosters!J:J=events!X618)*(K618&lt;&gt;"")),"")</f>
        <v/>
      </c>
      <c r="X618" cm="1">
        <f t="array" ref="X618">IF($I618&lt;&gt;"",$I618,INDEX($I$1:$I618,ROW()-COUNTIFS($T$1:$T618,"="&amp;$T618,$S$1:$S618,"&lt;"&amp;$S618)))</f>
        <v>41</v>
      </c>
      <c r="Y618" t="str" cm="1">
        <f t="array" ref="Y618">IFERROR(IF(_xlfn._xlws.FILTER(game_rosters!$J:$J,(game_rosters!$G:$G=events!$AM618)*(game_rosters!$J:$J=events!$X618))&gt;0,1,""),"")</f>
        <v/>
      </c>
      <c r="Z618" s="6">
        <f t="shared" si="1002"/>
        <v>1</v>
      </c>
      <c r="AA618">
        <f t="shared" si="1003"/>
        <v>1308</v>
      </c>
      <c r="AB618" t="str">
        <f t="shared" si="1004"/>
        <v/>
      </c>
      <c r="AC618">
        <f t="shared" si="1005"/>
        <v>1308</v>
      </c>
      <c r="AD618" t="str">
        <f t="shared" si="1006"/>
        <v>9</v>
      </c>
      <c r="AE618" t="str">
        <f t="shared" si="1007"/>
        <v>07</v>
      </c>
      <c r="AF618" t="str">
        <f t="shared" si="1008"/>
        <v>9</v>
      </c>
      <c r="AG618" t="str">
        <f t="shared" si="1009"/>
        <v>04</v>
      </c>
      <c r="AH618" t="str">
        <f t="shared" si="1052"/>
        <v>o</v>
      </c>
      <c r="AI618" t="str">
        <f t="shared" si="1053"/>
        <v>o</v>
      </c>
      <c r="AJ618" t="str">
        <f t="shared" si="1053"/>
        <v>o</v>
      </c>
      <c r="AK618" t="str">
        <f t="shared" si="1054"/>
        <v/>
      </c>
      <c r="AL618" t="str">
        <f t="shared" si="1055"/>
        <v/>
      </c>
      <c r="AM618" t="str">
        <f t="shared" si="1010"/>
        <v>Away</v>
      </c>
      <c r="AN618" t="str">
        <f t="shared" si="1056"/>
        <v>a</v>
      </c>
      <c r="AO618" t="str">
        <f t="shared" si="1057"/>
        <v>d</v>
      </c>
      <c r="AP618" t="str">
        <f t="shared" si="1058"/>
        <v>o</v>
      </c>
      <c r="AQ618" t="str">
        <f>IF(AM618&lt;&gt;"",AM618,IF($AC618=#REF!,#REF!,""))</f>
        <v>Away</v>
      </c>
      <c r="AR618" t="str">
        <f t="shared" si="1059"/>
        <v>a</v>
      </c>
      <c r="AS618" t="str">
        <f t="shared" si="1060"/>
        <v>Defensive</v>
      </c>
      <c r="AT618" t="str">
        <f t="shared" si="1011"/>
        <v/>
      </c>
      <c r="AU618" t="str">
        <f t="shared" si="1012"/>
        <v/>
      </c>
      <c r="AV618" t="str" cm="1">
        <f t="array" ref="AV618">IFERROR(IF(O618&lt;&gt;"",O618,IF(OR($S618="",$T618=""),"",IF(O618&lt;&gt;"",O618,IF($T618&lt;&gt;"",_xlfn._xlws.FILTER(O:O,($BT:$BT=$BT618)*($I:$I=$I618)*($T:$T=$T618)*($S:$S=_xlfn.MINIFS($S:$S,$T:$T,"="&amp;$T618)),"")))))&amp;"",IF(O618="","",""))&amp;""</f>
        <v/>
      </c>
      <c r="AW618" t="str" cm="1">
        <f t="array" ref="AW618">IFERROR(IF(P618&lt;&gt;"",P618,IF(OR($S618="",$T618=""),"",IF($T618&lt;&gt;"",_xlfn._xlws.FILTER(P:P,($BT:$BT=$BT618)*($I:$I=$I618)*($T:$T=$T618)*($S:$S=_xlfn.MINIFS($S:$S,$T:$T,"="&amp;$T618)),""))))&amp;"",IF(P618="","",""))&amp;""</f>
        <v/>
      </c>
      <c r="AX618" t="str" cm="1">
        <f t="array" ref="AX618">IFERROR(IF(Q618&lt;&gt;"",Q618,IF(OR($S618="",$T618=""),"",IF($T618&lt;&gt;"",_xlfn._xlws.FILTER(Q:Q,($BT:$BT=$BT618)*($I:$I=$I618)*($T:$T=$T618)*($S:$S=_xlfn.MINIFS($S:$S,$T:$T,"="&amp;$T618)),""))))&amp;"",IF(Q618="","",""))&amp;""</f>
        <v/>
      </c>
      <c r="AY618" t="str" cm="1">
        <f t="array" ref="AY618">IFERROR(IF(R618&lt;&gt;"",R618,IF(OR($S618="",$T618=""),"",IF($T618&lt;&gt;"",_xlfn._xlws.FILTER(R:R,($BT:$BT=$BT618)*($I:$I=$I618)*($T:$T=$T618)*($S:$S=_xlfn.MINIFS($S:$S,$T:$T,"="&amp;$T618)),""))))&amp;"",IF(R618="","",""))&amp;""</f>
        <v/>
      </c>
      <c r="AZ618" s="6">
        <f t="shared" si="1013"/>
        <v>51</v>
      </c>
      <c r="BA618">
        <f t="shared" ref="BA618:BC618" si="1076">BA617</f>
        <v>18991</v>
      </c>
      <c r="BB618" t="str">
        <f t="shared" si="1076"/>
        <v>Triple J</v>
      </c>
      <c r="BC618" t="str">
        <f t="shared" si="1076"/>
        <v>Velodrome</v>
      </c>
      <c r="BD618" t="str">
        <f t="shared" si="1015"/>
        <v>Zone_Entry_Exit</v>
      </c>
      <c r="BE618" t="str">
        <f t="shared" si="1016"/>
        <v>Zone_Entry</v>
      </c>
      <c r="BF618" t="str">
        <f t="shared" si="1017"/>
        <v>ZoneEntry-Rush</v>
      </c>
      <c r="BG618" t="str">
        <f t="shared" si="999"/>
        <v>s</v>
      </c>
      <c r="BH618" cm="1">
        <f t="array" aca="1" ref="BH618" ca="1">IFERROR(_xlfn._xlws.FILTER(shifts!A:A,(shifts!B:B=events!Z618)*(shifts!AG:AG&gt;=events!BJ618)*(shifts!AH:AH&lt;=events!BK618)),BH617)</f>
        <v>19</v>
      </c>
      <c r="BI618" s="15">
        <f t="shared" si="1018"/>
        <v>3</v>
      </c>
      <c r="BJ618">
        <f t="shared" si="1019"/>
        <v>547</v>
      </c>
      <c r="BK618">
        <f t="shared" si="1020"/>
        <v>544</v>
      </c>
      <c r="BL618" s="15">
        <f>SUMIFS(BI$2:BI618,K$2:K618,"=Intermission")+SUMIFS(BI$2:BI618,K$2:K618,"=Timeout")</f>
        <v>0</v>
      </c>
      <c r="BM618">
        <f t="shared" si="1021"/>
        <v>0</v>
      </c>
      <c r="BN618" s="19">
        <f t="shared" si="1022"/>
        <v>533</v>
      </c>
      <c r="BO618">
        <f t="shared" si="1023"/>
        <v>528</v>
      </c>
      <c r="BP618" s="17">
        <f t="shared" si="1024"/>
        <v>536</v>
      </c>
      <c r="BQ618" t="str">
        <f t="shared" si="1025"/>
        <v>opp_team_player_1</v>
      </c>
      <c r="BR618">
        <f>COUNTIFS(S$3:S618,"="&amp;S618,AH$3:AH618,"="&amp;AH618)</f>
        <v>1</v>
      </c>
      <c r="BS618" t="str">
        <f>IFERROR(VLOOKUP(BA618&amp;BT618&amp;X618,game_rosters!U:W,3,FALSE),"")</f>
        <v>P100206</v>
      </c>
      <c r="BT618" t="str">
        <f t="shared" si="1026"/>
        <v>Triple J</v>
      </c>
    </row>
    <row r="619" spans="1:72" x14ac:dyDescent="0.2">
      <c r="A619">
        <f t="shared" si="1001"/>
        <v>1</v>
      </c>
      <c r="E619" s="4"/>
      <c r="F619" s="45"/>
      <c r="G619" s="4"/>
      <c r="H619" s="47"/>
      <c r="I619" s="26">
        <v>70</v>
      </c>
      <c r="J619" s="26" t="str">
        <f t="shared" si="1029"/>
        <v>o</v>
      </c>
      <c r="K619" t="s">
        <v>6</v>
      </c>
      <c r="L619" t="s">
        <v>181</v>
      </c>
      <c r="M619" t="s">
        <v>51</v>
      </c>
      <c r="N619" t="str">
        <f t="shared" si="1045"/>
        <v>u</v>
      </c>
      <c r="Q619" t="str">
        <f t="shared" si="1039"/>
        <v/>
      </c>
      <c r="R619" s="26">
        <v>1</v>
      </c>
      <c r="S619">
        <f>IF(A619=1,MAX($S$2:$S618)+1,IF(OR($I619&lt;&gt;"",A619="x"),$S618,""))</f>
        <v>309</v>
      </c>
      <c r="T619" t="str">
        <f>IF(D619=1,MAX($T$2:$T618)+1,IF(S619=S618,$T618,IF(D619="x",T618,IF(D618="x","",""))))</f>
        <v/>
      </c>
      <c r="U619" t="str">
        <f>IF(B619=1,MAX($U$2:$U618)+1,IF(AND($T619&lt;&gt;"",$T619=$T618),$U618,IF(B619="x",U618,"")))</f>
        <v/>
      </c>
      <c r="V619" t="str">
        <f>IF(C619=1,MAX($V$2:$V618)+1,IF(AND($T619&lt;&gt;"",$T619=$T618),$U618,IF(C619="x",V618,"")))</f>
        <v/>
      </c>
      <c r="W619" t="str" cm="1">
        <f t="array" ref="W619">IFERROR(_xlfn._xlws.FILTER(game_rosters!AC:AC,(game_rosters!J:J=events!X619)*(K619&lt;&gt;"")),"")</f>
        <v>a</v>
      </c>
      <c r="X619" cm="1">
        <f t="array" ref="X619">IF($I619&lt;&gt;"",$I619,INDEX($I$1:$I619,ROW()-COUNTIFS($T$1:$T619,"="&amp;$T619,$S$1:$S619,"&lt;"&amp;$S619)))</f>
        <v>70</v>
      </c>
      <c r="Y619" cm="1">
        <f t="array" ref="Y619">IFERROR(IF(_xlfn._xlws.FILTER(game_rosters!$J:$J,(game_rosters!$G:$G=events!$AM619)*(game_rosters!$J:$J=events!$X619))&gt;0,1,""),"")</f>
        <v>1</v>
      </c>
      <c r="Z619" s="6">
        <f t="shared" si="1002"/>
        <v>1</v>
      </c>
      <c r="AA619">
        <f t="shared" si="1003"/>
        <v>1309</v>
      </c>
      <c r="AB619" t="str">
        <f t="shared" si="1004"/>
        <v/>
      </c>
      <c r="AC619">
        <f t="shared" si="1005"/>
        <v>1309</v>
      </c>
      <c r="AD619" t="str">
        <f t="shared" si="1006"/>
        <v>9</v>
      </c>
      <c r="AE619" t="str">
        <f t="shared" si="1007"/>
        <v>04</v>
      </c>
      <c r="AF619" t="str">
        <f t="shared" si="1008"/>
        <v/>
      </c>
      <c r="AG619" t="str">
        <f t="shared" si="1009"/>
        <v/>
      </c>
      <c r="AH619" t="str">
        <f t="shared" si="1052"/>
        <v>e</v>
      </c>
      <c r="AI619" t="str">
        <f t="shared" ref="AI619:AJ634" si="1077">IF($J619&lt;&gt;"",$J619,IF($AC619=$AC618,AI618,""))</f>
        <v>o</v>
      </c>
      <c r="AJ619" t="str">
        <f t="shared" si="1077"/>
        <v>o</v>
      </c>
      <c r="AK619" t="str">
        <f t="shared" si="1054"/>
        <v>d</v>
      </c>
      <c r="AL619" t="str">
        <f t="shared" si="1055"/>
        <v>o</v>
      </c>
      <c r="AM619" t="str">
        <f t="shared" si="1010"/>
        <v>Away</v>
      </c>
      <c r="AN619" t="str">
        <f t="shared" si="1056"/>
        <v>a</v>
      </c>
      <c r="AO619" t="str">
        <f t="shared" si="1057"/>
        <v>d</v>
      </c>
      <c r="AP619" t="str">
        <f t="shared" si="1058"/>
        <v>o</v>
      </c>
      <c r="AQ619" t="str">
        <f>IF(AM619&lt;&gt;"",AM619,IF($AC619=#REF!,#REF!,""))</f>
        <v>Away</v>
      </c>
      <c r="AR619" t="str">
        <f t="shared" si="1059"/>
        <v>a</v>
      </c>
      <c r="AS619" t="str">
        <f t="shared" si="1060"/>
        <v>Offensive</v>
      </c>
      <c r="AT619" t="str">
        <f t="shared" si="1011"/>
        <v/>
      </c>
      <c r="AU619" t="str">
        <f t="shared" si="1012"/>
        <v/>
      </c>
      <c r="AV619" t="str" cm="1">
        <f t="array" ref="AV619">IFERROR(IF(O619&lt;&gt;"",O619,IF(OR($S619="",$T619=""),"",IF(O619&lt;&gt;"",O619,IF($T619&lt;&gt;"",_xlfn._xlws.FILTER(O:O,($BT:$BT=$BT619)*($I:$I=$I619)*($T:$T=$T619)*($S:$S=_xlfn.MINIFS($S:$S,$T:$T,"="&amp;$T619)),"")))))&amp;"",IF(O619="","",""))&amp;""</f>
        <v/>
      </c>
      <c r="AW619" t="str" cm="1">
        <f t="array" ref="AW619">IFERROR(IF(P619&lt;&gt;"",P619,IF(OR($S619="",$T619=""),"",IF($T619&lt;&gt;"",_xlfn._xlws.FILTER(P:P,($BT:$BT=$BT619)*($I:$I=$I619)*($T:$T=$T619)*($S:$S=_xlfn.MINIFS($S:$S,$T:$T,"="&amp;$T619)),""))))&amp;"",IF(P619="","",""))&amp;""</f>
        <v/>
      </c>
      <c r="AX619" t="str" cm="1">
        <f t="array" ref="AX619">IFERROR(IF(Q619&lt;&gt;"",Q619,IF(OR($S619="",$T619=""),"",IF($T619&lt;&gt;"",_xlfn._xlws.FILTER(Q:Q,($BT:$BT=$BT619)*($I:$I=$I619)*($T:$T=$T619)*($S:$S=_xlfn.MINIFS($S:$S,$T:$T,"="&amp;$T619)),""))))&amp;"",IF(Q619="","",""))&amp;""</f>
        <v/>
      </c>
      <c r="AY619" t="str" cm="1">
        <f t="array" ref="AY619">IFERROR(IF(R619&lt;&gt;"",R619,IF(OR($S619="",$T619=""),"",IF($T619&lt;&gt;"",_xlfn._xlws.FILTER(R:R,($BT:$BT=$BT619)*($I:$I=$I619)*($T:$T=$T619)*($S:$S=_xlfn.MINIFS($S:$S,$T:$T,"="&amp;$T619)),""))))&amp;"",IF(R619="","",""))&amp;""</f>
        <v>1</v>
      </c>
      <c r="AZ619" s="6">
        <f t="shared" si="1013"/>
        <v>51</v>
      </c>
      <c r="BA619">
        <f t="shared" ref="BA619:BC619" si="1078">BA618</f>
        <v>18991</v>
      </c>
      <c r="BB619" t="str">
        <f t="shared" si="1078"/>
        <v>Triple J</v>
      </c>
      <c r="BC619" t="str">
        <f t="shared" si="1078"/>
        <v>Velodrome</v>
      </c>
      <c r="BD619" t="str">
        <f t="shared" si="1015"/>
        <v>Shot</v>
      </c>
      <c r="BE619" t="str">
        <f t="shared" si="1016"/>
        <v>Shot_Missed</v>
      </c>
      <c r="BF619" t="str">
        <f t="shared" si="1017"/>
        <v>Shot-Wrist</v>
      </c>
      <c r="BG619" t="str">
        <f t="shared" si="999"/>
        <v>u</v>
      </c>
      <c r="BH619" cm="1">
        <f t="array" aca="1" ref="BH619" ca="1">IFERROR(_xlfn._xlws.FILTER(shifts!A:A,(shifts!B:B=events!Z619)*(shifts!AG:AG&gt;=events!BJ619)*(shifts!AH:AH&lt;=events!BK619)),BH618)</f>
        <v>20</v>
      </c>
      <c r="BI619" s="15">
        <f t="shared" si="1018"/>
        <v>0</v>
      </c>
      <c r="BJ619">
        <f t="shared" si="1019"/>
        <v>544</v>
      </c>
      <c r="BK619">
        <f t="shared" si="1020"/>
        <v>544</v>
      </c>
      <c r="BL619" s="15">
        <f>SUMIFS(BI$2:BI619,K$2:K619,"=Intermission")+SUMIFS(BI$2:BI619,K$2:K619,"=Timeout")</f>
        <v>0</v>
      </c>
      <c r="BM619">
        <f t="shared" si="1021"/>
        <v>0</v>
      </c>
      <c r="BN619" s="19">
        <f t="shared" si="1022"/>
        <v>536</v>
      </c>
      <c r="BO619">
        <f t="shared" si="1023"/>
        <v>531</v>
      </c>
      <c r="BP619" s="17">
        <f t="shared" si="1024"/>
        <v>536</v>
      </c>
      <c r="BQ619" t="str">
        <f t="shared" si="1025"/>
        <v>event_team_player_1</v>
      </c>
      <c r="BR619">
        <f>COUNTIFS(S$3:S619,"="&amp;S619,AH$3:AH619,"="&amp;AH619)</f>
        <v>1</v>
      </c>
      <c r="BS619" t="str">
        <f>IFERROR(VLOOKUP(BA619&amp;BT619&amp;X619,game_rosters!U:W,3,FALSE),"")</f>
        <v>P100001</v>
      </c>
      <c r="BT619" t="str">
        <f t="shared" si="1026"/>
        <v>Velodrome</v>
      </c>
    </row>
    <row r="620" spans="1:72" x14ac:dyDescent="0.2">
      <c r="A620" t="str">
        <f t="shared" si="1001"/>
        <v/>
      </c>
      <c r="E620" s="4"/>
      <c r="F620" s="45"/>
      <c r="G620" s="4"/>
      <c r="H620" s="47"/>
      <c r="I620" s="26">
        <v>41</v>
      </c>
      <c r="J620" s="26" t="str">
        <f t="shared" si="1029"/>
        <v/>
      </c>
      <c r="N620" t="str">
        <f t="shared" si="1045"/>
        <v/>
      </c>
      <c r="O620" t="s">
        <v>566</v>
      </c>
      <c r="P620" t="s">
        <v>567</v>
      </c>
      <c r="Q620" t="str">
        <f t="shared" si="1039"/>
        <v/>
      </c>
      <c r="R620" s="26">
        <v>1</v>
      </c>
      <c r="S620">
        <f>IF(A620=1,MAX($S$2:$S619)+1,IF(OR($I620&lt;&gt;"",A620="x"),$S619,""))</f>
        <v>309</v>
      </c>
      <c r="T620" t="str">
        <f>IF(D620=1,MAX($T$2:$T619)+1,IF(S620=S619,$T619,IF(D620="x",T619,IF(D619="x","",""))))</f>
        <v/>
      </c>
      <c r="U620" t="str">
        <f>IF(B620=1,MAX($U$2:$U619)+1,IF(AND($T620&lt;&gt;"",$T620=$T619),$U619,IF(B620="x",U619,"")))</f>
        <v/>
      </c>
      <c r="V620" t="str">
        <f>IF(C620=1,MAX($V$2:$V619)+1,IF(AND($T620&lt;&gt;"",$T620=$T619),$U619,IF(C620="x",V619,"")))</f>
        <v/>
      </c>
      <c r="W620" t="str" cm="1">
        <f t="array" ref="W620">IFERROR(_xlfn._xlws.FILTER(game_rosters!AC:AC,(game_rosters!J:J=events!X620)*(K620&lt;&gt;"")),"")</f>
        <v/>
      </c>
      <c r="X620" cm="1">
        <f t="array" ref="X620">IF($I620&lt;&gt;"",$I620,INDEX($I$1:$I620,ROW()-COUNTIFS($T$1:$T620,"="&amp;$T620,$S$1:$S620,"&lt;"&amp;$S620)))</f>
        <v>41</v>
      </c>
      <c r="Y620" t="str" cm="1">
        <f t="array" ref="Y620">IFERROR(IF(_xlfn._xlws.FILTER(game_rosters!$J:$J,(game_rosters!$G:$G=events!$AM620)*(game_rosters!$J:$J=events!$X620))&gt;0,1,""),"")</f>
        <v/>
      </c>
      <c r="Z620" s="6">
        <f t="shared" si="1002"/>
        <v>1</v>
      </c>
      <c r="AA620">
        <f t="shared" si="1003"/>
        <v>1309</v>
      </c>
      <c r="AB620" t="str">
        <f t="shared" si="1004"/>
        <v/>
      </c>
      <c r="AC620">
        <f t="shared" si="1005"/>
        <v>1309</v>
      </c>
      <c r="AD620" t="str">
        <f t="shared" si="1006"/>
        <v>9</v>
      </c>
      <c r="AE620" t="str">
        <f t="shared" si="1007"/>
        <v>04</v>
      </c>
      <c r="AF620" t="str">
        <f t="shared" si="1008"/>
        <v/>
      </c>
      <c r="AG620" t="str">
        <f t="shared" si="1009"/>
        <v/>
      </c>
      <c r="AH620" t="str">
        <f t="shared" si="1052"/>
        <v>o</v>
      </c>
      <c r="AI620" t="str">
        <f t="shared" si="1077"/>
        <v>o</v>
      </c>
      <c r="AJ620" t="str">
        <f t="shared" si="1077"/>
        <v>o</v>
      </c>
      <c r="AK620" t="str">
        <f t="shared" si="1054"/>
        <v/>
      </c>
      <c r="AL620" t="str">
        <f t="shared" si="1055"/>
        <v/>
      </c>
      <c r="AM620" t="str">
        <f t="shared" si="1010"/>
        <v>Away</v>
      </c>
      <c r="AN620" t="str">
        <f t="shared" si="1056"/>
        <v>a</v>
      </c>
      <c r="AO620" t="str">
        <f t="shared" si="1057"/>
        <v>d</v>
      </c>
      <c r="AP620" t="str">
        <f t="shared" si="1058"/>
        <v>o</v>
      </c>
      <c r="AQ620" t="str">
        <f>IF(AM620&lt;&gt;"",AM620,IF($AC620=#REF!,#REF!,""))</f>
        <v>Away</v>
      </c>
      <c r="AR620" t="str">
        <f t="shared" si="1059"/>
        <v>a</v>
      </c>
      <c r="AS620" t="str">
        <f t="shared" si="1060"/>
        <v>Defensive</v>
      </c>
      <c r="AT620" t="str">
        <f t="shared" si="1011"/>
        <v/>
      </c>
      <c r="AU620" t="str">
        <f t="shared" si="1012"/>
        <v/>
      </c>
      <c r="AV620" t="str" cm="1">
        <f t="array" ref="AV620">IFERROR(IF(O620&lt;&gt;"",O620,IF(OR($S620="",$T620=""),"",IF(O620&lt;&gt;"",O620,IF($T620&lt;&gt;"",_xlfn._xlws.FILTER(O:O,($BT:$BT=$BT620)*($I:$I=$I620)*($T:$T=$T620)*($S:$S=_xlfn.MINIFS($S:$S,$T:$T,"="&amp;$T620)),"")))))&amp;"",IF(O620="","",""))&amp;""</f>
        <v>InShotPassLane</v>
      </c>
      <c r="AW620" t="str" cm="1">
        <f t="array" ref="AW620">IFERROR(IF(P620&lt;&gt;"",P620,IF(OR($S620="",$T620=""),"",IF($T620&lt;&gt;"",_xlfn._xlws.FILTER(P:P,($BT:$BT=$BT620)*($I:$I=$I620)*($T:$T=$T620)*($S:$S=_xlfn.MINIFS($S:$S,$T:$T,"="&amp;$T620)),""))))&amp;"",IF(P620="","",""))&amp;""</f>
        <v>StickCheck</v>
      </c>
      <c r="AX620" t="str" cm="1">
        <f t="array" ref="AX620">IFERROR(IF(Q620&lt;&gt;"",Q620,IF(OR($S620="",$T620=""),"",IF($T620&lt;&gt;"",_xlfn._xlws.FILTER(Q:Q,($BT:$BT=$BT620)*($I:$I=$I620)*($T:$T=$T620)*($S:$S=_xlfn.MINIFS($S:$S,$T:$T,"="&amp;$T620)),""))))&amp;"",IF(Q620="","",""))&amp;""</f>
        <v/>
      </c>
      <c r="AY620" t="str" cm="1">
        <f t="array" ref="AY620">IFERROR(IF(R620&lt;&gt;"",R620,IF(OR($S620="",$T620=""),"",IF($T620&lt;&gt;"",_xlfn._xlws.FILTER(R:R,($BT:$BT=$BT620)*($I:$I=$I620)*($T:$T=$T620)*($S:$S=_xlfn.MINIFS($S:$S,$T:$T,"="&amp;$T620)),""))))&amp;"",IF(R620="","",""))&amp;""</f>
        <v>1</v>
      </c>
      <c r="AZ620" s="6">
        <f t="shared" si="1013"/>
        <v>51</v>
      </c>
      <c r="BA620">
        <f t="shared" ref="BA620:BC620" si="1079">BA619</f>
        <v>18991</v>
      </c>
      <c r="BB620" t="str">
        <f t="shared" si="1079"/>
        <v>Triple J</v>
      </c>
      <c r="BC620" t="str">
        <f t="shared" si="1079"/>
        <v>Velodrome</v>
      </c>
      <c r="BD620" t="str">
        <f t="shared" si="1015"/>
        <v>Shot</v>
      </c>
      <c r="BE620" t="str">
        <f t="shared" si="1016"/>
        <v>Shot_Missed</v>
      </c>
      <c r="BF620" t="str">
        <f t="shared" si="1017"/>
        <v>Shot-Wrist</v>
      </c>
      <c r="BG620" t="str">
        <f t="shared" si="999"/>
        <v>u</v>
      </c>
      <c r="BH620" cm="1">
        <f t="array" aca="1" ref="BH620" ca="1">IFERROR(_xlfn._xlws.FILTER(shifts!A:A,(shifts!B:B=events!Z620)*(shifts!AG:AG&gt;=events!BJ620)*(shifts!AH:AH&lt;=events!BK620)),BH619)</f>
        <v>20</v>
      </c>
      <c r="BI620" s="15">
        <f t="shared" si="1018"/>
        <v>0</v>
      </c>
      <c r="BJ620">
        <f t="shared" si="1019"/>
        <v>544</v>
      </c>
      <c r="BK620">
        <f t="shared" si="1020"/>
        <v>544</v>
      </c>
      <c r="BL620" s="15">
        <f>SUMIFS(BI$2:BI620,K$2:K620,"=Intermission")+SUMIFS(BI$2:BI620,K$2:K620,"=Timeout")</f>
        <v>0</v>
      </c>
      <c r="BM620">
        <f t="shared" si="1021"/>
        <v>0</v>
      </c>
      <c r="BN620" s="19">
        <f t="shared" si="1022"/>
        <v>536</v>
      </c>
      <c r="BO620">
        <f t="shared" si="1023"/>
        <v>531</v>
      </c>
      <c r="BP620" s="17">
        <f t="shared" si="1024"/>
        <v>536</v>
      </c>
      <c r="BQ620" t="str">
        <f t="shared" si="1025"/>
        <v>opp_team_player_1</v>
      </c>
      <c r="BR620">
        <f>COUNTIFS(S$3:S620,"="&amp;S620,AH$3:AH620,"="&amp;AH620)</f>
        <v>1</v>
      </c>
      <c r="BS620" t="str">
        <f>IFERROR(VLOOKUP(BA620&amp;BT620&amp;X620,game_rosters!U:W,3,FALSE),"")</f>
        <v>P100206</v>
      </c>
      <c r="BT620" t="str">
        <f t="shared" si="1026"/>
        <v>Triple J</v>
      </c>
    </row>
    <row r="621" spans="1:72" x14ac:dyDescent="0.2">
      <c r="A621">
        <f t="shared" si="1001"/>
        <v>1</v>
      </c>
      <c r="E621" s="4"/>
      <c r="F621" s="45" t="s">
        <v>748</v>
      </c>
      <c r="G621" s="4"/>
      <c r="H621" s="47"/>
      <c r="I621" s="26">
        <v>24</v>
      </c>
      <c r="J621" s="26" t="s">
        <v>368</v>
      </c>
      <c r="K621" t="s">
        <v>13</v>
      </c>
      <c r="L621" t="s">
        <v>587</v>
      </c>
      <c r="N621" t="s">
        <v>595</v>
      </c>
      <c r="O621" t="s">
        <v>909</v>
      </c>
      <c r="Q621" t="str">
        <f t="shared" si="1039"/>
        <v>s</v>
      </c>
      <c r="R621" s="26">
        <v>1</v>
      </c>
      <c r="S621">
        <f>IF(A621=1,MAX($S$2:$S620)+1,IF(OR($I621&lt;&gt;"",A621="x"),$S620,""))</f>
        <v>310</v>
      </c>
      <c r="T621" t="str">
        <f>IF(D621=1,MAX($T$2:$T620)+1,IF(S621=S620,$T620,IF(D621="x",T620,IF(D620="x","",""))))</f>
        <v/>
      </c>
      <c r="U621" t="str">
        <f>IF(B621=1,MAX($U$2:$U620)+1,IF(AND($T621&lt;&gt;"",$T621=$T620),$U620,IF(B621="x",U620,"")))</f>
        <v/>
      </c>
      <c r="V621" t="str">
        <f>IF(C621=1,MAX($V$2:$V620)+1,IF(AND($T621&lt;&gt;"",$T621=$T620),$U620,IF(C621="x",V620,"")))</f>
        <v/>
      </c>
      <c r="W621" t="str" cm="1">
        <f t="array" ref="W621">IFERROR(_xlfn._xlws.FILTER(game_rosters!AC:AC,(game_rosters!J:J=events!X621)*(K621&lt;&gt;"")),"")</f>
        <v>a</v>
      </c>
      <c r="X621" cm="1">
        <f t="array" ref="X621">IF($I621&lt;&gt;"",$I621,INDEX($I$1:$I621,ROW()-COUNTIFS($T$1:$T621,"="&amp;$T621,$S$1:$S621,"&lt;"&amp;$S621)))</f>
        <v>24</v>
      </c>
      <c r="Y621" cm="1">
        <f t="array" ref="Y621">IFERROR(IF(_xlfn._xlws.FILTER(game_rosters!$J:$J,(game_rosters!$G:$G=events!$AM621)*(game_rosters!$J:$J=events!$X621))&gt;0,1,""),"")</f>
        <v>1</v>
      </c>
      <c r="Z621" s="6">
        <f t="shared" si="1002"/>
        <v>1</v>
      </c>
      <c r="AA621">
        <f t="shared" si="1003"/>
        <v>1310</v>
      </c>
      <c r="AB621" t="str">
        <f t="shared" si="1004"/>
        <v/>
      </c>
      <c r="AC621">
        <f t="shared" si="1005"/>
        <v>1310</v>
      </c>
      <c r="AD621" t="str">
        <f t="shared" si="1006"/>
        <v>9</v>
      </c>
      <c r="AE621" t="str">
        <f t="shared" si="1007"/>
        <v>01</v>
      </c>
      <c r="AF621" t="str">
        <f t="shared" si="1008"/>
        <v/>
      </c>
      <c r="AG621" t="str">
        <f t="shared" si="1009"/>
        <v/>
      </c>
      <c r="AH621" t="str">
        <f t="shared" si="1052"/>
        <v>e</v>
      </c>
      <c r="AI621" t="str">
        <f t="shared" si="1077"/>
        <v>o</v>
      </c>
      <c r="AJ621" t="str">
        <f t="shared" si="1077"/>
        <v>o</v>
      </c>
      <c r="AK621" t="str">
        <f t="shared" si="1054"/>
        <v>d</v>
      </c>
      <c r="AL621" t="str">
        <f t="shared" si="1055"/>
        <v>o</v>
      </c>
      <c r="AM621" t="str">
        <f t="shared" si="1010"/>
        <v>Away</v>
      </c>
      <c r="AN621" t="str">
        <f t="shared" si="1056"/>
        <v>a</v>
      </c>
      <c r="AO621" t="str">
        <f t="shared" si="1057"/>
        <v>d</v>
      </c>
      <c r="AP621" t="str">
        <f t="shared" si="1058"/>
        <v>o</v>
      </c>
      <c r="AQ621" t="str">
        <f>IF(AM621&lt;&gt;"",AM621,IF($AC621=#REF!,#REF!,""))</f>
        <v>Away</v>
      </c>
      <c r="AR621" t="str">
        <f t="shared" si="1059"/>
        <v>a</v>
      </c>
      <c r="AS621" t="str">
        <f t="shared" si="1060"/>
        <v>Offensive</v>
      </c>
      <c r="AT621" t="str">
        <f t="shared" si="1011"/>
        <v/>
      </c>
      <c r="AU621" t="str">
        <f t="shared" si="1012"/>
        <v/>
      </c>
      <c r="AV621" t="str" cm="1">
        <f t="array" ref="AV621">IFERROR(IF(O621&lt;&gt;"",O621,IF(OR($S621="",$T621=""),"",IF(O621&lt;&gt;"",O621,IF($T621&lt;&gt;"",_xlfn._xlws.FILTER(O:O,($BT:$BT=$BT621)*($I:$I=$I621)*($T:$T=$T621)*($S:$S=_xlfn.MINIFS($S:$S,$T:$T,"="&amp;$T621)),"")))))&amp;"",IF(O621="","",""))&amp;""</f>
        <v>PuckRecoveryRetreivalShot</v>
      </c>
      <c r="AW621" t="str" cm="1">
        <f t="array" ref="AW621">IFERROR(IF(P621&lt;&gt;"",P621,IF(OR($S621="",$T621=""),"",IF($T621&lt;&gt;"",_xlfn._xlws.FILTER(P:P,($BT:$BT=$BT621)*($I:$I=$I621)*($T:$T=$T621)*($S:$S=_xlfn.MINIFS($S:$S,$T:$T,"="&amp;$T621)),""))))&amp;"",IF(P621="","",""))&amp;""</f>
        <v/>
      </c>
      <c r="AX621" t="str" cm="1">
        <f t="array" ref="AX621">IFERROR(IF(Q621&lt;&gt;"",Q621,IF(OR($S621="",$T621=""),"",IF($T621&lt;&gt;"",_xlfn._xlws.FILTER(Q:Q,($BT:$BT=$BT621)*($I:$I=$I621)*($T:$T=$T621)*($S:$S=_xlfn.MINIFS($S:$S,$T:$T,"="&amp;$T621)),""))))&amp;"",IF(Q621="","",""))&amp;""</f>
        <v>s</v>
      </c>
      <c r="AY621" t="str" cm="1">
        <f t="array" ref="AY621">IFERROR(IF(R621&lt;&gt;"",R621,IF(OR($S621="",$T621=""),"",IF($T621&lt;&gt;"",_xlfn._xlws.FILTER(R:R,($BT:$BT=$BT621)*($I:$I=$I621)*($T:$T=$T621)*($S:$S=_xlfn.MINIFS($S:$S,$T:$T,"="&amp;$T621)),""))))&amp;"",IF(R621="","",""))&amp;""</f>
        <v>1</v>
      </c>
      <c r="AZ621" s="6">
        <f t="shared" si="1013"/>
        <v>51</v>
      </c>
      <c r="BA621">
        <f t="shared" ref="BA621:BC621" si="1080">BA620</f>
        <v>18991</v>
      </c>
      <c r="BB621" t="str">
        <f t="shared" si="1080"/>
        <v>Triple J</v>
      </c>
      <c r="BC621" t="str">
        <f t="shared" si="1080"/>
        <v>Velodrome</v>
      </c>
      <c r="BD621" t="str">
        <f t="shared" si="1015"/>
        <v>Possession</v>
      </c>
      <c r="BE621" t="str">
        <f t="shared" si="1016"/>
        <v>PuckRecovery</v>
      </c>
      <c r="BF621" t="str">
        <f t="shared" si="1017"/>
        <v/>
      </c>
      <c r="BG621" t="str">
        <f t="shared" si="999"/>
        <v>s</v>
      </c>
      <c r="BH621" t="e" cm="1" vm="1">
        <f t="array" aca="1" ref="BH621" ca="1">IFERROR(_xlfn._xlws.FILTER(shifts!A:A,(shifts!B:B=events!Z621)*(shifts!AG:AG&gt;=events!BJ621)*(shifts!AH:AH&lt;=events!BK621)),BH620)</f>
        <v>#VALUE!</v>
      </c>
      <c r="BI621" s="15">
        <f t="shared" si="1018"/>
        <v>0</v>
      </c>
      <c r="BJ621">
        <f t="shared" si="1019"/>
        <v>541</v>
      </c>
      <c r="BK621">
        <f t="shared" si="1020"/>
        <v>541</v>
      </c>
      <c r="BL621" s="15">
        <f>SUMIFS(BI$2:BI621,K$2:K621,"=Intermission")+SUMIFS(BI$2:BI621,K$2:K621,"=Timeout")</f>
        <v>0</v>
      </c>
      <c r="BM621">
        <f t="shared" si="1021"/>
        <v>0</v>
      </c>
      <c r="BN621" s="19">
        <f t="shared" si="1022"/>
        <v>539</v>
      </c>
      <c r="BO621">
        <f t="shared" si="1023"/>
        <v>534</v>
      </c>
      <c r="BP621" s="17">
        <f t="shared" si="1024"/>
        <v>539</v>
      </c>
      <c r="BQ621" t="str">
        <f t="shared" si="1025"/>
        <v>event_team_player_1</v>
      </c>
      <c r="BR621">
        <f>COUNTIFS(S$3:S621,"="&amp;S621,AH$3:AH621,"="&amp;AH621)</f>
        <v>1</v>
      </c>
      <c r="BS621" t="str">
        <f>IFERROR(VLOOKUP(BA621&amp;BT621&amp;X621,game_rosters!U:W,3,FALSE),"")</f>
        <v>P100230</v>
      </c>
      <c r="BT621" t="str">
        <f t="shared" si="1026"/>
        <v>Velodrome</v>
      </c>
    </row>
    <row r="622" spans="1:72" x14ac:dyDescent="0.2">
      <c r="A622" t="str">
        <f t="shared" si="1001"/>
        <v/>
      </c>
      <c r="E622" s="4"/>
      <c r="F622" s="45"/>
      <c r="G622" s="4"/>
      <c r="H622" s="47"/>
      <c r="I622" s="26">
        <v>19</v>
      </c>
      <c r="J622" s="26" t="str">
        <f t="shared" si="1029"/>
        <v/>
      </c>
      <c r="N622" t="str">
        <f t="shared" si="1045"/>
        <v/>
      </c>
      <c r="Q622" t="str">
        <f t="shared" si="1039"/>
        <v/>
      </c>
      <c r="R622" s="26">
        <v>1</v>
      </c>
      <c r="S622">
        <f>IF(A622=1,MAX($S$2:$S621)+1,IF(OR($I622&lt;&gt;"",A622="x"),$S621,""))</f>
        <v>310</v>
      </c>
      <c r="T622" t="str">
        <f>IF(D622=1,MAX($T$2:$T621)+1,IF(S622=S621,$T621,IF(D622="x",T621,IF(D621="x","",""))))</f>
        <v/>
      </c>
      <c r="U622" t="str">
        <f>IF(B622=1,MAX($U$2:$U621)+1,IF(AND($T622&lt;&gt;"",$T622=$T621),$U621,IF(B622="x",U621,"")))</f>
        <v/>
      </c>
      <c r="V622" t="str">
        <f>IF(C622=1,MAX($V$2:$V621)+1,IF(AND($T622&lt;&gt;"",$T622=$T621),$U621,IF(C622="x",V621,"")))</f>
        <v/>
      </c>
      <c r="W622" t="str" cm="1">
        <f t="array" ref="W622">IFERROR(_xlfn._xlws.FILTER(game_rosters!AC:AC,(game_rosters!J:J=events!X622)*(K622&lt;&gt;"")),"")</f>
        <v/>
      </c>
      <c r="X622" cm="1">
        <f t="array" ref="X622">IF($I622&lt;&gt;"",$I622,INDEX($I$1:$I622,ROW()-COUNTIFS($T$1:$T622,"="&amp;$T622,$S$1:$S622,"&lt;"&amp;$S622)))</f>
        <v>19</v>
      </c>
      <c r="Y622" t="str" cm="1">
        <f t="array" ref="Y622">IFERROR(IF(_xlfn._xlws.FILTER(game_rosters!$J:$J,(game_rosters!$G:$G=events!$AM622)*(game_rosters!$J:$J=events!$X622))&gt;0,1,""),"")</f>
        <v/>
      </c>
      <c r="Z622" s="6">
        <f t="shared" si="1002"/>
        <v>1</v>
      </c>
      <c r="AA622">
        <f t="shared" si="1003"/>
        <v>1310</v>
      </c>
      <c r="AB622" t="str">
        <f t="shared" si="1004"/>
        <v/>
      </c>
      <c r="AC622">
        <f t="shared" si="1005"/>
        <v>1310</v>
      </c>
      <c r="AD622" t="str">
        <f t="shared" si="1006"/>
        <v>9</v>
      </c>
      <c r="AE622" t="str">
        <f t="shared" si="1007"/>
        <v>01</v>
      </c>
      <c r="AF622" t="str">
        <f t="shared" si="1008"/>
        <v/>
      </c>
      <c r="AG622" t="str">
        <f t="shared" si="1009"/>
        <v/>
      </c>
      <c r="AH622" t="str">
        <f t="shared" si="1052"/>
        <v>o</v>
      </c>
      <c r="AI622" t="str">
        <f t="shared" si="1077"/>
        <v>o</v>
      </c>
      <c r="AJ622" t="str">
        <f t="shared" si="1077"/>
        <v>o</v>
      </c>
      <c r="AK622" t="str">
        <f t="shared" si="1054"/>
        <v/>
      </c>
      <c r="AL622" t="str">
        <f t="shared" si="1055"/>
        <v/>
      </c>
      <c r="AM622" t="str">
        <f t="shared" si="1010"/>
        <v>Away</v>
      </c>
      <c r="AN622" t="str">
        <f t="shared" si="1056"/>
        <v>a</v>
      </c>
      <c r="AO622" t="str">
        <f t="shared" si="1057"/>
        <v>d</v>
      </c>
      <c r="AP622" t="str">
        <f t="shared" si="1058"/>
        <v>o</v>
      </c>
      <c r="AQ622" t="str">
        <f>IF(AM622&lt;&gt;"",AM622,IF($AC622=#REF!,#REF!,""))</f>
        <v>Away</v>
      </c>
      <c r="AR622" t="str">
        <f t="shared" si="1059"/>
        <v>a</v>
      </c>
      <c r="AS622" t="str">
        <f t="shared" si="1060"/>
        <v>Defensive</v>
      </c>
      <c r="AT622" t="str">
        <f t="shared" si="1011"/>
        <v/>
      </c>
      <c r="AU622" t="str">
        <f t="shared" si="1012"/>
        <v/>
      </c>
      <c r="AV622" t="str" cm="1">
        <f t="array" ref="AV622">IFERROR(IF(O622&lt;&gt;"",O622,IF(OR($S622="",$T622=""),"",IF(O622&lt;&gt;"",O622,IF($T622&lt;&gt;"",_xlfn._xlws.FILTER(O:O,($BT:$BT=$BT622)*($I:$I=$I622)*($T:$T=$T622)*($S:$S=_xlfn.MINIFS($S:$S,$T:$T,"="&amp;$T622)),"")))))&amp;"",IF(O622="","",""))&amp;""</f>
        <v/>
      </c>
      <c r="AW622" t="str" cm="1">
        <f t="array" ref="AW622">IFERROR(IF(P622&lt;&gt;"",P622,IF(OR($S622="",$T622=""),"",IF($T622&lt;&gt;"",_xlfn._xlws.FILTER(P:P,($BT:$BT=$BT622)*($I:$I=$I622)*($T:$T=$T622)*($S:$S=_xlfn.MINIFS($S:$S,$T:$T,"="&amp;$T622)),""))))&amp;"",IF(P622="","",""))&amp;""</f>
        <v/>
      </c>
      <c r="AX622" t="str" cm="1">
        <f t="array" ref="AX622">IFERROR(IF(Q622&lt;&gt;"",Q622,IF(OR($S622="",$T622=""),"",IF($T622&lt;&gt;"",_xlfn._xlws.FILTER(Q:Q,($BT:$BT=$BT622)*($I:$I=$I622)*($T:$T=$T622)*($S:$S=_xlfn.MINIFS($S:$S,$T:$T,"="&amp;$T622)),""))))&amp;"",IF(Q622="","",""))&amp;""</f>
        <v/>
      </c>
      <c r="AY622" t="str" cm="1">
        <f t="array" ref="AY622">IFERROR(IF(R622&lt;&gt;"",R622,IF(OR($S622="",$T622=""),"",IF($T622&lt;&gt;"",_xlfn._xlws.FILTER(R:R,($BT:$BT=$BT622)*($I:$I=$I622)*($T:$T=$T622)*($S:$S=_xlfn.MINIFS($S:$S,$T:$T,"="&amp;$T622)),""))))&amp;"",IF(R622="","",""))&amp;""</f>
        <v>1</v>
      </c>
      <c r="AZ622" s="6">
        <f t="shared" si="1013"/>
        <v>51</v>
      </c>
      <c r="BA622">
        <f t="shared" ref="BA622:BC622" si="1081">BA621</f>
        <v>18991</v>
      </c>
      <c r="BB622" t="str">
        <f t="shared" si="1081"/>
        <v>Triple J</v>
      </c>
      <c r="BC622" t="str">
        <f t="shared" si="1081"/>
        <v>Velodrome</v>
      </c>
      <c r="BD622" t="str">
        <f t="shared" si="1015"/>
        <v>Possession</v>
      </c>
      <c r="BE622" t="str">
        <f t="shared" si="1016"/>
        <v>PuckRecovery</v>
      </c>
      <c r="BF622" t="str">
        <f t="shared" si="1017"/>
        <v/>
      </c>
      <c r="BG622" t="str">
        <f t="shared" si="999"/>
        <v>s</v>
      </c>
      <c r="BH622" t="e" cm="1" vm="1">
        <f t="array" aca="1" ref="BH622" ca="1">IFERROR(_xlfn._xlws.FILTER(shifts!A:A,(shifts!B:B=events!Z622)*(shifts!AG:AG&gt;=events!BJ622)*(shifts!AH:AH&lt;=events!BK622)),BH621)</f>
        <v>#VALUE!</v>
      </c>
      <c r="BI622" s="15">
        <f t="shared" si="1018"/>
        <v>0</v>
      </c>
      <c r="BJ622">
        <f t="shared" si="1019"/>
        <v>541</v>
      </c>
      <c r="BK622">
        <f t="shared" si="1020"/>
        <v>541</v>
      </c>
      <c r="BL622" s="15">
        <f>SUMIFS(BI$2:BI622,K$2:K622,"=Intermission")+SUMIFS(BI$2:BI622,K$2:K622,"=Timeout")</f>
        <v>0</v>
      </c>
      <c r="BM622">
        <f t="shared" si="1021"/>
        <v>0</v>
      </c>
      <c r="BN622" s="19">
        <f t="shared" si="1022"/>
        <v>539</v>
      </c>
      <c r="BO622">
        <f t="shared" si="1023"/>
        <v>534</v>
      </c>
      <c r="BP622" s="17">
        <f t="shared" si="1024"/>
        <v>539</v>
      </c>
      <c r="BQ622" t="str">
        <f t="shared" si="1025"/>
        <v>opp_team_player_1</v>
      </c>
      <c r="BR622">
        <f>COUNTIFS(S$3:S622,"="&amp;S622,AH$3:AH622,"="&amp;AH622)</f>
        <v>1</v>
      </c>
      <c r="BS622" t="str">
        <f>IFERROR(VLOOKUP(BA622&amp;BT622&amp;X622,game_rosters!U:W,3,FALSE),"")</f>
        <v>P100089</v>
      </c>
      <c r="BT622" t="str">
        <f t="shared" si="1026"/>
        <v>Triple J</v>
      </c>
    </row>
    <row r="623" spans="1:72" x14ac:dyDescent="0.2">
      <c r="A623">
        <f t="shared" si="1001"/>
        <v>1</v>
      </c>
      <c r="E623" s="4"/>
      <c r="F623" s="45"/>
      <c r="G623" s="4"/>
      <c r="H623" s="47"/>
      <c r="I623" s="26">
        <v>24</v>
      </c>
      <c r="J623" s="26" t="s">
        <v>368</v>
      </c>
      <c r="K623" t="s">
        <v>7</v>
      </c>
      <c r="L623" t="s">
        <v>172</v>
      </c>
      <c r="M623" t="s">
        <v>69</v>
      </c>
      <c r="N623" t="str">
        <f t="shared" si="1045"/>
        <v>s</v>
      </c>
      <c r="O623" t="s">
        <v>576</v>
      </c>
      <c r="Q623" t="str">
        <f t="shared" si="1039"/>
        <v>s</v>
      </c>
      <c r="R623" s="26">
        <v>1</v>
      </c>
      <c r="S623">
        <f>IF(A623=1,MAX($S$2:$S622)+1,IF(OR($I623&lt;&gt;"",A623="x"),$S622,""))</f>
        <v>311</v>
      </c>
      <c r="T623" t="str">
        <f>IF(D623=1,MAX($T$2:$T622)+1,IF(S623=S622,$T622,IF(D623="x",T622,IF(D622="x","",""))))</f>
        <v/>
      </c>
      <c r="U623" t="str">
        <f>IF(B623=1,MAX($U$2:$U622)+1,IF(AND($T623&lt;&gt;"",$T623=$T622),$U622,IF(B623="x",U622,"")))</f>
        <v/>
      </c>
      <c r="V623" t="str">
        <f>IF(C623=1,MAX($V$2:$V622)+1,IF(AND($T623&lt;&gt;"",$T623=$T622),$U622,IF(C623="x",V622,"")))</f>
        <v/>
      </c>
      <c r="W623" t="str" cm="1">
        <f t="array" ref="W623">IFERROR(_xlfn._xlws.FILTER(game_rosters!AC:AC,(game_rosters!J:J=events!X623)*(K623&lt;&gt;"")),"")</f>
        <v>a</v>
      </c>
      <c r="X623" cm="1">
        <f t="array" ref="X623">IF($I623&lt;&gt;"",$I623,INDEX($I$1:$I623,ROW()-COUNTIFS($T$1:$T623,"="&amp;$T623,$S$1:$S623,"&lt;"&amp;$S623)))</f>
        <v>24</v>
      </c>
      <c r="Y623" cm="1">
        <f t="array" ref="Y623">IFERROR(IF(_xlfn._xlws.FILTER(game_rosters!$J:$J,(game_rosters!$G:$G=events!$AM623)*(game_rosters!$J:$J=events!$X623))&gt;0,1,""),"")</f>
        <v>1</v>
      </c>
      <c r="Z623" s="6">
        <f t="shared" si="1002"/>
        <v>1</v>
      </c>
      <c r="AA623">
        <f t="shared" si="1003"/>
        <v>1311</v>
      </c>
      <c r="AB623" t="str">
        <f t="shared" si="1004"/>
        <v/>
      </c>
      <c r="AC623">
        <f t="shared" si="1005"/>
        <v>1311</v>
      </c>
      <c r="AD623" t="str">
        <f t="shared" si="1006"/>
        <v>9</v>
      </c>
      <c r="AE623" t="str">
        <f t="shared" si="1007"/>
        <v>01</v>
      </c>
      <c r="AF623" t="str">
        <f t="shared" si="1008"/>
        <v/>
      </c>
      <c r="AG623" t="str">
        <f t="shared" si="1009"/>
        <v/>
      </c>
      <c r="AH623" t="str">
        <f t="shared" si="1052"/>
        <v>e</v>
      </c>
      <c r="AI623" t="str">
        <f t="shared" si="1077"/>
        <v>o</v>
      </c>
      <c r="AJ623" t="str">
        <f t="shared" si="1077"/>
        <v>o</v>
      </c>
      <c r="AK623" t="str">
        <f t="shared" si="1054"/>
        <v>d</v>
      </c>
      <c r="AL623" t="str">
        <f t="shared" si="1055"/>
        <v>o</v>
      </c>
      <c r="AM623" t="str">
        <f t="shared" si="1010"/>
        <v>Away</v>
      </c>
      <c r="AN623" t="str">
        <f t="shared" si="1056"/>
        <v>a</v>
      </c>
      <c r="AO623" t="str">
        <f t="shared" si="1057"/>
        <v>d</v>
      </c>
      <c r="AP623" t="str">
        <f t="shared" si="1058"/>
        <v>o</v>
      </c>
      <c r="AQ623" t="str">
        <f>IF(AM623&lt;&gt;"",AM623,IF($AC623=#REF!,#REF!,""))</f>
        <v>Away</v>
      </c>
      <c r="AR623" t="str">
        <f t="shared" si="1059"/>
        <v>a</v>
      </c>
      <c r="AS623" t="str">
        <f t="shared" si="1060"/>
        <v>Offensive</v>
      </c>
      <c r="AT623" t="str">
        <f t="shared" si="1011"/>
        <v/>
      </c>
      <c r="AU623" t="str">
        <f t="shared" si="1012"/>
        <v/>
      </c>
      <c r="AV623" t="str" cm="1">
        <f t="array" ref="AV623">IFERROR(IF(O623&lt;&gt;"",O623,IF(OR($S623="",$T623=""),"",IF(O623&lt;&gt;"",O623,IF($T623&lt;&gt;"",_xlfn._xlws.FILTER(O:O,($BT:$BT=$BT623)*($I:$I=$I623)*($T:$T=$T623)*($S:$S=_xlfn.MINIFS($S:$S,$T:$T,"="&amp;$T623)),"")))))&amp;"",IF(O623="","",""))&amp;""</f>
        <v>SecondTouch</v>
      </c>
      <c r="AW623" t="str" cm="1">
        <f t="array" ref="AW623">IFERROR(IF(P623&lt;&gt;"",P623,IF(OR($S623="",$T623=""),"",IF($T623&lt;&gt;"",_xlfn._xlws.FILTER(P:P,($BT:$BT=$BT623)*($I:$I=$I623)*($T:$T=$T623)*($S:$S=_xlfn.MINIFS($S:$S,$T:$T,"="&amp;$T623)),""))))&amp;"",IF(P623="","",""))&amp;""</f>
        <v/>
      </c>
      <c r="AX623" t="str" cm="1">
        <f t="array" ref="AX623">IFERROR(IF(Q623&lt;&gt;"",Q623,IF(OR($S623="",$T623=""),"",IF($T623&lt;&gt;"",_xlfn._xlws.FILTER(Q:Q,($BT:$BT=$BT623)*($I:$I=$I623)*($T:$T=$T623)*($S:$S=_xlfn.MINIFS($S:$S,$T:$T,"="&amp;$T623)),""))))&amp;"",IF(Q623="","",""))&amp;""</f>
        <v>s</v>
      </c>
      <c r="AY623" t="str" cm="1">
        <f t="array" ref="AY623">IFERROR(IF(R623&lt;&gt;"",R623,IF(OR($S623="",$T623=""),"",IF($T623&lt;&gt;"",_xlfn._xlws.FILTER(R:R,($BT:$BT=$BT623)*($I:$I=$I623)*($T:$T=$T623)*($S:$S=_xlfn.MINIFS($S:$S,$T:$T,"="&amp;$T623)),""))))&amp;"",IF(R623="","",""))&amp;""</f>
        <v>1</v>
      </c>
      <c r="AZ623" s="6">
        <f t="shared" si="1013"/>
        <v>51</v>
      </c>
      <c r="BA623">
        <f t="shared" ref="BA623:BC623" si="1082">BA622</f>
        <v>18991</v>
      </c>
      <c r="BB623" t="str">
        <f t="shared" si="1082"/>
        <v>Triple J</v>
      </c>
      <c r="BC623" t="str">
        <f t="shared" si="1082"/>
        <v>Velodrome</v>
      </c>
      <c r="BD623" t="str">
        <f t="shared" si="1015"/>
        <v>Pass</v>
      </c>
      <c r="BE623" t="str">
        <f t="shared" si="1016"/>
        <v>Pass_Completed</v>
      </c>
      <c r="BF623" t="str">
        <f t="shared" si="1017"/>
        <v>Pass-Bank</v>
      </c>
      <c r="BG623" t="str">
        <f t="shared" si="999"/>
        <v>s</v>
      </c>
      <c r="BH623" t="e" cm="1" vm="1">
        <f t="array" aca="1" ref="BH623" ca="1">IFERROR(_xlfn._xlws.FILTER(shifts!A:A,(shifts!B:B=events!Z623)*(shifts!AG:AG&gt;=events!BJ623)*(shifts!AH:AH&lt;=events!BK623)),BH622)</f>
        <v>#VALUE!</v>
      </c>
      <c r="BI623" s="15">
        <f t="shared" si="1018"/>
        <v>0</v>
      </c>
      <c r="BJ623">
        <f t="shared" si="1019"/>
        <v>541</v>
      </c>
      <c r="BK623">
        <f t="shared" si="1020"/>
        <v>541</v>
      </c>
      <c r="BL623" s="15">
        <f>SUMIFS(BI$2:BI623,K$2:K623,"=Intermission")+SUMIFS(BI$2:BI623,K$2:K623,"=Timeout")</f>
        <v>0</v>
      </c>
      <c r="BM623">
        <f t="shared" si="1021"/>
        <v>0</v>
      </c>
      <c r="BN623" s="19">
        <f t="shared" si="1022"/>
        <v>539</v>
      </c>
      <c r="BO623">
        <f t="shared" si="1023"/>
        <v>534</v>
      </c>
      <c r="BP623" s="17">
        <f t="shared" si="1024"/>
        <v>539</v>
      </c>
      <c r="BQ623" t="str">
        <f t="shared" si="1025"/>
        <v>event_team_player_1</v>
      </c>
      <c r="BR623">
        <f>COUNTIFS(S$3:S623,"="&amp;S623,AH$3:AH623,"="&amp;AH623)</f>
        <v>1</v>
      </c>
      <c r="BS623" t="str">
        <f>IFERROR(VLOOKUP(BA623&amp;BT623&amp;X623,game_rosters!U:W,3,FALSE),"")</f>
        <v>P100230</v>
      </c>
      <c r="BT623" t="str">
        <f t="shared" si="1026"/>
        <v>Velodrome</v>
      </c>
    </row>
    <row r="624" spans="1:72" x14ac:dyDescent="0.2">
      <c r="A624" t="str">
        <f t="shared" si="1001"/>
        <v/>
      </c>
      <c r="E624" s="4"/>
      <c r="F624" s="45"/>
      <c r="G624" s="4"/>
      <c r="H624" s="47"/>
      <c r="I624" s="26">
        <v>91</v>
      </c>
      <c r="J624" s="26" t="str">
        <f t="shared" si="1029"/>
        <v/>
      </c>
      <c r="N624" t="str">
        <f t="shared" si="1045"/>
        <v/>
      </c>
      <c r="Q624" t="str">
        <f t="shared" si="1039"/>
        <v/>
      </c>
      <c r="S624">
        <f>IF(A624=1,MAX($S$2:$S623)+1,IF(OR($I624&lt;&gt;"",A624="x"),$S623,""))</f>
        <v>311</v>
      </c>
      <c r="T624" t="str">
        <f>IF(D624=1,MAX($T$2:$T623)+1,IF(S624=S623,$T623,IF(D624="x",T623,IF(D623="x","",""))))</f>
        <v/>
      </c>
      <c r="U624" t="str">
        <f>IF(B624=1,MAX($U$2:$U623)+1,IF(AND($T624&lt;&gt;"",$T624=$T623),$U623,IF(B624="x",U623,"")))</f>
        <v/>
      </c>
      <c r="V624" t="str">
        <f>IF(C624=1,MAX($V$2:$V623)+1,IF(AND($T624&lt;&gt;"",$T624=$T623),$U623,IF(C624="x",V623,"")))</f>
        <v/>
      </c>
      <c r="W624" t="str" cm="1">
        <f t="array" ref="W624">IFERROR(_xlfn._xlws.FILTER(game_rosters!AC:AC,(game_rosters!J:J=events!X624)*(K624&lt;&gt;"")),"")</f>
        <v/>
      </c>
      <c r="X624" cm="1">
        <f t="array" ref="X624">IF($I624&lt;&gt;"",$I624,INDEX($I$1:$I624,ROW()-COUNTIFS($T$1:$T624,"="&amp;$T624,$S$1:$S624,"&lt;"&amp;$S624)))</f>
        <v>91</v>
      </c>
      <c r="Y624" cm="1">
        <f t="array" ref="Y624">IFERROR(IF(_xlfn._xlws.FILTER(game_rosters!$J:$J,(game_rosters!$G:$G=events!$AM624)*(game_rosters!$J:$J=events!$X624))&gt;0,1,""),"")</f>
        <v>1</v>
      </c>
      <c r="Z624" s="6">
        <f t="shared" si="1002"/>
        <v>1</v>
      </c>
      <c r="AA624">
        <f t="shared" si="1003"/>
        <v>1311</v>
      </c>
      <c r="AB624" t="str">
        <f t="shared" si="1004"/>
        <v/>
      </c>
      <c r="AC624">
        <f t="shared" si="1005"/>
        <v>1311</v>
      </c>
      <c r="AD624" t="str">
        <f t="shared" si="1006"/>
        <v>9</v>
      </c>
      <c r="AE624" t="str">
        <f t="shared" si="1007"/>
        <v>01</v>
      </c>
      <c r="AF624" t="str">
        <f t="shared" si="1008"/>
        <v/>
      </c>
      <c r="AG624" t="str">
        <f t="shared" si="1009"/>
        <v/>
      </c>
      <c r="AH624" t="str">
        <f t="shared" si="1052"/>
        <v>e</v>
      </c>
      <c r="AI624" t="str">
        <f t="shared" si="1077"/>
        <v>o</v>
      </c>
      <c r="AJ624" t="str">
        <f t="shared" si="1077"/>
        <v>o</v>
      </c>
      <c r="AK624" t="str">
        <f t="shared" si="1054"/>
        <v/>
      </c>
      <c r="AL624" t="str">
        <f t="shared" si="1055"/>
        <v/>
      </c>
      <c r="AM624" t="str">
        <f t="shared" si="1010"/>
        <v>Away</v>
      </c>
      <c r="AN624" t="str">
        <f t="shared" si="1056"/>
        <v>a</v>
      </c>
      <c r="AO624" t="str">
        <f t="shared" si="1057"/>
        <v>d</v>
      </c>
      <c r="AP624" t="str">
        <f t="shared" si="1058"/>
        <v>o</v>
      </c>
      <c r="AQ624" t="str">
        <f>IF(AM624&lt;&gt;"",AM624,IF($AC624=#REF!,#REF!,""))</f>
        <v>Away</v>
      </c>
      <c r="AR624" t="str">
        <f t="shared" si="1059"/>
        <v>a</v>
      </c>
      <c r="AS624" t="str">
        <f t="shared" si="1060"/>
        <v>Offensive</v>
      </c>
      <c r="AT624" t="str">
        <f t="shared" si="1011"/>
        <v/>
      </c>
      <c r="AU624" t="str">
        <f t="shared" si="1012"/>
        <v/>
      </c>
      <c r="AV624" t="str" cm="1">
        <f t="array" ref="AV624">IFERROR(IF(O624&lt;&gt;"",O624,IF(OR($S624="",$T624=""),"",IF(O624&lt;&gt;"",O624,IF($T624&lt;&gt;"",_xlfn._xlws.FILTER(O:O,($BT:$BT=$BT624)*($I:$I=$I624)*($T:$T=$T624)*($S:$S=_xlfn.MINIFS($S:$S,$T:$T,"="&amp;$T624)),"")))))&amp;"",IF(O624="","",""))&amp;""</f>
        <v/>
      </c>
      <c r="AW624" t="str" cm="1">
        <f t="array" ref="AW624">IFERROR(IF(P624&lt;&gt;"",P624,IF(OR($S624="",$T624=""),"",IF($T624&lt;&gt;"",_xlfn._xlws.FILTER(P:P,($BT:$BT=$BT624)*($I:$I=$I624)*($T:$T=$T624)*($S:$S=_xlfn.MINIFS($S:$S,$T:$T,"="&amp;$T624)),""))))&amp;"",IF(P624="","",""))&amp;""</f>
        <v/>
      </c>
      <c r="AX624" t="str" cm="1">
        <f t="array" ref="AX624">IFERROR(IF(Q624&lt;&gt;"",Q624,IF(OR($S624="",$T624=""),"",IF($T624&lt;&gt;"",_xlfn._xlws.FILTER(Q:Q,($BT:$BT=$BT624)*($I:$I=$I624)*($T:$T=$T624)*($S:$S=_xlfn.MINIFS($S:$S,$T:$T,"="&amp;$T624)),""))))&amp;"",IF(Q624="","",""))&amp;""</f>
        <v/>
      </c>
      <c r="AY624" t="str" cm="1">
        <f t="array" ref="AY624">IFERROR(IF(R624&lt;&gt;"",R624,IF(OR($S624="",$T624=""),"",IF($T624&lt;&gt;"",_xlfn._xlws.FILTER(R:R,($BT:$BT=$BT624)*($I:$I=$I624)*($T:$T=$T624)*($S:$S=_xlfn.MINIFS($S:$S,$T:$T,"="&amp;$T624)),""))))&amp;"",IF(R624="","",""))&amp;""</f>
        <v/>
      </c>
      <c r="AZ624" s="6">
        <f t="shared" si="1013"/>
        <v>51</v>
      </c>
      <c r="BA624">
        <f t="shared" ref="BA624:BC624" si="1083">BA623</f>
        <v>18991</v>
      </c>
      <c r="BB624" t="str">
        <f t="shared" si="1083"/>
        <v>Triple J</v>
      </c>
      <c r="BC624" t="str">
        <f t="shared" si="1083"/>
        <v>Velodrome</v>
      </c>
      <c r="BD624" t="str">
        <f t="shared" si="1015"/>
        <v>Pass</v>
      </c>
      <c r="BE624" t="str">
        <f t="shared" si="1016"/>
        <v>Pass_Completed</v>
      </c>
      <c r="BF624" t="str">
        <f t="shared" si="1017"/>
        <v>Pass-Bank</v>
      </c>
      <c r="BG624" t="str">
        <f t="shared" si="999"/>
        <v>s</v>
      </c>
      <c r="BH624" t="e" cm="1" vm="1">
        <f t="array" aca="1" ref="BH624" ca="1">IFERROR(_xlfn._xlws.FILTER(shifts!A:A,(shifts!B:B=events!Z624)*(shifts!AG:AG&gt;=events!BJ624)*(shifts!AH:AH&lt;=events!BK624)),BH623)</f>
        <v>#VALUE!</v>
      </c>
      <c r="BI624" s="15">
        <f t="shared" si="1018"/>
        <v>0</v>
      </c>
      <c r="BJ624">
        <f t="shared" si="1019"/>
        <v>541</v>
      </c>
      <c r="BK624">
        <f t="shared" si="1020"/>
        <v>541</v>
      </c>
      <c r="BL624" s="15">
        <f>SUMIFS(BI$2:BI624,K$2:K624,"=Intermission")+SUMIFS(BI$2:BI624,K$2:K624,"=Timeout")</f>
        <v>0</v>
      </c>
      <c r="BM624">
        <f t="shared" si="1021"/>
        <v>0</v>
      </c>
      <c r="BN624" s="19">
        <f t="shared" si="1022"/>
        <v>539</v>
      </c>
      <c r="BO624">
        <f t="shared" si="1023"/>
        <v>534</v>
      </c>
      <c r="BP624" s="17">
        <f t="shared" si="1024"/>
        <v>539</v>
      </c>
      <c r="BQ624" t="str">
        <f t="shared" si="1025"/>
        <v>event_team_player_2</v>
      </c>
      <c r="BR624">
        <f>COUNTIFS(S$3:S624,"="&amp;S624,AH$3:AH624,"="&amp;AH624)</f>
        <v>2</v>
      </c>
      <c r="BS624" t="str">
        <f>IFERROR(VLOOKUP(BA624&amp;BT624&amp;X624,game_rosters!U:W,3,FALSE),"")</f>
        <v>P100002</v>
      </c>
      <c r="BT624" t="str">
        <f t="shared" si="1026"/>
        <v>Velodrome</v>
      </c>
    </row>
    <row r="625" spans="1:72" x14ac:dyDescent="0.2">
      <c r="A625" t="str">
        <f t="shared" si="1001"/>
        <v/>
      </c>
      <c r="E625" s="4"/>
      <c r="F625" s="45"/>
      <c r="G625" s="4"/>
      <c r="H625" s="47"/>
      <c r="I625" s="26">
        <v>19</v>
      </c>
      <c r="J625" s="26" t="str">
        <f t="shared" si="1029"/>
        <v/>
      </c>
      <c r="N625" t="str">
        <f t="shared" si="1045"/>
        <v/>
      </c>
      <c r="Q625" t="str">
        <f t="shared" si="1039"/>
        <v/>
      </c>
      <c r="R625" s="26">
        <v>1</v>
      </c>
      <c r="S625">
        <f>IF(A625=1,MAX($S$2:$S624)+1,IF(OR($I625&lt;&gt;"",A625="x"),$S624,""))</f>
        <v>311</v>
      </c>
      <c r="T625" t="str">
        <f>IF(D625=1,MAX($T$2:$T624)+1,IF(S625=S624,$T624,IF(D625="x",T624,IF(D624="x","",""))))</f>
        <v/>
      </c>
      <c r="U625" t="str">
        <f>IF(B625=1,MAX($U$2:$U624)+1,IF(AND($T625&lt;&gt;"",$T625=$T624),$U624,IF(B625="x",U624,"")))</f>
        <v/>
      </c>
      <c r="V625" t="str">
        <f>IF(C625=1,MAX($V$2:$V624)+1,IF(AND($T625&lt;&gt;"",$T625=$T624),$U624,IF(C625="x",V624,"")))</f>
        <v/>
      </c>
      <c r="W625" t="str" cm="1">
        <f t="array" ref="W625">IFERROR(_xlfn._xlws.FILTER(game_rosters!AC:AC,(game_rosters!J:J=events!X625)*(K625&lt;&gt;"")),"")</f>
        <v/>
      </c>
      <c r="X625" cm="1">
        <f t="array" ref="X625">IF($I625&lt;&gt;"",$I625,INDEX($I$1:$I625,ROW()-COUNTIFS($T$1:$T625,"="&amp;$T625,$S$1:$S625,"&lt;"&amp;$S625)))</f>
        <v>19</v>
      </c>
      <c r="Y625" t="str" cm="1">
        <f t="array" ref="Y625">IFERROR(IF(_xlfn._xlws.FILTER(game_rosters!$J:$J,(game_rosters!$G:$G=events!$AM625)*(game_rosters!$J:$J=events!$X625))&gt;0,1,""),"")</f>
        <v/>
      </c>
      <c r="Z625" s="6">
        <f t="shared" si="1002"/>
        <v>1</v>
      </c>
      <c r="AA625">
        <f t="shared" si="1003"/>
        <v>1311</v>
      </c>
      <c r="AB625" t="str">
        <f t="shared" si="1004"/>
        <v/>
      </c>
      <c r="AC625">
        <f t="shared" si="1005"/>
        <v>1311</v>
      </c>
      <c r="AD625" t="str">
        <f t="shared" si="1006"/>
        <v>9</v>
      </c>
      <c r="AE625" t="str">
        <f t="shared" si="1007"/>
        <v>01</v>
      </c>
      <c r="AF625" t="str">
        <f t="shared" si="1008"/>
        <v/>
      </c>
      <c r="AG625" t="str">
        <f t="shared" si="1009"/>
        <v/>
      </c>
      <c r="AH625" t="str">
        <f t="shared" si="1052"/>
        <v>o</v>
      </c>
      <c r="AI625" t="str">
        <f t="shared" si="1077"/>
        <v>o</v>
      </c>
      <c r="AJ625" t="str">
        <f t="shared" si="1077"/>
        <v>o</v>
      </c>
      <c r="AK625" t="str">
        <f t="shared" si="1054"/>
        <v/>
      </c>
      <c r="AL625" t="str">
        <f t="shared" si="1055"/>
        <v/>
      </c>
      <c r="AM625" t="str">
        <f t="shared" si="1010"/>
        <v>Away</v>
      </c>
      <c r="AN625" t="str">
        <f t="shared" si="1056"/>
        <v>a</v>
      </c>
      <c r="AO625" t="str">
        <f t="shared" si="1057"/>
        <v>d</v>
      </c>
      <c r="AP625" t="str">
        <f t="shared" si="1058"/>
        <v>o</v>
      </c>
      <c r="AQ625" t="str">
        <f>IF(AM625&lt;&gt;"",AM625,IF($AC625=#REF!,#REF!,""))</f>
        <v>Away</v>
      </c>
      <c r="AR625" t="str">
        <f t="shared" si="1059"/>
        <v>a</v>
      </c>
      <c r="AS625" t="str">
        <f t="shared" si="1060"/>
        <v>Defensive</v>
      </c>
      <c r="AT625" t="str">
        <f t="shared" si="1011"/>
        <v/>
      </c>
      <c r="AU625" t="str">
        <f t="shared" si="1012"/>
        <v/>
      </c>
      <c r="AV625" t="str" cm="1">
        <f t="array" ref="AV625">IFERROR(IF(O625&lt;&gt;"",O625,IF(OR($S625="",$T625=""),"",IF(O625&lt;&gt;"",O625,IF($T625&lt;&gt;"",_xlfn._xlws.FILTER(O:O,($BT:$BT=$BT625)*($I:$I=$I625)*($T:$T=$T625)*($S:$S=_xlfn.MINIFS($S:$S,$T:$T,"="&amp;$T625)),"")))))&amp;"",IF(O625="","",""))&amp;""</f>
        <v/>
      </c>
      <c r="AW625" t="str" cm="1">
        <f t="array" ref="AW625">IFERROR(IF(P625&lt;&gt;"",P625,IF(OR($S625="",$T625=""),"",IF($T625&lt;&gt;"",_xlfn._xlws.FILTER(P:P,($BT:$BT=$BT625)*($I:$I=$I625)*($T:$T=$T625)*($S:$S=_xlfn.MINIFS($S:$S,$T:$T,"="&amp;$T625)),""))))&amp;"",IF(P625="","",""))&amp;""</f>
        <v/>
      </c>
      <c r="AX625" t="str" cm="1">
        <f t="array" ref="AX625">IFERROR(IF(Q625&lt;&gt;"",Q625,IF(OR($S625="",$T625=""),"",IF($T625&lt;&gt;"",_xlfn._xlws.FILTER(Q:Q,($BT:$BT=$BT625)*($I:$I=$I625)*($T:$T=$T625)*($S:$S=_xlfn.MINIFS($S:$S,$T:$T,"="&amp;$T625)),""))))&amp;"",IF(Q625="","",""))&amp;""</f>
        <v/>
      </c>
      <c r="AY625" t="str" cm="1">
        <f t="array" ref="AY625">IFERROR(IF(R625&lt;&gt;"",R625,IF(OR($S625="",$T625=""),"",IF($T625&lt;&gt;"",_xlfn._xlws.FILTER(R:R,($BT:$BT=$BT625)*($I:$I=$I625)*($T:$T=$T625)*($S:$S=_xlfn.MINIFS($S:$S,$T:$T,"="&amp;$T625)),""))))&amp;"",IF(R625="","",""))&amp;""</f>
        <v>1</v>
      </c>
      <c r="AZ625" s="6">
        <f t="shared" si="1013"/>
        <v>51</v>
      </c>
      <c r="BA625">
        <f t="shared" ref="BA625:BC625" si="1084">BA624</f>
        <v>18991</v>
      </c>
      <c r="BB625" t="str">
        <f t="shared" si="1084"/>
        <v>Triple J</v>
      </c>
      <c r="BC625" t="str">
        <f t="shared" si="1084"/>
        <v>Velodrome</v>
      </c>
      <c r="BD625" t="str">
        <f t="shared" si="1015"/>
        <v>Pass</v>
      </c>
      <c r="BE625" t="str">
        <f t="shared" si="1016"/>
        <v>Pass_Completed</v>
      </c>
      <c r="BF625" t="str">
        <f t="shared" si="1017"/>
        <v>Pass-Bank</v>
      </c>
      <c r="BG625" t="str">
        <f t="shared" si="999"/>
        <v>s</v>
      </c>
      <c r="BH625" t="e" cm="1" vm="1">
        <f t="array" aca="1" ref="BH625" ca="1">IFERROR(_xlfn._xlws.FILTER(shifts!A:A,(shifts!B:B=events!Z625)*(shifts!AG:AG&gt;=events!BJ625)*(shifts!AH:AH&lt;=events!BK625)),BH624)</f>
        <v>#VALUE!</v>
      </c>
      <c r="BI625" s="15">
        <f t="shared" si="1018"/>
        <v>0</v>
      </c>
      <c r="BJ625">
        <f t="shared" si="1019"/>
        <v>541</v>
      </c>
      <c r="BK625">
        <f t="shared" si="1020"/>
        <v>541</v>
      </c>
      <c r="BL625" s="15">
        <f>SUMIFS(BI$2:BI625,K$2:K625,"=Intermission")+SUMIFS(BI$2:BI625,K$2:K625,"=Timeout")</f>
        <v>0</v>
      </c>
      <c r="BM625">
        <f t="shared" si="1021"/>
        <v>0</v>
      </c>
      <c r="BN625" s="19">
        <f t="shared" si="1022"/>
        <v>539</v>
      </c>
      <c r="BO625">
        <f t="shared" si="1023"/>
        <v>534</v>
      </c>
      <c r="BP625" s="17">
        <f t="shared" si="1024"/>
        <v>539</v>
      </c>
      <c r="BQ625" t="str">
        <f t="shared" si="1025"/>
        <v>opp_team_player_1</v>
      </c>
      <c r="BR625">
        <f>COUNTIFS(S$3:S625,"="&amp;S625,AH$3:AH625,"="&amp;AH625)</f>
        <v>1</v>
      </c>
      <c r="BS625" t="str">
        <f>IFERROR(VLOOKUP(BA625&amp;BT625&amp;X625,game_rosters!U:W,3,FALSE),"")</f>
        <v>P100089</v>
      </c>
      <c r="BT625" t="str">
        <f t="shared" si="1026"/>
        <v>Triple J</v>
      </c>
    </row>
    <row r="626" spans="1:72" x14ac:dyDescent="0.2">
      <c r="A626">
        <f t="shared" si="1001"/>
        <v>1</v>
      </c>
      <c r="E626" s="4" t="s">
        <v>1071</v>
      </c>
      <c r="F626" s="45" t="s">
        <v>1028</v>
      </c>
      <c r="G626" s="4" t="s">
        <v>1071</v>
      </c>
      <c r="H626" s="47" t="s">
        <v>1059</v>
      </c>
      <c r="I626" s="26">
        <v>91</v>
      </c>
      <c r="J626" s="26" t="s">
        <v>368</v>
      </c>
      <c r="K626" t="s">
        <v>13</v>
      </c>
      <c r="N626" t="str">
        <f t="shared" si="1045"/>
        <v/>
      </c>
      <c r="Q626" t="str">
        <f t="shared" si="1039"/>
        <v/>
      </c>
      <c r="R626" s="26">
        <v>1</v>
      </c>
      <c r="S626">
        <f>IF(A626=1,MAX($S$2:$S625)+1,IF(OR($I626&lt;&gt;"",A626="x"),$S625,""))</f>
        <v>312</v>
      </c>
      <c r="T626" t="str">
        <f>IF(D626=1,MAX($T$2:$T625)+1,IF(S626=S625,$T625,IF(D626="x",T625,IF(D625="x","",""))))</f>
        <v/>
      </c>
      <c r="U626" t="str">
        <f>IF(B626=1,MAX($U$2:$U625)+1,IF(AND($T626&lt;&gt;"",$T626=$T625),$U625,IF(B626="x",U625,"")))</f>
        <v/>
      </c>
      <c r="V626" t="str">
        <f>IF(C626=1,MAX($V$2:$V625)+1,IF(AND($T626&lt;&gt;"",$T626=$T625),$U625,IF(C626="x",V625,"")))</f>
        <v/>
      </c>
      <c r="W626" t="str" cm="1">
        <f t="array" ref="W626">IFERROR(_xlfn._xlws.FILTER(game_rosters!AC:AC,(game_rosters!J:J=events!X626)*(K626&lt;&gt;"")),"")</f>
        <v>a</v>
      </c>
      <c r="X626" cm="1">
        <f t="array" ref="X626">IF($I626&lt;&gt;"",$I626,INDEX($I$1:$I626,ROW()-COUNTIFS($T$1:$T626,"="&amp;$T626,$S$1:$S626,"&lt;"&amp;$S626)))</f>
        <v>91</v>
      </c>
      <c r="Y626" cm="1">
        <f t="array" ref="Y626">IFERROR(IF(_xlfn._xlws.FILTER(game_rosters!$J:$J,(game_rosters!$G:$G=events!$AM626)*(game_rosters!$J:$J=events!$X626))&gt;0,1,""),"")</f>
        <v>1</v>
      </c>
      <c r="Z626" s="6">
        <f t="shared" si="1002"/>
        <v>1</v>
      </c>
      <c r="AA626">
        <f t="shared" si="1003"/>
        <v>1312</v>
      </c>
      <c r="AB626" t="str">
        <f t="shared" si="1004"/>
        <v/>
      </c>
      <c r="AC626">
        <f t="shared" si="1005"/>
        <v>1312</v>
      </c>
      <c r="AD626" t="str">
        <f t="shared" si="1006"/>
        <v>8</v>
      </c>
      <c r="AE626" t="str">
        <f t="shared" si="1007"/>
        <v>58</v>
      </c>
      <c r="AF626" t="str">
        <f t="shared" si="1008"/>
        <v>8</v>
      </c>
      <c r="AG626" t="str">
        <f t="shared" si="1009"/>
        <v>54</v>
      </c>
      <c r="AH626" t="str">
        <f t="shared" si="1052"/>
        <v>e</v>
      </c>
      <c r="AI626" t="str">
        <f t="shared" si="1077"/>
        <v>o</v>
      </c>
      <c r="AJ626" t="str">
        <f t="shared" si="1077"/>
        <v>o</v>
      </c>
      <c r="AK626" t="str">
        <f t="shared" si="1054"/>
        <v>d</v>
      </c>
      <c r="AL626" t="str">
        <f t="shared" si="1055"/>
        <v>o</v>
      </c>
      <c r="AM626" t="str">
        <f t="shared" si="1010"/>
        <v>Away</v>
      </c>
      <c r="AN626" t="str">
        <f t="shared" si="1056"/>
        <v>a</v>
      </c>
      <c r="AO626" t="str">
        <f t="shared" si="1057"/>
        <v>d</v>
      </c>
      <c r="AP626" t="str">
        <f t="shared" si="1058"/>
        <v>o</v>
      </c>
      <c r="AQ626" t="str">
        <f>IF(AM626&lt;&gt;"",AM626,IF($AC626=#REF!,#REF!,""))</f>
        <v>Away</v>
      </c>
      <c r="AR626" t="str">
        <f t="shared" si="1059"/>
        <v>a</v>
      </c>
      <c r="AS626" t="str">
        <f t="shared" si="1060"/>
        <v>Offensive</v>
      </c>
      <c r="AT626" t="str">
        <f t="shared" si="1011"/>
        <v/>
      </c>
      <c r="AU626" t="str">
        <f t="shared" si="1012"/>
        <v/>
      </c>
      <c r="AV626" t="str" cm="1">
        <f t="array" ref="AV626">IFERROR(IF(O626&lt;&gt;"",O626,IF(OR($S626="",$T626=""),"",IF(O626&lt;&gt;"",O626,IF($T626&lt;&gt;"",_xlfn._xlws.FILTER(O:O,($BT:$BT=$BT626)*($I:$I=$I626)*($T:$T=$T626)*($S:$S=_xlfn.MINIFS($S:$S,$T:$T,"="&amp;$T626)),"")))))&amp;"",IF(O626="","",""))&amp;""</f>
        <v/>
      </c>
      <c r="AW626" t="str" cm="1">
        <f t="array" ref="AW626">IFERROR(IF(P626&lt;&gt;"",P626,IF(OR($S626="",$T626=""),"",IF($T626&lt;&gt;"",_xlfn._xlws.FILTER(P:P,($BT:$BT=$BT626)*($I:$I=$I626)*($T:$T=$T626)*($S:$S=_xlfn.MINIFS($S:$S,$T:$T,"="&amp;$T626)),""))))&amp;"",IF(P626="","",""))&amp;""</f>
        <v/>
      </c>
      <c r="AX626" t="str" cm="1">
        <f t="array" ref="AX626">IFERROR(IF(Q626&lt;&gt;"",Q626,IF(OR($S626="",$T626=""),"",IF($T626&lt;&gt;"",_xlfn._xlws.FILTER(Q:Q,($BT:$BT=$BT626)*($I:$I=$I626)*($T:$T=$T626)*($S:$S=_xlfn.MINIFS($S:$S,$T:$T,"="&amp;$T626)),""))))&amp;"",IF(Q626="","",""))&amp;""</f>
        <v/>
      </c>
      <c r="AY626" t="str" cm="1">
        <f t="array" ref="AY626">IFERROR(IF(R626&lt;&gt;"",R626,IF(OR($S626="",$T626=""),"",IF($T626&lt;&gt;"",_xlfn._xlws.FILTER(R:R,($BT:$BT=$BT626)*($I:$I=$I626)*($T:$T=$T626)*($S:$S=_xlfn.MINIFS($S:$S,$T:$T,"="&amp;$T626)),""))))&amp;"",IF(R626="","",""))&amp;""</f>
        <v>1</v>
      </c>
      <c r="AZ626" s="6">
        <f t="shared" si="1013"/>
        <v>51</v>
      </c>
      <c r="BA626">
        <f t="shared" ref="BA626:BC626" si="1085">BA625</f>
        <v>18991</v>
      </c>
      <c r="BB626" t="str">
        <f t="shared" si="1085"/>
        <v>Triple J</v>
      </c>
      <c r="BC626" t="str">
        <f t="shared" si="1085"/>
        <v>Velodrome</v>
      </c>
      <c r="BD626" t="str">
        <f t="shared" si="1015"/>
        <v>Possession</v>
      </c>
      <c r="BE626" t="str">
        <f t="shared" si="1016"/>
        <v/>
      </c>
      <c r="BF626" t="str">
        <f t="shared" si="1017"/>
        <v/>
      </c>
      <c r="BG626" t="str">
        <f t="shared" si="999"/>
        <v/>
      </c>
      <c r="BH626" cm="1">
        <f t="array" aca="1" ref="BH626" ca="1">IFERROR(_xlfn._xlws.FILTER(shifts!A:A,(shifts!B:B=events!Z626)*(shifts!AG:AG&gt;=events!BJ626)*(shifts!AH:AH&lt;=events!BK626)),BH625)</f>
        <v>21</v>
      </c>
      <c r="BI626" s="15">
        <f t="shared" si="1018"/>
        <v>4</v>
      </c>
      <c r="BJ626">
        <f t="shared" si="1019"/>
        <v>538</v>
      </c>
      <c r="BK626">
        <f t="shared" si="1020"/>
        <v>534</v>
      </c>
      <c r="BL626" s="15">
        <f>SUMIFS(BI$2:BI626,K$2:K626,"=Intermission")+SUMIFS(BI$2:BI626,K$2:K626,"=Timeout")</f>
        <v>0</v>
      </c>
      <c r="BM626">
        <f t="shared" si="1021"/>
        <v>0</v>
      </c>
      <c r="BN626" s="19">
        <f t="shared" si="1022"/>
        <v>542</v>
      </c>
      <c r="BO626">
        <f t="shared" si="1023"/>
        <v>537</v>
      </c>
      <c r="BP626" s="17">
        <f t="shared" si="1024"/>
        <v>546</v>
      </c>
      <c r="BQ626" t="str">
        <f t="shared" si="1025"/>
        <v>event_team_player_1</v>
      </c>
      <c r="BR626">
        <f>COUNTIFS(S$3:S626,"="&amp;S626,AH$3:AH626,"="&amp;AH626)</f>
        <v>1</v>
      </c>
      <c r="BS626" t="str">
        <f>IFERROR(VLOOKUP(BA626&amp;BT626&amp;X626,game_rosters!U:W,3,FALSE),"")</f>
        <v>P100002</v>
      </c>
      <c r="BT626" t="str">
        <f t="shared" si="1026"/>
        <v>Velodrome</v>
      </c>
    </row>
    <row r="627" spans="1:72" x14ac:dyDescent="0.2">
      <c r="A627" t="str">
        <f t="shared" si="1001"/>
        <v/>
      </c>
      <c r="E627" s="4"/>
      <c r="F627" s="45"/>
      <c r="G627" s="4"/>
      <c r="H627" s="47"/>
      <c r="I627" s="26">
        <v>21</v>
      </c>
      <c r="J627" s="26" t="str">
        <f t="shared" si="1029"/>
        <v/>
      </c>
      <c r="N627" t="str">
        <f t="shared" si="1045"/>
        <v/>
      </c>
      <c r="O627" t="s">
        <v>563</v>
      </c>
      <c r="Q627" t="str">
        <f t="shared" si="1039"/>
        <v/>
      </c>
      <c r="R627" s="26">
        <v>1</v>
      </c>
      <c r="S627">
        <f>IF(A627=1,MAX($S$2:$S626)+1,IF(OR($I627&lt;&gt;"",A627="x"),$S626,""))</f>
        <v>312</v>
      </c>
      <c r="T627" t="str">
        <f>IF(D627=1,MAX($T$2:$T626)+1,IF(S627=S626,$T626,IF(D627="x",T626,IF(D626="x","",""))))</f>
        <v/>
      </c>
      <c r="U627" t="str">
        <f>IF(B627=1,MAX($U$2:$U626)+1,IF(AND($T627&lt;&gt;"",$T627=$T626),$U626,IF(B627="x",U626,"")))</f>
        <v/>
      </c>
      <c r="V627" t="str">
        <f>IF(C627=1,MAX($V$2:$V626)+1,IF(AND($T627&lt;&gt;"",$T627=$T626),$U626,IF(C627="x",V626,"")))</f>
        <v/>
      </c>
      <c r="W627" t="str" cm="1">
        <f t="array" ref="W627">IFERROR(_xlfn._xlws.FILTER(game_rosters!AC:AC,(game_rosters!J:J=events!X627)*(K627&lt;&gt;"")),"")</f>
        <v/>
      </c>
      <c r="X627" cm="1">
        <f t="array" ref="X627">IF($I627&lt;&gt;"",$I627,INDEX($I$1:$I627,ROW()-COUNTIFS($T$1:$T627,"="&amp;$T627,$S$1:$S627,"&lt;"&amp;$S627)))</f>
        <v>21</v>
      </c>
      <c r="Y627" t="str" cm="1">
        <f t="array" ref="Y627">IFERROR(IF(_xlfn._xlws.FILTER(game_rosters!$J:$J,(game_rosters!$G:$G=events!$AM627)*(game_rosters!$J:$J=events!$X627))&gt;0,1,""),"")</f>
        <v/>
      </c>
      <c r="Z627" s="6">
        <f t="shared" si="1002"/>
        <v>1</v>
      </c>
      <c r="AA627">
        <f t="shared" si="1003"/>
        <v>1312</v>
      </c>
      <c r="AB627" t="str">
        <f t="shared" si="1004"/>
        <v/>
      </c>
      <c r="AC627">
        <f t="shared" si="1005"/>
        <v>1312</v>
      </c>
      <c r="AD627" t="str">
        <f t="shared" si="1006"/>
        <v>8</v>
      </c>
      <c r="AE627" t="str">
        <f t="shared" si="1007"/>
        <v>58</v>
      </c>
      <c r="AF627" t="str">
        <f t="shared" si="1008"/>
        <v>8</v>
      </c>
      <c r="AG627" t="str">
        <f t="shared" si="1009"/>
        <v>54</v>
      </c>
      <c r="AH627" t="str">
        <f t="shared" si="1052"/>
        <v>o</v>
      </c>
      <c r="AI627" t="str">
        <f t="shared" si="1077"/>
        <v>o</v>
      </c>
      <c r="AJ627" t="str">
        <f t="shared" si="1077"/>
        <v>o</v>
      </c>
      <c r="AK627" t="str">
        <f t="shared" si="1054"/>
        <v/>
      </c>
      <c r="AL627" t="str">
        <f t="shared" si="1055"/>
        <v/>
      </c>
      <c r="AM627" t="str">
        <f t="shared" si="1010"/>
        <v>Away</v>
      </c>
      <c r="AN627" t="str">
        <f t="shared" si="1056"/>
        <v>a</v>
      </c>
      <c r="AO627" t="str">
        <f t="shared" si="1057"/>
        <v>d</v>
      </c>
      <c r="AP627" t="str">
        <f t="shared" si="1058"/>
        <v>o</v>
      </c>
      <c r="AQ627" t="str">
        <f>IF(AM627&lt;&gt;"",AM627,IF($AC627=#REF!,#REF!,""))</f>
        <v>Away</v>
      </c>
      <c r="AR627" t="str">
        <f t="shared" si="1059"/>
        <v>a</v>
      </c>
      <c r="AS627" t="str">
        <f t="shared" si="1060"/>
        <v>Defensive</v>
      </c>
      <c r="AT627" t="str">
        <f t="shared" si="1011"/>
        <v/>
      </c>
      <c r="AU627" t="str">
        <f t="shared" si="1012"/>
        <v/>
      </c>
      <c r="AV627" t="str" cm="1">
        <f t="array" ref="AV627">IFERROR(IF(O627&lt;&gt;"",O627,IF(OR($S627="",$T627=""),"",IF(O627&lt;&gt;"",O627,IF($T627&lt;&gt;"",_xlfn._xlws.FILTER(O:O,($BT:$BT=$BT627)*($I:$I=$I627)*($T:$T=$T627)*($S:$S=_xlfn.MINIFS($S:$S,$T:$T,"="&amp;$T627)),"")))))&amp;"",IF(O627="","",""))&amp;""</f>
        <v>ManOnMan</v>
      </c>
      <c r="AW627" t="str" cm="1">
        <f t="array" ref="AW627">IFERROR(IF(P627&lt;&gt;"",P627,IF(OR($S627="",$T627=""),"",IF($T627&lt;&gt;"",_xlfn._xlws.FILTER(P:P,($BT:$BT=$BT627)*($I:$I=$I627)*($T:$T=$T627)*($S:$S=_xlfn.MINIFS($S:$S,$T:$T,"="&amp;$T627)),""))))&amp;"",IF(P627="","",""))&amp;""</f>
        <v/>
      </c>
      <c r="AX627" t="str" cm="1">
        <f t="array" ref="AX627">IFERROR(IF(Q627&lt;&gt;"",Q627,IF(OR($S627="",$T627=""),"",IF($T627&lt;&gt;"",_xlfn._xlws.FILTER(Q:Q,($BT:$BT=$BT627)*($I:$I=$I627)*($T:$T=$T627)*($S:$S=_xlfn.MINIFS($S:$S,$T:$T,"="&amp;$T627)),""))))&amp;"",IF(Q627="","",""))&amp;""</f>
        <v/>
      </c>
      <c r="AY627" t="str" cm="1">
        <f t="array" ref="AY627">IFERROR(IF(R627&lt;&gt;"",R627,IF(OR($S627="",$T627=""),"",IF($T627&lt;&gt;"",_xlfn._xlws.FILTER(R:R,($BT:$BT=$BT627)*($I:$I=$I627)*($T:$T=$T627)*($S:$S=_xlfn.MINIFS($S:$S,$T:$T,"="&amp;$T627)),""))))&amp;"",IF(R627="","",""))&amp;""</f>
        <v>1</v>
      </c>
      <c r="AZ627" s="6">
        <f t="shared" si="1013"/>
        <v>51</v>
      </c>
      <c r="BA627">
        <f t="shared" ref="BA627:BC627" si="1086">BA626</f>
        <v>18991</v>
      </c>
      <c r="BB627" t="str">
        <f t="shared" si="1086"/>
        <v>Triple J</v>
      </c>
      <c r="BC627" t="str">
        <f t="shared" si="1086"/>
        <v>Velodrome</v>
      </c>
      <c r="BD627" t="str">
        <f t="shared" si="1015"/>
        <v>Possession</v>
      </c>
      <c r="BE627" t="str">
        <f t="shared" si="1016"/>
        <v/>
      </c>
      <c r="BF627" t="str">
        <f t="shared" si="1017"/>
        <v/>
      </c>
      <c r="BG627" t="str">
        <f t="shared" si="999"/>
        <v/>
      </c>
      <c r="BH627" cm="1">
        <f t="array" aca="1" ref="BH627" ca="1">IFERROR(_xlfn._xlws.FILTER(shifts!A:A,(shifts!B:B=events!Z627)*(shifts!AG:AG&gt;=events!BJ627)*(shifts!AH:AH&lt;=events!BK627)),BH626)</f>
        <v>21</v>
      </c>
      <c r="BI627" s="15">
        <f t="shared" si="1018"/>
        <v>4</v>
      </c>
      <c r="BJ627">
        <f t="shared" si="1019"/>
        <v>538</v>
      </c>
      <c r="BK627">
        <f t="shared" si="1020"/>
        <v>534</v>
      </c>
      <c r="BL627" s="15">
        <f>SUMIFS(BI$2:BI627,K$2:K627,"=Intermission")+SUMIFS(BI$2:BI627,K$2:K627,"=Timeout")</f>
        <v>0</v>
      </c>
      <c r="BM627">
        <f t="shared" si="1021"/>
        <v>0</v>
      </c>
      <c r="BN627" s="19">
        <f t="shared" si="1022"/>
        <v>542</v>
      </c>
      <c r="BO627">
        <f t="shared" si="1023"/>
        <v>537</v>
      </c>
      <c r="BP627" s="17">
        <f t="shared" si="1024"/>
        <v>546</v>
      </c>
      <c r="BQ627" t="str">
        <f t="shared" si="1025"/>
        <v>opp_team_player_1</v>
      </c>
      <c r="BR627">
        <f>COUNTIFS(S$3:S627,"="&amp;S627,AH$3:AH627,"="&amp;AH627)</f>
        <v>1</v>
      </c>
      <c r="BS627" t="str">
        <f>IFERROR(VLOOKUP(BA627&amp;BT627&amp;X627,game_rosters!U:W,3,FALSE),"")</f>
        <v>P100019</v>
      </c>
      <c r="BT627" t="str">
        <f t="shared" si="1026"/>
        <v>Triple J</v>
      </c>
    </row>
    <row r="628" spans="1:72" x14ac:dyDescent="0.2">
      <c r="A628">
        <f t="shared" si="1001"/>
        <v>1</v>
      </c>
      <c r="E628" s="4"/>
      <c r="F628" s="45"/>
      <c r="G628" s="4"/>
      <c r="H628" s="47"/>
      <c r="I628" s="26">
        <v>91</v>
      </c>
      <c r="J628" s="26" t="s">
        <v>368</v>
      </c>
      <c r="K628" t="s">
        <v>7</v>
      </c>
      <c r="L628" t="s">
        <v>172</v>
      </c>
      <c r="M628" t="s">
        <v>68</v>
      </c>
      <c r="N628" t="str">
        <f t="shared" si="1045"/>
        <v>s</v>
      </c>
      <c r="Q628" t="str">
        <f t="shared" si="1039"/>
        <v/>
      </c>
      <c r="R628" s="26">
        <v>1</v>
      </c>
      <c r="S628">
        <f>IF(A628=1,MAX($S$2:$S627)+1,IF(OR($I628&lt;&gt;"",A628="x"),$S627,""))</f>
        <v>313</v>
      </c>
      <c r="T628" t="str">
        <f>IF(D628=1,MAX($T$2:$T627)+1,IF(S628=S627,$T627,IF(D628="x",T627,IF(D627="x","",""))))</f>
        <v/>
      </c>
      <c r="U628" t="str">
        <f>IF(B628=1,MAX($U$2:$U627)+1,IF(AND($T628&lt;&gt;"",$T628=$T627),$U627,IF(B628="x",U627,"")))</f>
        <v/>
      </c>
      <c r="V628" t="str">
        <f>IF(C628=1,MAX($V$2:$V627)+1,IF(AND($T628&lt;&gt;"",$T628=$T627),$U627,IF(C628="x",V627,"")))</f>
        <v/>
      </c>
      <c r="W628" t="str" cm="1">
        <f t="array" ref="W628">IFERROR(_xlfn._xlws.FILTER(game_rosters!AC:AC,(game_rosters!J:J=events!X628)*(K628&lt;&gt;"")),"")</f>
        <v>a</v>
      </c>
      <c r="X628" cm="1">
        <f t="array" ref="X628">IF($I628&lt;&gt;"",$I628,INDEX($I$1:$I628,ROW()-COUNTIFS($T$1:$T628,"="&amp;$T628,$S$1:$S628,"&lt;"&amp;$S628)))</f>
        <v>91</v>
      </c>
      <c r="Y628" cm="1">
        <f t="array" ref="Y628">IFERROR(IF(_xlfn._xlws.FILTER(game_rosters!$J:$J,(game_rosters!$G:$G=events!$AM628)*(game_rosters!$J:$J=events!$X628))&gt;0,1,""),"")</f>
        <v>1</v>
      </c>
      <c r="Z628" s="6">
        <f t="shared" si="1002"/>
        <v>1</v>
      </c>
      <c r="AA628">
        <f t="shared" si="1003"/>
        <v>1313</v>
      </c>
      <c r="AB628" t="str">
        <f t="shared" si="1004"/>
        <v/>
      </c>
      <c r="AC628">
        <f t="shared" si="1005"/>
        <v>1313</v>
      </c>
      <c r="AD628" t="str">
        <f t="shared" si="1006"/>
        <v>8</v>
      </c>
      <c r="AE628" t="str">
        <f t="shared" si="1007"/>
        <v>54</v>
      </c>
      <c r="AF628" t="str">
        <f t="shared" si="1008"/>
        <v/>
      </c>
      <c r="AG628" t="str">
        <f t="shared" si="1009"/>
        <v/>
      </c>
      <c r="AH628" t="str">
        <f t="shared" si="1052"/>
        <v>e</v>
      </c>
      <c r="AI628" t="str">
        <f t="shared" si="1077"/>
        <v>o</v>
      </c>
      <c r="AJ628" t="str">
        <f t="shared" si="1077"/>
        <v>o</v>
      </c>
      <c r="AK628" t="str">
        <f t="shared" si="1054"/>
        <v>d</v>
      </c>
      <c r="AL628" t="str">
        <f t="shared" si="1055"/>
        <v>o</v>
      </c>
      <c r="AM628" t="str">
        <f t="shared" si="1010"/>
        <v>Away</v>
      </c>
      <c r="AN628" t="str">
        <f t="shared" si="1056"/>
        <v>a</v>
      </c>
      <c r="AO628" t="str">
        <f t="shared" si="1057"/>
        <v>d</v>
      </c>
      <c r="AP628" t="str">
        <f t="shared" si="1058"/>
        <v>o</v>
      </c>
      <c r="AQ628" t="str">
        <f>IF(AM628&lt;&gt;"",AM628,IF($AC628=#REF!,#REF!,""))</f>
        <v>Away</v>
      </c>
      <c r="AR628" t="str">
        <f t="shared" si="1059"/>
        <v>a</v>
      </c>
      <c r="AS628" t="str">
        <f t="shared" si="1060"/>
        <v>Offensive</v>
      </c>
      <c r="AT628" t="str">
        <f t="shared" si="1011"/>
        <v/>
      </c>
      <c r="AU628" t="str">
        <f t="shared" si="1012"/>
        <v/>
      </c>
      <c r="AV628" t="str" cm="1">
        <f t="array" ref="AV628">IFERROR(IF(O628&lt;&gt;"",O628,IF(OR($S628="",$T628=""),"",IF(O628&lt;&gt;"",O628,IF($T628&lt;&gt;"",_xlfn._xlws.FILTER(O:O,($BT:$BT=$BT628)*($I:$I=$I628)*($T:$T=$T628)*($S:$S=_xlfn.MINIFS($S:$S,$T:$T,"="&amp;$T628)),"")))))&amp;"",IF(O628="","",""))&amp;""</f>
        <v/>
      </c>
      <c r="AW628" t="str" cm="1">
        <f t="array" ref="AW628">IFERROR(IF(P628&lt;&gt;"",P628,IF(OR($S628="",$T628=""),"",IF($T628&lt;&gt;"",_xlfn._xlws.FILTER(P:P,($BT:$BT=$BT628)*($I:$I=$I628)*($T:$T=$T628)*($S:$S=_xlfn.MINIFS($S:$S,$T:$T,"="&amp;$T628)),""))))&amp;"",IF(P628="","",""))&amp;""</f>
        <v/>
      </c>
      <c r="AX628" t="str" cm="1">
        <f t="array" ref="AX628">IFERROR(IF(Q628&lt;&gt;"",Q628,IF(OR($S628="",$T628=""),"",IF($T628&lt;&gt;"",_xlfn._xlws.FILTER(Q:Q,($BT:$BT=$BT628)*($I:$I=$I628)*($T:$T=$T628)*($S:$S=_xlfn.MINIFS($S:$S,$T:$T,"="&amp;$T628)),""))))&amp;"",IF(Q628="","",""))&amp;""</f>
        <v/>
      </c>
      <c r="AY628" t="str" cm="1">
        <f t="array" ref="AY628">IFERROR(IF(R628&lt;&gt;"",R628,IF(OR($S628="",$T628=""),"",IF($T628&lt;&gt;"",_xlfn._xlws.FILTER(R:R,($BT:$BT=$BT628)*($I:$I=$I628)*($T:$T=$T628)*($S:$S=_xlfn.MINIFS($S:$S,$T:$T,"="&amp;$T628)),""))))&amp;"",IF(R628="","",""))&amp;""</f>
        <v>1</v>
      </c>
      <c r="AZ628" s="6">
        <f t="shared" si="1013"/>
        <v>51</v>
      </c>
      <c r="BA628">
        <f t="shared" ref="BA628:BC628" si="1087">BA627</f>
        <v>18991</v>
      </c>
      <c r="BB628" t="str">
        <f t="shared" si="1087"/>
        <v>Triple J</v>
      </c>
      <c r="BC628" t="str">
        <f t="shared" si="1087"/>
        <v>Velodrome</v>
      </c>
      <c r="BD628" t="str">
        <f t="shared" si="1015"/>
        <v>Pass</v>
      </c>
      <c r="BE628" t="str">
        <f t="shared" si="1016"/>
        <v>Pass_Completed</v>
      </c>
      <c r="BF628" t="str">
        <f t="shared" si="1017"/>
        <v>Pass-Forehand</v>
      </c>
      <c r="BG628" t="str">
        <f t="shared" si="999"/>
        <v>s</v>
      </c>
      <c r="BH628" cm="1">
        <f t="array" aca="1" ref="BH628" ca="1">IFERROR(_xlfn._xlws.FILTER(shifts!A:A,(shifts!B:B=events!Z628)*(shifts!AG:AG&gt;=events!BJ628)*(shifts!AH:AH&lt;=events!BK628)),BH627)</f>
        <v>21</v>
      </c>
      <c r="BI628" s="15">
        <f t="shared" si="1018"/>
        <v>0</v>
      </c>
      <c r="BJ628">
        <f t="shared" si="1019"/>
        <v>534</v>
      </c>
      <c r="BK628">
        <f t="shared" si="1020"/>
        <v>534</v>
      </c>
      <c r="BL628" s="15">
        <f>SUMIFS(BI$2:BI628,K$2:K628,"=Intermission")+SUMIFS(BI$2:BI628,K$2:K628,"=Timeout")</f>
        <v>0</v>
      </c>
      <c r="BM628">
        <f t="shared" si="1021"/>
        <v>0</v>
      </c>
      <c r="BN628" s="19">
        <f t="shared" si="1022"/>
        <v>546</v>
      </c>
      <c r="BO628">
        <f t="shared" si="1023"/>
        <v>541</v>
      </c>
      <c r="BP628" s="17">
        <f t="shared" si="1024"/>
        <v>546</v>
      </c>
      <c r="BQ628" t="str">
        <f t="shared" si="1025"/>
        <v>event_team_player_1</v>
      </c>
      <c r="BR628">
        <f>COUNTIFS(S$3:S628,"="&amp;S628,AH$3:AH628,"="&amp;AH628)</f>
        <v>1</v>
      </c>
      <c r="BS628" t="str">
        <f>IFERROR(VLOOKUP(BA628&amp;BT628&amp;X628,game_rosters!U:W,3,FALSE),"")</f>
        <v>P100002</v>
      </c>
      <c r="BT628" t="str">
        <f t="shared" si="1026"/>
        <v>Velodrome</v>
      </c>
    </row>
    <row r="629" spans="1:72" x14ac:dyDescent="0.2">
      <c r="A629" t="str">
        <f t="shared" si="1001"/>
        <v/>
      </c>
      <c r="E629" s="4"/>
      <c r="F629" s="45"/>
      <c r="G629" s="4"/>
      <c r="H629" s="47"/>
      <c r="I629" s="26">
        <v>9</v>
      </c>
      <c r="J629" s="26" t="str">
        <f t="shared" si="1029"/>
        <v/>
      </c>
      <c r="N629" t="str">
        <f t="shared" si="1045"/>
        <v/>
      </c>
      <c r="Q629" t="str">
        <f t="shared" si="1039"/>
        <v/>
      </c>
      <c r="S629">
        <f>IF(A629=1,MAX($S$2:$S628)+1,IF(OR($I629&lt;&gt;"",A629="x"),$S628,""))</f>
        <v>313</v>
      </c>
      <c r="T629" t="str">
        <f>IF(D629=1,MAX($T$2:$T628)+1,IF(S629=S628,$T628,IF(D629="x",T628,IF(D628="x","",""))))</f>
        <v/>
      </c>
      <c r="U629" t="str">
        <f>IF(B629=1,MAX($U$2:$U628)+1,IF(AND($T629&lt;&gt;"",$T629=$T628),$U628,IF(B629="x",U628,"")))</f>
        <v/>
      </c>
      <c r="V629" t="str">
        <f>IF(C629=1,MAX($V$2:$V628)+1,IF(AND($T629&lt;&gt;"",$T629=$T628),$U628,IF(C629="x",V628,"")))</f>
        <v/>
      </c>
      <c r="W629" t="str" cm="1">
        <f t="array" ref="W629">IFERROR(_xlfn._xlws.FILTER(game_rosters!AC:AC,(game_rosters!J:J=events!X629)*(K629&lt;&gt;"")),"")</f>
        <v/>
      </c>
      <c r="X629" cm="1">
        <f t="array" ref="X629">IF($I629&lt;&gt;"",$I629,INDEX($I$1:$I629,ROW()-COUNTIFS($T$1:$T629,"="&amp;$T629,$S$1:$S629,"&lt;"&amp;$S629)))</f>
        <v>9</v>
      </c>
      <c r="Y629" cm="1">
        <f t="array" ref="Y629">IFERROR(IF(_xlfn._xlws.FILTER(game_rosters!$J:$J,(game_rosters!$G:$G=events!$AM629)*(game_rosters!$J:$J=events!$X629))&gt;0,1,""),"")</f>
        <v>1</v>
      </c>
      <c r="Z629" s="6">
        <f t="shared" si="1002"/>
        <v>1</v>
      </c>
      <c r="AA629">
        <f t="shared" si="1003"/>
        <v>1313</v>
      </c>
      <c r="AB629" t="str">
        <f t="shared" si="1004"/>
        <v/>
      </c>
      <c r="AC629">
        <f t="shared" si="1005"/>
        <v>1313</v>
      </c>
      <c r="AD629" t="str">
        <f t="shared" si="1006"/>
        <v>8</v>
      </c>
      <c r="AE629" t="str">
        <f t="shared" si="1007"/>
        <v>54</v>
      </c>
      <c r="AF629" t="str">
        <f t="shared" si="1008"/>
        <v/>
      </c>
      <c r="AG629" t="str">
        <f t="shared" si="1009"/>
        <v/>
      </c>
      <c r="AH629" t="str">
        <f t="shared" si="1052"/>
        <v>e</v>
      </c>
      <c r="AI629" t="str">
        <f t="shared" si="1077"/>
        <v>o</v>
      </c>
      <c r="AJ629" t="str">
        <f t="shared" si="1077"/>
        <v>o</v>
      </c>
      <c r="AK629" t="str">
        <f t="shared" si="1054"/>
        <v/>
      </c>
      <c r="AL629" t="str">
        <f t="shared" si="1055"/>
        <v/>
      </c>
      <c r="AM629" t="str">
        <f t="shared" si="1010"/>
        <v>Away</v>
      </c>
      <c r="AN629" t="str">
        <f t="shared" si="1056"/>
        <v>a</v>
      </c>
      <c r="AO629" t="str">
        <f t="shared" si="1057"/>
        <v>d</v>
      </c>
      <c r="AP629" t="str">
        <f t="shared" si="1058"/>
        <v>o</v>
      </c>
      <c r="AQ629" t="str">
        <f>IF(AM629&lt;&gt;"",AM629,IF($AC629=#REF!,#REF!,""))</f>
        <v>Away</v>
      </c>
      <c r="AR629" t="str">
        <f t="shared" si="1059"/>
        <v>a</v>
      </c>
      <c r="AS629" t="str">
        <f t="shared" si="1060"/>
        <v>Offensive</v>
      </c>
      <c r="AT629" t="str">
        <f t="shared" si="1011"/>
        <v/>
      </c>
      <c r="AU629" t="str">
        <f t="shared" si="1012"/>
        <v/>
      </c>
      <c r="AV629" t="str" cm="1">
        <f t="array" ref="AV629">IFERROR(IF(O629&lt;&gt;"",O629,IF(OR($S629="",$T629=""),"",IF(O629&lt;&gt;"",O629,IF($T629&lt;&gt;"",_xlfn._xlws.FILTER(O:O,($BT:$BT=$BT629)*($I:$I=$I629)*($T:$T=$T629)*($S:$S=_xlfn.MINIFS($S:$S,$T:$T,"="&amp;$T629)),"")))))&amp;"",IF(O629="","",""))&amp;""</f>
        <v/>
      </c>
      <c r="AW629" t="str" cm="1">
        <f t="array" ref="AW629">IFERROR(IF(P629&lt;&gt;"",P629,IF(OR($S629="",$T629=""),"",IF($T629&lt;&gt;"",_xlfn._xlws.FILTER(P:P,($BT:$BT=$BT629)*($I:$I=$I629)*($T:$T=$T629)*($S:$S=_xlfn.MINIFS($S:$S,$T:$T,"="&amp;$T629)),""))))&amp;"",IF(P629="","",""))&amp;""</f>
        <v/>
      </c>
      <c r="AX629" t="str" cm="1">
        <f t="array" ref="AX629">IFERROR(IF(Q629&lt;&gt;"",Q629,IF(OR($S629="",$T629=""),"",IF($T629&lt;&gt;"",_xlfn._xlws.FILTER(Q:Q,($BT:$BT=$BT629)*($I:$I=$I629)*($T:$T=$T629)*($S:$S=_xlfn.MINIFS($S:$S,$T:$T,"="&amp;$T629)),""))))&amp;"",IF(Q629="","",""))&amp;""</f>
        <v/>
      </c>
      <c r="AY629" t="str" cm="1">
        <f t="array" ref="AY629">IFERROR(IF(R629&lt;&gt;"",R629,IF(OR($S629="",$T629=""),"",IF($T629&lt;&gt;"",_xlfn._xlws.FILTER(R:R,($BT:$BT=$BT629)*($I:$I=$I629)*($T:$T=$T629)*($S:$S=_xlfn.MINIFS($S:$S,$T:$T,"="&amp;$T629)),""))))&amp;"",IF(R629="","",""))&amp;""</f>
        <v/>
      </c>
      <c r="AZ629" s="6">
        <f t="shared" si="1013"/>
        <v>51</v>
      </c>
      <c r="BA629">
        <f t="shared" ref="BA629:BC629" si="1088">BA628</f>
        <v>18991</v>
      </c>
      <c r="BB629" t="str">
        <f t="shared" si="1088"/>
        <v>Triple J</v>
      </c>
      <c r="BC629" t="str">
        <f t="shared" si="1088"/>
        <v>Velodrome</v>
      </c>
      <c r="BD629" t="str">
        <f t="shared" si="1015"/>
        <v>Pass</v>
      </c>
      <c r="BE629" t="str">
        <f t="shared" si="1016"/>
        <v>Pass_Completed</v>
      </c>
      <c r="BF629" t="str">
        <f t="shared" si="1017"/>
        <v>Pass-Forehand</v>
      </c>
      <c r="BG629" t="str">
        <f t="shared" si="999"/>
        <v>s</v>
      </c>
      <c r="BH629" cm="1">
        <f t="array" aca="1" ref="BH629" ca="1">IFERROR(_xlfn._xlws.FILTER(shifts!A:A,(shifts!B:B=events!Z629)*(shifts!AG:AG&gt;=events!BJ629)*(shifts!AH:AH&lt;=events!BK629)),BH628)</f>
        <v>21</v>
      </c>
      <c r="BI629" s="15">
        <f t="shared" si="1018"/>
        <v>0</v>
      </c>
      <c r="BJ629">
        <f t="shared" si="1019"/>
        <v>534</v>
      </c>
      <c r="BK629">
        <f t="shared" si="1020"/>
        <v>534</v>
      </c>
      <c r="BL629" s="15">
        <f>SUMIFS(BI$2:BI629,K$2:K629,"=Intermission")+SUMIFS(BI$2:BI629,K$2:K629,"=Timeout")</f>
        <v>0</v>
      </c>
      <c r="BM629">
        <f t="shared" si="1021"/>
        <v>0</v>
      </c>
      <c r="BN629" s="19">
        <f t="shared" si="1022"/>
        <v>546</v>
      </c>
      <c r="BO629">
        <f t="shared" si="1023"/>
        <v>541</v>
      </c>
      <c r="BP629" s="17">
        <f t="shared" si="1024"/>
        <v>546</v>
      </c>
      <c r="BQ629" t="str">
        <f t="shared" si="1025"/>
        <v>event_team_player_2</v>
      </c>
      <c r="BR629">
        <f>COUNTIFS(S$3:S629,"="&amp;S629,AH$3:AH629,"="&amp;AH629)</f>
        <v>2</v>
      </c>
      <c r="BS629" t="str">
        <f>IFERROR(VLOOKUP(BA629&amp;BT629&amp;X629,game_rosters!U:W,3,FALSE),"")</f>
        <v>P100105</v>
      </c>
      <c r="BT629" t="str">
        <f t="shared" si="1026"/>
        <v>Velodrome</v>
      </c>
    </row>
    <row r="630" spans="1:72" x14ac:dyDescent="0.2">
      <c r="A630" t="str">
        <f t="shared" si="1001"/>
        <v/>
      </c>
      <c r="E630" s="4"/>
      <c r="F630" s="45"/>
      <c r="G630" s="4"/>
      <c r="H630" s="47"/>
      <c r="I630" s="26">
        <v>21</v>
      </c>
      <c r="J630" s="26" t="str">
        <f t="shared" si="1029"/>
        <v/>
      </c>
      <c r="N630" t="str">
        <f t="shared" si="1045"/>
        <v/>
      </c>
      <c r="O630" t="s">
        <v>567</v>
      </c>
      <c r="Q630" t="str">
        <f t="shared" si="1039"/>
        <v/>
      </c>
      <c r="R630" s="26">
        <v>1</v>
      </c>
      <c r="S630">
        <f>IF(A630=1,MAX($S$2:$S629)+1,IF(OR($I630&lt;&gt;"",A630="x"),$S629,""))</f>
        <v>313</v>
      </c>
      <c r="T630" t="str">
        <f>IF(D630=1,MAX($T$2:$T629)+1,IF(S630=S629,$T629,IF(D630="x",T629,IF(D629="x","",""))))</f>
        <v/>
      </c>
      <c r="U630" t="str">
        <f>IF(B630=1,MAX($U$2:$U629)+1,IF(AND($T630&lt;&gt;"",$T630=$T629),$U629,IF(B630="x",U629,"")))</f>
        <v/>
      </c>
      <c r="V630" t="str">
        <f>IF(C630=1,MAX($V$2:$V629)+1,IF(AND($T630&lt;&gt;"",$T630=$T629),$U629,IF(C630="x",V629,"")))</f>
        <v/>
      </c>
      <c r="W630" t="str" cm="1">
        <f t="array" ref="W630">IFERROR(_xlfn._xlws.FILTER(game_rosters!AC:AC,(game_rosters!J:J=events!X630)*(K630&lt;&gt;"")),"")</f>
        <v/>
      </c>
      <c r="X630" cm="1">
        <f t="array" ref="X630">IF($I630&lt;&gt;"",$I630,INDEX($I$1:$I630,ROW()-COUNTIFS($T$1:$T630,"="&amp;$T630,$S$1:$S630,"&lt;"&amp;$S630)))</f>
        <v>21</v>
      </c>
      <c r="Y630" t="str" cm="1">
        <f t="array" ref="Y630">IFERROR(IF(_xlfn._xlws.FILTER(game_rosters!$J:$J,(game_rosters!$G:$G=events!$AM630)*(game_rosters!$J:$J=events!$X630))&gt;0,1,""),"")</f>
        <v/>
      </c>
      <c r="Z630" s="6">
        <f t="shared" si="1002"/>
        <v>1</v>
      </c>
      <c r="AA630">
        <f t="shared" si="1003"/>
        <v>1313</v>
      </c>
      <c r="AB630" t="str">
        <f t="shared" si="1004"/>
        <v/>
      </c>
      <c r="AC630">
        <f t="shared" si="1005"/>
        <v>1313</v>
      </c>
      <c r="AD630" t="str">
        <f t="shared" si="1006"/>
        <v>8</v>
      </c>
      <c r="AE630" t="str">
        <f t="shared" si="1007"/>
        <v>54</v>
      </c>
      <c r="AF630" t="str">
        <f t="shared" si="1008"/>
        <v/>
      </c>
      <c r="AG630" t="str">
        <f t="shared" si="1009"/>
        <v/>
      </c>
      <c r="AH630" t="str">
        <f t="shared" si="1052"/>
        <v>o</v>
      </c>
      <c r="AI630" t="str">
        <f t="shared" si="1077"/>
        <v>o</v>
      </c>
      <c r="AJ630" t="str">
        <f t="shared" si="1077"/>
        <v>o</v>
      </c>
      <c r="AK630" t="str">
        <f t="shared" si="1054"/>
        <v/>
      </c>
      <c r="AL630" t="str">
        <f t="shared" si="1055"/>
        <v/>
      </c>
      <c r="AM630" t="str">
        <f t="shared" si="1010"/>
        <v>Away</v>
      </c>
      <c r="AN630" t="str">
        <f t="shared" si="1056"/>
        <v>a</v>
      </c>
      <c r="AO630" t="str">
        <f t="shared" si="1057"/>
        <v>d</v>
      </c>
      <c r="AP630" t="str">
        <f t="shared" si="1058"/>
        <v>o</v>
      </c>
      <c r="AQ630" t="str">
        <f>IF(AM630&lt;&gt;"",AM630,IF($AC630=#REF!,#REF!,""))</f>
        <v>Away</v>
      </c>
      <c r="AR630" t="str">
        <f t="shared" si="1059"/>
        <v>a</v>
      </c>
      <c r="AS630" t="str">
        <f t="shared" si="1060"/>
        <v>Defensive</v>
      </c>
      <c r="AT630" t="str">
        <f t="shared" si="1011"/>
        <v/>
      </c>
      <c r="AU630" t="str">
        <f t="shared" si="1012"/>
        <v/>
      </c>
      <c r="AV630" t="str" cm="1">
        <f t="array" ref="AV630">IFERROR(IF(O630&lt;&gt;"",O630,IF(OR($S630="",$T630=""),"",IF(O630&lt;&gt;"",O630,IF($T630&lt;&gt;"",_xlfn._xlws.FILTER(O:O,($BT:$BT=$BT630)*($I:$I=$I630)*($T:$T=$T630)*($S:$S=_xlfn.MINIFS($S:$S,$T:$T,"="&amp;$T630)),"")))))&amp;"",IF(O630="","",""))&amp;""</f>
        <v>StickCheck</v>
      </c>
      <c r="AW630" t="str" cm="1">
        <f t="array" ref="AW630">IFERROR(IF(P630&lt;&gt;"",P630,IF(OR($S630="",$T630=""),"",IF($T630&lt;&gt;"",_xlfn._xlws.FILTER(P:P,($BT:$BT=$BT630)*($I:$I=$I630)*($T:$T=$T630)*($S:$S=_xlfn.MINIFS($S:$S,$T:$T,"="&amp;$T630)),""))))&amp;"",IF(P630="","",""))&amp;""</f>
        <v/>
      </c>
      <c r="AX630" t="str" cm="1">
        <f t="array" ref="AX630">IFERROR(IF(Q630&lt;&gt;"",Q630,IF(OR($S630="",$T630=""),"",IF($T630&lt;&gt;"",_xlfn._xlws.FILTER(Q:Q,($BT:$BT=$BT630)*($I:$I=$I630)*($T:$T=$T630)*($S:$S=_xlfn.MINIFS($S:$S,$T:$T,"="&amp;$T630)),""))))&amp;"",IF(Q630="","",""))&amp;""</f>
        <v/>
      </c>
      <c r="AY630" t="str" cm="1">
        <f t="array" ref="AY630">IFERROR(IF(R630&lt;&gt;"",R630,IF(OR($S630="",$T630=""),"",IF($T630&lt;&gt;"",_xlfn._xlws.FILTER(R:R,($BT:$BT=$BT630)*($I:$I=$I630)*($T:$T=$T630)*($S:$S=_xlfn.MINIFS($S:$S,$T:$T,"="&amp;$T630)),""))))&amp;"",IF(R630="","",""))&amp;""</f>
        <v>1</v>
      </c>
      <c r="AZ630" s="6">
        <f t="shared" si="1013"/>
        <v>51</v>
      </c>
      <c r="BA630">
        <f t="shared" ref="BA630:BC630" si="1089">BA629</f>
        <v>18991</v>
      </c>
      <c r="BB630" t="str">
        <f t="shared" si="1089"/>
        <v>Triple J</v>
      </c>
      <c r="BC630" t="str">
        <f t="shared" si="1089"/>
        <v>Velodrome</v>
      </c>
      <c r="BD630" t="str">
        <f t="shared" si="1015"/>
        <v>Pass</v>
      </c>
      <c r="BE630" t="str">
        <f t="shared" si="1016"/>
        <v>Pass_Completed</v>
      </c>
      <c r="BF630" t="str">
        <f t="shared" si="1017"/>
        <v>Pass-Forehand</v>
      </c>
      <c r="BG630" t="str">
        <f t="shared" si="999"/>
        <v>s</v>
      </c>
      <c r="BH630" cm="1">
        <f t="array" aca="1" ref="BH630" ca="1">IFERROR(_xlfn._xlws.FILTER(shifts!A:A,(shifts!B:B=events!Z630)*(shifts!AG:AG&gt;=events!BJ630)*(shifts!AH:AH&lt;=events!BK630)),BH629)</f>
        <v>21</v>
      </c>
      <c r="BI630" s="15">
        <f t="shared" si="1018"/>
        <v>0</v>
      </c>
      <c r="BJ630">
        <f t="shared" si="1019"/>
        <v>534</v>
      </c>
      <c r="BK630">
        <f t="shared" si="1020"/>
        <v>534</v>
      </c>
      <c r="BL630" s="15">
        <f>SUMIFS(BI$2:BI630,K$2:K630,"=Intermission")+SUMIFS(BI$2:BI630,K$2:K630,"=Timeout")</f>
        <v>0</v>
      </c>
      <c r="BM630">
        <f t="shared" si="1021"/>
        <v>0</v>
      </c>
      <c r="BN630" s="19">
        <f t="shared" si="1022"/>
        <v>546</v>
      </c>
      <c r="BO630">
        <f t="shared" si="1023"/>
        <v>541</v>
      </c>
      <c r="BP630" s="17">
        <f t="shared" si="1024"/>
        <v>546</v>
      </c>
      <c r="BQ630" t="str">
        <f t="shared" si="1025"/>
        <v>opp_team_player_1</v>
      </c>
      <c r="BR630">
        <f>COUNTIFS(S$3:S630,"="&amp;S630,AH$3:AH630,"="&amp;AH630)</f>
        <v>1</v>
      </c>
      <c r="BS630" t="str">
        <f>IFERROR(VLOOKUP(BA630&amp;BT630&amp;X630,game_rosters!U:W,3,FALSE),"")</f>
        <v>P100019</v>
      </c>
      <c r="BT630" t="str">
        <f t="shared" si="1026"/>
        <v>Triple J</v>
      </c>
    </row>
    <row r="631" spans="1:72" x14ac:dyDescent="0.2">
      <c r="A631">
        <f t="shared" si="1001"/>
        <v>1</v>
      </c>
      <c r="E631" s="4"/>
      <c r="F631" s="45" t="s">
        <v>1053</v>
      </c>
      <c r="G631" s="4"/>
      <c r="H631" s="47" t="s">
        <v>1060</v>
      </c>
      <c r="I631" s="26">
        <v>9</v>
      </c>
      <c r="J631" s="26" t="s">
        <v>368</v>
      </c>
      <c r="K631" t="s">
        <v>13</v>
      </c>
      <c r="N631" t="str">
        <f>IF(K631="","",IF(K631="Goal","s",IF(AND(K631="Zone_Entry_Exit",OR(ISNUMBER(SEARCH("fail",L631)),ISNUMBER(SEARCH("FromExitClear",M631)),ISNUMBER(SEARCH("miss",M631)))),"u",IF(AND(K631="Zone_Entry_Exit",OR(NOT(ISNUMBER(SEARCH("fail",L631))),NOT(ISNUMBER(SEARCH("FromExitClear",M631))),NOT(ISNUMBER(SEARCH("miss",M631))))),"s",IF(AND(OR(K631="Shot",K631="Pass"),OR(ISNUMBER(SEARCH("complete",L631)),ISNUMBER(SEARCH("goal",L631)),ISNUMBER(SEARCH("OnNet",L631)))),"s",IF(L631="Turnover_Giveaway","u",IF(AND(OR(K631="Shot",K631="Pass"),OR(ISNUMBER(SEARCH("fail",L631)),NOT(ISNUMBER(SEARCH("complete",L631))),NOT(ISNUMBER(SEARCH("OnNet",L631))))),"u","")))))))</f>
        <v/>
      </c>
      <c r="Q631" t="str">
        <f t="shared" si="1039"/>
        <v/>
      </c>
      <c r="S631">
        <f>IF(A631=1,MAX($S$2:$S630)+1,IF(OR($I631&lt;&gt;"",A631="x"),$S630,""))</f>
        <v>314</v>
      </c>
      <c r="T631" t="str">
        <f>IF(D631=1,MAX($T$2:$T630)+1,IF(S631=S630,$T630,IF(D631="x",T630,IF(D630="x","",""))))</f>
        <v/>
      </c>
      <c r="U631" t="str">
        <f>IF(B631=1,MAX($U$2:$U630)+1,IF(AND($T631&lt;&gt;"",$T631=$T630),$U630,IF(B631="x",U630,"")))</f>
        <v/>
      </c>
      <c r="V631" t="str">
        <f>IF(C631=1,MAX($V$2:$V630)+1,IF(AND($T631&lt;&gt;"",$T631=$T630),$U630,IF(C631="x",V630,"")))</f>
        <v/>
      </c>
      <c r="W631" t="str" cm="1">
        <f t="array" ref="W631">IFERROR(_xlfn._xlws.FILTER(game_rosters!AC:AC,(game_rosters!J:J=events!X631)*(K631&lt;&gt;"")),"")</f>
        <v>a</v>
      </c>
      <c r="X631" cm="1">
        <f t="array" ref="X631">IF($I631&lt;&gt;"",$I631,INDEX($I$1:$I631,ROW()-COUNTIFS($T$1:$T631,"="&amp;$T631,$S$1:$S631,"&lt;"&amp;$S631)))</f>
        <v>9</v>
      </c>
      <c r="Y631" cm="1">
        <f t="array" ref="Y631">IFERROR(IF(_xlfn._xlws.FILTER(game_rosters!$J:$J,(game_rosters!$G:$G=events!$AM631)*(game_rosters!$J:$J=events!$X631))&gt;0,1,""),"")</f>
        <v>1</v>
      </c>
      <c r="Z631" s="6">
        <f t="shared" si="1002"/>
        <v>1</v>
      </c>
      <c r="AA631">
        <f t="shared" si="1003"/>
        <v>1314</v>
      </c>
      <c r="AB631" t="str">
        <f t="shared" si="1004"/>
        <v/>
      </c>
      <c r="AC631">
        <f t="shared" si="1005"/>
        <v>1314</v>
      </c>
      <c r="AD631" t="str">
        <f t="shared" si="1006"/>
        <v>8</v>
      </c>
      <c r="AE631" t="str">
        <f t="shared" si="1007"/>
        <v>53</v>
      </c>
      <c r="AF631" t="str">
        <f t="shared" si="1008"/>
        <v>8</v>
      </c>
      <c r="AG631" t="str">
        <f t="shared" si="1009"/>
        <v>51</v>
      </c>
      <c r="AH631" t="str">
        <f t="shared" si="1052"/>
        <v>e</v>
      </c>
      <c r="AI631" t="str">
        <f t="shared" si="1077"/>
        <v>o</v>
      </c>
      <c r="AJ631" t="str">
        <f t="shared" si="1077"/>
        <v>o</v>
      </c>
      <c r="AK631" t="str">
        <f t="shared" si="1054"/>
        <v>d</v>
      </c>
      <c r="AL631" t="str">
        <f t="shared" si="1055"/>
        <v>o</v>
      </c>
      <c r="AM631" t="str">
        <f t="shared" si="1010"/>
        <v>Away</v>
      </c>
      <c r="AN631" t="str">
        <f t="shared" si="1056"/>
        <v>a</v>
      </c>
      <c r="AO631" t="str">
        <f t="shared" si="1057"/>
        <v>d</v>
      </c>
      <c r="AP631" t="str">
        <f t="shared" si="1058"/>
        <v>o</v>
      </c>
      <c r="AQ631" t="str">
        <f>IF(AM631&lt;&gt;"",AM631,IF($AC631=#REF!,#REF!,""))</f>
        <v>Away</v>
      </c>
      <c r="AR631" t="str">
        <f t="shared" si="1059"/>
        <v>a</v>
      </c>
      <c r="AS631" t="str">
        <f t="shared" si="1060"/>
        <v>Offensive</v>
      </c>
      <c r="AT631" t="str">
        <f t="shared" si="1011"/>
        <v/>
      </c>
      <c r="AU631" t="str">
        <f t="shared" si="1012"/>
        <v/>
      </c>
      <c r="AV631" t="str" cm="1">
        <f t="array" ref="AV631">IFERROR(IF(O631&lt;&gt;"",O631,IF(OR($S631="",$T631=""),"",IF(O631&lt;&gt;"",O631,IF($T631&lt;&gt;"",_xlfn._xlws.FILTER(O:O,($BT:$BT=$BT631)*($I:$I=$I631)*($T:$T=$T631)*($S:$S=_xlfn.MINIFS($S:$S,$T:$T,"="&amp;$T631)),"")))))&amp;"",IF(O631="","",""))&amp;""</f>
        <v/>
      </c>
      <c r="AW631" t="str" cm="1">
        <f t="array" ref="AW631">IFERROR(IF(P631&lt;&gt;"",P631,IF(OR($S631="",$T631=""),"",IF($T631&lt;&gt;"",_xlfn._xlws.FILTER(P:P,($BT:$BT=$BT631)*($I:$I=$I631)*($T:$T=$T631)*($S:$S=_xlfn.MINIFS($S:$S,$T:$T,"="&amp;$T631)),""))))&amp;"",IF(P631="","",""))&amp;""</f>
        <v/>
      </c>
      <c r="AX631" t="str" cm="1">
        <f t="array" ref="AX631">IFERROR(IF(Q631&lt;&gt;"",Q631,IF(OR($S631="",$T631=""),"",IF($T631&lt;&gt;"",_xlfn._xlws.FILTER(Q:Q,($BT:$BT=$BT631)*($I:$I=$I631)*($T:$T=$T631)*($S:$S=_xlfn.MINIFS($S:$S,$T:$T,"="&amp;$T631)),""))))&amp;"",IF(Q631="","",""))&amp;""</f>
        <v/>
      </c>
      <c r="AY631" t="str" cm="1">
        <f t="array" ref="AY631">IFERROR(IF(R631&lt;&gt;"",R631,IF(OR($S631="",$T631=""),"",IF($T631&lt;&gt;"",_xlfn._xlws.FILTER(R:R,($BT:$BT=$BT631)*($I:$I=$I631)*($T:$T=$T631)*($S:$S=_xlfn.MINIFS($S:$S,$T:$T,"="&amp;$T631)),""))))&amp;"",IF(R631="","",""))&amp;""</f>
        <v/>
      </c>
      <c r="AZ631" s="6">
        <f t="shared" si="1013"/>
        <v>51</v>
      </c>
      <c r="BA631">
        <f t="shared" ref="BA631:BC631" si="1090">BA630</f>
        <v>18991</v>
      </c>
      <c r="BB631" t="str">
        <f t="shared" si="1090"/>
        <v>Triple J</v>
      </c>
      <c r="BC631" t="str">
        <f t="shared" si="1090"/>
        <v>Velodrome</v>
      </c>
      <c r="BD631" t="str">
        <f t="shared" si="1015"/>
        <v>Possession</v>
      </c>
      <c r="BE631" t="str">
        <f t="shared" si="1016"/>
        <v/>
      </c>
      <c r="BF631" t="str">
        <f t="shared" si="1017"/>
        <v/>
      </c>
      <c r="BG631" t="str">
        <f t="shared" si="999"/>
        <v/>
      </c>
      <c r="BH631" cm="1">
        <f t="array" aca="1" ref="BH631" ca="1">IFERROR(_xlfn._xlws.FILTER(shifts!A:A,(shifts!B:B=events!Z631)*(shifts!AG:AG&gt;=events!BJ631)*(shifts!AH:AH&lt;=events!BK631)),BH630)</f>
        <v>21</v>
      </c>
      <c r="BI631" s="15">
        <f t="shared" si="1018"/>
        <v>2</v>
      </c>
      <c r="BJ631">
        <f t="shared" si="1019"/>
        <v>533</v>
      </c>
      <c r="BK631">
        <f t="shared" si="1020"/>
        <v>531</v>
      </c>
      <c r="BL631" s="15">
        <f>SUMIFS(BI$2:BI631,K$2:K631,"=Intermission")+SUMIFS(BI$2:BI631,K$2:K631,"=Timeout")</f>
        <v>0</v>
      </c>
      <c r="BM631">
        <f t="shared" si="1021"/>
        <v>0</v>
      </c>
      <c r="BN631" s="19">
        <f t="shared" si="1022"/>
        <v>547</v>
      </c>
      <c r="BO631">
        <f t="shared" si="1023"/>
        <v>542</v>
      </c>
      <c r="BP631" s="17">
        <f t="shared" si="1024"/>
        <v>549</v>
      </c>
      <c r="BQ631" t="str">
        <f t="shared" si="1025"/>
        <v>event_team_player_1</v>
      </c>
      <c r="BR631">
        <f>COUNTIFS(S$3:S631,"="&amp;S631,AH$3:AH631,"="&amp;AH631)</f>
        <v>1</v>
      </c>
      <c r="BS631" t="str">
        <f>IFERROR(VLOOKUP(BA631&amp;BT631&amp;X631,game_rosters!U:W,3,FALSE),"")</f>
        <v>P100105</v>
      </c>
      <c r="BT631" t="str">
        <f t="shared" si="1026"/>
        <v>Velodrome</v>
      </c>
    </row>
    <row r="632" spans="1:72" x14ac:dyDescent="0.2">
      <c r="A632">
        <f t="shared" si="1001"/>
        <v>1</v>
      </c>
      <c r="D632" s="26">
        <v>1</v>
      </c>
      <c r="E632" s="4"/>
      <c r="F632" s="45"/>
      <c r="G632" s="4"/>
      <c r="H632" s="47"/>
      <c r="I632" s="26">
        <v>9</v>
      </c>
      <c r="J632" s="26" t="s">
        <v>368</v>
      </c>
      <c r="K632" t="s">
        <v>7</v>
      </c>
      <c r="L632" t="s">
        <v>182</v>
      </c>
      <c r="M632" t="s">
        <v>445</v>
      </c>
      <c r="N632" t="str">
        <f>IF(K632="","",IF(K632="Goal","s",IF(AND(K632="Zone_Entry_Exit",OR(ISNUMBER(SEARCH("fail",L632)),ISNUMBER(SEARCH("FromExitClear",M632)),ISNUMBER(SEARCH("miss",M632)))),"u",IF(AND(K632="Zone_Entry_Exit",OR(NOT(ISNUMBER(SEARCH("fail",L632))),NOT(ISNUMBER(SEARCH("FromExitClear",M632))),NOT(ISNUMBER(SEARCH("miss",M632))))),"s",IF(AND(OR(K632="Shot",K632="Pass"),OR(ISNUMBER(SEARCH("complete",L632)),ISNUMBER(SEARCH("goal",L632)),ISNUMBER(SEARCH("OnNet",L632)))),"s",IF(L632="Turnover_Giveaway","u",IF(AND(OR(K632="Shot",K632="Pass"),OR(ISNUMBER(SEARCH("fail",L632)),NOT(ISNUMBER(SEARCH("complete",L632))),NOT(ISNUMBER(SEARCH("OnNet",L632))))),"u","")))))))</f>
        <v>u</v>
      </c>
      <c r="Q632" t="str">
        <f t="shared" si="1039"/>
        <v/>
      </c>
      <c r="S632">
        <f>IF(A632=1,MAX($S$2:$S631)+1,IF(OR($I632&lt;&gt;"",A632="x"),$S631,""))</f>
        <v>315</v>
      </c>
      <c r="T632">
        <f>IF(D632=1,MAX($T$2:$T631)+1,IF(S632=S631,$T631,IF(D632="x",T631,IF(D631="x","",""))))</f>
        <v>41</v>
      </c>
      <c r="U632" t="str">
        <f>IF(B632=1,MAX($U$2:$U631)+1,IF(AND($T632&lt;&gt;"",$T632=$T631),$U631,IF(B632="x",U631,"")))</f>
        <v/>
      </c>
      <c r="V632" t="str">
        <f>IF(C632=1,MAX($V$2:$V631)+1,IF(AND($T632&lt;&gt;"",$T632=$T631),$U631,IF(C632="x",V631,"")))</f>
        <v/>
      </c>
      <c r="W632" t="str" cm="1">
        <f t="array" ref="W632">IFERROR(_xlfn._xlws.FILTER(game_rosters!AC:AC,(game_rosters!J:J=events!X632)*(K632&lt;&gt;"")),"")</f>
        <v>a</v>
      </c>
      <c r="X632" cm="1">
        <f t="array" ref="X632">IF($I632&lt;&gt;"",$I632,INDEX($I$1:$I632,ROW()-COUNTIFS($T$1:$T632,"="&amp;$T632,$S$1:$S632,"&lt;"&amp;$S632)))</f>
        <v>9</v>
      </c>
      <c r="Y632" cm="1">
        <f t="array" ref="Y632">IFERROR(IF(_xlfn._xlws.FILTER(game_rosters!$J:$J,(game_rosters!$G:$G=events!$AM632)*(game_rosters!$J:$J=events!$X632))&gt;0,1,""),"")</f>
        <v>1</v>
      </c>
      <c r="Z632" s="6">
        <f t="shared" si="1002"/>
        <v>1</v>
      </c>
      <c r="AA632">
        <f t="shared" si="1003"/>
        <v>1315</v>
      </c>
      <c r="AB632">
        <f t="shared" si="1004"/>
        <v>9041</v>
      </c>
      <c r="AC632">
        <f t="shared" si="1005"/>
        <v>9041</v>
      </c>
      <c r="AD632" t="str">
        <f t="shared" si="1006"/>
        <v>8</v>
      </c>
      <c r="AE632" t="str">
        <f t="shared" si="1007"/>
        <v>51</v>
      </c>
      <c r="AF632" t="str">
        <f t="shared" si="1008"/>
        <v/>
      </c>
      <c r="AG632" t="str">
        <f t="shared" si="1009"/>
        <v/>
      </c>
      <c r="AH632" t="str">
        <f t="shared" si="1052"/>
        <v>e</v>
      </c>
      <c r="AI632" t="str">
        <f t="shared" si="1077"/>
        <v>o</v>
      </c>
      <c r="AJ632" t="str">
        <f t="shared" si="1077"/>
        <v>o</v>
      </c>
      <c r="AK632" t="str">
        <f t="shared" si="1054"/>
        <v>d</v>
      </c>
      <c r="AL632" t="str">
        <f t="shared" si="1055"/>
        <v>o</v>
      </c>
      <c r="AM632" t="str">
        <f t="shared" si="1010"/>
        <v>Away</v>
      </c>
      <c r="AN632" t="str">
        <f t="shared" si="1056"/>
        <v>a</v>
      </c>
      <c r="AO632" t="str">
        <f t="shared" si="1057"/>
        <v>d</v>
      </c>
      <c r="AP632" t="str">
        <f t="shared" si="1058"/>
        <v>o</v>
      </c>
      <c r="AQ632" t="str">
        <f>IF(AM632&lt;&gt;"",AM632,IF($AC632=#REF!,#REF!,""))</f>
        <v>Away</v>
      </c>
      <c r="AR632" t="str">
        <f t="shared" si="1059"/>
        <v>a</v>
      </c>
      <c r="AS632" t="str">
        <f t="shared" si="1060"/>
        <v>Offensive</v>
      </c>
      <c r="AT632" t="str">
        <f t="shared" si="1011"/>
        <v/>
      </c>
      <c r="AU632" t="str">
        <f t="shared" si="1012"/>
        <v/>
      </c>
      <c r="AV632" t="str" cm="1">
        <f t="array" ref="AV632">IFERROR(IF(O632&lt;&gt;"",O632,IF(OR($S632="",$T632=""),"",IF(O632&lt;&gt;"",O632,IF($T632&lt;&gt;"",_xlfn._xlws.FILTER(O:O,($BT:$BT=$BT632)*($I:$I=$I632)*($T:$T=$T632)*($S:$S=_xlfn.MINIFS($S:$S,$T:$T,"="&amp;$T632)),"")))))&amp;"",IF(O632="","",""))&amp;""</f>
        <v/>
      </c>
      <c r="AW632" t="str" cm="1">
        <f t="array" ref="AW632">IFERROR(IF(P632&lt;&gt;"",P632,IF(OR($S632="",$T632=""),"",IF($T632&lt;&gt;"",_xlfn._xlws.FILTER(P:P,($BT:$BT=$BT632)*($I:$I=$I632)*($T:$T=$T632)*($S:$S=_xlfn.MINIFS($S:$S,$T:$T,"="&amp;$T632)),""))))&amp;"",IF(P632="","",""))&amp;""</f>
        <v/>
      </c>
      <c r="AX632" t="str" cm="1">
        <f t="array" ref="AX632">IFERROR(IF(Q632&lt;&gt;"",Q632,IF(OR($S632="",$T632=""),"",IF($T632&lt;&gt;"",_xlfn._xlws.FILTER(Q:Q,($BT:$BT=$BT632)*($I:$I=$I632)*($T:$T=$T632)*($S:$S=_xlfn.MINIFS($S:$S,$T:$T,"="&amp;$T632)),""))))&amp;"",IF(Q632="","",""))&amp;""</f>
        <v/>
      </c>
      <c r="AY632" t="str" cm="1">
        <f t="array" ref="AY632">IFERROR(IF(R632&lt;&gt;"",R632,IF(OR($S632="",$T632=""),"",IF($T632&lt;&gt;"",_xlfn._xlws.FILTER(R:R,($BT:$BT=$BT632)*($I:$I=$I632)*($T:$T=$T632)*($S:$S=_xlfn.MINIFS($S:$S,$T:$T,"="&amp;$T632)),""))))&amp;"",IF(R632="","",""))&amp;""</f>
        <v/>
      </c>
      <c r="AZ632" s="6">
        <f t="shared" si="1013"/>
        <v>51</v>
      </c>
      <c r="BA632">
        <f t="shared" ref="BA632:BC632" si="1091">BA631</f>
        <v>18991</v>
      </c>
      <c r="BB632" t="str">
        <f t="shared" si="1091"/>
        <v>Triple J</v>
      </c>
      <c r="BC632" t="str">
        <f t="shared" si="1091"/>
        <v>Velodrome</v>
      </c>
      <c r="BD632" t="str">
        <f t="shared" si="1015"/>
        <v>Pass</v>
      </c>
      <c r="BE632" t="str">
        <f t="shared" si="1016"/>
        <v>Pass_Missed</v>
      </c>
      <c r="BF632" t="str">
        <f t="shared" si="1017"/>
        <v>Pass-ReceiverMissed</v>
      </c>
      <c r="BG632" t="str">
        <f t="shared" si="999"/>
        <v>u</v>
      </c>
      <c r="BH632" cm="1">
        <f t="array" aca="1" ref="BH632" ca="1">IFERROR(_xlfn._xlws.FILTER(shifts!A:A,(shifts!B:B=events!Z632)*(shifts!AG:AG&gt;=events!BJ632)*(shifts!AH:AH&lt;=events!BK632)),BH631)</f>
        <v>21</v>
      </c>
      <c r="BI632" s="15">
        <f t="shared" si="1018"/>
        <v>0</v>
      </c>
      <c r="BJ632">
        <f t="shared" si="1019"/>
        <v>531</v>
      </c>
      <c r="BK632">
        <f t="shared" si="1020"/>
        <v>531</v>
      </c>
      <c r="BL632" s="15">
        <f>SUMIFS(BI$2:BI632,K$2:K632,"=Intermission")+SUMIFS(BI$2:BI632,K$2:K632,"=Timeout")</f>
        <v>0</v>
      </c>
      <c r="BM632">
        <f t="shared" si="1021"/>
        <v>0</v>
      </c>
      <c r="BN632" s="19">
        <f t="shared" si="1022"/>
        <v>549</v>
      </c>
      <c r="BO632">
        <f t="shared" si="1023"/>
        <v>544</v>
      </c>
      <c r="BP632" s="17">
        <f t="shared" si="1024"/>
        <v>549</v>
      </c>
      <c r="BQ632" t="str">
        <f t="shared" si="1025"/>
        <v>event_team_player_1</v>
      </c>
      <c r="BR632">
        <f>COUNTIFS(S$3:S632,"="&amp;S632,AH$3:AH632,"="&amp;AH632)</f>
        <v>1</v>
      </c>
      <c r="BS632" t="str">
        <f>IFERROR(VLOOKUP(BA632&amp;BT632&amp;X632,game_rosters!U:W,3,FALSE),"")</f>
        <v>P100105</v>
      </c>
      <c r="BT632" t="str">
        <f t="shared" si="1026"/>
        <v>Velodrome</v>
      </c>
    </row>
    <row r="633" spans="1:72" x14ac:dyDescent="0.2">
      <c r="A633" t="str">
        <f t="shared" si="1001"/>
        <v>x</v>
      </c>
      <c r="D633" s="26" t="s">
        <v>729</v>
      </c>
      <c r="E633" s="4"/>
      <c r="F633" s="45"/>
      <c r="G633" s="4"/>
      <c r="H633" s="47"/>
      <c r="I633" s="26">
        <v>24</v>
      </c>
      <c r="J633" s="26" t="str">
        <f>IF(OR(K633="Goal",K633="Shot",L633="Zone_Entry",M633="Stoppage-Goal",M632="Stoppage-Goal"),"o",IF(OR(K633="Save",K633="Rebound",L633="Zone_Exit",M633="Stoppage-GoalieStoppage",M632="Stoppage-GoalieStoppage"),"d",IF(OR(L633="Faceoff_AfterGoal",L633="Faceoff_PeriodStart",698="Faceoff_GameStart",M632="Stoppage-Goal"),"n","")))</f>
        <v/>
      </c>
      <c r="N633" t="str">
        <f t="shared" si="1045"/>
        <v/>
      </c>
      <c r="O633" t="s">
        <v>593</v>
      </c>
      <c r="Q633" t="str">
        <f t="shared" si="1039"/>
        <v>u</v>
      </c>
      <c r="S633">
        <f>IF(A633=1,MAX($S$2:$S632)+1,IF(OR($I633&lt;&gt;"",A633="x"),$S632,""))</f>
        <v>315</v>
      </c>
      <c r="T633">
        <f>IF(D633=1,MAX($T$2:$T632)+1,IF(S633=S632,$T632,IF(D633="x",T632,IF(D632="x","",""))))</f>
        <v>41</v>
      </c>
      <c r="U633" t="str">
        <f>IF(B633=1,MAX($U$2:$U632)+1,IF(AND($T633&lt;&gt;"",$T633=$T632),$U632,IF(B633="x",U632,"")))</f>
        <v/>
      </c>
      <c r="V633" t="str">
        <f>IF(C633=1,MAX($V$2:$V632)+1,IF(AND($T633&lt;&gt;"",$T633=$T632),$U632,IF(C633="x",V632,"")))</f>
        <v/>
      </c>
      <c r="W633" t="str" cm="1">
        <f t="array" ref="W633">IFERROR(_xlfn._xlws.FILTER(game_rosters!AC:AC,(game_rosters!J:J=events!X633)*(K633&lt;&gt;"")),"")</f>
        <v/>
      </c>
      <c r="X633" cm="1">
        <f t="array" ref="X633">IF($I633&lt;&gt;"",$I633,INDEX($I$1:$I633,ROW()-COUNTIFS($T$1:$T633,"="&amp;$T633,$S$1:$S633,"&lt;"&amp;$S633)))</f>
        <v>24</v>
      </c>
      <c r="Y633" cm="1">
        <f t="array" ref="Y633">IFERROR(IF(_xlfn._xlws.FILTER(game_rosters!$J:$J,(game_rosters!$G:$G=events!$AM633)*(game_rosters!$J:$J=events!$X633))&gt;0,1,""),"")</f>
        <v>1</v>
      </c>
      <c r="Z633" s="6">
        <f t="shared" si="1002"/>
        <v>1</v>
      </c>
      <c r="AA633">
        <f t="shared" si="1003"/>
        <v>1315</v>
      </c>
      <c r="AB633">
        <f t="shared" si="1004"/>
        <v>9041</v>
      </c>
      <c r="AC633">
        <f t="shared" si="1005"/>
        <v>9041</v>
      </c>
      <c r="AD633" t="str">
        <f t="shared" si="1006"/>
        <v>8</v>
      </c>
      <c r="AE633" t="str">
        <f t="shared" si="1007"/>
        <v>51</v>
      </c>
      <c r="AF633" t="str">
        <f t="shared" si="1008"/>
        <v/>
      </c>
      <c r="AG633" t="str">
        <f t="shared" si="1009"/>
        <v/>
      </c>
      <c r="AH633" t="str">
        <f t="shared" si="1052"/>
        <v>e</v>
      </c>
      <c r="AI633" t="str">
        <f t="shared" si="1077"/>
        <v>o</v>
      </c>
      <c r="AJ633" t="str">
        <f t="shared" si="1077"/>
        <v>o</v>
      </c>
      <c r="AK633" t="str">
        <f t="shared" si="1054"/>
        <v/>
      </c>
      <c r="AL633" t="str">
        <f t="shared" si="1055"/>
        <v/>
      </c>
      <c r="AM633" t="str">
        <f t="shared" si="1010"/>
        <v>Away</v>
      </c>
      <c r="AN633" t="str">
        <f t="shared" si="1056"/>
        <v>a</v>
      </c>
      <c r="AO633" t="str">
        <f t="shared" si="1057"/>
        <v>d</v>
      </c>
      <c r="AP633" t="str">
        <f t="shared" si="1058"/>
        <v>o</v>
      </c>
      <c r="AQ633" t="str">
        <f>IF(AM633&lt;&gt;"",AM633,IF($AC633=#REF!,#REF!,""))</f>
        <v>Away</v>
      </c>
      <c r="AR633" t="str">
        <f t="shared" si="1059"/>
        <v>a</v>
      </c>
      <c r="AS633" t="str">
        <f t="shared" si="1060"/>
        <v>Offensive</v>
      </c>
      <c r="AT633" t="str">
        <f t="shared" si="1011"/>
        <v/>
      </c>
      <c r="AU633" t="str">
        <f t="shared" si="1012"/>
        <v/>
      </c>
      <c r="AV633" t="str" cm="1">
        <f t="array" ref="AV633">IFERROR(IF(O633&lt;&gt;"",O633,IF(OR($S633="",$T633=""),"",IF(O633&lt;&gt;"",O633,IF($T633&lt;&gt;"",_xlfn._xlws.FILTER(O:O,($BT:$BT=$BT633)*($I:$I=$I633)*($T:$T=$T633)*($S:$S=_xlfn.MINIFS($S:$S,$T:$T,"="&amp;$T633)),"")))))&amp;"",IF(O633="","",""))&amp;""</f>
        <v>ReceiverMissed</v>
      </c>
      <c r="AW633" t="str" cm="1">
        <f t="array" ref="AW633">IFERROR(IF(P633&lt;&gt;"",P633,IF(OR($S633="",$T633=""),"",IF($T633&lt;&gt;"",_xlfn._xlws.FILTER(P:P,($BT:$BT=$BT633)*($I:$I=$I633)*($T:$T=$T633)*($S:$S=_xlfn.MINIFS($S:$S,$T:$T,"="&amp;$T633)),""))))&amp;"",IF(P633="","",""))&amp;""</f>
        <v/>
      </c>
      <c r="AX633" t="str" cm="1">
        <f t="array" ref="AX633">IFERROR(IF(Q633&lt;&gt;"",Q633,IF(OR($S633="",$T633=""),"",IF($T633&lt;&gt;"",_xlfn._xlws.FILTER(Q:Q,($BT:$BT=$BT633)*($I:$I=$I633)*($T:$T=$T633)*($S:$S=_xlfn.MINIFS($S:$S,$T:$T,"="&amp;$T633)),""))))&amp;"",IF(Q633="","",""))&amp;""</f>
        <v>u</v>
      </c>
      <c r="AY633" t="str" cm="1">
        <f t="array" ref="AY633">IFERROR(IF(R633&lt;&gt;"",R633,IF(OR($S633="",$T633=""),"",IF($T633&lt;&gt;"",_xlfn._xlws.FILTER(R:R,($BT:$BT=$BT633)*($I:$I=$I633)*($T:$T=$T633)*($S:$S=_xlfn.MINIFS($S:$S,$T:$T,"="&amp;$T633)),""))))&amp;"",IF(R633="","",""))&amp;""</f>
        <v/>
      </c>
      <c r="AZ633" s="6">
        <f t="shared" si="1013"/>
        <v>51</v>
      </c>
      <c r="BA633">
        <f t="shared" ref="BA633:BC633" si="1092">BA632</f>
        <v>18991</v>
      </c>
      <c r="BB633" t="str">
        <f t="shared" si="1092"/>
        <v>Triple J</v>
      </c>
      <c r="BC633" t="str">
        <f t="shared" si="1092"/>
        <v>Velodrome</v>
      </c>
      <c r="BD633" t="str">
        <f t="shared" si="1015"/>
        <v>Pass</v>
      </c>
      <c r="BE633" t="str">
        <f t="shared" si="1016"/>
        <v>Pass_Missed</v>
      </c>
      <c r="BF633" t="str">
        <f t="shared" si="1017"/>
        <v>Pass-ReceiverMissed</v>
      </c>
      <c r="BG633" t="str">
        <f t="shared" si="999"/>
        <v>u</v>
      </c>
      <c r="BH633" cm="1">
        <f t="array" aca="1" ref="BH633" ca="1">IFERROR(_xlfn._xlws.FILTER(shifts!A:A,(shifts!B:B=events!Z633)*(shifts!AG:AG&gt;=events!BJ633)*(shifts!AH:AH&lt;=events!BK633)),BH632)</f>
        <v>21</v>
      </c>
      <c r="BI633" s="15">
        <f t="shared" si="1018"/>
        <v>0</v>
      </c>
      <c r="BJ633">
        <f t="shared" si="1019"/>
        <v>531</v>
      </c>
      <c r="BK633">
        <f t="shared" si="1020"/>
        <v>531</v>
      </c>
      <c r="BL633" s="15">
        <f>SUMIFS(BI$2:BI633,K$2:K633,"=Intermission")+SUMIFS(BI$2:BI633,K$2:K633,"=Timeout")</f>
        <v>0</v>
      </c>
      <c r="BM633">
        <f t="shared" si="1021"/>
        <v>0</v>
      </c>
      <c r="BN633" s="19">
        <f t="shared" si="1022"/>
        <v>549</v>
      </c>
      <c r="BO633">
        <f t="shared" si="1023"/>
        <v>544</v>
      </c>
      <c r="BP633" s="17">
        <f t="shared" si="1024"/>
        <v>549</v>
      </c>
      <c r="BQ633" t="str">
        <f t="shared" si="1025"/>
        <v>event_team_player_2</v>
      </c>
      <c r="BR633">
        <f>COUNTIFS(S$3:S633,"="&amp;S633,AH$3:AH633,"="&amp;AH633)</f>
        <v>2</v>
      </c>
      <c r="BS633" t="str">
        <f>IFERROR(VLOOKUP(BA633&amp;BT633&amp;X633,game_rosters!U:W,3,FALSE),"")</f>
        <v>P100230</v>
      </c>
      <c r="BT633" t="str">
        <f t="shared" si="1026"/>
        <v>Velodrome</v>
      </c>
    </row>
    <row r="634" spans="1:72" x14ac:dyDescent="0.2">
      <c r="A634" t="str">
        <f t="shared" si="1001"/>
        <v>x</v>
      </c>
      <c r="D634" s="26" t="s">
        <v>729</v>
      </c>
      <c r="E634" s="4"/>
      <c r="F634" s="45"/>
      <c r="G634" s="4"/>
      <c r="H634" s="47"/>
      <c r="I634" s="26">
        <v>71</v>
      </c>
      <c r="J634" s="26" t="str">
        <f t="shared" si="1029"/>
        <v/>
      </c>
      <c r="N634" t="str">
        <f t="shared" si="1045"/>
        <v/>
      </c>
      <c r="O634" t="s">
        <v>566</v>
      </c>
      <c r="Q634" t="str">
        <f t="shared" si="1039"/>
        <v/>
      </c>
      <c r="S634">
        <f>IF(A634=1,MAX($S$2:$S633)+1,IF(OR($I634&lt;&gt;"",A634="x"),$S633,""))</f>
        <v>315</v>
      </c>
      <c r="T634">
        <f>IF(D634=1,MAX($T$2:$T633)+1,IF(S634=S633,$T633,IF(D634="x",T633,IF(D633="x","",""))))</f>
        <v>41</v>
      </c>
      <c r="U634" t="str">
        <f>IF(B634=1,MAX($U$2:$U633)+1,IF(AND($T634&lt;&gt;"",$T634=$T633),$U633,IF(B634="x",U633,"")))</f>
        <v/>
      </c>
      <c r="V634" t="str">
        <f>IF(C634=1,MAX($V$2:$V633)+1,IF(AND($T634&lt;&gt;"",$T634=$T633),$U633,IF(C634="x",V633,"")))</f>
        <v/>
      </c>
      <c r="W634" t="str" cm="1">
        <f t="array" ref="W634">IFERROR(_xlfn._xlws.FILTER(game_rosters!AC:AC,(game_rosters!J:J=events!X634)*(K634&lt;&gt;"")),"")</f>
        <v/>
      </c>
      <c r="X634" cm="1">
        <f t="array" ref="X634">IF($I634&lt;&gt;"",$I634,INDEX($I$1:$I634,ROW()-COUNTIFS($T$1:$T634,"="&amp;$T634,$S$1:$S634,"&lt;"&amp;$S634)))</f>
        <v>71</v>
      </c>
      <c r="Y634" t="str" cm="1">
        <f t="array" ref="Y634">IFERROR(IF(_xlfn._xlws.FILTER(game_rosters!$J:$J,(game_rosters!$G:$G=events!$AM634)*(game_rosters!$J:$J=events!$X634))&gt;0,1,""),"")</f>
        <v/>
      </c>
      <c r="Z634" s="6">
        <f t="shared" si="1002"/>
        <v>1</v>
      </c>
      <c r="AA634">
        <f t="shared" si="1003"/>
        <v>1315</v>
      </c>
      <c r="AB634">
        <f t="shared" si="1004"/>
        <v>9041</v>
      </c>
      <c r="AC634">
        <f t="shared" si="1005"/>
        <v>9041</v>
      </c>
      <c r="AD634" t="str">
        <f t="shared" si="1006"/>
        <v>8</v>
      </c>
      <c r="AE634" t="str">
        <f t="shared" si="1007"/>
        <v>51</v>
      </c>
      <c r="AF634" t="str">
        <f t="shared" si="1008"/>
        <v/>
      </c>
      <c r="AG634" t="str">
        <f t="shared" si="1009"/>
        <v/>
      </c>
      <c r="AH634" t="str">
        <f t="shared" si="1052"/>
        <v>o</v>
      </c>
      <c r="AI634" t="str">
        <f t="shared" si="1077"/>
        <v>o</v>
      </c>
      <c r="AJ634" t="str">
        <f t="shared" si="1077"/>
        <v>o</v>
      </c>
      <c r="AK634" t="str">
        <f t="shared" si="1054"/>
        <v/>
      </c>
      <c r="AL634" t="str">
        <f t="shared" si="1055"/>
        <v/>
      </c>
      <c r="AM634" t="str">
        <f t="shared" si="1010"/>
        <v>Away</v>
      </c>
      <c r="AN634" t="str">
        <f t="shared" si="1056"/>
        <v>a</v>
      </c>
      <c r="AO634" t="str">
        <f t="shared" si="1057"/>
        <v>d</v>
      </c>
      <c r="AP634" t="str">
        <f t="shared" si="1058"/>
        <v>o</v>
      </c>
      <c r="AQ634" t="str">
        <f>IF(AM634&lt;&gt;"",AM634,IF($AC634=#REF!,#REF!,""))</f>
        <v>Away</v>
      </c>
      <c r="AR634" t="str">
        <f t="shared" si="1059"/>
        <v>a</v>
      </c>
      <c r="AS634" t="str">
        <f t="shared" si="1060"/>
        <v>Defensive</v>
      </c>
      <c r="AT634" t="str">
        <f t="shared" si="1011"/>
        <v/>
      </c>
      <c r="AU634" t="str">
        <f t="shared" si="1012"/>
        <v/>
      </c>
      <c r="AV634" t="str" cm="1">
        <f t="array" ref="AV634">IFERROR(IF(O634&lt;&gt;"",O634,IF(OR($S634="",$T634=""),"",IF(O634&lt;&gt;"",O634,IF($T634&lt;&gt;"",_xlfn._xlws.FILTER(O:O,($BT:$BT=$BT634)*($I:$I=$I634)*($T:$T=$T634)*($S:$S=_xlfn.MINIFS($S:$S,$T:$T,"="&amp;$T634)),"")))))&amp;"",IF(O634="","",""))&amp;""</f>
        <v>InShotPassLane</v>
      </c>
      <c r="AW634" t="str" cm="1">
        <f t="array" ref="AW634">IFERROR(IF(P634&lt;&gt;"",P634,IF(OR($S634="",$T634=""),"",IF($T634&lt;&gt;"",_xlfn._xlws.FILTER(P:P,($BT:$BT=$BT634)*($I:$I=$I634)*($T:$T=$T634)*($S:$S=_xlfn.MINIFS($S:$S,$T:$T,"="&amp;$T634)),""))))&amp;"",IF(P634="","",""))&amp;""</f>
        <v/>
      </c>
      <c r="AX634" t="str" cm="1">
        <f t="array" ref="AX634">IFERROR(IF(Q634&lt;&gt;"",Q634,IF(OR($S634="",$T634=""),"",IF($T634&lt;&gt;"",_xlfn._xlws.FILTER(Q:Q,($BT:$BT=$BT634)*($I:$I=$I634)*($T:$T=$T634)*($S:$S=_xlfn.MINIFS($S:$S,$T:$T,"="&amp;$T634)),""))))&amp;"",IF(Q634="","",""))&amp;""</f>
        <v/>
      </c>
      <c r="AY634" t="str" cm="1">
        <f t="array" ref="AY634">IFERROR(IF(R634&lt;&gt;"",R634,IF(OR($S634="",$T634=""),"",IF($T634&lt;&gt;"",_xlfn._xlws.FILTER(R:R,($BT:$BT=$BT634)*($I:$I=$I634)*($T:$T=$T634)*($S:$S=_xlfn.MINIFS($S:$S,$T:$T,"="&amp;$T634)),""))))&amp;"",IF(R634="","",""))&amp;""</f>
        <v/>
      </c>
      <c r="AZ634" s="6">
        <f t="shared" si="1013"/>
        <v>51</v>
      </c>
      <c r="BA634">
        <f t="shared" ref="BA634:BC634" si="1093">BA633</f>
        <v>18991</v>
      </c>
      <c r="BB634" t="str">
        <f t="shared" si="1093"/>
        <v>Triple J</v>
      </c>
      <c r="BC634" t="str">
        <f t="shared" si="1093"/>
        <v>Velodrome</v>
      </c>
      <c r="BD634" t="str">
        <f t="shared" si="1015"/>
        <v>Pass</v>
      </c>
      <c r="BE634" t="str">
        <f t="shared" si="1016"/>
        <v>Pass_Missed</v>
      </c>
      <c r="BF634" t="str">
        <f t="shared" si="1017"/>
        <v>Pass-ReceiverMissed</v>
      </c>
      <c r="BG634" t="str">
        <f t="shared" si="999"/>
        <v>u</v>
      </c>
      <c r="BH634" cm="1">
        <f t="array" aca="1" ref="BH634" ca="1">IFERROR(_xlfn._xlws.FILTER(shifts!A:A,(shifts!B:B=events!Z634)*(shifts!AG:AG&gt;=events!BJ634)*(shifts!AH:AH&lt;=events!BK634)),BH633)</f>
        <v>21</v>
      </c>
      <c r="BI634" s="15">
        <f t="shared" si="1018"/>
        <v>0</v>
      </c>
      <c r="BJ634">
        <f t="shared" si="1019"/>
        <v>531</v>
      </c>
      <c r="BK634">
        <f t="shared" si="1020"/>
        <v>531</v>
      </c>
      <c r="BL634" s="15">
        <f>SUMIFS(BI$2:BI634,K$2:K634,"=Intermission")+SUMIFS(BI$2:BI634,K$2:K634,"=Timeout")</f>
        <v>0</v>
      </c>
      <c r="BM634">
        <f t="shared" si="1021"/>
        <v>0</v>
      </c>
      <c r="BN634" s="19">
        <f t="shared" si="1022"/>
        <v>549</v>
      </c>
      <c r="BO634">
        <f t="shared" si="1023"/>
        <v>544</v>
      </c>
      <c r="BP634" s="17">
        <f t="shared" si="1024"/>
        <v>549</v>
      </c>
      <c r="BQ634" t="str">
        <f t="shared" si="1025"/>
        <v>opp_team_player_1</v>
      </c>
      <c r="BR634">
        <f>COUNTIFS(S$3:S634,"="&amp;S634,AH$3:AH634,"="&amp;AH634)</f>
        <v>1</v>
      </c>
      <c r="BS634" t="str">
        <f>IFERROR(VLOOKUP(BA634&amp;BT634&amp;X634,game_rosters!U:W,3,FALSE),"")</f>
        <v>P100008</v>
      </c>
      <c r="BT634" t="str">
        <f t="shared" si="1026"/>
        <v>Triple J</v>
      </c>
    </row>
    <row r="635" spans="1:72" x14ac:dyDescent="0.2">
      <c r="A635">
        <f t="shared" si="1001"/>
        <v>1</v>
      </c>
      <c r="D635" s="26" t="s">
        <v>729</v>
      </c>
      <c r="E635" s="4"/>
      <c r="F635" s="45"/>
      <c r="G635" s="4"/>
      <c r="H635" s="47"/>
      <c r="J635" s="26" t="s">
        <v>368</v>
      </c>
      <c r="K635" t="s">
        <v>9</v>
      </c>
      <c r="L635" t="s">
        <v>173</v>
      </c>
      <c r="M635" t="s">
        <v>74</v>
      </c>
      <c r="N635" t="str">
        <f t="shared" si="1045"/>
        <v>u</v>
      </c>
      <c r="Q635" t="str">
        <f t="shared" si="1039"/>
        <v/>
      </c>
      <c r="S635">
        <f>IF(A635=1,MAX($S$2:$S634)+1,IF(OR($I635&lt;&gt;"",A635="x"),$S634,""))</f>
        <v>316</v>
      </c>
      <c r="T635">
        <f>IF(D635=1,MAX($T$2:$T634)+1,IF(S635=S634,$T634,IF(D635="x",T634,IF(D634="x","",""))))</f>
        <v>41</v>
      </c>
      <c r="U635" t="str">
        <f>IF(B635=1,MAX($U$2:$U634)+1,IF(AND($T635&lt;&gt;"",$T635=$T634),$U634,IF(B635="x",U634,"")))</f>
        <v/>
      </c>
      <c r="V635" t="str">
        <f>IF(C635=1,MAX($V$2:$V634)+1,IF(AND($T635&lt;&gt;"",$T635=$T634),$U634,IF(C635="x",V634,"")))</f>
        <v/>
      </c>
      <c r="W635" t="str" cm="1">
        <f t="array" ref="W635">IFERROR(_xlfn._xlws.FILTER(game_rosters!AC:AC,(game_rosters!J:J=events!X635)*(K635&lt;&gt;"")),"")</f>
        <v>a</v>
      </c>
      <c r="X635" cm="1">
        <f t="array" ref="X635">IF($I635&lt;&gt;"",$I635,INDEX($I$1:$I635,ROW()-COUNTIFS($T$1:$T635,"="&amp;$T635,$S$1:$S635,"&lt;"&amp;$S635)))</f>
        <v>9</v>
      </c>
      <c r="Y635" cm="1">
        <f t="array" ref="Y635">IFERROR(IF(_xlfn._xlws.FILTER(game_rosters!$J:$J,(game_rosters!$G:$G=events!$AM635)*(game_rosters!$J:$J=events!$X635))&gt;0,1,""),"")</f>
        <v>1</v>
      </c>
      <c r="Z635" s="6">
        <f t="shared" si="1002"/>
        <v>1</v>
      </c>
      <c r="AA635">
        <f t="shared" si="1003"/>
        <v>1316</v>
      </c>
      <c r="AB635">
        <f t="shared" si="1004"/>
        <v>9041</v>
      </c>
      <c r="AC635">
        <f t="shared" si="1005"/>
        <v>9041</v>
      </c>
      <c r="AD635" t="str">
        <f t="shared" si="1006"/>
        <v>8</v>
      </c>
      <c r="AE635" t="str">
        <f t="shared" si="1007"/>
        <v>51</v>
      </c>
      <c r="AF635" t="str">
        <f t="shared" si="1008"/>
        <v/>
      </c>
      <c r="AG635" t="str">
        <f t="shared" si="1009"/>
        <v/>
      </c>
      <c r="AH635" t="str">
        <f t="shared" si="1052"/>
        <v>e</v>
      </c>
      <c r="AI635" t="str">
        <f t="shared" ref="AI635:AJ650" si="1094">IF($J635&lt;&gt;"",$J635,IF($AC635=$AC634,AI634,""))</f>
        <v>o</v>
      </c>
      <c r="AJ635" t="str">
        <f t="shared" si="1094"/>
        <v>o</v>
      </c>
      <c r="AK635" t="str">
        <f t="shared" si="1054"/>
        <v>d</v>
      </c>
      <c r="AL635" t="str">
        <f t="shared" si="1055"/>
        <v>o</v>
      </c>
      <c r="AM635" t="str">
        <f t="shared" si="1010"/>
        <v>Away</v>
      </c>
      <c r="AN635" t="str">
        <f t="shared" si="1056"/>
        <v>a</v>
      </c>
      <c r="AO635" t="str">
        <f t="shared" si="1057"/>
        <v>d</v>
      </c>
      <c r="AP635" t="str">
        <f t="shared" si="1058"/>
        <v>o</v>
      </c>
      <c r="AQ635" t="str">
        <f>IF(AM635&lt;&gt;"",AM635,IF($AC635=#REF!,#REF!,""))</f>
        <v>Away</v>
      </c>
      <c r="AR635" t="str">
        <f t="shared" si="1059"/>
        <v>a</v>
      </c>
      <c r="AS635" t="str">
        <f t="shared" si="1060"/>
        <v>Offensive</v>
      </c>
      <c r="AT635" t="str">
        <f t="shared" si="1011"/>
        <v/>
      </c>
      <c r="AU635" t="str">
        <f t="shared" si="1012"/>
        <v/>
      </c>
      <c r="AV635" t="str" cm="1">
        <f t="array" ref="AV635">IFERROR(IF(O635&lt;&gt;"",O635,IF(OR($S635="",$T635=""),"",IF(O635&lt;&gt;"",O635,IF($T635&lt;&gt;"",_xlfn._xlws.FILTER(O:O,($BT:$BT=$BT635)*($I:$I=$I635)*($T:$T=$T635)*($S:$S=_xlfn.MINIFS($S:$S,$T:$T,"="&amp;$T635)),"")))))&amp;"",IF(O635="","",""))&amp;""</f>
        <v/>
      </c>
      <c r="AW635" t="str" cm="1">
        <f t="array" ref="AW635">IFERROR(IF(P635&lt;&gt;"",P635,IF(OR($S635="",$T635=""),"",IF($T635&lt;&gt;"",_xlfn._xlws.FILTER(P:P,($BT:$BT=$BT635)*($I:$I=$I635)*($T:$T=$T635)*($S:$S=_xlfn.MINIFS($S:$S,$T:$T,"="&amp;$T635)),""))))&amp;"",IF(P635="","",""))&amp;""</f>
        <v/>
      </c>
      <c r="AX635" t="str" cm="1">
        <f t="array" ref="AX635">IFERROR(IF(Q635&lt;&gt;"",Q635,IF(OR($S635="",$T635=""),"",IF($T635&lt;&gt;"",_xlfn._xlws.FILTER(Q:Q,($BT:$BT=$BT635)*($I:$I=$I635)*($T:$T=$T635)*($S:$S=_xlfn.MINIFS($S:$S,$T:$T,"="&amp;$T635)),""))))&amp;"",IF(Q635="","",""))&amp;""</f>
        <v/>
      </c>
      <c r="AY635" t="str" cm="1">
        <f t="array" ref="AY635">IFERROR(IF(R635&lt;&gt;"",R635,IF(OR($S635="",$T635=""),"",IF($T635&lt;&gt;"",_xlfn._xlws.FILTER(R:R,($BT:$BT=$BT635)*($I:$I=$I635)*($T:$T=$T635)*($S:$S=_xlfn.MINIFS($S:$S,$T:$T,"="&amp;$T635)),""))))&amp;"",IF(R635="","",""))&amp;""</f>
        <v/>
      </c>
      <c r="AZ635" s="6">
        <f t="shared" si="1013"/>
        <v>51</v>
      </c>
      <c r="BA635">
        <f t="shared" ref="BA635:BC635" si="1095">BA634</f>
        <v>18991</v>
      </c>
      <c r="BB635" t="str">
        <f t="shared" si="1095"/>
        <v>Triple J</v>
      </c>
      <c r="BC635" t="str">
        <f t="shared" si="1095"/>
        <v>Velodrome</v>
      </c>
      <c r="BD635" t="str">
        <f t="shared" si="1015"/>
        <v>Turnover</v>
      </c>
      <c r="BE635" t="str">
        <f t="shared" si="1016"/>
        <v>Turnover_Giveaway</v>
      </c>
      <c r="BF635" t="str">
        <f t="shared" si="1017"/>
        <v>Giveaway-PassMissed</v>
      </c>
      <c r="BG635" t="str">
        <f t="shared" si="999"/>
        <v>u</v>
      </c>
      <c r="BH635" cm="1">
        <f t="array" aca="1" ref="BH635" ca="1">IFERROR(_xlfn._xlws.FILTER(shifts!A:A,(shifts!B:B=events!Z635)*(shifts!AG:AG&gt;=events!BJ635)*(shifts!AH:AH&lt;=events!BK635)),BH634)</f>
        <v>21</v>
      </c>
      <c r="BI635" s="15">
        <f t="shared" si="1018"/>
        <v>0</v>
      </c>
      <c r="BJ635">
        <f t="shared" si="1019"/>
        <v>531</v>
      </c>
      <c r="BK635">
        <f t="shared" si="1020"/>
        <v>531</v>
      </c>
      <c r="BL635" s="15">
        <f>SUMIFS(BI$2:BI635,K$2:K635,"=Intermission")+SUMIFS(BI$2:BI635,K$2:K635,"=Timeout")</f>
        <v>0</v>
      </c>
      <c r="BM635">
        <f t="shared" si="1021"/>
        <v>0</v>
      </c>
      <c r="BN635" s="19">
        <f t="shared" si="1022"/>
        <v>549</v>
      </c>
      <c r="BO635">
        <f t="shared" si="1023"/>
        <v>544</v>
      </c>
      <c r="BP635" s="17">
        <f t="shared" si="1024"/>
        <v>549</v>
      </c>
      <c r="BQ635" t="str">
        <f t="shared" si="1025"/>
        <v>event_team_player_1</v>
      </c>
      <c r="BR635">
        <f>COUNTIFS(S$3:S635,"="&amp;S635,AH$3:AH635,"="&amp;AH635)</f>
        <v>1</v>
      </c>
      <c r="BS635" t="str">
        <f>IFERROR(VLOOKUP(BA635&amp;BT635&amp;X635,game_rosters!U:W,3,FALSE),"")</f>
        <v>P100105</v>
      </c>
      <c r="BT635" t="str">
        <f t="shared" si="1026"/>
        <v>Velodrome</v>
      </c>
    </row>
    <row r="636" spans="1:72" x14ac:dyDescent="0.2">
      <c r="A636" t="str">
        <f t="shared" si="1001"/>
        <v>x</v>
      </c>
      <c r="D636" s="26" t="s">
        <v>729</v>
      </c>
      <c r="E636" s="4"/>
      <c r="F636" s="45"/>
      <c r="G636" s="4"/>
      <c r="H636" s="47"/>
      <c r="J636" s="26" t="str">
        <f t="shared" si="1029"/>
        <v/>
      </c>
      <c r="N636" t="str">
        <f t="shared" si="1045"/>
        <v/>
      </c>
      <c r="Q636" t="str">
        <f t="shared" si="1039"/>
        <v/>
      </c>
      <c r="S636">
        <f>IF(A636=1,MAX($S$2:$S635)+1,IF(OR($I636&lt;&gt;"",A636="x"),$S635,""))</f>
        <v>316</v>
      </c>
      <c r="T636">
        <f>IF(D636=1,MAX($T$2:$T635)+1,IF(S636=S635,$T635,IF(D636="x",T635,IF(D635="x","",""))))</f>
        <v>41</v>
      </c>
      <c r="U636" t="str">
        <f>IF(B636=1,MAX($U$2:$U635)+1,IF(AND($T636&lt;&gt;"",$T636=$T635),$U635,IF(B636="x",U635,"")))</f>
        <v/>
      </c>
      <c r="V636" t="str">
        <f>IF(C636=1,MAX($V$2:$V635)+1,IF(AND($T636&lt;&gt;"",$T636=$T635),$U635,IF(C636="x",V635,"")))</f>
        <v/>
      </c>
      <c r="W636" t="str" cm="1">
        <f t="array" ref="W636">IFERROR(_xlfn._xlws.FILTER(game_rosters!AC:AC,(game_rosters!J:J=events!X636)*(K636&lt;&gt;"")),"")</f>
        <v/>
      </c>
      <c r="X636" cm="1">
        <f t="array" ref="X636">IF($I636&lt;&gt;"",$I636,INDEX($I$1:$I636,ROW()-COUNTIFS($T$1:$T636,"="&amp;$T636,$S$1:$S636,"&lt;"&amp;$S636)))</f>
        <v>24</v>
      </c>
      <c r="Y636" cm="1">
        <f t="array" ref="Y636">IFERROR(IF(_xlfn._xlws.FILTER(game_rosters!$J:$J,(game_rosters!$G:$G=events!$AM636)*(game_rosters!$J:$J=events!$X636))&gt;0,1,""),"")</f>
        <v>1</v>
      </c>
      <c r="Z636" s="6">
        <f t="shared" si="1002"/>
        <v>1</v>
      </c>
      <c r="AA636">
        <f t="shared" si="1003"/>
        <v>1316</v>
      </c>
      <c r="AB636">
        <f t="shared" si="1004"/>
        <v>9041</v>
      </c>
      <c r="AC636">
        <f t="shared" si="1005"/>
        <v>9041</v>
      </c>
      <c r="AD636" t="str">
        <f t="shared" si="1006"/>
        <v>8</v>
      </c>
      <c r="AE636" t="str">
        <f t="shared" si="1007"/>
        <v>51</v>
      </c>
      <c r="AF636" t="str">
        <f t="shared" si="1008"/>
        <v/>
      </c>
      <c r="AG636" t="str">
        <f t="shared" si="1009"/>
        <v/>
      </c>
      <c r="AH636" t="str">
        <f t="shared" si="1052"/>
        <v>e</v>
      </c>
      <c r="AI636" t="str">
        <f t="shared" si="1094"/>
        <v>o</v>
      </c>
      <c r="AJ636" t="str">
        <f t="shared" si="1094"/>
        <v>o</v>
      </c>
      <c r="AK636" t="str">
        <f t="shared" si="1054"/>
        <v/>
      </c>
      <c r="AL636" t="str">
        <f t="shared" si="1055"/>
        <v/>
      </c>
      <c r="AM636" t="str">
        <f t="shared" si="1010"/>
        <v>Away</v>
      </c>
      <c r="AN636" t="str">
        <f t="shared" si="1056"/>
        <v>a</v>
      </c>
      <c r="AO636" t="str">
        <f t="shared" si="1057"/>
        <v>d</v>
      </c>
      <c r="AP636" t="str">
        <f t="shared" si="1058"/>
        <v>o</v>
      </c>
      <c r="AQ636" t="str">
        <f>IF(AM636&lt;&gt;"",AM636,IF($AC636=#REF!,#REF!,""))</f>
        <v>Away</v>
      </c>
      <c r="AR636" t="str">
        <f t="shared" si="1059"/>
        <v>a</v>
      </c>
      <c r="AS636" t="str">
        <f t="shared" si="1060"/>
        <v>Offensive</v>
      </c>
      <c r="AT636" t="str">
        <f t="shared" si="1011"/>
        <v/>
      </c>
      <c r="AU636" t="str">
        <f t="shared" si="1012"/>
        <v/>
      </c>
      <c r="AV636" t="str" cm="1">
        <f t="array" ref="AV636">IFERROR(IF(O636&lt;&gt;"",O636,IF(OR($S636="",$T636=""),"",IF(O636&lt;&gt;"",O636,IF($T636&lt;&gt;"",_xlfn._xlws.FILTER(O:O,($BT:$BT=$BT636)*($I:$I=$I636)*($T:$T=$T636)*($S:$S=_xlfn.MINIFS($S:$S,$T:$T,"="&amp;$T636)),"")))))&amp;"",IF(O636="","",""))&amp;""</f>
        <v/>
      </c>
      <c r="AW636" t="str" cm="1">
        <f t="array" ref="AW636">IFERROR(IF(P636&lt;&gt;"",P636,IF(OR($S636="",$T636=""),"",IF($T636&lt;&gt;"",_xlfn._xlws.FILTER(P:P,($BT:$BT=$BT636)*($I:$I=$I636)*($T:$T=$T636)*($S:$S=_xlfn.MINIFS($S:$S,$T:$T,"="&amp;$T636)),""))))&amp;"",IF(P636="","",""))&amp;""</f>
        <v/>
      </c>
      <c r="AX636" t="str" cm="1">
        <f t="array" ref="AX636">IFERROR(IF(Q636&lt;&gt;"",Q636,IF(OR($S636="",$T636=""),"",IF($T636&lt;&gt;"",_xlfn._xlws.FILTER(Q:Q,($BT:$BT=$BT636)*($I:$I=$I636)*($T:$T=$T636)*($S:$S=_xlfn.MINIFS($S:$S,$T:$T,"="&amp;$T636)),""))))&amp;"",IF(Q636="","",""))&amp;""</f>
        <v/>
      </c>
      <c r="AY636" t="str" cm="1">
        <f t="array" ref="AY636">IFERROR(IF(R636&lt;&gt;"",R636,IF(OR($S636="",$T636=""),"",IF($T636&lt;&gt;"",_xlfn._xlws.FILTER(R:R,($BT:$BT=$BT636)*($I:$I=$I636)*($T:$T=$T636)*($S:$S=_xlfn.MINIFS($S:$S,$T:$T,"="&amp;$T636)),""))))&amp;"",IF(R636="","",""))&amp;""</f>
        <v/>
      </c>
      <c r="AZ636" s="6">
        <f t="shared" si="1013"/>
        <v>51</v>
      </c>
      <c r="BA636">
        <f t="shared" ref="BA636:BC636" si="1096">BA635</f>
        <v>18991</v>
      </c>
      <c r="BB636" t="str">
        <f t="shared" si="1096"/>
        <v>Triple J</v>
      </c>
      <c r="BC636" t="str">
        <f t="shared" si="1096"/>
        <v>Velodrome</v>
      </c>
      <c r="BD636" t="str">
        <f t="shared" si="1015"/>
        <v>Turnover</v>
      </c>
      <c r="BE636" t="str">
        <f t="shared" si="1016"/>
        <v>Turnover_Giveaway</v>
      </c>
      <c r="BF636" t="str">
        <f t="shared" si="1017"/>
        <v>Giveaway-PassMissed</v>
      </c>
      <c r="BG636" t="str">
        <f t="shared" si="999"/>
        <v>u</v>
      </c>
      <c r="BH636" cm="1">
        <f t="array" aca="1" ref="BH636" ca="1">IFERROR(_xlfn._xlws.FILTER(shifts!A:A,(shifts!B:B=events!Z636)*(shifts!AG:AG&gt;=events!BJ636)*(shifts!AH:AH&lt;=events!BK636)),BH635)</f>
        <v>21</v>
      </c>
      <c r="BI636" s="15">
        <f t="shared" si="1018"/>
        <v>0</v>
      </c>
      <c r="BJ636">
        <f t="shared" si="1019"/>
        <v>531</v>
      </c>
      <c r="BK636">
        <f t="shared" si="1020"/>
        <v>531</v>
      </c>
      <c r="BL636" s="15">
        <f>SUMIFS(BI$2:BI636,K$2:K636,"=Intermission")+SUMIFS(BI$2:BI636,K$2:K636,"=Timeout")</f>
        <v>0</v>
      </c>
      <c r="BM636">
        <f t="shared" si="1021"/>
        <v>0</v>
      </c>
      <c r="BN636" s="19">
        <f t="shared" si="1022"/>
        <v>549</v>
      </c>
      <c r="BO636">
        <f t="shared" si="1023"/>
        <v>544</v>
      </c>
      <c r="BP636" s="17">
        <f t="shared" si="1024"/>
        <v>549</v>
      </c>
      <c r="BQ636" t="str">
        <f t="shared" si="1025"/>
        <v>event_team_player_2</v>
      </c>
      <c r="BR636">
        <f>COUNTIFS(S$3:S636,"="&amp;S636,AH$3:AH636,"="&amp;AH636)</f>
        <v>2</v>
      </c>
      <c r="BS636" t="str">
        <f>IFERROR(VLOOKUP(BA636&amp;BT636&amp;X636,game_rosters!U:W,3,FALSE),"")</f>
        <v>P100230</v>
      </c>
      <c r="BT636" t="str">
        <f t="shared" si="1026"/>
        <v>Velodrome</v>
      </c>
    </row>
    <row r="637" spans="1:72" x14ac:dyDescent="0.2">
      <c r="A637" t="str">
        <f t="shared" si="1001"/>
        <v>x</v>
      </c>
      <c r="D637" s="26" t="s">
        <v>729</v>
      </c>
      <c r="E637" s="4"/>
      <c r="F637" s="45"/>
      <c r="G637" s="4"/>
      <c r="H637" s="47"/>
      <c r="J637" s="26" t="str">
        <f t="shared" si="1029"/>
        <v/>
      </c>
      <c r="N637" t="str">
        <f t="shared" si="1045"/>
        <v/>
      </c>
      <c r="Q637" t="str">
        <f t="shared" si="1039"/>
        <v/>
      </c>
      <c r="S637">
        <f>IF(A637=1,MAX($S$2:$S636)+1,IF(OR($I637&lt;&gt;"",A637="x"),$S636,""))</f>
        <v>316</v>
      </c>
      <c r="T637">
        <f>IF(D637=1,MAX($T$2:$T636)+1,IF(S637=S636,$T636,IF(D637="x",T636,IF(D636="x","",""))))</f>
        <v>41</v>
      </c>
      <c r="U637" t="str">
        <f>IF(B637=1,MAX($U$2:$U636)+1,IF(AND($T637&lt;&gt;"",$T637=$T636),$U636,IF(B637="x",U636,"")))</f>
        <v/>
      </c>
      <c r="V637" t="str">
        <f>IF(C637=1,MAX($V$2:$V636)+1,IF(AND($T637&lt;&gt;"",$T637=$T636),$U636,IF(C637="x",V636,"")))</f>
        <v/>
      </c>
      <c r="W637" t="str" cm="1">
        <f t="array" ref="W637">IFERROR(_xlfn._xlws.FILTER(game_rosters!AC:AC,(game_rosters!J:J=events!X637)*(K637&lt;&gt;"")),"")</f>
        <v/>
      </c>
      <c r="X637" cm="1">
        <f t="array" ref="X637">IF($I637&lt;&gt;"",$I637,INDEX($I$1:$I637,ROW()-COUNTIFS($T$1:$T637,"="&amp;$T637,$S$1:$S637,"&lt;"&amp;$S637)))</f>
        <v>71</v>
      </c>
      <c r="Y637" t="str" cm="1">
        <f t="array" ref="Y637">IFERROR(IF(_xlfn._xlws.FILTER(game_rosters!$J:$J,(game_rosters!$G:$G=events!$AM637)*(game_rosters!$J:$J=events!$X637))&gt;0,1,""),"")</f>
        <v/>
      </c>
      <c r="Z637" s="6">
        <f t="shared" si="1002"/>
        <v>1</v>
      </c>
      <c r="AA637">
        <f t="shared" si="1003"/>
        <v>1316</v>
      </c>
      <c r="AB637">
        <f t="shared" si="1004"/>
        <v>9041</v>
      </c>
      <c r="AC637">
        <f t="shared" si="1005"/>
        <v>9041</v>
      </c>
      <c r="AD637" t="str">
        <f t="shared" si="1006"/>
        <v>8</v>
      </c>
      <c r="AE637" t="str">
        <f t="shared" si="1007"/>
        <v>51</v>
      </c>
      <c r="AF637" t="str">
        <f t="shared" si="1008"/>
        <v/>
      </c>
      <c r="AG637" t="str">
        <f t="shared" si="1009"/>
        <v/>
      </c>
      <c r="AH637" t="str">
        <f t="shared" si="1052"/>
        <v>o</v>
      </c>
      <c r="AI637" t="str">
        <f t="shared" si="1094"/>
        <v>o</v>
      </c>
      <c r="AJ637" t="str">
        <f t="shared" si="1094"/>
        <v>o</v>
      </c>
      <c r="AK637" t="str">
        <f t="shared" si="1054"/>
        <v/>
      </c>
      <c r="AL637" t="str">
        <f t="shared" si="1055"/>
        <v/>
      </c>
      <c r="AM637" t="str">
        <f t="shared" si="1010"/>
        <v>Away</v>
      </c>
      <c r="AN637" t="str">
        <f t="shared" si="1056"/>
        <v>a</v>
      </c>
      <c r="AO637" t="str">
        <f t="shared" si="1057"/>
        <v>d</v>
      </c>
      <c r="AP637" t="str">
        <f t="shared" si="1058"/>
        <v>o</v>
      </c>
      <c r="AQ637" t="str">
        <f>IF(AM637&lt;&gt;"",AM637,IF($AC637=#REF!,#REF!,""))</f>
        <v>Away</v>
      </c>
      <c r="AR637" t="str">
        <f t="shared" si="1059"/>
        <v>a</v>
      </c>
      <c r="AS637" t="str">
        <f t="shared" si="1060"/>
        <v>Defensive</v>
      </c>
      <c r="AT637" t="str">
        <f t="shared" si="1011"/>
        <v/>
      </c>
      <c r="AU637" t="str">
        <f t="shared" si="1012"/>
        <v/>
      </c>
      <c r="AV637" t="str" cm="1">
        <f t="array" ref="AV637">IFERROR(IF(O637&lt;&gt;"",O637,IF(OR($S637="",$T637=""),"",IF(O637&lt;&gt;"",O637,IF($T637&lt;&gt;"",_xlfn._xlws.FILTER(O:O,($BT:$BT=$BT637)*($I:$I=$I637)*($T:$T=$T637)*($S:$S=_xlfn.MINIFS($S:$S,$T:$T,"="&amp;$T637)),"")))))&amp;"",IF(O637="","",""))&amp;""</f>
        <v/>
      </c>
      <c r="AW637" t="str" cm="1">
        <f t="array" ref="AW637">IFERROR(IF(P637&lt;&gt;"",P637,IF(OR($S637="",$T637=""),"",IF($T637&lt;&gt;"",_xlfn._xlws.FILTER(P:P,($BT:$BT=$BT637)*($I:$I=$I637)*($T:$T=$T637)*($S:$S=_xlfn.MINIFS($S:$S,$T:$T,"="&amp;$T637)),""))))&amp;"",IF(P637="","",""))&amp;""</f>
        <v/>
      </c>
      <c r="AX637" t="str" cm="1">
        <f t="array" ref="AX637">IFERROR(IF(Q637&lt;&gt;"",Q637,IF(OR($S637="",$T637=""),"",IF($T637&lt;&gt;"",_xlfn._xlws.FILTER(Q:Q,($BT:$BT=$BT637)*($I:$I=$I637)*($T:$T=$T637)*($S:$S=_xlfn.MINIFS($S:$S,$T:$T,"="&amp;$T637)),""))))&amp;"",IF(Q637="","",""))&amp;""</f>
        <v/>
      </c>
      <c r="AY637" t="str" cm="1">
        <f t="array" ref="AY637">IFERROR(IF(R637&lt;&gt;"",R637,IF(OR($S637="",$T637=""),"",IF($T637&lt;&gt;"",_xlfn._xlws.FILTER(R:R,($BT:$BT=$BT637)*($I:$I=$I637)*($T:$T=$T637)*($S:$S=_xlfn.MINIFS($S:$S,$T:$T,"="&amp;$T637)),""))))&amp;"",IF(R637="","",""))&amp;""</f>
        <v/>
      </c>
      <c r="AZ637" s="6">
        <f t="shared" si="1013"/>
        <v>51</v>
      </c>
      <c r="BA637">
        <f t="shared" ref="BA637:BC637" si="1097">BA636</f>
        <v>18991</v>
      </c>
      <c r="BB637" t="str">
        <f t="shared" si="1097"/>
        <v>Triple J</v>
      </c>
      <c r="BC637" t="str">
        <f t="shared" si="1097"/>
        <v>Velodrome</v>
      </c>
      <c r="BD637" t="str">
        <f t="shared" si="1015"/>
        <v>Turnover</v>
      </c>
      <c r="BE637" t="str">
        <f t="shared" si="1016"/>
        <v>Turnover_Giveaway</v>
      </c>
      <c r="BF637" t="str">
        <f t="shared" si="1017"/>
        <v>Giveaway-PassMissed</v>
      </c>
      <c r="BG637" t="str">
        <f t="shared" si="999"/>
        <v>u</v>
      </c>
      <c r="BH637" cm="1">
        <f t="array" aca="1" ref="BH637" ca="1">IFERROR(_xlfn._xlws.FILTER(shifts!A:A,(shifts!B:B=events!Z637)*(shifts!AG:AG&gt;=events!BJ637)*(shifts!AH:AH&lt;=events!BK637)),BH636)</f>
        <v>21</v>
      </c>
      <c r="BI637" s="15">
        <f t="shared" si="1018"/>
        <v>0</v>
      </c>
      <c r="BJ637">
        <f t="shared" si="1019"/>
        <v>531</v>
      </c>
      <c r="BK637">
        <f t="shared" si="1020"/>
        <v>531</v>
      </c>
      <c r="BL637" s="15">
        <f>SUMIFS(BI$2:BI637,K$2:K637,"=Intermission")+SUMIFS(BI$2:BI637,K$2:K637,"=Timeout")</f>
        <v>0</v>
      </c>
      <c r="BM637">
        <f t="shared" si="1021"/>
        <v>0</v>
      </c>
      <c r="BN637" s="19">
        <f t="shared" si="1022"/>
        <v>549</v>
      </c>
      <c r="BO637">
        <f t="shared" si="1023"/>
        <v>544</v>
      </c>
      <c r="BP637" s="17">
        <f t="shared" si="1024"/>
        <v>549</v>
      </c>
      <c r="BQ637" t="str">
        <f t="shared" si="1025"/>
        <v>opp_team_player_1</v>
      </c>
      <c r="BR637">
        <f>COUNTIFS(S$3:S637,"="&amp;S637,AH$3:AH637,"="&amp;AH637)</f>
        <v>1</v>
      </c>
      <c r="BS637" t="str">
        <f>IFERROR(VLOOKUP(BA637&amp;BT637&amp;X637,game_rosters!U:W,3,FALSE),"")</f>
        <v>P100008</v>
      </c>
      <c r="BT637" t="str">
        <f t="shared" si="1026"/>
        <v>Triple J</v>
      </c>
    </row>
    <row r="638" spans="1:72" x14ac:dyDescent="0.2">
      <c r="A638">
        <f t="shared" si="1001"/>
        <v>1</v>
      </c>
      <c r="E638" s="4"/>
      <c r="F638" s="45" t="s">
        <v>751</v>
      </c>
      <c r="G638" s="4"/>
      <c r="H638" s="47" t="s">
        <v>1031</v>
      </c>
      <c r="I638" s="26">
        <v>19</v>
      </c>
      <c r="J638" s="26" t="s">
        <v>736</v>
      </c>
      <c r="K638" t="s">
        <v>13</v>
      </c>
      <c r="L638" t="s">
        <v>586</v>
      </c>
      <c r="N638" t="s">
        <v>594</v>
      </c>
      <c r="Q638" t="str">
        <f t="shared" si="1039"/>
        <v/>
      </c>
      <c r="S638">
        <f>IF(A638=1,MAX($S$2:$S637)+1,IF(OR($I638&lt;&gt;"",A638="x"),$S637,""))</f>
        <v>317</v>
      </c>
      <c r="T638" t="str">
        <f>IF(D638=1,MAX($T$2:$T637)+1,IF(S638=S637,$T637,IF(D638="x",T637,IF(D637="x","",""))))</f>
        <v/>
      </c>
      <c r="U638" t="str">
        <f>IF(B638=1,MAX($U$2:$U637)+1,IF(AND($T638&lt;&gt;"",$T638=$T637),$U637,IF(B638="x",U637,"")))</f>
        <v/>
      </c>
      <c r="V638" t="str">
        <f>IF(C638=1,MAX($V$2:$V637)+1,IF(AND($T638&lt;&gt;"",$T638=$T637),$U637,IF(C638="x",V637,"")))</f>
        <v/>
      </c>
      <c r="W638" t="str" cm="1">
        <f t="array" ref="W638">IFERROR(_xlfn._xlws.FILTER(game_rosters!AC:AC,(game_rosters!J:J=events!X638)*(K638&lt;&gt;"")),"")</f>
        <v>h</v>
      </c>
      <c r="X638" cm="1">
        <f t="array" ref="X638">IF($I638&lt;&gt;"",$I638,INDEX($I$1:$I638,ROW()-COUNTIFS($T$1:$T638,"="&amp;$T638,$S$1:$S638,"&lt;"&amp;$S638)))</f>
        <v>19</v>
      </c>
      <c r="Y638" cm="1">
        <f t="array" ref="Y638">IFERROR(IF(_xlfn._xlws.FILTER(game_rosters!$J:$J,(game_rosters!$G:$G=events!$AM638)*(game_rosters!$J:$J=events!$X638))&gt;0,1,""),"")</f>
        <v>1</v>
      </c>
      <c r="Z638" s="6">
        <f t="shared" si="1002"/>
        <v>1</v>
      </c>
      <c r="AA638">
        <f t="shared" si="1003"/>
        <v>1317</v>
      </c>
      <c r="AB638" t="str">
        <f t="shared" si="1004"/>
        <v/>
      </c>
      <c r="AC638">
        <f t="shared" si="1005"/>
        <v>1317</v>
      </c>
      <c r="AD638" t="str">
        <f t="shared" si="1006"/>
        <v>8</v>
      </c>
      <c r="AE638" t="str">
        <f t="shared" si="1007"/>
        <v>49</v>
      </c>
      <c r="AF638" t="str">
        <f t="shared" si="1008"/>
        <v>8</v>
      </c>
      <c r="AG638" t="str">
        <f t="shared" si="1009"/>
        <v>47</v>
      </c>
      <c r="AH638" t="str">
        <f t="shared" si="1052"/>
        <v>e</v>
      </c>
      <c r="AI638" t="str">
        <f t="shared" si="1094"/>
        <v>d</v>
      </c>
      <c r="AJ638" t="str">
        <f t="shared" si="1094"/>
        <v>d</v>
      </c>
      <c r="AK638" t="str">
        <f t="shared" si="1054"/>
        <v>d</v>
      </c>
      <c r="AL638" t="str">
        <f t="shared" si="1055"/>
        <v>o</v>
      </c>
      <c r="AM638" t="str">
        <f t="shared" si="1010"/>
        <v>Home</v>
      </c>
      <c r="AN638" t="str">
        <f t="shared" si="1056"/>
        <v>h</v>
      </c>
      <c r="AO638" t="str">
        <f t="shared" si="1057"/>
        <v>d</v>
      </c>
      <c r="AP638" t="str">
        <f t="shared" si="1058"/>
        <v>o</v>
      </c>
      <c r="AQ638" t="str">
        <f>IF(AM638&lt;&gt;"",AM638,IF($AC638=#REF!,#REF!,""))</f>
        <v>Home</v>
      </c>
      <c r="AR638" t="str">
        <f t="shared" si="1059"/>
        <v>h</v>
      </c>
      <c r="AS638" t="str">
        <f t="shared" si="1060"/>
        <v>Offensive</v>
      </c>
      <c r="AT638" t="str">
        <f t="shared" si="1011"/>
        <v/>
      </c>
      <c r="AU638" t="str">
        <f t="shared" si="1012"/>
        <v/>
      </c>
      <c r="AV638" t="str" cm="1">
        <f t="array" ref="AV638">IFERROR(IF(O638&lt;&gt;"",O638,IF(OR($S638="",$T638=""),"",IF(O638&lt;&gt;"",O638,IF($T638&lt;&gt;"",_xlfn._xlws.FILTER(O:O,($BT:$BT=$BT638)*($I:$I=$I638)*($T:$T=$T638)*($S:$S=_xlfn.MINIFS($S:$S,$T:$T,"="&amp;$T638)),"")))))&amp;"",IF(O638="","",""))&amp;""</f>
        <v/>
      </c>
      <c r="AW638" t="str" cm="1">
        <f t="array" ref="AW638">IFERROR(IF(P638&lt;&gt;"",P638,IF(OR($S638="",$T638=""),"",IF($T638&lt;&gt;"",_xlfn._xlws.FILTER(P:P,($BT:$BT=$BT638)*($I:$I=$I638)*($T:$T=$T638)*($S:$S=_xlfn.MINIFS($S:$S,$T:$T,"="&amp;$T638)),""))))&amp;"",IF(P638="","",""))&amp;""</f>
        <v/>
      </c>
      <c r="AX638" t="str" cm="1">
        <f t="array" ref="AX638">IFERROR(IF(Q638&lt;&gt;"",Q638,IF(OR($S638="",$T638=""),"",IF($T638&lt;&gt;"",_xlfn._xlws.FILTER(Q:Q,($BT:$BT=$BT638)*($I:$I=$I638)*($T:$T=$T638)*($S:$S=_xlfn.MINIFS($S:$S,$T:$T,"="&amp;$T638)),""))))&amp;"",IF(Q638="","",""))&amp;""</f>
        <v/>
      </c>
      <c r="AY638" t="str" cm="1">
        <f t="array" ref="AY638">IFERROR(IF(R638&lt;&gt;"",R638,IF(OR($S638="",$T638=""),"",IF($T638&lt;&gt;"",_xlfn._xlws.FILTER(R:R,($BT:$BT=$BT638)*($I:$I=$I638)*($T:$T=$T638)*($S:$S=_xlfn.MINIFS($S:$S,$T:$T,"="&amp;$T638)),""))))&amp;"",IF(R638="","",""))&amp;""</f>
        <v/>
      </c>
      <c r="AZ638" s="6">
        <f t="shared" si="1013"/>
        <v>51</v>
      </c>
      <c r="BA638">
        <f t="shared" ref="BA638:BC638" si="1098">BA637</f>
        <v>18991</v>
      </c>
      <c r="BB638" t="str">
        <f t="shared" si="1098"/>
        <v>Triple J</v>
      </c>
      <c r="BC638" t="str">
        <f t="shared" si="1098"/>
        <v>Velodrome</v>
      </c>
      <c r="BD638" t="str">
        <f t="shared" si="1015"/>
        <v>Possession</v>
      </c>
      <c r="BE638" t="str">
        <f t="shared" si="1016"/>
        <v>PuckRetrieval</v>
      </c>
      <c r="BF638" t="str">
        <f t="shared" si="1017"/>
        <v/>
      </c>
      <c r="BG638" t="str">
        <f t="shared" si="999"/>
        <v>u</v>
      </c>
      <c r="BH638" cm="1">
        <f t="array" aca="1" ref="BH638" ca="1">IFERROR(_xlfn._xlws.FILTER(shifts!A:A,(shifts!B:B=events!Z638)*(shifts!AG:AG&gt;=events!BJ638)*(shifts!AH:AH&lt;=events!BK638)),BH637)</f>
        <v>21</v>
      </c>
      <c r="BI638" s="15">
        <f t="shared" si="1018"/>
        <v>2</v>
      </c>
      <c r="BJ638">
        <f t="shared" si="1019"/>
        <v>529</v>
      </c>
      <c r="BK638">
        <f t="shared" si="1020"/>
        <v>527</v>
      </c>
      <c r="BL638" s="15">
        <f>SUMIFS(BI$2:BI638,K$2:K638,"=Intermission")+SUMIFS(BI$2:BI638,K$2:K638,"=Timeout")</f>
        <v>0</v>
      </c>
      <c r="BM638">
        <f t="shared" si="1021"/>
        <v>0</v>
      </c>
      <c r="BN638" s="19">
        <f t="shared" si="1022"/>
        <v>551</v>
      </c>
      <c r="BO638">
        <f t="shared" si="1023"/>
        <v>546</v>
      </c>
      <c r="BP638" s="17">
        <f t="shared" si="1024"/>
        <v>553</v>
      </c>
      <c r="BQ638" t="str">
        <f t="shared" si="1025"/>
        <v>event_team_player_1</v>
      </c>
      <c r="BR638">
        <f>COUNTIFS(S$3:S638,"="&amp;S638,AH$3:AH638,"="&amp;AH638)</f>
        <v>1</v>
      </c>
      <c r="BS638" t="str">
        <f>IFERROR(VLOOKUP(BA638&amp;BT638&amp;X638,game_rosters!U:W,3,FALSE),"")</f>
        <v>P100089</v>
      </c>
      <c r="BT638" t="str">
        <f t="shared" si="1026"/>
        <v>Triple J</v>
      </c>
    </row>
    <row r="639" spans="1:72" x14ac:dyDescent="0.2">
      <c r="A639">
        <f t="shared" si="1001"/>
        <v>1</v>
      </c>
      <c r="E639" s="4"/>
      <c r="F639" s="45"/>
      <c r="G639" s="4"/>
      <c r="H639" s="47"/>
      <c r="I639" s="26">
        <v>19</v>
      </c>
      <c r="J639" s="26" t="s">
        <v>736</v>
      </c>
      <c r="K639" t="s">
        <v>7</v>
      </c>
      <c r="L639" t="s">
        <v>172</v>
      </c>
      <c r="M639" t="s">
        <v>66</v>
      </c>
      <c r="N639" t="str">
        <f t="shared" si="1045"/>
        <v>s</v>
      </c>
      <c r="Q639" t="str">
        <f t="shared" si="1039"/>
        <v/>
      </c>
      <c r="R639" s="26">
        <v>1</v>
      </c>
      <c r="S639">
        <f>IF(A639=1,MAX($S$2:$S638)+1,IF(OR($I639&lt;&gt;"",A639="x"),$S638,""))</f>
        <v>318</v>
      </c>
      <c r="T639" t="str">
        <f>IF(D639=1,MAX($T$2:$T638)+1,IF(S639=S638,$T638,IF(D639="x",T638,IF(D638="x","",""))))</f>
        <v/>
      </c>
      <c r="U639" t="str">
        <f>IF(B639=1,MAX($U$2:$U638)+1,IF(AND($T639&lt;&gt;"",$T639=$T638),$U638,IF(B639="x",U638,"")))</f>
        <v/>
      </c>
      <c r="V639" t="str">
        <f>IF(C639=1,MAX($V$2:$V638)+1,IF(AND($T639&lt;&gt;"",$T639=$T638),$U638,IF(C639="x",V638,"")))</f>
        <v/>
      </c>
      <c r="W639" t="str" cm="1">
        <f t="array" ref="W639">IFERROR(_xlfn._xlws.FILTER(game_rosters!AC:AC,(game_rosters!J:J=events!X639)*(K639&lt;&gt;"")),"")</f>
        <v>h</v>
      </c>
      <c r="X639" cm="1">
        <f t="array" ref="X639">IF($I639&lt;&gt;"",$I639,INDEX($I$1:$I639,ROW()-COUNTIFS($T$1:$T639,"="&amp;$T639,$S$1:$S639,"&lt;"&amp;$S639)))</f>
        <v>19</v>
      </c>
      <c r="Y639" cm="1">
        <f t="array" ref="Y639">IFERROR(IF(_xlfn._xlws.FILTER(game_rosters!$J:$J,(game_rosters!$G:$G=events!$AM639)*(game_rosters!$J:$J=events!$X639))&gt;0,1,""),"")</f>
        <v>1</v>
      </c>
      <c r="Z639" s="6">
        <f t="shared" si="1002"/>
        <v>1</v>
      </c>
      <c r="AA639">
        <f t="shared" si="1003"/>
        <v>1318</v>
      </c>
      <c r="AB639" t="str">
        <f t="shared" si="1004"/>
        <v/>
      </c>
      <c r="AC639">
        <f t="shared" si="1005"/>
        <v>1318</v>
      </c>
      <c r="AD639" t="str">
        <f t="shared" si="1006"/>
        <v>8</v>
      </c>
      <c r="AE639" t="str">
        <f t="shared" si="1007"/>
        <v>47</v>
      </c>
      <c r="AF639" t="str">
        <f t="shared" si="1008"/>
        <v/>
      </c>
      <c r="AG639" t="str">
        <f t="shared" si="1009"/>
        <v/>
      </c>
      <c r="AH639" t="str">
        <f t="shared" si="1052"/>
        <v>e</v>
      </c>
      <c r="AI639" t="str">
        <f t="shared" si="1094"/>
        <v>d</v>
      </c>
      <c r="AJ639" t="str">
        <f t="shared" si="1094"/>
        <v>d</v>
      </c>
      <c r="AK639" t="str">
        <f t="shared" si="1054"/>
        <v>d</v>
      </c>
      <c r="AL639" t="str">
        <f t="shared" si="1055"/>
        <v>o</v>
      </c>
      <c r="AM639" t="str">
        <f t="shared" si="1010"/>
        <v>Home</v>
      </c>
      <c r="AN639" t="str">
        <f t="shared" si="1056"/>
        <v>h</v>
      </c>
      <c r="AO639" t="str">
        <f t="shared" si="1057"/>
        <v>d</v>
      </c>
      <c r="AP639" t="str">
        <f t="shared" si="1058"/>
        <v>o</v>
      </c>
      <c r="AQ639" t="str">
        <f>IF(AM639&lt;&gt;"",AM639,IF($AC639=#REF!,#REF!,""))</f>
        <v>Home</v>
      </c>
      <c r="AR639" t="str">
        <f t="shared" si="1059"/>
        <v>h</v>
      </c>
      <c r="AS639" t="str">
        <f t="shared" si="1060"/>
        <v>Offensive</v>
      </c>
      <c r="AT639" t="str">
        <f t="shared" si="1011"/>
        <v/>
      </c>
      <c r="AU639" t="str">
        <f t="shared" si="1012"/>
        <v/>
      </c>
      <c r="AV639" t="str" cm="1">
        <f t="array" ref="AV639">IFERROR(IF(O639&lt;&gt;"",O639,IF(OR($S639="",$T639=""),"",IF(O639&lt;&gt;"",O639,IF($T639&lt;&gt;"",_xlfn._xlws.FILTER(O:O,($BT:$BT=$BT639)*($I:$I=$I639)*($T:$T=$T639)*($S:$S=_xlfn.MINIFS($S:$S,$T:$T,"="&amp;$T639)),"")))))&amp;"",IF(O639="","",""))&amp;""</f>
        <v/>
      </c>
      <c r="AW639" t="str" cm="1">
        <f t="array" ref="AW639">IFERROR(IF(P639&lt;&gt;"",P639,IF(OR($S639="",$T639=""),"",IF($T639&lt;&gt;"",_xlfn._xlws.FILTER(P:P,($BT:$BT=$BT639)*($I:$I=$I639)*($T:$T=$T639)*($S:$S=_xlfn.MINIFS($S:$S,$T:$T,"="&amp;$T639)),""))))&amp;"",IF(P639="","",""))&amp;""</f>
        <v/>
      </c>
      <c r="AX639" t="str" cm="1">
        <f t="array" ref="AX639">IFERROR(IF(Q639&lt;&gt;"",Q639,IF(OR($S639="",$T639=""),"",IF($T639&lt;&gt;"",_xlfn._xlws.FILTER(Q:Q,($BT:$BT=$BT639)*($I:$I=$I639)*($T:$T=$T639)*($S:$S=_xlfn.MINIFS($S:$S,$T:$T,"="&amp;$T639)),""))))&amp;"",IF(Q639="","",""))&amp;""</f>
        <v/>
      </c>
      <c r="AY639" t="str" cm="1">
        <f t="array" ref="AY639">IFERROR(IF(R639&lt;&gt;"",R639,IF(OR($S639="",$T639=""),"",IF($T639&lt;&gt;"",_xlfn._xlws.FILTER(R:R,($BT:$BT=$BT639)*($I:$I=$I639)*($T:$T=$T639)*($S:$S=_xlfn.MINIFS($S:$S,$T:$T,"="&amp;$T639)),""))))&amp;"",IF(R639="","",""))&amp;""</f>
        <v>1</v>
      </c>
      <c r="AZ639" s="6">
        <f t="shared" si="1013"/>
        <v>51</v>
      </c>
      <c r="BA639">
        <f t="shared" ref="BA639:BC639" si="1099">BA638</f>
        <v>18991</v>
      </c>
      <c r="BB639" t="str">
        <f t="shared" si="1099"/>
        <v>Triple J</v>
      </c>
      <c r="BC639" t="str">
        <f t="shared" si="1099"/>
        <v>Velodrome</v>
      </c>
      <c r="BD639" t="str">
        <f t="shared" si="1015"/>
        <v>Pass</v>
      </c>
      <c r="BE639" t="str">
        <f t="shared" si="1016"/>
        <v>Pass_Completed</v>
      </c>
      <c r="BF639" t="str">
        <f t="shared" si="1017"/>
        <v>Pass-Rim/Wrap</v>
      </c>
      <c r="BG639" t="str">
        <f t="shared" si="999"/>
        <v>s</v>
      </c>
      <c r="BH639" cm="1">
        <f t="array" aca="1" ref="BH639" ca="1">IFERROR(_xlfn._xlws.FILTER(shifts!A:A,(shifts!B:B=events!Z639)*(shifts!AG:AG&gt;=events!BJ639)*(shifts!AH:AH&lt;=events!BK639)),BH638)</f>
        <v>21</v>
      </c>
      <c r="BI639" s="15">
        <f t="shared" si="1018"/>
        <v>0</v>
      </c>
      <c r="BJ639">
        <f t="shared" si="1019"/>
        <v>527</v>
      </c>
      <c r="BK639">
        <f t="shared" si="1020"/>
        <v>527</v>
      </c>
      <c r="BL639" s="15">
        <f>SUMIFS(BI$2:BI639,K$2:K639,"=Intermission")+SUMIFS(BI$2:BI639,K$2:K639,"=Timeout")</f>
        <v>0</v>
      </c>
      <c r="BM639">
        <f t="shared" si="1021"/>
        <v>0</v>
      </c>
      <c r="BN639" s="19">
        <f t="shared" si="1022"/>
        <v>553</v>
      </c>
      <c r="BO639">
        <f t="shared" si="1023"/>
        <v>548</v>
      </c>
      <c r="BP639" s="17">
        <f t="shared" si="1024"/>
        <v>553</v>
      </c>
      <c r="BQ639" t="str">
        <f t="shared" si="1025"/>
        <v>event_team_player_1</v>
      </c>
      <c r="BR639">
        <f>COUNTIFS(S$3:S639,"="&amp;S639,AH$3:AH639,"="&amp;AH639)</f>
        <v>1</v>
      </c>
      <c r="BS639" t="str">
        <f>IFERROR(VLOOKUP(BA639&amp;BT639&amp;X639,game_rosters!U:W,3,FALSE),"")</f>
        <v>P100089</v>
      </c>
      <c r="BT639" t="str">
        <f t="shared" si="1026"/>
        <v>Triple J</v>
      </c>
    </row>
    <row r="640" spans="1:72" x14ac:dyDescent="0.2">
      <c r="A640" t="str">
        <f t="shared" si="1001"/>
        <v/>
      </c>
      <c r="E640" s="4"/>
      <c r="F640" s="45"/>
      <c r="G640" s="4"/>
      <c r="H640" s="47"/>
      <c r="I640" s="26">
        <v>69</v>
      </c>
      <c r="J640" s="26" t="str">
        <f t="shared" si="1029"/>
        <v/>
      </c>
      <c r="N640" t="str">
        <f t="shared" si="1045"/>
        <v/>
      </c>
      <c r="Q640" t="str">
        <f t="shared" si="1039"/>
        <v/>
      </c>
      <c r="S640">
        <f>IF(A640=1,MAX($S$2:$S639)+1,IF(OR($I640&lt;&gt;"",A640="x"),$S639,""))</f>
        <v>318</v>
      </c>
      <c r="T640" t="str">
        <f>IF(D640=1,MAX($T$2:$T639)+1,IF(S640=S639,$T639,IF(D640="x",T639,IF(D639="x","",""))))</f>
        <v/>
      </c>
      <c r="U640" t="str">
        <f>IF(B640=1,MAX($U$2:$U639)+1,IF(AND($T640&lt;&gt;"",$T640=$T639),$U639,IF(B640="x",U639,"")))</f>
        <v/>
      </c>
      <c r="V640" t="str">
        <f>IF(C640=1,MAX($V$2:$V639)+1,IF(AND($T640&lt;&gt;"",$T640=$T639),$U639,IF(C640="x",V639,"")))</f>
        <v/>
      </c>
      <c r="W640" t="str" cm="1">
        <f t="array" ref="W640">IFERROR(_xlfn._xlws.FILTER(game_rosters!AC:AC,(game_rosters!J:J=events!X640)*(K640&lt;&gt;"")),"")</f>
        <v/>
      </c>
      <c r="X640" cm="1">
        <f t="array" ref="X640">IF($I640&lt;&gt;"",$I640,INDEX($I$1:$I640,ROW()-COUNTIFS($T$1:$T640,"="&amp;$T640,$S$1:$S640,"&lt;"&amp;$S640)))</f>
        <v>69</v>
      </c>
      <c r="Y640" cm="1">
        <f t="array" ref="Y640">IFERROR(IF(_xlfn._xlws.FILTER(game_rosters!$J:$J,(game_rosters!$G:$G=events!$AM640)*(game_rosters!$J:$J=events!$X640))&gt;0,1,""),"")</f>
        <v>1</v>
      </c>
      <c r="Z640" s="6">
        <f t="shared" si="1002"/>
        <v>1</v>
      </c>
      <c r="AA640">
        <f t="shared" si="1003"/>
        <v>1318</v>
      </c>
      <c r="AB640" t="str">
        <f t="shared" si="1004"/>
        <v/>
      </c>
      <c r="AC640">
        <f t="shared" si="1005"/>
        <v>1318</v>
      </c>
      <c r="AD640" t="str">
        <f t="shared" si="1006"/>
        <v>8</v>
      </c>
      <c r="AE640" t="str">
        <f t="shared" si="1007"/>
        <v>47</v>
      </c>
      <c r="AF640" t="str">
        <f t="shared" si="1008"/>
        <v/>
      </c>
      <c r="AG640" t="str">
        <f t="shared" si="1009"/>
        <v/>
      </c>
      <c r="AH640" t="str">
        <f t="shared" si="1052"/>
        <v>e</v>
      </c>
      <c r="AI640" t="str">
        <f t="shared" si="1094"/>
        <v>d</v>
      </c>
      <c r="AJ640" t="str">
        <f t="shared" si="1094"/>
        <v>d</v>
      </c>
      <c r="AK640" t="str">
        <f t="shared" si="1054"/>
        <v/>
      </c>
      <c r="AL640" t="str">
        <f t="shared" si="1055"/>
        <v/>
      </c>
      <c r="AM640" t="str">
        <f t="shared" si="1010"/>
        <v>Home</v>
      </c>
      <c r="AN640" t="str">
        <f t="shared" si="1056"/>
        <v>h</v>
      </c>
      <c r="AO640" t="str">
        <f t="shared" si="1057"/>
        <v>d</v>
      </c>
      <c r="AP640" t="str">
        <f t="shared" si="1058"/>
        <v>o</v>
      </c>
      <c r="AQ640" t="str">
        <f>IF(AM640&lt;&gt;"",AM640,IF($AC640=#REF!,#REF!,""))</f>
        <v>Home</v>
      </c>
      <c r="AR640" t="str">
        <f t="shared" si="1059"/>
        <v>h</v>
      </c>
      <c r="AS640" t="str">
        <f t="shared" si="1060"/>
        <v>Offensive</v>
      </c>
      <c r="AT640" t="str">
        <f t="shared" si="1011"/>
        <v/>
      </c>
      <c r="AU640" t="str">
        <f t="shared" si="1012"/>
        <v/>
      </c>
      <c r="AV640" t="str" cm="1">
        <f t="array" ref="AV640">IFERROR(IF(O640&lt;&gt;"",O640,IF(OR($S640="",$T640=""),"",IF(O640&lt;&gt;"",O640,IF($T640&lt;&gt;"",_xlfn._xlws.FILTER(O:O,($BT:$BT=$BT640)*($I:$I=$I640)*($T:$T=$T640)*($S:$S=_xlfn.MINIFS($S:$S,$T:$T,"="&amp;$T640)),"")))))&amp;"",IF(O640="","",""))&amp;""</f>
        <v/>
      </c>
      <c r="AW640" t="str" cm="1">
        <f t="array" ref="AW640">IFERROR(IF(P640&lt;&gt;"",P640,IF(OR($S640="",$T640=""),"",IF($T640&lt;&gt;"",_xlfn._xlws.FILTER(P:P,($BT:$BT=$BT640)*($I:$I=$I640)*($T:$T=$T640)*($S:$S=_xlfn.MINIFS($S:$S,$T:$T,"="&amp;$T640)),""))))&amp;"",IF(P640="","",""))&amp;""</f>
        <v/>
      </c>
      <c r="AX640" t="str" cm="1">
        <f t="array" ref="AX640">IFERROR(IF(Q640&lt;&gt;"",Q640,IF(OR($S640="",$T640=""),"",IF($T640&lt;&gt;"",_xlfn._xlws.FILTER(Q:Q,($BT:$BT=$BT640)*($I:$I=$I640)*($T:$T=$T640)*($S:$S=_xlfn.MINIFS($S:$S,$T:$T,"="&amp;$T640)),""))))&amp;"",IF(Q640="","",""))&amp;""</f>
        <v/>
      </c>
      <c r="AY640" t="str" cm="1">
        <f t="array" ref="AY640">IFERROR(IF(R640&lt;&gt;"",R640,IF(OR($S640="",$T640=""),"",IF($T640&lt;&gt;"",_xlfn._xlws.FILTER(R:R,($BT:$BT=$BT640)*($I:$I=$I640)*($T:$T=$T640)*($S:$S=_xlfn.MINIFS($S:$S,$T:$T,"="&amp;$T640)),""))))&amp;"",IF(R640="","",""))&amp;""</f>
        <v/>
      </c>
      <c r="AZ640" s="6">
        <f t="shared" si="1013"/>
        <v>51</v>
      </c>
      <c r="BA640">
        <f t="shared" ref="BA640:BC640" si="1100">BA639</f>
        <v>18991</v>
      </c>
      <c r="BB640" t="str">
        <f t="shared" si="1100"/>
        <v>Triple J</v>
      </c>
      <c r="BC640" t="str">
        <f t="shared" si="1100"/>
        <v>Velodrome</v>
      </c>
      <c r="BD640" t="str">
        <f t="shared" si="1015"/>
        <v>Pass</v>
      </c>
      <c r="BE640" t="str">
        <f t="shared" si="1016"/>
        <v>Pass_Completed</v>
      </c>
      <c r="BF640" t="str">
        <f t="shared" si="1017"/>
        <v>Pass-Rim/Wrap</v>
      </c>
      <c r="BG640" t="str">
        <f t="shared" si="999"/>
        <v>s</v>
      </c>
      <c r="BH640" cm="1">
        <f t="array" aca="1" ref="BH640" ca="1">IFERROR(_xlfn._xlws.FILTER(shifts!A:A,(shifts!B:B=events!Z640)*(shifts!AG:AG&gt;=events!BJ640)*(shifts!AH:AH&lt;=events!BK640)),BH639)</f>
        <v>21</v>
      </c>
      <c r="BI640" s="15">
        <f t="shared" si="1018"/>
        <v>0</v>
      </c>
      <c r="BJ640">
        <f t="shared" si="1019"/>
        <v>527</v>
      </c>
      <c r="BK640">
        <f t="shared" si="1020"/>
        <v>527</v>
      </c>
      <c r="BL640" s="15">
        <f>SUMIFS(BI$2:BI640,K$2:K640,"=Intermission")+SUMIFS(BI$2:BI640,K$2:K640,"=Timeout")</f>
        <v>0</v>
      </c>
      <c r="BM640">
        <f t="shared" si="1021"/>
        <v>0</v>
      </c>
      <c r="BN640" s="19">
        <f t="shared" si="1022"/>
        <v>553</v>
      </c>
      <c r="BO640">
        <f t="shared" si="1023"/>
        <v>548</v>
      </c>
      <c r="BP640" s="17">
        <f t="shared" si="1024"/>
        <v>553</v>
      </c>
      <c r="BQ640" t="str">
        <f t="shared" si="1025"/>
        <v>event_team_player_2</v>
      </c>
      <c r="BR640">
        <f>COUNTIFS(S$3:S640,"="&amp;S640,AH$3:AH640,"="&amp;AH640)</f>
        <v>2</v>
      </c>
      <c r="BS640" t="str">
        <f>IFERROR(VLOOKUP(BA640&amp;BT640&amp;X640,game_rosters!U:W,3,FALSE),"")</f>
        <v>P100014</v>
      </c>
      <c r="BT640" t="str">
        <f t="shared" si="1026"/>
        <v>Triple J</v>
      </c>
    </row>
    <row r="641" spans="1:72" x14ac:dyDescent="0.2">
      <c r="A641" t="str">
        <f t="shared" si="1001"/>
        <v/>
      </c>
      <c r="E641" s="4"/>
      <c r="F641" s="45"/>
      <c r="G641" s="4"/>
      <c r="H641" s="47"/>
      <c r="I641" s="26">
        <v>91</v>
      </c>
      <c r="J641" s="26" t="str">
        <f t="shared" si="1029"/>
        <v/>
      </c>
      <c r="N641" t="str">
        <f t="shared" si="1045"/>
        <v/>
      </c>
      <c r="Q641" t="str">
        <f t="shared" si="1039"/>
        <v/>
      </c>
      <c r="R641" s="26">
        <v>1</v>
      </c>
      <c r="S641">
        <f>IF(A641=1,MAX($S$2:$S640)+1,IF(OR($I641&lt;&gt;"",A641="x"),$S640,""))</f>
        <v>318</v>
      </c>
      <c r="T641" t="str">
        <f>IF(D641=1,MAX($T$2:$T640)+1,IF(S641=S640,$T640,IF(D641="x",T640,IF(D640="x","",""))))</f>
        <v/>
      </c>
      <c r="U641" t="str">
        <f>IF(B641=1,MAX($U$2:$U640)+1,IF(AND($T641&lt;&gt;"",$T641=$T640),$U640,IF(B641="x",U640,"")))</f>
        <v/>
      </c>
      <c r="V641" t="str">
        <f>IF(C641=1,MAX($V$2:$V640)+1,IF(AND($T641&lt;&gt;"",$T641=$T640),$U640,IF(C641="x",V640,"")))</f>
        <v/>
      </c>
      <c r="W641" t="str" cm="1">
        <f t="array" ref="W641">IFERROR(_xlfn._xlws.FILTER(game_rosters!AC:AC,(game_rosters!J:J=events!X641)*(K641&lt;&gt;"")),"")</f>
        <v/>
      </c>
      <c r="X641" cm="1">
        <f t="array" ref="X641">IF($I641&lt;&gt;"",$I641,INDEX($I$1:$I641,ROW()-COUNTIFS($T$1:$T641,"="&amp;$T641,$S$1:$S641,"&lt;"&amp;$S641)))</f>
        <v>91</v>
      </c>
      <c r="Y641" t="str" cm="1">
        <f t="array" ref="Y641">IFERROR(IF(_xlfn._xlws.FILTER(game_rosters!$J:$J,(game_rosters!$G:$G=events!$AM641)*(game_rosters!$J:$J=events!$X641))&gt;0,1,""),"")</f>
        <v/>
      </c>
      <c r="Z641" s="6">
        <f t="shared" si="1002"/>
        <v>1</v>
      </c>
      <c r="AA641">
        <f t="shared" si="1003"/>
        <v>1318</v>
      </c>
      <c r="AB641" t="str">
        <f t="shared" si="1004"/>
        <v/>
      </c>
      <c r="AC641">
        <f t="shared" si="1005"/>
        <v>1318</v>
      </c>
      <c r="AD641" t="str">
        <f t="shared" si="1006"/>
        <v>8</v>
      </c>
      <c r="AE641" t="str">
        <f t="shared" si="1007"/>
        <v>47</v>
      </c>
      <c r="AF641" t="str">
        <f t="shared" si="1008"/>
        <v/>
      </c>
      <c r="AG641" t="str">
        <f t="shared" si="1009"/>
        <v/>
      </c>
      <c r="AH641" t="str">
        <f t="shared" si="1052"/>
        <v>o</v>
      </c>
      <c r="AI641" t="str">
        <f t="shared" si="1094"/>
        <v>d</v>
      </c>
      <c r="AJ641" t="str">
        <f t="shared" si="1094"/>
        <v>d</v>
      </c>
      <c r="AK641" t="str">
        <f t="shared" si="1054"/>
        <v/>
      </c>
      <c r="AL641" t="str">
        <f t="shared" si="1055"/>
        <v/>
      </c>
      <c r="AM641" t="str">
        <f t="shared" si="1010"/>
        <v>Home</v>
      </c>
      <c r="AN641" t="str">
        <f t="shared" si="1056"/>
        <v>h</v>
      </c>
      <c r="AO641" t="str">
        <f t="shared" si="1057"/>
        <v>d</v>
      </c>
      <c r="AP641" t="str">
        <f t="shared" si="1058"/>
        <v>o</v>
      </c>
      <c r="AQ641" t="str">
        <f>IF(AM641&lt;&gt;"",AM641,IF($AC641=#REF!,#REF!,""))</f>
        <v>Home</v>
      </c>
      <c r="AR641" t="str">
        <f t="shared" si="1059"/>
        <v>h</v>
      </c>
      <c r="AS641" t="str">
        <f t="shared" si="1060"/>
        <v>Defensive</v>
      </c>
      <c r="AT641" t="str">
        <f t="shared" si="1011"/>
        <v/>
      </c>
      <c r="AU641" t="str">
        <f t="shared" si="1012"/>
        <v/>
      </c>
      <c r="AV641" t="str" cm="1">
        <f t="array" ref="AV641">IFERROR(IF(O641&lt;&gt;"",O641,IF(OR($S641="",$T641=""),"",IF(O641&lt;&gt;"",O641,IF($T641&lt;&gt;"",_xlfn._xlws.FILTER(O:O,($BT:$BT=$BT641)*($I:$I=$I641)*($T:$T=$T641)*($S:$S=_xlfn.MINIFS($S:$S,$T:$T,"="&amp;$T641)),"")))))&amp;"",IF(O641="","",""))&amp;""</f>
        <v/>
      </c>
      <c r="AW641" t="str" cm="1">
        <f t="array" ref="AW641">IFERROR(IF(P641&lt;&gt;"",P641,IF(OR($S641="",$T641=""),"",IF($T641&lt;&gt;"",_xlfn._xlws.FILTER(P:P,($BT:$BT=$BT641)*($I:$I=$I641)*($T:$T=$T641)*($S:$S=_xlfn.MINIFS($S:$S,$T:$T,"="&amp;$T641)),""))))&amp;"",IF(P641="","",""))&amp;""</f>
        <v/>
      </c>
      <c r="AX641" t="str" cm="1">
        <f t="array" ref="AX641">IFERROR(IF(Q641&lt;&gt;"",Q641,IF(OR($S641="",$T641=""),"",IF($T641&lt;&gt;"",_xlfn._xlws.FILTER(Q:Q,($BT:$BT=$BT641)*($I:$I=$I641)*($T:$T=$T641)*($S:$S=_xlfn.MINIFS($S:$S,$T:$T,"="&amp;$T641)),""))))&amp;"",IF(Q641="","",""))&amp;""</f>
        <v/>
      </c>
      <c r="AY641" t="str" cm="1">
        <f t="array" ref="AY641">IFERROR(IF(R641&lt;&gt;"",R641,IF(OR($S641="",$T641=""),"",IF($T641&lt;&gt;"",_xlfn._xlws.FILTER(R:R,($BT:$BT=$BT641)*($I:$I=$I641)*($T:$T=$T641)*($S:$S=_xlfn.MINIFS($S:$S,$T:$T,"="&amp;$T641)),""))))&amp;"",IF(R641="","",""))&amp;""</f>
        <v>1</v>
      </c>
      <c r="AZ641" s="6">
        <f t="shared" si="1013"/>
        <v>51</v>
      </c>
      <c r="BA641">
        <f t="shared" ref="BA641:BC641" si="1101">BA640</f>
        <v>18991</v>
      </c>
      <c r="BB641" t="str">
        <f t="shared" si="1101"/>
        <v>Triple J</v>
      </c>
      <c r="BC641" t="str">
        <f t="shared" si="1101"/>
        <v>Velodrome</v>
      </c>
      <c r="BD641" t="str">
        <f t="shared" si="1015"/>
        <v>Pass</v>
      </c>
      <c r="BE641" t="str">
        <f t="shared" si="1016"/>
        <v>Pass_Completed</v>
      </c>
      <c r="BF641" t="str">
        <f t="shared" si="1017"/>
        <v>Pass-Rim/Wrap</v>
      </c>
      <c r="BG641" t="str">
        <f t="shared" si="999"/>
        <v>s</v>
      </c>
      <c r="BH641" cm="1">
        <f t="array" aca="1" ref="BH641" ca="1">IFERROR(_xlfn._xlws.FILTER(shifts!A:A,(shifts!B:B=events!Z641)*(shifts!AG:AG&gt;=events!BJ641)*(shifts!AH:AH&lt;=events!BK641)),BH640)</f>
        <v>21</v>
      </c>
      <c r="BI641" s="15">
        <f t="shared" si="1018"/>
        <v>0</v>
      </c>
      <c r="BJ641">
        <f t="shared" si="1019"/>
        <v>527</v>
      </c>
      <c r="BK641">
        <f t="shared" si="1020"/>
        <v>527</v>
      </c>
      <c r="BL641" s="15">
        <f>SUMIFS(BI$2:BI641,K$2:K641,"=Intermission")+SUMIFS(BI$2:BI641,K$2:K641,"=Timeout")</f>
        <v>0</v>
      </c>
      <c r="BM641">
        <f t="shared" si="1021"/>
        <v>0</v>
      </c>
      <c r="BN641" s="19">
        <f t="shared" si="1022"/>
        <v>553</v>
      </c>
      <c r="BO641">
        <f t="shared" si="1023"/>
        <v>548</v>
      </c>
      <c r="BP641" s="17">
        <f t="shared" si="1024"/>
        <v>553</v>
      </c>
      <c r="BQ641" t="str">
        <f t="shared" si="1025"/>
        <v>opp_team_player_1</v>
      </c>
      <c r="BR641">
        <f>COUNTIFS(S$3:S641,"="&amp;S641,AH$3:AH641,"="&amp;AH641)</f>
        <v>1</v>
      </c>
      <c r="BS641" t="str">
        <f>IFERROR(VLOOKUP(BA641&amp;BT641&amp;X641,game_rosters!U:W,3,FALSE),"")</f>
        <v>P100002</v>
      </c>
      <c r="BT641" t="str">
        <f t="shared" si="1026"/>
        <v>Velodrome</v>
      </c>
    </row>
    <row r="642" spans="1:72" x14ac:dyDescent="0.2">
      <c r="A642">
        <f t="shared" si="1001"/>
        <v>1</v>
      </c>
      <c r="E642" s="4"/>
      <c r="F642" s="45" t="s">
        <v>1049</v>
      </c>
      <c r="G642" s="4"/>
      <c r="H642" s="47" t="s">
        <v>1029</v>
      </c>
      <c r="I642" s="26">
        <v>69</v>
      </c>
      <c r="J642" s="26" t="s">
        <v>736</v>
      </c>
      <c r="K642" t="s">
        <v>13</v>
      </c>
      <c r="N642" t="str">
        <f t="shared" si="1045"/>
        <v/>
      </c>
      <c r="Q642" t="str">
        <f t="shared" si="1039"/>
        <v/>
      </c>
      <c r="S642">
        <f>IF(A642=1,MAX($S$2:$S641)+1,IF(OR($I642&lt;&gt;"",A642="x"),$S641,""))</f>
        <v>319</v>
      </c>
      <c r="T642" t="str">
        <f>IF(D642=1,MAX($T$2:$T641)+1,IF(S642=S641,$T641,IF(D642="x",T641,IF(D641="x","",""))))</f>
        <v/>
      </c>
      <c r="U642" t="str">
        <f>IF(B642=1,MAX($U$2:$U641)+1,IF(AND($T642&lt;&gt;"",$T642=$T641),$U641,IF(B642="x",U641,"")))</f>
        <v/>
      </c>
      <c r="V642" t="str">
        <f>IF(C642=1,MAX($V$2:$V641)+1,IF(AND($T642&lt;&gt;"",$T642=$T641),$U641,IF(C642="x",V641,"")))</f>
        <v/>
      </c>
      <c r="W642" t="str" cm="1">
        <f t="array" ref="W642">IFERROR(_xlfn._xlws.FILTER(game_rosters!AC:AC,(game_rosters!J:J=events!X642)*(K642&lt;&gt;"")),"")</f>
        <v>h</v>
      </c>
      <c r="X642" cm="1">
        <f t="array" ref="X642">IF($I642&lt;&gt;"",$I642,INDEX($I$1:$I642,ROW()-COUNTIFS($T$1:$T642,"="&amp;$T642,$S$1:$S642,"&lt;"&amp;$S642)))</f>
        <v>69</v>
      </c>
      <c r="Y642" cm="1">
        <f t="array" ref="Y642">IFERROR(IF(_xlfn._xlws.FILTER(game_rosters!$J:$J,(game_rosters!$G:$G=events!$AM642)*(game_rosters!$J:$J=events!$X642))&gt;0,1,""),"")</f>
        <v>1</v>
      </c>
      <c r="Z642" s="6">
        <f t="shared" si="1002"/>
        <v>1</v>
      </c>
      <c r="AA642">
        <f t="shared" si="1003"/>
        <v>1319</v>
      </c>
      <c r="AB642" t="str">
        <f t="shared" si="1004"/>
        <v/>
      </c>
      <c r="AC642">
        <f t="shared" si="1005"/>
        <v>1319</v>
      </c>
      <c r="AD642" t="str">
        <f t="shared" si="1006"/>
        <v>8</v>
      </c>
      <c r="AE642" t="str">
        <f t="shared" si="1007"/>
        <v>45</v>
      </c>
      <c r="AF642" t="str">
        <f t="shared" si="1008"/>
        <v>8</v>
      </c>
      <c r="AG642" t="str">
        <f t="shared" si="1009"/>
        <v>44</v>
      </c>
      <c r="AH642" t="str">
        <f t="shared" si="1052"/>
        <v>e</v>
      </c>
      <c r="AI642" t="str">
        <f t="shared" si="1094"/>
        <v>d</v>
      </c>
      <c r="AJ642" t="str">
        <f t="shared" si="1094"/>
        <v>d</v>
      </c>
      <c r="AK642" t="str">
        <f t="shared" si="1054"/>
        <v>d</v>
      </c>
      <c r="AL642" t="str">
        <f t="shared" si="1055"/>
        <v>o</v>
      </c>
      <c r="AM642" t="str">
        <f t="shared" si="1010"/>
        <v>Home</v>
      </c>
      <c r="AN642" t="str">
        <f t="shared" si="1056"/>
        <v>h</v>
      </c>
      <c r="AO642" t="str">
        <f t="shared" si="1057"/>
        <v>d</v>
      </c>
      <c r="AP642" t="str">
        <f t="shared" si="1058"/>
        <v>o</v>
      </c>
      <c r="AQ642" t="str">
        <f>IF(AM642&lt;&gt;"",AM642,IF($AC642=#REF!,#REF!,""))</f>
        <v>Home</v>
      </c>
      <c r="AR642" t="str">
        <f t="shared" si="1059"/>
        <v>h</v>
      </c>
      <c r="AS642" t="str">
        <f t="shared" si="1060"/>
        <v>Offensive</v>
      </c>
      <c r="AT642" t="str">
        <f t="shared" si="1011"/>
        <v/>
      </c>
      <c r="AU642" t="str">
        <f t="shared" si="1012"/>
        <v/>
      </c>
      <c r="AV642" t="str" cm="1">
        <f t="array" ref="AV642">IFERROR(IF(O642&lt;&gt;"",O642,IF(OR($S642="",$T642=""),"",IF(O642&lt;&gt;"",O642,IF($T642&lt;&gt;"",_xlfn._xlws.FILTER(O:O,($BT:$BT=$BT642)*($I:$I=$I642)*($T:$T=$T642)*($S:$S=_xlfn.MINIFS($S:$S,$T:$T,"="&amp;$T642)),"")))))&amp;"",IF(O642="","",""))&amp;""</f>
        <v/>
      </c>
      <c r="AW642" t="str" cm="1">
        <f t="array" ref="AW642">IFERROR(IF(P642&lt;&gt;"",P642,IF(OR($S642="",$T642=""),"",IF($T642&lt;&gt;"",_xlfn._xlws.FILTER(P:P,($BT:$BT=$BT642)*($I:$I=$I642)*($T:$T=$T642)*($S:$S=_xlfn.MINIFS($S:$S,$T:$T,"="&amp;$T642)),""))))&amp;"",IF(P642="","",""))&amp;""</f>
        <v/>
      </c>
      <c r="AX642" t="str" cm="1">
        <f t="array" ref="AX642">IFERROR(IF(Q642&lt;&gt;"",Q642,IF(OR($S642="",$T642=""),"",IF($T642&lt;&gt;"",_xlfn._xlws.FILTER(Q:Q,($BT:$BT=$BT642)*($I:$I=$I642)*($T:$T=$T642)*($S:$S=_xlfn.MINIFS($S:$S,$T:$T,"="&amp;$T642)),""))))&amp;"",IF(Q642="","",""))&amp;""</f>
        <v/>
      </c>
      <c r="AY642" t="str" cm="1">
        <f t="array" ref="AY642">IFERROR(IF(R642&lt;&gt;"",R642,IF(OR($S642="",$T642=""),"",IF($T642&lt;&gt;"",_xlfn._xlws.FILTER(R:R,($BT:$BT=$BT642)*($I:$I=$I642)*($T:$T=$T642)*($S:$S=_xlfn.MINIFS($S:$S,$T:$T,"="&amp;$T642)),""))))&amp;"",IF(R642="","",""))&amp;""</f>
        <v/>
      </c>
      <c r="AZ642" s="6">
        <f t="shared" si="1013"/>
        <v>51</v>
      </c>
      <c r="BA642">
        <f t="shared" ref="BA642:BC642" si="1102">BA641</f>
        <v>18991</v>
      </c>
      <c r="BB642" t="str">
        <f t="shared" si="1102"/>
        <v>Triple J</v>
      </c>
      <c r="BC642" t="str">
        <f t="shared" si="1102"/>
        <v>Velodrome</v>
      </c>
      <c r="BD642" t="str">
        <f t="shared" si="1015"/>
        <v>Possession</v>
      </c>
      <c r="BE642" t="str">
        <f t="shared" si="1016"/>
        <v/>
      </c>
      <c r="BF642" t="str">
        <f t="shared" si="1017"/>
        <v/>
      </c>
      <c r="BG642" t="str">
        <f t="shared" si="999"/>
        <v/>
      </c>
      <c r="BH642" cm="1">
        <f t="array" aca="1" ref="BH642" ca="1">IFERROR(_xlfn._xlws.FILTER(shifts!A:A,(shifts!B:B=events!Z642)*(shifts!AG:AG&gt;=events!BJ642)*(shifts!AH:AH&lt;=events!BK642)),BH641)</f>
        <v>21</v>
      </c>
      <c r="BI642" s="15">
        <f t="shared" si="1018"/>
        <v>1</v>
      </c>
      <c r="BJ642">
        <f t="shared" si="1019"/>
        <v>525</v>
      </c>
      <c r="BK642">
        <f t="shared" si="1020"/>
        <v>524</v>
      </c>
      <c r="BL642" s="15">
        <f>SUMIFS(BI$2:BI642,K$2:K642,"=Intermission")+SUMIFS(BI$2:BI642,K$2:K642,"=Timeout")</f>
        <v>0</v>
      </c>
      <c r="BM642">
        <f t="shared" si="1021"/>
        <v>0</v>
      </c>
      <c r="BN642" s="19">
        <f t="shared" si="1022"/>
        <v>555</v>
      </c>
      <c r="BO642">
        <f t="shared" si="1023"/>
        <v>550</v>
      </c>
      <c r="BP642" s="17">
        <f t="shared" si="1024"/>
        <v>556</v>
      </c>
      <c r="BQ642" t="str">
        <f t="shared" si="1025"/>
        <v>event_team_player_1</v>
      </c>
      <c r="BR642">
        <f>COUNTIFS(S$3:S642,"="&amp;S642,AH$3:AH642,"="&amp;AH642)</f>
        <v>1</v>
      </c>
      <c r="BS642" t="str">
        <f>IFERROR(VLOOKUP(BA642&amp;BT642&amp;X642,game_rosters!U:W,3,FALSE),"")</f>
        <v>P100014</v>
      </c>
      <c r="BT642" t="str">
        <f t="shared" si="1026"/>
        <v>Triple J</v>
      </c>
    </row>
    <row r="643" spans="1:72" x14ac:dyDescent="0.2">
      <c r="A643">
        <f t="shared" si="1001"/>
        <v>1</v>
      </c>
      <c r="D643" s="26">
        <v>1</v>
      </c>
      <c r="E643" s="4"/>
      <c r="F643" s="45"/>
      <c r="G643" s="4"/>
      <c r="H643" s="47"/>
      <c r="I643" s="26">
        <v>69</v>
      </c>
      <c r="J643" s="26" t="s">
        <v>736</v>
      </c>
      <c r="K643" t="s">
        <v>7</v>
      </c>
      <c r="L643" t="s">
        <v>199</v>
      </c>
      <c r="M643" t="s">
        <v>65</v>
      </c>
      <c r="N643" t="str">
        <f t="shared" si="1045"/>
        <v>u</v>
      </c>
      <c r="O643" t="s">
        <v>767</v>
      </c>
      <c r="Q643" t="str">
        <f t="shared" si="1039"/>
        <v>u</v>
      </c>
      <c r="S643">
        <f>IF(A643=1,MAX($S$2:$S642)+1,IF(OR($I643&lt;&gt;"",A643="x"),$S642,""))</f>
        <v>320</v>
      </c>
      <c r="T643">
        <f>IF(D643=1,MAX($T$2:$T642)+1,IF(S643=S642,$T642,IF(D643="x",T642,IF(D642="x","",""))))</f>
        <v>42</v>
      </c>
      <c r="U643" t="str">
        <f>IF(B643=1,MAX($U$2:$U642)+1,IF(AND($T643&lt;&gt;"",$T643=$T642),$U642,IF(B643="x",U642,"")))</f>
        <v/>
      </c>
      <c r="V643" t="str">
        <f>IF(C643=1,MAX($V$2:$V642)+1,IF(AND($T643&lt;&gt;"",$T643=$T642),$U642,IF(C643="x",V642,"")))</f>
        <v/>
      </c>
      <c r="W643" t="str" cm="1">
        <f t="array" ref="W643">IFERROR(_xlfn._xlws.FILTER(game_rosters!AC:AC,(game_rosters!J:J=events!X643)*(K643&lt;&gt;"")),"")</f>
        <v>h</v>
      </c>
      <c r="X643" cm="1">
        <f t="array" ref="X643">IF($I643&lt;&gt;"",$I643,INDEX($I$1:$I643,ROW()-COUNTIFS($T$1:$T643,"="&amp;$T643,$S$1:$S643,"&lt;"&amp;$S643)))</f>
        <v>69</v>
      </c>
      <c r="Y643" cm="1">
        <f t="array" ref="Y643">IFERROR(IF(_xlfn._xlws.FILTER(game_rosters!$J:$J,(game_rosters!$G:$G=events!$AM643)*(game_rosters!$J:$J=events!$X643))&gt;0,1,""),"")</f>
        <v>1</v>
      </c>
      <c r="Z643" s="6">
        <f t="shared" si="1002"/>
        <v>1</v>
      </c>
      <c r="AA643">
        <f t="shared" si="1003"/>
        <v>1320</v>
      </c>
      <c r="AB643">
        <f t="shared" si="1004"/>
        <v>9042</v>
      </c>
      <c r="AC643">
        <f t="shared" si="1005"/>
        <v>9042</v>
      </c>
      <c r="AD643" t="str">
        <f t="shared" si="1006"/>
        <v>8</v>
      </c>
      <c r="AE643" t="str">
        <f t="shared" si="1007"/>
        <v>44</v>
      </c>
      <c r="AF643" t="str">
        <f t="shared" si="1008"/>
        <v/>
      </c>
      <c r="AG643" t="str">
        <f t="shared" si="1009"/>
        <v/>
      </c>
      <c r="AH643" t="str">
        <f t="shared" si="1052"/>
        <v>e</v>
      </c>
      <c r="AI643" t="str">
        <f t="shared" si="1094"/>
        <v>d</v>
      </c>
      <c r="AJ643" t="str">
        <f t="shared" si="1094"/>
        <v>d</v>
      </c>
      <c r="AK643" t="str">
        <f t="shared" si="1054"/>
        <v>d</v>
      </c>
      <c r="AL643" t="str">
        <f t="shared" si="1055"/>
        <v>o</v>
      </c>
      <c r="AM643" t="str">
        <f t="shared" si="1010"/>
        <v>Home</v>
      </c>
      <c r="AN643" t="str">
        <f t="shared" si="1056"/>
        <v>h</v>
      </c>
      <c r="AO643" t="str">
        <f t="shared" si="1057"/>
        <v>d</v>
      </c>
      <c r="AP643" t="str">
        <f t="shared" si="1058"/>
        <v>o</v>
      </c>
      <c r="AQ643" t="str">
        <f>IF(AM643&lt;&gt;"",AM643,IF($AC643=#REF!,#REF!,""))</f>
        <v>Home</v>
      </c>
      <c r="AR643" t="str">
        <f t="shared" si="1059"/>
        <v>h</v>
      </c>
      <c r="AS643" t="str">
        <f t="shared" si="1060"/>
        <v>Offensive</v>
      </c>
      <c r="AT643" t="str">
        <f t="shared" si="1011"/>
        <v/>
      </c>
      <c r="AU643" t="str">
        <f t="shared" si="1012"/>
        <v/>
      </c>
      <c r="AV643" t="str" cm="1">
        <f t="array" ref="AV643">IFERROR(IF(O643&lt;&gt;"",O643,IF(OR($S643="",$T643=""),"",IF(O643&lt;&gt;"",O643,IF($T643&lt;&gt;"",_xlfn._xlws.FILTER(O:O,($BT:$BT=$BT643)*($I:$I=$I643)*($T:$T=$T643)*($S:$S=_xlfn.MINIFS($S:$S,$T:$T,"="&amp;$T643)),"")))))&amp;"",IF(O643="","",""))&amp;""</f>
        <v>AttemptedBreakOutPass</v>
      </c>
      <c r="AW643" t="str" cm="1">
        <f t="array" ref="AW643">IFERROR(IF(P643&lt;&gt;"",P643,IF(OR($S643="",$T643=""),"",IF($T643&lt;&gt;"",_xlfn._xlws.FILTER(P:P,($BT:$BT=$BT643)*($I:$I=$I643)*($T:$T=$T643)*($S:$S=_xlfn.MINIFS($S:$S,$T:$T,"="&amp;$T643)),""))))&amp;"",IF(P643="","",""))&amp;""</f>
        <v/>
      </c>
      <c r="AX643" t="str" cm="1">
        <f t="array" ref="AX643">IFERROR(IF(Q643&lt;&gt;"",Q643,IF(OR($S643="",$T643=""),"",IF($T643&lt;&gt;"",_xlfn._xlws.FILTER(Q:Q,($BT:$BT=$BT643)*($I:$I=$I643)*($T:$T=$T643)*($S:$S=_xlfn.MINIFS($S:$S,$T:$T,"="&amp;$T643)),""))))&amp;"",IF(Q643="","",""))&amp;""</f>
        <v>u</v>
      </c>
      <c r="AY643" t="str" cm="1">
        <f t="array" ref="AY643">IFERROR(IF(R643&lt;&gt;"",R643,IF(OR($S643="",$T643=""),"",IF($T643&lt;&gt;"",_xlfn._xlws.FILTER(R:R,($BT:$BT=$BT643)*($I:$I=$I643)*($T:$T=$T643)*($S:$S=_xlfn.MINIFS($S:$S,$T:$T,"="&amp;$T643)),""))))&amp;"",IF(R643="","",""))&amp;""</f>
        <v/>
      </c>
      <c r="AZ643" s="6">
        <f t="shared" si="1013"/>
        <v>51</v>
      </c>
      <c r="BA643">
        <f t="shared" ref="BA643:BC643" si="1103">BA642</f>
        <v>18991</v>
      </c>
      <c r="BB643" t="str">
        <f t="shared" si="1103"/>
        <v>Triple J</v>
      </c>
      <c r="BC643" t="str">
        <f t="shared" si="1103"/>
        <v>Velodrome</v>
      </c>
      <c r="BD643" t="str">
        <f t="shared" si="1015"/>
        <v>Pass</v>
      </c>
      <c r="BE643" t="str">
        <f t="shared" si="1016"/>
        <v>Pass_Intercepted</v>
      </c>
      <c r="BF643" t="str">
        <f t="shared" si="1017"/>
        <v>Pass-Stretch</v>
      </c>
      <c r="BG643" t="str">
        <f t="shared" ref="BG643:BG706" si="1104">IF($N643&lt;&gt;"",$N643,IF($S643=$S642,BG642,""))</f>
        <v>u</v>
      </c>
      <c r="BH643" cm="1">
        <f t="array" aca="1" ref="BH643" ca="1">IFERROR(_xlfn._xlws.FILTER(shifts!A:A,(shifts!B:B=events!Z643)*(shifts!AG:AG&gt;=events!BJ643)*(shifts!AH:AH&lt;=events!BK643)),BH642)</f>
        <v>21</v>
      </c>
      <c r="BI643" s="15">
        <f t="shared" si="1018"/>
        <v>0</v>
      </c>
      <c r="BJ643">
        <f t="shared" si="1019"/>
        <v>524</v>
      </c>
      <c r="BK643">
        <f t="shared" si="1020"/>
        <v>524</v>
      </c>
      <c r="BL643" s="15">
        <f>SUMIFS(BI$2:BI643,K$2:K643,"=Intermission")+SUMIFS(BI$2:BI643,K$2:K643,"=Timeout")</f>
        <v>0</v>
      </c>
      <c r="BM643">
        <f t="shared" si="1021"/>
        <v>0</v>
      </c>
      <c r="BN643" s="19">
        <f t="shared" si="1022"/>
        <v>556</v>
      </c>
      <c r="BO643">
        <f t="shared" si="1023"/>
        <v>551</v>
      </c>
      <c r="BP643" s="17">
        <f t="shared" si="1024"/>
        <v>556</v>
      </c>
      <c r="BQ643" t="str">
        <f t="shared" si="1025"/>
        <v>event_team_player_1</v>
      </c>
      <c r="BR643">
        <f>COUNTIFS(S$3:S643,"="&amp;S643,AH$3:AH643,"="&amp;AH643)</f>
        <v>1</v>
      </c>
      <c r="BS643" t="str">
        <f>IFERROR(VLOOKUP(BA643&amp;BT643&amp;X643,game_rosters!U:W,3,FALSE),"")</f>
        <v>P100014</v>
      </c>
      <c r="BT643" t="str">
        <f t="shared" si="1026"/>
        <v>Triple J</v>
      </c>
    </row>
    <row r="644" spans="1:72" x14ac:dyDescent="0.2">
      <c r="A644" t="s">
        <v>729</v>
      </c>
      <c r="D644" s="26" t="s">
        <v>729</v>
      </c>
      <c r="E644" s="4"/>
      <c r="F644" s="45"/>
      <c r="G644" s="4"/>
      <c r="H644" s="47"/>
      <c r="I644" s="26">
        <v>71</v>
      </c>
      <c r="J644" s="26" t="str">
        <f t="shared" si="1029"/>
        <v/>
      </c>
      <c r="N644" t="str">
        <f t="shared" si="1045"/>
        <v/>
      </c>
      <c r="Q644" t="str">
        <f t="shared" si="1039"/>
        <v/>
      </c>
      <c r="S644">
        <f>IF(A644=1,MAX($S$2:$S643)+1,IF(OR($I644&lt;&gt;"",A644="x"),$S643,""))</f>
        <v>320</v>
      </c>
      <c r="T644">
        <f>IF(D644=1,MAX($T$2:$T643)+1,IF(S644=S643,$T643,IF(D644="x",T643,IF(D643="x","",""))))</f>
        <v>42</v>
      </c>
      <c r="U644" t="str">
        <f>IF(B644=1,MAX($U$2:$U643)+1,IF(AND($T644&lt;&gt;"",$T644=$T643),$U643,IF(B644="x",U643,"")))</f>
        <v/>
      </c>
      <c r="V644" t="str">
        <f>IF(C644=1,MAX($V$2:$V643)+1,IF(AND($T644&lt;&gt;"",$T644=$T643),$U643,IF(C644="x",V643,"")))</f>
        <v/>
      </c>
      <c r="W644" t="str" cm="1">
        <f t="array" ref="W644">IFERROR(_xlfn._xlws.FILTER(game_rosters!AC:AC,(game_rosters!J:J=events!X644)*(K644&lt;&gt;"")),"")</f>
        <v/>
      </c>
      <c r="X644" cm="1">
        <f t="array" ref="X644">IF($I644&lt;&gt;"",$I644,INDEX($I$1:$I644,ROW()-COUNTIFS($T$1:$T644,"="&amp;$T644,$S$1:$S644,"&lt;"&amp;$S644)))</f>
        <v>71</v>
      </c>
      <c r="Y644" cm="1">
        <f t="array" ref="Y644">IFERROR(IF(_xlfn._xlws.FILTER(game_rosters!$J:$J,(game_rosters!$G:$G=events!$AM644)*(game_rosters!$J:$J=events!$X644))&gt;0,1,""),"")</f>
        <v>1</v>
      </c>
      <c r="Z644" s="6">
        <f t="shared" si="1002"/>
        <v>1</v>
      </c>
      <c r="AA644">
        <f t="shared" si="1003"/>
        <v>1320</v>
      </c>
      <c r="AB644">
        <f t="shared" si="1004"/>
        <v>9042</v>
      </c>
      <c r="AC644">
        <f t="shared" si="1005"/>
        <v>9042</v>
      </c>
      <c r="AD644" t="str">
        <f t="shared" si="1006"/>
        <v>8</v>
      </c>
      <c r="AE644" t="str">
        <f t="shared" si="1007"/>
        <v>44</v>
      </c>
      <c r="AF644" t="str">
        <f t="shared" si="1008"/>
        <v/>
      </c>
      <c r="AG644" t="str">
        <f t="shared" si="1009"/>
        <v/>
      </c>
      <c r="AH644" t="str">
        <f t="shared" si="1052"/>
        <v>e</v>
      </c>
      <c r="AI644" t="str">
        <f t="shared" si="1094"/>
        <v>d</v>
      </c>
      <c r="AJ644" t="str">
        <f t="shared" si="1094"/>
        <v>d</v>
      </c>
      <c r="AK644" t="str">
        <f t="shared" si="1054"/>
        <v/>
      </c>
      <c r="AL644" t="str">
        <f t="shared" si="1055"/>
        <v/>
      </c>
      <c r="AM644" t="str">
        <f t="shared" si="1010"/>
        <v>Home</v>
      </c>
      <c r="AN644" t="str">
        <f t="shared" si="1056"/>
        <v>h</v>
      </c>
      <c r="AO644" t="str">
        <f t="shared" si="1057"/>
        <v>d</v>
      </c>
      <c r="AP644" t="str">
        <f t="shared" si="1058"/>
        <v>o</v>
      </c>
      <c r="AQ644" t="str">
        <f>IF(AM644&lt;&gt;"",AM644,IF($AC644=#REF!,#REF!,""))</f>
        <v>Home</v>
      </c>
      <c r="AR644" t="str">
        <f t="shared" si="1059"/>
        <v>h</v>
      </c>
      <c r="AS644" t="str">
        <f t="shared" si="1060"/>
        <v>Offensive</v>
      </c>
      <c r="AT644" t="str">
        <f t="shared" si="1011"/>
        <v/>
      </c>
      <c r="AU644" t="str">
        <f t="shared" si="1012"/>
        <v/>
      </c>
      <c r="AV644" t="str" cm="1">
        <f t="array" ref="AV644">IFERROR(IF(O644&lt;&gt;"",O644,IF(OR($S644="",$T644=""),"",IF(O644&lt;&gt;"",O644,IF($T644&lt;&gt;"",_xlfn._xlws.FILTER(O:O,($BT:$BT=$BT644)*($I:$I=$I644)*($T:$T=$T644)*($S:$S=_xlfn.MINIFS($S:$S,$T:$T,"="&amp;$T644)),"")))))&amp;"",IF(O644="","",""))&amp;""</f>
        <v/>
      </c>
      <c r="AW644" t="str" cm="1">
        <f t="array" ref="AW644">IFERROR(IF(P644&lt;&gt;"",P644,IF(OR($S644="",$T644=""),"",IF($T644&lt;&gt;"",_xlfn._xlws.FILTER(P:P,($BT:$BT=$BT644)*($I:$I=$I644)*($T:$T=$T644)*($S:$S=_xlfn.MINIFS($S:$S,$T:$T,"="&amp;$T644)),""))))&amp;"",IF(P644="","",""))&amp;""</f>
        <v/>
      </c>
      <c r="AX644" t="str" cm="1">
        <f t="array" ref="AX644">IFERROR(IF(Q644&lt;&gt;"",Q644,IF(OR($S644="",$T644=""),"",IF($T644&lt;&gt;"",_xlfn._xlws.FILTER(Q:Q,($BT:$BT=$BT644)*($I:$I=$I644)*($T:$T=$T644)*($S:$S=_xlfn.MINIFS($S:$S,$T:$T,"="&amp;$T644)),""))))&amp;"",IF(Q644="","",""))&amp;""</f>
        <v/>
      </c>
      <c r="AY644" t="str" cm="1">
        <f t="array" ref="AY644">IFERROR(IF(R644&lt;&gt;"",R644,IF(OR($S644="",$T644=""),"",IF($T644&lt;&gt;"",_xlfn._xlws.FILTER(R:R,($BT:$BT=$BT644)*($I:$I=$I644)*($T:$T=$T644)*($S:$S=_xlfn.MINIFS($S:$S,$T:$T,"="&amp;$T644)),""))))&amp;"",IF(R644="","",""))&amp;""</f>
        <v/>
      </c>
      <c r="AZ644" s="6">
        <f t="shared" si="1013"/>
        <v>51</v>
      </c>
      <c r="BA644">
        <f t="shared" ref="BA644:BC644" si="1105">BA643</f>
        <v>18991</v>
      </c>
      <c r="BB644" t="str">
        <f t="shared" si="1105"/>
        <v>Triple J</v>
      </c>
      <c r="BC644" t="str">
        <f t="shared" si="1105"/>
        <v>Velodrome</v>
      </c>
      <c r="BD644" t="str">
        <f t="shared" si="1015"/>
        <v>Pass</v>
      </c>
      <c r="BE644" t="str">
        <f t="shared" si="1016"/>
        <v>Pass_Intercepted</v>
      </c>
      <c r="BF644" t="str">
        <f t="shared" si="1017"/>
        <v>Pass-Stretch</v>
      </c>
      <c r="BG644" t="str">
        <f t="shared" si="1104"/>
        <v>u</v>
      </c>
      <c r="BH644" cm="1">
        <f t="array" aca="1" ref="BH644" ca="1">IFERROR(_xlfn._xlws.FILTER(shifts!A:A,(shifts!B:B=events!Z644)*(shifts!AG:AG&gt;=events!BJ644)*(shifts!AH:AH&lt;=events!BK644)),BH643)</f>
        <v>21</v>
      </c>
      <c r="BI644" s="15">
        <f t="shared" si="1018"/>
        <v>0</v>
      </c>
      <c r="BJ644">
        <f t="shared" si="1019"/>
        <v>524</v>
      </c>
      <c r="BK644">
        <f t="shared" si="1020"/>
        <v>524</v>
      </c>
      <c r="BL644" s="15">
        <f>SUMIFS(BI$2:BI644,K$2:K644,"=Intermission")+SUMIFS(BI$2:BI644,K$2:K644,"=Timeout")</f>
        <v>0</v>
      </c>
      <c r="BM644">
        <f t="shared" si="1021"/>
        <v>0</v>
      </c>
      <c r="BN644" s="19">
        <f t="shared" si="1022"/>
        <v>556</v>
      </c>
      <c r="BO644">
        <f t="shared" si="1023"/>
        <v>551</v>
      </c>
      <c r="BP644" s="17">
        <f t="shared" si="1024"/>
        <v>556</v>
      </c>
      <c r="BQ644" t="str">
        <f t="shared" si="1025"/>
        <v>event_team_player_2</v>
      </c>
      <c r="BR644">
        <f>COUNTIFS(S$3:S644,"="&amp;S644,AH$3:AH644,"="&amp;AH644)</f>
        <v>2</v>
      </c>
      <c r="BS644" t="str">
        <f>IFERROR(VLOOKUP(BA644&amp;BT644&amp;X644,game_rosters!U:W,3,FALSE),"")</f>
        <v>P100008</v>
      </c>
      <c r="BT644" t="str">
        <f t="shared" si="1026"/>
        <v>Triple J</v>
      </c>
    </row>
    <row r="645" spans="1:72" x14ac:dyDescent="0.2">
      <c r="A645" t="s">
        <v>729</v>
      </c>
      <c r="D645" s="26" t="s">
        <v>729</v>
      </c>
      <c r="E645" s="4"/>
      <c r="F645" s="45"/>
      <c r="G645" s="4"/>
      <c r="H645" s="47"/>
      <c r="I645" s="26">
        <v>70</v>
      </c>
      <c r="J645" s="26" t="str">
        <f t="shared" si="1029"/>
        <v/>
      </c>
      <c r="N645" t="str">
        <f t="shared" si="1045"/>
        <v/>
      </c>
      <c r="O645" t="s">
        <v>557</v>
      </c>
      <c r="Q645" t="str">
        <f t="shared" si="1039"/>
        <v/>
      </c>
      <c r="S645">
        <f>IF(A645=1,MAX($S$2:$S644)+1,IF(OR($I645&lt;&gt;"",A645="x"),$S644,""))</f>
        <v>320</v>
      </c>
      <c r="T645">
        <f>IF(D645=1,MAX($T$2:$T644)+1,IF(S645=S644,$T644,IF(D645="x",T644,IF(D644="x","",""))))</f>
        <v>42</v>
      </c>
      <c r="U645" t="str">
        <f>IF(B645=1,MAX($U$2:$U644)+1,IF(AND($T645&lt;&gt;"",$T645=$T644),$U644,IF(B645="x",U644,"")))</f>
        <v/>
      </c>
      <c r="V645" t="str">
        <f>IF(C645=1,MAX($V$2:$V644)+1,IF(AND($T645&lt;&gt;"",$T645=$T644),$U644,IF(C645="x",V644,"")))</f>
        <v/>
      </c>
      <c r="W645" t="str" cm="1">
        <f t="array" ref="W645">IFERROR(_xlfn._xlws.FILTER(game_rosters!AC:AC,(game_rosters!J:J=events!X645)*(K645&lt;&gt;"")),"")</f>
        <v/>
      </c>
      <c r="X645" cm="1">
        <f t="array" ref="X645">IF($I645&lt;&gt;"",$I645,INDEX($I$1:$I645,ROW()-COUNTIFS($T$1:$T645,"="&amp;$T645,$S$1:$S645,"&lt;"&amp;$S645)))</f>
        <v>70</v>
      </c>
      <c r="Y645" t="str" cm="1">
        <f t="array" ref="Y645">IFERROR(IF(_xlfn._xlws.FILTER(game_rosters!$J:$J,(game_rosters!$G:$G=events!$AM645)*(game_rosters!$J:$J=events!$X645))&gt;0,1,""),"")</f>
        <v/>
      </c>
      <c r="Z645" s="6">
        <f t="shared" ref="Z645:Z708" si="1106">IF(K645="Intermission",Z644+1,Z644)</f>
        <v>1</v>
      </c>
      <c r="AA645">
        <f t="shared" ref="AA645:AA708" si="1107">S645+1000</f>
        <v>1320</v>
      </c>
      <c r="AB645">
        <f t="shared" ref="AB645:AB708" si="1108">IF(T645&lt;&gt;"",9000+T645,"")</f>
        <v>9042</v>
      </c>
      <c r="AC645">
        <f t="shared" ref="AC645:AC708" si="1109">IF(AB645&lt;&gt;"",AB645,S645+1000)</f>
        <v>9042</v>
      </c>
      <c r="AD645" t="str">
        <f t="shared" ref="AD645:AD708" si="1110">IF(E645&lt;&gt;"",E645,IF($AC645=$AC644,AD644,IF(AF644&lt;&gt;"",AF644,IF(AD644&lt;&gt;"",AD644,""))))</f>
        <v>8</v>
      </c>
      <c r="AE645" t="str">
        <f t="shared" ref="AE645:AE708" si="1111">IF(F645&lt;&gt;"",F645,IF($AC645=$AC644,AE644,IF(AG644&lt;&gt;"",AG644,IF(AE644&lt;&gt;"",AE644,""))))</f>
        <v>44</v>
      </c>
      <c r="AF645" t="str">
        <f t="shared" ref="AF645:AF708" si="1112">IF(G645&lt;&gt;"",G645,IF($AC645=$AC644,AF644,IF(H645="","",AD645)))</f>
        <v/>
      </c>
      <c r="AG645" t="str">
        <f t="shared" ref="AG645:AG708" si="1113">IF(H645&lt;&gt;"",H645,IF($S645=$S644,AG644,""))</f>
        <v/>
      </c>
      <c r="AH645" t="str">
        <f t="shared" si="1052"/>
        <v>o</v>
      </c>
      <c r="AI645" t="str">
        <f t="shared" si="1094"/>
        <v>d</v>
      </c>
      <c r="AJ645" t="str">
        <f t="shared" si="1094"/>
        <v>d</v>
      </c>
      <c r="AK645" t="str">
        <f t="shared" si="1054"/>
        <v/>
      </c>
      <c r="AL645" t="str">
        <f t="shared" si="1055"/>
        <v/>
      </c>
      <c r="AM645" t="str">
        <f t="shared" ref="AM645:AM708" si="1114">IF(AN645="H","Home",IF(AN645="A","Away",""))</f>
        <v>Home</v>
      </c>
      <c r="AN645" t="str">
        <f t="shared" si="1056"/>
        <v>h</v>
      </c>
      <c r="AO645" t="str">
        <f t="shared" si="1057"/>
        <v>d</v>
      </c>
      <c r="AP645" t="str">
        <f t="shared" si="1058"/>
        <v>o</v>
      </c>
      <c r="AQ645" t="str">
        <f>IF(AM645&lt;&gt;"",AM645,IF($AC645=#REF!,#REF!,""))</f>
        <v>Home</v>
      </c>
      <c r="AR645" t="str">
        <f t="shared" si="1059"/>
        <v>h</v>
      </c>
      <c r="AS645" t="str">
        <f t="shared" si="1060"/>
        <v>Defensive</v>
      </c>
      <c r="AT645" t="str">
        <f t="shared" ref="AT645:AT708" si="1115">IF(U645&lt;&gt;"",U645+5000,"")</f>
        <v/>
      </c>
      <c r="AU645" t="str">
        <f t="shared" ref="AU645:AU708" si="1116">IF(V645&lt;&gt;"",V645+6000,"")</f>
        <v/>
      </c>
      <c r="AV645" t="str" cm="1">
        <f t="array" ref="AV645">IFERROR(IF(O645&lt;&gt;"",O645,IF(OR($S645="",$T645=""),"",IF(O645&lt;&gt;"",O645,IF($T645&lt;&gt;"",_xlfn._xlws.FILTER(O:O,($BT:$BT=$BT645)*($I:$I=$I645)*($T:$T=$T645)*($S:$S=_xlfn.MINIFS($S:$S,$T:$T,"="&amp;$T645)),"")))))&amp;"",IF(O645="","",""))&amp;""</f>
        <v>PassIntercepted</v>
      </c>
      <c r="AW645" t="str" cm="1">
        <f t="array" ref="AW645">IFERROR(IF(P645&lt;&gt;"",P645,IF(OR($S645="",$T645=""),"",IF($T645&lt;&gt;"",_xlfn._xlws.FILTER(P:P,($BT:$BT=$BT645)*($I:$I=$I645)*($T:$T=$T645)*($S:$S=_xlfn.MINIFS($S:$S,$T:$T,"="&amp;$T645)),""))))&amp;"",IF(P645="","",""))&amp;""</f>
        <v/>
      </c>
      <c r="AX645" t="str" cm="1">
        <f t="array" ref="AX645">IFERROR(IF(Q645&lt;&gt;"",Q645,IF(OR($S645="",$T645=""),"",IF($T645&lt;&gt;"",_xlfn._xlws.FILTER(Q:Q,($BT:$BT=$BT645)*($I:$I=$I645)*($T:$T=$T645)*($S:$S=_xlfn.MINIFS($S:$S,$T:$T,"="&amp;$T645)),""))))&amp;"",IF(Q645="","",""))&amp;""</f>
        <v/>
      </c>
      <c r="AY645" t="str" cm="1">
        <f t="array" ref="AY645">IFERROR(IF(R645&lt;&gt;"",R645,IF(OR($S645="",$T645=""),"",IF($T645&lt;&gt;"",_xlfn._xlws.FILTER(R:R,($BT:$BT=$BT645)*($I:$I=$I645)*($T:$T=$T645)*($S:$S=_xlfn.MINIFS($S:$S,$T:$T,"="&amp;$T645)),""))))&amp;"",IF(R645="","",""))&amp;""</f>
        <v/>
      </c>
      <c r="AZ645" s="6">
        <f t="shared" ref="AZ645:AZ708" si="1117">IF(OR(L645="Zone_Entry",L645="Zone_Exit"),AZ644+1,AZ644)</f>
        <v>51</v>
      </c>
      <c r="BA645">
        <f t="shared" ref="BA645:BC645" si="1118">BA644</f>
        <v>18991</v>
      </c>
      <c r="BB645" t="str">
        <f t="shared" si="1118"/>
        <v>Triple J</v>
      </c>
      <c r="BC645" t="str">
        <f t="shared" si="1118"/>
        <v>Velodrome</v>
      </c>
      <c r="BD645" t="str">
        <f t="shared" ref="BD645:BD708" si="1119">IF($K645&lt;&gt;"",$K645,IF($S645=$S644,BD644,""))</f>
        <v>Pass</v>
      </c>
      <c r="BE645" t="str">
        <f t="shared" ref="BE645:BE708" si="1120">IF(L645&lt;&gt;"",L645,IF($S645=$S644,BE644,""))</f>
        <v>Pass_Intercepted</v>
      </c>
      <c r="BF645" t="str">
        <f t="shared" ref="BF645:BF708" si="1121">IF(M645&lt;&gt;"",M645,IF($S645=$S644,BF644,""))</f>
        <v>Pass-Stretch</v>
      </c>
      <c r="BG645" t="str">
        <f t="shared" si="1104"/>
        <v>u</v>
      </c>
      <c r="BH645" cm="1">
        <f t="array" aca="1" ref="BH645" ca="1">IFERROR(_xlfn._xlws.FILTER(shifts!A:A,(shifts!B:B=events!Z645)*(shifts!AG:AG&gt;=events!BJ645)*(shifts!AH:AH&lt;=events!BK645)),BH644)</f>
        <v>21</v>
      </c>
      <c r="BI645" s="15">
        <f t="shared" ref="BI645:BI708" si="1122">IF(AND(AF645="",AG645=""),0,((AD645*60)+AE645)-((AF645*60)+AG645))</f>
        <v>0</v>
      </c>
      <c r="BJ645">
        <f t="shared" ref="BJ645:BJ708" si="1123">(AD645*60)+AE645</f>
        <v>524</v>
      </c>
      <c r="BK645">
        <f t="shared" ref="BK645:BK708" si="1124">IF(AND(AF645="",AG645=""),BJ645,((AF645*60)+AG645))</f>
        <v>524</v>
      </c>
      <c r="BL645" s="15">
        <f>SUMIFS(BI$2:BI645,K$2:K645,"=Intermission")+SUMIFS(BI$2:BI645,K$2:K645,"=Timeout")</f>
        <v>0</v>
      </c>
      <c r="BM645">
        <f t="shared" ref="BM645:BM708" si="1125">IF(Z645=1,0,IF(Z645=2,1080+BL645,IF(Z645=3,(1080*2)+BL645,0)))</f>
        <v>0</v>
      </c>
      <c r="BN645" s="19">
        <f t="shared" ref="BN645:BN708" si="1126">IF(K645="Intermission",BN644,((1080)-((AD645*60)+AE645))+BM645)</f>
        <v>556</v>
      </c>
      <c r="BO645">
        <f t="shared" ref="BO645:BO708" si="1127">IF(BN645&lt;5,0,BN645-5)</f>
        <v>551</v>
      </c>
      <c r="BP645" s="17">
        <f t="shared" ref="BP645:BP708" si="1128">BO645+BI645+5</f>
        <v>556</v>
      </c>
      <c r="BQ645" t="str">
        <f t="shared" ref="BQ645:BQ708" si="1129">IF(AH645="e","event_team_player_"&amp;BR645,IF(AH645="o","opp_team_player_"&amp;BR645,""))</f>
        <v>opp_team_player_1</v>
      </c>
      <c r="BR645">
        <f>COUNTIFS(S$3:S645,"="&amp;S645,AH$3:AH645,"="&amp;AH645)</f>
        <v>1</v>
      </c>
      <c r="BS645" t="str">
        <f>IFERROR(VLOOKUP(BA645&amp;BT645&amp;X645,game_rosters!U:W,3,FALSE),"")</f>
        <v>P100001</v>
      </c>
      <c r="BT645" t="str">
        <f t="shared" ref="BT645:BT708" si="1130">IF(AQ645="","",IF(AND(AQ645="Away",AH645="e"),BC645,IF(AND(AQ645="Home",AH645="e"),BB645,IF(AND(AQ645="Away",AH645="o"),BB645,IF(AND(AQ645="Home",AH645="o"),BC645)))))</f>
        <v>Velodrome</v>
      </c>
    </row>
    <row r="646" spans="1:72" x14ac:dyDescent="0.2">
      <c r="A646">
        <f t="shared" ref="A646:A708" si="1131">IF(K646&lt;&gt;"",1,IF(D646="x","x",""))</f>
        <v>1</v>
      </c>
      <c r="D646" s="26" t="s">
        <v>729</v>
      </c>
      <c r="E646" s="4"/>
      <c r="F646" s="45"/>
      <c r="G646" s="4"/>
      <c r="H646" s="47"/>
      <c r="I646" s="26">
        <v>69</v>
      </c>
      <c r="J646" s="26" t="str">
        <f t="shared" ref="J646:J708" si="1132">IF(OR(K646="Goal",K646="Shot",L646="Zone_Entry",M646="Stoppage-Goal",M645="Stoppage-Goal"),"o",IF(OR(K646="Save",K646="Rebound",L646="Zone_Exit",M646="Stoppage-GoalieStoppage",M645="Stoppage-GoalieStoppage"),"d",IF(OR(L646="Faceoff_AfterGoal",L646="Faceoff_PeriodStart",698="Faceoff_GameStart",M645="Stoppage-Goal"),"n","")))</f>
        <v>d</v>
      </c>
      <c r="K646" t="s">
        <v>238</v>
      </c>
      <c r="L646" t="s">
        <v>184</v>
      </c>
      <c r="M646" t="s">
        <v>376</v>
      </c>
      <c r="N646" t="str">
        <f t="shared" si="1045"/>
        <v>u</v>
      </c>
      <c r="Q646" t="str">
        <f t="shared" si="1039"/>
        <v/>
      </c>
      <c r="S646">
        <f>IF(A646=1,MAX($S$2:$S645)+1,IF(OR($I646&lt;&gt;"",A646="x"),$S645,""))</f>
        <v>321</v>
      </c>
      <c r="T646">
        <f>IF(D646=1,MAX($T$2:$T645)+1,IF(S646=S645,$T645,IF(D646="x",T645,IF(D645="x","",""))))</f>
        <v>42</v>
      </c>
      <c r="U646" t="str">
        <f>IF(B646=1,MAX($U$2:$U645)+1,IF(AND($T646&lt;&gt;"",$T646=$T645),$U645,IF(B646="x",U645,"")))</f>
        <v/>
      </c>
      <c r="V646" t="str">
        <f>IF(C646=1,MAX($V$2:$V645)+1,IF(AND($T646&lt;&gt;"",$T646=$T645),$U645,IF(C646="x",V645,"")))</f>
        <v/>
      </c>
      <c r="W646" t="str" cm="1">
        <f t="array" ref="W646">IFERROR(_xlfn._xlws.FILTER(game_rosters!AC:AC,(game_rosters!J:J=events!X646)*(K646&lt;&gt;"")),"")</f>
        <v>h</v>
      </c>
      <c r="X646" cm="1">
        <f t="array" ref="X646">IF($I646&lt;&gt;"",$I646,INDEX($I$1:$I646,ROW()-COUNTIFS($T$1:$T646,"="&amp;$T646,$S$1:$S646,"&lt;"&amp;$S646)))</f>
        <v>69</v>
      </c>
      <c r="Y646" cm="1">
        <f t="array" ref="Y646">IFERROR(IF(_xlfn._xlws.FILTER(game_rosters!$J:$J,(game_rosters!$G:$G=events!$AM646)*(game_rosters!$J:$J=events!$X646))&gt;0,1,""),"")</f>
        <v>1</v>
      </c>
      <c r="Z646" s="6">
        <f t="shared" si="1106"/>
        <v>1</v>
      </c>
      <c r="AA646">
        <f t="shared" si="1107"/>
        <v>1321</v>
      </c>
      <c r="AB646">
        <f t="shared" si="1108"/>
        <v>9042</v>
      </c>
      <c r="AC646">
        <f t="shared" si="1109"/>
        <v>9042</v>
      </c>
      <c r="AD646" t="str">
        <f t="shared" si="1110"/>
        <v>8</v>
      </c>
      <c r="AE646" t="str">
        <f t="shared" si="1111"/>
        <v>44</v>
      </c>
      <c r="AF646" t="str">
        <f t="shared" si="1112"/>
        <v/>
      </c>
      <c r="AG646" t="str">
        <f t="shared" si="1113"/>
        <v/>
      </c>
      <c r="AH646" t="str">
        <f t="shared" si="1052"/>
        <v>e</v>
      </c>
      <c r="AI646" t="str">
        <f t="shared" si="1094"/>
        <v>d</v>
      </c>
      <c r="AJ646" t="str">
        <f t="shared" si="1094"/>
        <v>d</v>
      </c>
      <c r="AK646" t="str">
        <f t="shared" si="1054"/>
        <v>d</v>
      </c>
      <c r="AL646" t="str">
        <f t="shared" si="1055"/>
        <v>o</v>
      </c>
      <c r="AM646" t="str">
        <f t="shared" si="1114"/>
        <v>Home</v>
      </c>
      <c r="AN646" t="str">
        <f t="shared" si="1056"/>
        <v>h</v>
      </c>
      <c r="AO646" t="str">
        <f t="shared" si="1057"/>
        <v>d</v>
      </c>
      <c r="AP646" t="str">
        <f t="shared" si="1058"/>
        <v>o</v>
      </c>
      <c r="AQ646" t="str">
        <f>IF(AM646&lt;&gt;"",AM646,IF($AC646=#REF!,#REF!,""))</f>
        <v>Home</v>
      </c>
      <c r="AR646" t="str">
        <f t="shared" si="1059"/>
        <v>h</v>
      </c>
      <c r="AS646" t="str">
        <f t="shared" si="1060"/>
        <v>Offensive</v>
      </c>
      <c r="AT646" t="str">
        <f t="shared" si="1115"/>
        <v/>
      </c>
      <c r="AU646" t="str">
        <f t="shared" si="1116"/>
        <v/>
      </c>
      <c r="AV646" t="str" cm="1">
        <f t="array" ref="AV646">IFERROR(IF(O646&lt;&gt;"",O646,IF(OR($S646="",$T646=""),"",IF(O646&lt;&gt;"",O646,IF($T646&lt;&gt;"",_xlfn._xlws.FILTER(O:O,($BT:$BT=$BT646)*($I:$I=$I646)*($T:$T=$T646)*($S:$S=_xlfn.MINIFS($S:$S,$T:$T,"="&amp;$T646)),"")))))&amp;"",IF(O646="","",""))&amp;""</f>
        <v>AttemptedBreakOutPass</v>
      </c>
      <c r="AW646" t="str" cm="1">
        <f t="array" ref="AW646">IFERROR(IF(P646&lt;&gt;"",P646,IF(OR($S646="",$T646=""),"",IF($T646&lt;&gt;"",_xlfn._xlws.FILTER(P:P,($BT:$BT=$BT646)*($I:$I=$I646)*($T:$T=$T646)*($S:$S=_xlfn.MINIFS($S:$S,$T:$T,"="&amp;$T646)),""))))&amp;"",IF(P646="","",""))&amp;""</f>
        <v/>
      </c>
      <c r="AX646" t="str" cm="1">
        <f t="array" ref="AX646">IFERROR(IF(Q646&lt;&gt;"",Q646,IF(OR($S646="",$T646=""),"",IF($T646&lt;&gt;"",_xlfn._xlws.FILTER(Q:Q,($BT:$BT=$BT646)*($I:$I=$I646)*($T:$T=$T646)*($S:$S=_xlfn.MINIFS($S:$S,$T:$T,"="&amp;$T646)),""))))&amp;"",IF(Q646="","",""))&amp;""</f>
        <v>u</v>
      </c>
      <c r="AY646" t="str" cm="1">
        <f t="array" ref="AY646">IFERROR(IF(R646&lt;&gt;"",R646,IF(OR($S646="",$T646=""),"",IF($T646&lt;&gt;"",_xlfn._xlws.FILTER(R:R,($BT:$BT=$BT646)*($I:$I=$I646)*($T:$T=$T646)*($S:$S=_xlfn.MINIFS($S:$S,$T:$T,"="&amp;$T646)),""))))&amp;"",IF(R646="","",""))&amp;""</f>
        <v/>
      </c>
      <c r="AZ646" s="6">
        <f t="shared" si="1117"/>
        <v>52</v>
      </c>
      <c r="BA646">
        <f t="shared" ref="BA646:BC646" si="1133">BA645</f>
        <v>18991</v>
      </c>
      <c r="BB646" t="str">
        <f t="shared" si="1133"/>
        <v>Triple J</v>
      </c>
      <c r="BC646" t="str">
        <f t="shared" si="1133"/>
        <v>Velodrome</v>
      </c>
      <c r="BD646" t="str">
        <f t="shared" si="1119"/>
        <v>Zone_Entry_Exit</v>
      </c>
      <c r="BE646" t="str">
        <f t="shared" si="1120"/>
        <v>Zone_Exit</v>
      </c>
      <c r="BF646" t="str">
        <f t="shared" si="1121"/>
        <v>ZoneExit-PassMiss/Misplay</v>
      </c>
      <c r="BG646" t="str">
        <f t="shared" si="1104"/>
        <v>u</v>
      </c>
      <c r="BH646" cm="1">
        <f t="array" aca="1" ref="BH646" ca="1">IFERROR(_xlfn._xlws.FILTER(shifts!A:A,(shifts!B:B=events!Z646)*(shifts!AG:AG&gt;=events!BJ646)*(shifts!AH:AH&lt;=events!BK646)),BH645)</f>
        <v>21</v>
      </c>
      <c r="BI646" s="15">
        <f t="shared" si="1122"/>
        <v>0</v>
      </c>
      <c r="BJ646">
        <f t="shared" si="1123"/>
        <v>524</v>
      </c>
      <c r="BK646">
        <f t="shared" si="1124"/>
        <v>524</v>
      </c>
      <c r="BL646" s="15">
        <f>SUMIFS(BI$2:BI646,K$2:K646,"=Intermission")+SUMIFS(BI$2:BI646,K$2:K646,"=Timeout")</f>
        <v>0</v>
      </c>
      <c r="BM646">
        <f t="shared" si="1125"/>
        <v>0</v>
      </c>
      <c r="BN646" s="19">
        <f t="shared" si="1126"/>
        <v>556</v>
      </c>
      <c r="BO646">
        <f t="shared" si="1127"/>
        <v>551</v>
      </c>
      <c r="BP646" s="17">
        <f t="shared" si="1128"/>
        <v>556</v>
      </c>
      <c r="BQ646" t="str">
        <f t="shared" si="1129"/>
        <v>event_team_player_1</v>
      </c>
      <c r="BR646">
        <f>COUNTIFS(S$3:S646,"="&amp;S646,AH$3:AH646,"="&amp;AH646)</f>
        <v>1</v>
      </c>
      <c r="BS646" t="str">
        <f>IFERROR(VLOOKUP(BA646&amp;BT646&amp;X646,game_rosters!U:W,3,FALSE),"")</f>
        <v>P100014</v>
      </c>
      <c r="BT646" t="str">
        <f t="shared" si="1130"/>
        <v>Triple J</v>
      </c>
    </row>
    <row r="647" spans="1:72" x14ac:dyDescent="0.2">
      <c r="A647" t="str">
        <f t="shared" si="1131"/>
        <v>x</v>
      </c>
      <c r="D647" s="26" t="s">
        <v>729</v>
      </c>
      <c r="E647" s="4"/>
      <c r="F647" s="45"/>
      <c r="G647" s="4"/>
      <c r="H647" s="47"/>
      <c r="I647" s="26">
        <v>71</v>
      </c>
      <c r="J647" s="26" t="str">
        <f t="shared" si="1132"/>
        <v/>
      </c>
      <c r="N647" t="str">
        <f t="shared" si="1045"/>
        <v/>
      </c>
      <c r="Q647" t="str">
        <f t="shared" si="1039"/>
        <v/>
      </c>
      <c r="S647">
        <f>IF(A647=1,MAX($S$2:$S646)+1,IF(OR($I647&lt;&gt;"",A647="x"),$S646,""))</f>
        <v>321</v>
      </c>
      <c r="T647">
        <f>IF(D647=1,MAX($T$2:$T646)+1,IF(S647=S646,$T646,IF(D647="x",T646,IF(D646="x","",""))))</f>
        <v>42</v>
      </c>
      <c r="U647" t="str">
        <f>IF(B647=1,MAX($U$2:$U646)+1,IF(AND($T647&lt;&gt;"",$T647=$T646),$U646,IF(B647="x",U646,"")))</f>
        <v/>
      </c>
      <c r="V647" t="str">
        <f>IF(C647=1,MAX($V$2:$V646)+1,IF(AND($T647&lt;&gt;"",$T647=$T646),$U646,IF(C647="x",V646,"")))</f>
        <v/>
      </c>
      <c r="W647" t="str" cm="1">
        <f t="array" ref="W647">IFERROR(_xlfn._xlws.FILTER(game_rosters!AC:AC,(game_rosters!J:J=events!X647)*(K647&lt;&gt;"")),"")</f>
        <v/>
      </c>
      <c r="X647" cm="1">
        <f t="array" ref="X647">IF($I647&lt;&gt;"",$I647,INDEX($I$1:$I647,ROW()-COUNTIFS($T$1:$T647,"="&amp;$T647,$S$1:$S647,"&lt;"&amp;$S647)))</f>
        <v>71</v>
      </c>
      <c r="Y647" cm="1">
        <f t="array" ref="Y647">IFERROR(IF(_xlfn._xlws.FILTER(game_rosters!$J:$J,(game_rosters!$G:$G=events!$AM647)*(game_rosters!$J:$J=events!$X647))&gt;0,1,""),"")</f>
        <v>1</v>
      </c>
      <c r="Z647" s="6">
        <f t="shared" si="1106"/>
        <v>1</v>
      </c>
      <c r="AA647">
        <f t="shared" si="1107"/>
        <v>1321</v>
      </c>
      <c r="AB647">
        <f t="shared" si="1108"/>
        <v>9042</v>
      </c>
      <c r="AC647">
        <f t="shared" si="1109"/>
        <v>9042</v>
      </c>
      <c r="AD647" t="str">
        <f t="shared" si="1110"/>
        <v>8</v>
      </c>
      <c r="AE647" t="str">
        <f t="shared" si="1111"/>
        <v>44</v>
      </c>
      <c r="AF647" t="str">
        <f t="shared" si="1112"/>
        <v/>
      </c>
      <c r="AG647" t="str">
        <f t="shared" si="1113"/>
        <v/>
      </c>
      <c r="AH647" t="str">
        <f t="shared" si="1052"/>
        <v>e</v>
      </c>
      <c r="AI647" t="str">
        <f t="shared" si="1094"/>
        <v>d</v>
      </c>
      <c r="AJ647" t="str">
        <f t="shared" si="1094"/>
        <v>d</v>
      </c>
      <c r="AK647" t="str">
        <f t="shared" si="1054"/>
        <v/>
      </c>
      <c r="AL647" t="str">
        <f t="shared" si="1055"/>
        <v/>
      </c>
      <c r="AM647" t="str">
        <f t="shared" si="1114"/>
        <v>Home</v>
      </c>
      <c r="AN647" t="str">
        <f t="shared" si="1056"/>
        <v>h</v>
      </c>
      <c r="AO647" t="str">
        <f t="shared" si="1057"/>
        <v>d</v>
      </c>
      <c r="AP647" t="str">
        <f t="shared" si="1058"/>
        <v>o</v>
      </c>
      <c r="AQ647" t="str">
        <f>IF(AM647&lt;&gt;"",AM647,IF($AC647=#REF!,#REF!,""))</f>
        <v>Home</v>
      </c>
      <c r="AR647" t="str">
        <f t="shared" si="1059"/>
        <v>h</v>
      </c>
      <c r="AS647" t="str">
        <f t="shared" si="1060"/>
        <v>Offensive</v>
      </c>
      <c r="AT647" t="str">
        <f t="shared" si="1115"/>
        <v/>
      </c>
      <c r="AU647" t="str">
        <f t="shared" si="1116"/>
        <v/>
      </c>
      <c r="AV647" t="str" cm="1">
        <f t="array" ref="AV647">IFERROR(IF(O647&lt;&gt;"",O647,IF(OR($S647="",$T647=""),"",IF(O647&lt;&gt;"",O647,IF($T647&lt;&gt;"",_xlfn._xlws.FILTER(O:O,($BT:$BT=$BT647)*($I:$I=$I647)*($T:$T=$T647)*($S:$S=_xlfn.MINIFS($S:$S,$T:$T,"="&amp;$T647)),"")))))&amp;"",IF(O647="","",""))&amp;""</f>
        <v/>
      </c>
      <c r="AW647" t="str" cm="1">
        <f t="array" ref="AW647">IFERROR(IF(P647&lt;&gt;"",P647,IF(OR($S647="",$T647=""),"",IF($T647&lt;&gt;"",_xlfn._xlws.FILTER(P:P,($BT:$BT=$BT647)*($I:$I=$I647)*($T:$T=$T647)*($S:$S=_xlfn.MINIFS($S:$S,$T:$T,"="&amp;$T647)),""))))&amp;"",IF(P647="","",""))&amp;""</f>
        <v/>
      </c>
      <c r="AX647" t="str" cm="1">
        <f t="array" ref="AX647">IFERROR(IF(Q647&lt;&gt;"",Q647,IF(OR($S647="",$T647=""),"",IF($T647&lt;&gt;"",_xlfn._xlws.FILTER(Q:Q,($BT:$BT=$BT647)*($I:$I=$I647)*($T:$T=$T647)*($S:$S=_xlfn.MINIFS($S:$S,$T:$T,"="&amp;$T647)),""))))&amp;"",IF(Q647="","",""))&amp;""</f>
        <v/>
      </c>
      <c r="AY647" t="str" cm="1">
        <f t="array" ref="AY647">IFERROR(IF(R647&lt;&gt;"",R647,IF(OR($S647="",$T647=""),"",IF($T647&lt;&gt;"",_xlfn._xlws.FILTER(R:R,($BT:$BT=$BT647)*($I:$I=$I647)*($T:$T=$T647)*($S:$S=_xlfn.MINIFS($S:$S,$T:$T,"="&amp;$T647)),""))))&amp;"",IF(R647="","",""))&amp;""</f>
        <v/>
      </c>
      <c r="AZ647" s="6">
        <f t="shared" si="1117"/>
        <v>52</v>
      </c>
      <c r="BA647">
        <f t="shared" ref="BA647:BC647" si="1134">BA646</f>
        <v>18991</v>
      </c>
      <c r="BB647" t="str">
        <f t="shared" si="1134"/>
        <v>Triple J</v>
      </c>
      <c r="BC647" t="str">
        <f t="shared" si="1134"/>
        <v>Velodrome</v>
      </c>
      <c r="BD647" t="str">
        <f t="shared" si="1119"/>
        <v>Zone_Entry_Exit</v>
      </c>
      <c r="BE647" t="str">
        <f t="shared" si="1120"/>
        <v>Zone_Exit</v>
      </c>
      <c r="BF647" t="str">
        <f t="shared" si="1121"/>
        <v>ZoneExit-PassMiss/Misplay</v>
      </c>
      <c r="BG647" t="str">
        <f t="shared" si="1104"/>
        <v>u</v>
      </c>
      <c r="BH647" cm="1">
        <f t="array" aca="1" ref="BH647" ca="1">IFERROR(_xlfn._xlws.FILTER(shifts!A:A,(shifts!B:B=events!Z647)*(shifts!AG:AG&gt;=events!BJ647)*(shifts!AH:AH&lt;=events!BK647)),BH646)</f>
        <v>21</v>
      </c>
      <c r="BI647" s="15">
        <f t="shared" si="1122"/>
        <v>0</v>
      </c>
      <c r="BJ647">
        <f t="shared" si="1123"/>
        <v>524</v>
      </c>
      <c r="BK647">
        <f t="shared" si="1124"/>
        <v>524</v>
      </c>
      <c r="BL647" s="15">
        <f>SUMIFS(BI$2:BI647,K$2:K647,"=Intermission")+SUMIFS(BI$2:BI647,K$2:K647,"=Timeout")</f>
        <v>0</v>
      </c>
      <c r="BM647">
        <f t="shared" si="1125"/>
        <v>0</v>
      </c>
      <c r="BN647" s="19">
        <f t="shared" si="1126"/>
        <v>556</v>
      </c>
      <c r="BO647">
        <f t="shared" si="1127"/>
        <v>551</v>
      </c>
      <c r="BP647" s="17">
        <f t="shared" si="1128"/>
        <v>556</v>
      </c>
      <c r="BQ647" t="str">
        <f t="shared" si="1129"/>
        <v>event_team_player_2</v>
      </c>
      <c r="BR647">
        <f>COUNTIFS(S$3:S647,"="&amp;S647,AH$3:AH647,"="&amp;AH647)</f>
        <v>2</v>
      </c>
      <c r="BS647" t="str">
        <f>IFERROR(VLOOKUP(BA647&amp;BT647&amp;X647,game_rosters!U:W,3,FALSE),"")</f>
        <v>P100008</v>
      </c>
      <c r="BT647" t="str">
        <f t="shared" si="1130"/>
        <v>Triple J</v>
      </c>
    </row>
    <row r="648" spans="1:72" x14ac:dyDescent="0.2">
      <c r="A648" t="str">
        <f t="shared" si="1131"/>
        <v>x</v>
      </c>
      <c r="D648" s="26" t="s">
        <v>729</v>
      </c>
      <c r="E648" s="4"/>
      <c r="F648" s="45"/>
      <c r="G648" s="4"/>
      <c r="H648" s="47"/>
      <c r="I648" s="26">
        <v>70</v>
      </c>
      <c r="J648" s="26" t="str">
        <f t="shared" si="1132"/>
        <v/>
      </c>
      <c r="N648" t="str">
        <f t="shared" si="1045"/>
        <v/>
      </c>
      <c r="Q648" t="str">
        <f t="shared" si="1039"/>
        <v/>
      </c>
      <c r="S648">
        <f>IF(A648=1,MAX($S$2:$S647)+1,IF(OR($I648&lt;&gt;"",A648="x"),$S647,""))</f>
        <v>321</v>
      </c>
      <c r="T648">
        <f>IF(D648=1,MAX($T$2:$T647)+1,IF(S648=S647,$T647,IF(D648="x",T647,IF(D647="x","",""))))</f>
        <v>42</v>
      </c>
      <c r="U648" t="str">
        <f>IF(B648=1,MAX($U$2:$U647)+1,IF(AND($T648&lt;&gt;"",$T648=$T647),$U647,IF(B648="x",U647,"")))</f>
        <v/>
      </c>
      <c r="V648" t="str">
        <f>IF(C648=1,MAX($V$2:$V647)+1,IF(AND($T648&lt;&gt;"",$T648=$T647),$U647,IF(C648="x",V647,"")))</f>
        <v/>
      </c>
      <c r="W648" t="str" cm="1">
        <f t="array" ref="W648">IFERROR(_xlfn._xlws.FILTER(game_rosters!AC:AC,(game_rosters!J:J=events!X648)*(K648&lt;&gt;"")),"")</f>
        <v/>
      </c>
      <c r="X648" cm="1">
        <f t="array" ref="X648">IF($I648&lt;&gt;"",$I648,INDEX($I$1:$I648,ROW()-COUNTIFS($T$1:$T648,"="&amp;$T648,$S$1:$S648,"&lt;"&amp;$S648)))</f>
        <v>70</v>
      </c>
      <c r="Y648" t="str" cm="1">
        <f t="array" ref="Y648">IFERROR(IF(_xlfn._xlws.FILTER(game_rosters!$J:$J,(game_rosters!$G:$G=events!$AM648)*(game_rosters!$J:$J=events!$X648))&gt;0,1,""),"")</f>
        <v/>
      </c>
      <c r="Z648" s="6">
        <f t="shared" si="1106"/>
        <v>1</v>
      </c>
      <c r="AA648">
        <f t="shared" si="1107"/>
        <v>1321</v>
      </c>
      <c r="AB648">
        <f t="shared" si="1108"/>
        <v>9042</v>
      </c>
      <c r="AC648">
        <f t="shared" si="1109"/>
        <v>9042</v>
      </c>
      <c r="AD648" t="str">
        <f t="shared" si="1110"/>
        <v>8</v>
      </c>
      <c r="AE648" t="str">
        <f t="shared" si="1111"/>
        <v>44</v>
      </c>
      <c r="AF648" t="str">
        <f t="shared" si="1112"/>
        <v/>
      </c>
      <c r="AG648" t="str">
        <f t="shared" si="1113"/>
        <v/>
      </c>
      <c r="AH648" t="str">
        <f t="shared" si="1052"/>
        <v>o</v>
      </c>
      <c r="AI648" t="str">
        <f t="shared" si="1094"/>
        <v>d</v>
      </c>
      <c r="AJ648" t="str">
        <f t="shared" si="1094"/>
        <v>d</v>
      </c>
      <c r="AK648" t="str">
        <f t="shared" si="1054"/>
        <v/>
      </c>
      <c r="AL648" t="str">
        <f t="shared" si="1055"/>
        <v/>
      </c>
      <c r="AM648" t="str">
        <f t="shared" si="1114"/>
        <v>Home</v>
      </c>
      <c r="AN648" t="str">
        <f t="shared" si="1056"/>
        <v>h</v>
      </c>
      <c r="AO648" t="str">
        <f t="shared" si="1057"/>
        <v>d</v>
      </c>
      <c r="AP648" t="str">
        <f t="shared" si="1058"/>
        <v>o</v>
      </c>
      <c r="AQ648" t="str">
        <f>IF(AM648&lt;&gt;"",AM648,IF($AC648=#REF!,#REF!,""))</f>
        <v>Home</v>
      </c>
      <c r="AR648" t="str">
        <f t="shared" si="1059"/>
        <v>h</v>
      </c>
      <c r="AS648" t="str">
        <f t="shared" si="1060"/>
        <v>Defensive</v>
      </c>
      <c r="AT648" t="str">
        <f t="shared" si="1115"/>
        <v/>
      </c>
      <c r="AU648" t="str">
        <f t="shared" si="1116"/>
        <v/>
      </c>
      <c r="AV648" t="str" cm="1">
        <f t="array" ref="AV648">IFERROR(IF(O648&lt;&gt;"",O648,IF(OR($S648="",$T648=""),"",IF(O648&lt;&gt;"",O648,IF($T648&lt;&gt;"",_xlfn._xlws.FILTER(O:O,($BT:$BT=$BT648)*($I:$I=$I648)*($T:$T=$T648)*($S:$S=_xlfn.MINIFS($S:$S,$T:$T,"="&amp;$T648)),"")))))&amp;"",IF(O648="","",""))&amp;""</f>
        <v>PassIntercepted</v>
      </c>
      <c r="AW648" t="str" cm="1">
        <f t="array" ref="AW648">IFERROR(IF(P648&lt;&gt;"",P648,IF(OR($S648="",$T648=""),"",IF($T648&lt;&gt;"",_xlfn._xlws.FILTER(P:P,($BT:$BT=$BT648)*($I:$I=$I648)*($T:$T=$T648)*($S:$S=_xlfn.MINIFS($S:$S,$T:$T,"="&amp;$T648)),""))))&amp;"",IF(P648="","",""))&amp;""</f>
        <v/>
      </c>
      <c r="AX648" t="str" cm="1">
        <f t="array" ref="AX648">IFERROR(IF(Q648&lt;&gt;"",Q648,IF(OR($S648="",$T648=""),"",IF($T648&lt;&gt;"",_xlfn._xlws.FILTER(Q:Q,($BT:$BT=$BT648)*($I:$I=$I648)*($T:$T=$T648)*($S:$S=_xlfn.MINIFS($S:$S,$T:$T,"="&amp;$T648)),""))))&amp;"",IF(Q648="","",""))&amp;""</f>
        <v/>
      </c>
      <c r="AY648" t="str" cm="1">
        <f t="array" ref="AY648">IFERROR(IF(R648&lt;&gt;"",R648,IF(OR($S648="",$T648=""),"",IF($T648&lt;&gt;"",_xlfn._xlws.FILTER(R:R,($BT:$BT=$BT648)*($I:$I=$I648)*($T:$T=$T648)*($S:$S=_xlfn.MINIFS($S:$S,$T:$T,"="&amp;$T648)),""))))&amp;"",IF(R648="","",""))&amp;""</f>
        <v/>
      </c>
      <c r="AZ648" s="6">
        <f t="shared" si="1117"/>
        <v>52</v>
      </c>
      <c r="BA648">
        <f t="shared" ref="BA648:BC648" si="1135">BA647</f>
        <v>18991</v>
      </c>
      <c r="BB648" t="str">
        <f t="shared" si="1135"/>
        <v>Triple J</v>
      </c>
      <c r="BC648" t="str">
        <f t="shared" si="1135"/>
        <v>Velodrome</v>
      </c>
      <c r="BD648" t="str">
        <f t="shared" si="1119"/>
        <v>Zone_Entry_Exit</v>
      </c>
      <c r="BE648" t="str">
        <f t="shared" si="1120"/>
        <v>Zone_Exit</v>
      </c>
      <c r="BF648" t="str">
        <f t="shared" si="1121"/>
        <v>ZoneExit-PassMiss/Misplay</v>
      </c>
      <c r="BG648" t="str">
        <f t="shared" si="1104"/>
        <v>u</v>
      </c>
      <c r="BH648" cm="1">
        <f t="array" aca="1" ref="BH648" ca="1">IFERROR(_xlfn._xlws.FILTER(shifts!A:A,(shifts!B:B=events!Z648)*(shifts!AG:AG&gt;=events!BJ648)*(shifts!AH:AH&lt;=events!BK648)),BH647)</f>
        <v>21</v>
      </c>
      <c r="BI648" s="15">
        <f t="shared" si="1122"/>
        <v>0</v>
      </c>
      <c r="BJ648">
        <f t="shared" si="1123"/>
        <v>524</v>
      </c>
      <c r="BK648">
        <f t="shared" si="1124"/>
        <v>524</v>
      </c>
      <c r="BL648" s="15">
        <f>SUMIFS(BI$2:BI648,K$2:K648,"=Intermission")+SUMIFS(BI$2:BI648,K$2:K648,"=Timeout")</f>
        <v>0</v>
      </c>
      <c r="BM648">
        <f t="shared" si="1125"/>
        <v>0</v>
      </c>
      <c r="BN648" s="19">
        <f t="shared" si="1126"/>
        <v>556</v>
      </c>
      <c r="BO648">
        <f t="shared" si="1127"/>
        <v>551</v>
      </c>
      <c r="BP648" s="17">
        <f t="shared" si="1128"/>
        <v>556</v>
      </c>
      <c r="BQ648" t="str">
        <f t="shared" si="1129"/>
        <v>opp_team_player_1</v>
      </c>
      <c r="BR648">
        <f>COUNTIFS(S$3:S648,"="&amp;S648,AH$3:AH648,"="&amp;AH648)</f>
        <v>1</v>
      </c>
      <c r="BS648" t="str">
        <f>IFERROR(VLOOKUP(BA648&amp;BT648&amp;X648,game_rosters!U:W,3,FALSE),"")</f>
        <v>P100001</v>
      </c>
      <c r="BT648" t="str">
        <f t="shared" si="1130"/>
        <v>Velodrome</v>
      </c>
    </row>
    <row r="649" spans="1:72" x14ac:dyDescent="0.2">
      <c r="A649">
        <f t="shared" si="1131"/>
        <v>1</v>
      </c>
      <c r="D649" s="26" t="s">
        <v>729</v>
      </c>
      <c r="E649" s="4"/>
      <c r="F649" s="45"/>
      <c r="G649" s="4"/>
      <c r="H649" s="47"/>
      <c r="I649" s="26">
        <v>69</v>
      </c>
      <c r="J649" s="26" t="s">
        <v>736</v>
      </c>
      <c r="K649" t="s">
        <v>9</v>
      </c>
      <c r="L649" t="s">
        <v>173</v>
      </c>
      <c r="M649" t="s">
        <v>73</v>
      </c>
      <c r="N649" t="str">
        <f t="shared" si="1045"/>
        <v>u</v>
      </c>
      <c r="Q649" t="str">
        <f t="shared" si="1039"/>
        <v/>
      </c>
      <c r="S649">
        <f>IF(A649=1,MAX($S$2:$S648)+1,IF(OR($I649&lt;&gt;"",A649="x"),$S648,""))</f>
        <v>322</v>
      </c>
      <c r="T649">
        <f>IF(D649=1,MAX($T$2:$T648)+1,IF(S649=S648,$T648,IF(D649="x",T648,IF(D648="x","",""))))</f>
        <v>42</v>
      </c>
      <c r="U649" t="str">
        <f>IF(B649=1,MAX($U$2:$U648)+1,IF(AND($T649&lt;&gt;"",$T649=$T648),$U648,IF(B649="x",U648,"")))</f>
        <v/>
      </c>
      <c r="V649" t="str">
        <f>IF(C649=1,MAX($V$2:$V648)+1,IF(AND($T649&lt;&gt;"",$T649=$T648),$U648,IF(C649="x",V648,"")))</f>
        <v/>
      </c>
      <c r="W649" t="str" cm="1">
        <f t="array" ref="W649">IFERROR(_xlfn._xlws.FILTER(game_rosters!AC:AC,(game_rosters!J:J=events!X649)*(K649&lt;&gt;"")),"")</f>
        <v>h</v>
      </c>
      <c r="X649" cm="1">
        <f t="array" ref="X649">IF($I649&lt;&gt;"",$I649,INDEX($I$1:$I649,ROW()-COUNTIFS($T$1:$T649,"="&amp;$T649,$S$1:$S649,"&lt;"&amp;$S649)))</f>
        <v>69</v>
      </c>
      <c r="Y649" cm="1">
        <f t="array" ref="Y649">IFERROR(IF(_xlfn._xlws.FILTER(game_rosters!$J:$J,(game_rosters!$G:$G=events!$AM649)*(game_rosters!$J:$J=events!$X649))&gt;0,1,""),"")</f>
        <v>1</v>
      </c>
      <c r="Z649" s="6">
        <f t="shared" si="1106"/>
        <v>1</v>
      </c>
      <c r="AA649">
        <f t="shared" si="1107"/>
        <v>1322</v>
      </c>
      <c r="AB649">
        <f t="shared" si="1108"/>
        <v>9042</v>
      </c>
      <c r="AC649">
        <f t="shared" si="1109"/>
        <v>9042</v>
      </c>
      <c r="AD649" t="str">
        <f t="shared" si="1110"/>
        <v>8</v>
      </c>
      <c r="AE649" t="str">
        <f t="shared" si="1111"/>
        <v>44</v>
      </c>
      <c r="AF649" t="str">
        <f t="shared" si="1112"/>
        <v/>
      </c>
      <c r="AG649" t="str">
        <f t="shared" si="1113"/>
        <v/>
      </c>
      <c r="AH649" t="str">
        <f t="shared" si="1052"/>
        <v>e</v>
      </c>
      <c r="AI649" t="str">
        <f t="shared" si="1094"/>
        <v>d</v>
      </c>
      <c r="AJ649" t="str">
        <f t="shared" si="1094"/>
        <v>d</v>
      </c>
      <c r="AK649" t="str">
        <f t="shared" si="1054"/>
        <v>d</v>
      </c>
      <c r="AL649" t="str">
        <f t="shared" si="1055"/>
        <v>o</v>
      </c>
      <c r="AM649" t="str">
        <f t="shared" si="1114"/>
        <v>Home</v>
      </c>
      <c r="AN649" t="str">
        <f t="shared" si="1056"/>
        <v>h</v>
      </c>
      <c r="AO649" t="str">
        <f t="shared" si="1057"/>
        <v>d</v>
      </c>
      <c r="AP649" t="str">
        <f t="shared" si="1058"/>
        <v>o</v>
      </c>
      <c r="AQ649" t="str">
        <f>IF(AM649&lt;&gt;"",AM649,IF($AC649=#REF!,#REF!,""))</f>
        <v>Home</v>
      </c>
      <c r="AR649" t="str">
        <f t="shared" si="1059"/>
        <v>h</v>
      </c>
      <c r="AS649" t="str">
        <f t="shared" si="1060"/>
        <v>Offensive</v>
      </c>
      <c r="AT649" t="str">
        <f t="shared" si="1115"/>
        <v/>
      </c>
      <c r="AU649" t="str">
        <f t="shared" si="1116"/>
        <v/>
      </c>
      <c r="AV649" t="str" cm="1">
        <f t="array" ref="AV649">IFERROR(IF(O649&lt;&gt;"",O649,IF(OR($S649="",$T649=""),"",IF(O649&lt;&gt;"",O649,IF($T649&lt;&gt;"",_xlfn._xlws.FILTER(O:O,($BT:$BT=$BT649)*($I:$I=$I649)*($T:$T=$T649)*($S:$S=_xlfn.MINIFS($S:$S,$T:$T,"="&amp;$T649)),"")))))&amp;"",IF(O649="","",""))&amp;""</f>
        <v>AttemptedBreakOutPass</v>
      </c>
      <c r="AW649" t="str" cm="1">
        <f t="array" ref="AW649">IFERROR(IF(P649&lt;&gt;"",P649,IF(OR($S649="",$T649=""),"",IF($T649&lt;&gt;"",_xlfn._xlws.FILTER(P:P,($BT:$BT=$BT649)*($I:$I=$I649)*($T:$T=$T649)*($S:$S=_xlfn.MINIFS($S:$S,$T:$T,"="&amp;$T649)),""))))&amp;"",IF(P649="","",""))&amp;""</f>
        <v/>
      </c>
      <c r="AX649" t="str" cm="1">
        <f t="array" ref="AX649">IFERROR(IF(Q649&lt;&gt;"",Q649,IF(OR($S649="",$T649=""),"",IF($T649&lt;&gt;"",_xlfn._xlws.FILTER(Q:Q,($BT:$BT=$BT649)*($I:$I=$I649)*($T:$T=$T649)*($S:$S=_xlfn.MINIFS($S:$S,$T:$T,"="&amp;$T649)),""))))&amp;"",IF(Q649="","",""))&amp;""</f>
        <v>u</v>
      </c>
      <c r="AY649" t="str" cm="1">
        <f t="array" ref="AY649">IFERROR(IF(R649&lt;&gt;"",R649,IF(OR($S649="",$T649=""),"",IF($T649&lt;&gt;"",_xlfn._xlws.FILTER(R:R,($BT:$BT=$BT649)*($I:$I=$I649)*($T:$T=$T649)*($S:$S=_xlfn.MINIFS($S:$S,$T:$T,"="&amp;$T649)),""))))&amp;"",IF(R649="","",""))&amp;""</f>
        <v/>
      </c>
      <c r="AZ649" s="6">
        <f t="shared" si="1117"/>
        <v>52</v>
      </c>
      <c r="BA649">
        <f t="shared" ref="BA649:BC649" si="1136">BA648</f>
        <v>18991</v>
      </c>
      <c r="BB649" t="str">
        <f t="shared" si="1136"/>
        <v>Triple J</v>
      </c>
      <c r="BC649" t="str">
        <f t="shared" si="1136"/>
        <v>Velodrome</v>
      </c>
      <c r="BD649" t="str">
        <f t="shared" si="1119"/>
        <v>Turnover</v>
      </c>
      <c r="BE649" t="str">
        <f t="shared" si="1120"/>
        <v>Turnover_Giveaway</v>
      </c>
      <c r="BF649" t="str">
        <f t="shared" si="1121"/>
        <v>Giveaway-PassIntercepted</v>
      </c>
      <c r="BG649" t="str">
        <f t="shared" si="1104"/>
        <v>u</v>
      </c>
      <c r="BH649" cm="1">
        <f t="array" aca="1" ref="BH649" ca="1">IFERROR(_xlfn._xlws.FILTER(shifts!A:A,(shifts!B:B=events!Z649)*(shifts!AG:AG&gt;=events!BJ649)*(shifts!AH:AH&lt;=events!BK649)),BH648)</f>
        <v>21</v>
      </c>
      <c r="BI649" s="15">
        <f t="shared" si="1122"/>
        <v>0</v>
      </c>
      <c r="BJ649">
        <f t="shared" si="1123"/>
        <v>524</v>
      </c>
      <c r="BK649">
        <f t="shared" si="1124"/>
        <v>524</v>
      </c>
      <c r="BL649" s="15">
        <f>SUMIFS(BI$2:BI649,K$2:K649,"=Intermission")+SUMIFS(BI$2:BI649,K$2:K649,"=Timeout")</f>
        <v>0</v>
      </c>
      <c r="BM649">
        <f t="shared" si="1125"/>
        <v>0</v>
      </c>
      <c r="BN649" s="19">
        <f t="shared" si="1126"/>
        <v>556</v>
      </c>
      <c r="BO649">
        <f t="shared" si="1127"/>
        <v>551</v>
      </c>
      <c r="BP649" s="17">
        <f t="shared" si="1128"/>
        <v>556</v>
      </c>
      <c r="BQ649" t="str">
        <f t="shared" si="1129"/>
        <v>event_team_player_1</v>
      </c>
      <c r="BR649">
        <f>COUNTIFS(S$3:S649,"="&amp;S649,AH$3:AH649,"="&amp;AH649)</f>
        <v>1</v>
      </c>
      <c r="BS649" t="str">
        <f>IFERROR(VLOOKUP(BA649&amp;BT649&amp;X649,game_rosters!U:W,3,FALSE),"")</f>
        <v>P100014</v>
      </c>
      <c r="BT649" t="str">
        <f t="shared" si="1130"/>
        <v>Triple J</v>
      </c>
    </row>
    <row r="650" spans="1:72" x14ac:dyDescent="0.2">
      <c r="A650" t="str">
        <f t="shared" si="1131"/>
        <v>x</v>
      </c>
      <c r="D650" s="26" t="s">
        <v>729</v>
      </c>
      <c r="E650" s="4"/>
      <c r="F650" s="45"/>
      <c r="G650" s="4"/>
      <c r="H650" s="47"/>
      <c r="I650" s="26">
        <v>71</v>
      </c>
      <c r="J650" s="26" t="str">
        <f t="shared" si="1132"/>
        <v/>
      </c>
      <c r="N650" t="str">
        <f t="shared" si="1045"/>
        <v/>
      </c>
      <c r="Q650" t="str">
        <f t="shared" si="1039"/>
        <v/>
      </c>
      <c r="S650">
        <f>IF(A650=1,MAX($S$2:$S649)+1,IF(OR($I650&lt;&gt;"",A650="x"),$S649,""))</f>
        <v>322</v>
      </c>
      <c r="T650">
        <f>IF(D650=1,MAX($T$2:$T649)+1,IF(S650=S649,$T649,IF(D650="x",T649,IF(D649="x","",""))))</f>
        <v>42</v>
      </c>
      <c r="U650" t="str">
        <f>IF(B650=1,MAX($U$2:$U649)+1,IF(AND($T650&lt;&gt;"",$T650=$T649),$U649,IF(B650="x",U649,"")))</f>
        <v/>
      </c>
      <c r="V650" t="str">
        <f>IF(C650=1,MAX($V$2:$V649)+1,IF(AND($T650&lt;&gt;"",$T650=$T649),$U649,IF(C650="x",V649,"")))</f>
        <v/>
      </c>
      <c r="W650" t="str" cm="1">
        <f t="array" ref="W650">IFERROR(_xlfn._xlws.FILTER(game_rosters!AC:AC,(game_rosters!J:J=events!X650)*(K650&lt;&gt;"")),"")</f>
        <v/>
      </c>
      <c r="X650" cm="1">
        <f t="array" ref="X650">IF($I650&lt;&gt;"",$I650,INDEX($I$1:$I650,ROW()-COUNTIFS($T$1:$T650,"="&amp;$T650,$S$1:$S650,"&lt;"&amp;$S650)))</f>
        <v>71</v>
      </c>
      <c r="Y650" cm="1">
        <f t="array" ref="Y650">IFERROR(IF(_xlfn._xlws.FILTER(game_rosters!$J:$J,(game_rosters!$G:$G=events!$AM650)*(game_rosters!$J:$J=events!$X650))&gt;0,1,""),"")</f>
        <v>1</v>
      </c>
      <c r="Z650" s="6">
        <f t="shared" si="1106"/>
        <v>1</v>
      </c>
      <c r="AA650">
        <f t="shared" si="1107"/>
        <v>1322</v>
      </c>
      <c r="AB650">
        <f t="shared" si="1108"/>
        <v>9042</v>
      </c>
      <c r="AC650">
        <f t="shared" si="1109"/>
        <v>9042</v>
      </c>
      <c r="AD650" t="str">
        <f t="shared" si="1110"/>
        <v>8</v>
      </c>
      <c r="AE650" t="str">
        <f t="shared" si="1111"/>
        <v>44</v>
      </c>
      <c r="AF650" t="str">
        <f t="shared" si="1112"/>
        <v/>
      </c>
      <c r="AG650" t="str">
        <f t="shared" si="1113"/>
        <v/>
      </c>
      <c r="AH650" t="str">
        <f t="shared" si="1052"/>
        <v>e</v>
      </c>
      <c r="AI650" t="str">
        <f t="shared" si="1094"/>
        <v>d</v>
      </c>
      <c r="AJ650" t="str">
        <f t="shared" si="1094"/>
        <v>d</v>
      </c>
      <c r="AK650" t="str">
        <f t="shared" si="1054"/>
        <v/>
      </c>
      <c r="AL650" t="str">
        <f t="shared" si="1055"/>
        <v/>
      </c>
      <c r="AM650" t="str">
        <f t="shared" si="1114"/>
        <v>Home</v>
      </c>
      <c r="AN650" t="str">
        <f t="shared" si="1056"/>
        <v>h</v>
      </c>
      <c r="AO650" t="str">
        <f t="shared" si="1057"/>
        <v>d</v>
      </c>
      <c r="AP650" t="str">
        <f t="shared" si="1058"/>
        <v>o</v>
      </c>
      <c r="AQ650" t="str">
        <f>IF(AM650&lt;&gt;"",AM650,IF($AC650=#REF!,#REF!,""))</f>
        <v>Home</v>
      </c>
      <c r="AR650" t="str">
        <f t="shared" si="1059"/>
        <v>h</v>
      </c>
      <c r="AS650" t="str">
        <f t="shared" si="1060"/>
        <v>Offensive</v>
      </c>
      <c r="AT650" t="str">
        <f t="shared" si="1115"/>
        <v/>
      </c>
      <c r="AU650" t="str">
        <f t="shared" si="1116"/>
        <v/>
      </c>
      <c r="AV650" t="str" cm="1">
        <f t="array" ref="AV650">IFERROR(IF(O650&lt;&gt;"",O650,IF(OR($S650="",$T650=""),"",IF(O650&lt;&gt;"",O650,IF($T650&lt;&gt;"",_xlfn._xlws.FILTER(O:O,($BT:$BT=$BT650)*($I:$I=$I650)*($T:$T=$T650)*($S:$S=_xlfn.MINIFS($S:$S,$T:$T,"="&amp;$T650)),"")))))&amp;"",IF(O650="","",""))&amp;""</f>
        <v/>
      </c>
      <c r="AW650" t="str" cm="1">
        <f t="array" ref="AW650">IFERROR(IF(P650&lt;&gt;"",P650,IF(OR($S650="",$T650=""),"",IF($T650&lt;&gt;"",_xlfn._xlws.FILTER(P:P,($BT:$BT=$BT650)*($I:$I=$I650)*($T:$T=$T650)*($S:$S=_xlfn.MINIFS($S:$S,$T:$T,"="&amp;$T650)),""))))&amp;"",IF(P650="","",""))&amp;""</f>
        <v/>
      </c>
      <c r="AX650" t="str" cm="1">
        <f t="array" ref="AX650">IFERROR(IF(Q650&lt;&gt;"",Q650,IF(OR($S650="",$T650=""),"",IF($T650&lt;&gt;"",_xlfn._xlws.FILTER(Q:Q,($BT:$BT=$BT650)*($I:$I=$I650)*($T:$T=$T650)*($S:$S=_xlfn.MINIFS($S:$S,$T:$T,"="&amp;$T650)),""))))&amp;"",IF(Q650="","",""))&amp;""</f>
        <v/>
      </c>
      <c r="AY650" t="str" cm="1">
        <f t="array" ref="AY650">IFERROR(IF(R650&lt;&gt;"",R650,IF(OR($S650="",$T650=""),"",IF($T650&lt;&gt;"",_xlfn._xlws.FILTER(R:R,($BT:$BT=$BT650)*($I:$I=$I650)*($T:$T=$T650)*($S:$S=_xlfn.MINIFS($S:$S,$T:$T,"="&amp;$T650)),""))))&amp;"",IF(R650="","",""))&amp;""</f>
        <v/>
      </c>
      <c r="AZ650" s="6">
        <f t="shared" si="1117"/>
        <v>52</v>
      </c>
      <c r="BA650">
        <f t="shared" ref="BA650:BC650" si="1137">BA649</f>
        <v>18991</v>
      </c>
      <c r="BB650" t="str">
        <f t="shared" si="1137"/>
        <v>Triple J</v>
      </c>
      <c r="BC650" t="str">
        <f t="shared" si="1137"/>
        <v>Velodrome</v>
      </c>
      <c r="BD650" t="str">
        <f t="shared" si="1119"/>
        <v>Turnover</v>
      </c>
      <c r="BE650" t="str">
        <f t="shared" si="1120"/>
        <v>Turnover_Giveaway</v>
      </c>
      <c r="BF650" t="str">
        <f t="shared" si="1121"/>
        <v>Giveaway-PassIntercepted</v>
      </c>
      <c r="BG650" t="str">
        <f t="shared" si="1104"/>
        <v>u</v>
      </c>
      <c r="BH650" cm="1">
        <f t="array" aca="1" ref="BH650" ca="1">IFERROR(_xlfn._xlws.FILTER(shifts!A:A,(shifts!B:B=events!Z650)*(shifts!AG:AG&gt;=events!BJ650)*(shifts!AH:AH&lt;=events!BK650)),BH649)</f>
        <v>21</v>
      </c>
      <c r="BI650" s="15">
        <f t="shared" si="1122"/>
        <v>0</v>
      </c>
      <c r="BJ650">
        <f t="shared" si="1123"/>
        <v>524</v>
      </c>
      <c r="BK650">
        <f t="shared" si="1124"/>
        <v>524</v>
      </c>
      <c r="BL650" s="15">
        <f>SUMIFS(BI$2:BI650,K$2:K650,"=Intermission")+SUMIFS(BI$2:BI650,K$2:K650,"=Timeout")</f>
        <v>0</v>
      </c>
      <c r="BM650">
        <f t="shared" si="1125"/>
        <v>0</v>
      </c>
      <c r="BN650" s="19">
        <f t="shared" si="1126"/>
        <v>556</v>
      </c>
      <c r="BO650">
        <f t="shared" si="1127"/>
        <v>551</v>
      </c>
      <c r="BP650" s="17">
        <f t="shared" si="1128"/>
        <v>556</v>
      </c>
      <c r="BQ650" t="str">
        <f t="shared" si="1129"/>
        <v>event_team_player_2</v>
      </c>
      <c r="BR650">
        <f>COUNTIFS(S$3:S650,"="&amp;S650,AH$3:AH650,"="&amp;AH650)</f>
        <v>2</v>
      </c>
      <c r="BS650" t="str">
        <f>IFERROR(VLOOKUP(BA650&amp;BT650&amp;X650,game_rosters!U:W,3,FALSE),"")</f>
        <v>P100008</v>
      </c>
      <c r="BT650" t="str">
        <f t="shared" si="1130"/>
        <v>Triple J</v>
      </c>
    </row>
    <row r="651" spans="1:72" x14ac:dyDescent="0.2">
      <c r="A651" t="str">
        <f t="shared" si="1131"/>
        <v>x</v>
      </c>
      <c r="D651" s="26" t="s">
        <v>729</v>
      </c>
      <c r="E651" s="4"/>
      <c r="F651" s="45"/>
      <c r="G651" s="4"/>
      <c r="H651" s="47"/>
      <c r="I651" s="26">
        <v>70</v>
      </c>
      <c r="J651" s="26" t="str">
        <f t="shared" si="1132"/>
        <v/>
      </c>
      <c r="N651" t="str">
        <f t="shared" si="1045"/>
        <v/>
      </c>
      <c r="Q651" t="str">
        <f t="shared" si="1039"/>
        <v/>
      </c>
      <c r="S651">
        <f>IF(A651=1,MAX($S$2:$S650)+1,IF(OR($I651&lt;&gt;"",A651="x"),$S650,""))</f>
        <v>322</v>
      </c>
      <c r="T651">
        <f>IF(D651=1,MAX($T$2:$T650)+1,IF(S651=S650,$T650,IF(D651="x",T650,IF(D650="x","",""))))</f>
        <v>42</v>
      </c>
      <c r="U651" t="str">
        <f>IF(B651=1,MAX($U$2:$U650)+1,IF(AND($T651&lt;&gt;"",$T651=$T650),$U650,IF(B651="x",U650,"")))</f>
        <v/>
      </c>
      <c r="V651" t="str">
        <f>IF(C651=1,MAX($V$2:$V650)+1,IF(AND($T651&lt;&gt;"",$T651=$T650),$U650,IF(C651="x",V650,"")))</f>
        <v/>
      </c>
      <c r="W651" t="str" cm="1">
        <f t="array" ref="W651">IFERROR(_xlfn._xlws.FILTER(game_rosters!AC:AC,(game_rosters!J:J=events!X651)*(K651&lt;&gt;"")),"")</f>
        <v/>
      </c>
      <c r="X651" cm="1">
        <f t="array" ref="X651">IF($I651&lt;&gt;"",$I651,INDEX($I$1:$I651,ROW()-COUNTIFS($T$1:$T651,"="&amp;$T651,$S$1:$S651,"&lt;"&amp;$S651)))</f>
        <v>70</v>
      </c>
      <c r="Y651" t="str" cm="1">
        <f t="array" ref="Y651">IFERROR(IF(_xlfn._xlws.FILTER(game_rosters!$J:$J,(game_rosters!$G:$G=events!$AM651)*(game_rosters!$J:$J=events!$X651))&gt;0,1,""),"")</f>
        <v/>
      </c>
      <c r="Z651" s="6">
        <f t="shared" si="1106"/>
        <v>1</v>
      </c>
      <c r="AA651">
        <f t="shared" si="1107"/>
        <v>1322</v>
      </c>
      <c r="AB651">
        <f t="shared" si="1108"/>
        <v>9042</v>
      </c>
      <c r="AC651">
        <f t="shared" si="1109"/>
        <v>9042</v>
      </c>
      <c r="AD651" t="str">
        <f t="shared" si="1110"/>
        <v>8</v>
      </c>
      <c r="AE651" t="str">
        <f t="shared" si="1111"/>
        <v>44</v>
      </c>
      <c r="AF651" t="str">
        <f t="shared" si="1112"/>
        <v/>
      </c>
      <c r="AG651" t="str">
        <f t="shared" si="1113"/>
        <v/>
      </c>
      <c r="AH651" t="str">
        <f t="shared" si="1052"/>
        <v>o</v>
      </c>
      <c r="AI651" t="str">
        <f t="shared" ref="AI651:AJ666" si="1138">IF($J651&lt;&gt;"",$J651,IF($AC651=$AC650,AI650,""))</f>
        <v>d</v>
      </c>
      <c r="AJ651" t="str">
        <f t="shared" si="1138"/>
        <v>d</v>
      </c>
      <c r="AK651" t="str">
        <f t="shared" si="1054"/>
        <v/>
      </c>
      <c r="AL651" t="str">
        <f t="shared" si="1055"/>
        <v/>
      </c>
      <c r="AM651" t="str">
        <f t="shared" si="1114"/>
        <v>Home</v>
      </c>
      <c r="AN651" t="str">
        <f t="shared" si="1056"/>
        <v>h</v>
      </c>
      <c r="AO651" t="str">
        <f t="shared" si="1057"/>
        <v>d</v>
      </c>
      <c r="AP651" t="str">
        <f t="shared" si="1058"/>
        <v>o</v>
      </c>
      <c r="AQ651" t="str">
        <f>IF(AM651&lt;&gt;"",AM651,IF($AC651=#REF!,#REF!,""))</f>
        <v>Home</v>
      </c>
      <c r="AR651" t="str">
        <f t="shared" si="1059"/>
        <v>h</v>
      </c>
      <c r="AS651" t="str">
        <f t="shared" si="1060"/>
        <v>Defensive</v>
      </c>
      <c r="AT651" t="str">
        <f t="shared" si="1115"/>
        <v/>
      </c>
      <c r="AU651" t="str">
        <f t="shared" si="1116"/>
        <v/>
      </c>
      <c r="AV651" t="str" cm="1">
        <f t="array" ref="AV651">IFERROR(IF(O651&lt;&gt;"",O651,IF(OR($S651="",$T651=""),"",IF(O651&lt;&gt;"",O651,IF($T651&lt;&gt;"",_xlfn._xlws.FILTER(O:O,($BT:$BT=$BT651)*($I:$I=$I651)*($T:$T=$T651)*($S:$S=_xlfn.MINIFS($S:$S,$T:$T,"="&amp;$T651)),"")))))&amp;"",IF(O651="","",""))&amp;""</f>
        <v>PassIntercepted</v>
      </c>
      <c r="AW651" t="str" cm="1">
        <f t="array" ref="AW651">IFERROR(IF(P651&lt;&gt;"",P651,IF(OR($S651="",$T651=""),"",IF($T651&lt;&gt;"",_xlfn._xlws.FILTER(P:P,($BT:$BT=$BT651)*($I:$I=$I651)*($T:$T=$T651)*($S:$S=_xlfn.MINIFS($S:$S,$T:$T,"="&amp;$T651)),""))))&amp;"",IF(P651="","",""))&amp;""</f>
        <v/>
      </c>
      <c r="AX651" t="str" cm="1">
        <f t="array" ref="AX651">IFERROR(IF(Q651&lt;&gt;"",Q651,IF(OR($S651="",$T651=""),"",IF($T651&lt;&gt;"",_xlfn._xlws.FILTER(Q:Q,($BT:$BT=$BT651)*($I:$I=$I651)*($T:$T=$T651)*($S:$S=_xlfn.MINIFS($S:$S,$T:$T,"="&amp;$T651)),""))))&amp;"",IF(Q651="","",""))&amp;""</f>
        <v/>
      </c>
      <c r="AY651" t="str" cm="1">
        <f t="array" ref="AY651">IFERROR(IF(R651&lt;&gt;"",R651,IF(OR($S651="",$T651=""),"",IF($T651&lt;&gt;"",_xlfn._xlws.FILTER(R:R,($BT:$BT=$BT651)*($I:$I=$I651)*($T:$T=$T651)*($S:$S=_xlfn.MINIFS($S:$S,$T:$T,"="&amp;$T651)),""))))&amp;"",IF(R651="","",""))&amp;""</f>
        <v/>
      </c>
      <c r="AZ651" s="6">
        <f t="shared" si="1117"/>
        <v>52</v>
      </c>
      <c r="BA651">
        <f t="shared" ref="BA651:BC651" si="1139">BA650</f>
        <v>18991</v>
      </c>
      <c r="BB651" t="str">
        <f t="shared" si="1139"/>
        <v>Triple J</v>
      </c>
      <c r="BC651" t="str">
        <f t="shared" si="1139"/>
        <v>Velodrome</v>
      </c>
      <c r="BD651" t="str">
        <f t="shared" si="1119"/>
        <v>Turnover</v>
      </c>
      <c r="BE651" t="str">
        <f t="shared" si="1120"/>
        <v>Turnover_Giveaway</v>
      </c>
      <c r="BF651" t="str">
        <f t="shared" si="1121"/>
        <v>Giveaway-PassIntercepted</v>
      </c>
      <c r="BG651" t="str">
        <f t="shared" si="1104"/>
        <v>u</v>
      </c>
      <c r="BH651" cm="1">
        <f t="array" aca="1" ref="BH651" ca="1">IFERROR(_xlfn._xlws.FILTER(shifts!A:A,(shifts!B:B=events!Z651)*(shifts!AG:AG&gt;=events!BJ651)*(shifts!AH:AH&lt;=events!BK651)),BH650)</f>
        <v>21</v>
      </c>
      <c r="BI651" s="15">
        <f t="shared" si="1122"/>
        <v>0</v>
      </c>
      <c r="BJ651">
        <f t="shared" si="1123"/>
        <v>524</v>
      </c>
      <c r="BK651">
        <f t="shared" si="1124"/>
        <v>524</v>
      </c>
      <c r="BL651" s="15">
        <f>SUMIFS(BI$2:BI651,K$2:K651,"=Intermission")+SUMIFS(BI$2:BI651,K$2:K651,"=Timeout")</f>
        <v>0</v>
      </c>
      <c r="BM651">
        <f t="shared" si="1125"/>
        <v>0</v>
      </c>
      <c r="BN651" s="19">
        <f t="shared" si="1126"/>
        <v>556</v>
      </c>
      <c r="BO651">
        <f t="shared" si="1127"/>
        <v>551</v>
      </c>
      <c r="BP651" s="17">
        <f t="shared" si="1128"/>
        <v>556</v>
      </c>
      <c r="BQ651" t="str">
        <f t="shared" si="1129"/>
        <v>opp_team_player_1</v>
      </c>
      <c r="BR651">
        <f>COUNTIFS(S$3:S651,"="&amp;S651,AH$3:AH651,"="&amp;AH651)</f>
        <v>1</v>
      </c>
      <c r="BS651" t="str">
        <f>IFERROR(VLOOKUP(BA651&amp;BT651&amp;X651,game_rosters!U:W,3,FALSE),"")</f>
        <v>P100001</v>
      </c>
      <c r="BT651" t="str">
        <f t="shared" si="1130"/>
        <v>Velodrome</v>
      </c>
    </row>
    <row r="652" spans="1:72" x14ac:dyDescent="0.2">
      <c r="A652" t="str">
        <f t="shared" si="1131"/>
        <v>x</v>
      </c>
      <c r="D652" s="26" t="s">
        <v>729</v>
      </c>
      <c r="E652" s="4"/>
      <c r="F652" s="45"/>
      <c r="G652" s="4"/>
      <c r="H652" s="47"/>
      <c r="J652" s="26" t="str">
        <f t="shared" si="1132"/>
        <v/>
      </c>
      <c r="N652" t="str">
        <f t="shared" si="1045"/>
        <v/>
      </c>
      <c r="Q652" t="str">
        <f t="shared" si="1039"/>
        <v/>
      </c>
      <c r="S652">
        <f>IF(A652=1,MAX($S$2:$S651)+1,IF(OR($I652&lt;&gt;"",A652="x"),$S651,""))</f>
        <v>322</v>
      </c>
      <c r="T652">
        <f>IF(D652=1,MAX($T$2:$T651)+1,IF(S652=S651,$T651,IF(D652="x",T651,IF(D651="x","",""))))</f>
        <v>42</v>
      </c>
      <c r="U652" t="str">
        <f>IF(B652=1,MAX($U$2:$U651)+1,IF(AND($T652&lt;&gt;"",$T652=$T651),$U651,IF(B652="x",U651,"")))</f>
        <v/>
      </c>
      <c r="V652" t="str">
        <f>IF(C652=1,MAX($V$2:$V651)+1,IF(AND($T652&lt;&gt;"",$T652=$T651),$U651,IF(C652="x",V651,"")))</f>
        <v/>
      </c>
      <c r="W652" t="str" cm="1">
        <f t="array" ref="W652">IFERROR(_xlfn._xlws.FILTER(game_rosters!AC:AC,(game_rosters!J:J=events!X652)*(K652&lt;&gt;"")),"")</f>
        <v/>
      </c>
      <c r="X652" cm="1">
        <f t="array" ref="X652">IF($I652&lt;&gt;"",$I652,INDEX($I$1:$I652,ROW()-COUNTIFS($T$1:$T652,"="&amp;$T652,$S$1:$S652,"&lt;"&amp;$S652)))</f>
        <v>69</v>
      </c>
      <c r="Y652" cm="1">
        <f t="array" ref="Y652">IFERROR(IF(_xlfn._xlws.FILTER(game_rosters!$J:$J,(game_rosters!$G:$G=events!$AM652)*(game_rosters!$J:$J=events!$X652))&gt;0,1,""),"")</f>
        <v>1</v>
      </c>
      <c r="Z652" s="6">
        <f t="shared" si="1106"/>
        <v>1</v>
      </c>
      <c r="AA652">
        <f t="shared" si="1107"/>
        <v>1322</v>
      </c>
      <c r="AB652">
        <f t="shared" si="1108"/>
        <v>9042</v>
      </c>
      <c r="AC652">
        <f t="shared" si="1109"/>
        <v>9042</v>
      </c>
      <c r="AD652" t="str">
        <f t="shared" si="1110"/>
        <v>8</v>
      </c>
      <c r="AE652" t="str">
        <f t="shared" si="1111"/>
        <v>44</v>
      </c>
      <c r="AF652" t="str">
        <f t="shared" si="1112"/>
        <v/>
      </c>
      <c r="AG652" t="str">
        <f t="shared" si="1113"/>
        <v/>
      </c>
      <c r="AH652" t="str">
        <f t="shared" si="1052"/>
        <v>e</v>
      </c>
      <c r="AI652" t="str">
        <f t="shared" si="1138"/>
        <v>d</v>
      </c>
      <c r="AJ652" t="str">
        <f t="shared" si="1138"/>
        <v>d</v>
      </c>
      <c r="AK652" t="str">
        <f t="shared" si="1054"/>
        <v/>
      </c>
      <c r="AL652" t="str">
        <f t="shared" si="1055"/>
        <v/>
      </c>
      <c r="AM652" t="str">
        <f t="shared" si="1114"/>
        <v>Home</v>
      </c>
      <c r="AN652" t="str">
        <f t="shared" si="1056"/>
        <v>h</v>
      </c>
      <c r="AO652" t="str">
        <f t="shared" si="1057"/>
        <v>d</v>
      </c>
      <c r="AP652" t="str">
        <f t="shared" si="1058"/>
        <v>o</v>
      </c>
      <c r="AQ652" t="str">
        <f>IF(AM652&lt;&gt;"",AM652,IF($AC652=#REF!,#REF!,""))</f>
        <v>Home</v>
      </c>
      <c r="AR652" t="str">
        <f t="shared" si="1059"/>
        <v>h</v>
      </c>
      <c r="AS652" t="str">
        <f t="shared" si="1060"/>
        <v>Offensive</v>
      </c>
      <c r="AT652" t="str">
        <f t="shared" si="1115"/>
        <v/>
      </c>
      <c r="AU652" t="str">
        <f t="shared" si="1116"/>
        <v/>
      </c>
      <c r="AV652" t="str" cm="1">
        <f t="array" ref="AV652">IFERROR(IF(O652&lt;&gt;"",O652,IF(OR($S652="",$T652=""),"",IF(O652&lt;&gt;"",O652,IF($T652&lt;&gt;"",_xlfn._xlws.FILTER(O:O,($BT:$BT=$BT652)*($I:$I=$I652)*($T:$T=$T652)*($S:$S=_xlfn.MINIFS($S:$S,$T:$T,"="&amp;$T652)),"")))))&amp;"",IF(O652="","",""))&amp;""</f>
        <v/>
      </c>
      <c r="AW652" t="str" cm="1">
        <f t="array" ref="AW652">IFERROR(IF(P652&lt;&gt;"",P652,IF(OR($S652="",$T652=""),"",IF($T652&lt;&gt;"",_xlfn._xlws.FILTER(P:P,($BT:$BT=$BT652)*($I:$I=$I652)*($T:$T=$T652)*($S:$S=_xlfn.MINIFS($S:$S,$T:$T,"="&amp;$T652)),""))))&amp;"",IF(P652="","",""))&amp;""</f>
        <v/>
      </c>
      <c r="AX652" t="str" cm="1">
        <f t="array" ref="AX652">IFERROR(IF(Q652&lt;&gt;"",Q652,IF(OR($S652="",$T652=""),"",IF($T652&lt;&gt;"",_xlfn._xlws.FILTER(Q:Q,($BT:$BT=$BT652)*($I:$I=$I652)*($T:$T=$T652)*($S:$S=_xlfn.MINIFS($S:$S,$T:$T,"="&amp;$T652)),""))))&amp;"",IF(Q652="","",""))&amp;""</f>
        <v/>
      </c>
      <c r="AY652" t="str" cm="1">
        <f t="array" ref="AY652">IFERROR(IF(R652&lt;&gt;"",R652,IF(OR($S652="",$T652=""),"",IF($T652&lt;&gt;"",_xlfn._xlws.FILTER(R:R,($BT:$BT=$BT652)*($I:$I=$I652)*($T:$T=$T652)*($S:$S=_xlfn.MINIFS($S:$S,$T:$T,"="&amp;$T652)),""))))&amp;"",IF(R652="","",""))&amp;""</f>
        <v/>
      </c>
      <c r="AZ652" s="6">
        <f t="shared" si="1117"/>
        <v>52</v>
      </c>
      <c r="BA652">
        <f t="shared" ref="BA652:BC652" si="1140">BA651</f>
        <v>18991</v>
      </c>
      <c r="BB652" t="str">
        <f t="shared" si="1140"/>
        <v>Triple J</v>
      </c>
      <c r="BC652" t="str">
        <f t="shared" si="1140"/>
        <v>Velodrome</v>
      </c>
      <c r="BD652" t="str">
        <f t="shared" si="1119"/>
        <v>Turnover</v>
      </c>
      <c r="BE652" t="str">
        <f t="shared" si="1120"/>
        <v>Turnover_Giveaway</v>
      </c>
      <c r="BF652" t="str">
        <f t="shared" si="1121"/>
        <v>Giveaway-PassIntercepted</v>
      </c>
      <c r="BG652" t="str">
        <f t="shared" si="1104"/>
        <v>u</v>
      </c>
      <c r="BH652" cm="1">
        <f t="array" aca="1" ref="BH652" ca="1">IFERROR(_xlfn._xlws.FILTER(shifts!A:A,(shifts!B:B=events!Z652)*(shifts!AG:AG&gt;=events!BJ652)*(shifts!AH:AH&lt;=events!BK652)),BH651)</f>
        <v>21</v>
      </c>
      <c r="BI652" s="15">
        <f t="shared" si="1122"/>
        <v>0</v>
      </c>
      <c r="BJ652">
        <f t="shared" si="1123"/>
        <v>524</v>
      </c>
      <c r="BK652">
        <f t="shared" si="1124"/>
        <v>524</v>
      </c>
      <c r="BL652" s="15">
        <f>SUMIFS(BI$2:BI652,K$2:K652,"=Intermission")+SUMIFS(BI$2:BI652,K$2:K652,"=Timeout")</f>
        <v>0</v>
      </c>
      <c r="BM652">
        <f t="shared" si="1125"/>
        <v>0</v>
      </c>
      <c r="BN652" s="19">
        <f t="shared" si="1126"/>
        <v>556</v>
      </c>
      <c r="BO652">
        <f t="shared" si="1127"/>
        <v>551</v>
      </c>
      <c r="BP652" s="17">
        <f t="shared" si="1128"/>
        <v>556</v>
      </c>
      <c r="BQ652" t="str">
        <f t="shared" si="1129"/>
        <v>event_team_player_3</v>
      </c>
      <c r="BR652">
        <f>COUNTIFS(S$3:S652,"="&amp;S652,AH$3:AH652,"="&amp;AH652)</f>
        <v>3</v>
      </c>
      <c r="BS652" t="str">
        <f>IFERROR(VLOOKUP(BA652&amp;BT652&amp;X652,game_rosters!U:W,3,FALSE),"")</f>
        <v>P100014</v>
      </c>
      <c r="BT652" t="str">
        <f t="shared" si="1130"/>
        <v>Triple J</v>
      </c>
    </row>
    <row r="653" spans="1:72" x14ac:dyDescent="0.2">
      <c r="A653">
        <f t="shared" si="1131"/>
        <v>1</v>
      </c>
      <c r="E653" s="4"/>
      <c r="F653" s="45" t="s">
        <v>1041</v>
      </c>
      <c r="G653" s="4"/>
      <c r="H653" s="47" t="s">
        <v>1037</v>
      </c>
      <c r="I653" s="26">
        <v>70</v>
      </c>
      <c r="J653" s="26" t="s">
        <v>734</v>
      </c>
      <c r="K653" t="s">
        <v>13</v>
      </c>
      <c r="L653" t="s">
        <v>574</v>
      </c>
      <c r="N653" t="str">
        <f t="shared" si="1045"/>
        <v/>
      </c>
      <c r="Q653" t="str">
        <f t="shared" si="1039"/>
        <v/>
      </c>
      <c r="R653" s="26">
        <v>1</v>
      </c>
      <c r="S653">
        <f>IF(A653=1,MAX($S$2:$S652)+1,IF(OR($I653&lt;&gt;"",A653="x"),$S652,""))</f>
        <v>323</v>
      </c>
      <c r="T653" t="str">
        <f>IF(D653=1,MAX($T$2:$T652)+1,IF(S653=S652,$T652,IF(D653="x",T652,IF(D652="x","",""))))</f>
        <v/>
      </c>
      <c r="U653" t="str">
        <f>IF(B653=1,MAX($U$2:$U652)+1,IF(AND($T653&lt;&gt;"",$T653=$T652),$U652,IF(B653="x",U652,"")))</f>
        <v/>
      </c>
      <c r="V653" t="str">
        <f>IF(C653=1,MAX($V$2:$V652)+1,IF(AND($T653&lt;&gt;"",$T653=$T652),$U652,IF(C653="x",V652,"")))</f>
        <v/>
      </c>
      <c r="W653" t="str" cm="1">
        <f t="array" ref="W653">IFERROR(_xlfn._xlws.FILTER(game_rosters!AC:AC,(game_rosters!J:J=events!X653)*(K653&lt;&gt;"")),"")</f>
        <v>a</v>
      </c>
      <c r="X653" cm="1">
        <f t="array" ref="X653">IF($I653&lt;&gt;"",$I653,INDEX($I$1:$I653,ROW()-COUNTIFS($T$1:$T653,"="&amp;$T653,$S$1:$S653,"&lt;"&amp;$S653)))</f>
        <v>70</v>
      </c>
      <c r="Y653" cm="1">
        <f t="array" ref="Y653">IFERROR(IF(_xlfn._xlws.FILTER(game_rosters!$J:$J,(game_rosters!$G:$G=events!$AM653)*(game_rosters!$J:$J=events!$X653))&gt;0,1,""),"")</f>
        <v>1</v>
      </c>
      <c r="Z653" s="6">
        <f t="shared" si="1106"/>
        <v>1</v>
      </c>
      <c r="AA653">
        <f t="shared" si="1107"/>
        <v>1323</v>
      </c>
      <c r="AB653" t="str">
        <f t="shared" si="1108"/>
        <v/>
      </c>
      <c r="AC653">
        <f t="shared" si="1109"/>
        <v>1323</v>
      </c>
      <c r="AD653" t="str">
        <f t="shared" si="1110"/>
        <v>8</v>
      </c>
      <c r="AE653" t="str">
        <f t="shared" si="1111"/>
        <v>43</v>
      </c>
      <c r="AF653" t="str">
        <f t="shared" si="1112"/>
        <v>8</v>
      </c>
      <c r="AG653" t="str">
        <f t="shared" si="1113"/>
        <v>41</v>
      </c>
      <c r="AH653" t="str">
        <f t="shared" si="1052"/>
        <v>e</v>
      </c>
      <c r="AI653" t="str">
        <f t="shared" si="1138"/>
        <v>n</v>
      </c>
      <c r="AJ653" t="str">
        <f t="shared" si="1138"/>
        <v>n</v>
      </c>
      <c r="AK653" t="str">
        <f t="shared" si="1054"/>
        <v>n</v>
      </c>
      <c r="AL653" t="str">
        <f t="shared" si="1055"/>
        <v>n</v>
      </c>
      <c r="AM653" t="str">
        <f t="shared" si="1114"/>
        <v>Away</v>
      </c>
      <c r="AN653" t="str">
        <f t="shared" si="1056"/>
        <v>a</v>
      </c>
      <c r="AO653" t="str">
        <f t="shared" si="1057"/>
        <v>n</v>
      </c>
      <c r="AP653" t="str">
        <f t="shared" si="1058"/>
        <v>n</v>
      </c>
      <c r="AQ653" t="str">
        <f>IF(AM653&lt;&gt;"",AM653,IF($AC653=#REF!,#REF!,""))</f>
        <v>Away</v>
      </c>
      <c r="AR653" t="str">
        <f t="shared" si="1059"/>
        <v>a</v>
      </c>
      <c r="AS653" t="str">
        <f t="shared" si="1060"/>
        <v>Offensive</v>
      </c>
      <c r="AT653" t="str">
        <f t="shared" si="1115"/>
        <v/>
      </c>
      <c r="AU653" t="str">
        <f t="shared" si="1116"/>
        <v/>
      </c>
      <c r="AV653" t="str" cm="1">
        <f t="array" ref="AV653">IFERROR(IF(O653&lt;&gt;"",O653,IF(OR($S653="",$T653=""),"",IF(O653&lt;&gt;"",O653,IF($T653&lt;&gt;"",_xlfn._xlws.FILTER(O:O,($BT:$BT=$BT653)*($I:$I=$I653)*($T:$T=$T653)*($S:$S=_xlfn.MINIFS($S:$S,$T:$T,"="&amp;$T653)),"")))))&amp;"",IF(O653="","",""))&amp;""</f>
        <v/>
      </c>
      <c r="AW653" t="str" cm="1">
        <f t="array" ref="AW653">IFERROR(IF(P653&lt;&gt;"",P653,IF(OR($S653="",$T653=""),"",IF($T653&lt;&gt;"",_xlfn._xlws.FILTER(P:P,($BT:$BT=$BT653)*($I:$I=$I653)*($T:$T=$T653)*($S:$S=_xlfn.MINIFS($S:$S,$T:$T,"="&amp;$T653)),""))))&amp;"",IF(P653="","",""))&amp;""</f>
        <v/>
      </c>
      <c r="AX653" t="str" cm="1">
        <f t="array" ref="AX653">IFERROR(IF(Q653&lt;&gt;"",Q653,IF(OR($S653="",$T653=""),"",IF($T653&lt;&gt;"",_xlfn._xlws.FILTER(Q:Q,($BT:$BT=$BT653)*($I:$I=$I653)*($T:$T=$T653)*($S:$S=_xlfn.MINIFS($S:$S,$T:$T,"="&amp;$T653)),""))))&amp;"",IF(Q653="","",""))&amp;""</f>
        <v/>
      </c>
      <c r="AY653" t="str" cm="1">
        <f t="array" ref="AY653">IFERROR(IF(R653&lt;&gt;"",R653,IF(OR($S653="",$T653=""),"",IF($T653&lt;&gt;"",_xlfn._xlws.FILTER(R:R,($BT:$BT=$BT653)*($I:$I=$I653)*($T:$T=$T653)*($S:$S=_xlfn.MINIFS($S:$S,$T:$T,"="&amp;$T653)),""))))&amp;"",IF(R653="","",""))&amp;""</f>
        <v>1</v>
      </c>
      <c r="AZ653" s="6">
        <f t="shared" si="1117"/>
        <v>52</v>
      </c>
      <c r="BA653">
        <f t="shared" ref="BA653:BC653" si="1141">BA652</f>
        <v>18991</v>
      </c>
      <c r="BB653" t="str">
        <f t="shared" si="1141"/>
        <v>Triple J</v>
      </c>
      <c r="BC653" t="str">
        <f t="shared" si="1141"/>
        <v>Velodrome</v>
      </c>
      <c r="BD653" t="str">
        <f t="shared" si="1119"/>
        <v>Possession</v>
      </c>
      <c r="BE653" t="str">
        <f t="shared" si="1120"/>
        <v>Regroup</v>
      </c>
      <c r="BF653" t="str">
        <f t="shared" si="1121"/>
        <v/>
      </c>
      <c r="BG653" t="str">
        <f t="shared" si="1104"/>
        <v/>
      </c>
      <c r="BH653" cm="1">
        <f t="array" aca="1" ref="BH653" ca="1">IFERROR(_xlfn._xlws.FILTER(shifts!A:A,(shifts!B:B=events!Z653)*(shifts!AG:AG&gt;=events!BJ653)*(shifts!AH:AH&lt;=events!BK653)),BH652)</f>
        <v>21</v>
      </c>
      <c r="BI653" s="15">
        <f t="shared" si="1122"/>
        <v>2</v>
      </c>
      <c r="BJ653">
        <f t="shared" si="1123"/>
        <v>523</v>
      </c>
      <c r="BK653">
        <f t="shared" si="1124"/>
        <v>521</v>
      </c>
      <c r="BL653" s="15">
        <f>SUMIFS(BI$2:BI653,K$2:K653,"=Intermission")+SUMIFS(BI$2:BI653,K$2:K653,"=Timeout")</f>
        <v>0</v>
      </c>
      <c r="BM653">
        <f t="shared" si="1125"/>
        <v>0</v>
      </c>
      <c r="BN653" s="19">
        <f t="shared" si="1126"/>
        <v>557</v>
      </c>
      <c r="BO653">
        <f t="shared" si="1127"/>
        <v>552</v>
      </c>
      <c r="BP653" s="17">
        <f t="shared" si="1128"/>
        <v>559</v>
      </c>
      <c r="BQ653" t="str">
        <f t="shared" si="1129"/>
        <v>event_team_player_1</v>
      </c>
      <c r="BR653">
        <f>COUNTIFS(S$3:S653,"="&amp;S653,AH$3:AH653,"="&amp;AH653)</f>
        <v>1</v>
      </c>
      <c r="BS653" t="str">
        <f>IFERROR(VLOOKUP(BA653&amp;BT653&amp;X653,game_rosters!U:W,3,FALSE),"")</f>
        <v>P100001</v>
      </c>
      <c r="BT653" t="str">
        <f t="shared" si="1130"/>
        <v>Velodrome</v>
      </c>
    </row>
    <row r="654" spans="1:72" x14ac:dyDescent="0.2">
      <c r="A654" t="str">
        <f t="shared" si="1131"/>
        <v/>
      </c>
      <c r="E654" s="4"/>
      <c r="F654" s="45"/>
      <c r="G654" s="4"/>
      <c r="H654" s="47"/>
      <c r="I654" s="26">
        <v>41</v>
      </c>
      <c r="J654" s="26" t="str">
        <f t="shared" si="1132"/>
        <v/>
      </c>
      <c r="N654" t="str">
        <f t="shared" si="1045"/>
        <v/>
      </c>
      <c r="Q654" t="str">
        <f t="shared" si="1039"/>
        <v/>
      </c>
      <c r="R654" s="26">
        <v>1</v>
      </c>
      <c r="S654">
        <f>IF(A654=1,MAX($S$2:$S653)+1,IF(OR($I654&lt;&gt;"",A654="x"),$S653,""))</f>
        <v>323</v>
      </c>
      <c r="T654" t="str">
        <f>IF(D654=1,MAX($T$2:$T653)+1,IF(S654=S653,$T653,IF(D654="x",T653,IF(D653="x","",""))))</f>
        <v/>
      </c>
      <c r="U654" t="str">
        <f>IF(B654=1,MAX($U$2:$U653)+1,IF(AND($T654&lt;&gt;"",$T654=$T653),$U653,IF(B654="x",U653,"")))</f>
        <v/>
      </c>
      <c r="V654" t="str">
        <f>IF(C654=1,MAX($V$2:$V653)+1,IF(AND($T654&lt;&gt;"",$T654=$T653),$U653,IF(C654="x",V653,"")))</f>
        <v/>
      </c>
      <c r="W654" t="str" cm="1">
        <f t="array" ref="W654">IFERROR(_xlfn._xlws.FILTER(game_rosters!AC:AC,(game_rosters!J:J=events!X654)*(K654&lt;&gt;"")),"")</f>
        <v/>
      </c>
      <c r="X654" cm="1">
        <f t="array" ref="X654">IF($I654&lt;&gt;"",$I654,INDEX($I$1:$I654,ROW()-COUNTIFS($T$1:$T654,"="&amp;$T654,$S$1:$S654,"&lt;"&amp;$S654)))</f>
        <v>41</v>
      </c>
      <c r="Y654" t="str" cm="1">
        <f t="array" ref="Y654">IFERROR(IF(_xlfn._xlws.FILTER(game_rosters!$J:$J,(game_rosters!$G:$G=events!$AM654)*(game_rosters!$J:$J=events!$X654))&gt;0,1,""),"")</f>
        <v/>
      </c>
      <c r="Z654" s="6">
        <f t="shared" si="1106"/>
        <v>1</v>
      </c>
      <c r="AA654">
        <f t="shared" si="1107"/>
        <v>1323</v>
      </c>
      <c r="AB654" t="str">
        <f t="shared" si="1108"/>
        <v/>
      </c>
      <c r="AC654">
        <f t="shared" si="1109"/>
        <v>1323</v>
      </c>
      <c r="AD654" t="str">
        <f t="shared" si="1110"/>
        <v>8</v>
      </c>
      <c r="AE654" t="str">
        <f t="shared" si="1111"/>
        <v>43</v>
      </c>
      <c r="AF654" t="str">
        <f t="shared" si="1112"/>
        <v>8</v>
      </c>
      <c r="AG654" t="str">
        <f t="shared" si="1113"/>
        <v>41</v>
      </c>
      <c r="AH654" t="str">
        <f t="shared" si="1052"/>
        <v>o</v>
      </c>
      <c r="AI654" t="str">
        <f t="shared" si="1138"/>
        <v>n</v>
      </c>
      <c r="AJ654" t="str">
        <f t="shared" si="1138"/>
        <v>n</v>
      </c>
      <c r="AK654" t="str">
        <f t="shared" si="1054"/>
        <v/>
      </c>
      <c r="AL654" t="str">
        <f t="shared" si="1055"/>
        <v/>
      </c>
      <c r="AM654" t="str">
        <f t="shared" si="1114"/>
        <v>Away</v>
      </c>
      <c r="AN654" t="str">
        <f t="shared" si="1056"/>
        <v>a</v>
      </c>
      <c r="AO654" t="str">
        <f t="shared" si="1057"/>
        <v>n</v>
      </c>
      <c r="AP654" t="str">
        <f t="shared" si="1058"/>
        <v>n</v>
      </c>
      <c r="AQ654" t="str">
        <f>IF(AM654&lt;&gt;"",AM654,IF($AC654=#REF!,#REF!,""))</f>
        <v>Away</v>
      </c>
      <c r="AR654" t="str">
        <f t="shared" si="1059"/>
        <v>a</v>
      </c>
      <c r="AS654" t="str">
        <f t="shared" si="1060"/>
        <v>Defensive</v>
      </c>
      <c r="AT654" t="str">
        <f t="shared" si="1115"/>
        <v/>
      </c>
      <c r="AU654" t="str">
        <f t="shared" si="1116"/>
        <v/>
      </c>
      <c r="AV654" t="str" cm="1">
        <f t="array" ref="AV654">IFERROR(IF(O654&lt;&gt;"",O654,IF(OR($S654="",$T654=""),"",IF(O654&lt;&gt;"",O654,IF($T654&lt;&gt;"",_xlfn._xlws.FILTER(O:O,($BT:$BT=$BT654)*($I:$I=$I654)*($T:$T=$T654)*($S:$S=_xlfn.MINIFS($S:$S,$T:$T,"="&amp;$T654)),"")))))&amp;"",IF(O654="","",""))&amp;""</f>
        <v/>
      </c>
      <c r="AW654" t="str" cm="1">
        <f t="array" ref="AW654">IFERROR(IF(P654&lt;&gt;"",P654,IF(OR($S654="",$T654=""),"",IF($T654&lt;&gt;"",_xlfn._xlws.FILTER(P:P,($BT:$BT=$BT654)*($I:$I=$I654)*($T:$T=$T654)*($S:$S=_xlfn.MINIFS($S:$S,$T:$T,"="&amp;$T654)),""))))&amp;"",IF(P654="","",""))&amp;""</f>
        <v/>
      </c>
      <c r="AX654" t="str" cm="1">
        <f t="array" ref="AX654">IFERROR(IF(Q654&lt;&gt;"",Q654,IF(OR($S654="",$T654=""),"",IF($T654&lt;&gt;"",_xlfn._xlws.FILTER(Q:Q,($BT:$BT=$BT654)*($I:$I=$I654)*($T:$T=$T654)*($S:$S=_xlfn.MINIFS($S:$S,$T:$T,"="&amp;$T654)),""))))&amp;"",IF(Q654="","",""))&amp;""</f>
        <v/>
      </c>
      <c r="AY654" t="str" cm="1">
        <f t="array" ref="AY654">IFERROR(IF(R654&lt;&gt;"",R654,IF(OR($S654="",$T654=""),"",IF($T654&lt;&gt;"",_xlfn._xlws.FILTER(R:R,($BT:$BT=$BT654)*($I:$I=$I654)*($T:$T=$T654)*($S:$S=_xlfn.MINIFS($S:$S,$T:$T,"="&amp;$T654)),""))))&amp;"",IF(R654="","",""))&amp;""</f>
        <v>1</v>
      </c>
      <c r="AZ654" s="6">
        <f t="shared" si="1117"/>
        <v>52</v>
      </c>
      <c r="BA654">
        <f t="shared" ref="BA654:BC654" si="1142">BA653</f>
        <v>18991</v>
      </c>
      <c r="BB654" t="str">
        <f t="shared" si="1142"/>
        <v>Triple J</v>
      </c>
      <c r="BC654" t="str">
        <f t="shared" si="1142"/>
        <v>Velodrome</v>
      </c>
      <c r="BD654" t="str">
        <f t="shared" si="1119"/>
        <v>Possession</v>
      </c>
      <c r="BE654" t="str">
        <f t="shared" si="1120"/>
        <v>Regroup</v>
      </c>
      <c r="BF654" t="str">
        <f t="shared" si="1121"/>
        <v/>
      </c>
      <c r="BG654" t="str">
        <f t="shared" si="1104"/>
        <v/>
      </c>
      <c r="BH654" cm="1">
        <f t="array" aca="1" ref="BH654" ca="1">IFERROR(_xlfn._xlws.FILTER(shifts!A:A,(shifts!B:B=events!Z654)*(shifts!AG:AG&gt;=events!BJ654)*(shifts!AH:AH&lt;=events!BK654)),BH653)</f>
        <v>21</v>
      </c>
      <c r="BI654" s="15">
        <f t="shared" si="1122"/>
        <v>2</v>
      </c>
      <c r="BJ654">
        <f t="shared" si="1123"/>
        <v>523</v>
      </c>
      <c r="BK654">
        <f t="shared" si="1124"/>
        <v>521</v>
      </c>
      <c r="BL654" s="15">
        <f>SUMIFS(BI$2:BI654,K$2:K654,"=Intermission")+SUMIFS(BI$2:BI654,K$2:K654,"=Timeout")</f>
        <v>0</v>
      </c>
      <c r="BM654">
        <f t="shared" si="1125"/>
        <v>0</v>
      </c>
      <c r="BN654" s="19">
        <f t="shared" si="1126"/>
        <v>557</v>
      </c>
      <c r="BO654">
        <f t="shared" si="1127"/>
        <v>552</v>
      </c>
      <c r="BP654" s="17">
        <f t="shared" si="1128"/>
        <v>559</v>
      </c>
      <c r="BQ654" t="str">
        <f t="shared" si="1129"/>
        <v>opp_team_player_1</v>
      </c>
      <c r="BR654">
        <f>COUNTIFS(S$3:S654,"="&amp;S654,AH$3:AH654,"="&amp;AH654)</f>
        <v>1</v>
      </c>
      <c r="BS654" t="str">
        <f>IFERROR(VLOOKUP(BA654&amp;BT654&amp;X654,game_rosters!U:W,3,FALSE),"")</f>
        <v>P100206</v>
      </c>
      <c r="BT654" t="str">
        <f t="shared" si="1130"/>
        <v>Triple J</v>
      </c>
    </row>
    <row r="655" spans="1:72" x14ac:dyDescent="0.2">
      <c r="A655">
        <f t="shared" si="1131"/>
        <v>1</v>
      </c>
      <c r="E655" s="4"/>
      <c r="F655" s="45"/>
      <c r="G655" s="4"/>
      <c r="H655" s="47"/>
      <c r="I655" s="26">
        <v>70</v>
      </c>
      <c r="J655" s="26" t="s">
        <v>734</v>
      </c>
      <c r="K655" t="s">
        <v>7</v>
      </c>
      <c r="L655" t="s">
        <v>172</v>
      </c>
      <c r="M655" t="s">
        <v>68</v>
      </c>
      <c r="N655" t="str">
        <f t="shared" si="1045"/>
        <v>s</v>
      </c>
      <c r="Q655" t="str">
        <f t="shared" si="1039"/>
        <v/>
      </c>
      <c r="R655" s="26">
        <v>1</v>
      </c>
      <c r="S655">
        <f>IF(A655=1,MAX($S$2:$S654)+1,IF(OR($I655&lt;&gt;"",A655="x"),$S654,""))</f>
        <v>324</v>
      </c>
      <c r="T655" t="str">
        <f>IF(D655=1,MAX($T$2:$T654)+1,IF(S655=S654,$T654,IF(D655="x",T654,IF(D654="x","",""))))</f>
        <v/>
      </c>
      <c r="U655" t="str">
        <f>IF(B655=1,MAX($U$2:$U654)+1,IF(AND($T655&lt;&gt;"",$T655=$T654),$U654,IF(B655="x",U654,"")))</f>
        <v/>
      </c>
      <c r="V655" t="str">
        <f>IF(C655=1,MAX($V$2:$V654)+1,IF(AND($T655&lt;&gt;"",$T655=$T654),$U654,IF(C655="x",V654,"")))</f>
        <v/>
      </c>
      <c r="W655" t="str" cm="1">
        <f t="array" ref="W655">IFERROR(_xlfn._xlws.FILTER(game_rosters!AC:AC,(game_rosters!J:J=events!X655)*(K655&lt;&gt;"")),"")</f>
        <v>a</v>
      </c>
      <c r="X655" cm="1">
        <f t="array" ref="X655">IF($I655&lt;&gt;"",$I655,INDEX($I$1:$I655,ROW()-COUNTIFS($T$1:$T655,"="&amp;$T655,$S$1:$S655,"&lt;"&amp;$S655)))</f>
        <v>70</v>
      </c>
      <c r="Y655" cm="1">
        <f t="array" ref="Y655">IFERROR(IF(_xlfn._xlws.FILTER(game_rosters!$J:$J,(game_rosters!$G:$G=events!$AM655)*(game_rosters!$J:$J=events!$X655))&gt;0,1,""),"")</f>
        <v>1</v>
      </c>
      <c r="Z655" s="6">
        <f t="shared" si="1106"/>
        <v>1</v>
      </c>
      <c r="AA655">
        <f t="shared" si="1107"/>
        <v>1324</v>
      </c>
      <c r="AB655" t="str">
        <f t="shared" si="1108"/>
        <v/>
      </c>
      <c r="AC655">
        <f t="shared" si="1109"/>
        <v>1324</v>
      </c>
      <c r="AD655" t="str">
        <f t="shared" si="1110"/>
        <v>8</v>
      </c>
      <c r="AE655" t="str">
        <f t="shared" si="1111"/>
        <v>41</v>
      </c>
      <c r="AF655" t="str">
        <f t="shared" si="1112"/>
        <v/>
      </c>
      <c r="AG655" t="str">
        <f t="shared" si="1113"/>
        <v/>
      </c>
      <c r="AH655" t="str">
        <f t="shared" si="1052"/>
        <v>e</v>
      </c>
      <c r="AI655" t="str">
        <f t="shared" si="1138"/>
        <v>n</v>
      </c>
      <c r="AJ655" t="str">
        <f t="shared" si="1138"/>
        <v>n</v>
      </c>
      <c r="AK655" t="str">
        <f t="shared" si="1054"/>
        <v>n</v>
      </c>
      <c r="AL655" t="str">
        <f t="shared" si="1055"/>
        <v>n</v>
      </c>
      <c r="AM655" t="str">
        <f t="shared" si="1114"/>
        <v>Away</v>
      </c>
      <c r="AN655" t="str">
        <f t="shared" si="1056"/>
        <v>a</v>
      </c>
      <c r="AO655" t="str">
        <f t="shared" si="1057"/>
        <v>n</v>
      </c>
      <c r="AP655" t="str">
        <f t="shared" si="1058"/>
        <v>n</v>
      </c>
      <c r="AQ655" t="str">
        <f>IF(AM655&lt;&gt;"",AM655,IF($AC655=#REF!,#REF!,""))</f>
        <v>Away</v>
      </c>
      <c r="AR655" t="str">
        <f t="shared" si="1059"/>
        <v>a</v>
      </c>
      <c r="AS655" t="str">
        <f t="shared" si="1060"/>
        <v>Offensive</v>
      </c>
      <c r="AT655" t="str">
        <f t="shared" si="1115"/>
        <v/>
      </c>
      <c r="AU655" t="str">
        <f t="shared" si="1116"/>
        <v/>
      </c>
      <c r="AV655" t="str" cm="1">
        <f t="array" ref="AV655">IFERROR(IF(O655&lt;&gt;"",O655,IF(OR($S655="",$T655=""),"",IF(O655&lt;&gt;"",O655,IF($T655&lt;&gt;"",_xlfn._xlws.FILTER(O:O,($BT:$BT=$BT655)*($I:$I=$I655)*($T:$T=$T655)*($S:$S=_xlfn.MINIFS($S:$S,$T:$T,"="&amp;$T655)),"")))))&amp;"",IF(O655="","",""))&amp;""</f>
        <v/>
      </c>
      <c r="AW655" t="str" cm="1">
        <f t="array" ref="AW655">IFERROR(IF(P655&lt;&gt;"",P655,IF(OR($S655="",$T655=""),"",IF($T655&lt;&gt;"",_xlfn._xlws.FILTER(P:P,($BT:$BT=$BT655)*($I:$I=$I655)*($T:$T=$T655)*($S:$S=_xlfn.MINIFS($S:$S,$T:$T,"="&amp;$T655)),""))))&amp;"",IF(P655="","",""))&amp;""</f>
        <v/>
      </c>
      <c r="AX655" t="str" cm="1">
        <f t="array" ref="AX655">IFERROR(IF(Q655&lt;&gt;"",Q655,IF(OR($S655="",$T655=""),"",IF($T655&lt;&gt;"",_xlfn._xlws.FILTER(Q:Q,($BT:$BT=$BT655)*($I:$I=$I655)*($T:$T=$T655)*($S:$S=_xlfn.MINIFS($S:$S,$T:$T,"="&amp;$T655)),""))))&amp;"",IF(Q655="","",""))&amp;""</f>
        <v/>
      </c>
      <c r="AY655" t="str" cm="1">
        <f t="array" ref="AY655">IFERROR(IF(R655&lt;&gt;"",R655,IF(OR($S655="",$T655=""),"",IF($T655&lt;&gt;"",_xlfn._xlws.FILTER(R:R,($BT:$BT=$BT655)*($I:$I=$I655)*($T:$T=$T655)*($S:$S=_xlfn.MINIFS($S:$S,$T:$T,"="&amp;$T655)),""))))&amp;"",IF(R655="","",""))&amp;""</f>
        <v>1</v>
      </c>
      <c r="AZ655" s="6">
        <f t="shared" si="1117"/>
        <v>52</v>
      </c>
      <c r="BA655">
        <f t="shared" ref="BA655:BC655" si="1143">BA654</f>
        <v>18991</v>
      </c>
      <c r="BB655" t="str">
        <f t="shared" si="1143"/>
        <v>Triple J</v>
      </c>
      <c r="BC655" t="str">
        <f t="shared" si="1143"/>
        <v>Velodrome</v>
      </c>
      <c r="BD655" t="str">
        <f t="shared" si="1119"/>
        <v>Pass</v>
      </c>
      <c r="BE655" t="str">
        <f t="shared" si="1120"/>
        <v>Pass_Completed</v>
      </c>
      <c r="BF655" t="str">
        <f t="shared" si="1121"/>
        <v>Pass-Forehand</v>
      </c>
      <c r="BG655" t="str">
        <f t="shared" si="1104"/>
        <v>s</v>
      </c>
      <c r="BH655" cm="1">
        <f t="array" aca="1" ref="BH655" ca="1">IFERROR(_xlfn._xlws.FILTER(shifts!A:A,(shifts!B:B=events!Z655)*(shifts!AG:AG&gt;=events!BJ655)*(shifts!AH:AH&lt;=events!BK655)),BH654)</f>
        <v>21</v>
      </c>
      <c r="BI655" s="15">
        <f t="shared" si="1122"/>
        <v>0</v>
      </c>
      <c r="BJ655">
        <f t="shared" si="1123"/>
        <v>521</v>
      </c>
      <c r="BK655">
        <f t="shared" si="1124"/>
        <v>521</v>
      </c>
      <c r="BL655" s="15">
        <f>SUMIFS(BI$2:BI655,K$2:K655,"=Intermission")+SUMIFS(BI$2:BI655,K$2:K655,"=Timeout")</f>
        <v>0</v>
      </c>
      <c r="BM655">
        <f t="shared" si="1125"/>
        <v>0</v>
      </c>
      <c r="BN655" s="19">
        <f t="shared" si="1126"/>
        <v>559</v>
      </c>
      <c r="BO655">
        <f t="shared" si="1127"/>
        <v>554</v>
      </c>
      <c r="BP655" s="17">
        <f t="shared" si="1128"/>
        <v>559</v>
      </c>
      <c r="BQ655" t="str">
        <f t="shared" si="1129"/>
        <v>event_team_player_1</v>
      </c>
      <c r="BR655">
        <f>COUNTIFS(S$3:S655,"="&amp;S655,AH$3:AH655,"="&amp;AH655)</f>
        <v>1</v>
      </c>
      <c r="BS655" t="str">
        <f>IFERROR(VLOOKUP(BA655&amp;BT655&amp;X655,game_rosters!U:W,3,FALSE),"")</f>
        <v>P100001</v>
      </c>
      <c r="BT655" t="str">
        <f t="shared" si="1130"/>
        <v>Velodrome</v>
      </c>
    </row>
    <row r="656" spans="1:72" x14ac:dyDescent="0.2">
      <c r="A656" t="str">
        <f t="shared" si="1131"/>
        <v/>
      </c>
      <c r="E656" s="4"/>
      <c r="F656" s="45"/>
      <c r="G656" s="4"/>
      <c r="H656" s="47"/>
      <c r="I656" s="26">
        <v>24</v>
      </c>
      <c r="N656" t="str">
        <f t="shared" si="1045"/>
        <v/>
      </c>
      <c r="Q656" t="str">
        <f t="shared" ref="Q656:Q719" si="1144">IF(O656="","",IF(AND(N656&lt;&gt;"",OR(O656&lt;&gt;"",P656&lt;&gt;"")),N656,IF(OR(ISNUMBER(SEARCH("attemp",O656)),ISNUMBER(SEARCH("beat",O656)),ISNUMBER(SEARCH("mis",O656)),ISNUMBER(SEARCH("fail",O656)),ISNUMBER(SEARCH("loss",O656)),ISNUMBER(SEARCH("lost",O656)),ISNUMBER(SEARCH("attemp",P656)),ISNUMBER(SEARCH("mis",P656)),ISNUMBER(SEARCH("fail",P656)),ISNUMBER(SEARCH("loss",P656)),ISNUMBER(SEARCH("beat",P656)),ISNUMBER(SEARCH("lost",P656))),"u","")))</f>
        <v/>
      </c>
      <c r="S656">
        <f>IF(A656=1,MAX($S$2:$S655)+1,IF(OR($I656&lt;&gt;"",A656="x"),$S655,""))</f>
        <v>324</v>
      </c>
      <c r="T656" t="str">
        <f>IF(D656=1,MAX($T$2:$T655)+1,IF(S656=S655,$T655,IF(D656="x",T655,IF(D655="x","",""))))</f>
        <v/>
      </c>
      <c r="U656" t="str">
        <f>IF(B656=1,MAX($U$2:$U655)+1,IF(AND($T656&lt;&gt;"",$T656=$T655),$U655,IF(B656="x",U655,"")))</f>
        <v/>
      </c>
      <c r="V656" t="str">
        <f>IF(C656=1,MAX($V$2:$V655)+1,IF(AND($T656&lt;&gt;"",$T656=$T655),$U655,IF(C656="x",V655,"")))</f>
        <v/>
      </c>
      <c r="W656" t="str" cm="1">
        <f t="array" ref="W656">IFERROR(_xlfn._xlws.FILTER(game_rosters!AC:AC,(game_rosters!J:J=events!X656)*(K656&lt;&gt;"")),"")</f>
        <v/>
      </c>
      <c r="X656" cm="1">
        <f t="array" ref="X656">IF($I656&lt;&gt;"",$I656,INDEX($I$1:$I656,ROW()-COUNTIFS($T$1:$T656,"="&amp;$T656,$S$1:$S656,"&lt;"&amp;$S656)))</f>
        <v>24</v>
      </c>
      <c r="Y656" cm="1">
        <f t="array" ref="Y656">IFERROR(IF(_xlfn._xlws.FILTER(game_rosters!$J:$J,(game_rosters!$G:$G=events!$AM656)*(game_rosters!$J:$J=events!$X656))&gt;0,1,""),"")</f>
        <v>1</v>
      </c>
      <c r="Z656" s="6">
        <f t="shared" si="1106"/>
        <v>1</v>
      </c>
      <c r="AA656">
        <f t="shared" si="1107"/>
        <v>1324</v>
      </c>
      <c r="AB656" t="str">
        <f t="shared" si="1108"/>
        <v/>
      </c>
      <c r="AC656">
        <f t="shared" si="1109"/>
        <v>1324</v>
      </c>
      <c r="AD656" t="str">
        <f t="shared" si="1110"/>
        <v>8</v>
      </c>
      <c r="AE656" t="str">
        <f t="shared" si="1111"/>
        <v>41</v>
      </c>
      <c r="AF656" t="str">
        <f t="shared" si="1112"/>
        <v/>
      </c>
      <c r="AG656" t="str">
        <f t="shared" si="1113"/>
        <v/>
      </c>
      <c r="AH656" t="str">
        <f t="shared" si="1052"/>
        <v>e</v>
      </c>
      <c r="AI656" t="str">
        <f t="shared" si="1138"/>
        <v>n</v>
      </c>
      <c r="AJ656" t="str">
        <f t="shared" si="1138"/>
        <v>n</v>
      </c>
      <c r="AK656" t="str">
        <f t="shared" si="1054"/>
        <v/>
      </c>
      <c r="AL656" t="str">
        <f t="shared" si="1055"/>
        <v/>
      </c>
      <c r="AM656" t="str">
        <f t="shared" si="1114"/>
        <v>Away</v>
      </c>
      <c r="AN656" t="str">
        <f t="shared" si="1056"/>
        <v>a</v>
      </c>
      <c r="AO656" t="str">
        <f t="shared" si="1057"/>
        <v>n</v>
      </c>
      <c r="AP656" t="str">
        <f t="shared" si="1058"/>
        <v>n</v>
      </c>
      <c r="AQ656" t="str">
        <f>IF(AM656&lt;&gt;"",AM656,IF($AC656=#REF!,#REF!,""))</f>
        <v>Away</v>
      </c>
      <c r="AR656" t="str">
        <f t="shared" si="1059"/>
        <v>a</v>
      </c>
      <c r="AS656" t="str">
        <f t="shared" si="1060"/>
        <v>Offensive</v>
      </c>
      <c r="AT656" t="str">
        <f t="shared" si="1115"/>
        <v/>
      </c>
      <c r="AU656" t="str">
        <f t="shared" si="1116"/>
        <v/>
      </c>
      <c r="AV656" t="str" cm="1">
        <f t="array" ref="AV656">IFERROR(IF(O656&lt;&gt;"",O656,IF(OR($S656="",$T656=""),"",IF(O656&lt;&gt;"",O656,IF($T656&lt;&gt;"",_xlfn._xlws.FILTER(O:O,($BT:$BT=$BT656)*($I:$I=$I656)*($T:$T=$T656)*($S:$S=_xlfn.MINIFS($S:$S,$T:$T,"="&amp;$T656)),"")))))&amp;"",IF(O656="","",""))&amp;""</f>
        <v/>
      </c>
      <c r="AW656" t="str" cm="1">
        <f t="array" ref="AW656">IFERROR(IF(P656&lt;&gt;"",P656,IF(OR($S656="",$T656=""),"",IF($T656&lt;&gt;"",_xlfn._xlws.FILTER(P:P,($BT:$BT=$BT656)*($I:$I=$I656)*($T:$T=$T656)*($S:$S=_xlfn.MINIFS($S:$S,$T:$T,"="&amp;$T656)),""))))&amp;"",IF(P656="","",""))&amp;""</f>
        <v/>
      </c>
      <c r="AX656" t="str" cm="1">
        <f t="array" ref="AX656">IFERROR(IF(Q656&lt;&gt;"",Q656,IF(OR($S656="",$T656=""),"",IF($T656&lt;&gt;"",_xlfn._xlws.FILTER(Q:Q,($BT:$BT=$BT656)*($I:$I=$I656)*($T:$T=$T656)*($S:$S=_xlfn.MINIFS($S:$S,$T:$T,"="&amp;$T656)),""))))&amp;"",IF(Q656="","",""))&amp;""</f>
        <v/>
      </c>
      <c r="AY656" t="str" cm="1">
        <f t="array" ref="AY656">IFERROR(IF(R656&lt;&gt;"",R656,IF(OR($S656="",$T656=""),"",IF($T656&lt;&gt;"",_xlfn._xlws.FILTER(R:R,($BT:$BT=$BT656)*($I:$I=$I656)*($T:$T=$T656)*($S:$S=_xlfn.MINIFS($S:$S,$T:$T,"="&amp;$T656)),""))))&amp;"",IF(R656="","",""))&amp;""</f>
        <v/>
      </c>
      <c r="AZ656" s="6">
        <f t="shared" si="1117"/>
        <v>52</v>
      </c>
      <c r="BA656">
        <f t="shared" ref="BA656:BC656" si="1145">BA655</f>
        <v>18991</v>
      </c>
      <c r="BB656" t="str">
        <f t="shared" si="1145"/>
        <v>Triple J</v>
      </c>
      <c r="BC656" t="str">
        <f t="shared" si="1145"/>
        <v>Velodrome</v>
      </c>
      <c r="BD656" t="str">
        <f t="shared" si="1119"/>
        <v>Pass</v>
      </c>
      <c r="BE656" t="str">
        <f t="shared" si="1120"/>
        <v>Pass_Completed</v>
      </c>
      <c r="BF656" t="str">
        <f t="shared" si="1121"/>
        <v>Pass-Forehand</v>
      </c>
      <c r="BG656" t="str">
        <f t="shared" si="1104"/>
        <v>s</v>
      </c>
      <c r="BH656" cm="1">
        <f t="array" aca="1" ref="BH656" ca="1">IFERROR(_xlfn._xlws.FILTER(shifts!A:A,(shifts!B:B=events!Z656)*(shifts!AG:AG&gt;=events!BJ656)*(shifts!AH:AH&lt;=events!BK656)),BH655)</f>
        <v>21</v>
      </c>
      <c r="BI656" s="15">
        <f t="shared" si="1122"/>
        <v>0</v>
      </c>
      <c r="BJ656">
        <f t="shared" si="1123"/>
        <v>521</v>
      </c>
      <c r="BK656">
        <f t="shared" si="1124"/>
        <v>521</v>
      </c>
      <c r="BL656" s="15">
        <f>SUMIFS(BI$2:BI656,K$2:K656,"=Intermission")+SUMIFS(BI$2:BI656,K$2:K656,"=Timeout")</f>
        <v>0</v>
      </c>
      <c r="BM656">
        <f t="shared" si="1125"/>
        <v>0</v>
      </c>
      <c r="BN656" s="19">
        <f t="shared" si="1126"/>
        <v>559</v>
      </c>
      <c r="BO656">
        <f t="shared" si="1127"/>
        <v>554</v>
      </c>
      <c r="BP656" s="17">
        <f t="shared" si="1128"/>
        <v>559</v>
      </c>
      <c r="BQ656" t="str">
        <f t="shared" si="1129"/>
        <v>event_team_player_2</v>
      </c>
      <c r="BR656">
        <f>COUNTIFS(S$3:S656,"="&amp;S656,AH$3:AH656,"="&amp;AH656)</f>
        <v>2</v>
      </c>
      <c r="BS656" t="str">
        <f>IFERROR(VLOOKUP(BA656&amp;BT656&amp;X656,game_rosters!U:W,3,FALSE),"")</f>
        <v>P100230</v>
      </c>
      <c r="BT656" t="str">
        <f t="shared" si="1130"/>
        <v>Velodrome</v>
      </c>
    </row>
    <row r="657" spans="1:72" x14ac:dyDescent="0.2">
      <c r="A657" t="str">
        <f t="shared" si="1131"/>
        <v/>
      </c>
      <c r="E657" s="4"/>
      <c r="F657" s="45"/>
      <c r="G657" s="4"/>
      <c r="H657" s="47"/>
      <c r="I657" s="26">
        <v>41</v>
      </c>
      <c r="J657" s="26" t="str">
        <f t="shared" si="1132"/>
        <v/>
      </c>
      <c r="N657" t="str">
        <f t="shared" si="1045"/>
        <v/>
      </c>
      <c r="O657" t="s">
        <v>567</v>
      </c>
      <c r="Q657" t="str">
        <f t="shared" si="1144"/>
        <v/>
      </c>
      <c r="R657" s="26">
        <v>1</v>
      </c>
      <c r="S657">
        <f>IF(A657=1,MAX($S$2:$S656)+1,IF(OR($I657&lt;&gt;"",A657="x"),$S656,""))</f>
        <v>324</v>
      </c>
      <c r="T657" t="str">
        <f>IF(D657=1,MAX($T$2:$T656)+1,IF(S657=S656,$T656,IF(D657="x",T656,IF(D656="x","",""))))</f>
        <v/>
      </c>
      <c r="U657" t="str">
        <f>IF(B657=1,MAX($U$2:$U656)+1,IF(AND($T657&lt;&gt;"",$T657=$T656),$U656,IF(B657="x",U656,"")))</f>
        <v/>
      </c>
      <c r="V657" t="str">
        <f>IF(C657=1,MAX($V$2:$V656)+1,IF(AND($T657&lt;&gt;"",$T657=$T656),$U656,IF(C657="x",V656,"")))</f>
        <v/>
      </c>
      <c r="W657" t="str" cm="1">
        <f t="array" ref="W657">IFERROR(_xlfn._xlws.FILTER(game_rosters!AC:AC,(game_rosters!J:J=events!X657)*(K657&lt;&gt;"")),"")</f>
        <v/>
      </c>
      <c r="X657" cm="1">
        <f t="array" ref="X657">IF($I657&lt;&gt;"",$I657,INDEX($I$1:$I657,ROW()-COUNTIFS($T$1:$T657,"="&amp;$T657,$S$1:$S657,"&lt;"&amp;$S657)))</f>
        <v>41</v>
      </c>
      <c r="Y657" t="str" cm="1">
        <f t="array" ref="Y657">IFERROR(IF(_xlfn._xlws.FILTER(game_rosters!$J:$J,(game_rosters!$G:$G=events!$AM657)*(game_rosters!$J:$J=events!$X657))&gt;0,1,""),"")</f>
        <v/>
      </c>
      <c r="Z657" s="6">
        <f t="shared" si="1106"/>
        <v>1</v>
      </c>
      <c r="AA657">
        <f t="shared" si="1107"/>
        <v>1324</v>
      </c>
      <c r="AB657" t="str">
        <f t="shared" si="1108"/>
        <v/>
      </c>
      <c r="AC657">
        <f t="shared" si="1109"/>
        <v>1324</v>
      </c>
      <c r="AD657" t="str">
        <f t="shared" si="1110"/>
        <v>8</v>
      </c>
      <c r="AE657" t="str">
        <f t="shared" si="1111"/>
        <v>41</v>
      </c>
      <c r="AF657" t="str">
        <f t="shared" si="1112"/>
        <v/>
      </c>
      <c r="AG657" t="str">
        <f t="shared" si="1113"/>
        <v/>
      </c>
      <c r="AH657" t="str">
        <f t="shared" si="1052"/>
        <v>o</v>
      </c>
      <c r="AI657" t="str">
        <f t="shared" si="1138"/>
        <v>n</v>
      </c>
      <c r="AJ657" t="str">
        <f t="shared" si="1138"/>
        <v>n</v>
      </c>
      <c r="AK657" t="str">
        <f t="shared" si="1054"/>
        <v/>
      </c>
      <c r="AL657" t="str">
        <f t="shared" si="1055"/>
        <v/>
      </c>
      <c r="AM657" t="str">
        <f t="shared" si="1114"/>
        <v>Away</v>
      </c>
      <c r="AN657" t="str">
        <f t="shared" si="1056"/>
        <v>a</v>
      </c>
      <c r="AO657" t="str">
        <f t="shared" si="1057"/>
        <v>n</v>
      </c>
      <c r="AP657" t="str">
        <f t="shared" si="1058"/>
        <v>n</v>
      </c>
      <c r="AQ657" t="str">
        <f>IF(AM657&lt;&gt;"",AM657,IF($AC657=#REF!,#REF!,""))</f>
        <v>Away</v>
      </c>
      <c r="AR657" t="str">
        <f t="shared" si="1059"/>
        <v>a</v>
      </c>
      <c r="AS657" t="str">
        <f t="shared" si="1060"/>
        <v>Defensive</v>
      </c>
      <c r="AT657" t="str">
        <f t="shared" si="1115"/>
        <v/>
      </c>
      <c r="AU657" t="str">
        <f t="shared" si="1116"/>
        <v/>
      </c>
      <c r="AV657" t="str" cm="1">
        <f t="array" ref="AV657">IFERROR(IF(O657&lt;&gt;"",O657,IF(OR($S657="",$T657=""),"",IF(O657&lt;&gt;"",O657,IF($T657&lt;&gt;"",_xlfn._xlws.FILTER(O:O,($BT:$BT=$BT657)*($I:$I=$I657)*($T:$T=$T657)*($S:$S=_xlfn.MINIFS($S:$S,$T:$T,"="&amp;$T657)),"")))))&amp;"",IF(O657="","",""))&amp;""</f>
        <v>StickCheck</v>
      </c>
      <c r="AW657" t="str" cm="1">
        <f t="array" ref="AW657">IFERROR(IF(P657&lt;&gt;"",P657,IF(OR($S657="",$T657=""),"",IF($T657&lt;&gt;"",_xlfn._xlws.FILTER(P:P,($BT:$BT=$BT657)*($I:$I=$I657)*($T:$T=$T657)*($S:$S=_xlfn.MINIFS($S:$S,$T:$T,"="&amp;$T657)),""))))&amp;"",IF(P657="","",""))&amp;""</f>
        <v/>
      </c>
      <c r="AX657" t="str" cm="1">
        <f t="array" ref="AX657">IFERROR(IF(Q657&lt;&gt;"",Q657,IF(OR($S657="",$T657=""),"",IF($T657&lt;&gt;"",_xlfn._xlws.FILTER(Q:Q,($BT:$BT=$BT657)*($I:$I=$I657)*($T:$T=$T657)*($S:$S=_xlfn.MINIFS($S:$S,$T:$T,"="&amp;$T657)),""))))&amp;"",IF(Q657="","",""))&amp;""</f>
        <v/>
      </c>
      <c r="AY657" t="str" cm="1">
        <f t="array" ref="AY657">IFERROR(IF(R657&lt;&gt;"",R657,IF(OR($S657="",$T657=""),"",IF($T657&lt;&gt;"",_xlfn._xlws.FILTER(R:R,($BT:$BT=$BT657)*($I:$I=$I657)*($T:$T=$T657)*($S:$S=_xlfn.MINIFS($S:$S,$T:$T,"="&amp;$T657)),""))))&amp;"",IF(R657="","",""))&amp;""</f>
        <v>1</v>
      </c>
      <c r="AZ657" s="6">
        <f t="shared" si="1117"/>
        <v>52</v>
      </c>
      <c r="BA657">
        <f t="shared" ref="BA657:BC657" si="1146">BA656</f>
        <v>18991</v>
      </c>
      <c r="BB657" t="str">
        <f t="shared" si="1146"/>
        <v>Triple J</v>
      </c>
      <c r="BC657" t="str">
        <f t="shared" si="1146"/>
        <v>Velodrome</v>
      </c>
      <c r="BD657" t="str">
        <f t="shared" si="1119"/>
        <v>Pass</v>
      </c>
      <c r="BE657" t="str">
        <f t="shared" si="1120"/>
        <v>Pass_Completed</v>
      </c>
      <c r="BF657" t="str">
        <f t="shared" si="1121"/>
        <v>Pass-Forehand</v>
      </c>
      <c r="BG657" t="str">
        <f t="shared" si="1104"/>
        <v>s</v>
      </c>
      <c r="BH657" cm="1">
        <f t="array" aca="1" ref="BH657" ca="1">IFERROR(_xlfn._xlws.FILTER(shifts!A:A,(shifts!B:B=events!Z657)*(shifts!AG:AG&gt;=events!BJ657)*(shifts!AH:AH&lt;=events!BK657)),BH656)</f>
        <v>21</v>
      </c>
      <c r="BI657" s="15">
        <f t="shared" si="1122"/>
        <v>0</v>
      </c>
      <c r="BJ657">
        <f t="shared" si="1123"/>
        <v>521</v>
      </c>
      <c r="BK657">
        <f t="shared" si="1124"/>
        <v>521</v>
      </c>
      <c r="BL657" s="15">
        <f>SUMIFS(BI$2:BI657,K$2:K657,"=Intermission")+SUMIFS(BI$2:BI657,K$2:K657,"=Timeout")</f>
        <v>0</v>
      </c>
      <c r="BM657">
        <f t="shared" si="1125"/>
        <v>0</v>
      </c>
      <c r="BN657" s="19">
        <f t="shared" si="1126"/>
        <v>559</v>
      </c>
      <c r="BO657">
        <f t="shared" si="1127"/>
        <v>554</v>
      </c>
      <c r="BP657" s="17">
        <f t="shared" si="1128"/>
        <v>559</v>
      </c>
      <c r="BQ657" t="str">
        <f t="shared" si="1129"/>
        <v>opp_team_player_1</v>
      </c>
      <c r="BR657">
        <f>COUNTIFS(S$3:S657,"="&amp;S657,AH$3:AH657,"="&amp;AH657)</f>
        <v>1</v>
      </c>
      <c r="BS657" t="str">
        <f>IFERROR(VLOOKUP(BA657&amp;BT657&amp;X657,game_rosters!U:W,3,FALSE),"")</f>
        <v>P100206</v>
      </c>
      <c r="BT657" t="str">
        <f t="shared" si="1130"/>
        <v>Triple J</v>
      </c>
    </row>
    <row r="658" spans="1:72" x14ac:dyDescent="0.2">
      <c r="A658">
        <f t="shared" si="1131"/>
        <v>1</v>
      </c>
      <c r="E658" s="4"/>
      <c r="F658" s="45" t="s">
        <v>1068</v>
      </c>
      <c r="G658" s="4"/>
      <c r="H658" s="47" t="s">
        <v>1035</v>
      </c>
      <c r="I658" s="26">
        <v>24</v>
      </c>
      <c r="J658" s="26" t="str">
        <f t="shared" si="1132"/>
        <v>o</v>
      </c>
      <c r="K658" t="s">
        <v>238</v>
      </c>
      <c r="L658" t="s">
        <v>174</v>
      </c>
      <c r="M658" t="s">
        <v>85</v>
      </c>
      <c r="N658" t="s">
        <v>594</v>
      </c>
      <c r="Q658" t="str">
        <f t="shared" si="1144"/>
        <v/>
      </c>
      <c r="S658">
        <f>IF(A658=1,MAX($S$2:$S657)+1,IF(OR($I658&lt;&gt;"",A658="x"),$S657,""))</f>
        <v>325</v>
      </c>
      <c r="T658" t="str">
        <f>IF(D658=1,MAX($T$2:$T657)+1,IF(S658=S657,$T657,IF(D658="x",T657,IF(D657="x","",""))))</f>
        <v/>
      </c>
      <c r="U658" t="str">
        <f>IF(B658=1,MAX($U$2:$U657)+1,IF(AND($T658&lt;&gt;"",$T658=$T657),$U657,IF(B658="x",U657,"")))</f>
        <v/>
      </c>
      <c r="V658" t="str">
        <f>IF(C658=1,MAX($V$2:$V657)+1,IF(AND($T658&lt;&gt;"",$T658=$T657),$U657,IF(C658="x",V657,"")))</f>
        <v/>
      </c>
      <c r="W658" t="str" cm="1">
        <f t="array" ref="W658">IFERROR(_xlfn._xlws.FILTER(game_rosters!AC:AC,(game_rosters!J:J=events!X658)*(K658&lt;&gt;"")),"")</f>
        <v>a</v>
      </c>
      <c r="X658" cm="1">
        <f t="array" ref="X658">IF($I658&lt;&gt;"",$I658,INDEX($I$1:$I658,ROW()-COUNTIFS($T$1:$T658,"="&amp;$T658,$S$1:$S658,"&lt;"&amp;$S658)))</f>
        <v>24</v>
      </c>
      <c r="Y658" cm="1">
        <f t="array" ref="Y658">IFERROR(IF(_xlfn._xlws.FILTER(game_rosters!$J:$J,(game_rosters!$G:$G=events!$AM658)*(game_rosters!$J:$J=events!$X658))&gt;0,1,""),"")</f>
        <v>1</v>
      </c>
      <c r="Z658" s="6">
        <f t="shared" si="1106"/>
        <v>1</v>
      </c>
      <c r="AA658">
        <f t="shared" si="1107"/>
        <v>1325</v>
      </c>
      <c r="AB658" t="str">
        <f t="shared" si="1108"/>
        <v/>
      </c>
      <c r="AC658">
        <f t="shared" si="1109"/>
        <v>1325</v>
      </c>
      <c r="AD658" t="str">
        <f t="shared" si="1110"/>
        <v>8</v>
      </c>
      <c r="AE658" t="str">
        <f t="shared" si="1111"/>
        <v>40</v>
      </c>
      <c r="AF658" t="str">
        <f t="shared" si="1112"/>
        <v>8</v>
      </c>
      <c r="AG658" t="str">
        <f t="shared" si="1113"/>
        <v>38</v>
      </c>
      <c r="AH658" t="str">
        <f t="shared" si="1052"/>
        <v>e</v>
      </c>
      <c r="AI658" t="str">
        <f t="shared" si="1138"/>
        <v>o</v>
      </c>
      <c r="AJ658" t="str">
        <f t="shared" si="1138"/>
        <v>o</v>
      </c>
      <c r="AK658" t="str">
        <f t="shared" si="1054"/>
        <v>d</v>
      </c>
      <c r="AL658" t="str">
        <f t="shared" si="1055"/>
        <v>o</v>
      </c>
      <c r="AM658" t="str">
        <f t="shared" si="1114"/>
        <v>Away</v>
      </c>
      <c r="AN658" t="str">
        <f t="shared" si="1056"/>
        <v>a</v>
      </c>
      <c r="AO658" t="str">
        <f t="shared" si="1057"/>
        <v>d</v>
      </c>
      <c r="AP658" t="str">
        <f t="shared" si="1058"/>
        <v>o</v>
      </c>
      <c r="AQ658" t="str">
        <f>IF(AM658&lt;&gt;"",AM658,IF($AC658=#REF!,#REF!,""))</f>
        <v>Away</v>
      </c>
      <c r="AR658" t="str">
        <f t="shared" si="1059"/>
        <v>a</v>
      </c>
      <c r="AS658" t="str">
        <f t="shared" si="1060"/>
        <v>Offensive</v>
      </c>
      <c r="AT658" t="str">
        <f t="shared" si="1115"/>
        <v/>
      </c>
      <c r="AU658" t="str">
        <f t="shared" si="1116"/>
        <v/>
      </c>
      <c r="AV658" t="str" cm="1">
        <f t="array" ref="AV658">IFERROR(IF(O658&lt;&gt;"",O658,IF(OR($S658="",$T658=""),"",IF(O658&lt;&gt;"",O658,IF($T658&lt;&gt;"",_xlfn._xlws.FILTER(O:O,($BT:$BT=$BT658)*($I:$I=$I658)*($T:$T=$T658)*($S:$S=_xlfn.MINIFS($S:$S,$T:$T,"="&amp;$T658)),"")))))&amp;"",IF(O658="","",""))&amp;""</f>
        <v/>
      </c>
      <c r="AW658" t="str" cm="1">
        <f t="array" ref="AW658">IFERROR(IF(P658&lt;&gt;"",P658,IF(OR($S658="",$T658=""),"",IF($T658&lt;&gt;"",_xlfn._xlws.FILTER(P:P,($BT:$BT=$BT658)*($I:$I=$I658)*($T:$T=$T658)*($S:$S=_xlfn.MINIFS($S:$S,$T:$T,"="&amp;$T658)),""))))&amp;"",IF(P658="","",""))&amp;""</f>
        <v/>
      </c>
      <c r="AX658" t="str" cm="1">
        <f t="array" ref="AX658">IFERROR(IF(Q658&lt;&gt;"",Q658,IF(OR($S658="",$T658=""),"",IF($T658&lt;&gt;"",_xlfn._xlws.FILTER(Q:Q,($BT:$BT=$BT658)*($I:$I=$I658)*($T:$T=$T658)*($S:$S=_xlfn.MINIFS($S:$S,$T:$T,"="&amp;$T658)),""))))&amp;"",IF(Q658="","",""))&amp;""</f>
        <v/>
      </c>
      <c r="AY658" t="str" cm="1">
        <f t="array" ref="AY658">IFERROR(IF(R658&lt;&gt;"",R658,IF(OR($S658="",$T658=""),"",IF($T658&lt;&gt;"",_xlfn._xlws.FILTER(R:R,($BT:$BT=$BT658)*($I:$I=$I658)*($T:$T=$T658)*($S:$S=_xlfn.MINIFS($S:$S,$T:$T,"="&amp;$T658)),""))))&amp;"",IF(R658="","",""))&amp;""</f>
        <v/>
      </c>
      <c r="AZ658" s="6">
        <f t="shared" si="1117"/>
        <v>53</v>
      </c>
      <c r="BA658">
        <f t="shared" ref="BA658:BC658" si="1147">BA657</f>
        <v>18991</v>
      </c>
      <c r="BB658" t="str">
        <f t="shared" si="1147"/>
        <v>Triple J</v>
      </c>
      <c r="BC658" t="str">
        <f t="shared" si="1147"/>
        <v>Velodrome</v>
      </c>
      <c r="BD658" t="str">
        <f t="shared" si="1119"/>
        <v>Zone_Entry_Exit</v>
      </c>
      <c r="BE658" t="str">
        <f t="shared" si="1120"/>
        <v>Zone_Entry</v>
      </c>
      <c r="BF658" t="str">
        <f t="shared" si="1121"/>
        <v>ZoneEntry-Rush</v>
      </c>
      <c r="BG658" t="str">
        <f t="shared" si="1104"/>
        <v>u</v>
      </c>
      <c r="BH658" cm="1">
        <f t="array" aca="1" ref="BH658" ca="1">IFERROR(_xlfn._xlws.FILTER(shifts!A:A,(shifts!B:B=events!Z658)*(shifts!AG:AG&gt;=events!BJ658)*(shifts!AH:AH&lt;=events!BK658)),BH657)</f>
        <v>21</v>
      </c>
      <c r="BI658" s="15">
        <f t="shared" si="1122"/>
        <v>2</v>
      </c>
      <c r="BJ658">
        <f t="shared" si="1123"/>
        <v>520</v>
      </c>
      <c r="BK658">
        <f t="shared" si="1124"/>
        <v>518</v>
      </c>
      <c r="BL658" s="15">
        <f>SUMIFS(BI$2:BI658,K$2:K658,"=Intermission")+SUMIFS(BI$2:BI658,K$2:K658,"=Timeout")</f>
        <v>0</v>
      </c>
      <c r="BM658">
        <f t="shared" si="1125"/>
        <v>0</v>
      </c>
      <c r="BN658" s="19">
        <f t="shared" si="1126"/>
        <v>560</v>
      </c>
      <c r="BO658">
        <f t="shared" si="1127"/>
        <v>555</v>
      </c>
      <c r="BP658" s="17">
        <f t="shared" si="1128"/>
        <v>562</v>
      </c>
      <c r="BQ658" t="str">
        <f t="shared" si="1129"/>
        <v>event_team_player_1</v>
      </c>
      <c r="BR658">
        <f>COUNTIFS(S$3:S658,"="&amp;S658,AH$3:AH658,"="&amp;AH658)</f>
        <v>1</v>
      </c>
      <c r="BS658" t="str">
        <f>IFERROR(VLOOKUP(BA658&amp;BT658&amp;X658,game_rosters!U:W,3,FALSE),"")</f>
        <v>P100230</v>
      </c>
      <c r="BT658" t="str">
        <f t="shared" si="1130"/>
        <v>Velodrome</v>
      </c>
    </row>
    <row r="659" spans="1:72" x14ac:dyDescent="0.2">
      <c r="A659" t="str">
        <f t="shared" si="1131"/>
        <v/>
      </c>
      <c r="E659" s="4"/>
      <c r="F659" s="45"/>
      <c r="G659" s="4"/>
      <c r="H659" s="47"/>
      <c r="I659" s="26">
        <v>21</v>
      </c>
      <c r="J659" s="26" t="str">
        <f t="shared" si="1132"/>
        <v/>
      </c>
      <c r="N659" t="str">
        <f t="shared" si="1045"/>
        <v/>
      </c>
      <c r="Q659" t="str">
        <f t="shared" si="1144"/>
        <v/>
      </c>
      <c r="S659">
        <f>IF(A659=1,MAX($S$2:$S658)+1,IF(OR($I659&lt;&gt;"",A659="x"),$S658,""))</f>
        <v>325</v>
      </c>
      <c r="T659" t="str">
        <f>IF(D659=1,MAX($T$2:$T658)+1,IF(S659=S658,$T658,IF(D659="x",T658,IF(D658="x","",""))))</f>
        <v/>
      </c>
      <c r="U659" t="str">
        <f>IF(B659=1,MAX($U$2:$U658)+1,IF(AND($T659&lt;&gt;"",$T659=$T658),$U658,IF(B659="x",U658,"")))</f>
        <v/>
      </c>
      <c r="V659" t="str">
        <f>IF(C659=1,MAX($V$2:$V658)+1,IF(AND($T659&lt;&gt;"",$T659=$T658),$U658,IF(C659="x",V658,"")))</f>
        <v/>
      </c>
      <c r="W659" t="str" cm="1">
        <f t="array" ref="W659">IFERROR(_xlfn._xlws.FILTER(game_rosters!AC:AC,(game_rosters!J:J=events!X659)*(K659&lt;&gt;"")),"")</f>
        <v/>
      </c>
      <c r="X659" cm="1">
        <f t="array" ref="X659">IF($I659&lt;&gt;"",$I659,INDEX($I$1:$I659,ROW()-COUNTIFS($T$1:$T659,"="&amp;$T659,$S$1:$S659,"&lt;"&amp;$S659)))</f>
        <v>21</v>
      </c>
      <c r="Y659" t="str" cm="1">
        <f t="array" ref="Y659">IFERROR(IF(_xlfn._xlws.FILTER(game_rosters!$J:$J,(game_rosters!$G:$G=events!$AM659)*(game_rosters!$J:$J=events!$X659))&gt;0,1,""),"")</f>
        <v/>
      </c>
      <c r="Z659" s="6">
        <f t="shared" si="1106"/>
        <v>1</v>
      </c>
      <c r="AA659">
        <f t="shared" si="1107"/>
        <v>1325</v>
      </c>
      <c r="AB659" t="str">
        <f t="shared" si="1108"/>
        <v/>
      </c>
      <c r="AC659">
        <f t="shared" si="1109"/>
        <v>1325</v>
      </c>
      <c r="AD659" t="str">
        <f t="shared" si="1110"/>
        <v>8</v>
      </c>
      <c r="AE659" t="str">
        <f t="shared" si="1111"/>
        <v>40</v>
      </c>
      <c r="AF659" t="str">
        <f t="shared" si="1112"/>
        <v>8</v>
      </c>
      <c r="AG659" t="str">
        <f t="shared" si="1113"/>
        <v>38</v>
      </c>
      <c r="AH659" t="str">
        <f t="shared" si="1052"/>
        <v>o</v>
      </c>
      <c r="AI659" t="str">
        <f t="shared" si="1138"/>
        <v>o</v>
      </c>
      <c r="AJ659" t="str">
        <f t="shared" si="1138"/>
        <v>o</v>
      </c>
      <c r="AK659" t="str">
        <f t="shared" si="1054"/>
        <v/>
      </c>
      <c r="AL659" t="str">
        <f t="shared" si="1055"/>
        <v/>
      </c>
      <c r="AM659" t="str">
        <f t="shared" si="1114"/>
        <v>Away</v>
      </c>
      <c r="AN659" t="str">
        <f t="shared" si="1056"/>
        <v>a</v>
      </c>
      <c r="AO659" t="str">
        <f t="shared" si="1057"/>
        <v>d</v>
      </c>
      <c r="AP659" t="str">
        <f t="shared" si="1058"/>
        <v>o</v>
      </c>
      <c r="AQ659" t="str">
        <f>IF(AM659&lt;&gt;"",AM659,IF($AC659=#REF!,#REF!,""))</f>
        <v>Away</v>
      </c>
      <c r="AR659" t="str">
        <f t="shared" si="1059"/>
        <v>a</v>
      </c>
      <c r="AS659" t="str">
        <f t="shared" si="1060"/>
        <v>Defensive</v>
      </c>
      <c r="AT659" t="str">
        <f t="shared" si="1115"/>
        <v/>
      </c>
      <c r="AU659" t="str">
        <f t="shared" si="1116"/>
        <v/>
      </c>
      <c r="AV659" t="str" cm="1">
        <f t="array" ref="AV659">IFERROR(IF(O659&lt;&gt;"",O659,IF(OR($S659="",$T659=""),"",IF(O659&lt;&gt;"",O659,IF($T659&lt;&gt;"",_xlfn._xlws.FILTER(O:O,($BT:$BT=$BT659)*($I:$I=$I659)*($T:$T=$T659)*($S:$S=_xlfn.MINIFS($S:$S,$T:$T,"="&amp;$T659)),"")))))&amp;"",IF(O659="","",""))&amp;""</f>
        <v/>
      </c>
      <c r="AW659" t="str" cm="1">
        <f t="array" ref="AW659">IFERROR(IF(P659&lt;&gt;"",P659,IF(OR($S659="",$T659=""),"",IF($T659&lt;&gt;"",_xlfn._xlws.FILTER(P:P,($BT:$BT=$BT659)*($I:$I=$I659)*($T:$T=$T659)*($S:$S=_xlfn.MINIFS($S:$S,$T:$T,"="&amp;$T659)),""))))&amp;"",IF(P659="","",""))&amp;""</f>
        <v/>
      </c>
      <c r="AX659" t="str" cm="1">
        <f t="array" ref="AX659">IFERROR(IF(Q659&lt;&gt;"",Q659,IF(OR($S659="",$T659=""),"",IF($T659&lt;&gt;"",_xlfn._xlws.FILTER(Q:Q,($BT:$BT=$BT659)*($I:$I=$I659)*($T:$T=$T659)*($S:$S=_xlfn.MINIFS($S:$S,$T:$T,"="&amp;$T659)),""))))&amp;"",IF(Q659="","",""))&amp;""</f>
        <v/>
      </c>
      <c r="AY659" t="str" cm="1">
        <f t="array" ref="AY659">IFERROR(IF(R659&lt;&gt;"",R659,IF(OR($S659="",$T659=""),"",IF($T659&lt;&gt;"",_xlfn._xlws.FILTER(R:R,($BT:$BT=$BT659)*($I:$I=$I659)*($T:$T=$T659)*($S:$S=_xlfn.MINIFS($S:$S,$T:$T,"="&amp;$T659)),""))))&amp;"",IF(R659="","",""))&amp;""</f>
        <v/>
      </c>
      <c r="AZ659" s="6">
        <f t="shared" si="1117"/>
        <v>53</v>
      </c>
      <c r="BA659">
        <f t="shared" ref="BA659:BC659" si="1148">BA658</f>
        <v>18991</v>
      </c>
      <c r="BB659" t="str">
        <f t="shared" si="1148"/>
        <v>Triple J</v>
      </c>
      <c r="BC659" t="str">
        <f t="shared" si="1148"/>
        <v>Velodrome</v>
      </c>
      <c r="BD659" t="str">
        <f t="shared" si="1119"/>
        <v>Zone_Entry_Exit</v>
      </c>
      <c r="BE659" t="str">
        <f t="shared" si="1120"/>
        <v>Zone_Entry</v>
      </c>
      <c r="BF659" t="str">
        <f t="shared" si="1121"/>
        <v>ZoneEntry-Rush</v>
      </c>
      <c r="BG659" t="str">
        <f t="shared" si="1104"/>
        <v>u</v>
      </c>
      <c r="BH659" cm="1">
        <f t="array" aca="1" ref="BH659" ca="1">IFERROR(_xlfn._xlws.FILTER(shifts!A:A,(shifts!B:B=events!Z659)*(shifts!AG:AG&gt;=events!BJ659)*(shifts!AH:AH&lt;=events!BK659)),BH658)</f>
        <v>21</v>
      </c>
      <c r="BI659" s="15">
        <f t="shared" si="1122"/>
        <v>2</v>
      </c>
      <c r="BJ659">
        <f t="shared" si="1123"/>
        <v>520</v>
      </c>
      <c r="BK659">
        <f t="shared" si="1124"/>
        <v>518</v>
      </c>
      <c r="BL659" s="15">
        <f>SUMIFS(BI$2:BI659,K$2:K659,"=Intermission")+SUMIFS(BI$2:BI659,K$2:K659,"=Timeout")</f>
        <v>0</v>
      </c>
      <c r="BM659">
        <f t="shared" si="1125"/>
        <v>0</v>
      </c>
      <c r="BN659" s="19">
        <f t="shared" si="1126"/>
        <v>560</v>
      </c>
      <c r="BO659">
        <f t="shared" si="1127"/>
        <v>555</v>
      </c>
      <c r="BP659" s="17">
        <f t="shared" si="1128"/>
        <v>562</v>
      </c>
      <c r="BQ659" t="str">
        <f t="shared" si="1129"/>
        <v>opp_team_player_1</v>
      </c>
      <c r="BR659">
        <f>COUNTIFS(S$3:S659,"="&amp;S659,AH$3:AH659,"="&amp;AH659)</f>
        <v>1</v>
      </c>
      <c r="BS659" t="str">
        <f>IFERROR(VLOOKUP(BA659&amp;BT659&amp;X659,game_rosters!U:W,3,FALSE),"")</f>
        <v>P100019</v>
      </c>
      <c r="BT659" t="str">
        <f t="shared" si="1130"/>
        <v>Triple J</v>
      </c>
    </row>
    <row r="660" spans="1:72" x14ac:dyDescent="0.2">
      <c r="A660">
        <f t="shared" si="1131"/>
        <v>1</v>
      </c>
      <c r="D660" s="26">
        <v>1</v>
      </c>
      <c r="E660" s="4"/>
      <c r="F660" s="45"/>
      <c r="G660" s="4"/>
      <c r="H660" s="47"/>
      <c r="I660" s="26">
        <v>24</v>
      </c>
      <c r="J660" s="26" t="str">
        <f t="shared" si="1132"/>
        <v>o</v>
      </c>
      <c r="K660" t="s">
        <v>6</v>
      </c>
      <c r="L660" t="s">
        <v>181</v>
      </c>
      <c r="M660" t="s">
        <v>51</v>
      </c>
      <c r="N660" t="str">
        <f t="shared" si="1045"/>
        <v>u</v>
      </c>
      <c r="Q660" t="str">
        <f t="shared" si="1144"/>
        <v/>
      </c>
      <c r="R660" s="26">
        <v>1</v>
      </c>
      <c r="S660">
        <f>IF(A660=1,MAX($S$2:$S659)+1,IF(OR($I660&lt;&gt;"",A660="x"),$S659,""))</f>
        <v>326</v>
      </c>
      <c r="T660">
        <f>IF(D660=1,MAX($T$2:$T659)+1,IF(S660=S659,$T659,IF(D660="x",T659,IF(D659="x","",""))))</f>
        <v>43</v>
      </c>
      <c r="U660" t="str">
        <f>IF(B660=1,MAX($U$2:$U659)+1,IF(AND($T660&lt;&gt;"",$T660=$T659),$U659,IF(B660="x",U659,"")))</f>
        <v/>
      </c>
      <c r="V660" t="str">
        <f>IF(C660=1,MAX($V$2:$V659)+1,IF(AND($T660&lt;&gt;"",$T660=$T659),$U659,IF(C660="x",V659,"")))</f>
        <v/>
      </c>
      <c r="W660" t="str" cm="1">
        <f t="array" ref="W660">IFERROR(_xlfn._xlws.FILTER(game_rosters!AC:AC,(game_rosters!J:J=events!X660)*(K660&lt;&gt;"")),"")</f>
        <v>a</v>
      </c>
      <c r="X660" cm="1">
        <f t="array" ref="X660">IF($I660&lt;&gt;"",$I660,INDEX($I$1:$I660,ROW()-COUNTIFS($T$1:$T660,"="&amp;$T660,$S$1:$S660,"&lt;"&amp;$S660)))</f>
        <v>24</v>
      </c>
      <c r="Y660" cm="1">
        <f t="array" ref="Y660">IFERROR(IF(_xlfn._xlws.FILTER(game_rosters!$J:$J,(game_rosters!$G:$G=events!$AM660)*(game_rosters!$J:$J=events!$X660))&gt;0,1,""),"")</f>
        <v>1</v>
      </c>
      <c r="Z660" s="6">
        <f t="shared" si="1106"/>
        <v>1</v>
      </c>
      <c r="AA660">
        <f t="shared" si="1107"/>
        <v>1326</v>
      </c>
      <c r="AB660">
        <f t="shared" si="1108"/>
        <v>9043</v>
      </c>
      <c r="AC660">
        <f t="shared" si="1109"/>
        <v>9043</v>
      </c>
      <c r="AD660" t="str">
        <f t="shared" si="1110"/>
        <v>8</v>
      </c>
      <c r="AE660" t="str">
        <f t="shared" si="1111"/>
        <v>38</v>
      </c>
      <c r="AF660" t="str">
        <f t="shared" si="1112"/>
        <v/>
      </c>
      <c r="AG660" t="str">
        <f t="shared" si="1113"/>
        <v/>
      </c>
      <c r="AH660" t="str">
        <f t="shared" si="1052"/>
        <v>e</v>
      </c>
      <c r="AI660" t="str">
        <f t="shared" si="1138"/>
        <v>o</v>
      </c>
      <c r="AJ660" t="str">
        <f t="shared" si="1138"/>
        <v>o</v>
      </c>
      <c r="AK660" t="str">
        <f t="shared" si="1054"/>
        <v>d</v>
      </c>
      <c r="AL660" t="str">
        <f t="shared" si="1055"/>
        <v>o</v>
      </c>
      <c r="AM660" t="str">
        <f t="shared" si="1114"/>
        <v>Away</v>
      </c>
      <c r="AN660" t="str">
        <f t="shared" si="1056"/>
        <v>a</v>
      </c>
      <c r="AO660" t="str">
        <f t="shared" si="1057"/>
        <v>d</v>
      </c>
      <c r="AP660" t="str">
        <f t="shared" si="1058"/>
        <v>o</v>
      </c>
      <c r="AQ660" t="str">
        <f>IF(AM660&lt;&gt;"",AM660,IF($AC660=#REF!,#REF!,""))</f>
        <v>Away</v>
      </c>
      <c r="AR660" t="str">
        <f t="shared" si="1059"/>
        <v>a</v>
      </c>
      <c r="AS660" t="str">
        <f t="shared" si="1060"/>
        <v>Offensive</v>
      </c>
      <c r="AT660" t="str">
        <f t="shared" si="1115"/>
        <v/>
      </c>
      <c r="AU660" t="str">
        <f t="shared" si="1116"/>
        <v/>
      </c>
      <c r="AV660" t="str" cm="1">
        <f t="array" ref="AV660">IFERROR(IF(O660&lt;&gt;"",O660,IF(OR($S660="",$T660=""),"",IF(O660&lt;&gt;"",O660,IF($T660&lt;&gt;"",_xlfn._xlws.FILTER(O:O,($BT:$BT=$BT660)*($I:$I=$I660)*($T:$T=$T660)*($S:$S=_xlfn.MINIFS($S:$S,$T:$T,"="&amp;$T660)),"")))))&amp;"",IF(O660="","",""))&amp;""</f>
        <v/>
      </c>
      <c r="AW660" t="str" cm="1">
        <f t="array" ref="AW660">IFERROR(IF(P660&lt;&gt;"",P660,IF(OR($S660="",$T660=""),"",IF($T660&lt;&gt;"",_xlfn._xlws.FILTER(P:P,($BT:$BT=$BT660)*($I:$I=$I660)*($T:$T=$T660)*($S:$S=_xlfn.MINIFS($S:$S,$T:$T,"="&amp;$T660)),""))))&amp;"",IF(P660="","",""))&amp;""</f>
        <v/>
      </c>
      <c r="AX660" t="str" cm="1">
        <f t="array" ref="AX660">IFERROR(IF(Q660&lt;&gt;"",Q660,IF(OR($S660="",$T660=""),"",IF($T660&lt;&gt;"",_xlfn._xlws.FILTER(Q:Q,($BT:$BT=$BT660)*($I:$I=$I660)*($T:$T=$T660)*($S:$S=_xlfn.MINIFS($S:$S,$T:$T,"="&amp;$T660)),""))))&amp;"",IF(Q660="","",""))&amp;""</f>
        <v/>
      </c>
      <c r="AY660" t="str" cm="1">
        <f t="array" ref="AY660">IFERROR(IF(R660&lt;&gt;"",R660,IF(OR($S660="",$T660=""),"",IF($T660&lt;&gt;"",_xlfn._xlws.FILTER(R:R,($BT:$BT=$BT660)*($I:$I=$I660)*($T:$T=$T660)*($S:$S=_xlfn.MINIFS($S:$S,$T:$T,"="&amp;$T660)),""))))&amp;"",IF(R660="","",""))&amp;""</f>
        <v>1</v>
      </c>
      <c r="AZ660" s="6">
        <f t="shared" si="1117"/>
        <v>53</v>
      </c>
      <c r="BA660">
        <f t="shared" ref="BA660:BC660" si="1149">BA659</f>
        <v>18991</v>
      </c>
      <c r="BB660" t="str">
        <f t="shared" si="1149"/>
        <v>Triple J</v>
      </c>
      <c r="BC660" t="str">
        <f t="shared" si="1149"/>
        <v>Velodrome</v>
      </c>
      <c r="BD660" t="str">
        <f t="shared" si="1119"/>
        <v>Shot</v>
      </c>
      <c r="BE660" t="str">
        <f t="shared" si="1120"/>
        <v>Shot_Missed</v>
      </c>
      <c r="BF660" t="str">
        <f t="shared" si="1121"/>
        <v>Shot-Wrist</v>
      </c>
      <c r="BG660" t="str">
        <f t="shared" si="1104"/>
        <v>u</v>
      </c>
      <c r="BH660" cm="1">
        <f t="array" aca="1" ref="BH660" ca="1">IFERROR(_xlfn._xlws.FILTER(shifts!A:A,(shifts!B:B=events!Z660)*(shifts!AG:AG&gt;=events!BJ660)*(shifts!AH:AH&lt;=events!BK660)),BH659)</f>
        <v>21</v>
      </c>
      <c r="BI660" s="15">
        <f t="shared" si="1122"/>
        <v>0</v>
      </c>
      <c r="BJ660">
        <f t="shared" si="1123"/>
        <v>518</v>
      </c>
      <c r="BK660">
        <f t="shared" si="1124"/>
        <v>518</v>
      </c>
      <c r="BL660" s="15">
        <f>SUMIFS(BI$2:BI660,K$2:K660,"=Intermission")+SUMIFS(BI$2:BI660,K$2:K660,"=Timeout")</f>
        <v>0</v>
      </c>
      <c r="BM660">
        <f t="shared" si="1125"/>
        <v>0</v>
      </c>
      <c r="BN660" s="19">
        <f t="shared" si="1126"/>
        <v>562</v>
      </c>
      <c r="BO660">
        <f t="shared" si="1127"/>
        <v>557</v>
      </c>
      <c r="BP660" s="17">
        <f t="shared" si="1128"/>
        <v>562</v>
      </c>
      <c r="BQ660" t="str">
        <f t="shared" si="1129"/>
        <v>event_team_player_1</v>
      </c>
      <c r="BR660">
        <f>COUNTIFS(S$3:S660,"="&amp;S660,AH$3:AH660,"="&amp;AH660)</f>
        <v>1</v>
      </c>
      <c r="BS660" t="str">
        <f>IFERROR(VLOOKUP(BA660&amp;BT660&amp;X660,game_rosters!U:W,3,FALSE),"")</f>
        <v>P100230</v>
      </c>
      <c r="BT660" t="str">
        <f t="shared" si="1130"/>
        <v>Velodrome</v>
      </c>
    </row>
    <row r="661" spans="1:72" x14ac:dyDescent="0.2">
      <c r="A661" t="str">
        <f t="shared" si="1131"/>
        <v>x</v>
      </c>
      <c r="D661" s="26" t="s">
        <v>729</v>
      </c>
      <c r="E661" s="4"/>
      <c r="F661" s="45"/>
      <c r="G661" s="4"/>
      <c r="H661" s="47"/>
      <c r="I661" s="26">
        <v>21</v>
      </c>
      <c r="J661" s="26" t="str">
        <f t="shared" si="1132"/>
        <v/>
      </c>
      <c r="N661" t="str">
        <f t="shared" ref="N661:N723" si="1150">IF(K661="","",IF(K661="Goal","s",IF(AND(K661="Zone_Entry_Exit",OR(ISNUMBER(SEARCH("fail",L661)),ISNUMBER(SEARCH("FromExitClear",M661)),ISNUMBER(SEARCH("miss",M661)))),"u",IF(AND(K661="Zone_Entry_Exit",OR(NOT(ISNUMBER(SEARCH("fail",L661))),NOT(ISNUMBER(SEARCH("FromExitClear",M661))),NOT(ISNUMBER(SEARCH("miss",M661))))),"s",IF(AND(OR(K661="Shot",K661="Pass"),OR(ISNUMBER(SEARCH("complete",L661)),ISNUMBER(SEARCH("goal",L661)),ISNUMBER(SEARCH("OnNet",L661)))),"s",IF(L661="Turnover_Giveaway","u",IF(AND(OR(K661="Shot",K661="Pass"),OR(ISNUMBER(SEARCH("fail",L661)),NOT(ISNUMBER(SEARCH("complete",L661))),NOT(ISNUMBER(SEARCH("OnNet",L661))))),"u","")))))))</f>
        <v/>
      </c>
      <c r="O661" t="s">
        <v>566</v>
      </c>
      <c r="Q661" t="str">
        <f t="shared" si="1144"/>
        <v/>
      </c>
      <c r="R661" s="26">
        <v>1</v>
      </c>
      <c r="S661">
        <f>IF(A661=1,MAX($S$2:$S660)+1,IF(OR($I661&lt;&gt;"",A661="x"),$S660,""))</f>
        <v>326</v>
      </c>
      <c r="T661">
        <f>IF(D661=1,MAX($T$2:$T660)+1,IF(S661=S660,$T660,IF(D661="x",T660,IF(D660="x","",""))))</f>
        <v>43</v>
      </c>
      <c r="U661" t="str">
        <f>IF(B661=1,MAX($U$2:$U660)+1,IF(AND($T661&lt;&gt;"",$T661=$T660),$U660,IF(B661="x",U660,"")))</f>
        <v/>
      </c>
      <c r="V661" t="str">
        <f>IF(C661=1,MAX($V$2:$V660)+1,IF(AND($T661&lt;&gt;"",$T661=$T660),$U660,IF(C661="x",V660,"")))</f>
        <v/>
      </c>
      <c r="W661" t="str" cm="1">
        <f t="array" ref="W661">IFERROR(_xlfn._xlws.FILTER(game_rosters!AC:AC,(game_rosters!J:J=events!X661)*(K661&lt;&gt;"")),"")</f>
        <v/>
      </c>
      <c r="X661" cm="1">
        <f t="array" ref="X661">IF($I661&lt;&gt;"",$I661,INDEX($I$1:$I661,ROW()-COUNTIFS($T$1:$T661,"="&amp;$T661,$S$1:$S661,"&lt;"&amp;$S661)))</f>
        <v>21</v>
      </c>
      <c r="Y661" t="str" cm="1">
        <f t="array" ref="Y661">IFERROR(IF(_xlfn._xlws.FILTER(game_rosters!$J:$J,(game_rosters!$G:$G=events!$AM661)*(game_rosters!$J:$J=events!$X661))&gt;0,1,""),"")</f>
        <v/>
      </c>
      <c r="Z661" s="6">
        <f t="shared" si="1106"/>
        <v>1</v>
      </c>
      <c r="AA661">
        <f t="shared" si="1107"/>
        <v>1326</v>
      </c>
      <c r="AB661">
        <f t="shared" si="1108"/>
        <v>9043</v>
      </c>
      <c r="AC661">
        <f t="shared" si="1109"/>
        <v>9043</v>
      </c>
      <c r="AD661" t="str">
        <f t="shared" si="1110"/>
        <v>8</v>
      </c>
      <c r="AE661" t="str">
        <f t="shared" si="1111"/>
        <v>38</v>
      </c>
      <c r="AF661" t="str">
        <f t="shared" si="1112"/>
        <v/>
      </c>
      <c r="AG661" t="str">
        <f t="shared" si="1113"/>
        <v/>
      </c>
      <c r="AH661" t="str">
        <f t="shared" si="1052"/>
        <v>o</v>
      </c>
      <c r="AI661" t="str">
        <f t="shared" si="1138"/>
        <v>o</v>
      </c>
      <c r="AJ661" t="str">
        <f t="shared" si="1138"/>
        <v>o</v>
      </c>
      <c r="AK661" t="str">
        <f t="shared" si="1054"/>
        <v/>
      </c>
      <c r="AL661" t="str">
        <f t="shared" si="1055"/>
        <v/>
      </c>
      <c r="AM661" t="str">
        <f t="shared" si="1114"/>
        <v>Away</v>
      </c>
      <c r="AN661" t="str">
        <f t="shared" si="1056"/>
        <v>a</v>
      </c>
      <c r="AO661" t="str">
        <f t="shared" si="1057"/>
        <v>d</v>
      </c>
      <c r="AP661" t="str">
        <f t="shared" si="1058"/>
        <v>o</v>
      </c>
      <c r="AQ661" t="str">
        <f>IF(AM661&lt;&gt;"",AM661,IF($AC661=#REF!,#REF!,""))</f>
        <v>Away</v>
      </c>
      <c r="AR661" t="str">
        <f t="shared" si="1059"/>
        <v>a</v>
      </c>
      <c r="AS661" t="str">
        <f t="shared" si="1060"/>
        <v>Defensive</v>
      </c>
      <c r="AT661" t="str">
        <f t="shared" si="1115"/>
        <v/>
      </c>
      <c r="AU661" t="str">
        <f t="shared" si="1116"/>
        <v/>
      </c>
      <c r="AV661" t="str" cm="1">
        <f t="array" ref="AV661">IFERROR(IF(O661&lt;&gt;"",O661,IF(OR($S661="",$T661=""),"",IF(O661&lt;&gt;"",O661,IF($T661&lt;&gt;"",_xlfn._xlws.FILTER(O:O,($BT:$BT=$BT661)*($I:$I=$I661)*($T:$T=$T661)*($S:$S=_xlfn.MINIFS($S:$S,$T:$T,"="&amp;$T661)),"")))))&amp;"",IF(O661="","",""))&amp;""</f>
        <v>InShotPassLane</v>
      </c>
      <c r="AW661" t="str" cm="1">
        <f t="array" ref="AW661">IFERROR(IF(P661&lt;&gt;"",P661,IF(OR($S661="",$T661=""),"",IF($T661&lt;&gt;"",_xlfn._xlws.FILTER(P:P,($BT:$BT=$BT661)*($I:$I=$I661)*($T:$T=$T661)*($S:$S=_xlfn.MINIFS($S:$S,$T:$T,"="&amp;$T661)),""))))&amp;"",IF(P661="","",""))&amp;""</f>
        <v/>
      </c>
      <c r="AX661" t="str" cm="1">
        <f t="array" ref="AX661">IFERROR(IF(Q661&lt;&gt;"",Q661,IF(OR($S661="",$T661=""),"",IF($T661&lt;&gt;"",_xlfn._xlws.FILTER(Q:Q,($BT:$BT=$BT661)*($I:$I=$I661)*($T:$T=$T661)*($S:$S=_xlfn.MINIFS($S:$S,$T:$T,"="&amp;$T661)),""))))&amp;"",IF(Q661="","",""))&amp;""</f>
        <v/>
      </c>
      <c r="AY661" t="str" cm="1">
        <f t="array" ref="AY661">IFERROR(IF(R661&lt;&gt;"",R661,IF(OR($S661="",$T661=""),"",IF($T661&lt;&gt;"",_xlfn._xlws.FILTER(R:R,($BT:$BT=$BT661)*($I:$I=$I661)*($T:$T=$T661)*($S:$S=_xlfn.MINIFS($S:$S,$T:$T,"="&amp;$T661)),""))))&amp;"",IF(R661="","",""))&amp;""</f>
        <v>1</v>
      </c>
      <c r="AZ661" s="6">
        <f t="shared" si="1117"/>
        <v>53</v>
      </c>
      <c r="BA661">
        <f t="shared" ref="BA661:BC661" si="1151">BA660</f>
        <v>18991</v>
      </c>
      <c r="BB661" t="str">
        <f t="shared" si="1151"/>
        <v>Triple J</v>
      </c>
      <c r="BC661" t="str">
        <f t="shared" si="1151"/>
        <v>Velodrome</v>
      </c>
      <c r="BD661" t="str">
        <f t="shared" si="1119"/>
        <v>Shot</v>
      </c>
      <c r="BE661" t="str">
        <f t="shared" si="1120"/>
        <v>Shot_Missed</v>
      </c>
      <c r="BF661" t="str">
        <f t="shared" si="1121"/>
        <v>Shot-Wrist</v>
      </c>
      <c r="BG661" t="str">
        <f t="shared" si="1104"/>
        <v>u</v>
      </c>
      <c r="BH661" cm="1">
        <f t="array" aca="1" ref="BH661" ca="1">IFERROR(_xlfn._xlws.FILTER(shifts!A:A,(shifts!B:B=events!Z661)*(shifts!AG:AG&gt;=events!BJ661)*(shifts!AH:AH&lt;=events!BK661)),BH660)</f>
        <v>21</v>
      </c>
      <c r="BI661" s="15">
        <f t="shared" si="1122"/>
        <v>0</v>
      </c>
      <c r="BJ661">
        <f t="shared" si="1123"/>
        <v>518</v>
      </c>
      <c r="BK661">
        <f t="shared" si="1124"/>
        <v>518</v>
      </c>
      <c r="BL661" s="15">
        <f>SUMIFS(BI$2:BI661,K$2:K661,"=Intermission")+SUMIFS(BI$2:BI661,K$2:K661,"=Timeout")</f>
        <v>0</v>
      </c>
      <c r="BM661">
        <f t="shared" si="1125"/>
        <v>0</v>
      </c>
      <c r="BN661" s="19">
        <f t="shared" si="1126"/>
        <v>562</v>
      </c>
      <c r="BO661">
        <f t="shared" si="1127"/>
        <v>557</v>
      </c>
      <c r="BP661" s="17">
        <f t="shared" si="1128"/>
        <v>562</v>
      </c>
      <c r="BQ661" t="str">
        <f t="shared" si="1129"/>
        <v>opp_team_player_1</v>
      </c>
      <c r="BR661">
        <f>COUNTIFS(S$3:S661,"="&amp;S661,AH$3:AH661,"="&amp;AH661)</f>
        <v>1</v>
      </c>
      <c r="BS661" t="str">
        <f>IFERROR(VLOOKUP(BA661&amp;BT661&amp;X661,game_rosters!U:W,3,FALSE),"")</f>
        <v>P100019</v>
      </c>
      <c r="BT661" t="str">
        <f t="shared" si="1130"/>
        <v>Triple J</v>
      </c>
    </row>
    <row r="662" spans="1:72" x14ac:dyDescent="0.2">
      <c r="A662">
        <f t="shared" si="1131"/>
        <v>1</v>
      </c>
      <c r="D662" s="26" t="s">
        <v>729</v>
      </c>
      <c r="E662" s="4"/>
      <c r="F662" s="45"/>
      <c r="G662" s="4"/>
      <c r="H662" s="47"/>
      <c r="J662" s="26" t="s">
        <v>368</v>
      </c>
      <c r="K662" t="s">
        <v>9</v>
      </c>
      <c r="L662" t="s">
        <v>173</v>
      </c>
      <c r="M662" t="s">
        <v>77</v>
      </c>
      <c r="N662" t="str">
        <f t="shared" si="1150"/>
        <v>u</v>
      </c>
      <c r="Q662" t="str">
        <f t="shared" si="1144"/>
        <v/>
      </c>
      <c r="S662">
        <f>IF(A662=1,MAX($S$2:$S661)+1,IF(OR($I662&lt;&gt;"",A662="x"),$S661,""))</f>
        <v>327</v>
      </c>
      <c r="T662">
        <f>IF(D662=1,MAX($T$2:$T661)+1,IF(S662=S661,$T661,IF(D662="x",T661,IF(D661="x","",""))))</f>
        <v>43</v>
      </c>
      <c r="U662" t="str">
        <f>IF(B662=1,MAX($U$2:$U661)+1,IF(AND($T662&lt;&gt;"",$T662=$T661),$U661,IF(B662="x",U661,"")))</f>
        <v/>
      </c>
      <c r="V662" t="str">
        <f>IF(C662=1,MAX($V$2:$V661)+1,IF(AND($T662&lt;&gt;"",$T662=$T661),$U661,IF(C662="x",V661,"")))</f>
        <v/>
      </c>
      <c r="W662" t="str" cm="1">
        <f t="array" ref="W662">IFERROR(_xlfn._xlws.FILTER(game_rosters!AC:AC,(game_rosters!J:J=events!X662)*(K662&lt;&gt;"")),"")</f>
        <v>a</v>
      </c>
      <c r="X662" cm="1">
        <f t="array" ref="X662">IF($I662&lt;&gt;"",$I662,INDEX($I$1:$I662,ROW()-COUNTIFS($T$1:$T662,"="&amp;$T662,$S$1:$S662,"&lt;"&amp;$S662)))</f>
        <v>24</v>
      </c>
      <c r="Y662" cm="1">
        <f t="array" ref="Y662">IFERROR(IF(_xlfn._xlws.FILTER(game_rosters!$J:$J,(game_rosters!$G:$G=events!$AM662)*(game_rosters!$J:$J=events!$X662))&gt;0,1,""),"")</f>
        <v>1</v>
      </c>
      <c r="Z662" s="6">
        <f t="shared" si="1106"/>
        <v>1</v>
      </c>
      <c r="AA662">
        <f t="shared" si="1107"/>
        <v>1327</v>
      </c>
      <c r="AB662">
        <f t="shared" si="1108"/>
        <v>9043</v>
      </c>
      <c r="AC662">
        <f t="shared" si="1109"/>
        <v>9043</v>
      </c>
      <c r="AD662" t="str">
        <f t="shared" si="1110"/>
        <v>8</v>
      </c>
      <c r="AE662" t="str">
        <f t="shared" si="1111"/>
        <v>38</v>
      </c>
      <c r="AF662" t="str">
        <f t="shared" si="1112"/>
        <v/>
      </c>
      <c r="AG662" t="str">
        <f t="shared" si="1113"/>
        <v/>
      </c>
      <c r="AH662" t="str">
        <f t="shared" si="1052"/>
        <v>e</v>
      </c>
      <c r="AI662" t="str">
        <f t="shared" si="1138"/>
        <v>o</v>
      </c>
      <c r="AJ662" t="str">
        <f t="shared" si="1138"/>
        <v>o</v>
      </c>
      <c r="AK662" t="str">
        <f t="shared" si="1054"/>
        <v>d</v>
      </c>
      <c r="AL662" t="str">
        <f t="shared" si="1055"/>
        <v>o</v>
      </c>
      <c r="AM662" t="str">
        <f t="shared" si="1114"/>
        <v>Away</v>
      </c>
      <c r="AN662" t="str">
        <f t="shared" si="1056"/>
        <v>a</v>
      </c>
      <c r="AO662" t="str">
        <f t="shared" si="1057"/>
        <v>d</v>
      </c>
      <c r="AP662" t="str">
        <f t="shared" si="1058"/>
        <v>o</v>
      </c>
      <c r="AQ662" t="str">
        <f>IF(AM662&lt;&gt;"",AM662,IF($AC662=#REF!,#REF!,""))</f>
        <v>Away</v>
      </c>
      <c r="AR662" t="str">
        <f t="shared" si="1059"/>
        <v>a</v>
      </c>
      <c r="AS662" t="str">
        <f t="shared" si="1060"/>
        <v>Offensive</v>
      </c>
      <c r="AT662" t="str">
        <f t="shared" si="1115"/>
        <v/>
      </c>
      <c r="AU662" t="str">
        <f t="shared" si="1116"/>
        <v/>
      </c>
      <c r="AV662" t="str" cm="1">
        <f t="array" ref="AV662">IFERROR(IF(O662&lt;&gt;"",O662,IF(OR($S662="",$T662=""),"",IF(O662&lt;&gt;"",O662,IF($T662&lt;&gt;"",_xlfn._xlws.FILTER(O:O,($BT:$BT=$BT662)*($I:$I=$I662)*($T:$T=$T662)*($S:$S=_xlfn.MINIFS($S:$S,$T:$T,"="&amp;$T662)),"")))))&amp;"",IF(O662="","",""))&amp;""</f>
        <v/>
      </c>
      <c r="AW662" t="str" cm="1">
        <f t="array" ref="AW662">IFERROR(IF(P662&lt;&gt;"",P662,IF(OR($S662="",$T662=""),"",IF($T662&lt;&gt;"",_xlfn._xlws.FILTER(P:P,($BT:$BT=$BT662)*($I:$I=$I662)*($T:$T=$T662)*($S:$S=_xlfn.MINIFS($S:$S,$T:$T,"="&amp;$T662)),""))))&amp;"",IF(P662="","",""))&amp;""</f>
        <v/>
      </c>
      <c r="AX662" t="str" cm="1">
        <f t="array" ref="AX662">IFERROR(IF(Q662&lt;&gt;"",Q662,IF(OR($S662="",$T662=""),"",IF($T662&lt;&gt;"",_xlfn._xlws.FILTER(Q:Q,($BT:$BT=$BT662)*($I:$I=$I662)*($T:$T=$T662)*($S:$S=_xlfn.MINIFS($S:$S,$T:$T,"="&amp;$T662)),""))))&amp;"",IF(Q662="","",""))&amp;""</f>
        <v/>
      </c>
      <c r="AY662" t="str" cm="1">
        <f t="array" ref="AY662">IFERROR(IF(R662&lt;&gt;"",R662,IF(OR($S662="",$T662=""),"",IF($T662&lt;&gt;"",_xlfn._xlws.FILTER(R:R,($BT:$BT=$BT662)*($I:$I=$I662)*($T:$T=$T662)*($S:$S=_xlfn.MINIFS($S:$S,$T:$T,"="&amp;$T662)),""))))&amp;"",IF(R662="","",""))&amp;""</f>
        <v/>
      </c>
      <c r="AZ662" s="6">
        <f t="shared" si="1117"/>
        <v>53</v>
      </c>
      <c r="BA662">
        <f t="shared" ref="BA662:BC662" si="1152">BA661</f>
        <v>18991</v>
      </c>
      <c r="BB662" t="str">
        <f t="shared" si="1152"/>
        <v>Triple J</v>
      </c>
      <c r="BC662" t="str">
        <f t="shared" si="1152"/>
        <v>Velodrome</v>
      </c>
      <c r="BD662" t="str">
        <f t="shared" si="1119"/>
        <v>Turnover</v>
      </c>
      <c r="BE662" t="str">
        <f t="shared" si="1120"/>
        <v>Turnover_Giveaway</v>
      </c>
      <c r="BF662" t="str">
        <f t="shared" si="1121"/>
        <v>Giveaway-ShotMissed</v>
      </c>
      <c r="BG662" t="str">
        <f t="shared" si="1104"/>
        <v>u</v>
      </c>
      <c r="BH662" cm="1">
        <f t="array" aca="1" ref="BH662" ca="1">IFERROR(_xlfn._xlws.FILTER(shifts!A:A,(shifts!B:B=events!Z662)*(shifts!AG:AG&gt;=events!BJ662)*(shifts!AH:AH&lt;=events!BK662)),BH661)</f>
        <v>21</v>
      </c>
      <c r="BI662" s="15">
        <f t="shared" si="1122"/>
        <v>0</v>
      </c>
      <c r="BJ662">
        <f t="shared" si="1123"/>
        <v>518</v>
      </c>
      <c r="BK662">
        <f t="shared" si="1124"/>
        <v>518</v>
      </c>
      <c r="BL662" s="15">
        <f>SUMIFS(BI$2:BI662,K$2:K662,"=Intermission")+SUMIFS(BI$2:BI662,K$2:K662,"=Timeout")</f>
        <v>0</v>
      </c>
      <c r="BM662">
        <f t="shared" si="1125"/>
        <v>0</v>
      </c>
      <c r="BN662" s="19">
        <f t="shared" si="1126"/>
        <v>562</v>
      </c>
      <c r="BO662">
        <f t="shared" si="1127"/>
        <v>557</v>
      </c>
      <c r="BP662" s="17">
        <f t="shared" si="1128"/>
        <v>562</v>
      </c>
      <c r="BQ662" t="str">
        <f t="shared" si="1129"/>
        <v>event_team_player_1</v>
      </c>
      <c r="BR662">
        <f>COUNTIFS(S$3:S662,"="&amp;S662,AH$3:AH662,"="&amp;AH662)</f>
        <v>1</v>
      </c>
      <c r="BS662" t="str">
        <f>IFERROR(VLOOKUP(BA662&amp;BT662&amp;X662,game_rosters!U:W,3,FALSE),"")</f>
        <v>P100230</v>
      </c>
      <c r="BT662" t="str">
        <f t="shared" si="1130"/>
        <v>Velodrome</v>
      </c>
    </row>
    <row r="663" spans="1:72" x14ac:dyDescent="0.2">
      <c r="A663" t="str">
        <f t="shared" si="1131"/>
        <v>x</v>
      </c>
      <c r="D663" s="26" t="s">
        <v>729</v>
      </c>
      <c r="E663" s="4"/>
      <c r="F663" s="45"/>
      <c r="G663" s="4"/>
      <c r="H663" s="47"/>
      <c r="J663" s="26" t="str">
        <f t="shared" si="1132"/>
        <v/>
      </c>
      <c r="N663" t="str">
        <f t="shared" si="1150"/>
        <v/>
      </c>
      <c r="Q663" t="str">
        <f t="shared" si="1144"/>
        <v/>
      </c>
      <c r="S663">
        <f>IF(A663=1,MAX($S$2:$S662)+1,IF(OR($I663&lt;&gt;"",A663="x"),$S662,""))</f>
        <v>327</v>
      </c>
      <c r="T663">
        <f>IF(D663=1,MAX($T$2:$T662)+1,IF(S663=S662,$T662,IF(D663="x",T662,IF(D662="x","",""))))</f>
        <v>43</v>
      </c>
      <c r="U663" t="str">
        <f>IF(B663=1,MAX($U$2:$U662)+1,IF(AND($T663&lt;&gt;"",$T663=$T662),$U662,IF(B663="x",U662,"")))</f>
        <v/>
      </c>
      <c r="V663" t="str">
        <f>IF(C663=1,MAX($V$2:$V662)+1,IF(AND($T663&lt;&gt;"",$T663=$T662),$U662,IF(C663="x",V662,"")))</f>
        <v/>
      </c>
      <c r="W663" t="str" cm="1">
        <f t="array" ref="W663">IFERROR(_xlfn._xlws.FILTER(game_rosters!AC:AC,(game_rosters!J:J=events!X663)*(K663&lt;&gt;"")),"")</f>
        <v/>
      </c>
      <c r="X663" cm="1">
        <f t="array" ref="X663">IF($I663&lt;&gt;"",$I663,INDEX($I$1:$I663,ROW()-COUNTIFS($T$1:$T663,"="&amp;$T663,$S$1:$S663,"&lt;"&amp;$S663)))</f>
        <v>21</v>
      </c>
      <c r="Y663" t="str" cm="1">
        <f t="array" ref="Y663">IFERROR(IF(_xlfn._xlws.FILTER(game_rosters!$J:$J,(game_rosters!$G:$G=events!$AM663)*(game_rosters!$J:$J=events!$X663))&gt;0,1,""),"")</f>
        <v/>
      </c>
      <c r="Z663" s="6">
        <f t="shared" si="1106"/>
        <v>1</v>
      </c>
      <c r="AA663">
        <f t="shared" si="1107"/>
        <v>1327</v>
      </c>
      <c r="AB663">
        <f t="shared" si="1108"/>
        <v>9043</v>
      </c>
      <c r="AC663">
        <f t="shared" si="1109"/>
        <v>9043</v>
      </c>
      <c r="AD663" t="str">
        <f t="shared" si="1110"/>
        <v>8</v>
      </c>
      <c r="AE663" t="str">
        <f t="shared" si="1111"/>
        <v>38</v>
      </c>
      <c r="AF663" t="str">
        <f t="shared" si="1112"/>
        <v/>
      </c>
      <c r="AG663" t="str">
        <f t="shared" si="1113"/>
        <v/>
      </c>
      <c r="AH663" t="str">
        <f t="shared" si="1052"/>
        <v>o</v>
      </c>
      <c r="AI663" t="str">
        <f t="shared" si="1138"/>
        <v>o</v>
      </c>
      <c r="AJ663" t="str">
        <f t="shared" si="1138"/>
        <v>o</v>
      </c>
      <c r="AK663" t="str">
        <f t="shared" si="1054"/>
        <v/>
      </c>
      <c r="AL663" t="str">
        <f t="shared" si="1055"/>
        <v/>
      </c>
      <c r="AM663" t="str">
        <f t="shared" si="1114"/>
        <v>Away</v>
      </c>
      <c r="AN663" t="str">
        <f t="shared" si="1056"/>
        <v>a</v>
      </c>
      <c r="AO663" t="str">
        <f t="shared" si="1057"/>
        <v>d</v>
      </c>
      <c r="AP663" t="str">
        <f t="shared" si="1058"/>
        <v>o</v>
      </c>
      <c r="AQ663" t="str">
        <f>IF(AM663&lt;&gt;"",AM663,IF($AC663=#REF!,#REF!,""))</f>
        <v>Away</v>
      </c>
      <c r="AR663" t="str">
        <f t="shared" si="1059"/>
        <v>a</v>
      </c>
      <c r="AS663" t="str">
        <f t="shared" si="1060"/>
        <v>Defensive</v>
      </c>
      <c r="AT663" t="str">
        <f t="shared" si="1115"/>
        <v/>
      </c>
      <c r="AU663" t="str">
        <f t="shared" si="1116"/>
        <v/>
      </c>
      <c r="AV663" t="str" cm="1">
        <f t="array" ref="AV663">IFERROR(IF(O663&lt;&gt;"",O663,IF(OR($S663="",$T663=""),"",IF(O663&lt;&gt;"",O663,IF($T663&lt;&gt;"",_xlfn._xlws.FILTER(O:O,($BT:$BT=$BT663)*($I:$I=$I663)*($T:$T=$T663)*($S:$S=_xlfn.MINIFS($S:$S,$T:$T,"="&amp;$T663)),"")))))&amp;"",IF(O663="","",""))&amp;""</f>
        <v/>
      </c>
      <c r="AW663" t="str" cm="1">
        <f t="array" ref="AW663">IFERROR(IF(P663&lt;&gt;"",P663,IF(OR($S663="",$T663=""),"",IF($T663&lt;&gt;"",_xlfn._xlws.FILTER(P:P,($BT:$BT=$BT663)*($I:$I=$I663)*($T:$T=$T663)*($S:$S=_xlfn.MINIFS($S:$S,$T:$T,"="&amp;$T663)),""))))&amp;"",IF(P663="","",""))&amp;""</f>
        <v/>
      </c>
      <c r="AX663" t="str" cm="1">
        <f t="array" ref="AX663">IFERROR(IF(Q663&lt;&gt;"",Q663,IF(OR($S663="",$T663=""),"",IF($T663&lt;&gt;"",_xlfn._xlws.FILTER(Q:Q,($BT:$BT=$BT663)*($I:$I=$I663)*($T:$T=$T663)*($S:$S=_xlfn.MINIFS($S:$S,$T:$T,"="&amp;$T663)),""))))&amp;"",IF(Q663="","",""))&amp;""</f>
        <v/>
      </c>
      <c r="AY663" t="str" cm="1">
        <f t="array" ref="AY663">IFERROR(IF(R663&lt;&gt;"",R663,IF(OR($S663="",$T663=""),"",IF($T663&lt;&gt;"",_xlfn._xlws.FILTER(R:R,($BT:$BT=$BT663)*($I:$I=$I663)*($T:$T=$T663)*($S:$S=_xlfn.MINIFS($S:$S,$T:$T,"="&amp;$T663)),""))))&amp;"",IF(R663="","",""))&amp;""</f>
        <v/>
      </c>
      <c r="AZ663" s="6">
        <f t="shared" si="1117"/>
        <v>53</v>
      </c>
      <c r="BA663">
        <f t="shared" ref="BA663:BC663" si="1153">BA662</f>
        <v>18991</v>
      </c>
      <c r="BB663" t="str">
        <f t="shared" si="1153"/>
        <v>Triple J</v>
      </c>
      <c r="BC663" t="str">
        <f t="shared" si="1153"/>
        <v>Velodrome</v>
      </c>
      <c r="BD663" t="str">
        <f t="shared" si="1119"/>
        <v>Turnover</v>
      </c>
      <c r="BE663" t="str">
        <f t="shared" si="1120"/>
        <v>Turnover_Giveaway</v>
      </c>
      <c r="BF663" t="str">
        <f t="shared" si="1121"/>
        <v>Giveaway-ShotMissed</v>
      </c>
      <c r="BG663" t="str">
        <f t="shared" si="1104"/>
        <v>u</v>
      </c>
      <c r="BH663" cm="1">
        <f t="array" aca="1" ref="BH663" ca="1">IFERROR(_xlfn._xlws.FILTER(shifts!A:A,(shifts!B:B=events!Z663)*(shifts!AG:AG&gt;=events!BJ663)*(shifts!AH:AH&lt;=events!BK663)),BH662)</f>
        <v>21</v>
      </c>
      <c r="BI663" s="15">
        <f t="shared" si="1122"/>
        <v>0</v>
      </c>
      <c r="BJ663">
        <f t="shared" si="1123"/>
        <v>518</v>
      </c>
      <c r="BK663">
        <f t="shared" si="1124"/>
        <v>518</v>
      </c>
      <c r="BL663" s="15">
        <f>SUMIFS(BI$2:BI663,K$2:K663,"=Intermission")+SUMIFS(BI$2:BI663,K$2:K663,"=Timeout")</f>
        <v>0</v>
      </c>
      <c r="BM663">
        <f t="shared" si="1125"/>
        <v>0</v>
      </c>
      <c r="BN663" s="19">
        <f t="shared" si="1126"/>
        <v>562</v>
      </c>
      <c r="BO663">
        <f t="shared" si="1127"/>
        <v>557</v>
      </c>
      <c r="BP663" s="17">
        <f t="shared" si="1128"/>
        <v>562</v>
      </c>
      <c r="BQ663" t="str">
        <f t="shared" si="1129"/>
        <v>opp_team_player_1</v>
      </c>
      <c r="BR663">
        <f>COUNTIFS(S$3:S663,"="&amp;S663,AH$3:AH663,"="&amp;AH663)</f>
        <v>1</v>
      </c>
      <c r="BS663" t="str">
        <f>IFERROR(VLOOKUP(BA663&amp;BT663&amp;X663,game_rosters!U:W,3,FALSE),"")</f>
        <v>P100019</v>
      </c>
      <c r="BT663" t="str">
        <f t="shared" si="1130"/>
        <v>Triple J</v>
      </c>
    </row>
    <row r="664" spans="1:72" x14ac:dyDescent="0.2">
      <c r="A664">
        <f t="shared" si="1131"/>
        <v>1</v>
      </c>
      <c r="E664" s="4"/>
      <c r="F664" s="45" t="s">
        <v>1048</v>
      </c>
      <c r="G664" s="4"/>
      <c r="H664" s="47"/>
      <c r="I664" s="26">
        <v>69</v>
      </c>
      <c r="J664" s="26" t="s">
        <v>736</v>
      </c>
      <c r="K664" t="s">
        <v>13</v>
      </c>
      <c r="L664" t="s">
        <v>586</v>
      </c>
      <c r="N664" t="str">
        <f t="shared" si="1150"/>
        <v/>
      </c>
      <c r="Q664" t="str">
        <f t="shared" si="1144"/>
        <v/>
      </c>
      <c r="S664">
        <f>IF(A664=1,MAX($S$2:$S663)+1,IF(OR($I664&lt;&gt;"",A664="x"),$S663,""))</f>
        <v>328</v>
      </c>
      <c r="T664" t="str">
        <f>IF(D664=1,MAX($T$2:$T663)+1,IF(S664=S663,$T663,IF(D664="x",T663,IF(D663="x","",""))))</f>
        <v/>
      </c>
      <c r="U664" t="str">
        <f>IF(B664=1,MAX($U$2:$U663)+1,IF(AND($T664&lt;&gt;"",$T664=$T663),$U663,IF(B664="x",U663,"")))</f>
        <v/>
      </c>
      <c r="V664" t="str">
        <f>IF(C664=1,MAX($V$2:$V663)+1,IF(AND($T664&lt;&gt;"",$T664=$T663),$U663,IF(C664="x",V663,"")))</f>
        <v/>
      </c>
      <c r="W664" t="str" cm="1">
        <f t="array" ref="W664">IFERROR(_xlfn._xlws.FILTER(game_rosters!AC:AC,(game_rosters!J:J=events!X664)*(K664&lt;&gt;"")),"")</f>
        <v>h</v>
      </c>
      <c r="X664" cm="1">
        <f t="array" ref="X664">IF($I664&lt;&gt;"",$I664,INDEX($I$1:$I664,ROW()-COUNTIFS($T$1:$T664,"="&amp;$T664,$S$1:$S664,"&lt;"&amp;$S664)))</f>
        <v>69</v>
      </c>
      <c r="Y664" cm="1">
        <f t="array" ref="Y664">IFERROR(IF(_xlfn._xlws.FILTER(game_rosters!$J:$J,(game_rosters!$G:$G=events!$AM664)*(game_rosters!$J:$J=events!$X664))&gt;0,1,""),"")</f>
        <v>1</v>
      </c>
      <c r="Z664" s="6">
        <f t="shared" si="1106"/>
        <v>1</v>
      </c>
      <c r="AA664">
        <f t="shared" si="1107"/>
        <v>1328</v>
      </c>
      <c r="AB664" t="str">
        <f t="shared" si="1108"/>
        <v/>
      </c>
      <c r="AC664">
        <f t="shared" si="1109"/>
        <v>1328</v>
      </c>
      <c r="AD664" t="str">
        <f t="shared" si="1110"/>
        <v>8</v>
      </c>
      <c r="AE664" t="str">
        <f t="shared" si="1111"/>
        <v>32</v>
      </c>
      <c r="AF664" t="str">
        <f t="shared" si="1112"/>
        <v/>
      </c>
      <c r="AG664" t="str">
        <f t="shared" si="1113"/>
        <v/>
      </c>
      <c r="AH664" t="str">
        <f t="shared" si="1052"/>
        <v>e</v>
      </c>
      <c r="AI664" t="str">
        <f t="shared" si="1138"/>
        <v>d</v>
      </c>
      <c r="AJ664" t="str">
        <f t="shared" si="1138"/>
        <v>d</v>
      </c>
      <c r="AK664" t="str">
        <f t="shared" si="1054"/>
        <v>d</v>
      </c>
      <c r="AL664" t="str">
        <f t="shared" si="1055"/>
        <v>o</v>
      </c>
      <c r="AM664" t="str">
        <f t="shared" si="1114"/>
        <v>Home</v>
      </c>
      <c r="AN664" t="str">
        <f t="shared" si="1056"/>
        <v>h</v>
      </c>
      <c r="AO664" t="str">
        <f t="shared" si="1057"/>
        <v>d</v>
      </c>
      <c r="AP664" t="str">
        <f t="shared" si="1058"/>
        <v>o</v>
      </c>
      <c r="AQ664" t="str">
        <f>IF(AM664&lt;&gt;"",AM664,IF($AC664=#REF!,#REF!,""))</f>
        <v>Home</v>
      </c>
      <c r="AR664" t="str">
        <f t="shared" si="1059"/>
        <v>h</v>
      </c>
      <c r="AS664" t="str">
        <f t="shared" si="1060"/>
        <v>Offensive</v>
      </c>
      <c r="AT664" t="str">
        <f t="shared" si="1115"/>
        <v/>
      </c>
      <c r="AU664" t="str">
        <f t="shared" si="1116"/>
        <v/>
      </c>
      <c r="AV664" t="str" cm="1">
        <f t="array" ref="AV664">IFERROR(IF(O664&lt;&gt;"",O664,IF(OR($S664="",$T664=""),"",IF(O664&lt;&gt;"",O664,IF($T664&lt;&gt;"",_xlfn._xlws.FILTER(O:O,($BT:$BT=$BT664)*($I:$I=$I664)*($T:$T=$T664)*($S:$S=_xlfn.MINIFS($S:$S,$T:$T,"="&amp;$T664)),"")))))&amp;"",IF(O664="","",""))&amp;""</f>
        <v/>
      </c>
      <c r="AW664" t="str" cm="1">
        <f t="array" ref="AW664">IFERROR(IF(P664&lt;&gt;"",P664,IF(OR($S664="",$T664=""),"",IF($T664&lt;&gt;"",_xlfn._xlws.FILTER(P:P,($BT:$BT=$BT664)*($I:$I=$I664)*($T:$T=$T664)*($S:$S=_xlfn.MINIFS($S:$S,$T:$T,"="&amp;$T664)),""))))&amp;"",IF(P664="","",""))&amp;""</f>
        <v/>
      </c>
      <c r="AX664" t="str" cm="1">
        <f t="array" ref="AX664">IFERROR(IF(Q664&lt;&gt;"",Q664,IF(OR($S664="",$T664=""),"",IF($T664&lt;&gt;"",_xlfn._xlws.FILTER(Q:Q,($BT:$BT=$BT664)*($I:$I=$I664)*($T:$T=$T664)*($S:$S=_xlfn.MINIFS($S:$S,$T:$T,"="&amp;$T664)),""))))&amp;"",IF(Q664="","",""))&amp;""</f>
        <v/>
      </c>
      <c r="AY664" t="str" cm="1">
        <f t="array" ref="AY664">IFERROR(IF(R664&lt;&gt;"",R664,IF(OR($S664="",$T664=""),"",IF($T664&lt;&gt;"",_xlfn._xlws.FILTER(R:R,($BT:$BT=$BT664)*($I:$I=$I664)*($T:$T=$T664)*($S:$S=_xlfn.MINIFS($S:$S,$T:$T,"="&amp;$T664)),""))))&amp;"",IF(R664="","",""))&amp;""</f>
        <v/>
      </c>
      <c r="AZ664" s="6">
        <f t="shared" si="1117"/>
        <v>53</v>
      </c>
      <c r="BA664">
        <f t="shared" ref="BA664:BC664" si="1154">BA663</f>
        <v>18991</v>
      </c>
      <c r="BB664" t="str">
        <f t="shared" si="1154"/>
        <v>Triple J</v>
      </c>
      <c r="BC664" t="str">
        <f t="shared" si="1154"/>
        <v>Velodrome</v>
      </c>
      <c r="BD664" t="str">
        <f t="shared" si="1119"/>
        <v>Possession</v>
      </c>
      <c r="BE664" t="str">
        <f t="shared" si="1120"/>
        <v>PuckRetrieval</v>
      </c>
      <c r="BF664" t="str">
        <f t="shared" si="1121"/>
        <v/>
      </c>
      <c r="BG664" t="str">
        <f t="shared" si="1104"/>
        <v/>
      </c>
      <c r="BH664" cm="1">
        <f t="array" aca="1" ref="BH664" ca="1">IFERROR(_xlfn._xlws.FILTER(shifts!A:A,(shifts!B:B=events!Z664)*(shifts!AG:AG&gt;=events!BJ664)*(shifts!AH:AH&lt;=events!BK664)),BH663)</f>
        <v>22</v>
      </c>
      <c r="BI664" s="15">
        <f t="shared" si="1122"/>
        <v>0</v>
      </c>
      <c r="BJ664">
        <f t="shared" si="1123"/>
        <v>512</v>
      </c>
      <c r="BK664">
        <f t="shared" si="1124"/>
        <v>512</v>
      </c>
      <c r="BL664" s="15">
        <f>SUMIFS(BI$2:BI664,K$2:K664,"=Intermission")+SUMIFS(BI$2:BI664,K$2:K664,"=Timeout")</f>
        <v>0</v>
      </c>
      <c r="BM664">
        <f t="shared" si="1125"/>
        <v>0</v>
      </c>
      <c r="BN664" s="19">
        <f t="shared" si="1126"/>
        <v>568</v>
      </c>
      <c r="BO664">
        <f t="shared" si="1127"/>
        <v>563</v>
      </c>
      <c r="BP664" s="17">
        <f t="shared" si="1128"/>
        <v>568</v>
      </c>
      <c r="BQ664" t="str">
        <f t="shared" si="1129"/>
        <v>event_team_player_1</v>
      </c>
      <c r="BR664">
        <f>COUNTIFS(S$3:S664,"="&amp;S664,AH$3:AH664,"="&amp;AH664)</f>
        <v>1</v>
      </c>
      <c r="BS664" t="str">
        <f>IFERROR(VLOOKUP(BA664&amp;BT664&amp;X664,game_rosters!U:W,3,FALSE),"")</f>
        <v>P100014</v>
      </c>
      <c r="BT664" t="str">
        <f t="shared" si="1130"/>
        <v>Triple J</v>
      </c>
    </row>
    <row r="665" spans="1:72" x14ac:dyDescent="0.2">
      <c r="A665">
        <f t="shared" si="1131"/>
        <v>1</v>
      </c>
      <c r="D665" s="26">
        <v>1</v>
      </c>
      <c r="E665" s="4"/>
      <c r="F665" s="45"/>
      <c r="G665" s="4"/>
      <c r="H665" s="47"/>
      <c r="I665" s="26">
        <v>69</v>
      </c>
      <c r="J665" s="26" t="s">
        <v>736</v>
      </c>
      <c r="K665" t="s">
        <v>7</v>
      </c>
      <c r="L665" t="s">
        <v>182</v>
      </c>
      <c r="M665" t="s">
        <v>445</v>
      </c>
      <c r="N665" t="str">
        <f t="shared" si="1150"/>
        <v>u</v>
      </c>
      <c r="Q665" t="str">
        <f t="shared" si="1144"/>
        <v/>
      </c>
      <c r="S665">
        <f>IF(A665=1,MAX($S$2:$S664)+1,IF(OR($I665&lt;&gt;"",A665="x"),$S664,""))</f>
        <v>329</v>
      </c>
      <c r="T665">
        <f>IF(D665=1,MAX($T$2:$T664)+1,IF(S665=S664,$T664,IF(D665="x",T664,IF(D664="x","",""))))</f>
        <v>44</v>
      </c>
      <c r="U665" t="str">
        <f>IF(B665=1,MAX($U$2:$U664)+1,IF(AND($T665&lt;&gt;"",$T665=$T664),$U664,IF(B665="x",U664,"")))</f>
        <v/>
      </c>
      <c r="V665" t="str">
        <f>IF(C665=1,MAX($V$2:$V664)+1,IF(AND($T665&lt;&gt;"",$T665=$T664),$U664,IF(C665="x",V664,"")))</f>
        <v/>
      </c>
      <c r="W665" t="str" cm="1">
        <f t="array" ref="W665">IFERROR(_xlfn._xlws.FILTER(game_rosters!AC:AC,(game_rosters!J:J=events!X665)*(K665&lt;&gt;"")),"")</f>
        <v>h</v>
      </c>
      <c r="X665" cm="1">
        <f t="array" ref="X665">IF($I665&lt;&gt;"",$I665,INDEX($I$1:$I665,ROW()-COUNTIFS($T$1:$T665,"="&amp;$T665,$S$1:$S665,"&lt;"&amp;$S665)))</f>
        <v>69</v>
      </c>
      <c r="Y665" cm="1">
        <f t="array" ref="Y665">IFERROR(IF(_xlfn._xlws.FILTER(game_rosters!$J:$J,(game_rosters!$G:$G=events!$AM665)*(game_rosters!$J:$J=events!$X665))&gt;0,1,""),"")</f>
        <v>1</v>
      </c>
      <c r="Z665" s="6">
        <f t="shared" si="1106"/>
        <v>1</v>
      </c>
      <c r="AA665">
        <f t="shared" si="1107"/>
        <v>1329</v>
      </c>
      <c r="AB665">
        <f t="shared" si="1108"/>
        <v>9044</v>
      </c>
      <c r="AC665">
        <f t="shared" si="1109"/>
        <v>9044</v>
      </c>
      <c r="AD665" t="str">
        <f t="shared" si="1110"/>
        <v>8</v>
      </c>
      <c r="AE665" t="str">
        <f t="shared" si="1111"/>
        <v>32</v>
      </c>
      <c r="AF665" t="str">
        <f t="shared" si="1112"/>
        <v/>
      </c>
      <c r="AG665" t="str">
        <f t="shared" si="1113"/>
        <v/>
      </c>
      <c r="AH665" t="str">
        <f t="shared" si="1052"/>
        <v>e</v>
      </c>
      <c r="AI665" t="str">
        <f t="shared" si="1138"/>
        <v>d</v>
      </c>
      <c r="AJ665" t="str">
        <f t="shared" si="1138"/>
        <v>d</v>
      </c>
      <c r="AK665" t="str">
        <f t="shared" si="1054"/>
        <v>d</v>
      </c>
      <c r="AL665" t="str">
        <f t="shared" si="1055"/>
        <v>o</v>
      </c>
      <c r="AM665" t="str">
        <f t="shared" si="1114"/>
        <v>Home</v>
      </c>
      <c r="AN665" t="str">
        <f t="shared" si="1056"/>
        <v>h</v>
      </c>
      <c r="AO665" t="str">
        <f t="shared" si="1057"/>
        <v>d</v>
      </c>
      <c r="AP665" t="str">
        <f t="shared" si="1058"/>
        <v>o</v>
      </c>
      <c r="AQ665" t="str">
        <f>IF(AM665&lt;&gt;"",AM665,IF($AC665=#REF!,#REF!,""))</f>
        <v>Home</v>
      </c>
      <c r="AR665" t="str">
        <f t="shared" si="1059"/>
        <v>h</v>
      </c>
      <c r="AS665" t="str">
        <f t="shared" si="1060"/>
        <v>Offensive</v>
      </c>
      <c r="AT665" t="str">
        <f t="shared" si="1115"/>
        <v/>
      </c>
      <c r="AU665" t="str">
        <f t="shared" si="1116"/>
        <v/>
      </c>
      <c r="AV665" t="str" cm="1">
        <f t="array" ref="AV665">IFERROR(IF(O665&lt;&gt;"",O665,IF(OR($S665="",$T665=""),"",IF(O665&lt;&gt;"",O665,IF($T665&lt;&gt;"",_xlfn._xlws.FILTER(O:O,($BT:$BT=$BT665)*($I:$I=$I665)*($T:$T=$T665)*($S:$S=_xlfn.MINIFS($S:$S,$T:$T,"="&amp;$T665)),"")))))&amp;"",IF(O665="","",""))&amp;""</f>
        <v/>
      </c>
      <c r="AW665" t="str" cm="1">
        <f t="array" ref="AW665">IFERROR(IF(P665&lt;&gt;"",P665,IF(OR($S665="",$T665=""),"",IF($T665&lt;&gt;"",_xlfn._xlws.FILTER(P:P,($BT:$BT=$BT665)*($I:$I=$I665)*($T:$T=$T665)*($S:$S=_xlfn.MINIFS($S:$S,$T:$T,"="&amp;$T665)),""))))&amp;"",IF(P665="","",""))&amp;""</f>
        <v/>
      </c>
      <c r="AX665" t="str" cm="1">
        <f t="array" ref="AX665">IFERROR(IF(Q665&lt;&gt;"",Q665,IF(OR($S665="",$T665=""),"",IF($T665&lt;&gt;"",_xlfn._xlws.FILTER(Q:Q,($BT:$BT=$BT665)*($I:$I=$I665)*($T:$T=$T665)*($S:$S=_xlfn.MINIFS($S:$S,$T:$T,"="&amp;$T665)),""))))&amp;"",IF(Q665="","",""))&amp;""</f>
        <v/>
      </c>
      <c r="AY665" t="str" cm="1">
        <f t="array" ref="AY665">IFERROR(IF(R665&lt;&gt;"",R665,IF(OR($S665="",$T665=""),"",IF($T665&lt;&gt;"",_xlfn._xlws.FILTER(R:R,($BT:$BT=$BT665)*($I:$I=$I665)*($T:$T=$T665)*($S:$S=_xlfn.MINIFS($S:$S,$T:$T,"="&amp;$T665)),""))))&amp;"",IF(R665="","",""))&amp;""</f>
        <v/>
      </c>
      <c r="AZ665" s="6">
        <f t="shared" si="1117"/>
        <v>53</v>
      </c>
      <c r="BA665">
        <f t="shared" ref="BA665:BC665" si="1155">BA664</f>
        <v>18991</v>
      </c>
      <c r="BB665" t="str">
        <f t="shared" si="1155"/>
        <v>Triple J</v>
      </c>
      <c r="BC665" t="str">
        <f t="shared" si="1155"/>
        <v>Velodrome</v>
      </c>
      <c r="BD665" t="str">
        <f t="shared" si="1119"/>
        <v>Pass</v>
      </c>
      <c r="BE665" t="str">
        <f t="shared" si="1120"/>
        <v>Pass_Missed</v>
      </c>
      <c r="BF665" t="str">
        <f t="shared" si="1121"/>
        <v>Pass-ReceiverMissed</v>
      </c>
      <c r="BG665" t="str">
        <f t="shared" si="1104"/>
        <v>u</v>
      </c>
      <c r="BH665" cm="1">
        <f t="array" aca="1" ref="BH665" ca="1">IFERROR(_xlfn._xlws.FILTER(shifts!A:A,(shifts!B:B=events!Z665)*(shifts!AG:AG&gt;=events!BJ665)*(shifts!AH:AH&lt;=events!BK665)),BH664)</f>
        <v>22</v>
      </c>
      <c r="BI665" s="15">
        <f t="shared" si="1122"/>
        <v>0</v>
      </c>
      <c r="BJ665">
        <f t="shared" si="1123"/>
        <v>512</v>
      </c>
      <c r="BK665">
        <f t="shared" si="1124"/>
        <v>512</v>
      </c>
      <c r="BL665" s="15">
        <f>SUMIFS(BI$2:BI665,K$2:K665,"=Intermission")+SUMIFS(BI$2:BI665,K$2:K665,"=Timeout")</f>
        <v>0</v>
      </c>
      <c r="BM665">
        <f t="shared" si="1125"/>
        <v>0</v>
      </c>
      <c r="BN665" s="19">
        <f t="shared" si="1126"/>
        <v>568</v>
      </c>
      <c r="BO665">
        <f t="shared" si="1127"/>
        <v>563</v>
      </c>
      <c r="BP665" s="17">
        <f t="shared" si="1128"/>
        <v>568</v>
      </c>
      <c r="BQ665" t="str">
        <f t="shared" si="1129"/>
        <v>event_team_player_1</v>
      </c>
      <c r="BR665">
        <f>COUNTIFS(S$3:S665,"="&amp;S665,AH$3:AH665,"="&amp;AH665)</f>
        <v>1</v>
      </c>
      <c r="BS665" t="str">
        <f>IFERROR(VLOOKUP(BA665&amp;BT665&amp;X665,game_rosters!U:W,3,FALSE),"")</f>
        <v>P100014</v>
      </c>
      <c r="BT665" t="str">
        <f t="shared" si="1130"/>
        <v>Triple J</v>
      </c>
    </row>
    <row r="666" spans="1:72" x14ac:dyDescent="0.2">
      <c r="A666" t="str">
        <f t="shared" si="1131"/>
        <v>x</v>
      </c>
      <c r="D666" s="26" t="s">
        <v>729</v>
      </c>
      <c r="E666" s="4"/>
      <c r="F666" s="45"/>
      <c r="G666" s="4"/>
      <c r="H666" s="47"/>
      <c r="I666" s="26">
        <v>71</v>
      </c>
      <c r="J666" s="26" t="str">
        <f t="shared" si="1132"/>
        <v/>
      </c>
      <c r="N666" t="str">
        <f t="shared" si="1150"/>
        <v/>
      </c>
      <c r="Q666" t="str">
        <f t="shared" si="1144"/>
        <v/>
      </c>
      <c r="S666">
        <f>IF(A666=1,MAX($S$2:$S665)+1,IF(OR($I666&lt;&gt;"",A666="x"),$S665,""))</f>
        <v>329</v>
      </c>
      <c r="T666">
        <f>IF(D666=1,MAX($T$2:$T665)+1,IF(S666=S665,$T665,IF(D666="x",T665,IF(D665="x","",""))))</f>
        <v>44</v>
      </c>
      <c r="U666" t="str">
        <f>IF(B666=1,MAX($U$2:$U665)+1,IF(AND($T666&lt;&gt;"",$T666=$T665),$U665,IF(B666="x",U665,"")))</f>
        <v/>
      </c>
      <c r="V666" t="str">
        <f>IF(C666=1,MAX($V$2:$V665)+1,IF(AND($T666&lt;&gt;"",$T666=$T665),$U665,IF(C666="x",V665,"")))</f>
        <v/>
      </c>
      <c r="W666" t="str" cm="1">
        <f t="array" ref="W666">IFERROR(_xlfn._xlws.FILTER(game_rosters!AC:AC,(game_rosters!J:J=events!X666)*(K666&lt;&gt;"")),"")</f>
        <v/>
      </c>
      <c r="X666" cm="1">
        <f t="array" ref="X666">IF($I666&lt;&gt;"",$I666,INDEX($I$1:$I666,ROW()-COUNTIFS($T$1:$T666,"="&amp;$T666,$S$1:$S666,"&lt;"&amp;$S666)))</f>
        <v>71</v>
      </c>
      <c r="Y666" cm="1">
        <f t="array" ref="Y666">IFERROR(IF(_xlfn._xlws.FILTER(game_rosters!$J:$J,(game_rosters!$G:$G=events!$AM666)*(game_rosters!$J:$J=events!$X666))&gt;0,1,""),"")</f>
        <v>1</v>
      </c>
      <c r="Z666" s="6">
        <f t="shared" si="1106"/>
        <v>1</v>
      </c>
      <c r="AA666">
        <f t="shared" si="1107"/>
        <v>1329</v>
      </c>
      <c r="AB666">
        <f t="shared" si="1108"/>
        <v>9044</v>
      </c>
      <c r="AC666">
        <f t="shared" si="1109"/>
        <v>9044</v>
      </c>
      <c r="AD666" t="str">
        <f t="shared" si="1110"/>
        <v>8</v>
      </c>
      <c r="AE666" t="str">
        <f t="shared" si="1111"/>
        <v>32</v>
      </c>
      <c r="AF666" t="str">
        <f t="shared" si="1112"/>
        <v/>
      </c>
      <c r="AG666" t="str">
        <f t="shared" si="1113"/>
        <v/>
      </c>
      <c r="AH666" t="str">
        <f t="shared" si="1052"/>
        <v>e</v>
      </c>
      <c r="AI666" t="str">
        <f t="shared" si="1138"/>
        <v>d</v>
      </c>
      <c r="AJ666" t="str">
        <f t="shared" si="1138"/>
        <v>d</v>
      </c>
      <c r="AK666" t="str">
        <f t="shared" si="1054"/>
        <v/>
      </c>
      <c r="AL666" t="str">
        <f t="shared" si="1055"/>
        <v/>
      </c>
      <c r="AM666" t="str">
        <f t="shared" si="1114"/>
        <v>Home</v>
      </c>
      <c r="AN666" t="str">
        <f t="shared" si="1056"/>
        <v>h</v>
      </c>
      <c r="AO666" t="str">
        <f t="shared" si="1057"/>
        <v>d</v>
      </c>
      <c r="AP666" t="str">
        <f t="shared" si="1058"/>
        <v>o</v>
      </c>
      <c r="AQ666" t="str">
        <f>IF(AM666&lt;&gt;"",AM666,IF($AC666=#REF!,#REF!,""))</f>
        <v>Home</v>
      </c>
      <c r="AR666" t="str">
        <f t="shared" si="1059"/>
        <v>h</v>
      </c>
      <c r="AS666" t="str">
        <f t="shared" si="1060"/>
        <v>Offensive</v>
      </c>
      <c r="AT666" t="str">
        <f t="shared" si="1115"/>
        <v/>
      </c>
      <c r="AU666" t="str">
        <f t="shared" si="1116"/>
        <v/>
      </c>
      <c r="AV666" t="str" cm="1">
        <f t="array" ref="AV666">IFERROR(IF(O666&lt;&gt;"",O666,IF(OR($S666="",$T666=""),"",IF(O666&lt;&gt;"",O666,IF($T666&lt;&gt;"",_xlfn._xlws.FILTER(O:O,($BT:$BT=$BT666)*($I:$I=$I666)*($T:$T=$T666)*($S:$S=_xlfn.MINIFS($S:$S,$T:$T,"="&amp;$T666)),"")))))&amp;"",IF(O666="","",""))&amp;""</f>
        <v/>
      </c>
      <c r="AW666" t="str" cm="1">
        <f t="array" ref="AW666">IFERROR(IF(P666&lt;&gt;"",P666,IF(OR($S666="",$T666=""),"",IF($T666&lt;&gt;"",_xlfn._xlws.FILTER(P:P,($BT:$BT=$BT666)*($I:$I=$I666)*($T:$T=$T666)*($S:$S=_xlfn.MINIFS($S:$S,$T:$T,"="&amp;$T666)),""))))&amp;"",IF(P666="","",""))&amp;""</f>
        <v/>
      </c>
      <c r="AX666" t="str" cm="1">
        <f t="array" ref="AX666">IFERROR(IF(Q666&lt;&gt;"",Q666,IF(OR($S666="",$T666=""),"",IF($T666&lt;&gt;"",_xlfn._xlws.FILTER(Q:Q,($BT:$BT=$BT666)*($I:$I=$I666)*($T:$T=$T666)*($S:$S=_xlfn.MINIFS($S:$S,$T:$T,"="&amp;$T666)),""))))&amp;"",IF(Q666="","",""))&amp;""</f>
        <v/>
      </c>
      <c r="AY666" t="str" cm="1">
        <f t="array" ref="AY666">IFERROR(IF(R666&lt;&gt;"",R666,IF(OR($S666="",$T666=""),"",IF($T666&lt;&gt;"",_xlfn._xlws.FILTER(R:R,($BT:$BT=$BT666)*($I:$I=$I666)*($T:$T=$T666)*($S:$S=_xlfn.MINIFS($S:$S,$T:$T,"="&amp;$T666)),""))))&amp;"",IF(R666="","",""))&amp;""</f>
        <v/>
      </c>
      <c r="AZ666" s="6">
        <f t="shared" si="1117"/>
        <v>53</v>
      </c>
      <c r="BA666">
        <f t="shared" ref="BA666:BC666" si="1156">BA665</f>
        <v>18991</v>
      </c>
      <c r="BB666" t="str">
        <f t="shared" si="1156"/>
        <v>Triple J</v>
      </c>
      <c r="BC666" t="str">
        <f t="shared" si="1156"/>
        <v>Velodrome</v>
      </c>
      <c r="BD666" t="str">
        <f t="shared" si="1119"/>
        <v>Pass</v>
      </c>
      <c r="BE666" t="str">
        <f t="shared" si="1120"/>
        <v>Pass_Missed</v>
      </c>
      <c r="BF666" t="str">
        <f t="shared" si="1121"/>
        <v>Pass-ReceiverMissed</v>
      </c>
      <c r="BG666" t="str">
        <f t="shared" si="1104"/>
        <v>u</v>
      </c>
      <c r="BH666" cm="1">
        <f t="array" aca="1" ref="BH666" ca="1">IFERROR(_xlfn._xlws.FILTER(shifts!A:A,(shifts!B:B=events!Z666)*(shifts!AG:AG&gt;=events!BJ666)*(shifts!AH:AH&lt;=events!BK666)),BH665)</f>
        <v>22</v>
      </c>
      <c r="BI666" s="15">
        <f t="shared" si="1122"/>
        <v>0</v>
      </c>
      <c r="BJ666">
        <f t="shared" si="1123"/>
        <v>512</v>
      </c>
      <c r="BK666">
        <f t="shared" si="1124"/>
        <v>512</v>
      </c>
      <c r="BL666" s="15">
        <f>SUMIFS(BI$2:BI666,K$2:K666,"=Intermission")+SUMIFS(BI$2:BI666,K$2:K666,"=Timeout")</f>
        <v>0</v>
      </c>
      <c r="BM666">
        <f t="shared" si="1125"/>
        <v>0</v>
      </c>
      <c r="BN666" s="19">
        <f t="shared" si="1126"/>
        <v>568</v>
      </c>
      <c r="BO666">
        <f t="shared" si="1127"/>
        <v>563</v>
      </c>
      <c r="BP666" s="17">
        <f t="shared" si="1128"/>
        <v>568</v>
      </c>
      <c r="BQ666" t="str">
        <f t="shared" si="1129"/>
        <v>event_team_player_2</v>
      </c>
      <c r="BR666">
        <f>COUNTIFS(S$3:S666,"="&amp;S666,AH$3:AH666,"="&amp;AH666)</f>
        <v>2</v>
      </c>
      <c r="BS666" t="str">
        <f>IFERROR(VLOOKUP(BA666&amp;BT666&amp;X666,game_rosters!U:W,3,FALSE),"")</f>
        <v>P100008</v>
      </c>
      <c r="BT666" t="str">
        <f t="shared" si="1130"/>
        <v>Triple J</v>
      </c>
    </row>
    <row r="667" spans="1:72" x14ac:dyDescent="0.2">
      <c r="A667">
        <f t="shared" si="1131"/>
        <v>1</v>
      </c>
      <c r="D667" s="26" t="s">
        <v>729</v>
      </c>
      <c r="E667" s="4"/>
      <c r="F667" s="45"/>
      <c r="G667" s="4"/>
      <c r="H667" s="47"/>
      <c r="J667" s="26" t="str">
        <f t="shared" si="1132"/>
        <v>d</v>
      </c>
      <c r="K667" t="s">
        <v>238</v>
      </c>
      <c r="L667" t="s">
        <v>184</v>
      </c>
      <c r="M667" t="s">
        <v>376</v>
      </c>
      <c r="N667" t="str">
        <f t="shared" si="1150"/>
        <v>u</v>
      </c>
      <c r="Q667" t="str">
        <f t="shared" si="1144"/>
        <v/>
      </c>
      <c r="S667">
        <f>IF(A667=1,MAX($S$2:$S666)+1,IF(OR($I667&lt;&gt;"",A667="x"),$S666,""))</f>
        <v>330</v>
      </c>
      <c r="T667">
        <f>IF(D667=1,MAX($T$2:$T666)+1,IF(S667=S666,$T666,IF(D667="x",T666,IF(D666="x","",""))))</f>
        <v>44</v>
      </c>
      <c r="U667" t="str">
        <f>IF(B667=1,MAX($U$2:$U666)+1,IF(AND($T667&lt;&gt;"",$T667=$T666),$U666,IF(B667="x",U666,"")))</f>
        <v/>
      </c>
      <c r="V667" t="str">
        <f>IF(C667=1,MAX($V$2:$V666)+1,IF(AND($T667&lt;&gt;"",$T667=$T666),$U666,IF(C667="x",V666,"")))</f>
        <v/>
      </c>
      <c r="W667" t="str" cm="1">
        <f t="array" ref="W667">IFERROR(_xlfn._xlws.FILTER(game_rosters!AC:AC,(game_rosters!J:J=events!X667)*(K667&lt;&gt;"")),"")</f>
        <v>h</v>
      </c>
      <c r="X667" cm="1">
        <f t="array" ref="X667">IF($I667&lt;&gt;"",$I667,INDEX($I$1:$I667,ROW()-COUNTIFS($T$1:$T667,"="&amp;$T667,$S$1:$S667,"&lt;"&amp;$S667)))</f>
        <v>69</v>
      </c>
      <c r="Y667" cm="1">
        <f t="array" ref="Y667">IFERROR(IF(_xlfn._xlws.FILTER(game_rosters!$J:$J,(game_rosters!$G:$G=events!$AM667)*(game_rosters!$J:$J=events!$X667))&gt;0,1,""),"")</f>
        <v>1</v>
      </c>
      <c r="Z667" s="6">
        <f t="shared" si="1106"/>
        <v>1</v>
      </c>
      <c r="AA667">
        <f t="shared" si="1107"/>
        <v>1330</v>
      </c>
      <c r="AB667">
        <f t="shared" si="1108"/>
        <v>9044</v>
      </c>
      <c r="AC667">
        <f t="shared" si="1109"/>
        <v>9044</v>
      </c>
      <c r="AD667" t="str">
        <f t="shared" si="1110"/>
        <v>8</v>
      </c>
      <c r="AE667" t="str">
        <f t="shared" si="1111"/>
        <v>32</v>
      </c>
      <c r="AF667" t="str">
        <f t="shared" si="1112"/>
        <v/>
      </c>
      <c r="AG667" t="str">
        <f t="shared" si="1113"/>
        <v/>
      </c>
      <c r="AH667" t="str">
        <f t="shared" ref="AH667:AH730" si="1157">IF(Y667="x","",IF(Y667=1,"e","o"))</f>
        <v>e</v>
      </c>
      <c r="AI667" t="str">
        <f t="shared" ref="AI667:AJ682" si="1158">IF($J667&lt;&gt;"",$J667,IF($AC667=$AC666,AI666,""))</f>
        <v>d</v>
      </c>
      <c r="AJ667" t="str">
        <f t="shared" si="1158"/>
        <v>d</v>
      </c>
      <c r="AK667" t="str">
        <f t="shared" ref="AK667:AK730" si="1159">IF($W667="","",IF($AI667="","",IF($W667="h",$AI667,IF($AI667="n","n",IF(AND($W667="a",$AI667="d"),"o",IF(AND($W667="a",$AI667="o"),"d"))))))</f>
        <v>d</v>
      </c>
      <c r="AL667" t="str">
        <f t="shared" ref="AL667:AL730" si="1160">IF($W667="","",IF(J667="","",IF(AK667="n","n",IF(AK667="d","o",IF(AK667="o","d","")))))</f>
        <v>o</v>
      </c>
      <c r="AM667" t="str">
        <f t="shared" si="1114"/>
        <v>Home</v>
      </c>
      <c r="AN667" t="str">
        <f t="shared" ref="AN667:AN730" si="1161">IF($W667&lt;&gt;"",$W667,IF($AC667=AC666,AN666,""))</f>
        <v>h</v>
      </c>
      <c r="AO667" t="str">
        <f t="shared" ref="AO667:AO730" si="1162">IF(AK667&lt;&gt;"",AK667,IF($AC667=AC666,AO666,""))</f>
        <v>d</v>
      </c>
      <c r="AP667" t="str">
        <f t="shared" ref="AP667:AP730" si="1163">IF(AL667&lt;&gt;"",AL667,IF($AC667=AC666,AP666,""))</f>
        <v>o</v>
      </c>
      <c r="AQ667" t="str">
        <f>IF(AM667&lt;&gt;"",AM667,IF($AC667=#REF!,#REF!,""))</f>
        <v>Home</v>
      </c>
      <c r="AR667" t="str">
        <f t="shared" ref="AR667:AR730" si="1164">IF(AN667&lt;&gt;"",AN667,IF($AC667=AC666,AQ666,""))</f>
        <v>h</v>
      </c>
      <c r="AS667" t="str">
        <f t="shared" ref="AS667:AS730" si="1165">IF(AND(AH667="e",OR(BD667="Save",BE667="Turnover_Takeaway",BE667="Play_Defensive")),"Defensive",IF(AND(AH667="o",OR(BD667="Save",BE667="Turnover_Takeaway",BE667="Play_Defensive")),"Offensive",IF(OR(BD667="Deadice",BD667="Stoppage",BD667="Intermission"),"",IF(AH667="e","Offensive",IF(AH667="o","Defensive","")))))</f>
        <v>Offensive</v>
      </c>
      <c r="AT667" t="str">
        <f t="shared" si="1115"/>
        <v/>
      </c>
      <c r="AU667" t="str">
        <f t="shared" si="1116"/>
        <v/>
      </c>
      <c r="AV667" t="str" cm="1">
        <f t="array" ref="AV667">IFERROR(IF(O667&lt;&gt;"",O667,IF(OR($S667="",$T667=""),"",IF(O667&lt;&gt;"",O667,IF($T667&lt;&gt;"",_xlfn._xlws.FILTER(O:O,($BT:$BT=$BT667)*($I:$I=$I667)*($T:$T=$T667)*($S:$S=_xlfn.MINIFS($S:$S,$T:$T,"="&amp;$T667)),"")))))&amp;"",IF(O667="","",""))&amp;""</f>
        <v/>
      </c>
      <c r="AW667" t="str" cm="1">
        <f t="array" ref="AW667">IFERROR(IF(P667&lt;&gt;"",P667,IF(OR($S667="",$T667=""),"",IF($T667&lt;&gt;"",_xlfn._xlws.FILTER(P:P,($BT:$BT=$BT667)*($I:$I=$I667)*($T:$T=$T667)*($S:$S=_xlfn.MINIFS($S:$S,$T:$T,"="&amp;$T667)),""))))&amp;"",IF(P667="","",""))&amp;""</f>
        <v/>
      </c>
      <c r="AX667" t="str" cm="1">
        <f t="array" ref="AX667">IFERROR(IF(Q667&lt;&gt;"",Q667,IF(OR($S667="",$T667=""),"",IF($T667&lt;&gt;"",_xlfn._xlws.FILTER(Q:Q,($BT:$BT=$BT667)*($I:$I=$I667)*($T:$T=$T667)*($S:$S=_xlfn.MINIFS($S:$S,$T:$T,"="&amp;$T667)),""))))&amp;"",IF(Q667="","",""))&amp;""</f>
        <v/>
      </c>
      <c r="AY667" t="str" cm="1">
        <f t="array" ref="AY667">IFERROR(IF(R667&lt;&gt;"",R667,IF(OR($S667="",$T667=""),"",IF($T667&lt;&gt;"",_xlfn._xlws.FILTER(R:R,($BT:$BT=$BT667)*($I:$I=$I667)*($T:$T=$T667)*($S:$S=_xlfn.MINIFS($S:$S,$T:$T,"="&amp;$T667)),""))))&amp;"",IF(R667="","",""))&amp;""</f>
        <v/>
      </c>
      <c r="AZ667" s="6">
        <f t="shared" si="1117"/>
        <v>54</v>
      </c>
      <c r="BA667">
        <f t="shared" ref="BA667:BC667" si="1166">BA666</f>
        <v>18991</v>
      </c>
      <c r="BB667" t="str">
        <f t="shared" si="1166"/>
        <v>Triple J</v>
      </c>
      <c r="BC667" t="str">
        <f t="shared" si="1166"/>
        <v>Velodrome</v>
      </c>
      <c r="BD667" t="str">
        <f t="shared" si="1119"/>
        <v>Zone_Entry_Exit</v>
      </c>
      <c r="BE667" t="str">
        <f t="shared" si="1120"/>
        <v>Zone_Exit</v>
      </c>
      <c r="BF667" t="str">
        <f t="shared" si="1121"/>
        <v>ZoneExit-PassMiss/Misplay</v>
      </c>
      <c r="BG667" t="str">
        <f t="shared" si="1104"/>
        <v>u</v>
      </c>
      <c r="BH667" cm="1">
        <f t="array" aca="1" ref="BH667" ca="1">IFERROR(_xlfn._xlws.FILTER(shifts!A:A,(shifts!B:B=events!Z667)*(shifts!AG:AG&gt;=events!BJ667)*(shifts!AH:AH&lt;=events!BK667)),BH666)</f>
        <v>22</v>
      </c>
      <c r="BI667" s="15">
        <f t="shared" si="1122"/>
        <v>0</v>
      </c>
      <c r="BJ667">
        <f t="shared" si="1123"/>
        <v>512</v>
      </c>
      <c r="BK667">
        <f t="shared" si="1124"/>
        <v>512</v>
      </c>
      <c r="BL667" s="15">
        <f>SUMIFS(BI$2:BI667,K$2:K667,"=Intermission")+SUMIFS(BI$2:BI667,K$2:K667,"=Timeout")</f>
        <v>0</v>
      </c>
      <c r="BM667">
        <f t="shared" si="1125"/>
        <v>0</v>
      </c>
      <c r="BN667" s="19">
        <f t="shared" si="1126"/>
        <v>568</v>
      </c>
      <c r="BO667">
        <f t="shared" si="1127"/>
        <v>563</v>
      </c>
      <c r="BP667" s="17">
        <f t="shared" si="1128"/>
        <v>568</v>
      </c>
      <c r="BQ667" t="str">
        <f t="shared" si="1129"/>
        <v>event_team_player_1</v>
      </c>
      <c r="BR667">
        <f>COUNTIFS(S$3:S667,"="&amp;S667,AH$3:AH667,"="&amp;AH667)</f>
        <v>1</v>
      </c>
      <c r="BS667" t="str">
        <f>IFERROR(VLOOKUP(BA667&amp;BT667&amp;X667,game_rosters!U:W,3,FALSE),"")</f>
        <v>P100014</v>
      </c>
      <c r="BT667" t="str">
        <f t="shared" si="1130"/>
        <v>Triple J</v>
      </c>
    </row>
    <row r="668" spans="1:72" x14ac:dyDescent="0.2">
      <c r="A668" t="str">
        <f t="shared" si="1131"/>
        <v>x</v>
      </c>
      <c r="D668" s="26" t="s">
        <v>729</v>
      </c>
      <c r="E668" s="4"/>
      <c r="F668" s="45"/>
      <c r="G668" s="4"/>
      <c r="H668" s="47"/>
      <c r="J668" s="26" t="str">
        <f t="shared" si="1132"/>
        <v/>
      </c>
      <c r="N668" t="str">
        <f t="shared" si="1150"/>
        <v/>
      </c>
      <c r="Q668" t="str">
        <f t="shared" si="1144"/>
        <v/>
      </c>
      <c r="S668">
        <f>IF(A668=1,MAX($S$2:$S667)+1,IF(OR($I668&lt;&gt;"",A668="x"),$S667,""))</f>
        <v>330</v>
      </c>
      <c r="T668">
        <f>IF(D668=1,MAX($T$2:$T667)+1,IF(S668=S667,$T667,IF(D668="x",T667,IF(D667="x","",""))))</f>
        <v>44</v>
      </c>
      <c r="U668" t="str">
        <f>IF(B668=1,MAX($U$2:$U667)+1,IF(AND($T668&lt;&gt;"",$T668=$T667),$U667,IF(B668="x",U667,"")))</f>
        <v/>
      </c>
      <c r="V668" t="str">
        <f>IF(C668=1,MAX($V$2:$V667)+1,IF(AND($T668&lt;&gt;"",$T668=$T667),$U667,IF(C668="x",V667,"")))</f>
        <v/>
      </c>
      <c r="W668" t="str" cm="1">
        <f t="array" ref="W668">IFERROR(_xlfn._xlws.FILTER(game_rosters!AC:AC,(game_rosters!J:J=events!X668)*(K668&lt;&gt;"")),"")</f>
        <v/>
      </c>
      <c r="X668" cm="1">
        <f t="array" ref="X668">IF($I668&lt;&gt;"",$I668,INDEX($I$1:$I668,ROW()-COUNTIFS($T$1:$T668,"="&amp;$T668,$S$1:$S668,"&lt;"&amp;$S668)))</f>
        <v>71</v>
      </c>
      <c r="Y668" cm="1">
        <f t="array" ref="Y668">IFERROR(IF(_xlfn._xlws.FILTER(game_rosters!$J:$J,(game_rosters!$G:$G=events!$AM668)*(game_rosters!$J:$J=events!$X668))&gt;0,1,""),"")</f>
        <v>1</v>
      </c>
      <c r="Z668" s="6">
        <f t="shared" si="1106"/>
        <v>1</v>
      </c>
      <c r="AA668">
        <f t="shared" si="1107"/>
        <v>1330</v>
      </c>
      <c r="AB668">
        <f t="shared" si="1108"/>
        <v>9044</v>
      </c>
      <c r="AC668">
        <f t="shared" si="1109"/>
        <v>9044</v>
      </c>
      <c r="AD668" t="str">
        <f t="shared" si="1110"/>
        <v>8</v>
      </c>
      <c r="AE668" t="str">
        <f t="shared" si="1111"/>
        <v>32</v>
      </c>
      <c r="AF668" t="str">
        <f t="shared" si="1112"/>
        <v/>
      </c>
      <c r="AG668" t="str">
        <f t="shared" si="1113"/>
        <v/>
      </c>
      <c r="AH668" t="str">
        <f t="shared" si="1157"/>
        <v>e</v>
      </c>
      <c r="AI668" t="str">
        <f t="shared" si="1158"/>
        <v>d</v>
      </c>
      <c r="AJ668" t="str">
        <f t="shared" si="1158"/>
        <v>d</v>
      </c>
      <c r="AK668" t="str">
        <f t="shared" si="1159"/>
        <v/>
      </c>
      <c r="AL668" t="str">
        <f t="shared" si="1160"/>
        <v/>
      </c>
      <c r="AM668" t="str">
        <f t="shared" si="1114"/>
        <v>Home</v>
      </c>
      <c r="AN668" t="str">
        <f t="shared" si="1161"/>
        <v>h</v>
      </c>
      <c r="AO668" t="str">
        <f t="shared" si="1162"/>
        <v>d</v>
      </c>
      <c r="AP668" t="str">
        <f t="shared" si="1163"/>
        <v>o</v>
      </c>
      <c r="AQ668" t="str">
        <f>IF(AM668&lt;&gt;"",AM668,IF($AC668=#REF!,#REF!,""))</f>
        <v>Home</v>
      </c>
      <c r="AR668" t="str">
        <f t="shared" si="1164"/>
        <v>h</v>
      </c>
      <c r="AS668" t="str">
        <f t="shared" si="1165"/>
        <v>Offensive</v>
      </c>
      <c r="AT668" t="str">
        <f t="shared" si="1115"/>
        <v/>
      </c>
      <c r="AU668" t="str">
        <f t="shared" si="1116"/>
        <v/>
      </c>
      <c r="AV668" t="str" cm="1">
        <f t="array" ref="AV668">IFERROR(IF(O668&lt;&gt;"",O668,IF(OR($S668="",$T668=""),"",IF(O668&lt;&gt;"",O668,IF($T668&lt;&gt;"",_xlfn._xlws.FILTER(O:O,($BT:$BT=$BT668)*($I:$I=$I668)*($T:$T=$T668)*($S:$S=_xlfn.MINIFS($S:$S,$T:$T,"="&amp;$T668)),"")))))&amp;"",IF(O668="","",""))&amp;""</f>
        <v/>
      </c>
      <c r="AW668" t="str" cm="1">
        <f t="array" ref="AW668">IFERROR(IF(P668&lt;&gt;"",P668,IF(OR($S668="",$T668=""),"",IF($T668&lt;&gt;"",_xlfn._xlws.FILTER(P:P,($BT:$BT=$BT668)*($I:$I=$I668)*($T:$T=$T668)*($S:$S=_xlfn.MINIFS($S:$S,$T:$T,"="&amp;$T668)),""))))&amp;"",IF(P668="","",""))&amp;""</f>
        <v/>
      </c>
      <c r="AX668" t="str" cm="1">
        <f t="array" ref="AX668">IFERROR(IF(Q668&lt;&gt;"",Q668,IF(OR($S668="",$T668=""),"",IF($T668&lt;&gt;"",_xlfn._xlws.FILTER(Q:Q,($BT:$BT=$BT668)*($I:$I=$I668)*($T:$T=$T668)*($S:$S=_xlfn.MINIFS($S:$S,$T:$T,"="&amp;$T668)),""))))&amp;"",IF(Q668="","",""))&amp;""</f>
        <v/>
      </c>
      <c r="AY668" t="str" cm="1">
        <f t="array" ref="AY668">IFERROR(IF(R668&lt;&gt;"",R668,IF(OR($S668="",$T668=""),"",IF($T668&lt;&gt;"",_xlfn._xlws.FILTER(R:R,($BT:$BT=$BT668)*($I:$I=$I668)*($T:$T=$T668)*($S:$S=_xlfn.MINIFS($S:$S,$T:$T,"="&amp;$T668)),""))))&amp;"",IF(R668="","",""))&amp;""</f>
        <v/>
      </c>
      <c r="AZ668" s="6">
        <f t="shared" si="1117"/>
        <v>54</v>
      </c>
      <c r="BA668">
        <f t="shared" ref="BA668:BC668" si="1167">BA667</f>
        <v>18991</v>
      </c>
      <c r="BB668" t="str">
        <f t="shared" si="1167"/>
        <v>Triple J</v>
      </c>
      <c r="BC668" t="str">
        <f t="shared" si="1167"/>
        <v>Velodrome</v>
      </c>
      <c r="BD668" t="str">
        <f t="shared" si="1119"/>
        <v>Zone_Entry_Exit</v>
      </c>
      <c r="BE668" t="str">
        <f t="shared" si="1120"/>
        <v>Zone_Exit</v>
      </c>
      <c r="BF668" t="str">
        <f t="shared" si="1121"/>
        <v>ZoneExit-PassMiss/Misplay</v>
      </c>
      <c r="BG668" t="str">
        <f t="shared" si="1104"/>
        <v>u</v>
      </c>
      <c r="BH668" cm="1">
        <f t="array" aca="1" ref="BH668" ca="1">IFERROR(_xlfn._xlws.FILTER(shifts!A:A,(shifts!B:B=events!Z668)*(shifts!AG:AG&gt;=events!BJ668)*(shifts!AH:AH&lt;=events!BK668)),BH667)</f>
        <v>22</v>
      </c>
      <c r="BI668" s="15">
        <f t="shared" si="1122"/>
        <v>0</v>
      </c>
      <c r="BJ668">
        <f t="shared" si="1123"/>
        <v>512</v>
      </c>
      <c r="BK668">
        <f t="shared" si="1124"/>
        <v>512</v>
      </c>
      <c r="BL668" s="15">
        <f>SUMIFS(BI$2:BI668,K$2:K668,"=Intermission")+SUMIFS(BI$2:BI668,K$2:K668,"=Timeout")</f>
        <v>0</v>
      </c>
      <c r="BM668">
        <f t="shared" si="1125"/>
        <v>0</v>
      </c>
      <c r="BN668" s="19">
        <f t="shared" si="1126"/>
        <v>568</v>
      </c>
      <c r="BO668">
        <f t="shared" si="1127"/>
        <v>563</v>
      </c>
      <c r="BP668" s="17">
        <f t="shared" si="1128"/>
        <v>568</v>
      </c>
      <c r="BQ668" t="str">
        <f t="shared" si="1129"/>
        <v>event_team_player_2</v>
      </c>
      <c r="BR668">
        <f>COUNTIFS(S$3:S668,"="&amp;S668,AH$3:AH668,"="&amp;AH668)</f>
        <v>2</v>
      </c>
      <c r="BS668" t="str">
        <f>IFERROR(VLOOKUP(BA668&amp;BT668&amp;X668,game_rosters!U:W,3,FALSE),"")</f>
        <v>P100008</v>
      </c>
      <c r="BT668" t="str">
        <f t="shared" si="1130"/>
        <v>Triple J</v>
      </c>
    </row>
    <row r="669" spans="1:72" x14ac:dyDescent="0.2">
      <c r="A669">
        <f t="shared" si="1131"/>
        <v>1</v>
      </c>
      <c r="E669" s="4"/>
      <c r="F669" s="45" t="s">
        <v>1039</v>
      </c>
      <c r="G669" s="4"/>
      <c r="H669" s="47"/>
      <c r="I669" s="26">
        <v>21</v>
      </c>
      <c r="J669" s="26" t="s">
        <v>734</v>
      </c>
      <c r="K669" t="s">
        <v>13</v>
      </c>
      <c r="L669" t="s">
        <v>587</v>
      </c>
      <c r="N669" t="s">
        <v>594</v>
      </c>
      <c r="O669" t="s">
        <v>907</v>
      </c>
      <c r="Q669" t="str">
        <f t="shared" si="1144"/>
        <v>u</v>
      </c>
      <c r="S669">
        <f>IF(A669=1,MAX($S$2:$S668)+1,IF(OR($I669&lt;&gt;"",A669="x"),$S668,""))</f>
        <v>331</v>
      </c>
      <c r="T669" t="str">
        <f>IF(D669=1,MAX($T$2:$T668)+1,IF(S669=S668,$T668,IF(D669="x",T668,IF(D668="x","",""))))</f>
        <v/>
      </c>
      <c r="U669" t="str">
        <f>IF(B669=1,MAX($U$2:$U668)+1,IF(AND($T669&lt;&gt;"",$T669=$T668),$U668,IF(B669="x",U668,"")))</f>
        <v/>
      </c>
      <c r="V669" t="str">
        <f>IF(C669=1,MAX($V$2:$V668)+1,IF(AND($T669&lt;&gt;"",$T669=$T668),$U668,IF(C669="x",V668,"")))</f>
        <v/>
      </c>
      <c r="W669" t="str" cm="1">
        <f t="array" ref="W669">IFERROR(_xlfn._xlws.FILTER(game_rosters!AC:AC,(game_rosters!J:J=events!X669)*(K669&lt;&gt;"")),"")</f>
        <v>h</v>
      </c>
      <c r="X669" cm="1">
        <f t="array" ref="X669">IF($I669&lt;&gt;"",$I669,INDEX($I$1:$I669,ROW()-COUNTIFS($T$1:$T669,"="&amp;$T669,$S$1:$S669,"&lt;"&amp;$S669)))</f>
        <v>21</v>
      </c>
      <c r="Y669" cm="1">
        <f t="array" ref="Y669">IFERROR(IF(_xlfn._xlws.FILTER(game_rosters!$J:$J,(game_rosters!$G:$G=events!$AM669)*(game_rosters!$J:$J=events!$X669))&gt;0,1,""),"")</f>
        <v>1</v>
      </c>
      <c r="Z669" s="6">
        <f t="shared" si="1106"/>
        <v>1</v>
      </c>
      <c r="AA669">
        <f t="shared" si="1107"/>
        <v>1331</v>
      </c>
      <c r="AB669" t="str">
        <f t="shared" si="1108"/>
        <v/>
      </c>
      <c r="AC669">
        <f t="shared" si="1109"/>
        <v>1331</v>
      </c>
      <c r="AD669" t="str">
        <f t="shared" si="1110"/>
        <v>8</v>
      </c>
      <c r="AE669" t="str">
        <f t="shared" si="1111"/>
        <v>27</v>
      </c>
      <c r="AF669" t="str">
        <f t="shared" si="1112"/>
        <v/>
      </c>
      <c r="AG669" t="str">
        <f t="shared" si="1113"/>
        <v/>
      </c>
      <c r="AH669" t="str">
        <f t="shared" si="1157"/>
        <v>e</v>
      </c>
      <c r="AI669" t="str">
        <f t="shared" si="1158"/>
        <v>n</v>
      </c>
      <c r="AJ669" t="str">
        <f t="shared" si="1158"/>
        <v>n</v>
      </c>
      <c r="AK669" t="str">
        <f t="shared" si="1159"/>
        <v>n</v>
      </c>
      <c r="AL669" t="str">
        <f t="shared" si="1160"/>
        <v>n</v>
      </c>
      <c r="AM669" t="str">
        <f t="shared" si="1114"/>
        <v>Home</v>
      </c>
      <c r="AN669" t="str">
        <f t="shared" si="1161"/>
        <v>h</v>
      </c>
      <c r="AO669" t="str">
        <f t="shared" si="1162"/>
        <v>n</v>
      </c>
      <c r="AP669" t="str">
        <f t="shared" si="1163"/>
        <v>n</v>
      </c>
      <c r="AQ669" t="str">
        <f>IF(AM669&lt;&gt;"",AM669,IF($AC669=#REF!,#REF!,""))</f>
        <v>Home</v>
      </c>
      <c r="AR669" t="str">
        <f t="shared" si="1164"/>
        <v>h</v>
      </c>
      <c r="AS669" t="str">
        <f t="shared" si="1165"/>
        <v>Offensive</v>
      </c>
      <c r="AT669" t="str">
        <f t="shared" si="1115"/>
        <v/>
      </c>
      <c r="AU669" t="str">
        <f t="shared" si="1116"/>
        <v/>
      </c>
      <c r="AV669" t="str" cm="1">
        <f t="array" ref="AV669">IFERROR(IF(O669&lt;&gt;"",O669,IF(OR($S669="",$T669=""),"",IF(O669&lt;&gt;"",O669,IF($T669&lt;&gt;"",_xlfn._xlws.FILTER(O:O,($BT:$BT=$BT669)*($I:$I=$I669)*($T:$T=$T669)*($S:$S=_xlfn.MINIFS($S:$S,$T:$T,"="&amp;$T669)),"")))))&amp;"",IF(O669="","",""))&amp;""</f>
        <v>PuckRecoveryRetreivalPass</v>
      </c>
      <c r="AW669" t="str" cm="1">
        <f t="array" ref="AW669">IFERROR(IF(P669&lt;&gt;"",P669,IF(OR($S669="",$T669=""),"",IF($T669&lt;&gt;"",_xlfn._xlws.FILTER(P:P,($BT:$BT=$BT669)*($I:$I=$I669)*($T:$T=$T669)*($S:$S=_xlfn.MINIFS($S:$S,$T:$T,"="&amp;$T669)),""))))&amp;"",IF(P669="","",""))&amp;""</f>
        <v/>
      </c>
      <c r="AX669" t="str" cm="1">
        <f t="array" ref="AX669">IFERROR(IF(Q669&lt;&gt;"",Q669,IF(OR($S669="",$T669=""),"",IF($T669&lt;&gt;"",_xlfn._xlws.FILTER(Q:Q,($BT:$BT=$BT669)*($I:$I=$I669)*($T:$T=$T669)*($S:$S=_xlfn.MINIFS($S:$S,$T:$T,"="&amp;$T669)),""))))&amp;"",IF(Q669="","",""))&amp;""</f>
        <v>u</v>
      </c>
      <c r="AY669" t="str" cm="1">
        <f t="array" ref="AY669">IFERROR(IF(R669&lt;&gt;"",R669,IF(OR($S669="",$T669=""),"",IF($T669&lt;&gt;"",_xlfn._xlws.FILTER(R:R,($BT:$BT=$BT669)*($I:$I=$I669)*($T:$T=$T669)*($S:$S=_xlfn.MINIFS($S:$S,$T:$T,"="&amp;$T669)),""))))&amp;"",IF(R669="","",""))&amp;""</f>
        <v/>
      </c>
      <c r="AZ669" s="6">
        <f t="shared" si="1117"/>
        <v>54</v>
      </c>
      <c r="BA669">
        <f t="shared" ref="BA669:BC669" si="1168">BA668</f>
        <v>18991</v>
      </c>
      <c r="BB669" t="str">
        <f t="shared" si="1168"/>
        <v>Triple J</v>
      </c>
      <c r="BC669" t="str">
        <f t="shared" si="1168"/>
        <v>Velodrome</v>
      </c>
      <c r="BD669" t="str">
        <f t="shared" si="1119"/>
        <v>Possession</v>
      </c>
      <c r="BE669" t="str">
        <f t="shared" si="1120"/>
        <v>PuckRecovery</v>
      </c>
      <c r="BF669" t="str">
        <f t="shared" si="1121"/>
        <v/>
      </c>
      <c r="BG669" t="str">
        <f t="shared" si="1104"/>
        <v>u</v>
      </c>
      <c r="BH669" cm="1">
        <f t="array" aca="1" ref="BH669" ca="1">IFERROR(_xlfn._xlws.FILTER(shifts!A:A,(shifts!B:B=events!Z669)*(shifts!AG:AG&gt;=events!BJ669)*(shifts!AH:AH&lt;=events!BK669)),BH668)</f>
        <v>22</v>
      </c>
      <c r="BI669" s="15">
        <f t="shared" si="1122"/>
        <v>0</v>
      </c>
      <c r="BJ669">
        <f t="shared" si="1123"/>
        <v>507</v>
      </c>
      <c r="BK669">
        <f t="shared" si="1124"/>
        <v>507</v>
      </c>
      <c r="BL669" s="15">
        <f>SUMIFS(BI$2:BI669,K$2:K669,"=Intermission")+SUMIFS(BI$2:BI669,K$2:K669,"=Timeout")</f>
        <v>0</v>
      </c>
      <c r="BM669">
        <f t="shared" si="1125"/>
        <v>0</v>
      </c>
      <c r="BN669" s="19">
        <f t="shared" si="1126"/>
        <v>573</v>
      </c>
      <c r="BO669">
        <f t="shared" si="1127"/>
        <v>568</v>
      </c>
      <c r="BP669" s="17">
        <f t="shared" si="1128"/>
        <v>573</v>
      </c>
      <c r="BQ669" t="str">
        <f t="shared" si="1129"/>
        <v>event_team_player_1</v>
      </c>
      <c r="BR669">
        <f>COUNTIFS(S$3:S669,"="&amp;S669,AH$3:AH669,"="&amp;AH669)</f>
        <v>1</v>
      </c>
      <c r="BS669" t="str">
        <f>IFERROR(VLOOKUP(BA669&amp;BT669&amp;X669,game_rosters!U:W,3,FALSE),"")</f>
        <v>P100019</v>
      </c>
      <c r="BT669" t="str">
        <f t="shared" si="1130"/>
        <v>Triple J</v>
      </c>
    </row>
    <row r="670" spans="1:72" x14ac:dyDescent="0.2">
      <c r="A670">
        <f t="shared" si="1131"/>
        <v>1</v>
      </c>
      <c r="E670" s="4"/>
      <c r="F670" s="45"/>
      <c r="G670" s="4"/>
      <c r="H670" s="47" t="s">
        <v>740</v>
      </c>
      <c r="I670" s="26">
        <v>21</v>
      </c>
      <c r="J670" s="26" t="str">
        <f t="shared" si="1132"/>
        <v>o</v>
      </c>
      <c r="K670" t="s">
        <v>238</v>
      </c>
      <c r="L670" t="s">
        <v>174</v>
      </c>
      <c r="M670" t="s">
        <v>85</v>
      </c>
      <c r="N670" t="s">
        <v>594</v>
      </c>
      <c r="Q670" t="str">
        <f t="shared" si="1144"/>
        <v/>
      </c>
      <c r="R670" s="26">
        <v>1</v>
      </c>
      <c r="S670">
        <f>IF(A670=1,MAX($S$2:$S669)+1,IF(OR($I670&lt;&gt;"",A670="x"),$S669,""))</f>
        <v>332</v>
      </c>
      <c r="T670" t="str">
        <f>IF(D670=1,MAX($T$2:$T669)+1,IF(S670=S669,$T669,IF(D670="x",T669,IF(D669="x","",""))))</f>
        <v/>
      </c>
      <c r="U670" t="str">
        <f>IF(B670=1,MAX($U$2:$U669)+1,IF(AND($T670&lt;&gt;"",$T670=$T669),$U669,IF(B670="x",U669,"")))</f>
        <v/>
      </c>
      <c r="V670" t="str">
        <f>IF(C670=1,MAX($V$2:$V669)+1,IF(AND($T670&lt;&gt;"",$T670=$T669),$U669,IF(C670="x",V669,"")))</f>
        <v/>
      </c>
      <c r="W670" t="str" cm="1">
        <f t="array" ref="W670">IFERROR(_xlfn._xlws.FILTER(game_rosters!AC:AC,(game_rosters!J:J=events!X670)*(K670&lt;&gt;"")),"")</f>
        <v>h</v>
      </c>
      <c r="X670" cm="1">
        <f t="array" ref="X670">IF($I670&lt;&gt;"",$I670,INDEX($I$1:$I670,ROW()-COUNTIFS($T$1:$T670,"="&amp;$T670,$S$1:$S670,"&lt;"&amp;$S670)))</f>
        <v>21</v>
      </c>
      <c r="Y670" cm="1">
        <f t="array" ref="Y670">IFERROR(IF(_xlfn._xlws.FILTER(game_rosters!$J:$J,(game_rosters!$G:$G=events!$AM670)*(game_rosters!$J:$J=events!$X670))&gt;0,1,""),"")</f>
        <v>1</v>
      </c>
      <c r="Z670" s="6">
        <f t="shared" si="1106"/>
        <v>1</v>
      </c>
      <c r="AA670">
        <f t="shared" si="1107"/>
        <v>1332</v>
      </c>
      <c r="AB670" t="str">
        <f t="shared" si="1108"/>
        <v/>
      </c>
      <c r="AC670">
        <f t="shared" si="1109"/>
        <v>1332</v>
      </c>
      <c r="AD670" t="str">
        <f t="shared" si="1110"/>
        <v>8</v>
      </c>
      <c r="AE670" t="str">
        <f t="shared" si="1111"/>
        <v>27</v>
      </c>
      <c r="AF670" t="str">
        <f t="shared" si="1112"/>
        <v>8</v>
      </c>
      <c r="AG670" t="str">
        <f t="shared" si="1113"/>
        <v>25</v>
      </c>
      <c r="AH670" t="str">
        <f t="shared" si="1157"/>
        <v>e</v>
      </c>
      <c r="AI670" t="str">
        <f t="shared" si="1158"/>
        <v>o</v>
      </c>
      <c r="AJ670" t="str">
        <f t="shared" si="1158"/>
        <v>o</v>
      </c>
      <c r="AK670" t="str">
        <f t="shared" si="1159"/>
        <v>o</v>
      </c>
      <c r="AL670" t="str">
        <f t="shared" si="1160"/>
        <v>d</v>
      </c>
      <c r="AM670" t="str">
        <f t="shared" si="1114"/>
        <v>Home</v>
      </c>
      <c r="AN670" t="str">
        <f t="shared" si="1161"/>
        <v>h</v>
      </c>
      <c r="AO670" t="str">
        <f t="shared" si="1162"/>
        <v>o</v>
      </c>
      <c r="AP670" t="str">
        <f t="shared" si="1163"/>
        <v>d</v>
      </c>
      <c r="AQ670" t="str">
        <f>IF(AM670&lt;&gt;"",AM670,IF($AC670=#REF!,#REF!,""))</f>
        <v>Home</v>
      </c>
      <c r="AR670" t="str">
        <f t="shared" si="1164"/>
        <v>h</v>
      </c>
      <c r="AS670" t="str">
        <f t="shared" si="1165"/>
        <v>Offensive</v>
      </c>
      <c r="AT670" t="str">
        <f t="shared" si="1115"/>
        <v/>
      </c>
      <c r="AU670" t="str">
        <f t="shared" si="1116"/>
        <v/>
      </c>
      <c r="AV670" t="str" cm="1">
        <f t="array" ref="AV670">IFERROR(IF(O670&lt;&gt;"",O670,IF(OR($S670="",$T670=""),"",IF(O670&lt;&gt;"",O670,IF($T670&lt;&gt;"",_xlfn._xlws.FILTER(O:O,($BT:$BT=$BT670)*($I:$I=$I670)*($T:$T=$T670)*($S:$S=_xlfn.MINIFS($S:$S,$T:$T,"="&amp;$T670)),"")))))&amp;"",IF(O670="","",""))&amp;""</f>
        <v/>
      </c>
      <c r="AW670" t="str" cm="1">
        <f t="array" ref="AW670">IFERROR(IF(P670&lt;&gt;"",P670,IF(OR($S670="",$T670=""),"",IF($T670&lt;&gt;"",_xlfn._xlws.FILTER(P:P,($BT:$BT=$BT670)*($I:$I=$I670)*($T:$T=$T670)*($S:$S=_xlfn.MINIFS($S:$S,$T:$T,"="&amp;$T670)),""))))&amp;"",IF(P670="","",""))&amp;""</f>
        <v/>
      </c>
      <c r="AX670" t="str" cm="1">
        <f t="array" ref="AX670">IFERROR(IF(Q670&lt;&gt;"",Q670,IF(OR($S670="",$T670=""),"",IF($T670&lt;&gt;"",_xlfn._xlws.FILTER(Q:Q,($BT:$BT=$BT670)*($I:$I=$I670)*($T:$T=$T670)*($S:$S=_xlfn.MINIFS($S:$S,$T:$T,"="&amp;$T670)),""))))&amp;"",IF(Q670="","",""))&amp;""</f>
        <v/>
      </c>
      <c r="AY670" t="str" cm="1">
        <f t="array" ref="AY670">IFERROR(IF(R670&lt;&gt;"",R670,IF(OR($S670="",$T670=""),"",IF($T670&lt;&gt;"",_xlfn._xlws.FILTER(R:R,($BT:$BT=$BT670)*($I:$I=$I670)*($T:$T=$T670)*($S:$S=_xlfn.MINIFS($S:$S,$T:$T,"="&amp;$T670)),""))))&amp;"",IF(R670="","",""))&amp;""</f>
        <v>1</v>
      </c>
      <c r="AZ670" s="6">
        <f t="shared" si="1117"/>
        <v>55</v>
      </c>
      <c r="BA670">
        <f t="shared" ref="BA670:BC670" si="1169">BA669</f>
        <v>18991</v>
      </c>
      <c r="BB670" t="str">
        <f t="shared" si="1169"/>
        <v>Triple J</v>
      </c>
      <c r="BC670" t="str">
        <f t="shared" si="1169"/>
        <v>Velodrome</v>
      </c>
      <c r="BD670" t="str">
        <f t="shared" si="1119"/>
        <v>Zone_Entry_Exit</v>
      </c>
      <c r="BE670" t="str">
        <f t="shared" si="1120"/>
        <v>Zone_Entry</v>
      </c>
      <c r="BF670" t="str">
        <f t="shared" si="1121"/>
        <v>ZoneEntry-Rush</v>
      </c>
      <c r="BG670" t="str">
        <f t="shared" si="1104"/>
        <v>u</v>
      </c>
      <c r="BH670" cm="1">
        <f t="array" aca="1" ref="BH670" ca="1">IFERROR(_xlfn._xlws.FILTER(shifts!A:A,(shifts!B:B=events!Z670)*(shifts!AG:AG&gt;=events!BJ670)*(shifts!AH:AH&lt;=events!BK670)),BH669)</f>
        <v>22</v>
      </c>
      <c r="BI670" s="15">
        <f t="shared" si="1122"/>
        <v>2</v>
      </c>
      <c r="BJ670">
        <f t="shared" si="1123"/>
        <v>507</v>
      </c>
      <c r="BK670">
        <f t="shared" si="1124"/>
        <v>505</v>
      </c>
      <c r="BL670" s="15">
        <f>SUMIFS(BI$2:BI670,K$2:K670,"=Intermission")+SUMIFS(BI$2:BI670,K$2:K670,"=Timeout")</f>
        <v>0</v>
      </c>
      <c r="BM670">
        <f t="shared" si="1125"/>
        <v>0</v>
      </c>
      <c r="BN670" s="19">
        <f t="shared" si="1126"/>
        <v>573</v>
      </c>
      <c r="BO670">
        <f t="shared" si="1127"/>
        <v>568</v>
      </c>
      <c r="BP670" s="17">
        <f t="shared" si="1128"/>
        <v>575</v>
      </c>
      <c r="BQ670" t="str">
        <f t="shared" si="1129"/>
        <v>event_team_player_1</v>
      </c>
      <c r="BR670">
        <f>COUNTIFS(S$3:S670,"="&amp;S670,AH$3:AH670,"="&amp;AH670)</f>
        <v>1</v>
      </c>
      <c r="BS670" t="str">
        <f>IFERROR(VLOOKUP(BA670&amp;BT670&amp;X670,game_rosters!U:W,3,FALSE),"")</f>
        <v>P100019</v>
      </c>
      <c r="BT670" t="str">
        <f t="shared" si="1130"/>
        <v>Triple J</v>
      </c>
    </row>
    <row r="671" spans="1:72" x14ac:dyDescent="0.2">
      <c r="A671" t="str">
        <f t="shared" si="1131"/>
        <v/>
      </c>
      <c r="E671" s="4"/>
      <c r="F671" s="45"/>
      <c r="G671" s="4"/>
      <c r="H671" s="47"/>
      <c r="I671" s="26">
        <v>9</v>
      </c>
      <c r="J671" s="26" t="str">
        <f t="shared" si="1132"/>
        <v/>
      </c>
      <c r="N671" t="str">
        <f t="shared" si="1150"/>
        <v/>
      </c>
      <c r="Q671" t="str">
        <f t="shared" si="1144"/>
        <v/>
      </c>
      <c r="R671" s="26">
        <v>1</v>
      </c>
      <c r="S671">
        <f>IF(A671=1,MAX($S$2:$S670)+1,IF(OR($I671&lt;&gt;"",A671="x"),$S670,""))</f>
        <v>332</v>
      </c>
      <c r="T671" t="str">
        <f>IF(D671=1,MAX($T$2:$T670)+1,IF(S671=S670,$T670,IF(D671="x",T670,IF(D670="x","",""))))</f>
        <v/>
      </c>
      <c r="U671" t="str">
        <f>IF(B671=1,MAX($U$2:$U670)+1,IF(AND($T671&lt;&gt;"",$T671=$T670),$U670,IF(B671="x",U670,"")))</f>
        <v/>
      </c>
      <c r="V671" t="str">
        <f>IF(C671=1,MAX($V$2:$V670)+1,IF(AND($T671&lt;&gt;"",$T671=$T670),$U670,IF(C671="x",V670,"")))</f>
        <v/>
      </c>
      <c r="W671" t="str" cm="1">
        <f t="array" ref="W671">IFERROR(_xlfn._xlws.FILTER(game_rosters!AC:AC,(game_rosters!J:J=events!X671)*(K671&lt;&gt;"")),"")</f>
        <v/>
      </c>
      <c r="X671" cm="1">
        <f t="array" ref="X671">IF($I671&lt;&gt;"",$I671,INDEX($I$1:$I671,ROW()-COUNTIFS($T$1:$T671,"="&amp;$T671,$S$1:$S671,"&lt;"&amp;$S671)))</f>
        <v>9</v>
      </c>
      <c r="Y671" t="str" cm="1">
        <f t="array" ref="Y671">IFERROR(IF(_xlfn._xlws.FILTER(game_rosters!$J:$J,(game_rosters!$G:$G=events!$AM671)*(game_rosters!$J:$J=events!$X671))&gt;0,1,""),"")</f>
        <v/>
      </c>
      <c r="Z671" s="6">
        <f t="shared" si="1106"/>
        <v>1</v>
      </c>
      <c r="AA671">
        <f t="shared" si="1107"/>
        <v>1332</v>
      </c>
      <c r="AB671" t="str">
        <f t="shared" si="1108"/>
        <v/>
      </c>
      <c r="AC671">
        <f t="shared" si="1109"/>
        <v>1332</v>
      </c>
      <c r="AD671" t="str">
        <f t="shared" si="1110"/>
        <v>8</v>
      </c>
      <c r="AE671" t="str">
        <f t="shared" si="1111"/>
        <v>27</v>
      </c>
      <c r="AF671" t="str">
        <f t="shared" si="1112"/>
        <v>8</v>
      </c>
      <c r="AG671" t="str">
        <f t="shared" si="1113"/>
        <v>25</v>
      </c>
      <c r="AH671" t="str">
        <f t="shared" si="1157"/>
        <v>o</v>
      </c>
      <c r="AI671" t="str">
        <f t="shared" si="1158"/>
        <v>o</v>
      </c>
      <c r="AJ671" t="str">
        <f t="shared" si="1158"/>
        <v>o</v>
      </c>
      <c r="AK671" t="str">
        <f t="shared" si="1159"/>
        <v/>
      </c>
      <c r="AL671" t="str">
        <f t="shared" si="1160"/>
        <v/>
      </c>
      <c r="AM671" t="str">
        <f t="shared" si="1114"/>
        <v>Home</v>
      </c>
      <c r="AN671" t="str">
        <f t="shared" si="1161"/>
        <v>h</v>
      </c>
      <c r="AO671" t="str">
        <f t="shared" si="1162"/>
        <v>o</v>
      </c>
      <c r="AP671" t="str">
        <f t="shared" si="1163"/>
        <v>d</v>
      </c>
      <c r="AQ671" t="str">
        <f>IF(AM671&lt;&gt;"",AM671,IF($AC671=#REF!,#REF!,""))</f>
        <v>Home</v>
      </c>
      <c r="AR671" t="str">
        <f t="shared" si="1164"/>
        <v>h</v>
      </c>
      <c r="AS671" t="str">
        <f t="shared" si="1165"/>
        <v>Defensive</v>
      </c>
      <c r="AT671" t="str">
        <f t="shared" si="1115"/>
        <v/>
      </c>
      <c r="AU671" t="str">
        <f t="shared" si="1116"/>
        <v/>
      </c>
      <c r="AV671" t="str" cm="1">
        <f t="array" ref="AV671">IFERROR(IF(O671&lt;&gt;"",O671,IF(OR($S671="",$T671=""),"",IF(O671&lt;&gt;"",O671,IF($T671&lt;&gt;"",_xlfn._xlws.FILTER(O:O,($BT:$BT=$BT671)*($I:$I=$I671)*($T:$T=$T671)*($S:$S=_xlfn.MINIFS($S:$S,$T:$T,"="&amp;$T671)),"")))))&amp;"",IF(O671="","",""))&amp;""</f>
        <v/>
      </c>
      <c r="AW671" t="str" cm="1">
        <f t="array" ref="AW671">IFERROR(IF(P671&lt;&gt;"",P671,IF(OR($S671="",$T671=""),"",IF($T671&lt;&gt;"",_xlfn._xlws.FILTER(P:P,($BT:$BT=$BT671)*($I:$I=$I671)*($T:$T=$T671)*($S:$S=_xlfn.MINIFS($S:$S,$T:$T,"="&amp;$T671)),""))))&amp;"",IF(P671="","",""))&amp;""</f>
        <v/>
      </c>
      <c r="AX671" t="str" cm="1">
        <f t="array" ref="AX671">IFERROR(IF(Q671&lt;&gt;"",Q671,IF(OR($S671="",$T671=""),"",IF($T671&lt;&gt;"",_xlfn._xlws.FILTER(Q:Q,($BT:$BT=$BT671)*($I:$I=$I671)*($T:$T=$T671)*($S:$S=_xlfn.MINIFS($S:$S,$T:$T,"="&amp;$T671)),""))))&amp;"",IF(Q671="","",""))&amp;""</f>
        <v/>
      </c>
      <c r="AY671" t="str" cm="1">
        <f t="array" ref="AY671">IFERROR(IF(R671&lt;&gt;"",R671,IF(OR($S671="",$T671=""),"",IF($T671&lt;&gt;"",_xlfn._xlws.FILTER(R:R,($BT:$BT=$BT671)*($I:$I=$I671)*($T:$T=$T671)*($S:$S=_xlfn.MINIFS($S:$S,$T:$T,"="&amp;$T671)),""))))&amp;"",IF(R671="","",""))&amp;""</f>
        <v>1</v>
      </c>
      <c r="AZ671" s="6">
        <f t="shared" si="1117"/>
        <v>55</v>
      </c>
      <c r="BA671">
        <f t="shared" ref="BA671:BC671" si="1170">BA670</f>
        <v>18991</v>
      </c>
      <c r="BB671" t="str">
        <f t="shared" si="1170"/>
        <v>Triple J</v>
      </c>
      <c r="BC671" t="str">
        <f t="shared" si="1170"/>
        <v>Velodrome</v>
      </c>
      <c r="BD671" t="str">
        <f t="shared" si="1119"/>
        <v>Zone_Entry_Exit</v>
      </c>
      <c r="BE671" t="str">
        <f t="shared" si="1120"/>
        <v>Zone_Entry</v>
      </c>
      <c r="BF671" t="str">
        <f t="shared" si="1121"/>
        <v>ZoneEntry-Rush</v>
      </c>
      <c r="BG671" t="str">
        <f t="shared" si="1104"/>
        <v>u</v>
      </c>
      <c r="BH671" cm="1">
        <f t="array" aca="1" ref="BH671" ca="1">IFERROR(_xlfn._xlws.FILTER(shifts!A:A,(shifts!B:B=events!Z671)*(shifts!AG:AG&gt;=events!BJ671)*(shifts!AH:AH&lt;=events!BK671)),BH670)</f>
        <v>22</v>
      </c>
      <c r="BI671" s="15">
        <f t="shared" si="1122"/>
        <v>2</v>
      </c>
      <c r="BJ671">
        <f t="shared" si="1123"/>
        <v>507</v>
      </c>
      <c r="BK671">
        <f t="shared" si="1124"/>
        <v>505</v>
      </c>
      <c r="BL671" s="15">
        <f>SUMIFS(BI$2:BI671,K$2:K671,"=Intermission")+SUMIFS(BI$2:BI671,K$2:K671,"=Timeout")</f>
        <v>0</v>
      </c>
      <c r="BM671">
        <f t="shared" si="1125"/>
        <v>0</v>
      </c>
      <c r="BN671" s="19">
        <f t="shared" si="1126"/>
        <v>573</v>
      </c>
      <c r="BO671">
        <f t="shared" si="1127"/>
        <v>568</v>
      </c>
      <c r="BP671" s="17">
        <f t="shared" si="1128"/>
        <v>575</v>
      </c>
      <c r="BQ671" t="str">
        <f t="shared" si="1129"/>
        <v>opp_team_player_1</v>
      </c>
      <c r="BR671">
        <f>COUNTIFS(S$3:S671,"="&amp;S671,AH$3:AH671,"="&amp;AH671)</f>
        <v>1</v>
      </c>
      <c r="BS671" t="str">
        <f>IFERROR(VLOOKUP(BA671&amp;BT671&amp;X671,game_rosters!U:W,3,FALSE),"")</f>
        <v>P100105</v>
      </c>
      <c r="BT671" t="str">
        <f t="shared" si="1130"/>
        <v>Velodrome</v>
      </c>
    </row>
    <row r="672" spans="1:72" x14ac:dyDescent="0.2">
      <c r="A672">
        <f t="shared" si="1131"/>
        <v>1</v>
      </c>
      <c r="D672" s="26">
        <v>1</v>
      </c>
      <c r="E672" s="4"/>
      <c r="F672" s="45"/>
      <c r="G672" s="4"/>
      <c r="H672" s="47"/>
      <c r="I672" s="26">
        <v>21</v>
      </c>
      <c r="J672" s="26" t="str">
        <f t="shared" si="1132"/>
        <v>o</v>
      </c>
      <c r="K672" t="s">
        <v>6</v>
      </c>
      <c r="L672" t="s">
        <v>191</v>
      </c>
      <c r="M672" t="s">
        <v>51</v>
      </c>
      <c r="N672" t="str">
        <f t="shared" si="1150"/>
        <v>u</v>
      </c>
      <c r="Q672" t="str">
        <f t="shared" si="1144"/>
        <v/>
      </c>
      <c r="S672">
        <f>IF(A672=1,MAX($S$2:$S671)+1,IF(OR($I672&lt;&gt;"",A672="x"),$S671,""))</f>
        <v>333</v>
      </c>
      <c r="T672">
        <f>IF(D672=1,MAX($T$2:$T671)+1,IF(S672=S671,$T671,IF(D672="x",T671,IF(D671="x","",""))))</f>
        <v>45</v>
      </c>
      <c r="U672" t="str">
        <f>IF(B672=1,MAX($U$2:$U671)+1,IF(AND($T672&lt;&gt;"",$T672=$T671),$U671,IF(B672="x",U671,"")))</f>
        <v/>
      </c>
      <c r="V672" t="str">
        <f>IF(C672=1,MAX($V$2:$V671)+1,IF(AND($T672&lt;&gt;"",$T672=$T671),$U671,IF(C672="x",V671,"")))</f>
        <v/>
      </c>
      <c r="W672" t="str" cm="1">
        <f t="array" ref="W672">IFERROR(_xlfn._xlws.FILTER(game_rosters!AC:AC,(game_rosters!J:J=events!X672)*(K672&lt;&gt;"")),"")</f>
        <v>h</v>
      </c>
      <c r="X672" cm="1">
        <f t="array" ref="X672">IF($I672&lt;&gt;"",$I672,INDEX($I$1:$I672,ROW()-COUNTIFS($T$1:$T672,"="&amp;$T672,$S$1:$S672,"&lt;"&amp;$S672)))</f>
        <v>21</v>
      </c>
      <c r="Y672" cm="1">
        <f t="array" ref="Y672">IFERROR(IF(_xlfn._xlws.FILTER(game_rosters!$J:$J,(game_rosters!$G:$G=events!$AM672)*(game_rosters!$J:$J=events!$X672))&gt;0,1,""),"")</f>
        <v>1</v>
      </c>
      <c r="Z672" s="6">
        <f t="shared" si="1106"/>
        <v>1</v>
      </c>
      <c r="AA672">
        <f t="shared" si="1107"/>
        <v>1333</v>
      </c>
      <c r="AB672">
        <f t="shared" si="1108"/>
        <v>9045</v>
      </c>
      <c r="AC672">
        <f t="shared" si="1109"/>
        <v>9045</v>
      </c>
      <c r="AD672" t="str">
        <f t="shared" si="1110"/>
        <v>8</v>
      </c>
      <c r="AE672" t="str">
        <f t="shared" si="1111"/>
        <v>25</v>
      </c>
      <c r="AF672" t="str">
        <f t="shared" si="1112"/>
        <v/>
      </c>
      <c r="AG672" t="str">
        <f t="shared" si="1113"/>
        <v/>
      </c>
      <c r="AH672" t="str">
        <f t="shared" si="1157"/>
        <v>e</v>
      </c>
      <c r="AI672" t="str">
        <f t="shared" si="1158"/>
        <v>o</v>
      </c>
      <c r="AJ672" t="str">
        <f t="shared" si="1158"/>
        <v>o</v>
      </c>
      <c r="AK672" t="str">
        <f t="shared" si="1159"/>
        <v>o</v>
      </c>
      <c r="AL672" t="str">
        <f t="shared" si="1160"/>
        <v>d</v>
      </c>
      <c r="AM672" t="str">
        <f t="shared" si="1114"/>
        <v>Home</v>
      </c>
      <c r="AN672" t="str">
        <f t="shared" si="1161"/>
        <v>h</v>
      </c>
      <c r="AO672" t="str">
        <f t="shared" si="1162"/>
        <v>o</v>
      </c>
      <c r="AP672" t="str">
        <f t="shared" si="1163"/>
        <v>d</v>
      </c>
      <c r="AQ672" t="str">
        <f>IF(AM672&lt;&gt;"",AM672,IF($AC672=#REF!,#REF!,""))</f>
        <v>Home</v>
      </c>
      <c r="AR672" t="str">
        <f t="shared" si="1164"/>
        <v>h</v>
      </c>
      <c r="AS672" t="str">
        <f t="shared" si="1165"/>
        <v>Offensive</v>
      </c>
      <c r="AT672" t="str">
        <f t="shared" si="1115"/>
        <v/>
      </c>
      <c r="AU672" t="str">
        <f t="shared" si="1116"/>
        <v/>
      </c>
      <c r="AV672" t="str" cm="1">
        <f t="array" ref="AV672">IFERROR(IF(O672&lt;&gt;"",O672,IF(OR($S672="",$T672=""),"",IF(O672&lt;&gt;"",O672,IF($T672&lt;&gt;"",_xlfn._xlws.FILTER(O:O,($BT:$BT=$BT672)*($I:$I=$I672)*($T:$T=$T672)*($S:$S=_xlfn.MINIFS($S:$S,$T:$T,"="&amp;$T672)),"")))))&amp;"",IF(O672="","",""))&amp;""</f>
        <v/>
      </c>
      <c r="AW672" t="str" cm="1">
        <f t="array" ref="AW672">IFERROR(IF(P672&lt;&gt;"",P672,IF(OR($S672="",$T672=""),"",IF($T672&lt;&gt;"",_xlfn._xlws.FILTER(P:P,($BT:$BT=$BT672)*($I:$I=$I672)*($T:$T=$T672)*($S:$S=_xlfn.MINIFS($S:$S,$T:$T,"="&amp;$T672)),""))))&amp;"",IF(P672="","",""))&amp;""</f>
        <v/>
      </c>
      <c r="AX672" t="str" cm="1">
        <f t="array" ref="AX672">IFERROR(IF(Q672&lt;&gt;"",Q672,IF(OR($S672="",$T672=""),"",IF($T672&lt;&gt;"",_xlfn._xlws.FILTER(Q:Q,($BT:$BT=$BT672)*($I:$I=$I672)*($T:$T=$T672)*($S:$S=_xlfn.MINIFS($S:$S,$T:$T,"="&amp;$T672)),""))))&amp;"",IF(Q672="","",""))&amp;""</f>
        <v/>
      </c>
      <c r="AY672" t="str" cm="1">
        <f t="array" ref="AY672">IFERROR(IF(R672&lt;&gt;"",R672,IF(OR($S672="",$T672=""),"",IF($T672&lt;&gt;"",_xlfn._xlws.FILTER(R:R,($BT:$BT=$BT672)*($I:$I=$I672)*($T:$T=$T672)*($S:$S=_xlfn.MINIFS($S:$S,$T:$T,"="&amp;$T672)),""))))&amp;"",IF(R672="","",""))&amp;""</f>
        <v/>
      </c>
      <c r="AZ672" s="6">
        <f t="shared" si="1117"/>
        <v>55</v>
      </c>
      <c r="BA672">
        <f t="shared" ref="BA672:BC672" si="1171">BA671</f>
        <v>18991</v>
      </c>
      <c r="BB672" t="str">
        <f t="shared" si="1171"/>
        <v>Triple J</v>
      </c>
      <c r="BC672" t="str">
        <f t="shared" si="1171"/>
        <v>Velodrome</v>
      </c>
      <c r="BD672" t="str">
        <f t="shared" si="1119"/>
        <v>Shot</v>
      </c>
      <c r="BE672" t="str">
        <f t="shared" si="1120"/>
        <v>Shot_Blocked</v>
      </c>
      <c r="BF672" t="str">
        <f t="shared" si="1121"/>
        <v>Shot-Wrist</v>
      </c>
      <c r="BG672" t="str">
        <f t="shared" si="1104"/>
        <v>u</v>
      </c>
      <c r="BH672" t="e" cm="1" vm="1">
        <f t="array" aca="1" ref="BH672" ca="1">IFERROR(_xlfn._xlws.FILTER(shifts!A:A,(shifts!B:B=events!Z672)*(shifts!AG:AG&gt;=events!BJ672)*(shifts!AH:AH&lt;=events!BK672)),BH671)</f>
        <v>#VALUE!</v>
      </c>
      <c r="BI672" s="15">
        <f t="shared" si="1122"/>
        <v>0</v>
      </c>
      <c r="BJ672">
        <f t="shared" si="1123"/>
        <v>505</v>
      </c>
      <c r="BK672">
        <f t="shared" si="1124"/>
        <v>505</v>
      </c>
      <c r="BL672" s="15">
        <f>SUMIFS(BI$2:BI672,K$2:K672,"=Intermission")+SUMIFS(BI$2:BI672,K$2:K672,"=Timeout")</f>
        <v>0</v>
      </c>
      <c r="BM672">
        <f t="shared" si="1125"/>
        <v>0</v>
      </c>
      <c r="BN672" s="19">
        <f t="shared" si="1126"/>
        <v>575</v>
      </c>
      <c r="BO672">
        <f t="shared" si="1127"/>
        <v>570</v>
      </c>
      <c r="BP672" s="17">
        <f t="shared" si="1128"/>
        <v>575</v>
      </c>
      <c r="BQ672" t="str">
        <f t="shared" si="1129"/>
        <v>event_team_player_1</v>
      </c>
      <c r="BR672">
        <f>COUNTIFS(S$3:S672,"="&amp;S672,AH$3:AH672,"="&amp;AH672)</f>
        <v>1</v>
      </c>
      <c r="BS672" t="str">
        <f>IFERROR(VLOOKUP(BA672&amp;BT672&amp;X672,game_rosters!U:W,3,FALSE),"")</f>
        <v>P100019</v>
      </c>
      <c r="BT672" t="str">
        <f t="shared" si="1130"/>
        <v>Triple J</v>
      </c>
    </row>
    <row r="673" spans="1:72" x14ac:dyDescent="0.2">
      <c r="A673" t="str">
        <f t="shared" si="1131"/>
        <v>x</v>
      </c>
      <c r="D673" s="26" t="s">
        <v>729</v>
      </c>
      <c r="E673" s="4"/>
      <c r="F673" s="45"/>
      <c r="G673" s="4"/>
      <c r="H673" s="47"/>
      <c r="I673" s="26">
        <v>9</v>
      </c>
      <c r="J673" s="26" t="str">
        <f t="shared" si="1132"/>
        <v/>
      </c>
      <c r="N673" t="str">
        <f t="shared" si="1150"/>
        <v/>
      </c>
      <c r="O673" t="s">
        <v>556</v>
      </c>
      <c r="Q673" t="str">
        <f t="shared" si="1144"/>
        <v/>
      </c>
      <c r="S673">
        <f>IF(A673=1,MAX($S$2:$S672)+1,IF(OR($I673&lt;&gt;"",A673="x"),$S672,""))</f>
        <v>333</v>
      </c>
      <c r="T673">
        <f>IF(D673=1,MAX($T$2:$T672)+1,IF(S673=S672,$T672,IF(D673="x",T672,IF(D672="x","",""))))</f>
        <v>45</v>
      </c>
      <c r="U673" t="str">
        <f>IF(B673=1,MAX($U$2:$U672)+1,IF(AND($T673&lt;&gt;"",$T673=$T672),$U672,IF(B673="x",U672,"")))</f>
        <v/>
      </c>
      <c r="V673" t="str">
        <f>IF(C673=1,MAX($V$2:$V672)+1,IF(AND($T673&lt;&gt;"",$T673=$T672),$U672,IF(C673="x",V672,"")))</f>
        <v/>
      </c>
      <c r="W673" t="str" cm="1">
        <f t="array" ref="W673">IFERROR(_xlfn._xlws.FILTER(game_rosters!AC:AC,(game_rosters!J:J=events!X673)*(K673&lt;&gt;"")),"")</f>
        <v/>
      </c>
      <c r="X673" cm="1">
        <f t="array" ref="X673">IF($I673&lt;&gt;"",$I673,INDEX($I$1:$I673,ROW()-COUNTIFS($T$1:$T673,"="&amp;$T673,$S$1:$S673,"&lt;"&amp;$S673)))</f>
        <v>9</v>
      </c>
      <c r="Y673" t="str" cm="1">
        <f t="array" ref="Y673">IFERROR(IF(_xlfn._xlws.FILTER(game_rosters!$J:$J,(game_rosters!$G:$G=events!$AM673)*(game_rosters!$J:$J=events!$X673))&gt;0,1,""),"")</f>
        <v/>
      </c>
      <c r="Z673" s="6">
        <f t="shared" si="1106"/>
        <v>1</v>
      </c>
      <c r="AA673">
        <f t="shared" si="1107"/>
        <v>1333</v>
      </c>
      <c r="AB673">
        <f t="shared" si="1108"/>
        <v>9045</v>
      </c>
      <c r="AC673">
        <f t="shared" si="1109"/>
        <v>9045</v>
      </c>
      <c r="AD673" t="str">
        <f t="shared" si="1110"/>
        <v>8</v>
      </c>
      <c r="AE673" t="str">
        <f t="shared" si="1111"/>
        <v>25</v>
      </c>
      <c r="AF673" t="str">
        <f t="shared" si="1112"/>
        <v/>
      </c>
      <c r="AG673" t="str">
        <f t="shared" si="1113"/>
        <v/>
      </c>
      <c r="AH673" t="str">
        <f t="shared" si="1157"/>
        <v>o</v>
      </c>
      <c r="AI673" t="str">
        <f t="shared" si="1158"/>
        <v>o</v>
      </c>
      <c r="AJ673" t="str">
        <f t="shared" si="1158"/>
        <v>o</v>
      </c>
      <c r="AK673" t="str">
        <f t="shared" si="1159"/>
        <v/>
      </c>
      <c r="AL673" t="str">
        <f t="shared" si="1160"/>
        <v/>
      </c>
      <c r="AM673" t="str">
        <f t="shared" si="1114"/>
        <v>Home</v>
      </c>
      <c r="AN673" t="str">
        <f t="shared" si="1161"/>
        <v>h</v>
      </c>
      <c r="AO673" t="str">
        <f t="shared" si="1162"/>
        <v>o</v>
      </c>
      <c r="AP673" t="str">
        <f t="shared" si="1163"/>
        <v>d</v>
      </c>
      <c r="AQ673" t="str">
        <f>IF(AM673&lt;&gt;"",AM673,IF($AC673=#REF!,#REF!,""))</f>
        <v>Home</v>
      </c>
      <c r="AR673" t="str">
        <f t="shared" si="1164"/>
        <v>h</v>
      </c>
      <c r="AS673" t="str">
        <f t="shared" si="1165"/>
        <v>Defensive</v>
      </c>
      <c r="AT673" t="str">
        <f t="shared" si="1115"/>
        <v/>
      </c>
      <c r="AU673" t="str">
        <f t="shared" si="1116"/>
        <v/>
      </c>
      <c r="AV673" t="str" cm="1">
        <f t="array" ref="AV673">IFERROR(IF(O673&lt;&gt;"",O673,IF(OR($S673="",$T673=""),"",IF(O673&lt;&gt;"",O673,IF($T673&lt;&gt;"",_xlfn._xlws.FILTER(O:O,($BT:$BT=$BT673)*($I:$I=$I673)*($T:$T=$T673)*($S:$S=_xlfn.MINIFS($S:$S,$T:$T,"="&amp;$T673)),"")))))&amp;"",IF(O673="","",""))&amp;""</f>
        <v>BlockedShot</v>
      </c>
      <c r="AW673" t="str" cm="1">
        <f t="array" ref="AW673">IFERROR(IF(P673&lt;&gt;"",P673,IF(OR($S673="",$T673=""),"",IF($T673&lt;&gt;"",_xlfn._xlws.FILTER(P:P,($BT:$BT=$BT673)*($I:$I=$I673)*($T:$T=$T673)*($S:$S=_xlfn.MINIFS($S:$S,$T:$T,"="&amp;$T673)),""))))&amp;"",IF(P673="","",""))&amp;""</f>
        <v/>
      </c>
      <c r="AX673" t="str" cm="1">
        <f t="array" ref="AX673">IFERROR(IF(Q673&lt;&gt;"",Q673,IF(OR($S673="",$T673=""),"",IF($T673&lt;&gt;"",_xlfn._xlws.FILTER(Q:Q,($BT:$BT=$BT673)*($I:$I=$I673)*($T:$T=$T673)*($S:$S=_xlfn.MINIFS($S:$S,$T:$T,"="&amp;$T673)),""))))&amp;"",IF(Q673="","",""))&amp;""</f>
        <v/>
      </c>
      <c r="AY673" t="str" cm="1">
        <f t="array" ref="AY673">IFERROR(IF(R673&lt;&gt;"",R673,IF(OR($S673="",$T673=""),"",IF($T673&lt;&gt;"",_xlfn._xlws.FILTER(R:R,($BT:$BT=$BT673)*($I:$I=$I673)*($T:$T=$T673)*($S:$S=_xlfn.MINIFS($S:$S,$T:$T,"="&amp;$T673)),""))))&amp;"",IF(R673="","",""))&amp;""</f>
        <v/>
      </c>
      <c r="AZ673" s="6">
        <f t="shared" si="1117"/>
        <v>55</v>
      </c>
      <c r="BA673">
        <f t="shared" ref="BA673:BC673" si="1172">BA672</f>
        <v>18991</v>
      </c>
      <c r="BB673" t="str">
        <f t="shared" si="1172"/>
        <v>Triple J</v>
      </c>
      <c r="BC673" t="str">
        <f t="shared" si="1172"/>
        <v>Velodrome</v>
      </c>
      <c r="BD673" t="str">
        <f t="shared" si="1119"/>
        <v>Shot</v>
      </c>
      <c r="BE673" t="str">
        <f t="shared" si="1120"/>
        <v>Shot_Blocked</v>
      </c>
      <c r="BF673" t="str">
        <f t="shared" si="1121"/>
        <v>Shot-Wrist</v>
      </c>
      <c r="BG673" t="str">
        <f t="shared" si="1104"/>
        <v>u</v>
      </c>
      <c r="BH673" t="e" cm="1" vm="1">
        <f t="array" aca="1" ref="BH673" ca="1">IFERROR(_xlfn._xlws.FILTER(shifts!A:A,(shifts!B:B=events!Z673)*(shifts!AG:AG&gt;=events!BJ673)*(shifts!AH:AH&lt;=events!BK673)),BH672)</f>
        <v>#VALUE!</v>
      </c>
      <c r="BI673" s="15">
        <f t="shared" si="1122"/>
        <v>0</v>
      </c>
      <c r="BJ673">
        <f t="shared" si="1123"/>
        <v>505</v>
      </c>
      <c r="BK673">
        <f t="shared" si="1124"/>
        <v>505</v>
      </c>
      <c r="BL673" s="15">
        <f>SUMIFS(BI$2:BI673,K$2:K673,"=Intermission")+SUMIFS(BI$2:BI673,K$2:K673,"=Timeout")</f>
        <v>0</v>
      </c>
      <c r="BM673">
        <f t="shared" si="1125"/>
        <v>0</v>
      </c>
      <c r="BN673" s="19">
        <f t="shared" si="1126"/>
        <v>575</v>
      </c>
      <c r="BO673">
        <f t="shared" si="1127"/>
        <v>570</v>
      </c>
      <c r="BP673" s="17">
        <f t="shared" si="1128"/>
        <v>575</v>
      </c>
      <c r="BQ673" t="str">
        <f t="shared" si="1129"/>
        <v>opp_team_player_1</v>
      </c>
      <c r="BR673">
        <f>COUNTIFS(S$3:S673,"="&amp;S673,AH$3:AH673,"="&amp;AH673)</f>
        <v>1</v>
      </c>
      <c r="BS673" t="str">
        <f>IFERROR(VLOOKUP(BA673&amp;BT673&amp;X673,game_rosters!U:W,3,FALSE),"")</f>
        <v>P100105</v>
      </c>
      <c r="BT673" t="str">
        <f t="shared" si="1130"/>
        <v>Velodrome</v>
      </c>
    </row>
    <row r="674" spans="1:72" x14ac:dyDescent="0.2">
      <c r="A674">
        <f t="shared" si="1131"/>
        <v>1</v>
      </c>
      <c r="D674" s="26" t="s">
        <v>729</v>
      </c>
      <c r="E674" s="4"/>
      <c r="F674" s="45"/>
      <c r="G674" s="4"/>
      <c r="H674" s="47"/>
      <c r="J674" s="26" t="s">
        <v>368</v>
      </c>
      <c r="K674" t="s">
        <v>9</v>
      </c>
      <c r="L674" t="s">
        <v>173</v>
      </c>
      <c r="M674" t="s">
        <v>76</v>
      </c>
      <c r="N674" t="str">
        <f t="shared" si="1150"/>
        <v>u</v>
      </c>
      <c r="Q674" t="str">
        <f t="shared" si="1144"/>
        <v/>
      </c>
      <c r="S674">
        <f>IF(A674=1,MAX($S$2:$S673)+1,IF(OR($I674&lt;&gt;"",A674="x"),$S673,""))</f>
        <v>334</v>
      </c>
      <c r="T674">
        <f>IF(D674=1,MAX($T$2:$T673)+1,IF(S674=S673,$T673,IF(D674="x",T673,IF(D673="x","",""))))</f>
        <v>45</v>
      </c>
      <c r="U674" t="str">
        <f>IF(B674=1,MAX($U$2:$U673)+1,IF(AND($T674&lt;&gt;"",$T674=$T673),$U673,IF(B674="x",U673,"")))</f>
        <v/>
      </c>
      <c r="V674" t="str">
        <f>IF(C674=1,MAX($V$2:$V673)+1,IF(AND($T674&lt;&gt;"",$T674=$T673),$U673,IF(C674="x",V673,"")))</f>
        <v/>
      </c>
      <c r="W674" t="str" cm="1">
        <f t="array" ref="W674">IFERROR(_xlfn._xlws.FILTER(game_rosters!AC:AC,(game_rosters!J:J=events!X674)*(K674&lt;&gt;"")),"")</f>
        <v>h</v>
      </c>
      <c r="X674" cm="1">
        <f t="array" ref="X674">IF($I674&lt;&gt;"",$I674,INDEX($I$1:$I674,ROW()-COUNTIFS($T$1:$T674,"="&amp;$T674,$S$1:$S674,"&lt;"&amp;$S674)))</f>
        <v>21</v>
      </c>
      <c r="Y674" cm="1">
        <f t="array" ref="Y674">IFERROR(IF(_xlfn._xlws.FILTER(game_rosters!$J:$J,(game_rosters!$G:$G=events!$AM674)*(game_rosters!$J:$J=events!$X674))&gt;0,1,""),"")</f>
        <v>1</v>
      </c>
      <c r="Z674" s="6">
        <f t="shared" si="1106"/>
        <v>1</v>
      </c>
      <c r="AA674">
        <f t="shared" si="1107"/>
        <v>1334</v>
      </c>
      <c r="AB674">
        <f t="shared" si="1108"/>
        <v>9045</v>
      </c>
      <c r="AC674">
        <f t="shared" si="1109"/>
        <v>9045</v>
      </c>
      <c r="AD674" t="str">
        <f t="shared" si="1110"/>
        <v>8</v>
      </c>
      <c r="AE674" t="str">
        <f t="shared" si="1111"/>
        <v>25</v>
      </c>
      <c r="AF674" t="str">
        <f t="shared" si="1112"/>
        <v/>
      </c>
      <c r="AG674" t="str">
        <f t="shared" si="1113"/>
        <v/>
      </c>
      <c r="AH674" t="str">
        <f t="shared" si="1157"/>
        <v>e</v>
      </c>
      <c r="AI674" t="str">
        <f t="shared" si="1158"/>
        <v>o</v>
      </c>
      <c r="AJ674" t="str">
        <f t="shared" si="1158"/>
        <v>o</v>
      </c>
      <c r="AK674" t="str">
        <f t="shared" si="1159"/>
        <v>o</v>
      </c>
      <c r="AL674" t="str">
        <f t="shared" si="1160"/>
        <v>d</v>
      </c>
      <c r="AM674" t="str">
        <f t="shared" si="1114"/>
        <v>Home</v>
      </c>
      <c r="AN674" t="str">
        <f t="shared" si="1161"/>
        <v>h</v>
      </c>
      <c r="AO674" t="str">
        <f t="shared" si="1162"/>
        <v>o</v>
      </c>
      <c r="AP674" t="str">
        <f t="shared" si="1163"/>
        <v>d</v>
      </c>
      <c r="AQ674" t="str">
        <f>IF(AM674&lt;&gt;"",AM674,IF($AC674=#REF!,#REF!,""))</f>
        <v>Home</v>
      </c>
      <c r="AR674" t="str">
        <f t="shared" si="1164"/>
        <v>h</v>
      </c>
      <c r="AS674" t="str">
        <f t="shared" si="1165"/>
        <v>Offensive</v>
      </c>
      <c r="AT674" t="str">
        <f t="shared" si="1115"/>
        <v/>
      </c>
      <c r="AU674" t="str">
        <f t="shared" si="1116"/>
        <v/>
      </c>
      <c r="AV674" t="str" cm="1">
        <f t="array" ref="AV674">IFERROR(IF(O674&lt;&gt;"",O674,IF(OR($S674="",$T674=""),"",IF(O674&lt;&gt;"",O674,IF($T674&lt;&gt;"",_xlfn._xlws.FILTER(O:O,($BT:$BT=$BT674)*($I:$I=$I674)*($T:$T=$T674)*($S:$S=_xlfn.MINIFS($S:$S,$T:$T,"="&amp;$T674)),"")))))&amp;"",IF(O674="","",""))&amp;""</f>
        <v/>
      </c>
      <c r="AW674" t="str" cm="1">
        <f t="array" ref="AW674">IFERROR(IF(P674&lt;&gt;"",P674,IF(OR($S674="",$T674=""),"",IF($T674&lt;&gt;"",_xlfn._xlws.FILTER(P:P,($BT:$BT=$BT674)*($I:$I=$I674)*($T:$T=$T674)*($S:$S=_xlfn.MINIFS($S:$S,$T:$T,"="&amp;$T674)),""))))&amp;"",IF(P674="","",""))&amp;""</f>
        <v/>
      </c>
      <c r="AX674" t="str" cm="1">
        <f t="array" ref="AX674">IFERROR(IF(Q674&lt;&gt;"",Q674,IF(OR($S674="",$T674=""),"",IF($T674&lt;&gt;"",_xlfn._xlws.FILTER(Q:Q,($BT:$BT=$BT674)*($I:$I=$I674)*($T:$T=$T674)*($S:$S=_xlfn.MINIFS($S:$S,$T:$T,"="&amp;$T674)),""))))&amp;"",IF(Q674="","",""))&amp;""</f>
        <v/>
      </c>
      <c r="AY674" t="str" cm="1">
        <f t="array" ref="AY674">IFERROR(IF(R674&lt;&gt;"",R674,IF(OR($S674="",$T674=""),"",IF($T674&lt;&gt;"",_xlfn._xlws.FILTER(R:R,($BT:$BT=$BT674)*($I:$I=$I674)*($T:$T=$T674)*($S:$S=_xlfn.MINIFS($S:$S,$T:$T,"="&amp;$T674)),""))))&amp;"",IF(R674="","",""))&amp;""</f>
        <v/>
      </c>
      <c r="AZ674" s="6">
        <f t="shared" si="1117"/>
        <v>55</v>
      </c>
      <c r="BA674">
        <f t="shared" ref="BA674:BC674" si="1173">BA673</f>
        <v>18991</v>
      </c>
      <c r="BB674" t="str">
        <f t="shared" si="1173"/>
        <v>Triple J</v>
      </c>
      <c r="BC674" t="str">
        <f t="shared" si="1173"/>
        <v>Velodrome</v>
      </c>
      <c r="BD674" t="str">
        <f t="shared" si="1119"/>
        <v>Turnover</v>
      </c>
      <c r="BE674" t="str">
        <f t="shared" si="1120"/>
        <v>Turnover_Giveaway</v>
      </c>
      <c r="BF674" t="str">
        <f t="shared" si="1121"/>
        <v>Giveaway-ShotBlocked</v>
      </c>
      <c r="BG674" t="str">
        <f t="shared" si="1104"/>
        <v>u</v>
      </c>
      <c r="BH674" t="e" cm="1" vm="1">
        <f t="array" aca="1" ref="BH674" ca="1">IFERROR(_xlfn._xlws.FILTER(shifts!A:A,(shifts!B:B=events!Z674)*(shifts!AG:AG&gt;=events!BJ674)*(shifts!AH:AH&lt;=events!BK674)),BH673)</f>
        <v>#VALUE!</v>
      </c>
      <c r="BI674" s="15">
        <f t="shared" si="1122"/>
        <v>0</v>
      </c>
      <c r="BJ674">
        <f t="shared" si="1123"/>
        <v>505</v>
      </c>
      <c r="BK674">
        <f t="shared" si="1124"/>
        <v>505</v>
      </c>
      <c r="BL674" s="15">
        <f>SUMIFS(BI$2:BI674,K$2:K674,"=Intermission")+SUMIFS(BI$2:BI674,K$2:K674,"=Timeout")</f>
        <v>0</v>
      </c>
      <c r="BM674">
        <f t="shared" si="1125"/>
        <v>0</v>
      </c>
      <c r="BN674" s="19">
        <f t="shared" si="1126"/>
        <v>575</v>
      </c>
      <c r="BO674">
        <f t="shared" si="1127"/>
        <v>570</v>
      </c>
      <c r="BP674" s="17">
        <f t="shared" si="1128"/>
        <v>575</v>
      </c>
      <c r="BQ674" t="str">
        <f t="shared" si="1129"/>
        <v>event_team_player_1</v>
      </c>
      <c r="BR674">
        <f>COUNTIFS(S$3:S674,"="&amp;S674,AH$3:AH674,"="&amp;AH674)</f>
        <v>1</v>
      </c>
      <c r="BS674" t="str">
        <f>IFERROR(VLOOKUP(BA674&amp;BT674&amp;X674,game_rosters!U:W,3,FALSE),"")</f>
        <v>P100019</v>
      </c>
      <c r="BT674" t="str">
        <f t="shared" si="1130"/>
        <v>Triple J</v>
      </c>
    </row>
    <row r="675" spans="1:72" x14ac:dyDescent="0.2">
      <c r="A675" t="str">
        <f t="shared" si="1131"/>
        <v>x</v>
      </c>
      <c r="D675" s="26" t="s">
        <v>729</v>
      </c>
      <c r="E675" s="4"/>
      <c r="F675" s="45"/>
      <c r="G675" s="4"/>
      <c r="H675" s="47"/>
      <c r="J675" s="26" t="str">
        <f t="shared" si="1132"/>
        <v/>
      </c>
      <c r="N675" t="str">
        <f t="shared" si="1150"/>
        <v/>
      </c>
      <c r="Q675" t="str">
        <f t="shared" si="1144"/>
        <v/>
      </c>
      <c r="S675">
        <f>IF(A675=1,MAX($S$2:$S674)+1,IF(OR($I675&lt;&gt;"",A675="x"),$S674,""))</f>
        <v>334</v>
      </c>
      <c r="T675">
        <f>IF(D675=1,MAX($T$2:$T674)+1,IF(S675=S674,$T674,IF(D675="x",T674,IF(D674="x","",""))))</f>
        <v>45</v>
      </c>
      <c r="U675" t="str">
        <f>IF(B675=1,MAX($U$2:$U674)+1,IF(AND($T675&lt;&gt;"",$T675=$T674),$U674,IF(B675="x",U674,"")))</f>
        <v/>
      </c>
      <c r="V675" t="str">
        <f>IF(C675=1,MAX($V$2:$V674)+1,IF(AND($T675&lt;&gt;"",$T675=$T674),$U674,IF(C675="x",V674,"")))</f>
        <v/>
      </c>
      <c r="W675" t="str" cm="1">
        <f t="array" ref="W675">IFERROR(_xlfn._xlws.FILTER(game_rosters!AC:AC,(game_rosters!J:J=events!X675)*(K675&lt;&gt;"")),"")</f>
        <v/>
      </c>
      <c r="X675" cm="1">
        <f t="array" ref="X675">IF($I675&lt;&gt;"",$I675,INDEX($I$1:$I675,ROW()-COUNTIFS($T$1:$T675,"="&amp;$T675,$S$1:$S675,"&lt;"&amp;$S675)))</f>
        <v>9</v>
      </c>
      <c r="Y675" t="str" cm="1">
        <f t="array" ref="Y675">IFERROR(IF(_xlfn._xlws.FILTER(game_rosters!$J:$J,(game_rosters!$G:$G=events!$AM675)*(game_rosters!$J:$J=events!$X675))&gt;0,1,""),"")</f>
        <v/>
      </c>
      <c r="Z675" s="6">
        <f t="shared" si="1106"/>
        <v>1</v>
      </c>
      <c r="AA675">
        <f t="shared" si="1107"/>
        <v>1334</v>
      </c>
      <c r="AB675">
        <f t="shared" si="1108"/>
        <v>9045</v>
      </c>
      <c r="AC675">
        <f t="shared" si="1109"/>
        <v>9045</v>
      </c>
      <c r="AD675" t="str">
        <f t="shared" si="1110"/>
        <v>8</v>
      </c>
      <c r="AE675" t="str">
        <f t="shared" si="1111"/>
        <v>25</v>
      </c>
      <c r="AF675" t="str">
        <f t="shared" si="1112"/>
        <v/>
      </c>
      <c r="AG675" t="str">
        <f t="shared" si="1113"/>
        <v/>
      </c>
      <c r="AH675" t="str">
        <f t="shared" si="1157"/>
        <v>o</v>
      </c>
      <c r="AI675" t="str">
        <f t="shared" si="1158"/>
        <v>o</v>
      </c>
      <c r="AJ675" t="str">
        <f t="shared" si="1158"/>
        <v>o</v>
      </c>
      <c r="AK675" t="str">
        <f t="shared" si="1159"/>
        <v/>
      </c>
      <c r="AL675" t="str">
        <f t="shared" si="1160"/>
        <v/>
      </c>
      <c r="AM675" t="str">
        <f t="shared" si="1114"/>
        <v>Home</v>
      </c>
      <c r="AN675" t="str">
        <f t="shared" si="1161"/>
        <v>h</v>
      </c>
      <c r="AO675" t="str">
        <f t="shared" si="1162"/>
        <v>o</v>
      </c>
      <c r="AP675" t="str">
        <f t="shared" si="1163"/>
        <v>d</v>
      </c>
      <c r="AQ675" t="str">
        <f>IF(AM675&lt;&gt;"",AM675,IF($AC675=#REF!,#REF!,""))</f>
        <v>Home</v>
      </c>
      <c r="AR675" t="str">
        <f t="shared" si="1164"/>
        <v>h</v>
      </c>
      <c r="AS675" t="str">
        <f t="shared" si="1165"/>
        <v>Defensive</v>
      </c>
      <c r="AT675" t="str">
        <f t="shared" si="1115"/>
        <v/>
      </c>
      <c r="AU675" t="str">
        <f t="shared" si="1116"/>
        <v/>
      </c>
      <c r="AV675" t="str" cm="1">
        <f t="array" ref="AV675">IFERROR(IF(O675&lt;&gt;"",O675,IF(OR($S675="",$T675=""),"",IF(O675&lt;&gt;"",O675,IF($T675&lt;&gt;"",_xlfn._xlws.FILTER(O:O,($BT:$BT=$BT675)*($I:$I=$I675)*($T:$T=$T675)*($S:$S=_xlfn.MINIFS($S:$S,$T:$T,"="&amp;$T675)),"")))))&amp;"",IF(O675="","",""))&amp;""</f>
        <v/>
      </c>
      <c r="AW675" t="str" cm="1">
        <f t="array" ref="AW675">IFERROR(IF(P675&lt;&gt;"",P675,IF(OR($S675="",$T675=""),"",IF($T675&lt;&gt;"",_xlfn._xlws.FILTER(P:P,($BT:$BT=$BT675)*($I:$I=$I675)*($T:$T=$T675)*($S:$S=_xlfn.MINIFS($S:$S,$T:$T,"="&amp;$T675)),""))))&amp;"",IF(P675="","",""))&amp;""</f>
        <v/>
      </c>
      <c r="AX675" t="str" cm="1">
        <f t="array" ref="AX675">IFERROR(IF(Q675&lt;&gt;"",Q675,IF(OR($S675="",$T675=""),"",IF($T675&lt;&gt;"",_xlfn._xlws.FILTER(Q:Q,($BT:$BT=$BT675)*($I:$I=$I675)*($T:$T=$T675)*($S:$S=_xlfn.MINIFS($S:$S,$T:$T,"="&amp;$T675)),""))))&amp;"",IF(Q675="","",""))&amp;""</f>
        <v/>
      </c>
      <c r="AY675" t="str" cm="1">
        <f t="array" ref="AY675">IFERROR(IF(R675&lt;&gt;"",R675,IF(OR($S675="",$T675=""),"",IF($T675&lt;&gt;"",_xlfn._xlws.FILTER(R:R,($BT:$BT=$BT675)*($I:$I=$I675)*($T:$T=$T675)*($S:$S=_xlfn.MINIFS($S:$S,$T:$T,"="&amp;$T675)),""))))&amp;"",IF(R675="","",""))&amp;""</f>
        <v/>
      </c>
      <c r="AZ675" s="6">
        <f t="shared" si="1117"/>
        <v>55</v>
      </c>
      <c r="BA675">
        <f t="shared" ref="BA675:BC675" si="1174">BA674</f>
        <v>18991</v>
      </c>
      <c r="BB675" t="str">
        <f t="shared" si="1174"/>
        <v>Triple J</v>
      </c>
      <c r="BC675" t="str">
        <f t="shared" si="1174"/>
        <v>Velodrome</v>
      </c>
      <c r="BD675" t="str">
        <f t="shared" si="1119"/>
        <v>Turnover</v>
      </c>
      <c r="BE675" t="str">
        <f t="shared" si="1120"/>
        <v>Turnover_Giveaway</v>
      </c>
      <c r="BF675" t="str">
        <f t="shared" si="1121"/>
        <v>Giveaway-ShotBlocked</v>
      </c>
      <c r="BG675" t="str">
        <f t="shared" si="1104"/>
        <v>u</v>
      </c>
      <c r="BH675" t="e" cm="1" vm="1">
        <f t="array" aca="1" ref="BH675" ca="1">IFERROR(_xlfn._xlws.FILTER(shifts!A:A,(shifts!B:B=events!Z675)*(shifts!AG:AG&gt;=events!BJ675)*(shifts!AH:AH&lt;=events!BK675)),BH674)</f>
        <v>#VALUE!</v>
      </c>
      <c r="BI675" s="15">
        <f t="shared" si="1122"/>
        <v>0</v>
      </c>
      <c r="BJ675">
        <f t="shared" si="1123"/>
        <v>505</v>
      </c>
      <c r="BK675">
        <f t="shared" si="1124"/>
        <v>505</v>
      </c>
      <c r="BL675" s="15">
        <f>SUMIFS(BI$2:BI675,K$2:K675,"=Intermission")+SUMIFS(BI$2:BI675,K$2:K675,"=Timeout")</f>
        <v>0</v>
      </c>
      <c r="BM675">
        <f t="shared" si="1125"/>
        <v>0</v>
      </c>
      <c r="BN675" s="19">
        <f t="shared" si="1126"/>
        <v>575</v>
      </c>
      <c r="BO675">
        <f t="shared" si="1127"/>
        <v>570</v>
      </c>
      <c r="BP675" s="17">
        <f t="shared" si="1128"/>
        <v>575</v>
      </c>
      <c r="BQ675" t="str">
        <f t="shared" si="1129"/>
        <v>opp_team_player_1</v>
      </c>
      <c r="BR675">
        <f>COUNTIFS(S$3:S675,"="&amp;S675,AH$3:AH675,"="&amp;AH675)</f>
        <v>1</v>
      </c>
      <c r="BS675" t="str">
        <f>IFERROR(VLOOKUP(BA675&amp;BT675&amp;X675,game_rosters!U:W,3,FALSE),"")</f>
        <v>P100105</v>
      </c>
      <c r="BT675" t="str">
        <f t="shared" si="1130"/>
        <v>Velodrome</v>
      </c>
    </row>
    <row r="676" spans="1:72" x14ac:dyDescent="0.2">
      <c r="A676">
        <f t="shared" si="1131"/>
        <v>1</v>
      </c>
      <c r="E676" s="4"/>
      <c r="F676" s="45"/>
      <c r="G676" s="4"/>
      <c r="H676" s="47"/>
      <c r="I676" s="26">
        <v>24</v>
      </c>
      <c r="J676" s="26" t="s">
        <v>736</v>
      </c>
      <c r="K676" t="s">
        <v>13</v>
      </c>
      <c r="L676" t="s">
        <v>586</v>
      </c>
      <c r="N676" t="s">
        <v>594</v>
      </c>
      <c r="O676" t="s">
        <v>909</v>
      </c>
      <c r="Q676" t="str">
        <f t="shared" si="1144"/>
        <v>u</v>
      </c>
      <c r="S676">
        <f>IF(A676=1,MAX($S$2:$S675)+1,IF(OR($I676&lt;&gt;"",A676="x"),$S675,""))</f>
        <v>335</v>
      </c>
      <c r="T676" t="str">
        <f>IF(D676=1,MAX($T$2:$T675)+1,IF(S676=S675,$T675,IF(D676="x",T675,IF(D675="x","",""))))</f>
        <v/>
      </c>
      <c r="U676" t="str">
        <f>IF(B676=1,MAX($U$2:$U675)+1,IF(AND($T676&lt;&gt;"",$T676=$T675),$U675,IF(B676="x",U675,"")))</f>
        <v/>
      </c>
      <c r="V676" t="str">
        <f>IF(C676=1,MAX($V$2:$V675)+1,IF(AND($T676&lt;&gt;"",$T676=$T675),$U675,IF(C676="x",V675,"")))</f>
        <v/>
      </c>
      <c r="W676" t="str" cm="1">
        <f t="array" ref="W676">IFERROR(_xlfn._xlws.FILTER(game_rosters!AC:AC,(game_rosters!J:J=events!X676)*(K676&lt;&gt;"")),"")</f>
        <v>a</v>
      </c>
      <c r="X676" cm="1">
        <f t="array" ref="X676">IF($I676&lt;&gt;"",$I676,INDEX($I$1:$I676,ROW()-COUNTIFS($T$1:$T676,"="&amp;$T676,$S$1:$S676,"&lt;"&amp;$S676)))</f>
        <v>24</v>
      </c>
      <c r="Y676" cm="1">
        <f t="array" ref="Y676">IFERROR(IF(_xlfn._xlws.FILTER(game_rosters!$J:$J,(game_rosters!$G:$G=events!$AM676)*(game_rosters!$J:$J=events!$X676))&gt;0,1,""),"")</f>
        <v>1</v>
      </c>
      <c r="Z676" s="6">
        <f t="shared" si="1106"/>
        <v>1</v>
      </c>
      <c r="AA676">
        <f t="shared" si="1107"/>
        <v>1335</v>
      </c>
      <c r="AB676" t="str">
        <f t="shared" si="1108"/>
        <v/>
      </c>
      <c r="AC676">
        <f t="shared" si="1109"/>
        <v>1335</v>
      </c>
      <c r="AD676" t="str">
        <f t="shared" si="1110"/>
        <v>8</v>
      </c>
      <c r="AE676" t="str">
        <f t="shared" si="1111"/>
        <v>25</v>
      </c>
      <c r="AF676" t="str">
        <f t="shared" si="1112"/>
        <v/>
      </c>
      <c r="AG676" t="str">
        <f t="shared" si="1113"/>
        <v/>
      </c>
      <c r="AH676" t="str">
        <f t="shared" si="1157"/>
        <v>e</v>
      </c>
      <c r="AI676" t="str">
        <f t="shared" si="1158"/>
        <v>d</v>
      </c>
      <c r="AJ676" t="str">
        <f t="shared" si="1158"/>
        <v>d</v>
      </c>
      <c r="AK676" t="str">
        <f t="shared" si="1159"/>
        <v>o</v>
      </c>
      <c r="AL676" t="str">
        <f t="shared" si="1160"/>
        <v>d</v>
      </c>
      <c r="AM676" t="str">
        <f t="shared" si="1114"/>
        <v>Away</v>
      </c>
      <c r="AN676" t="str">
        <f t="shared" si="1161"/>
        <v>a</v>
      </c>
      <c r="AO676" t="str">
        <f t="shared" si="1162"/>
        <v>o</v>
      </c>
      <c r="AP676" t="str">
        <f t="shared" si="1163"/>
        <v>d</v>
      </c>
      <c r="AQ676" t="str">
        <f>IF(AM676&lt;&gt;"",AM676,IF($AC676=#REF!,#REF!,""))</f>
        <v>Away</v>
      </c>
      <c r="AR676" t="str">
        <f t="shared" si="1164"/>
        <v>a</v>
      </c>
      <c r="AS676" t="str">
        <f t="shared" si="1165"/>
        <v>Offensive</v>
      </c>
      <c r="AT676" t="str">
        <f t="shared" si="1115"/>
        <v/>
      </c>
      <c r="AU676" t="str">
        <f t="shared" si="1116"/>
        <v/>
      </c>
      <c r="AV676" t="str" cm="1">
        <f t="array" ref="AV676">IFERROR(IF(O676&lt;&gt;"",O676,IF(OR($S676="",$T676=""),"",IF(O676&lt;&gt;"",O676,IF($T676&lt;&gt;"",_xlfn._xlws.FILTER(O:O,($BT:$BT=$BT676)*($I:$I=$I676)*($T:$T=$T676)*($S:$S=_xlfn.MINIFS($S:$S,$T:$T,"="&amp;$T676)),"")))))&amp;"",IF(O676="","",""))&amp;""</f>
        <v>PuckRecoveryRetreivalShot</v>
      </c>
      <c r="AW676" t="str" cm="1">
        <f t="array" ref="AW676">IFERROR(IF(P676&lt;&gt;"",P676,IF(OR($S676="",$T676=""),"",IF($T676&lt;&gt;"",_xlfn._xlws.FILTER(P:P,($BT:$BT=$BT676)*($I:$I=$I676)*($T:$T=$T676)*($S:$S=_xlfn.MINIFS($S:$S,$T:$T,"="&amp;$T676)),""))))&amp;"",IF(P676="","",""))&amp;""</f>
        <v/>
      </c>
      <c r="AX676" t="str" cm="1">
        <f t="array" ref="AX676">IFERROR(IF(Q676&lt;&gt;"",Q676,IF(OR($S676="",$T676=""),"",IF($T676&lt;&gt;"",_xlfn._xlws.FILTER(Q:Q,($BT:$BT=$BT676)*($I:$I=$I676)*($T:$T=$T676)*($S:$S=_xlfn.MINIFS($S:$S,$T:$T,"="&amp;$T676)),""))))&amp;"",IF(Q676="","",""))&amp;""</f>
        <v>u</v>
      </c>
      <c r="AY676" t="str" cm="1">
        <f t="array" ref="AY676">IFERROR(IF(R676&lt;&gt;"",R676,IF(OR($S676="",$T676=""),"",IF($T676&lt;&gt;"",_xlfn._xlws.FILTER(R:R,($BT:$BT=$BT676)*($I:$I=$I676)*($T:$T=$T676)*($S:$S=_xlfn.MINIFS($S:$S,$T:$T,"="&amp;$T676)),""))))&amp;"",IF(R676="","",""))&amp;""</f>
        <v/>
      </c>
      <c r="AZ676" s="6">
        <f t="shared" si="1117"/>
        <v>55</v>
      </c>
      <c r="BA676">
        <f t="shared" ref="BA676:BC676" si="1175">BA675</f>
        <v>18991</v>
      </c>
      <c r="BB676" t="str">
        <f t="shared" si="1175"/>
        <v>Triple J</v>
      </c>
      <c r="BC676" t="str">
        <f t="shared" si="1175"/>
        <v>Velodrome</v>
      </c>
      <c r="BD676" t="str">
        <f t="shared" si="1119"/>
        <v>Possession</v>
      </c>
      <c r="BE676" t="str">
        <f t="shared" si="1120"/>
        <v>PuckRetrieval</v>
      </c>
      <c r="BF676" t="str">
        <f t="shared" si="1121"/>
        <v/>
      </c>
      <c r="BG676" t="str">
        <f t="shared" si="1104"/>
        <v>u</v>
      </c>
      <c r="BH676" t="e" cm="1" vm="1">
        <f t="array" aca="1" ref="BH676" ca="1">IFERROR(_xlfn._xlws.FILTER(shifts!A:A,(shifts!B:B=events!Z676)*(shifts!AG:AG&gt;=events!BJ676)*(shifts!AH:AH&lt;=events!BK676)),BH675)</f>
        <v>#VALUE!</v>
      </c>
      <c r="BI676" s="15">
        <f t="shared" si="1122"/>
        <v>0</v>
      </c>
      <c r="BJ676">
        <f t="shared" si="1123"/>
        <v>505</v>
      </c>
      <c r="BK676">
        <f t="shared" si="1124"/>
        <v>505</v>
      </c>
      <c r="BL676" s="15">
        <f>SUMIFS(BI$2:BI676,K$2:K676,"=Intermission")+SUMIFS(BI$2:BI676,K$2:K676,"=Timeout")</f>
        <v>0</v>
      </c>
      <c r="BM676">
        <f t="shared" si="1125"/>
        <v>0</v>
      </c>
      <c r="BN676" s="19">
        <f t="shared" si="1126"/>
        <v>575</v>
      </c>
      <c r="BO676">
        <f t="shared" si="1127"/>
        <v>570</v>
      </c>
      <c r="BP676" s="17">
        <f t="shared" si="1128"/>
        <v>575</v>
      </c>
      <c r="BQ676" t="str">
        <f t="shared" si="1129"/>
        <v>event_team_player_1</v>
      </c>
      <c r="BR676">
        <f>COUNTIFS(S$3:S676,"="&amp;S676,AH$3:AH676,"="&amp;AH676)</f>
        <v>1</v>
      </c>
      <c r="BS676" t="str">
        <f>IFERROR(VLOOKUP(BA676&amp;BT676&amp;X676,game_rosters!U:W,3,FALSE),"")</f>
        <v>P100230</v>
      </c>
      <c r="BT676" t="str">
        <f t="shared" si="1130"/>
        <v>Velodrome</v>
      </c>
    </row>
    <row r="677" spans="1:72" x14ac:dyDescent="0.2">
      <c r="A677">
        <f t="shared" si="1131"/>
        <v>1</v>
      </c>
      <c r="E677" s="4"/>
      <c r="F677" s="45"/>
      <c r="G677" s="4"/>
      <c r="H677" s="47"/>
      <c r="I677" s="26">
        <v>24</v>
      </c>
      <c r="J677" s="26" t="s">
        <v>736</v>
      </c>
      <c r="K677" t="s">
        <v>9</v>
      </c>
      <c r="L677" t="s">
        <v>173</v>
      </c>
      <c r="M677" t="s">
        <v>365</v>
      </c>
      <c r="N677" t="str">
        <f t="shared" si="1150"/>
        <v>u</v>
      </c>
      <c r="O677" t="s">
        <v>769</v>
      </c>
      <c r="P677" t="s">
        <v>576</v>
      </c>
      <c r="Q677" t="str">
        <f t="shared" si="1144"/>
        <v>u</v>
      </c>
      <c r="S677">
        <f>IF(A677=1,MAX($S$2:$S676)+1,IF(OR($I677&lt;&gt;"",A677="x"),$S676,""))</f>
        <v>336</v>
      </c>
      <c r="T677" t="str">
        <f>IF(D677=1,MAX($T$2:$T676)+1,IF(S677=S676,$T676,IF(D677="x",T676,IF(D676="x","",""))))</f>
        <v/>
      </c>
      <c r="U677" t="str">
        <f>IF(B677=1,MAX($U$2:$U676)+1,IF(AND($T677&lt;&gt;"",$T677=$T676),$U676,IF(B677="x",U676,"")))</f>
        <v/>
      </c>
      <c r="V677" t="str">
        <f>IF(C677=1,MAX($V$2:$V676)+1,IF(AND($T677&lt;&gt;"",$T677=$T676),$U676,IF(C677="x",V676,"")))</f>
        <v/>
      </c>
      <c r="W677" t="str" cm="1">
        <f t="array" ref="W677">IFERROR(_xlfn._xlws.FILTER(game_rosters!AC:AC,(game_rosters!J:J=events!X677)*(K677&lt;&gt;"")),"")</f>
        <v>a</v>
      </c>
      <c r="X677" cm="1">
        <f t="array" ref="X677">IF($I677&lt;&gt;"",$I677,INDEX($I$1:$I677,ROW()-COUNTIFS($T$1:$T677,"="&amp;$T677,$S$1:$S677,"&lt;"&amp;$S677)))</f>
        <v>24</v>
      </c>
      <c r="Y677" cm="1">
        <f t="array" ref="Y677">IFERROR(IF(_xlfn._xlws.FILTER(game_rosters!$J:$J,(game_rosters!$G:$G=events!$AM677)*(game_rosters!$J:$J=events!$X677))&gt;0,1,""),"")</f>
        <v>1</v>
      </c>
      <c r="Z677" s="6">
        <f t="shared" si="1106"/>
        <v>1</v>
      </c>
      <c r="AA677">
        <f t="shared" si="1107"/>
        <v>1336</v>
      </c>
      <c r="AB677" t="str">
        <f t="shared" si="1108"/>
        <v/>
      </c>
      <c r="AC677">
        <f t="shared" si="1109"/>
        <v>1336</v>
      </c>
      <c r="AD677" t="str">
        <f t="shared" si="1110"/>
        <v>8</v>
      </c>
      <c r="AE677" t="str">
        <f t="shared" si="1111"/>
        <v>25</v>
      </c>
      <c r="AF677" t="str">
        <f t="shared" si="1112"/>
        <v/>
      </c>
      <c r="AG677" t="str">
        <f t="shared" si="1113"/>
        <v/>
      </c>
      <c r="AH677" t="str">
        <f t="shared" si="1157"/>
        <v>e</v>
      </c>
      <c r="AI677" t="str">
        <f t="shared" si="1158"/>
        <v>d</v>
      </c>
      <c r="AJ677" t="str">
        <f t="shared" si="1158"/>
        <v>d</v>
      </c>
      <c r="AK677" t="str">
        <f t="shared" si="1159"/>
        <v>o</v>
      </c>
      <c r="AL677" t="str">
        <f t="shared" si="1160"/>
        <v>d</v>
      </c>
      <c r="AM677" t="str">
        <f t="shared" si="1114"/>
        <v>Away</v>
      </c>
      <c r="AN677" t="str">
        <f t="shared" si="1161"/>
        <v>a</v>
      </c>
      <c r="AO677" t="str">
        <f t="shared" si="1162"/>
        <v>o</v>
      </c>
      <c r="AP677" t="str">
        <f t="shared" si="1163"/>
        <v>d</v>
      </c>
      <c r="AQ677" t="str">
        <f>IF(AM677&lt;&gt;"",AM677,IF($AC677=#REF!,#REF!,""))</f>
        <v>Away</v>
      </c>
      <c r="AR677" t="str">
        <f t="shared" si="1164"/>
        <v>a</v>
      </c>
      <c r="AS677" t="str">
        <f t="shared" si="1165"/>
        <v>Offensive</v>
      </c>
      <c r="AT677" t="str">
        <f t="shared" si="1115"/>
        <v/>
      </c>
      <c r="AU677" t="str">
        <f t="shared" si="1116"/>
        <v/>
      </c>
      <c r="AV677" t="str" cm="1">
        <f t="array" ref="AV677">IFERROR(IF(O677&lt;&gt;"",O677,IF(OR($S677="",$T677=""),"",IF(O677&lt;&gt;"",O677,IF($T677&lt;&gt;"",_xlfn._xlws.FILTER(O:O,($BT:$BT=$BT677)*($I:$I=$I677)*($T:$T=$T677)*($S:$S=_xlfn.MINIFS($S:$S,$T:$T,"="&amp;$T677)),"")))))&amp;"",IF(O677="","",""))&amp;""</f>
        <v>AttemptedBreakOutClear</v>
      </c>
      <c r="AW677" t="str" cm="1">
        <f t="array" ref="AW677">IFERROR(IF(P677&lt;&gt;"",P677,IF(OR($S677="",$T677=""),"",IF($T677&lt;&gt;"",_xlfn._xlws.FILTER(P:P,($BT:$BT=$BT677)*($I:$I=$I677)*($T:$T=$T677)*($S:$S=_xlfn.MINIFS($S:$S,$T:$T,"="&amp;$T677)),""))))&amp;"",IF(P677="","",""))&amp;""</f>
        <v>SecondTouch</v>
      </c>
      <c r="AX677" t="str" cm="1">
        <f t="array" ref="AX677">IFERROR(IF(Q677&lt;&gt;"",Q677,IF(OR($S677="",$T677=""),"",IF($T677&lt;&gt;"",_xlfn._xlws.FILTER(Q:Q,($BT:$BT=$BT677)*($I:$I=$I677)*($T:$T=$T677)*($S:$S=_xlfn.MINIFS($S:$S,$T:$T,"="&amp;$T677)),""))))&amp;"",IF(Q677="","",""))&amp;""</f>
        <v>u</v>
      </c>
      <c r="AY677" t="str" cm="1">
        <f t="array" ref="AY677">IFERROR(IF(R677&lt;&gt;"",R677,IF(OR($S677="",$T677=""),"",IF($T677&lt;&gt;"",_xlfn._xlws.FILTER(R:R,($BT:$BT=$BT677)*($I:$I=$I677)*($T:$T=$T677)*($S:$S=_xlfn.MINIFS($S:$S,$T:$T,"="&amp;$T677)),""))))&amp;"",IF(R677="","",""))&amp;""</f>
        <v/>
      </c>
      <c r="AZ677" s="6">
        <f t="shared" si="1117"/>
        <v>55</v>
      </c>
      <c r="BA677">
        <f t="shared" ref="BA677:BC677" si="1176">BA676</f>
        <v>18991</v>
      </c>
      <c r="BB677" t="str">
        <f t="shared" si="1176"/>
        <v>Triple J</v>
      </c>
      <c r="BC677" t="str">
        <f t="shared" si="1176"/>
        <v>Velodrome</v>
      </c>
      <c r="BD677" t="str">
        <f t="shared" si="1119"/>
        <v>Turnover</v>
      </c>
      <c r="BE677" t="str">
        <f t="shared" si="1120"/>
        <v>Turnover_Giveaway</v>
      </c>
      <c r="BF677" t="str">
        <f t="shared" si="1121"/>
        <v>Giveaway-AttemptedZoneClear/Dump</v>
      </c>
      <c r="BG677" t="str">
        <f t="shared" si="1104"/>
        <v>u</v>
      </c>
      <c r="BH677" t="e" cm="1" vm="1">
        <f t="array" aca="1" ref="BH677" ca="1">IFERROR(_xlfn._xlws.FILTER(shifts!A:A,(shifts!B:B=events!Z677)*(shifts!AG:AG&gt;=events!BJ677)*(shifts!AH:AH&lt;=events!BK677)),BH676)</f>
        <v>#VALUE!</v>
      </c>
      <c r="BI677" s="15">
        <f t="shared" si="1122"/>
        <v>0</v>
      </c>
      <c r="BJ677">
        <f t="shared" si="1123"/>
        <v>505</v>
      </c>
      <c r="BK677">
        <f t="shared" si="1124"/>
        <v>505</v>
      </c>
      <c r="BL677" s="15">
        <f>SUMIFS(BI$2:BI677,K$2:K677,"=Intermission")+SUMIFS(BI$2:BI677,K$2:K677,"=Timeout")</f>
        <v>0</v>
      </c>
      <c r="BM677">
        <f t="shared" si="1125"/>
        <v>0</v>
      </c>
      <c r="BN677" s="19">
        <f t="shared" si="1126"/>
        <v>575</v>
      </c>
      <c r="BO677">
        <f t="shared" si="1127"/>
        <v>570</v>
      </c>
      <c r="BP677" s="17">
        <f t="shared" si="1128"/>
        <v>575</v>
      </c>
      <c r="BQ677" t="str">
        <f t="shared" si="1129"/>
        <v>event_team_player_1</v>
      </c>
      <c r="BR677">
        <f>COUNTIFS(S$3:S677,"="&amp;S677,AH$3:AH677,"="&amp;AH677)</f>
        <v>1</v>
      </c>
      <c r="BS677" t="str">
        <f>IFERROR(VLOOKUP(BA677&amp;BT677&amp;X677,game_rosters!U:W,3,FALSE),"")</f>
        <v>P100230</v>
      </c>
      <c r="BT677" t="str">
        <f t="shared" si="1130"/>
        <v>Velodrome</v>
      </c>
    </row>
    <row r="678" spans="1:72" x14ac:dyDescent="0.2">
      <c r="A678">
        <f t="shared" si="1131"/>
        <v>1</v>
      </c>
      <c r="E678" s="4"/>
      <c r="F678" s="45" t="s">
        <v>741</v>
      </c>
      <c r="G678" s="4"/>
      <c r="H678" s="47"/>
      <c r="I678" s="26">
        <v>41</v>
      </c>
      <c r="J678" s="26" t="s">
        <v>368</v>
      </c>
      <c r="K678" t="s">
        <v>238</v>
      </c>
      <c r="L678" t="s">
        <v>193</v>
      </c>
      <c r="M678" t="s">
        <v>91</v>
      </c>
      <c r="N678" t="s">
        <v>594</v>
      </c>
      <c r="Q678" t="str">
        <f t="shared" si="1144"/>
        <v/>
      </c>
      <c r="S678">
        <f>IF(A678=1,MAX($S$2:$S677)+1,IF(OR($I678&lt;&gt;"",A678="x"),$S677,""))</f>
        <v>337</v>
      </c>
      <c r="T678" t="str">
        <f>IF(D678=1,MAX($T$2:$T677)+1,IF(S678=S677,$T677,IF(D678="x",T677,IF(D677="x","",""))))</f>
        <v/>
      </c>
      <c r="U678" t="str">
        <f>IF(B678=1,MAX($U$2:$U677)+1,IF(AND($T678&lt;&gt;"",$T678=$T677),$U677,IF(B678="x",U677,"")))</f>
        <v/>
      </c>
      <c r="V678" t="str">
        <f>IF(C678=1,MAX($V$2:$V677)+1,IF(AND($T678&lt;&gt;"",$T678=$T677),$U677,IF(C678="x",V677,"")))</f>
        <v/>
      </c>
      <c r="W678" t="str" cm="1">
        <f t="array" ref="W678">IFERROR(_xlfn._xlws.FILTER(game_rosters!AC:AC,(game_rosters!J:J=events!X678)*(K678&lt;&gt;"")),"")</f>
        <v>h</v>
      </c>
      <c r="X678" cm="1">
        <f t="array" ref="X678">IF($I678&lt;&gt;"",$I678,INDEX($I$1:$I678,ROW()-COUNTIFS($T$1:$T678,"="&amp;$T678,$S$1:$S678,"&lt;"&amp;$S678)))</f>
        <v>41</v>
      </c>
      <c r="Y678" cm="1">
        <f t="array" ref="Y678">IFERROR(IF(_xlfn._xlws.FILTER(game_rosters!$J:$J,(game_rosters!$G:$G=events!$AM678)*(game_rosters!$J:$J=events!$X678))&gt;0,1,""),"")</f>
        <v>1</v>
      </c>
      <c r="Z678" s="6">
        <f t="shared" si="1106"/>
        <v>1</v>
      </c>
      <c r="AA678">
        <f t="shared" si="1107"/>
        <v>1337</v>
      </c>
      <c r="AB678" t="str">
        <f t="shared" si="1108"/>
        <v/>
      </c>
      <c r="AC678">
        <f t="shared" si="1109"/>
        <v>1337</v>
      </c>
      <c r="AD678" t="str">
        <f t="shared" si="1110"/>
        <v>8</v>
      </c>
      <c r="AE678" t="str">
        <f t="shared" si="1111"/>
        <v>21</v>
      </c>
      <c r="AF678" t="str">
        <f t="shared" si="1112"/>
        <v/>
      </c>
      <c r="AG678" t="str">
        <f t="shared" si="1113"/>
        <v/>
      </c>
      <c r="AH678" t="str">
        <f t="shared" si="1157"/>
        <v>e</v>
      </c>
      <c r="AI678" t="str">
        <f t="shared" si="1158"/>
        <v>o</v>
      </c>
      <c r="AJ678" t="str">
        <f t="shared" si="1158"/>
        <v>o</v>
      </c>
      <c r="AK678" t="str">
        <f t="shared" si="1159"/>
        <v>o</v>
      </c>
      <c r="AL678" t="str">
        <f t="shared" si="1160"/>
        <v>d</v>
      </c>
      <c r="AM678" t="str">
        <f t="shared" si="1114"/>
        <v>Home</v>
      </c>
      <c r="AN678" t="str">
        <f t="shared" si="1161"/>
        <v>h</v>
      </c>
      <c r="AO678" t="str">
        <f t="shared" si="1162"/>
        <v>o</v>
      </c>
      <c r="AP678" t="str">
        <f t="shared" si="1163"/>
        <v>d</v>
      </c>
      <c r="AQ678" t="str">
        <f>IF(AM678&lt;&gt;"",AM678,IF($AC678=#REF!,#REF!,""))</f>
        <v>Home</v>
      </c>
      <c r="AR678" t="str">
        <f t="shared" si="1164"/>
        <v>h</v>
      </c>
      <c r="AS678" t="str">
        <f t="shared" si="1165"/>
        <v>Offensive</v>
      </c>
      <c r="AT678" t="str">
        <f t="shared" si="1115"/>
        <v/>
      </c>
      <c r="AU678" t="str">
        <f t="shared" si="1116"/>
        <v/>
      </c>
      <c r="AV678" t="str" cm="1">
        <f t="array" ref="AV678">IFERROR(IF(O678&lt;&gt;"",O678,IF(OR($S678="",$T678=""),"",IF(O678&lt;&gt;"",O678,IF($T678&lt;&gt;"",_xlfn._xlws.FILTER(O:O,($BT:$BT=$BT678)*($I:$I=$I678)*($T:$T=$T678)*($S:$S=_xlfn.MINIFS($S:$S,$T:$T,"="&amp;$T678)),"")))))&amp;"",IF(O678="","",""))&amp;""</f>
        <v/>
      </c>
      <c r="AW678" t="str" cm="1">
        <f t="array" ref="AW678">IFERROR(IF(P678&lt;&gt;"",P678,IF(OR($S678="",$T678=""),"",IF($T678&lt;&gt;"",_xlfn._xlws.FILTER(P:P,($BT:$BT=$BT678)*($I:$I=$I678)*($T:$T=$T678)*($S:$S=_xlfn.MINIFS($S:$S,$T:$T,"="&amp;$T678)),""))))&amp;"",IF(P678="","",""))&amp;""</f>
        <v/>
      </c>
      <c r="AX678" t="str" cm="1">
        <f t="array" ref="AX678">IFERROR(IF(Q678&lt;&gt;"",Q678,IF(OR($S678="",$T678=""),"",IF($T678&lt;&gt;"",_xlfn._xlws.FILTER(Q:Q,($BT:$BT=$BT678)*($I:$I=$I678)*($T:$T=$T678)*($S:$S=_xlfn.MINIFS($S:$S,$T:$T,"="&amp;$T678)),""))))&amp;"",IF(Q678="","",""))&amp;""</f>
        <v/>
      </c>
      <c r="AY678" t="str" cm="1">
        <f t="array" ref="AY678">IFERROR(IF(R678&lt;&gt;"",R678,IF(OR($S678="",$T678=""),"",IF($T678&lt;&gt;"",_xlfn._xlws.FILTER(R:R,($BT:$BT=$BT678)*($I:$I=$I678)*($T:$T=$T678)*($S:$S=_xlfn.MINIFS($S:$S,$T:$T,"="&amp;$T678)),""))))&amp;"",IF(R678="","",""))&amp;""</f>
        <v/>
      </c>
      <c r="AZ678" s="6">
        <f t="shared" si="1117"/>
        <v>55</v>
      </c>
      <c r="BA678">
        <f t="shared" ref="BA678:BC678" si="1177">BA677</f>
        <v>18991</v>
      </c>
      <c r="BB678" t="str">
        <f t="shared" si="1177"/>
        <v>Triple J</v>
      </c>
      <c r="BC678" t="str">
        <f t="shared" si="1177"/>
        <v>Velodrome</v>
      </c>
      <c r="BD678" t="str">
        <f t="shared" si="1119"/>
        <v>Zone_Entry_Exit</v>
      </c>
      <c r="BE678" t="str">
        <f t="shared" si="1120"/>
        <v>Zone_Keepin</v>
      </c>
      <c r="BF678" t="str">
        <f t="shared" si="1121"/>
        <v>Zone-KeepIn</v>
      </c>
      <c r="BG678" t="str">
        <f t="shared" si="1104"/>
        <v>u</v>
      </c>
      <c r="BH678" cm="1">
        <f t="array" aca="1" ref="BH678" ca="1">IFERROR(_xlfn._xlws.FILTER(shifts!A:A,(shifts!B:B=events!Z678)*(shifts!AG:AG&gt;=events!BJ678)*(shifts!AH:AH&lt;=events!BK678)),BH677)</f>
        <v>23</v>
      </c>
      <c r="BI678" s="15">
        <f t="shared" si="1122"/>
        <v>0</v>
      </c>
      <c r="BJ678">
        <f t="shared" si="1123"/>
        <v>501</v>
      </c>
      <c r="BK678">
        <f t="shared" si="1124"/>
        <v>501</v>
      </c>
      <c r="BL678" s="15">
        <f>SUMIFS(BI$2:BI678,K$2:K678,"=Intermission")+SUMIFS(BI$2:BI678,K$2:K678,"=Timeout")</f>
        <v>0</v>
      </c>
      <c r="BM678">
        <f t="shared" si="1125"/>
        <v>0</v>
      </c>
      <c r="BN678" s="19">
        <f t="shared" si="1126"/>
        <v>579</v>
      </c>
      <c r="BO678">
        <f t="shared" si="1127"/>
        <v>574</v>
      </c>
      <c r="BP678" s="17">
        <f t="shared" si="1128"/>
        <v>579</v>
      </c>
      <c r="BQ678" t="str">
        <f t="shared" si="1129"/>
        <v>event_team_player_1</v>
      </c>
      <c r="BR678">
        <f>COUNTIFS(S$3:S678,"="&amp;S678,AH$3:AH678,"="&amp;AH678)</f>
        <v>1</v>
      </c>
      <c r="BS678" t="str">
        <f>IFERROR(VLOOKUP(BA678&amp;BT678&amp;X678,game_rosters!U:W,3,FALSE),"")</f>
        <v>P100206</v>
      </c>
      <c r="BT678" t="str">
        <f t="shared" si="1130"/>
        <v>Triple J</v>
      </c>
    </row>
    <row r="679" spans="1:72" x14ac:dyDescent="0.2">
      <c r="A679">
        <f t="shared" si="1131"/>
        <v>1</v>
      </c>
      <c r="E679" s="4"/>
      <c r="F679" s="45"/>
      <c r="G679" s="4"/>
      <c r="H679" s="47" t="s">
        <v>1056</v>
      </c>
      <c r="I679" s="26">
        <v>41</v>
      </c>
      <c r="J679" s="26" t="s">
        <v>368</v>
      </c>
      <c r="K679" t="s">
        <v>13</v>
      </c>
      <c r="N679" t="str">
        <f t="shared" si="1150"/>
        <v/>
      </c>
      <c r="Q679" t="str">
        <f t="shared" si="1144"/>
        <v/>
      </c>
      <c r="S679">
        <f>IF(A679=1,MAX($S$2:$S678)+1,IF(OR($I679&lt;&gt;"",A679="x"),$S678,""))</f>
        <v>338</v>
      </c>
      <c r="T679" t="str">
        <f>IF(D679=1,MAX($T$2:$T678)+1,IF(S679=S678,$T678,IF(D679="x",T678,IF(D678="x","",""))))</f>
        <v/>
      </c>
      <c r="U679" t="str">
        <f>IF(B679=1,MAX($U$2:$U678)+1,IF(AND($T679&lt;&gt;"",$T679=$T678),$U678,IF(B679="x",U678,"")))</f>
        <v/>
      </c>
      <c r="V679" t="str">
        <f>IF(C679=1,MAX($V$2:$V678)+1,IF(AND($T679&lt;&gt;"",$T679=$T678),$U678,IF(C679="x",V678,"")))</f>
        <v/>
      </c>
      <c r="W679" t="str" cm="1">
        <f t="array" ref="W679">IFERROR(_xlfn._xlws.FILTER(game_rosters!AC:AC,(game_rosters!J:J=events!X679)*(K679&lt;&gt;"")),"")</f>
        <v>h</v>
      </c>
      <c r="X679" cm="1">
        <f t="array" ref="X679">IF($I679&lt;&gt;"",$I679,INDEX($I$1:$I679,ROW()-COUNTIFS($T$1:$T679,"="&amp;$T679,$S$1:$S679,"&lt;"&amp;$S679)))</f>
        <v>41</v>
      </c>
      <c r="Y679" cm="1">
        <f t="array" ref="Y679">IFERROR(IF(_xlfn._xlws.FILTER(game_rosters!$J:$J,(game_rosters!$G:$G=events!$AM679)*(game_rosters!$J:$J=events!$X679))&gt;0,1,""),"")</f>
        <v>1</v>
      </c>
      <c r="Z679" s="6">
        <f t="shared" si="1106"/>
        <v>1</v>
      </c>
      <c r="AA679">
        <f t="shared" si="1107"/>
        <v>1338</v>
      </c>
      <c r="AB679" t="str">
        <f t="shared" si="1108"/>
        <v/>
      </c>
      <c r="AC679">
        <f t="shared" si="1109"/>
        <v>1338</v>
      </c>
      <c r="AD679" t="str">
        <f t="shared" si="1110"/>
        <v>8</v>
      </c>
      <c r="AE679" t="str">
        <f t="shared" si="1111"/>
        <v>21</v>
      </c>
      <c r="AF679" t="str">
        <f t="shared" si="1112"/>
        <v>8</v>
      </c>
      <c r="AG679" t="str">
        <f t="shared" si="1113"/>
        <v>19</v>
      </c>
      <c r="AH679" t="str">
        <f t="shared" si="1157"/>
        <v>e</v>
      </c>
      <c r="AI679" t="str">
        <f t="shared" si="1158"/>
        <v>o</v>
      </c>
      <c r="AJ679" t="str">
        <f t="shared" si="1158"/>
        <v>o</v>
      </c>
      <c r="AK679" t="str">
        <f t="shared" si="1159"/>
        <v>o</v>
      </c>
      <c r="AL679" t="str">
        <f t="shared" si="1160"/>
        <v>d</v>
      </c>
      <c r="AM679" t="str">
        <f t="shared" si="1114"/>
        <v>Home</v>
      </c>
      <c r="AN679" t="str">
        <f t="shared" si="1161"/>
        <v>h</v>
      </c>
      <c r="AO679" t="str">
        <f t="shared" si="1162"/>
        <v>o</v>
      </c>
      <c r="AP679" t="str">
        <f t="shared" si="1163"/>
        <v>d</v>
      </c>
      <c r="AQ679" t="str">
        <f>IF(AM679&lt;&gt;"",AM679,IF($AC679=#REF!,#REF!,""))</f>
        <v>Home</v>
      </c>
      <c r="AR679" t="str">
        <f t="shared" si="1164"/>
        <v>h</v>
      </c>
      <c r="AS679" t="str">
        <f t="shared" si="1165"/>
        <v>Offensive</v>
      </c>
      <c r="AT679" t="str">
        <f t="shared" si="1115"/>
        <v/>
      </c>
      <c r="AU679" t="str">
        <f t="shared" si="1116"/>
        <v/>
      </c>
      <c r="AV679" t="str" cm="1">
        <f t="array" ref="AV679">IFERROR(IF(O679&lt;&gt;"",O679,IF(OR($S679="",$T679=""),"",IF(O679&lt;&gt;"",O679,IF($T679&lt;&gt;"",_xlfn._xlws.FILTER(O:O,($BT:$BT=$BT679)*($I:$I=$I679)*($T:$T=$T679)*($S:$S=_xlfn.MINIFS($S:$S,$T:$T,"="&amp;$T679)),"")))))&amp;"",IF(O679="","",""))&amp;""</f>
        <v/>
      </c>
      <c r="AW679" t="str" cm="1">
        <f t="array" ref="AW679">IFERROR(IF(P679&lt;&gt;"",P679,IF(OR($S679="",$T679=""),"",IF($T679&lt;&gt;"",_xlfn._xlws.FILTER(P:P,($BT:$BT=$BT679)*($I:$I=$I679)*($T:$T=$T679)*($S:$S=_xlfn.MINIFS($S:$S,$T:$T,"="&amp;$T679)),""))))&amp;"",IF(P679="","",""))&amp;""</f>
        <v/>
      </c>
      <c r="AX679" t="str" cm="1">
        <f t="array" ref="AX679">IFERROR(IF(Q679&lt;&gt;"",Q679,IF(OR($S679="",$T679=""),"",IF($T679&lt;&gt;"",_xlfn._xlws.FILTER(Q:Q,($BT:$BT=$BT679)*($I:$I=$I679)*($T:$T=$T679)*($S:$S=_xlfn.MINIFS($S:$S,$T:$T,"="&amp;$T679)),""))))&amp;"",IF(Q679="","",""))&amp;""</f>
        <v/>
      </c>
      <c r="AY679" t="str" cm="1">
        <f t="array" ref="AY679">IFERROR(IF(R679&lt;&gt;"",R679,IF(OR($S679="",$T679=""),"",IF($T679&lt;&gt;"",_xlfn._xlws.FILTER(R:R,($BT:$BT=$BT679)*($I:$I=$I679)*($T:$T=$T679)*($S:$S=_xlfn.MINIFS($S:$S,$T:$T,"="&amp;$T679)),""))))&amp;"",IF(R679="","",""))&amp;""</f>
        <v/>
      </c>
      <c r="AZ679" s="6">
        <f t="shared" si="1117"/>
        <v>55</v>
      </c>
      <c r="BA679">
        <f t="shared" ref="BA679:BC679" si="1178">BA678</f>
        <v>18991</v>
      </c>
      <c r="BB679" t="str">
        <f t="shared" si="1178"/>
        <v>Triple J</v>
      </c>
      <c r="BC679" t="str">
        <f t="shared" si="1178"/>
        <v>Velodrome</v>
      </c>
      <c r="BD679" t="str">
        <f t="shared" si="1119"/>
        <v>Possession</v>
      </c>
      <c r="BE679" t="str">
        <f t="shared" si="1120"/>
        <v/>
      </c>
      <c r="BF679" t="str">
        <f t="shared" si="1121"/>
        <v/>
      </c>
      <c r="BG679" t="str">
        <f t="shared" si="1104"/>
        <v/>
      </c>
      <c r="BH679" cm="1">
        <f t="array" aca="1" ref="BH679" ca="1">IFERROR(_xlfn._xlws.FILTER(shifts!A:A,(shifts!B:B=events!Z679)*(shifts!AG:AG&gt;=events!BJ679)*(shifts!AH:AH&lt;=events!BK679)),BH678)</f>
        <v>23</v>
      </c>
      <c r="BI679" s="15">
        <f t="shared" si="1122"/>
        <v>2</v>
      </c>
      <c r="BJ679">
        <f t="shared" si="1123"/>
        <v>501</v>
      </c>
      <c r="BK679">
        <f t="shared" si="1124"/>
        <v>499</v>
      </c>
      <c r="BL679" s="15">
        <f>SUMIFS(BI$2:BI679,K$2:K679,"=Intermission")+SUMIFS(BI$2:BI679,K$2:K679,"=Timeout")</f>
        <v>0</v>
      </c>
      <c r="BM679">
        <f t="shared" si="1125"/>
        <v>0</v>
      </c>
      <c r="BN679" s="19">
        <f t="shared" si="1126"/>
        <v>579</v>
      </c>
      <c r="BO679">
        <f t="shared" si="1127"/>
        <v>574</v>
      </c>
      <c r="BP679" s="17">
        <f t="shared" si="1128"/>
        <v>581</v>
      </c>
      <c r="BQ679" t="str">
        <f t="shared" si="1129"/>
        <v>event_team_player_1</v>
      </c>
      <c r="BR679">
        <f>COUNTIFS(S$3:S679,"="&amp;S679,AH$3:AH679,"="&amp;AH679)</f>
        <v>1</v>
      </c>
      <c r="BS679" t="str">
        <f>IFERROR(VLOOKUP(BA679&amp;BT679&amp;X679,game_rosters!U:W,3,FALSE),"")</f>
        <v>P100206</v>
      </c>
      <c r="BT679" t="str">
        <f t="shared" si="1130"/>
        <v>Triple J</v>
      </c>
    </row>
    <row r="680" spans="1:72" x14ac:dyDescent="0.2">
      <c r="A680">
        <f t="shared" si="1131"/>
        <v>1</v>
      </c>
      <c r="D680" s="26">
        <v>1</v>
      </c>
      <c r="E680" s="4"/>
      <c r="F680" s="45"/>
      <c r="G680" s="4"/>
      <c r="H680" s="47"/>
      <c r="I680" s="26">
        <v>41</v>
      </c>
      <c r="J680" s="26" t="s">
        <v>368</v>
      </c>
      <c r="K680" t="s">
        <v>7</v>
      </c>
      <c r="L680" t="s">
        <v>199</v>
      </c>
      <c r="M680" t="s">
        <v>67</v>
      </c>
      <c r="N680" t="str">
        <f t="shared" si="1150"/>
        <v>u</v>
      </c>
      <c r="Q680" t="str">
        <f t="shared" si="1144"/>
        <v/>
      </c>
      <c r="R680" s="26">
        <v>1</v>
      </c>
      <c r="S680">
        <f>IF(A680=1,MAX($S$2:$S679)+1,IF(OR($I680&lt;&gt;"",A680="x"),$S679,""))</f>
        <v>339</v>
      </c>
      <c r="T680">
        <f>IF(D680=1,MAX($T$2:$T679)+1,IF(S680=S679,$T679,IF(D680="x",T679,IF(D679="x","",""))))</f>
        <v>46</v>
      </c>
      <c r="U680" t="str">
        <f>IF(B680=1,MAX($U$2:$U679)+1,IF(AND($T680&lt;&gt;"",$T680=$T679),$U679,IF(B680="x",U679,"")))</f>
        <v/>
      </c>
      <c r="V680" t="str">
        <f>IF(C680=1,MAX($V$2:$V679)+1,IF(AND($T680&lt;&gt;"",$T680=$T679),$U679,IF(C680="x",V679,"")))</f>
        <v/>
      </c>
      <c r="W680" t="str" cm="1">
        <f t="array" ref="W680">IFERROR(_xlfn._xlws.FILTER(game_rosters!AC:AC,(game_rosters!J:J=events!X680)*(K680&lt;&gt;"")),"")</f>
        <v>h</v>
      </c>
      <c r="X680" cm="1">
        <f t="array" ref="X680">IF($I680&lt;&gt;"",$I680,INDEX($I$1:$I680,ROW()-COUNTIFS($T$1:$T680,"="&amp;$T680,$S$1:$S680,"&lt;"&amp;$S680)))</f>
        <v>41</v>
      </c>
      <c r="Y680" cm="1">
        <f t="array" ref="Y680">IFERROR(IF(_xlfn._xlws.FILTER(game_rosters!$J:$J,(game_rosters!$G:$G=events!$AM680)*(game_rosters!$J:$J=events!$X680))&gt;0,1,""),"")</f>
        <v>1</v>
      </c>
      <c r="Z680" s="6">
        <f t="shared" si="1106"/>
        <v>1</v>
      </c>
      <c r="AA680">
        <f t="shared" si="1107"/>
        <v>1339</v>
      </c>
      <c r="AB680">
        <f t="shared" si="1108"/>
        <v>9046</v>
      </c>
      <c r="AC680">
        <f t="shared" si="1109"/>
        <v>9046</v>
      </c>
      <c r="AD680" t="str">
        <f t="shared" si="1110"/>
        <v>8</v>
      </c>
      <c r="AE680" t="str">
        <f t="shared" si="1111"/>
        <v>19</v>
      </c>
      <c r="AF680" t="str">
        <f t="shared" si="1112"/>
        <v/>
      </c>
      <c r="AG680" t="str">
        <f t="shared" si="1113"/>
        <v/>
      </c>
      <c r="AH680" t="str">
        <f t="shared" si="1157"/>
        <v>e</v>
      </c>
      <c r="AI680" t="str">
        <f t="shared" si="1158"/>
        <v>o</v>
      </c>
      <c r="AJ680" t="str">
        <f t="shared" si="1158"/>
        <v>o</v>
      </c>
      <c r="AK680" t="str">
        <f t="shared" si="1159"/>
        <v>o</v>
      </c>
      <c r="AL680" t="str">
        <f t="shared" si="1160"/>
        <v>d</v>
      </c>
      <c r="AM680" t="str">
        <f t="shared" si="1114"/>
        <v>Home</v>
      </c>
      <c r="AN680" t="str">
        <f t="shared" si="1161"/>
        <v>h</v>
      </c>
      <c r="AO680" t="str">
        <f t="shared" si="1162"/>
        <v>o</v>
      </c>
      <c r="AP680" t="str">
        <f t="shared" si="1163"/>
        <v>d</v>
      </c>
      <c r="AQ680" t="str">
        <f>IF(AM680&lt;&gt;"",AM680,IF($AC680=#REF!,#REF!,""))</f>
        <v>Home</v>
      </c>
      <c r="AR680" t="str">
        <f t="shared" si="1164"/>
        <v>h</v>
      </c>
      <c r="AS680" t="str">
        <f t="shared" si="1165"/>
        <v>Offensive</v>
      </c>
      <c r="AT680" t="str">
        <f t="shared" si="1115"/>
        <v/>
      </c>
      <c r="AU680" t="str">
        <f t="shared" si="1116"/>
        <v/>
      </c>
      <c r="AV680" t="str" cm="1">
        <f t="array" ref="AV680">IFERROR(IF(O680&lt;&gt;"",O680,IF(OR($S680="",$T680=""),"",IF(O680&lt;&gt;"",O680,IF($T680&lt;&gt;"",_xlfn._xlws.FILTER(O:O,($BT:$BT=$BT680)*($I:$I=$I680)*($T:$T=$T680)*($S:$S=_xlfn.MINIFS($S:$S,$T:$T,"="&amp;$T680)),"")))))&amp;"",IF(O680="","",""))&amp;""</f>
        <v/>
      </c>
      <c r="AW680" t="str" cm="1">
        <f t="array" ref="AW680">IFERROR(IF(P680&lt;&gt;"",P680,IF(OR($S680="",$T680=""),"",IF($T680&lt;&gt;"",_xlfn._xlws.FILTER(P:P,($BT:$BT=$BT680)*($I:$I=$I680)*($T:$T=$T680)*($S:$S=_xlfn.MINIFS($S:$S,$T:$T,"="&amp;$T680)),""))))&amp;"",IF(P680="","",""))&amp;""</f>
        <v/>
      </c>
      <c r="AX680" t="str" cm="1">
        <f t="array" ref="AX680">IFERROR(IF(Q680&lt;&gt;"",Q680,IF(OR($S680="",$T680=""),"",IF($T680&lt;&gt;"",_xlfn._xlws.FILTER(Q:Q,($BT:$BT=$BT680)*($I:$I=$I680)*($T:$T=$T680)*($S:$S=_xlfn.MINIFS($S:$S,$T:$T,"="&amp;$T680)),""))))&amp;"",IF(Q680="","",""))&amp;""</f>
        <v/>
      </c>
      <c r="AY680" t="str" cm="1">
        <f t="array" ref="AY680">IFERROR(IF(R680&lt;&gt;"",R680,IF(OR($S680="",$T680=""),"",IF($T680&lt;&gt;"",_xlfn._xlws.FILTER(R:R,($BT:$BT=$BT680)*($I:$I=$I680)*($T:$T=$T680)*($S:$S=_xlfn.MINIFS($S:$S,$T:$T,"="&amp;$T680)),""))))&amp;"",IF(R680="","",""))&amp;""</f>
        <v>1</v>
      </c>
      <c r="AZ680" s="6">
        <f t="shared" si="1117"/>
        <v>55</v>
      </c>
      <c r="BA680">
        <f t="shared" ref="BA680:BC680" si="1179">BA679</f>
        <v>18991</v>
      </c>
      <c r="BB680" t="str">
        <f t="shared" si="1179"/>
        <v>Triple J</v>
      </c>
      <c r="BC680" t="str">
        <f t="shared" si="1179"/>
        <v>Velodrome</v>
      </c>
      <c r="BD680" t="str">
        <f t="shared" si="1119"/>
        <v>Pass</v>
      </c>
      <c r="BE680" t="str">
        <f t="shared" si="1120"/>
        <v>Pass_Intercepted</v>
      </c>
      <c r="BF680" t="str">
        <f t="shared" si="1121"/>
        <v>Pass-Backhand</v>
      </c>
      <c r="BG680" t="str">
        <f t="shared" si="1104"/>
        <v>u</v>
      </c>
      <c r="BH680" cm="1">
        <f t="array" aca="1" ref="BH680" ca="1">IFERROR(_xlfn._xlws.FILTER(shifts!A:A,(shifts!B:B=events!Z680)*(shifts!AG:AG&gt;=events!BJ680)*(shifts!AH:AH&lt;=events!BK680)),BH679)</f>
        <v>23</v>
      </c>
      <c r="BI680" s="15">
        <f t="shared" si="1122"/>
        <v>0</v>
      </c>
      <c r="BJ680">
        <f t="shared" si="1123"/>
        <v>499</v>
      </c>
      <c r="BK680">
        <f t="shared" si="1124"/>
        <v>499</v>
      </c>
      <c r="BL680" s="15">
        <f>SUMIFS(BI$2:BI680,K$2:K680,"=Intermission")+SUMIFS(BI$2:BI680,K$2:K680,"=Timeout")</f>
        <v>0</v>
      </c>
      <c r="BM680">
        <f t="shared" si="1125"/>
        <v>0</v>
      </c>
      <c r="BN680" s="19">
        <f t="shared" si="1126"/>
        <v>581</v>
      </c>
      <c r="BO680">
        <f t="shared" si="1127"/>
        <v>576</v>
      </c>
      <c r="BP680" s="17">
        <f t="shared" si="1128"/>
        <v>581</v>
      </c>
      <c r="BQ680" t="str">
        <f t="shared" si="1129"/>
        <v>event_team_player_1</v>
      </c>
      <c r="BR680">
        <f>COUNTIFS(S$3:S680,"="&amp;S680,AH$3:AH680,"="&amp;AH680)</f>
        <v>1</v>
      </c>
      <c r="BS680" t="str">
        <f>IFERROR(VLOOKUP(BA680&amp;BT680&amp;X680,game_rosters!U:W,3,FALSE),"")</f>
        <v>P100206</v>
      </c>
      <c r="BT680" t="str">
        <f t="shared" si="1130"/>
        <v>Triple J</v>
      </c>
    </row>
    <row r="681" spans="1:72" x14ac:dyDescent="0.2">
      <c r="A681" t="str">
        <f t="shared" si="1131"/>
        <v>x</v>
      </c>
      <c r="D681" s="26" t="s">
        <v>729</v>
      </c>
      <c r="E681" s="4"/>
      <c r="F681" s="45"/>
      <c r="G681" s="4"/>
      <c r="H681" s="47"/>
      <c r="I681" s="26">
        <v>9</v>
      </c>
      <c r="J681" s="26" t="str">
        <f t="shared" si="1132"/>
        <v/>
      </c>
      <c r="N681" t="str">
        <f t="shared" si="1150"/>
        <v/>
      </c>
      <c r="O681" t="s">
        <v>557</v>
      </c>
      <c r="Q681" t="str">
        <f t="shared" si="1144"/>
        <v/>
      </c>
      <c r="S681">
        <f>IF(A681=1,MAX($S$2:$S680)+1,IF(OR($I681&lt;&gt;"",A681="x"),$S680,""))</f>
        <v>339</v>
      </c>
      <c r="T681">
        <f>IF(D681=1,MAX($T$2:$T680)+1,IF(S681=S680,$T680,IF(D681="x",T680,IF(D680="x","",""))))</f>
        <v>46</v>
      </c>
      <c r="U681" t="str">
        <f>IF(B681=1,MAX($U$2:$U680)+1,IF(AND($T681&lt;&gt;"",$T681=$T680),$U680,IF(B681="x",U680,"")))</f>
        <v/>
      </c>
      <c r="V681" t="str">
        <f>IF(C681=1,MAX($V$2:$V680)+1,IF(AND($T681&lt;&gt;"",$T681=$T680),$U680,IF(C681="x",V680,"")))</f>
        <v/>
      </c>
      <c r="W681" t="str" cm="1">
        <f t="array" ref="W681">IFERROR(_xlfn._xlws.FILTER(game_rosters!AC:AC,(game_rosters!J:J=events!X681)*(K681&lt;&gt;"")),"")</f>
        <v/>
      </c>
      <c r="X681" cm="1">
        <f t="array" ref="X681">IF($I681&lt;&gt;"",$I681,INDEX($I$1:$I681,ROW()-COUNTIFS($T$1:$T681,"="&amp;$T681,$S$1:$S681,"&lt;"&amp;$S681)))</f>
        <v>9</v>
      </c>
      <c r="Y681" t="str" cm="1">
        <f t="array" ref="Y681">IFERROR(IF(_xlfn._xlws.FILTER(game_rosters!$J:$J,(game_rosters!$G:$G=events!$AM681)*(game_rosters!$J:$J=events!$X681))&gt;0,1,""),"")</f>
        <v/>
      </c>
      <c r="Z681" s="6">
        <f t="shared" si="1106"/>
        <v>1</v>
      </c>
      <c r="AA681">
        <f t="shared" si="1107"/>
        <v>1339</v>
      </c>
      <c r="AB681">
        <f t="shared" si="1108"/>
        <v>9046</v>
      </c>
      <c r="AC681">
        <f t="shared" si="1109"/>
        <v>9046</v>
      </c>
      <c r="AD681" t="str">
        <f t="shared" si="1110"/>
        <v>8</v>
      </c>
      <c r="AE681" t="str">
        <f t="shared" si="1111"/>
        <v>19</v>
      </c>
      <c r="AF681" t="str">
        <f t="shared" si="1112"/>
        <v/>
      </c>
      <c r="AG681" t="str">
        <f t="shared" si="1113"/>
        <v/>
      </c>
      <c r="AH681" t="str">
        <f t="shared" si="1157"/>
        <v>o</v>
      </c>
      <c r="AI681" t="str">
        <f t="shared" si="1158"/>
        <v>o</v>
      </c>
      <c r="AJ681" t="str">
        <f t="shared" si="1158"/>
        <v>o</v>
      </c>
      <c r="AK681" t="str">
        <f t="shared" si="1159"/>
        <v/>
      </c>
      <c r="AL681" t="str">
        <f t="shared" si="1160"/>
        <v/>
      </c>
      <c r="AM681" t="str">
        <f t="shared" si="1114"/>
        <v>Home</v>
      </c>
      <c r="AN681" t="str">
        <f t="shared" si="1161"/>
        <v>h</v>
      </c>
      <c r="AO681" t="str">
        <f t="shared" si="1162"/>
        <v>o</v>
      </c>
      <c r="AP681" t="str">
        <f t="shared" si="1163"/>
        <v>d</v>
      </c>
      <c r="AQ681" t="str">
        <f>IF(AM681&lt;&gt;"",AM681,IF($AC681=#REF!,#REF!,""))</f>
        <v>Home</v>
      </c>
      <c r="AR681" t="str">
        <f t="shared" si="1164"/>
        <v>h</v>
      </c>
      <c r="AS681" t="str">
        <f t="shared" si="1165"/>
        <v>Defensive</v>
      </c>
      <c r="AT681" t="str">
        <f t="shared" si="1115"/>
        <v/>
      </c>
      <c r="AU681" t="str">
        <f t="shared" si="1116"/>
        <v/>
      </c>
      <c r="AV681" t="str" cm="1">
        <f t="array" ref="AV681">IFERROR(IF(O681&lt;&gt;"",O681,IF(OR($S681="",$T681=""),"",IF(O681&lt;&gt;"",O681,IF($T681&lt;&gt;"",_xlfn._xlws.FILTER(O:O,($BT:$BT=$BT681)*($I:$I=$I681)*($T:$T=$T681)*($S:$S=_xlfn.MINIFS($S:$S,$T:$T,"="&amp;$T681)),"")))))&amp;"",IF(O681="","",""))&amp;""</f>
        <v>PassIntercepted</v>
      </c>
      <c r="AW681" t="str" cm="1">
        <f t="array" ref="AW681">IFERROR(IF(P681&lt;&gt;"",P681,IF(OR($S681="",$T681=""),"",IF($T681&lt;&gt;"",_xlfn._xlws.FILTER(P:P,($BT:$BT=$BT681)*($I:$I=$I681)*($T:$T=$T681)*($S:$S=_xlfn.MINIFS($S:$S,$T:$T,"="&amp;$T681)),""))))&amp;"",IF(P681="","",""))&amp;""</f>
        <v/>
      </c>
      <c r="AX681" t="str" cm="1">
        <f t="array" ref="AX681">IFERROR(IF(Q681&lt;&gt;"",Q681,IF(OR($S681="",$T681=""),"",IF($T681&lt;&gt;"",_xlfn._xlws.FILTER(Q:Q,($BT:$BT=$BT681)*($I:$I=$I681)*($T:$T=$T681)*($S:$S=_xlfn.MINIFS($S:$S,$T:$T,"="&amp;$T681)),""))))&amp;"",IF(Q681="","",""))&amp;""</f>
        <v/>
      </c>
      <c r="AY681" t="str" cm="1">
        <f t="array" ref="AY681">IFERROR(IF(R681&lt;&gt;"",R681,IF(OR($S681="",$T681=""),"",IF($T681&lt;&gt;"",_xlfn._xlws.FILTER(R:R,($BT:$BT=$BT681)*($I:$I=$I681)*($T:$T=$T681)*($S:$S=_xlfn.MINIFS($S:$S,$T:$T,"="&amp;$T681)),""))))&amp;"",IF(R681="","",""))&amp;""</f>
        <v/>
      </c>
      <c r="AZ681" s="6">
        <f t="shared" si="1117"/>
        <v>55</v>
      </c>
      <c r="BA681">
        <f t="shared" ref="BA681:BC681" si="1180">BA680</f>
        <v>18991</v>
      </c>
      <c r="BB681" t="str">
        <f t="shared" si="1180"/>
        <v>Triple J</v>
      </c>
      <c r="BC681" t="str">
        <f t="shared" si="1180"/>
        <v>Velodrome</v>
      </c>
      <c r="BD681" t="str">
        <f t="shared" si="1119"/>
        <v>Pass</v>
      </c>
      <c r="BE681" t="str">
        <f t="shared" si="1120"/>
        <v>Pass_Intercepted</v>
      </c>
      <c r="BF681" t="str">
        <f t="shared" si="1121"/>
        <v>Pass-Backhand</v>
      </c>
      <c r="BG681" t="str">
        <f t="shared" si="1104"/>
        <v>u</v>
      </c>
      <c r="BH681" cm="1">
        <f t="array" aca="1" ref="BH681" ca="1">IFERROR(_xlfn._xlws.FILTER(shifts!A:A,(shifts!B:B=events!Z681)*(shifts!AG:AG&gt;=events!BJ681)*(shifts!AH:AH&lt;=events!BK681)),BH680)</f>
        <v>23</v>
      </c>
      <c r="BI681" s="15">
        <f t="shared" si="1122"/>
        <v>0</v>
      </c>
      <c r="BJ681">
        <f t="shared" si="1123"/>
        <v>499</v>
      </c>
      <c r="BK681">
        <f t="shared" si="1124"/>
        <v>499</v>
      </c>
      <c r="BL681" s="15">
        <f>SUMIFS(BI$2:BI681,K$2:K681,"=Intermission")+SUMIFS(BI$2:BI681,K$2:K681,"=Timeout")</f>
        <v>0</v>
      </c>
      <c r="BM681">
        <f t="shared" si="1125"/>
        <v>0</v>
      </c>
      <c r="BN681" s="19">
        <f t="shared" si="1126"/>
        <v>581</v>
      </c>
      <c r="BO681">
        <f t="shared" si="1127"/>
        <v>576</v>
      </c>
      <c r="BP681" s="17">
        <f t="shared" si="1128"/>
        <v>581</v>
      </c>
      <c r="BQ681" t="str">
        <f t="shared" si="1129"/>
        <v>opp_team_player_1</v>
      </c>
      <c r="BR681">
        <f>COUNTIFS(S$3:S681,"="&amp;S681,AH$3:AH681,"="&amp;AH681)</f>
        <v>1</v>
      </c>
      <c r="BS681" t="str">
        <f>IFERROR(VLOOKUP(BA681&amp;BT681&amp;X681,game_rosters!U:W,3,FALSE),"")</f>
        <v>P100105</v>
      </c>
      <c r="BT681" t="str">
        <f t="shared" si="1130"/>
        <v>Velodrome</v>
      </c>
    </row>
    <row r="682" spans="1:72" x14ac:dyDescent="0.2">
      <c r="A682" t="str">
        <f t="shared" si="1131"/>
        <v>x</v>
      </c>
      <c r="D682" s="26" t="s">
        <v>729</v>
      </c>
      <c r="E682" s="4"/>
      <c r="F682" s="45"/>
      <c r="G682" s="4"/>
      <c r="H682" s="47"/>
      <c r="I682" s="26">
        <v>70</v>
      </c>
      <c r="J682" s="26" t="str">
        <f t="shared" si="1132"/>
        <v/>
      </c>
      <c r="N682" t="str">
        <f t="shared" si="1150"/>
        <v/>
      </c>
      <c r="O682" t="s">
        <v>566</v>
      </c>
      <c r="Q682" t="str">
        <f t="shared" si="1144"/>
        <v/>
      </c>
      <c r="R682" s="26">
        <v>1</v>
      </c>
      <c r="S682">
        <f>IF(A682=1,MAX($S$2:$S681)+1,IF(OR($I682&lt;&gt;"",A682="x"),$S681,""))</f>
        <v>339</v>
      </c>
      <c r="T682">
        <f>IF(D682=1,MAX($T$2:$T681)+1,IF(S682=S681,$T681,IF(D682="x",T681,IF(D681="x","",""))))</f>
        <v>46</v>
      </c>
      <c r="U682" t="str">
        <f>IF(B682=1,MAX($U$2:$U681)+1,IF(AND($T682&lt;&gt;"",$T682=$T681),$U681,IF(B682="x",U681,"")))</f>
        <v/>
      </c>
      <c r="V682" t="str">
        <f>IF(C682=1,MAX($V$2:$V681)+1,IF(AND($T682&lt;&gt;"",$T682=$T681),$U681,IF(C682="x",V681,"")))</f>
        <v/>
      </c>
      <c r="W682" t="str" cm="1">
        <f t="array" ref="W682">IFERROR(_xlfn._xlws.FILTER(game_rosters!AC:AC,(game_rosters!J:J=events!X682)*(K682&lt;&gt;"")),"")</f>
        <v/>
      </c>
      <c r="X682" cm="1">
        <f t="array" ref="X682">IF($I682&lt;&gt;"",$I682,INDEX($I$1:$I682,ROW()-COUNTIFS($T$1:$T682,"="&amp;$T682,$S$1:$S682,"&lt;"&amp;$S682)))</f>
        <v>70</v>
      </c>
      <c r="Y682" t="str" cm="1">
        <f t="array" ref="Y682">IFERROR(IF(_xlfn._xlws.FILTER(game_rosters!$J:$J,(game_rosters!$G:$G=events!$AM682)*(game_rosters!$J:$J=events!$X682))&gt;0,1,""),"")</f>
        <v/>
      </c>
      <c r="Z682" s="6">
        <f t="shared" si="1106"/>
        <v>1</v>
      </c>
      <c r="AA682">
        <f t="shared" si="1107"/>
        <v>1339</v>
      </c>
      <c r="AB682">
        <f t="shared" si="1108"/>
        <v>9046</v>
      </c>
      <c r="AC682">
        <f t="shared" si="1109"/>
        <v>9046</v>
      </c>
      <c r="AD682" t="str">
        <f t="shared" si="1110"/>
        <v>8</v>
      </c>
      <c r="AE682" t="str">
        <f t="shared" si="1111"/>
        <v>19</v>
      </c>
      <c r="AF682" t="str">
        <f t="shared" si="1112"/>
        <v/>
      </c>
      <c r="AG682" t="str">
        <f t="shared" si="1113"/>
        <v/>
      </c>
      <c r="AH682" t="str">
        <f t="shared" si="1157"/>
        <v>o</v>
      </c>
      <c r="AI682" t="str">
        <f t="shared" si="1158"/>
        <v>o</v>
      </c>
      <c r="AJ682" t="str">
        <f t="shared" si="1158"/>
        <v>o</v>
      </c>
      <c r="AK682" t="str">
        <f t="shared" si="1159"/>
        <v/>
      </c>
      <c r="AL682" t="str">
        <f t="shared" si="1160"/>
        <v/>
      </c>
      <c r="AM682" t="str">
        <f t="shared" si="1114"/>
        <v>Home</v>
      </c>
      <c r="AN682" t="str">
        <f t="shared" si="1161"/>
        <v>h</v>
      </c>
      <c r="AO682" t="str">
        <f t="shared" si="1162"/>
        <v>o</v>
      </c>
      <c r="AP682" t="str">
        <f t="shared" si="1163"/>
        <v>d</v>
      </c>
      <c r="AQ682" t="str">
        <f>IF(AM682&lt;&gt;"",AM682,IF($AC682=#REF!,#REF!,""))</f>
        <v>Home</v>
      </c>
      <c r="AR682" t="str">
        <f t="shared" si="1164"/>
        <v>h</v>
      </c>
      <c r="AS682" t="str">
        <f t="shared" si="1165"/>
        <v>Defensive</v>
      </c>
      <c r="AT682" t="str">
        <f t="shared" si="1115"/>
        <v/>
      </c>
      <c r="AU682" t="str">
        <f t="shared" si="1116"/>
        <v/>
      </c>
      <c r="AV682" t="str" cm="1">
        <f t="array" ref="AV682">IFERROR(IF(O682&lt;&gt;"",O682,IF(OR($S682="",$T682=""),"",IF(O682&lt;&gt;"",O682,IF($T682&lt;&gt;"",_xlfn._xlws.FILTER(O:O,($BT:$BT=$BT682)*($I:$I=$I682)*($T:$T=$T682)*($S:$S=_xlfn.MINIFS($S:$S,$T:$T,"="&amp;$T682)),"")))))&amp;"",IF(O682="","",""))&amp;""</f>
        <v>InShotPassLane</v>
      </c>
      <c r="AW682" t="str" cm="1">
        <f t="array" ref="AW682">IFERROR(IF(P682&lt;&gt;"",P682,IF(OR($S682="",$T682=""),"",IF($T682&lt;&gt;"",_xlfn._xlws.FILTER(P:P,($BT:$BT=$BT682)*($I:$I=$I682)*($T:$T=$T682)*($S:$S=_xlfn.MINIFS($S:$S,$T:$T,"="&amp;$T682)),""))))&amp;"",IF(P682="","",""))&amp;""</f>
        <v/>
      </c>
      <c r="AX682" t="str" cm="1">
        <f t="array" ref="AX682">IFERROR(IF(Q682&lt;&gt;"",Q682,IF(OR($S682="",$T682=""),"",IF($T682&lt;&gt;"",_xlfn._xlws.FILTER(Q:Q,($BT:$BT=$BT682)*($I:$I=$I682)*($T:$T=$T682)*($S:$S=_xlfn.MINIFS($S:$S,$T:$T,"="&amp;$T682)),""))))&amp;"",IF(Q682="","",""))&amp;""</f>
        <v/>
      </c>
      <c r="AY682" t="str" cm="1">
        <f t="array" ref="AY682">IFERROR(IF(R682&lt;&gt;"",R682,IF(OR($S682="",$T682=""),"",IF($T682&lt;&gt;"",_xlfn._xlws.FILTER(R:R,($BT:$BT=$BT682)*($I:$I=$I682)*($T:$T=$T682)*($S:$S=_xlfn.MINIFS($S:$S,$T:$T,"="&amp;$T682)),""))))&amp;"",IF(R682="","",""))&amp;""</f>
        <v>1</v>
      </c>
      <c r="AZ682" s="6">
        <f t="shared" si="1117"/>
        <v>55</v>
      </c>
      <c r="BA682">
        <f t="shared" ref="BA682:BC682" si="1181">BA681</f>
        <v>18991</v>
      </c>
      <c r="BB682" t="str">
        <f t="shared" si="1181"/>
        <v>Triple J</v>
      </c>
      <c r="BC682" t="str">
        <f t="shared" si="1181"/>
        <v>Velodrome</v>
      </c>
      <c r="BD682" t="str">
        <f t="shared" si="1119"/>
        <v>Pass</v>
      </c>
      <c r="BE682" t="str">
        <f t="shared" si="1120"/>
        <v>Pass_Intercepted</v>
      </c>
      <c r="BF682" t="str">
        <f t="shared" si="1121"/>
        <v>Pass-Backhand</v>
      </c>
      <c r="BG682" t="str">
        <f t="shared" si="1104"/>
        <v>u</v>
      </c>
      <c r="BH682" cm="1">
        <f t="array" aca="1" ref="BH682" ca="1">IFERROR(_xlfn._xlws.FILTER(shifts!A:A,(shifts!B:B=events!Z682)*(shifts!AG:AG&gt;=events!BJ682)*(shifts!AH:AH&lt;=events!BK682)),BH681)</f>
        <v>23</v>
      </c>
      <c r="BI682" s="15">
        <f t="shared" si="1122"/>
        <v>0</v>
      </c>
      <c r="BJ682">
        <f t="shared" si="1123"/>
        <v>499</v>
      </c>
      <c r="BK682">
        <f t="shared" si="1124"/>
        <v>499</v>
      </c>
      <c r="BL682" s="15">
        <f>SUMIFS(BI$2:BI682,K$2:K682,"=Intermission")+SUMIFS(BI$2:BI682,K$2:K682,"=Timeout")</f>
        <v>0</v>
      </c>
      <c r="BM682">
        <f t="shared" si="1125"/>
        <v>0</v>
      </c>
      <c r="BN682" s="19">
        <f t="shared" si="1126"/>
        <v>581</v>
      </c>
      <c r="BO682">
        <f t="shared" si="1127"/>
        <v>576</v>
      </c>
      <c r="BP682" s="17">
        <f t="shared" si="1128"/>
        <v>581</v>
      </c>
      <c r="BQ682" t="str">
        <f t="shared" si="1129"/>
        <v>opp_team_player_2</v>
      </c>
      <c r="BR682">
        <f>COUNTIFS(S$3:S682,"="&amp;S682,AH$3:AH682,"="&amp;AH682)</f>
        <v>2</v>
      </c>
      <c r="BS682" t="str">
        <f>IFERROR(VLOOKUP(BA682&amp;BT682&amp;X682,game_rosters!U:W,3,FALSE),"")</f>
        <v>P100001</v>
      </c>
      <c r="BT682" t="str">
        <f t="shared" si="1130"/>
        <v>Velodrome</v>
      </c>
    </row>
    <row r="683" spans="1:72" x14ac:dyDescent="0.2">
      <c r="A683">
        <f t="shared" si="1131"/>
        <v>1</v>
      </c>
      <c r="D683" s="26" t="s">
        <v>729</v>
      </c>
      <c r="E683" s="4"/>
      <c r="F683" s="45"/>
      <c r="G683" s="4"/>
      <c r="H683" s="47"/>
      <c r="J683" s="26" t="s">
        <v>368</v>
      </c>
      <c r="K683" t="s">
        <v>9</v>
      </c>
      <c r="L683" t="s">
        <v>173</v>
      </c>
      <c r="M683" t="s">
        <v>73</v>
      </c>
      <c r="N683" t="str">
        <f t="shared" si="1150"/>
        <v>u</v>
      </c>
      <c r="Q683" t="str">
        <f t="shared" si="1144"/>
        <v/>
      </c>
      <c r="S683">
        <f>IF(A683=1,MAX($S$2:$S682)+1,IF(OR($I683&lt;&gt;"",A683="x"),$S682,""))</f>
        <v>340</v>
      </c>
      <c r="T683">
        <f>IF(D683=1,MAX($T$2:$T682)+1,IF(S683=S682,$T682,IF(D683="x",T682,IF(D682="x","",""))))</f>
        <v>46</v>
      </c>
      <c r="U683" t="str">
        <f>IF(B683=1,MAX($U$2:$U682)+1,IF(AND($T683&lt;&gt;"",$T683=$T682),$U682,IF(B683="x",U682,"")))</f>
        <v/>
      </c>
      <c r="V683" t="str">
        <f>IF(C683=1,MAX($V$2:$V682)+1,IF(AND($T683&lt;&gt;"",$T683=$T682),$U682,IF(C683="x",V682,"")))</f>
        <v/>
      </c>
      <c r="W683" t="str" cm="1">
        <f t="array" ref="W683">IFERROR(_xlfn._xlws.FILTER(game_rosters!AC:AC,(game_rosters!J:J=events!X683)*(K683&lt;&gt;"")),"")</f>
        <v>h</v>
      </c>
      <c r="X683" cm="1">
        <f t="array" ref="X683">IF($I683&lt;&gt;"",$I683,INDEX($I$1:$I683,ROW()-COUNTIFS($T$1:$T683,"="&amp;$T683,$S$1:$S683,"&lt;"&amp;$S683)))</f>
        <v>41</v>
      </c>
      <c r="Y683" cm="1">
        <f t="array" ref="Y683">IFERROR(IF(_xlfn._xlws.FILTER(game_rosters!$J:$J,(game_rosters!$G:$G=events!$AM683)*(game_rosters!$J:$J=events!$X683))&gt;0,1,""),"")</f>
        <v>1</v>
      </c>
      <c r="Z683" s="6">
        <f t="shared" si="1106"/>
        <v>1</v>
      </c>
      <c r="AA683">
        <f t="shared" si="1107"/>
        <v>1340</v>
      </c>
      <c r="AB683">
        <f t="shared" si="1108"/>
        <v>9046</v>
      </c>
      <c r="AC683">
        <f t="shared" si="1109"/>
        <v>9046</v>
      </c>
      <c r="AD683" t="str">
        <f t="shared" si="1110"/>
        <v>8</v>
      </c>
      <c r="AE683" t="str">
        <f t="shared" si="1111"/>
        <v>19</v>
      </c>
      <c r="AF683" t="str">
        <f t="shared" si="1112"/>
        <v/>
      </c>
      <c r="AG683" t="str">
        <f t="shared" si="1113"/>
        <v/>
      </c>
      <c r="AH683" t="str">
        <f t="shared" si="1157"/>
        <v>e</v>
      </c>
      <c r="AI683" t="str">
        <f t="shared" ref="AI683:AJ698" si="1182">IF($J683&lt;&gt;"",$J683,IF($AC683=$AC682,AI682,""))</f>
        <v>o</v>
      </c>
      <c r="AJ683" t="str">
        <f t="shared" si="1182"/>
        <v>o</v>
      </c>
      <c r="AK683" t="str">
        <f t="shared" si="1159"/>
        <v>o</v>
      </c>
      <c r="AL683" t="str">
        <f t="shared" si="1160"/>
        <v>d</v>
      </c>
      <c r="AM683" t="str">
        <f t="shared" si="1114"/>
        <v>Home</v>
      </c>
      <c r="AN683" t="str">
        <f t="shared" si="1161"/>
        <v>h</v>
      </c>
      <c r="AO683" t="str">
        <f t="shared" si="1162"/>
        <v>o</v>
      </c>
      <c r="AP683" t="str">
        <f t="shared" si="1163"/>
        <v>d</v>
      </c>
      <c r="AQ683" t="str">
        <f>IF(AM683&lt;&gt;"",AM683,IF($AC683=#REF!,#REF!,""))</f>
        <v>Home</v>
      </c>
      <c r="AR683" t="str">
        <f t="shared" si="1164"/>
        <v>h</v>
      </c>
      <c r="AS683" t="str">
        <f t="shared" si="1165"/>
        <v>Offensive</v>
      </c>
      <c r="AT683" t="str">
        <f t="shared" si="1115"/>
        <v/>
      </c>
      <c r="AU683" t="str">
        <f t="shared" si="1116"/>
        <v/>
      </c>
      <c r="AV683" t="str" cm="1">
        <f t="array" ref="AV683">IFERROR(IF(O683&lt;&gt;"",O683,IF(OR($S683="",$T683=""),"",IF(O683&lt;&gt;"",O683,IF($T683&lt;&gt;"",_xlfn._xlws.FILTER(O:O,($BT:$BT=$BT683)*($I:$I=$I683)*($T:$T=$T683)*($S:$S=_xlfn.MINIFS($S:$S,$T:$T,"="&amp;$T683)),"")))))&amp;"",IF(O683="","",""))&amp;""</f>
        <v/>
      </c>
      <c r="AW683" t="str" cm="1">
        <f t="array" ref="AW683">IFERROR(IF(P683&lt;&gt;"",P683,IF(OR($S683="",$T683=""),"",IF($T683&lt;&gt;"",_xlfn._xlws.FILTER(P:P,($BT:$BT=$BT683)*($I:$I=$I683)*($T:$T=$T683)*($S:$S=_xlfn.MINIFS($S:$S,$T:$T,"="&amp;$T683)),""))))&amp;"",IF(P683="","",""))&amp;""</f>
        <v/>
      </c>
      <c r="AX683" t="str" cm="1">
        <f t="array" ref="AX683">IFERROR(IF(Q683&lt;&gt;"",Q683,IF(OR($S683="",$T683=""),"",IF($T683&lt;&gt;"",_xlfn._xlws.FILTER(Q:Q,($BT:$BT=$BT683)*($I:$I=$I683)*($T:$T=$T683)*($S:$S=_xlfn.MINIFS($S:$S,$T:$T,"="&amp;$T683)),""))))&amp;"",IF(Q683="","",""))&amp;""</f>
        <v/>
      </c>
      <c r="AY683" t="str" cm="1">
        <f t="array" ref="AY683">IFERROR(IF(R683&lt;&gt;"",R683,IF(OR($S683="",$T683=""),"",IF($T683&lt;&gt;"",_xlfn._xlws.FILTER(R:R,($BT:$BT=$BT683)*($I:$I=$I683)*($T:$T=$T683)*($S:$S=_xlfn.MINIFS($S:$S,$T:$T,"="&amp;$T683)),""))))&amp;"",IF(R683="","",""))&amp;""</f>
        <v/>
      </c>
      <c r="AZ683" s="6">
        <f t="shared" si="1117"/>
        <v>55</v>
      </c>
      <c r="BA683">
        <f t="shared" ref="BA683:BC683" si="1183">BA682</f>
        <v>18991</v>
      </c>
      <c r="BB683" t="str">
        <f t="shared" si="1183"/>
        <v>Triple J</v>
      </c>
      <c r="BC683" t="str">
        <f t="shared" si="1183"/>
        <v>Velodrome</v>
      </c>
      <c r="BD683" t="str">
        <f t="shared" si="1119"/>
        <v>Turnover</v>
      </c>
      <c r="BE683" t="str">
        <f t="shared" si="1120"/>
        <v>Turnover_Giveaway</v>
      </c>
      <c r="BF683" t="str">
        <f t="shared" si="1121"/>
        <v>Giveaway-PassIntercepted</v>
      </c>
      <c r="BG683" t="str">
        <f t="shared" si="1104"/>
        <v>u</v>
      </c>
      <c r="BH683" cm="1">
        <f t="array" aca="1" ref="BH683" ca="1">IFERROR(_xlfn._xlws.FILTER(shifts!A:A,(shifts!B:B=events!Z683)*(shifts!AG:AG&gt;=events!BJ683)*(shifts!AH:AH&lt;=events!BK683)),BH682)</f>
        <v>23</v>
      </c>
      <c r="BI683" s="15">
        <f t="shared" si="1122"/>
        <v>0</v>
      </c>
      <c r="BJ683">
        <f t="shared" si="1123"/>
        <v>499</v>
      </c>
      <c r="BK683">
        <f t="shared" si="1124"/>
        <v>499</v>
      </c>
      <c r="BL683" s="15">
        <f>SUMIFS(BI$2:BI683,K$2:K683,"=Intermission")+SUMIFS(BI$2:BI683,K$2:K683,"=Timeout")</f>
        <v>0</v>
      </c>
      <c r="BM683">
        <f t="shared" si="1125"/>
        <v>0</v>
      </c>
      <c r="BN683" s="19">
        <f t="shared" si="1126"/>
        <v>581</v>
      </c>
      <c r="BO683">
        <f t="shared" si="1127"/>
        <v>576</v>
      </c>
      <c r="BP683" s="17">
        <f t="shared" si="1128"/>
        <v>581</v>
      </c>
      <c r="BQ683" t="str">
        <f t="shared" si="1129"/>
        <v>event_team_player_1</v>
      </c>
      <c r="BR683">
        <f>COUNTIFS(S$3:S683,"="&amp;S683,AH$3:AH683,"="&amp;AH683)</f>
        <v>1</v>
      </c>
      <c r="BS683" t="str">
        <f>IFERROR(VLOOKUP(BA683&amp;BT683&amp;X683,game_rosters!U:W,3,FALSE),"")</f>
        <v>P100206</v>
      </c>
      <c r="BT683" t="str">
        <f t="shared" si="1130"/>
        <v>Triple J</v>
      </c>
    </row>
    <row r="684" spans="1:72" x14ac:dyDescent="0.2">
      <c r="A684" t="str">
        <f t="shared" si="1131"/>
        <v>x</v>
      </c>
      <c r="D684" s="26" t="s">
        <v>729</v>
      </c>
      <c r="E684" s="4"/>
      <c r="F684" s="45"/>
      <c r="G684" s="4"/>
      <c r="H684" s="47"/>
      <c r="J684" s="26" t="str">
        <f t="shared" si="1132"/>
        <v/>
      </c>
      <c r="N684" t="str">
        <f t="shared" si="1150"/>
        <v/>
      </c>
      <c r="Q684" t="str">
        <f t="shared" si="1144"/>
        <v/>
      </c>
      <c r="S684">
        <f>IF(A684=1,MAX($S$2:$S683)+1,IF(OR($I684&lt;&gt;"",A684="x"),$S683,""))</f>
        <v>340</v>
      </c>
      <c r="T684">
        <f>IF(D684=1,MAX($T$2:$T683)+1,IF(S684=S683,$T683,IF(D684="x",T683,IF(D683="x","",""))))</f>
        <v>46</v>
      </c>
      <c r="U684" t="str">
        <f>IF(B684=1,MAX($U$2:$U683)+1,IF(AND($T684&lt;&gt;"",$T684=$T683),$U683,IF(B684="x",U683,"")))</f>
        <v/>
      </c>
      <c r="V684" t="str">
        <f>IF(C684=1,MAX($V$2:$V683)+1,IF(AND($T684&lt;&gt;"",$T684=$T683),$U683,IF(C684="x",V683,"")))</f>
        <v/>
      </c>
      <c r="W684" t="str" cm="1">
        <f t="array" ref="W684">IFERROR(_xlfn._xlws.FILTER(game_rosters!AC:AC,(game_rosters!J:J=events!X684)*(K684&lt;&gt;"")),"")</f>
        <v/>
      </c>
      <c r="X684" cm="1">
        <f t="array" ref="X684">IF($I684&lt;&gt;"",$I684,INDEX($I$1:$I684,ROW()-COUNTIFS($T$1:$T684,"="&amp;$T684,$S$1:$S684,"&lt;"&amp;$S684)))</f>
        <v>9</v>
      </c>
      <c r="Y684" t="str" cm="1">
        <f t="array" ref="Y684">IFERROR(IF(_xlfn._xlws.FILTER(game_rosters!$J:$J,(game_rosters!$G:$G=events!$AM684)*(game_rosters!$J:$J=events!$X684))&gt;0,1,""),"")</f>
        <v/>
      </c>
      <c r="Z684" s="6">
        <f t="shared" si="1106"/>
        <v>1</v>
      </c>
      <c r="AA684">
        <f t="shared" si="1107"/>
        <v>1340</v>
      </c>
      <c r="AB684">
        <f t="shared" si="1108"/>
        <v>9046</v>
      </c>
      <c r="AC684">
        <f t="shared" si="1109"/>
        <v>9046</v>
      </c>
      <c r="AD684" t="str">
        <f t="shared" si="1110"/>
        <v>8</v>
      </c>
      <c r="AE684" t="str">
        <f t="shared" si="1111"/>
        <v>19</v>
      </c>
      <c r="AF684" t="str">
        <f t="shared" si="1112"/>
        <v/>
      </c>
      <c r="AG684" t="str">
        <f t="shared" si="1113"/>
        <v/>
      </c>
      <c r="AH684" t="str">
        <f t="shared" si="1157"/>
        <v>o</v>
      </c>
      <c r="AI684" t="str">
        <f t="shared" si="1182"/>
        <v>o</v>
      </c>
      <c r="AJ684" t="str">
        <f t="shared" si="1182"/>
        <v>o</v>
      </c>
      <c r="AK684" t="str">
        <f t="shared" si="1159"/>
        <v/>
      </c>
      <c r="AL684" t="str">
        <f t="shared" si="1160"/>
        <v/>
      </c>
      <c r="AM684" t="str">
        <f t="shared" si="1114"/>
        <v>Home</v>
      </c>
      <c r="AN684" t="str">
        <f t="shared" si="1161"/>
        <v>h</v>
      </c>
      <c r="AO684" t="str">
        <f t="shared" si="1162"/>
        <v>o</v>
      </c>
      <c r="AP684" t="str">
        <f t="shared" si="1163"/>
        <v>d</v>
      </c>
      <c r="AQ684" t="str">
        <f>IF(AM684&lt;&gt;"",AM684,IF($AC684=#REF!,#REF!,""))</f>
        <v>Home</v>
      </c>
      <c r="AR684" t="str">
        <f t="shared" si="1164"/>
        <v>h</v>
      </c>
      <c r="AS684" t="str">
        <f t="shared" si="1165"/>
        <v>Defensive</v>
      </c>
      <c r="AT684" t="str">
        <f t="shared" si="1115"/>
        <v/>
      </c>
      <c r="AU684" t="str">
        <f t="shared" si="1116"/>
        <v/>
      </c>
      <c r="AV684" t="str" cm="1">
        <f t="array" ref="AV684">IFERROR(IF(O684&lt;&gt;"",O684,IF(OR($S684="",$T684=""),"",IF(O684&lt;&gt;"",O684,IF($T684&lt;&gt;"",_xlfn._xlws.FILTER(O:O,($BT:$BT=$BT684)*($I:$I=$I684)*($T:$T=$T684)*($S:$S=_xlfn.MINIFS($S:$S,$T:$T,"="&amp;$T684)),"")))))&amp;"",IF(O684="","",""))&amp;""</f>
        <v/>
      </c>
      <c r="AW684" t="str" cm="1">
        <f t="array" ref="AW684">IFERROR(IF(P684&lt;&gt;"",P684,IF(OR($S684="",$T684=""),"",IF($T684&lt;&gt;"",_xlfn._xlws.FILTER(P:P,($BT:$BT=$BT684)*($I:$I=$I684)*($T:$T=$T684)*($S:$S=_xlfn.MINIFS($S:$S,$T:$T,"="&amp;$T684)),""))))&amp;"",IF(P684="","",""))&amp;""</f>
        <v/>
      </c>
      <c r="AX684" t="str" cm="1">
        <f t="array" ref="AX684">IFERROR(IF(Q684&lt;&gt;"",Q684,IF(OR($S684="",$T684=""),"",IF($T684&lt;&gt;"",_xlfn._xlws.FILTER(Q:Q,($BT:$BT=$BT684)*($I:$I=$I684)*($T:$T=$T684)*($S:$S=_xlfn.MINIFS($S:$S,$T:$T,"="&amp;$T684)),""))))&amp;"",IF(Q684="","",""))&amp;""</f>
        <v/>
      </c>
      <c r="AY684" t="str" cm="1">
        <f t="array" ref="AY684">IFERROR(IF(R684&lt;&gt;"",R684,IF(OR($S684="",$T684=""),"",IF($T684&lt;&gt;"",_xlfn._xlws.FILTER(R:R,($BT:$BT=$BT684)*($I:$I=$I684)*($T:$T=$T684)*($S:$S=_xlfn.MINIFS($S:$S,$T:$T,"="&amp;$T684)),""))))&amp;"",IF(R684="","",""))&amp;""</f>
        <v/>
      </c>
      <c r="AZ684" s="6">
        <f t="shared" si="1117"/>
        <v>55</v>
      </c>
      <c r="BA684">
        <f t="shared" ref="BA684:BC684" si="1184">BA683</f>
        <v>18991</v>
      </c>
      <c r="BB684" t="str">
        <f t="shared" si="1184"/>
        <v>Triple J</v>
      </c>
      <c r="BC684" t="str">
        <f t="shared" si="1184"/>
        <v>Velodrome</v>
      </c>
      <c r="BD684" t="str">
        <f t="shared" si="1119"/>
        <v>Turnover</v>
      </c>
      <c r="BE684" t="str">
        <f t="shared" si="1120"/>
        <v>Turnover_Giveaway</v>
      </c>
      <c r="BF684" t="str">
        <f t="shared" si="1121"/>
        <v>Giveaway-PassIntercepted</v>
      </c>
      <c r="BG684" t="str">
        <f t="shared" si="1104"/>
        <v>u</v>
      </c>
      <c r="BH684" cm="1">
        <f t="array" aca="1" ref="BH684" ca="1">IFERROR(_xlfn._xlws.FILTER(shifts!A:A,(shifts!B:B=events!Z684)*(shifts!AG:AG&gt;=events!BJ684)*(shifts!AH:AH&lt;=events!BK684)),BH683)</f>
        <v>23</v>
      </c>
      <c r="BI684" s="15">
        <f t="shared" si="1122"/>
        <v>0</v>
      </c>
      <c r="BJ684">
        <f t="shared" si="1123"/>
        <v>499</v>
      </c>
      <c r="BK684">
        <f t="shared" si="1124"/>
        <v>499</v>
      </c>
      <c r="BL684" s="15">
        <f>SUMIFS(BI$2:BI684,K$2:K684,"=Intermission")+SUMIFS(BI$2:BI684,K$2:K684,"=Timeout")</f>
        <v>0</v>
      </c>
      <c r="BM684">
        <f t="shared" si="1125"/>
        <v>0</v>
      </c>
      <c r="BN684" s="19">
        <f t="shared" si="1126"/>
        <v>581</v>
      </c>
      <c r="BO684">
        <f t="shared" si="1127"/>
        <v>576</v>
      </c>
      <c r="BP684" s="17">
        <f t="shared" si="1128"/>
        <v>581</v>
      </c>
      <c r="BQ684" t="str">
        <f t="shared" si="1129"/>
        <v>opp_team_player_1</v>
      </c>
      <c r="BR684">
        <f>COUNTIFS(S$3:S684,"="&amp;S684,AH$3:AH684,"="&amp;AH684)</f>
        <v>1</v>
      </c>
      <c r="BS684" t="str">
        <f>IFERROR(VLOOKUP(BA684&amp;BT684&amp;X684,game_rosters!U:W,3,FALSE),"")</f>
        <v>P100105</v>
      </c>
      <c r="BT684" t="str">
        <f t="shared" si="1130"/>
        <v>Velodrome</v>
      </c>
    </row>
    <row r="685" spans="1:72" x14ac:dyDescent="0.2">
      <c r="A685" t="str">
        <f t="shared" si="1131"/>
        <v>x</v>
      </c>
      <c r="D685" s="26" t="s">
        <v>729</v>
      </c>
      <c r="E685" s="4"/>
      <c r="F685" s="45"/>
      <c r="G685" s="4"/>
      <c r="H685" s="47"/>
      <c r="J685" s="26" t="str">
        <f t="shared" si="1132"/>
        <v/>
      </c>
      <c r="N685" t="str">
        <f t="shared" si="1150"/>
        <v/>
      </c>
      <c r="Q685" t="str">
        <f t="shared" si="1144"/>
        <v/>
      </c>
      <c r="S685">
        <f>IF(A685=1,MAX($S$2:$S684)+1,IF(OR($I685&lt;&gt;"",A685="x"),$S684,""))</f>
        <v>340</v>
      </c>
      <c r="T685">
        <f>IF(D685=1,MAX($T$2:$T684)+1,IF(S685=S684,$T684,IF(D685="x",T684,IF(D684="x","",""))))</f>
        <v>46</v>
      </c>
      <c r="U685" t="str">
        <f>IF(B685=1,MAX($U$2:$U684)+1,IF(AND($T685&lt;&gt;"",$T685=$T684),$U684,IF(B685="x",U684,"")))</f>
        <v/>
      </c>
      <c r="V685" t="str">
        <f>IF(C685=1,MAX($V$2:$V684)+1,IF(AND($T685&lt;&gt;"",$T685=$T684),$U684,IF(C685="x",V684,"")))</f>
        <v/>
      </c>
      <c r="W685" t="str" cm="1">
        <f t="array" ref="W685">IFERROR(_xlfn._xlws.FILTER(game_rosters!AC:AC,(game_rosters!J:J=events!X685)*(K685&lt;&gt;"")),"")</f>
        <v/>
      </c>
      <c r="X685" cm="1">
        <f t="array" ref="X685">IF($I685&lt;&gt;"",$I685,INDEX($I$1:$I685,ROW()-COUNTIFS($T$1:$T685,"="&amp;$T685,$S$1:$S685,"&lt;"&amp;$S685)))</f>
        <v>70</v>
      </c>
      <c r="Y685" t="str" cm="1">
        <f t="array" ref="Y685">IFERROR(IF(_xlfn._xlws.FILTER(game_rosters!$J:$J,(game_rosters!$G:$G=events!$AM685)*(game_rosters!$J:$J=events!$X685))&gt;0,1,""),"")</f>
        <v/>
      </c>
      <c r="Z685" s="6">
        <f t="shared" si="1106"/>
        <v>1</v>
      </c>
      <c r="AA685">
        <f t="shared" si="1107"/>
        <v>1340</v>
      </c>
      <c r="AB685">
        <f t="shared" si="1108"/>
        <v>9046</v>
      </c>
      <c r="AC685">
        <f t="shared" si="1109"/>
        <v>9046</v>
      </c>
      <c r="AD685" t="str">
        <f t="shared" si="1110"/>
        <v>8</v>
      </c>
      <c r="AE685" t="str">
        <f t="shared" si="1111"/>
        <v>19</v>
      </c>
      <c r="AF685" t="str">
        <f t="shared" si="1112"/>
        <v/>
      </c>
      <c r="AG685" t="str">
        <f t="shared" si="1113"/>
        <v/>
      </c>
      <c r="AH685" t="str">
        <f t="shared" si="1157"/>
        <v>o</v>
      </c>
      <c r="AI685" t="str">
        <f t="shared" si="1182"/>
        <v>o</v>
      </c>
      <c r="AJ685" t="str">
        <f t="shared" si="1182"/>
        <v>o</v>
      </c>
      <c r="AK685" t="str">
        <f t="shared" si="1159"/>
        <v/>
      </c>
      <c r="AL685" t="str">
        <f t="shared" si="1160"/>
        <v/>
      </c>
      <c r="AM685" t="str">
        <f t="shared" si="1114"/>
        <v>Home</v>
      </c>
      <c r="AN685" t="str">
        <f t="shared" si="1161"/>
        <v>h</v>
      </c>
      <c r="AO685" t="str">
        <f t="shared" si="1162"/>
        <v>o</v>
      </c>
      <c r="AP685" t="str">
        <f t="shared" si="1163"/>
        <v>d</v>
      </c>
      <c r="AQ685" t="str">
        <f>IF(AM685&lt;&gt;"",AM685,IF($AC685=#REF!,#REF!,""))</f>
        <v>Home</v>
      </c>
      <c r="AR685" t="str">
        <f t="shared" si="1164"/>
        <v>h</v>
      </c>
      <c r="AS685" t="str">
        <f t="shared" si="1165"/>
        <v>Defensive</v>
      </c>
      <c r="AT685" t="str">
        <f t="shared" si="1115"/>
        <v/>
      </c>
      <c r="AU685" t="str">
        <f t="shared" si="1116"/>
        <v/>
      </c>
      <c r="AV685" t="str" cm="1">
        <f t="array" ref="AV685">IFERROR(IF(O685&lt;&gt;"",O685,IF(OR($S685="",$T685=""),"",IF(O685&lt;&gt;"",O685,IF($T685&lt;&gt;"",_xlfn._xlws.FILTER(O:O,($BT:$BT=$BT685)*($I:$I=$I685)*($T:$T=$T685)*($S:$S=_xlfn.MINIFS($S:$S,$T:$T,"="&amp;$T685)),"")))))&amp;"",IF(O685="","",""))&amp;""</f>
        <v/>
      </c>
      <c r="AW685" t="str" cm="1">
        <f t="array" ref="AW685">IFERROR(IF(P685&lt;&gt;"",P685,IF(OR($S685="",$T685=""),"",IF($T685&lt;&gt;"",_xlfn._xlws.FILTER(P:P,($BT:$BT=$BT685)*($I:$I=$I685)*($T:$T=$T685)*($S:$S=_xlfn.MINIFS($S:$S,$T:$T,"="&amp;$T685)),""))))&amp;"",IF(P685="","",""))&amp;""</f>
        <v/>
      </c>
      <c r="AX685" t="str" cm="1">
        <f t="array" ref="AX685">IFERROR(IF(Q685&lt;&gt;"",Q685,IF(OR($S685="",$T685=""),"",IF($T685&lt;&gt;"",_xlfn._xlws.FILTER(Q:Q,($BT:$BT=$BT685)*($I:$I=$I685)*($T:$T=$T685)*($S:$S=_xlfn.MINIFS($S:$S,$T:$T,"="&amp;$T685)),""))))&amp;"",IF(Q685="","",""))&amp;""</f>
        <v/>
      </c>
      <c r="AY685" t="str" cm="1">
        <f t="array" ref="AY685">IFERROR(IF(R685&lt;&gt;"",R685,IF(OR($S685="",$T685=""),"",IF($T685&lt;&gt;"",_xlfn._xlws.FILTER(R:R,($BT:$BT=$BT685)*($I:$I=$I685)*($T:$T=$T685)*($S:$S=_xlfn.MINIFS($S:$S,$T:$T,"="&amp;$T685)),""))))&amp;"",IF(R685="","",""))&amp;""</f>
        <v/>
      </c>
      <c r="AZ685" s="6">
        <f t="shared" si="1117"/>
        <v>55</v>
      </c>
      <c r="BA685">
        <f t="shared" ref="BA685:BC685" si="1185">BA684</f>
        <v>18991</v>
      </c>
      <c r="BB685" t="str">
        <f t="shared" si="1185"/>
        <v>Triple J</v>
      </c>
      <c r="BC685" t="str">
        <f t="shared" si="1185"/>
        <v>Velodrome</v>
      </c>
      <c r="BD685" t="str">
        <f t="shared" si="1119"/>
        <v>Turnover</v>
      </c>
      <c r="BE685" t="str">
        <f t="shared" si="1120"/>
        <v>Turnover_Giveaway</v>
      </c>
      <c r="BF685" t="str">
        <f t="shared" si="1121"/>
        <v>Giveaway-PassIntercepted</v>
      </c>
      <c r="BG685" t="str">
        <f t="shared" si="1104"/>
        <v>u</v>
      </c>
      <c r="BH685" cm="1">
        <f t="array" aca="1" ref="BH685" ca="1">IFERROR(_xlfn._xlws.FILTER(shifts!A:A,(shifts!B:B=events!Z685)*(shifts!AG:AG&gt;=events!BJ685)*(shifts!AH:AH&lt;=events!BK685)),BH684)</f>
        <v>23</v>
      </c>
      <c r="BI685" s="15">
        <f t="shared" si="1122"/>
        <v>0</v>
      </c>
      <c r="BJ685">
        <f t="shared" si="1123"/>
        <v>499</v>
      </c>
      <c r="BK685">
        <f t="shared" si="1124"/>
        <v>499</v>
      </c>
      <c r="BL685" s="15">
        <f>SUMIFS(BI$2:BI685,K$2:K685,"=Intermission")+SUMIFS(BI$2:BI685,K$2:K685,"=Timeout")</f>
        <v>0</v>
      </c>
      <c r="BM685">
        <f t="shared" si="1125"/>
        <v>0</v>
      </c>
      <c r="BN685" s="19">
        <f t="shared" si="1126"/>
        <v>581</v>
      </c>
      <c r="BO685">
        <f t="shared" si="1127"/>
        <v>576</v>
      </c>
      <c r="BP685" s="17">
        <f t="shared" si="1128"/>
        <v>581</v>
      </c>
      <c r="BQ685" t="str">
        <f t="shared" si="1129"/>
        <v>opp_team_player_2</v>
      </c>
      <c r="BR685">
        <f>COUNTIFS(S$3:S685,"="&amp;S685,AH$3:AH685,"="&amp;AH685)</f>
        <v>2</v>
      </c>
      <c r="BS685" t="str">
        <f>IFERROR(VLOOKUP(BA685&amp;BT685&amp;X685,game_rosters!U:W,3,FALSE),"")</f>
        <v>P100001</v>
      </c>
      <c r="BT685" t="str">
        <f t="shared" si="1130"/>
        <v>Velodrome</v>
      </c>
    </row>
    <row r="686" spans="1:72" x14ac:dyDescent="0.2">
      <c r="A686">
        <f t="shared" si="1131"/>
        <v>1</v>
      </c>
      <c r="E686" s="4"/>
      <c r="F686" s="45"/>
      <c r="G686" s="4"/>
      <c r="H686" s="47" t="s">
        <v>1054</v>
      </c>
      <c r="I686" s="26">
        <v>9</v>
      </c>
      <c r="J686" s="26" t="s">
        <v>736</v>
      </c>
      <c r="K686" t="s">
        <v>13</v>
      </c>
      <c r="N686" t="str">
        <f t="shared" si="1150"/>
        <v/>
      </c>
      <c r="Q686" t="str">
        <f t="shared" si="1144"/>
        <v/>
      </c>
      <c r="S686">
        <f>IF(A686=1,MAX($S$2:$S685)+1,IF(OR($I686&lt;&gt;"",A686="x"),$S685,""))</f>
        <v>341</v>
      </c>
      <c r="T686" t="str">
        <f>IF(D686=1,MAX($T$2:$T685)+1,IF(S686=S685,$T685,IF(D686="x",T685,IF(D685="x","",""))))</f>
        <v/>
      </c>
      <c r="U686" t="str">
        <f>IF(B686=1,MAX($U$2:$U685)+1,IF(AND($T686&lt;&gt;"",$T686=$T685),$U685,IF(B686="x",U685,"")))</f>
        <v/>
      </c>
      <c r="V686" t="str">
        <f>IF(C686=1,MAX($V$2:$V685)+1,IF(AND($T686&lt;&gt;"",$T686=$T685),$U685,IF(C686="x",V685,"")))</f>
        <v/>
      </c>
      <c r="W686" t="str" cm="1">
        <f t="array" ref="W686">IFERROR(_xlfn._xlws.FILTER(game_rosters!AC:AC,(game_rosters!J:J=events!X686)*(K686&lt;&gt;"")),"")</f>
        <v>a</v>
      </c>
      <c r="X686" cm="1">
        <f t="array" ref="X686">IF($I686&lt;&gt;"",$I686,INDEX($I$1:$I686,ROW()-COUNTIFS($T$1:$T686,"="&amp;$T686,$S$1:$S686,"&lt;"&amp;$S686)))</f>
        <v>9</v>
      </c>
      <c r="Y686" cm="1">
        <f t="array" ref="Y686">IFERROR(IF(_xlfn._xlws.FILTER(game_rosters!$J:$J,(game_rosters!$G:$G=events!$AM686)*(game_rosters!$J:$J=events!$X686))&gt;0,1,""),"")</f>
        <v>1</v>
      </c>
      <c r="Z686" s="6">
        <f t="shared" si="1106"/>
        <v>1</v>
      </c>
      <c r="AA686">
        <f t="shared" si="1107"/>
        <v>1341</v>
      </c>
      <c r="AB686" t="str">
        <f t="shared" si="1108"/>
        <v/>
      </c>
      <c r="AC686">
        <f t="shared" si="1109"/>
        <v>1341</v>
      </c>
      <c r="AD686" t="str">
        <f t="shared" si="1110"/>
        <v>8</v>
      </c>
      <c r="AE686" t="str">
        <f t="shared" si="1111"/>
        <v>19</v>
      </c>
      <c r="AF686" t="str">
        <f t="shared" si="1112"/>
        <v>8</v>
      </c>
      <c r="AG686" t="str">
        <f t="shared" si="1113"/>
        <v>16</v>
      </c>
      <c r="AH686" t="str">
        <f t="shared" si="1157"/>
        <v>e</v>
      </c>
      <c r="AI686" t="str">
        <f t="shared" si="1182"/>
        <v>d</v>
      </c>
      <c r="AJ686" t="str">
        <f t="shared" si="1182"/>
        <v>d</v>
      </c>
      <c r="AK686" t="str">
        <f t="shared" si="1159"/>
        <v>o</v>
      </c>
      <c r="AL686" t="str">
        <f t="shared" si="1160"/>
        <v>d</v>
      </c>
      <c r="AM686" t="str">
        <f t="shared" si="1114"/>
        <v>Away</v>
      </c>
      <c r="AN686" t="str">
        <f t="shared" si="1161"/>
        <v>a</v>
      </c>
      <c r="AO686" t="str">
        <f t="shared" si="1162"/>
        <v>o</v>
      </c>
      <c r="AP686" t="str">
        <f t="shared" si="1163"/>
        <v>d</v>
      </c>
      <c r="AQ686" t="str">
        <f>IF(AM686&lt;&gt;"",AM686,IF($AC686=#REF!,#REF!,""))</f>
        <v>Away</v>
      </c>
      <c r="AR686" t="str">
        <f t="shared" si="1164"/>
        <v>a</v>
      </c>
      <c r="AS686" t="str">
        <f t="shared" si="1165"/>
        <v>Offensive</v>
      </c>
      <c r="AT686" t="str">
        <f t="shared" si="1115"/>
        <v/>
      </c>
      <c r="AU686" t="str">
        <f t="shared" si="1116"/>
        <v/>
      </c>
      <c r="AV686" t="str" cm="1">
        <f t="array" ref="AV686">IFERROR(IF(O686&lt;&gt;"",O686,IF(OR($S686="",$T686=""),"",IF(O686&lt;&gt;"",O686,IF($T686&lt;&gt;"",_xlfn._xlws.FILTER(O:O,($BT:$BT=$BT686)*($I:$I=$I686)*($T:$T=$T686)*($S:$S=_xlfn.MINIFS($S:$S,$T:$T,"="&amp;$T686)),"")))))&amp;"",IF(O686="","",""))&amp;""</f>
        <v/>
      </c>
      <c r="AW686" t="str" cm="1">
        <f t="array" ref="AW686">IFERROR(IF(P686&lt;&gt;"",P686,IF(OR($S686="",$T686=""),"",IF($T686&lt;&gt;"",_xlfn._xlws.FILTER(P:P,($BT:$BT=$BT686)*($I:$I=$I686)*($T:$T=$T686)*($S:$S=_xlfn.MINIFS($S:$S,$T:$T,"="&amp;$T686)),""))))&amp;"",IF(P686="","",""))&amp;""</f>
        <v/>
      </c>
      <c r="AX686" t="str" cm="1">
        <f t="array" ref="AX686">IFERROR(IF(Q686&lt;&gt;"",Q686,IF(OR($S686="",$T686=""),"",IF($T686&lt;&gt;"",_xlfn._xlws.FILTER(Q:Q,($BT:$BT=$BT686)*($I:$I=$I686)*($T:$T=$T686)*($S:$S=_xlfn.MINIFS($S:$S,$T:$T,"="&amp;$T686)),""))))&amp;"",IF(Q686="","",""))&amp;""</f>
        <v/>
      </c>
      <c r="AY686" t="str" cm="1">
        <f t="array" ref="AY686">IFERROR(IF(R686&lt;&gt;"",R686,IF(OR($S686="",$T686=""),"",IF($T686&lt;&gt;"",_xlfn._xlws.FILTER(R:R,($BT:$BT=$BT686)*($I:$I=$I686)*($T:$T=$T686)*($S:$S=_xlfn.MINIFS($S:$S,$T:$T,"="&amp;$T686)),""))))&amp;"",IF(R686="","",""))&amp;""</f>
        <v/>
      </c>
      <c r="AZ686" s="6">
        <f t="shared" si="1117"/>
        <v>55</v>
      </c>
      <c r="BA686">
        <f t="shared" ref="BA686:BC686" si="1186">BA685</f>
        <v>18991</v>
      </c>
      <c r="BB686" t="str">
        <f t="shared" si="1186"/>
        <v>Triple J</v>
      </c>
      <c r="BC686" t="str">
        <f t="shared" si="1186"/>
        <v>Velodrome</v>
      </c>
      <c r="BD686" t="str">
        <f t="shared" si="1119"/>
        <v>Possession</v>
      </c>
      <c r="BE686" t="str">
        <f t="shared" si="1120"/>
        <v/>
      </c>
      <c r="BF686" t="str">
        <f t="shared" si="1121"/>
        <v/>
      </c>
      <c r="BG686" t="str">
        <f t="shared" si="1104"/>
        <v/>
      </c>
      <c r="BH686" cm="1">
        <f t="array" aca="1" ref="BH686" ca="1">IFERROR(_xlfn._xlws.FILTER(shifts!A:A,(shifts!B:B=events!Z686)*(shifts!AG:AG&gt;=events!BJ686)*(shifts!AH:AH&lt;=events!BK686)),BH685)</f>
        <v>23</v>
      </c>
      <c r="BI686" s="15">
        <f t="shared" si="1122"/>
        <v>3</v>
      </c>
      <c r="BJ686">
        <f t="shared" si="1123"/>
        <v>499</v>
      </c>
      <c r="BK686">
        <f t="shared" si="1124"/>
        <v>496</v>
      </c>
      <c r="BL686" s="15">
        <f>SUMIFS(BI$2:BI686,K$2:K686,"=Intermission")+SUMIFS(BI$2:BI686,K$2:K686,"=Timeout")</f>
        <v>0</v>
      </c>
      <c r="BM686">
        <f t="shared" si="1125"/>
        <v>0</v>
      </c>
      <c r="BN686" s="19">
        <f t="shared" si="1126"/>
        <v>581</v>
      </c>
      <c r="BO686">
        <f t="shared" si="1127"/>
        <v>576</v>
      </c>
      <c r="BP686" s="17">
        <f t="shared" si="1128"/>
        <v>584</v>
      </c>
      <c r="BQ686" t="str">
        <f t="shared" si="1129"/>
        <v>event_team_player_1</v>
      </c>
      <c r="BR686">
        <f>COUNTIFS(S$3:S686,"="&amp;S686,AH$3:AH686,"="&amp;AH686)</f>
        <v>1</v>
      </c>
      <c r="BS686" t="str">
        <f>IFERROR(VLOOKUP(BA686&amp;BT686&amp;X686,game_rosters!U:W,3,FALSE),"")</f>
        <v>P100105</v>
      </c>
      <c r="BT686" t="str">
        <f t="shared" si="1130"/>
        <v>Velodrome</v>
      </c>
    </row>
    <row r="687" spans="1:72" x14ac:dyDescent="0.2">
      <c r="A687">
        <f t="shared" si="1131"/>
        <v>1</v>
      </c>
      <c r="E687" s="4"/>
      <c r="F687" s="45"/>
      <c r="G687" s="4"/>
      <c r="H687" s="47" t="s">
        <v>744</v>
      </c>
      <c r="I687" s="26">
        <v>9</v>
      </c>
      <c r="J687" s="26" t="str">
        <f t="shared" si="1132"/>
        <v>d</v>
      </c>
      <c r="K687" t="s">
        <v>238</v>
      </c>
      <c r="L687" t="s">
        <v>184</v>
      </c>
      <c r="M687" t="s">
        <v>88</v>
      </c>
      <c r="N687" t="str">
        <f t="shared" si="1150"/>
        <v>s</v>
      </c>
      <c r="Q687" t="str">
        <f t="shared" si="1144"/>
        <v/>
      </c>
      <c r="S687">
        <f>IF(A687=1,MAX($S$2:$S686)+1,IF(OR($I687&lt;&gt;"",A687="x"),$S686,""))</f>
        <v>342</v>
      </c>
      <c r="T687" t="str">
        <f>IF(D687=1,MAX($T$2:$T686)+1,IF(S687=S686,$T686,IF(D687="x",T686,IF(D686="x","",""))))</f>
        <v/>
      </c>
      <c r="U687" t="str">
        <f>IF(B687=1,MAX($U$2:$U686)+1,IF(AND($T687&lt;&gt;"",$T687=$T686),$U686,IF(B687="x",U686,"")))</f>
        <v/>
      </c>
      <c r="V687" t="str">
        <f>IF(C687=1,MAX($V$2:$V686)+1,IF(AND($T687&lt;&gt;"",$T687=$T686),$U686,IF(C687="x",V686,"")))</f>
        <v/>
      </c>
      <c r="W687" t="str" cm="1">
        <f t="array" ref="W687">IFERROR(_xlfn._xlws.FILTER(game_rosters!AC:AC,(game_rosters!J:J=events!X687)*(K687&lt;&gt;"")),"")</f>
        <v>a</v>
      </c>
      <c r="X687" cm="1">
        <f t="array" ref="X687">IF($I687&lt;&gt;"",$I687,INDEX($I$1:$I687,ROW()-COUNTIFS($T$1:$T687,"="&amp;$T687,$S$1:$S687,"&lt;"&amp;$S687)))</f>
        <v>9</v>
      </c>
      <c r="Y687" cm="1">
        <f t="array" ref="Y687">IFERROR(IF(_xlfn._xlws.FILTER(game_rosters!$J:$J,(game_rosters!$G:$G=events!$AM687)*(game_rosters!$J:$J=events!$X687))&gt;0,1,""),"")</f>
        <v>1</v>
      </c>
      <c r="Z687" s="6">
        <f t="shared" si="1106"/>
        <v>1</v>
      </c>
      <c r="AA687">
        <f t="shared" si="1107"/>
        <v>1342</v>
      </c>
      <c r="AB687" t="str">
        <f t="shared" si="1108"/>
        <v/>
      </c>
      <c r="AC687">
        <f t="shared" si="1109"/>
        <v>1342</v>
      </c>
      <c r="AD687" t="str">
        <f t="shared" si="1110"/>
        <v>8</v>
      </c>
      <c r="AE687" t="str">
        <f t="shared" si="1111"/>
        <v>16</v>
      </c>
      <c r="AF687" t="str">
        <f t="shared" si="1112"/>
        <v>8</v>
      </c>
      <c r="AG687" t="str">
        <f t="shared" si="1113"/>
        <v>15</v>
      </c>
      <c r="AH687" t="str">
        <f t="shared" si="1157"/>
        <v>e</v>
      </c>
      <c r="AI687" t="str">
        <f t="shared" si="1182"/>
        <v>d</v>
      </c>
      <c r="AJ687" t="str">
        <f t="shared" si="1182"/>
        <v>d</v>
      </c>
      <c r="AK687" t="str">
        <f t="shared" si="1159"/>
        <v>o</v>
      </c>
      <c r="AL687" t="str">
        <f t="shared" si="1160"/>
        <v>d</v>
      </c>
      <c r="AM687" t="str">
        <f t="shared" si="1114"/>
        <v>Away</v>
      </c>
      <c r="AN687" t="str">
        <f t="shared" si="1161"/>
        <v>a</v>
      </c>
      <c r="AO687" t="str">
        <f t="shared" si="1162"/>
        <v>o</v>
      </c>
      <c r="AP687" t="str">
        <f t="shared" si="1163"/>
        <v>d</v>
      </c>
      <c r="AQ687" t="str">
        <f>IF(AM687&lt;&gt;"",AM687,IF($AC687=#REF!,#REF!,""))</f>
        <v>Away</v>
      </c>
      <c r="AR687" t="str">
        <f t="shared" si="1164"/>
        <v>a</v>
      </c>
      <c r="AS687" t="str">
        <f t="shared" si="1165"/>
        <v>Offensive</v>
      </c>
      <c r="AT687" t="str">
        <f t="shared" si="1115"/>
        <v/>
      </c>
      <c r="AU687" t="str">
        <f t="shared" si="1116"/>
        <v/>
      </c>
      <c r="AV687" t="str" cm="1">
        <f t="array" ref="AV687">IFERROR(IF(O687&lt;&gt;"",O687,IF(OR($S687="",$T687=""),"",IF(O687&lt;&gt;"",O687,IF($T687&lt;&gt;"",_xlfn._xlws.FILTER(O:O,($BT:$BT=$BT687)*($I:$I=$I687)*($T:$T=$T687)*($S:$S=_xlfn.MINIFS($S:$S,$T:$T,"="&amp;$T687)),"")))))&amp;"",IF(O687="","",""))&amp;""</f>
        <v/>
      </c>
      <c r="AW687" t="str" cm="1">
        <f t="array" ref="AW687">IFERROR(IF(P687&lt;&gt;"",P687,IF(OR($S687="",$T687=""),"",IF($T687&lt;&gt;"",_xlfn._xlws.FILTER(P:P,($BT:$BT=$BT687)*($I:$I=$I687)*($T:$T=$T687)*($S:$S=_xlfn.MINIFS($S:$S,$T:$T,"="&amp;$T687)),""))))&amp;"",IF(P687="","",""))&amp;""</f>
        <v/>
      </c>
      <c r="AX687" t="str" cm="1">
        <f t="array" ref="AX687">IFERROR(IF(Q687&lt;&gt;"",Q687,IF(OR($S687="",$T687=""),"",IF($T687&lt;&gt;"",_xlfn._xlws.FILTER(Q:Q,($BT:$BT=$BT687)*($I:$I=$I687)*($T:$T=$T687)*($S:$S=_xlfn.MINIFS($S:$S,$T:$T,"="&amp;$T687)),""))))&amp;"",IF(Q687="","",""))&amp;""</f>
        <v/>
      </c>
      <c r="AY687" t="str" cm="1">
        <f t="array" ref="AY687">IFERROR(IF(R687&lt;&gt;"",R687,IF(OR($S687="",$T687=""),"",IF($T687&lt;&gt;"",_xlfn._xlws.FILTER(R:R,($BT:$BT=$BT687)*($I:$I=$I687)*($T:$T=$T687)*($S:$S=_xlfn.MINIFS($S:$S,$T:$T,"="&amp;$T687)),""))))&amp;"",IF(R687="","",""))&amp;""</f>
        <v/>
      </c>
      <c r="AZ687" s="6">
        <f t="shared" si="1117"/>
        <v>56</v>
      </c>
      <c r="BA687">
        <f t="shared" ref="BA687:BC687" si="1187">BA686</f>
        <v>18991</v>
      </c>
      <c r="BB687" t="str">
        <f t="shared" si="1187"/>
        <v>Triple J</v>
      </c>
      <c r="BC687" t="str">
        <f t="shared" si="1187"/>
        <v>Velodrome</v>
      </c>
      <c r="BD687" t="str">
        <f t="shared" si="1119"/>
        <v>Zone_Entry_Exit</v>
      </c>
      <c r="BE687" t="str">
        <f t="shared" si="1120"/>
        <v>Zone_Exit</v>
      </c>
      <c r="BF687" t="str">
        <f t="shared" si="1121"/>
        <v>ZoneExit-Rush</v>
      </c>
      <c r="BG687" t="str">
        <f t="shared" si="1104"/>
        <v>s</v>
      </c>
      <c r="BH687" cm="1">
        <f t="array" aca="1" ref="BH687" ca="1">IFERROR(_xlfn._xlws.FILTER(shifts!A:A,(shifts!B:B=events!Z687)*(shifts!AG:AG&gt;=events!BJ687)*(shifts!AH:AH&lt;=events!BK687)),BH686)</f>
        <v>23</v>
      </c>
      <c r="BI687" s="15">
        <f t="shared" si="1122"/>
        <v>1</v>
      </c>
      <c r="BJ687">
        <f t="shared" si="1123"/>
        <v>496</v>
      </c>
      <c r="BK687">
        <f t="shared" si="1124"/>
        <v>495</v>
      </c>
      <c r="BL687" s="15">
        <f>SUMIFS(BI$2:BI687,K$2:K687,"=Intermission")+SUMIFS(BI$2:BI687,K$2:K687,"=Timeout")</f>
        <v>0</v>
      </c>
      <c r="BM687">
        <f t="shared" si="1125"/>
        <v>0</v>
      </c>
      <c r="BN687" s="19">
        <f t="shared" si="1126"/>
        <v>584</v>
      </c>
      <c r="BO687">
        <f t="shared" si="1127"/>
        <v>579</v>
      </c>
      <c r="BP687" s="17">
        <f t="shared" si="1128"/>
        <v>585</v>
      </c>
      <c r="BQ687" t="str">
        <f t="shared" si="1129"/>
        <v>event_team_player_1</v>
      </c>
      <c r="BR687">
        <f>COUNTIFS(S$3:S687,"="&amp;S687,AH$3:AH687,"="&amp;AH687)</f>
        <v>1</v>
      </c>
      <c r="BS687" t="str">
        <f>IFERROR(VLOOKUP(BA687&amp;BT687&amp;X687,game_rosters!U:W,3,FALSE),"")</f>
        <v>P100105</v>
      </c>
      <c r="BT687" t="str">
        <f t="shared" si="1130"/>
        <v>Velodrome</v>
      </c>
    </row>
    <row r="688" spans="1:72" x14ac:dyDescent="0.2">
      <c r="A688">
        <f t="shared" si="1131"/>
        <v>1</v>
      </c>
      <c r="E688" s="4"/>
      <c r="F688" s="45"/>
      <c r="G688" s="4"/>
      <c r="H688" s="47" t="s">
        <v>1064</v>
      </c>
      <c r="I688" s="26">
        <v>9</v>
      </c>
      <c r="J688" s="26" t="s">
        <v>734</v>
      </c>
      <c r="K688" t="s">
        <v>13</v>
      </c>
      <c r="N688" t="str">
        <f t="shared" si="1150"/>
        <v/>
      </c>
      <c r="Q688" t="str">
        <f t="shared" si="1144"/>
        <v/>
      </c>
      <c r="S688">
        <f>IF(A688=1,MAX($S$2:$S687)+1,IF(OR($I688&lt;&gt;"",A688="x"),$S687,""))</f>
        <v>343</v>
      </c>
      <c r="T688" t="str">
        <f>IF(D688=1,MAX($T$2:$T687)+1,IF(S688=S687,$T687,IF(D688="x",T687,IF(D687="x","",""))))</f>
        <v/>
      </c>
      <c r="U688" t="str">
        <f>IF(B688=1,MAX($U$2:$U687)+1,IF(AND($T688&lt;&gt;"",$T688=$T687),$U687,IF(B688="x",U687,"")))</f>
        <v/>
      </c>
      <c r="V688" t="str">
        <f>IF(C688=1,MAX($V$2:$V687)+1,IF(AND($T688&lt;&gt;"",$T688=$T687),$U687,IF(C688="x",V687,"")))</f>
        <v/>
      </c>
      <c r="W688" t="str" cm="1">
        <f t="array" ref="W688">IFERROR(_xlfn._xlws.FILTER(game_rosters!AC:AC,(game_rosters!J:J=events!X688)*(K688&lt;&gt;"")),"")</f>
        <v>a</v>
      </c>
      <c r="X688" cm="1">
        <f t="array" ref="X688">IF($I688&lt;&gt;"",$I688,INDEX($I$1:$I688,ROW()-COUNTIFS($T$1:$T688,"="&amp;$T688,$S$1:$S688,"&lt;"&amp;$S688)))</f>
        <v>9</v>
      </c>
      <c r="Y688" cm="1">
        <f t="array" ref="Y688">IFERROR(IF(_xlfn._xlws.FILTER(game_rosters!$J:$J,(game_rosters!$G:$G=events!$AM688)*(game_rosters!$J:$J=events!$X688))&gt;0,1,""),"")</f>
        <v>1</v>
      </c>
      <c r="Z688" s="6">
        <f t="shared" si="1106"/>
        <v>1</v>
      </c>
      <c r="AA688">
        <f t="shared" si="1107"/>
        <v>1343</v>
      </c>
      <c r="AB688" t="str">
        <f t="shared" si="1108"/>
        <v/>
      </c>
      <c r="AC688">
        <f t="shared" si="1109"/>
        <v>1343</v>
      </c>
      <c r="AD688" t="str">
        <f t="shared" si="1110"/>
        <v>8</v>
      </c>
      <c r="AE688" t="str">
        <f t="shared" si="1111"/>
        <v>15</v>
      </c>
      <c r="AF688" t="str">
        <f t="shared" si="1112"/>
        <v>8</v>
      </c>
      <c r="AG688" t="str">
        <f t="shared" si="1113"/>
        <v>13</v>
      </c>
      <c r="AH688" t="str">
        <f t="shared" si="1157"/>
        <v>e</v>
      </c>
      <c r="AI688" t="str">
        <f t="shared" si="1182"/>
        <v>n</v>
      </c>
      <c r="AJ688" t="str">
        <f t="shared" si="1182"/>
        <v>n</v>
      </c>
      <c r="AK688" t="str">
        <f t="shared" si="1159"/>
        <v>n</v>
      </c>
      <c r="AL688" t="str">
        <f t="shared" si="1160"/>
        <v>n</v>
      </c>
      <c r="AM688" t="str">
        <f t="shared" si="1114"/>
        <v>Away</v>
      </c>
      <c r="AN688" t="str">
        <f t="shared" si="1161"/>
        <v>a</v>
      </c>
      <c r="AO688" t="str">
        <f t="shared" si="1162"/>
        <v>n</v>
      </c>
      <c r="AP688" t="str">
        <f t="shared" si="1163"/>
        <v>n</v>
      </c>
      <c r="AQ688" t="str">
        <f>IF(AM688&lt;&gt;"",AM688,IF($AC688=#REF!,#REF!,""))</f>
        <v>Away</v>
      </c>
      <c r="AR688" t="str">
        <f t="shared" si="1164"/>
        <v>a</v>
      </c>
      <c r="AS688" t="str">
        <f t="shared" si="1165"/>
        <v>Offensive</v>
      </c>
      <c r="AT688" t="str">
        <f t="shared" si="1115"/>
        <v/>
      </c>
      <c r="AU688" t="str">
        <f t="shared" si="1116"/>
        <v/>
      </c>
      <c r="AV688" t="str" cm="1">
        <f t="array" ref="AV688">IFERROR(IF(O688&lt;&gt;"",O688,IF(OR($S688="",$T688=""),"",IF(O688&lt;&gt;"",O688,IF($T688&lt;&gt;"",_xlfn._xlws.FILTER(O:O,($BT:$BT=$BT688)*($I:$I=$I688)*($T:$T=$T688)*($S:$S=_xlfn.MINIFS($S:$S,$T:$T,"="&amp;$T688)),"")))))&amp;"",IF(O688="","",""))&amp;""</f>
        <v/>
      </c>
      <c r="AW688" t="str" cm="1">
        <f t="array" ref="AW688">IFERROR(IF(P688&lt;&gt;"",P688,IF(OR($S688="",$T688=""),"",IF($T688&lt;&gt;"",_xlfn._xlws.FILTER(P:P,($BT:$BT=$BT688)*($I:$I=$I688)*($T:$T=$T688)*($S:$S=_xlfn.MINIFS($S:$S,$T:$T,"="&amp;$T688)),""))))&amp;"",IF(P688="","",""))&amp;""</f>
        <v/>
      </c>
      <c r="AX688" t="str" cm="1">
        <f t="array" ref="AX688">IFERROR(IF(Q688&lt;&gt;"",Q688,IF(OR($S688="",$T688=""),"",IF($T688&lt;&gt;"",_xlfn._xlws.FILTER(Q:Q,($BT:$BT=$BT688)*($I:$I=$I688)*($T:$T=$T688)*($S:$S=_xlfn.MINIFS($S:$S,$T:$T,"="&amp;$T688)),""))))&amp;"",IF(Q688="","",""))&amp;""</f>
        <v/>
      </c>
      <c r="AY688" t="str" cm="1">
        <f t="array" ref="AY688">IFERROR(IF(R688&lt;&gt;"",R688,IF(OR($S688="",$T688=""),"",IF($T688&lt;&gt;"",_xlfn._xlws.FILTER(R:R,($BT:$BT=$BT688)*($I:$I=$I688)*($T:$T=$T688)*($S:$S=_xlfn.MINIFS($S:$S,$T:$T,"="&amp;$T688)),""))))&amp;"",IF(R688="","",""))&amp;""</f>
        <v/>
      </c>
      <c r="AZ688" s="6">
        <f t="shared" si="1117"/>
        <v>56</v>
      </c>
      <c r="BA688">
        <f t="shared" ref="BA688:BC688" si="1188">BA687</f>
        <v>18991</v>
      </c>
      <c r="BB688" t="str">
        <f t="shared" si="1188"/>
        <v>Triple J</v>
      </c>
      <c r="BC688" t="str">
        <f t="shared" si="1188"/>
        <v>Velodrome</v>
      </c>
      <c r="BD688" t="str">
        <f t="shared" si="1119"/>
        <v>Possession</v>
      </c>
      <c r="BE688" t="str">
        <f t="shared" si="1120"/>
        <v/>
      </c>
      <c r="BF688" t="str">
        <f t="shared" si="1121"/>
        <v/>
      </c>
      <c r="BG688" t="str">
        <f t="shared" si="1104"/>
        <v/>
      </c>
      <c r="BH688" cm="1">
        <f t="array" aca="1" ref="BH688" ca="1">IFERROR(_xlfn._xlws.FILTER(shifts!A:A,(shifts!B:B=events!Z688)*(shifts!AG:AG&gt;=events!BJ688)*(shifts!AH:AH&lt;=events!BK688)),BH687)</f>
        <v>23</v>
      </c>
      <c r="BI688" s="15">
        <f t="shared" si="1122"/>
        <v>2</v>
      </c>
      <c r="BJ688">
        <f t="shared" si="1123"/>
        <v>495</v>
      </c>
      <c r="BK688">
        <f t="shared" si="1124"/>
        <v>493</v>
      </c>
      <c r="BL688" s="15">
        <f>SUMIFS(BI$2:BI688,K$2:K688,"=Intermission")+SUMIFS(BI$2:BI688,K$2:K688,"=Timeout")</f>
        <v>0</v>
      </c>
      <c r="BM688">
        <f t="shared" si="1125"/>
        <v>0</v>
      </c>
      <c r="BN688" s="19">
        <f t="shared" si="1126"/>
        <v>585</v>
      </c>
      <c r="BO688">
        <f t="shared" si="1127"/>
        <v>580</v>
      </c>
      <c r="BP688" s="17">
        <f t="shared" si="1128"/>
        <v>587</v>
      </c>
      <c r="BQ688" t="str">
        <f t="shared" si="1129"/>
        <v>event_team_player_1</v>
      </c>
      <c r="BR688">
        <f>COUNTIFS(S$3:S688,"="&amp;S688,AH$3:AH688,"="&amp;AH688)</f>
        <v>1</v>
      </c>
      <c r="BS688" t="str">
        <f>IFERROR(VLOOKUP(BA688&amp;BT688&amp;X688,game_rosters!U:W,3,FALSE),"")</f>
        <v>P100105</v>
      </c>
      <c r="BT688" t="str">
        <f t="shared" si="1130"/>
        <v>Velodrome</v>
      </c>
    </row>
    <row r="689" spans="1:72" x14ac:dyDescent="0.2">
      <c r="A689">
        <f t="shared" si="1131"/>
        <v>1</v>
      </c>
      <c r="E689" s="4"/>
      <c r="F689" s="45"/>
      <c r="G689" s="4"/>
      <c r="H689" s="47" t="s">
        <v>1047</v>
      </c>
      <c r="I689" s="26">
        <v>9</v>
      </c>
      <c r="J689" s="26" t="str">
        <f t="shared" si="1132"/>
        <v>o</v>
      </c>
      <c r="K689" t="s">
        <v>238</v>
      </c>
      <c r="L689" t="s">
        <v>174</v>
      </c>
      <c r="M689" t="s">
        <v>85</v>
      </c>
      <c r="N689" t="str">
        <f t="shared" si="1150"/>
        <v>s</v>
      </c>
      <c r="O689" t="s">
        <v>144</v>
      </c>
      <c r="Q689" t="str">
        <f t="shared" si="1144"/>
        <v>s</v>
      </c>
      <c r="R689" s="26">
        <v>1</v>
      </c>
      <c r="S689">
        <f>IF(A689=1,MAX($S$2:$S688)+1,IF(OR($I689&lt;&gt;"",A689="x"),$S688,""))</f>
        <v>344</v>
      </c>
      <c r="T689" t="str">
        <f>IF(D689=1,MAX($T$2:$T688)+1,IF(S689=S688,$T688,IF(D689="x",T688,IF(D688="x","",""))))</f>
        <v/>
      </c>
      <c r="U689" t="str">
        <f>IF(B689=1,MAX($U$2:$U688)+1,IF(AND($T689&lt;&gt;"",$T689=$T688),$U688,IF(B689="x",U688,"")))</f>
        <v/>
      </c>
      <c r="V689" t="str">
        <f>IF(C689=1,MAX($V$2:$V688)+1,IF(AND($T689&lt;&gt;"",$T689=$T688),$U688,IF(C689="x",V688,"")))</f>
        <v/>
      </c>
      <c r="W689" t="str" cm="1">
        <f t="array" ref="W689">IFERROR(_xlfn._xlws.FILTER(game_rosters!AC:AC,(game_rosters!J:J=events!X689)*(K689&lt;&gt;"")),"")</f>
        <v>a</v>
      </c>
      <c r="X689" cm="1">
        <f t="array" ref="X689">IF($I689&lt;&gt;"",$I689,INDEX($I$1:$I689,ROW()-COUNTIFS($T$1:$T689,"="&amp;$T689,$S$1:$S689,"&lt;"&amp;$S689)))</f>
        <v>9</v>
      </c>
      <c r="Y689" cm="1">
        <f t="array" ref="Y689">IFERROR(IF(_xlfn._xlws.FILTER(game_rosters!$J:$J,(game_rosters!$G:$G=events!$AM689)*(game_rosters!$J:$J=events!$X689))&gt;0,1,""),"")</f>
        <v>1</v>
      </c>
      <c r="Z689" s="6">
        <f t="shared" si="1106"/>
        <v>1</v>
      </c>
      <c r="AA689">
        <f t="shared" si="1107"/>
        <v>1344</v>
      </c>
      <c r="AB689" t="str">
        <f t="shared" si="1108"/>
        <v/>
      </c>
      <c r="AC689">
        <f t="shared" si="1109"/>
        <v>1344</v>
      </c>
      <c r="AD689" t="str">
        <f t="shared" si="1110"/>
        <v>8</v>
      </c>
      <c r="AE689" t="str">
        <f t="shared" si="1111"/>
        <v>13</v>
      </c>
      <c r="AF689" t="str">
        <f t="shared" si="1112"/>
        <v>8</v>
      </c>
      <c r="AG689" t="str">
        <f t="shared" si="1113"/>
        <v>09</v>
      </c>
      <c r="AH689" t="str">
        <f t="shared" si="1157"/>
        <v>e</v>
      </c>
      <c r="AI689" t="str">
        <f t="shared" si="1182"/>
        <v>o</v>
      </c>
      <c r="AJ689" t="str">
        <f t="shared" si="1182"/>
        <v>o</v>
      </c>
      <c r="AK689" t="str">
        <f t="shared" si="1159"/>
        <v>d</v>
      </c>
      <c r="AL689" t="str">
        <f t="shared" si="1160"/>
        <v>o</v>
      </c>
      <c r="AM689" t="str">
        <f t="shared" si="1114"/>
        <v>Away</v>
      </c>
      <c r="AN689" t="str">
        <f t="shared" si="1161"/>
        <v>a</v>
      </c>
      <c r="AO689" t="str">
        <f t="shared" si="1162"/>
        <v>d</v>
      </c>
      <c r="AP689" t="str">
        <f t="shared" si="1163"/>
        <v>o</v>
      </c>
      <c r="AQ689" t="str">
        <f>IF(AM689&lt;&gt;"",AM689,IF($AC689=#REF!,#REF!,""))</f>
        <v>Away</v>
      </c>
      <c r="AR689" t="str">
        <f t="shared" si="1164"/>
        <v>a</v>
      </c>
      <c r="AS689" t="str">
        <f t="shared" si="1165"/>
        <v>Offensive</v>
      </c>
      <c r="AT689" t="str">
        <f t="shared" si="1115"/>
        <v/>
      </c>
      <c r="AU689" t="str">
        <f t="shared" si="1116"/>
        <v/>
      </c>
      <c r="AV689" t="str" cm="1">
        <f t="array" ref="AV689">IFERROR(IF(O689&lt;&gt;"",O689,IF(OR($S689="",$T689=""),"",IF(O689&lt;&gt;"",O689,IF($T689&lt;&gt;"",_xlfn._xlws.FILTER(O:O,($BT:$BT=$BT689)*($I:$I=$I689)*($T:$T=$T689)*($S:$S=_xlfn.MINIFS($S:$S,$T:$T,"="&amp;$T689)),"")))))&amp;"",IF(O689="","",""))&amp;""</f>
        <v>DriveWide</v>
      </c>
      <c r="AW689" t="str" cm="1">
        <f t="array" ref="AW689">IFERROR(IF(P689&lt;&gt;"",P689,IF(OR($S689="",$T689=""),"",IF($T689&lt;&gt;"",_xlfn._xlws.FILTER(P:P,($BT:$BT=$BT689)*($I:$I=$I689)*($T:$T=$T689)*($S:$S=_xlfn.MINIFS($S:$S,$T:$T,"="&amp;$T689)),""))))&amp;"",IF(P689="","",""))&amp;""</f>
        <v/>
      </c>
      <c r="AX689" t="str" cm="1">
        <f t="array" ref="AX689">IFERROR(IF(Q689&lt;&gt;"",Q689,IF(OR($S689="",$T689=""),"",IF($T689&lt;&gt;"",_xlfn._xlws.FILTER(Q:Q,($BT:$BT=$BT689)*($I:$I=$I689)*($T:$T=$T689)*($S:$S=_xlfn.MINIFS($S:$S,$T:$T,"="&amp;$T689)),""))))&amp;"",IF(Q689="","",""))&amp;""</f>
        <v>s</v>
      </c>
      <c r="AY689" t="str" cm="1">
        <f t="array" ref="AY689">IFERROR(IF(R689&lt;&gt;"",R689,IF(OR($S689="",$T689=""),"",IF($T689&lt;&gt;"",_xlfn._xlws.FILTER(R:R,($BT:$BT=$BT689)*($I:$I=$I689)*($T:$T=$T689)*($S:$S=_xlfn.MINIFS($S:$S,$T:$T,"="&amp;$T689)),""))))&amp;"",IF(R689="","",""))&amp;""</f>
        <v>1</v>
      </c>
      <c r="AZ689" s="6">
        <f t="shared" si="1117"/>
        <v>57</v>
      </c>
      <c r="BA689">
        <f t="shared" ref="BA689:BC689" si="1189">BA688</f>
        <v>18991</v>
      </c>
      <c r="BB689" t="str">
        <f t="shared" si="1189"/>
        <v>Triple J</v>
      </c>
      <c r="BC689" t="str">
        <f t="shared" si="1189"/>
        <v>Velodrome</v>
      </c>
      <c r="BD689" t="str">
        <f t="shared" si="1119"/>
        <v>Zone_Entry_Exit</v>
      </c>
      <c r="BE689" t="str">
        <f t="shared" si="1120"/>
        <v>Zone_Entry</v>
      </c>
      <c r="BF689" t="str">
        <f t="shared" si="1121"/>
        <v>ZoneEntry-Rush</v>
      </c>
      <c r="BG689" t="str">
        <f t="shared" si="1104"/>
        <v>s</v>
      </c>
      <c r="BH689" cm="1">
        <f t="array" aca="1" ref="BH689" ca="1">IFERROR(_xlfn._xlws.FILTER(shifts!A:A,(shifts!B:B=events!Z689)*(shifts!AG:AG&gt;=events!BJ689)*(shifts!AH:AH&lt;=events!BK689)),BH688)</f>
        <v>24</v>
      </c>
      <c r="BI689" s="15">
        <f t="shared" si="1122"/>
        <v>4</v>
      </c>
      <c r="BJ689">
        <f t="shared" si="1123"/>
        <v>493</v>
      </c>
      <c r="BK689">
        <f t="shared" si="1124"/>
        <v>489</v>
      </c>
      <c r="BL689" s="15">
        <f>SUMIFS(BI$2:BI689,K$2:K689,"=Intermission")+SUMIFS(BI$2:BI689,K$2:K689,"=Timeout")</f>
        <v>0</v>
      </c>
      <c r="BM689">
        <f t="shared" si="1125"/>
        <v>0</v>
      </c>
      <c r="BN689" s="19">
        <f t="shared" si="1126"/>
        <v>587</v>
      </c>
      <c r="BO689">
        <f t="shared" si="1127"/>
        <v>582</v>
      </c>
      <c r="BP689" s="17">
        <f t="shared" si="1128"/>
        <v>591</v>
      </c>
      <c r="BQ689" t="str">
        <f t="shared" si="1129"/>
        <v>event_team_player_1</v>
      </c>
      <c r="BR689">
        <f>COUNTIFS(S$3:S689,"="&amp;S689,AH$3:AH689,"="&amp;AH689)</f>
        <v>1</v>
      </c>
      <c r="BS689" t="str">
        <f>IFERROR(VLOOKUP(BA689&amp;BT689&amp;X689,game_rosters!U:W,3,FALSE),"")</f>
        <v>P100105</v>
      </c>
      <c r="BT689" t="str">
        <f t="shared" si="1130"/>
        <v>Velodrome</v>
      </c>
    </row>
    <row r="690" spans="1:72" x14ac:dyDescent="0.2">
      <c r="A690" t="str">
        <f t="shared" si="1131"/>
        <v/>
      </c>
      <c r="E690" s="4"/>
      <c r="F690" s="45"/>
      <c r="G690" s="4"/>
      <c r="H690" s="47"/>
      <c r="I690" s="26">
        <v>19</v>
      </c>
      <c r="J690" s="26" t="str">
        <f t="shared" si="1132"/>
        <v/>
      </c>
      <c r="N690" t="str">
        <f t="shared" si="1150"/>
        <v/>
      </c>
      <c r="Q690" t="str">
        <f t="shared" si="1144"/>
        <v/>
      </c>
      <c r="R690" s="26">
        <v>1</v>
      </c>
      <c r="S690">
        <f>IF(A690=1,MAX($S$2:$S689)+1,IF(OR($I690&lt;&gt;"",A690="x"),$S689,""))</f>
        <v>344</v>
      </c>
      <c r="T690" t="str">
        <f>IF(D690=1,MAX($T$2:$T689)+1,IF(S690=S689,$T689,IF(D690="x",T689,IF(D689="x","",""))))</f>
        <v/>
      </c>
      <c r="U690" t="str">
        <f>IF(B690=1,MAX($U$2:$U689)+1,IF(AND($T690&lt;&gt;"",$T690=$T689),$U689,IF(B690="x",U689,"")))</f>
        <v/>
      </c>
      <c r="V690" t="str">
        <f>IF(C690=1,MAX($V$2:$V689)+1,IF(AND($T690&lt;&gt;"",$T690=$T689),$U689,IF(C690="x",V689,"")))</f>
        <v/>
      </c>
      <c r="W690" t="str" cm="1">
        <f t="array" ref="W690">IFERROR(_xlfn._xlws.FILTER(game_rosters!AC:AC,(game_rosters!J:J=events!X690)*(K690&lt;&gt;"")),"")</f>
        <v/>
      </c>
      <c r="X690" cm="1">
        <f t="array" ref="X690">IF($I690&lt;&gt;"",$I690,INDEX($I$1:$I690,ROW()-COUNTIFS($T$1:$T690,"="&amp;$T690,$S$1:$S690,"&lt;"&amp;$S690)))</f>
        <v>19</v>
      </c>
      <c r="Y690" t="str" cm="1">
        <f t="array" ref="Y690">IFERROR(IF(_xlfn._xlws.FILTER(game_rosters!$J:$J,(game_rosters!$G:$G=events!$AM690)*(game_rosters!$J:$J=events!$X690))&gt;0,1,""),"")</f>
        <v/>
      </c>
      <c r="Z690" s="6">
        <f t="shared" si="1106"/>
        <v>1</v>
      </c>
      <c r="AA690">
        <f t="shared" si="1107"/>
        <v>1344</v>
      </c>
      <c r="AB690" t="str">
        <f t="shared" si="1108"/>
        <v/>
      </c>
      <c r="AC690">
        <f t="shared" si="1109"/>
        <v>1344</v>
      </c>
      <c r="AD690" t="str">
        <f t="shared" si="1110"/>
        <v>8</v>
      </c>
      <c r="AE690" t="str">
        <f t="shared" si="1111"/>
        <v>13</v>
      </c>
      <c r="AF690" t="str">
        <f t="shared" si="1112"/>
        <v>8</v>
      </c>
      <c r="AG690" t="str">
        <f t="shared" si="1113"/>
        <v>09</v>
      </c>
      <c r="AH690" t="str">
        <f t="shared" si="1157"/>
        <v>o</v>
      </c>
      <c r="AI690" t="str">
        <f t="shared" si="1182"/>
        <v>o</v>
      </c>
      <c r="AJ690" t="str">
        <f t="shared" si="1182"/>
        <v>o</v>
      </c>
      <c r="AK690" t="str">
        <f t="shared" si="1159"/>
        <v/>
      </c>
      <c r="AL690" t="str">
        <f t="shared" si="1160"/>
        <v/>
      </c>
      <c r="AM690" t="str">
        <f t="shared" si="1114"/>
        <v>Away</v>
      </c>
      <c r="AN690" t="str">
        <f t="shared" si="1161"/>
        <v>a</v>
      </c>
      <c r="AO690" t="str">
        <f t="shared" si="1162"/>
        <v>d</v>
      </c>
      <c r="AP690" t="str">
        <f t="shared" si="1163"/>
        <v>o</v>
      </c>
      <c r="AQ690" t="str">
        <f>IF(AM690&lt;&gt;"",AM690,IF($AC690=#REF!,#REF!,""))</f>
        <v>Away</v>
      </c>
      <c r="AR690" t="str">
        <f t="shared" si="1164"/>
        <v>a</v>
      </c>
      <c r="AS690" t="str">
        <f t="shared" si="1165"/>
        <v>Defensive</v>
      </c>
      <c r="AT690" t="str">
        <f t="shared" si="1115"/>
        <v/>
      </c>
      <c r="AU690" t="str">
        <f t="shared" si="1116"/>
        <v/>
      </c>
      <c r="AV690" t="str" cm="1">
        <f t="array" ref="AV690">IFERROR(IF(O690&lt;&gt;"",O690,IF(OR($S690="",$T690=""),"",IF(O690&lt;&gt;"",O690,IF($T690&lt;&gt;"",_xlfn._xlws.FILTER(O:O,($BT:$BT=$BT690)*($I:$I=$I690)*($T:$T=$T690)*($S:$S=_xlfn.MINIFS($S:$S,$T:$T,"="&amp;$T690)),"")))))&amp;"",IF(O690="","",""))&amp;""</f>
        <v/>
      </c>
      <c r="AW690" t="str" cm="1">
        <f t="array" ref="AW690">IFERROR(IF(P690&lt;&gt;"",P690,IF(OR($S690="",$T690=""),"",IF($T690&lt;&gt;"",_xlfn._xlws.FILTER(P:P,($BT:$BT=$BT690)*($I:$I=$I690)*($T:$T=$T690)*($S:$S=_xlfn.MINIFS($S:$S,$T:$T,"="&amp;$T690)),""))))&amp;"",IF(P690="","",""))&amp;""</f>
        <v/>
      </c>
      <c r="AX690" t="str" cm="1">
        <f t="array" ref="AX690">IFERROR(IF(Q690&lt;&gt;"",Q690,IF(OR($S690="",$T690=""),"",IF($T690&lt;&gt;"",_xlfn._xlws.FILTER(Q:Q,($BT:$BT=$BT690)*($I:$I=$I690)*($T:$T=$T690)*($S:$S=_xlfn.MINIFS($S:$S,$T:$T,"="&amp;$T690)),""))))&amp;"",IF(Q690="","",""))&amp;""</f>
        <v/>
      </c>
      <c r="AY690" t="str" cm="1">
        <f t="array" ref="AY690">IFERROR(IF(R690&lt;&gt;"",R690,IF(OR($S690="",$T690=""),"",IF($T690&lt;&gt;"",_xlfn._xlws.FILTER(R:R,($BT:$BT=$BT690)*($I:$I=$I690)*($T:$T=$T690)*($S:$S=_xlfn.MINIFS($S:$S,$T:$T,"="&amp;$T690)),""))))&amp;"",IF(R690="","",""))&amp;""</f>
        <v>1</v>
      </c>
      <c r="AZ690" s="6">
        <f t="shared" si="1117"/>
        <v>57</v>
      </c>
      <c r="BA690">
        <f t="shared" ref="BA690:BC690" si="1190">BA689</f>
        <v>18991</v>
      </c>
      <c r="BB690" t="str">
        <f t="shared" si="1190"/>
        <v>Triple J</v>
      </c>
      <c r="BC690" t="str">
        <f t="shared" si="1190"/>
        <v>Velodrome</v>
      </c>
      <c r="BD690" t="str">
        <f t="shared" si="1119"/>
        <v>Zone_Entry_Exit</v>
      </c>
      <c r="BE690" t="str">
        <f t="shared" si="1120"/>
        <v>Zone_Entry</v>
      </c>
      <c r="BF690" t="str">
        <f t="shared" si="1121"/>
        <v>ZoneEntry-Rush</v>
      </c>
      <c r="BG690" t="str">
        <f t="shared" si="1104"/>
        <v>s</v>
      </c>
      <c r="BH690" cm="1">
        <f t="array" aca="1" ref="BH690" ca="1">IFERROR(_xlfn._xlws.FILTER(shifts!A:A,(shifts!B:B=events!Z690)*(shifts!AG:AG&gt;=events!BJ690)*(shifts!AH:AH&lt;=events!BK690)),BH689)</f>
        <v>24</v>
      </c>
      <c r="BI690" s="15">
        <f t="shared" si="1122"/>
        <v>4</v>
      </c>
      <c r="BJ690">
        <f t="shared" si="1123"/>
        <v>493</v>
      </c>
      <c r="BK690">
        <f t="shared" si="1124"/>
        <v>489</v>
      </c>
      <c r="BL690" s="15">
        <f>SUMIFS(BI$2:BI690,K$2:K690,"=Intermission")+SUMIFS(BI$2:BI690,K$2:K690,"=Timeout")</f>
        <v>0</v>
      </c>
      <c r="BM690">
        <f t="shared" si="1125"/>
        <v>0</v>
      </c>
      <c r="BN690" s="19">
        <f t="shared" si="1126"/>
        <v>587</v>
      </c>
      <c r="BO690">
        <f t="shared" si="1127"/>
        <v>582</v>
      </c>
      <c r="BP690" s="17">
        <f t="shared" si="1128"/>
        <v>591</v>
      </c>
      <c r="BQ690" t="str">
        <f t="shared" si="1129"/>
        <v>opp_team_player_1</v>
      </c>
      <c r="BR690">
        <f>COUNTIFS(S$3:S690,"="&amp;S690,AH$3:AH690,"="&amp;AH690)</f>
        <v>1</v>
      </c>
      <c r="BS690" t="str">
        <f>IFERROR(VLOOKUP(BA690&amp;BT690&amp;X690,game_rosters!U:W,3,FALSE),"")</f>
        <v>P100089</v>
      </c>
      <c r="BT690" t="str">
        <f t="shared" si="1130"/>
        <v>Triple J</v>
      </c>
    </row>
    <row r="691" spans="1:72" x14ac:dyDescent="0.2">
      <c r="A691">
        <f t="shared" si="1131"/>
        <v>1</v>
      </c>
      <c r="E691" s="4"/>
      <c r="F691" s="45"/>
      <c r="G691" s="4"/>
      <c r="H691" s="47" t="s">
        <v>747</v>
      </c>
      <c r="I691" s="26">
        <v>9</v>
      </c>
      <c r="J691" s="26" t="s">
        <v>368</v>
      </c>
      <c r="K691" t="s">
        <v>13</v>
      </c>
      <c r="N691" t="str">
        <f t="shared" si="1150"/>
        <v/>
      </c>
      <c r="Q691" t="str">
        <f t="shared" si="1144"/>
        <v/>
      </c>
      <c r="R691" s="26">
        <v>1</v>
      </c>
      <c r="S691">
        <f>IF(A691=1,MAX($S$2:$S690)+1,IF(OR($I691&lt;&gt;"",A691="x"),$S690,""))</f>
        <v>345</v>
      </c>
      <c r="T691" t="str">
        <f>IF(D691=1,MAX($T$2:$T690)+1,IF(S691=S690,$T690,IF(D691="x",T690,IF(D690="x","",""))))</f>
        <v/>
      </c>
      <c r="U691" t="str">
        <f>IF(B691=1,MAX($U$2:$U690)+1,IF(AND($T691&lt;&gt;"",$T691=$T690),$U690,IF(B691="x",U690,"")))</f>
        <v/>
      </c>
      <c r="V691" t="str">
        <f>IF(C691=1,MAX($V$2:$V690)+1,IF(AND($T691&lt;&gt;"",$T691=$T690),$U690,IF(C691="x",V690,"")))</f>
        <v/>
      </c>
      <c r="W691" t="str" cm="1">
        <f t="array" ref="W691">IFERROR(_xlfn._xlws.FILTER(game_rosters!AC:AC,(game_rosters!J:J=events!X691)*(K691&lt;&gt;"")),"")</f>
        <v>a</v>
      </c>
      <c r="X691" cm="1">
        <f t="array" ref="X691">IF($I691&lt;&gt;"",$I691,INDEX($I$1:$I691,ROW()-COUNTIFS($T$1:$T691,"="&amp;$T691,$S$1:$S691,"&lt;"&amp;$S691)))</f>
        <v>9</v>
      </c>
      <c r="Y691" cm="1">
        <f t="array" ref="Y691">IFERROR(IF(_xlfn._xlws.FILTER(game_rosters!$J:$J,(game_rosters!$G:$G=events!$AM691)*(game_rosters!$J:$J=events!$X691))&gt;0,1,""),"")</f>
        <v>1</v>
      </c>
      <c r="Z691" s="6">
        <f t="shared" si="1106"/>
        <v>1</v>
      </c>
      <c r="AA691">
        <f t="shared" si="1107"/>
        <v>1345</v>
      </c>
      <c r="AB691" t="str">
        <f t="shared" si="1108"/>
        <v/>
      </c>
      <c r="AC691">
        <f t="shared" si="1109"/>
        <v>1345</v>
      </c>
      <c r="AD691" t="str">
        <f t="shared" si="1110"/>
        <v>8</v>
      </c>
      <c r="AE691" t="str">
        <f t="shared" si="1111"/>
        <v>09</v>
      </c>
      <c r="AF691" t="str">
        <f t="shared" si="1112"/>
        <v>8</v>
      </c>
      <c r="AG691" t="str">
        <f t="shared" si="1113"/>
        <v>07</v>
      </c>
      <c r="AH691" t="str">
        <f t="shared" si="1157"/>
        <v>e</v>
      </c>
      <c r="AI691" t="str">
        <f t="shared" si="1182"/>
        <v>o</v>
      </c>
      <c r="AJ691" t="str">
        <f t="shared" si="1182"/>
        <v>o</v>
      </c>
      <c r="AK691" t="str">
        <f t="shared" si="1159"/>
        <v>d</v>
      </c>
      <c r="AL691" t="str">
        <f t="shared" si="1160"/>
        <v>o</v>
      </c>
      <c r="AM691" t="str">
        <f t="shared" si="1114"/>
        <v>Away</v>
      </c>
      <c r="AN691" t="str">
        <f t="shared" si="1161"/>
        <v>a</v>
      </c>
      <c r="AO691" t="str">
        <f t="shared" si="1162"/>
        <v>d</v>
      </c>
      <c r="AP691" t="str">
        <f t="shared" si="1163"/>
        <v>o</v>
      </c>
      <c r="AQ691" t="str">
        <f>IF(AM691&lt;&gt;"",AM691,IF($AC691=#REF!,#REF!,""))</f>
        <v>Away</v>
      </c>
      <c r="AR691" t="str">
        <f t="shared" si="1164"/>
        <v>a</v>
      </c>
      <c r="AS691" t="str">
        <f t="shared" si="1165"/>
        <v>Offensive</v>
      </c>
      <c r="AT691" t="str">
        <f t="shared" si="1115"/>
        <v/>
      </c>
      <c r="AU691" t="str">
        <f t="shared" si="1116"/>
        <v/>
      </c>
      <c r="AV691" t="str" cm="1">
        <f t="array" ref="AV691">IFERROR(IF(O691&lt;&gt;"",O691,IF(OR($S691="",$T691=""),"",IF(O691&lt;&gt;"",O691,IF($T691&lt;&gt;"",_xlfn._xlws.FILTER(O:O,($BT:$BT=$BT691)*($I:$I=$I691)*($T:$T=$T691)*($S:$S=_xlfn.MINIFS($S:$S,$T:$T,"="&amp;$T691)),"")))))&amp;"",IF(O691="","",""))&amp;""</f>
        <v/>
      </c>
      <c r="AW691" t="str" cm="1">
        <f t="array" ref="AW691">IFERROR(IF(P691&lt;&gt;"",P691,IF(OR($S691="",$T691=""),"",IF($T691&lt;&gt;"",_xlfn._xlws.FILTER(P:P,($BT:$BT=$BT691)*($I:$I=$I691)*($T:$T=$T691)*($S:$S=_xlfn.MINIFS($S:$S,$T:$T,"="&amp;$T691)),""))))&amp;"",IF(P691="","",""))&amp;""</f>
        <v/>
      </c>
      <c r="AX691" t="str" cm="1">
        <f t="array" ref="AX691">IFERROR(IF(Q691&lt;&gt;"",Q691,IF(OR($S691="",$T691=""),"",IF($T691&lt;&gt;"",_xlfn._xlws.FILTER(Q:Q,($BT:$BT=$BT691)*($I:$I=$I691)*($T:$T=$T691)*($S:$S=_xlfn.MINIFS($S:$S,$T:$T,"="&amp;$T691)),""))))&amp;"",IF(Q691="","",""))&amp;""</f>
        <v/>
      </c>
      <c r="AY691" t="str" cm="1">
        <f t="array" ref="AY691">IFERROR(IF(R691&lt;&gt;"",R691,IF(OR($S691="",$T691=""),"",IF($T691&lt;&gt;"",_xlfn._xlws.FILTER(R:R,($BT:$BT=$BT691)*($I:$I=$I691)*($T:$T=$T691)*($S:$S=_xlfn.MINIFS($S:$S,$T:$T,"="&amp;$T691)),""))))&amp;"",IF(R691="","",""))&amp;""</f>
        <v>1</v>
      </c>
      <c r="AZ691" s="6">
        <f t="shared" si="1117"/>
        <v>57</v>
      </c>
      <c r="BA691">
        <f t="shared" ref="BA691:BC691" si="1191">BA690</f>
        <v>18991</v>
      </c>
      <c r="BB691" t="str">
        <f t="shared" si="1191"/>
        <v>Triple J</v>
      </c>
      <c r="BC691" t="str">
        <f t="shared" si="1191"/>
        <v>Velodrome</v>
      </c>
      <c r="BD691" t="str">
        <f t="shared" si="1119"/>
        <v>Possession</v>
      </c>
      <c r="BE691" t="str">
        <f t="shared" si="1120"/>
        <v/>
      </c>
      <c r="BF691" t="str">
        <f t="shared" si="1121"/>
        <v/>
      </c>
      <c r="BG691" t="str">
        <f t="shared" si="1104"/>
        <v/>
      </c>
      <c r="BH691" cm="1">
        <f t="array" aca="1" ref="BH691" ca="1">IFERROR(_xlfn._xlws.FILTER(shifts!A:A,(shifts!B:B=events!Z691)*(shifts!AG:AG&gt;=events!BJ691)*(shifts!AH:AH&lt;=events!BK691)),BH690)</f>
        <v>24</v>
      </c>
      <c r="BI691" s="15">
        <f t="shared" si="1122"/>
        <v>2</v>
      </c>
      <c r="BJ691">
        <f t="shared" si="1123"/>
        <v>489</v>
      </c>
      <c r="BK691">
        <f t="shared" si="1124"/>
        <v>487</v>
      </c>
      <c r="BL691" s="15">
        <f>SUMIFS(BI$2:BI691,K$2:K691,"=Intermission")+SUMIFS(BI$2:BI691,K$2:K691,"=Timeout")</f>
        <v>0</v>
      </c>
      <c r="BM691">
        <f t="shared" si="1125"/>
        <v>0</v>
      </c>
      <c r="BN691" s="19">
        <f t="shared" si="1126"/>
        <v>591</v>
      </c>
      <c r="BO691">
        <f t="shared" si="1127"/>
        <v>586</v>
      </c>
      <c r="BP691" s="17">
        <f t="shared" si="1128"/>
        <v>593</v>
      </c>
      <c r="BQ691" t="str">
        <f t="shared" si="1129"/>
        <v>event_team_player_1</v>
      </c>
      <c r="BR691">
        <f>COUNTIFS(S$3:S691,"="&amp;S691,AH$3:AH691,"="&amp;AH691)</f>
        <v>1</v>
      </c>
      <c r="BS691" t="str">
        <f>IFERROR(VLOOKUP(BA691&amp;BT691&amp;X691,game_rosters!U:W,3,FALSE),"")</f>
        <v>P100105</v>
      </c>
      <c r="BT691" t="str">
        <f t="shared" si="1130"/>
        <v>Velodrome</v>
      </c>
    </row>
    <row r="692" spans="1:72" x14ac:dyDescent="0.2">
      <c r="A692" t="str">
        <f t="shared" si="1131"/>
        <v/>
      </c>
      <c r="E692" s="4"/>
      <c r="F692" s="45"/>
      <c r="G692" s="4"/>
      <c r="H692" s="47"/>
      <c r="I692" s="26">
        <v>19</v>
      </c>
      <c r="J692" s="26" t="str">
        <f t="shared" si="1132"/>
        <v/>
      </c>
      <c r="N692" t="str">
        <f t="shared" si="1150"/>
        <v/>
      </c>
      <c r="O692" t="s">
        <v>567</v>
      </c>
      <c r="Q692" t="str">
        <f t="shared" si="1144"/>
        <v/>
      </c>
      <c r="R692" s="26">
        <v>1</v>
      </c>
      <c r="S692">
        <f>IF(A692=1,MAX($S$2:$S691)+1,IF(OR($I692&lt;&gt;"",A692="x"),$S691,""))</f>
        <v>345</v>
      </c>
      <c r="T692" t="str">
        <f>IF(D692=1,MAX($T$2:$T691)+1,IF(S692=S691,$T691,IF(D692="x",T691,IF(D691="x","",""))))</f>
        <v/>
      </c>
      <c r="U692" t="str">
        <f>IF(B692=1,MAX($U$2:$U691)+1,IF(AND($T692&lt;&gt;"",$T692=$T691),$U691,IF(B692="x",U691,"")))</f>
        <v/>
      </c>
      <c r="V692" t="str">
        <f>IF(C692=1,MAX($V$2:$V691)+1,IF(AND($T692&lt;&gt;"",$T692=$T691),$U691,IF(C692="x",V691,"")))</f>
        <v/>
      </c>
      <c r="W692" t="str" cm="1">
        <f t="array" ref="W692">IFERROR(_xlfn._xlws.FILTER(game_rosters!AC:AC,(game_rosters!J:J=events!X692)*(K692&lt;&gt;"")),"")</f>
        <v/>
      </c>
      <c r="X692" cm="1">
        <f t="array" ref="X692">IF($I692&lt;&gt;"",$I692,INDEX($I$1:$I692,ROW()-COUNTIFS($T$1:$T692,"="&amp;$T692,$S$1:$S692,"&lt;"&amp;$S692)))</f>
        <v>19</v>
      </c>
      <c r="Y692" t="str" cm="1">
        <f t="array" ref="Y692">IFERROR(IF(_xlfn._xlws.FILTER(game_rosters!$J:$J,(game_rosters!$G:$G=events!$AM692)*(game_rosters!$J:$J=events!$X692))&gt;0,1,""),"")</f>
        <v/>
      </c>
      <c r="Z692" s="6">
        <f t="shared" si="1106"/>
        <v>1</v>
      </c>
      <c r="AA692">
        <f t="shared" si="1107"/>
        <v>1345</v>
      </c>
      <c r="AB692" t="str">
        <f t="shared" si="1108"/>
        <v/>
      </c>
      <c r="AC692">
        <f t="shared" si="1109"/>
        <v>1345</v>
      </c>
      <c r="AD692" t="str">
        <f t="shared" si="1110"/>
        <v>8</v>
      </c>
      <c r="AE692" t="str">
        <f t="shared" si="1111"/>
        <v>09</v>
      </c>
      <c r="AF692" t="str">
        <f t="shared" si="1112"/>
        <v>8</v>
      </c>
      <c r="AG692" t="str">
        <f t="shared" si="1113"/>
        <v>07</v>
      </c>
      <c r="AH692" t="str">
        <f t="shared" si="1157"/>
        <v>o</v>
      </c>
      <c r="AI692" t="str">
        <f t="shared" si="1182"/>
        <v>o</v>
      </c>
      <c r="AJ692" t="str">
        <f t="shared" si="1182"/>
        <v>o</v>
      </c>
      <c r="AK692" t="str">
        <f t="shared" si="1159"/>
        <v/>
      </c>
      <c r="AL692" t="str">
        <f t="shared" si="1160"/>
        <v/>
      </c>
      <c r="AM692" t="str">
        <f t="shared" si="1114"/>
        <v>Away</v>
      </c>
      <c r="AN692" t="str">
        <f t="shared" si="1161"/>
        <v>a</v>
      </c>
      <c r="AO692" t="str">
        <f t="shared" si="1162"/>
        <v>d</v>
      </c>
      <c r="AP692" t="str">
        <f t="shared" si="1163"/>
        <v>o</v>
      </c>
      <c r="AQ692" t="str">
        <f>IF(AM692&lt;&gt;"",AM692,IF($AC692=#REF!,#REF!,""))</f>
        <v>Away</v>
      </c>
      <c r="AR692" t="str">
        <f t="shared" si="1164"/>
        <v>a</v>
      </c>
      <c r="AS692" t="str">
        <f t="shared" si="1165"/>
        <v>Defensive</v>
      </c>
      <c r="AT692" t="str">
        <f t="shared" si="1115"/>
        <v/>
      </c>
      <c r="AU692" t="str">
        <f t="shared" si="1116"/>
        <v/>
      </c>
      <c r="AV692" t="str" cm="1">
        <f t="array" ref="AV692">IFERROR(IF(O692&lt;&gt;"",O692,IF(OR($S692="",$T692=""),"",IF(O692&lt;&gt;"",O692,IF($T692&lt;&gt;"",_xlfn._xlws.FILTER(O:O,($BT:$BT=$BT692)*($I:$I=$I692)*($T:$T=$T692)*($S:$S=_xlfn.MINIFS($S:$S,$T:$T,"="&amp;$T692)),"")))))&amp;"",IF(O692="","",""))&amp;""</f>
        <v>StickCheck</v>
      </c>
      <c r="AW692" t="str" cm="1">
        <f t="array" ref="AW692">IFERROR(IF(P692&lt;&gt;"",P692,IF(OR($S692="",$T692=""),"",IF($T692&lt;&gt;"",_xlfn._xlws.FILTER(P:P,($BT:$BT=$BT692)*($I:$I=$I692)*($T:$T=$T692)*($S:$S=_xlfn.MINIFS($S:$S,$T:$T,"="&amp;$T692)),""))))&amp;"",IF(P692="","",""))&amp;""</f>
        <v/>
      </c>
      <c r="AX692" t="str" cm="1">
        <f t="array" ref="AX692">IFERROR(IF(Q692&lt;&gt;"",Q692,IF(OR($S692="",$T692=""),"",IF($T692&lt;&gt;"",_xlfn._xlws.FILTER(Q:Q,($BT:$BT=$BT692)*($I:$I=$I692)*($T:$T=$T692)*($S:$S=_xlfn.MINIFS($S:$S,$T:$T,"="&amp;$T692)),""))))&amp;"",IF(Q692="","",""))&amp;""</f>
        <v/>
      </c>
      <c r="AY692" t="str" cm="1">
        <f t="array" ref="AY692">IFERROR(IF(R692&lt;&gt;"",R692,IF(OR($S692="",$T692=""),"",IF($T692&lt;&gt;"",_xlfn._xlws.FILTER(R:R,($BT:$BT=$BT692)*($I:$I=$I692)*($T:$T=$T692)*($S:$S=_xlfn.MINIFS($S:$S,$T:$T,"="&amp;$T692)),""))))&amp;"",IF(R692="","",""))&amp;""</f>
        <v>1</v>
      </c>
      <c r="AZ692" s="6">
        <f t="shared" si="1117"/>
        <v>57</v>
      </c>
      <c r="BA692">
        <f t="shared" ref="BA692:BC692" si="1192">BA691</f>
        <v>18991</v>
      </c>
      <c r="BB692" t="str">
        <f t="shared" si="1192"/>
        <v>Triple J</v>
      </c>
      <c r="BC692" t="str">
        <f t="shared" si="1192"/>
        <v>Velodrome</v>
      </c>
      <c r="BD692" t="str">
        <f t="shared" si="1119"/>
        <v>Possession</v>
      </c>
      <c r="BE692" t="str">
        <f t="shared" si="1120"/>
        <v/>
      </c>
      <c r="BF692" t="str">
        <f t="shared" si="1121"/>
        <v/>
      </c>
      <c r="BG692" t="str">
        <f t="shared" si="1104"/>
        <v/>
      </c>
      <c r="BH692" cm="1">
        <f t="array" aca="1" ref="BH692" ca="1">IFERROR(_xlfn._xlws.FILTER(shifts!A:A,(shifts!B:B=events!Z692)*(shifts!AG:AG&gt;=events!BJ692)*(shifts!AH:AH&lt;=events!BK692)),BH691)</f>
        <v>24</v>
      </c>
      <c r="BI692" s="15">
        <f t="shared" si="1122"/>
        <v>2</v>
      </c>
      <c r="BJ692">
        <f t="shared" si="1123"/>
        <v>489</v>
      </c>
      <c r="BK692">
        <f t="shared" si="1124"/>
        <v>487</v>
      </c>
      <c r="BL692" s="15">
        <f>SUMIFS(BI$2:BI692,K$2:K692,"=Intermission")+SUMIFS(BI$2:BI692,K$2:K692,"=Timeout")</f>
        <v>0</v>
      </c>
      <c r="BM692">
        <f t="shared" si="1125"/>
        <v>0</v>
      </c>
      <c r="BN692" s="19">
        <f t="shared" si="1126"/>
        <v>591</v>
      </c>
      <c r="BO692">
        <f t="shared" si="1127"/>
        <v>586</v>
      </c>
      <c r="BP692" s="17">
        <f t="shared" si="1128"/>
        <v>593</v>
      </c>
      <c r="BQ692" t="str">
        <f t="shared" si="1129"/>
        <v>opp_team_player_1</v>
      </c>
      <c r="BR692">
        <f>COUNTIFS(S$3:S692,"="&amp;S692,AH$3:AH692,"="&amp;AH692)</f>
        <v>1</v>
      </c>
      <c r="BS692" t="str">
        <f>IFERROR(VLOOKUP(BA692&amp;BT692&amp;X692,game_rosters!U:W,3,FALSE),"")</f>
        <v>P100089</v>
      </c>
      <c r="BT692" t="str">
        <f t="shared" si="1130"/>
        <v>Triple J</v>
      </c>
    </row>
    <row r="693" spans="1:72" x14ac:dyDescent="0.2">
      <c r="A693" t="str">
        <f t="shared" si="1131"/>
        <v/>
      </c>
      <c r="E693" s="4"/>
      <c r="F693" s="45"/>
      <c r="G693" s="4"/>
      <c r="H693" s="47"/>
      <c r="I693" s="26">
        <v>41</v>
      </c>
      <c r="J693" s="26" t="str">
        <f t="shared" si="1132"/>
        <v/>
      </c>
      <c r="N693" t="str">
        <f t="shared" si="1150"/>
        <v/>
      </c>
      <c r="Q693" t="str">
        <f t="shared" si="1144"/>
        <v/>
      </c>
      <c r="R693" s="26">
        <v>1</v>
      </c>
      <c r="S693">
        <f>IF(A693=1,MAX($S$2:$S692)+1,IF(OR($I693&lt;&gt;"",A693="x"),$S692,""))</f>
        <v>345</v>
      </c>
      <c r="T693" t="str">
        <f>IF(D693=1,MAX($T$2:$T692)+1,IF(S693=S692,$T692,IF(D693="x",T692,IF(D692="x","",""))))</f>
        <v/>
      </c>
      <c r="U693" t="str">
        <f>IF(B693=1,MAX($U$2:$U692)+1,IF(AND($T693&lt;&gt;"",$T693=$T692),$U692,IF(B693="x",U692,"")))</f>
        <v/>
      </c>
      <c r="V693" t="str">
        <f>IF(C693=1,MAX($V$2:$V692)+1,IF(AND($T693&lt;&gt;"",$T693=$T692),$U692,IF(C693="x",V692,"")))</f>
        <v/>
      </c>
      <c r="W693" t="str" cm="1">
        <f t="array" ref="W693">IFERROR(_xlfn._xlws.FILTER(game_rosters!AC:AC,(game_rosters!J:J=events!X693)*(K693&lt;&gt;"")),"")</f>
        <v/>
      </c>
      <c r="X693" cm="1">
        <f t="array" ref="X693">IF($I693&lt;&gt;"",$I693,INDEX($I$1:$I693,ROW()-COUNTIFS($T$1:$T693,"="&amp;$T693,$S$1:$S693,"&lt;"&amp;$S693)))</f>
        <v>41</v>
      </c>
      <c r="Y693" t="str" cm="1">
        <f t="array" ref="Y693">IFERROR(IF(_xlfn._xlws.FILTER(game_rosters!$J:$J,(game_rosters!$G:$G=events!$AM693)*(game_rosters!$J:$J=events!$X693))&gt;0,1,""),"")</f>
        <v/>
      </c>
      <c r="Z693" s="6">
        <f t="shared" si="1106"/>
        <v>1</v>
      </c>
      <c r="AA693">
        <f t="shared" si="1107"/>
        <v>1345</v>
      </c>
      <c r="AB693" t="str">
        <f t="shared" si="1108"/>
        <v/>
      </c>
      <c r="AC693">
        <f t="shared" si="1109"/>
        <v>1345</v>
      </c>
      <c r="AD693" t="str">
        <f t="shared" si="1110"/>
        <v>8</v>
      </c>
      <c r="AE693" t="str">
        <f t="shared" si="1111"/>
        <v>09</v>
      </c>
      <c r="AF693" t="str">
        <f t="shared" si="1112"/>
        <v>8</v>
      </c>
      <c r="AG693" t="str">
        <f t="shared" si="1113"/>
        <v>07</v>
      </c>
      <c r="AH693" t="str">
        <f t="shared" si="1157"/>
        <v>o</v>
      </c>
      <c r="AI693" t="str">
        <f t="shared" si="1182"/>
        <v>o</v>
      </c>
      <c r="AJ693" t="str">
        <f t="shared" si="1182"/>
        <v>o</v>
      </c>
      <c r="AK693" t="str">
        <f t="shared" si="1159"/>
        <v/>
      </c>
      <c r="AL693" t="str">
        <f t="shared" si="1160"/>
        <v/>
      </c>
      <c r="AM693" t="str">
        <f t="shared" si="1114"/>
        <v>Away</v>
      </c>
      <c r="AN693" t="str">
        <f t="shared" si="1161"/>
        <v>a</v>
      </c>
      <c r="AO693" t="str">
        <f t="shared" si="1162"/>
        <v>d</v>
      </c>
      <c r="AP693" t="str">
        <f t="shared" si="1163"/>
        <v>o</v>
      </c>
      <c r="AQ693" t="str">
        <f>IF(AM693&lt;&gt;"",AM693,IF($AC693=#REF!,#REF!,""))</f>
        <v>Away</v>
      </c>
      <c r="AR693" t="str">
        <f t="shared" si="1164"/>
        <v>a</v>
      </c>
      <c r="AS693" t="str">
        <f t="shared" si="1165"/>
        <v>Defensive</v>
      </c>
      <c r="AT693" t="str">
        <f t="shared" si="1115"/>
        <v/>
      </c>
      <c r="AU693" t="str">
        <f t="shared" si="1116"/>
        <v/>
      </c>
      <c r="AV693" t="str" cm="1">
        <f t="array" ref="AV693">IFERROR(IF(O693&lt;&gt;"",O693,IF(OR($S693="",$T693=""),"",IF(O693&lt;&gt;"",O693,IF($T693&lt;&gt;"",_xlfn._xlws.FILTER(O:O,($BT:$BT=$BT693)*($I:$I=$I693)*($T:$T=$T693)*($S:$S=_xlfn.MINIFS($S:$S,$T:$T,"="&amp;$T693)),"")))))&amp;"",IF(O693="","",""))&amp;""</f>
        <v/>
      </c>
      <c r="AW693" t="str" cm="1">
        <f t="array" ref="AW693">IFERROR(IF(P693&lt;&gt;"",P693,IF(OR($S693="",$T693=""),"",IF($T693&lt;&gt;"",_xlfn._xlws.FILTER(P:P,($BT:$BT=$BT693)*($I:$I=$I693)*($T:$T=$T693)*($S:$S=_xlfn.MINIFS($S:$S,$T:$T,"="&amp;$T693)),""))))&amp;"",IF(P693="","",""))&amp;""</f>
        <v/>
      </c>
      <c r="AX693" t="str" cm="1">
        <f t="array" ref="AX693">IFERROR(IF(Q693&lt;&gt;"",Q693,IF(OR($S693="",$T693=""),"",IF($T693&lt;&gt;"",_xlfn._xlws.FILTER(Q:Q,($BT:$BT=$BT693)*($I:$I=$I693)*($T:$T=$T693)*($S:$S=_xlfn.MINIFS($S:$S,$T:$T,"="&amp;$T693)),""))))&amp;"",IF(Q693="","",""))&amp;""</f>
        <v/>
      </c>
      <c r="AY693" t="str" cm="1">
        <f t="array" ref="AY693">IFERROR(IF(R693&lt;&gt;"",R693,IF(OR($S693="",$T693=""),"",IF($T693&lt;&gt;"",_xlfn._xlws.FILTER(R:R,($BT:$BT=$BT693)*($I:$I=$I693)*($T:$T=$T693)*($S:$S=_xlfn.MINIFS($S:$S,$T:$T,"="&amp;$T693)),""))))&amp;"",IF(R693="","",""))&amp;""</f>
        <v>1</v>
      </c>
      <c r="AZ693" s="6">
        <f t="shared" si="1117"/>
        <v>57</v>
      </c>
      <c r="BA693">
        <f t="shared" ref="BA693:BC693" si="1193">BA692</f>
        <v>18991</v>
      </c>
      <c r="BB693" t="str">
        <f t="shared" si="1193"/>
        <v>Triple J</v>
      </c>
      <c r="BC693" t="str">
        <f t="shared" si="1193"/>
        <v>Velodrome</v>
      </c>
      <c r="BD693" t="str">
        <f t="shared" si="1119"/>
        <v>Possession</v>
      </c>
      <c r="BE693" t="str">
        <f t="shared" si="1120"/>
        <v/>
      </c>
      <c r="BF693" t="str">
        <f t="shared" si="1121"/>
        <v/>
      </c>
      <c r="BG693" t="str">
        <f t="shared" si="1104"/>
        <v/>
      </c>
      <c r="BH693" cm="1">
        <f t="array" aca="1" ref="BH693" ca="1">IFERROR(_xlfn._xlws.FILTER(shifts!A:A,(shifts!B:B=events!Z693)*(shifts!AG:AG&gt;=events!BJ693)*(shifts!AH:AH&lt;=events!BK693)),BH692)</f>
        <v>24</v>
      </c>
      <c r="BI693" s="15">
        <f t="shared" si="1122"/>
        <v>2</v>
      </c>
      <c r="BJ693">
        <f t="shared" si="1123"/>
        <v>489</v>
      </c>
      <c r="BK693">
        <f t="shared" si="1124"/>
        <v>487</v>
      </c>
      <c r="BL693" s="15">
        <f>SUMIFS(BI$2:BI693,K$2:K693,"=Intermission")+SUMIFS(BI$2:BI693,K$2:K693,"=Timeout")</f>
        <v>0</v>
      </c>
      <c r="BM693">
        <f t="shared" si="1125"/>
        <v>0</v>
      </c>
      <c r="BN693" s="19">
        <f t="shared" si="1126"/>
        <v>591</v>
      </c>
      <c r="BO693">
        <f t="shared" si="1127"/>
        <v>586</v>
      </c>
      <c r="BP693" s="17">
        <f t="shared" si="1128"/>
        <v>593</v>
      </c>
      <c r="BQ693" t="str">
        <f t="shared" si="1129"/>
        <v>opp_team_player_2</v>
      </c>
      <c r="BR693">
        <f>COUNTIFS(S$3:S693,"="&amp;S693,AH$3:AH693,"="&amp;AH693)</f>
        <v>2</v>
      </c>
      <c r="BS693" t="str">
        <f>IFERROR(VLOOKUP(BA693&amp;BT693&amp;X693,game_rosters!U:W,3,FALSE),"")</f>
        <v>P100206</v>
      </c>
      <c r="BT693" t="str">
        <f t="shared" si="1130"/>
        <v>Triple J</v>
      </c>
    </row>
    <row r="694" spans="1:72" x14ac:dyDescent="0.2">
      <c r="A694">
        <f t="shared" si="1131"/>
        <v>1</v>
      </c>
      <c r="E694" s="4"/>
      <c r="F694" s="45"/>
      <c r="G694" s="4"/>
      <c r="H694" s="47"/>
      <c r="I694" s="26">
        <v>9</v>
      </c>
      <c r="J694" s="26" t="s">
        <v>368</v>
      </c>
      <c r="K694" t="s">
        <v>7</v>
      </c>
      <c r="L694" t="s">
        <v>172</v>
      </c>
      <c r="M694" t="s">
        <v>66</v>
      </c>
      <c r="N694" t="str">
        <f t="shared" si="1150"/>
        <v>s</v>
      </c>
      <c r="O694" t="s">
        <v>551</v>
      </c>
      <c r="Q694" t="str">
        <f t="shared" si="1144"/>
        <v>s</v>
      </c>
      <c r="R694" s="26">
        <v>1</v>
      </c>
      <c r="S694">
        <f>IF(A694=1,MAX($S$2:$S693)+1,IF(OR($I694&lt;&gt;"",A694="x"),$S693,""))</f>
        <v>346</v>
      </c>
      <c r="T694" t="str">
        <f>IF(D694=1,MAX($T$2:$T693)+1,IF(S694=S693,$T693,IF(D694="x",T693,IF(D693="x","",""))))</f>
        <v/>
      </c>
      <c r="U694" t="str">
        <f>IF(B694=1,MAX($U$2:$U693)+1,IF(AND($T694&lt;&gt;"",$T694=$T693),$U693,IF(B694="x",U693,"")))</f>
        <v/>
      </c>
      <c r="V694" t="str">
        <f>IF(C694=1,MAX($V$2:$V693)+1,IF(AND($T694&lt;&gt;"",$T694=$T693),$U693,IF(C694="x",V693,"")))</f>
        <v/>
      </c>
      <c r="W694" t="str" cm="1">
        <f t="array" ref="W694">IFERROR(_xlfn._xlws.FILTER(game_rosters!AC:AC,(game_rosters!J:J=events!X694)*(K694&lt;&gt;"")),"")</f>
        <v>a</v>
      </c>
      <c r="X694" cm="1">
        <f t="array" ref="X694">IF($I694&lt;&gt;"",$I694,INDEX($I$1:$I694,ROW()-COUNTIFS($T$1:$T694,"="&amp;$T694,$S$1:$S694,"&lt;"&amp;$S694)))</f>
        <v>9</v>
      </c>
      <c r="Y694" cm="1">
        <f t="array" ref="Y694">IFERROR(IF(_xlfn._xlws.FILTER(game_rosters!$J:$J,(game_rosters!$G:$G=events!$AM694)*(game_rosters!$J:$J=events!$X694))&gt;0,1,""),"")</f>
        <v>1</v>
      </c>
      <c r="Z694" s="6">
        <f t="shared" si="1106"/>
        <v>1</v>
      </c>
      <c r="AA694">
        <f t="shared" si="1107"/>
        <v>1346</v>
      </c>
      <c r="AB694" t="str">
        <f t="shared" si="1108"/>
        <v/>
      </c>
      <c r="AC694">
        <f t="shared" si="1109"/>
        <v>1346</v>
      </c>
      <c r="AD694" t="str">
        <f t="shared" si="1110"/>
        <v>8</v>
      </c>
      <c r="AE694" t="str">
        <f t="shared" si="1111"/>
        <v>07</v>
      </c>
      <c r="AF694" t="str">
        <f t="shared" si="1112"/>
        <v/>
      </c>
      <c r="AG694" t="str">
        <f t="shared" si="1113"/>
        <v/>
      </c>
      <c r="AH694" t="str">
        <f t="shared" si="1157"/>
        <v>e</v>
      </c>
      <c r="AI694" t="str">
        <f t="shared" si="1182"/>
        <v>o</v>
      </c>
      <c r="AJ694" t="str">
        <f t="shared" si="1182"/>
        <v>o</v>
      </c>
      <c r="AK694" t="str">
        <f t="shared" si="1159"/>
        <v>d</v>
      </c>
      <c r="AL694" t="str">
        <f t="shared" si="1160"/>
        <v>o</v>
      </c>
      <c r="AM694" t="str">
        <f t="shared" si="1114"/>
        <v>Away</v>
      </c>
      <c r="AN694" t="str">
        <f t="shared" si="1161"/>
        <v>a</v>
      </c>
      <c r="AO694" t="str">
        <f t="shared" si="1162"/>
        <v>d</v>
      </c>
      <c r="AP694" t="str">
        <f t="shared" si="1163"/>
        <v>o</v>
      </c>
      <c r="AQ694" t="str">
        <f>IF(AM694&lt;&gt;"",AM694,IF($AC694=#REF!,#REF!,""))</f>
        <v>Away</v>
      </c>
      <c r="AR694" t="str">
        <f t="shared" si="1164"/>
        <v>a</v>
      </c>
      <c r="AS694" t="str">
        <f t="shared" si="1165"/>
        <v>Offensive</v>
      </c>
      <c r="AT694" t="str">
        <f t="shared" si="1115"/>
        <v/>
      </c>
      <c r="AU694" t="str">
        <f t="shared" si="1116"/>
        <v/>
      </c>
      <c r="AV694" t="str" cm="1">
        <f t="array" ref="AV694">IFERROR(IF(O694&lt;&gt;"",O694,IF(OR($S694="",$T694=""),"",IF(O694&lt;&gt;"",O694,IF($T694&lt;&gt;"",_xlfn._xlws.FILTER(O:O,($BT:$BT=$BT694)*($I:$I=$I694)*($T:$T=$T694)*($S:$S=_xlfn.MINIFS($S:$S,$T:$T,"="&amp;$T694)),"")))))&amp;"",IF(O694="","",""))&amp;""</f>
        <v>Reverse</v>
      </c>
      <c r="AW694" t="str" cm="1">
        <f t="array" ref="AW694">IFERROR(IF(P694&lt;&gt;"",P694,IF(OR($S694="",$T694=""),"",IF($T694&lt;&gt;"",_xlfn._xlws.FILTER(P:P,($BT:$BT=$BT694)*($I:$I=$I694)*($T:$T=$T694)*($S:$S=_xlfn.MINIFS($S:$S,$T:$T,"="&amp;$T694)),""))))&amp;"",IF(P694="","",""))&amp;""</f>
        <v/>
      </c>
      <c r="AX694" t="str" cm="1">
        <f t="array" ref="AX694">IFERROR(IF(Q694&lt;&gt;"",Q694,IF(OR($S694="",$T694=""),"",IF($T694&lt;&gt;"",_xlfn._xlws.FILTER(Q:Q,($BT:$BT=$BT694)*($I:$I=$I694)*($T:$T=$T694)*($S:$S=_xlfn.MINIFS($S:$S,$T:$T,"="&amp;$T694)),""))))&amp;"",IF(Q694="","",""))&amp;""</f>
        <v>s</v>
      </c>
      <c r="AY694" t="str" cm="1">
        <f t="array" ref="AY694">IFERROR(IF(R694&lt;&gt;"",R694,IF(OR($S694="",$T694=""),"",IF($T694&lt;&gt;"",_xlfn._xlws.FILTER(R:R,($BT:$BT=$BT694)*($I:$I=$I694)*($T:$T=$T694)*($S:$S=_xlfn.MINIFS($S:$S,$T:$T,"="&amp;$T694)),""))))&amp;"",IF(R694="","",""))&amp;""</f>
        <v>1</v>
      </c>
      <c r="AZ694" s="6">
        <f t="shared" si="1117"/>
        <v>57</v>
      </c>
      <c r="BA694">
        <f t="shared" ref="BA694:BC694" si="1194">BA693</f>
        <v>18991</v>
      </c>
      <c r="BB694" t="str">
        <f t="shared" si="1194"/>
        <v>Triple J</v>
      </c>
      <c r="BC694" t="str">
        <f t="shared" si="1194"/>
        <v>Velodrome</v>
      </c>
      <c r="BD694" t="str">
        <f t="shared" si="1119"/>
        <v>Pass</v>
      </c>
      <c r="BE694" t="str">
        <f t="shared" si="1120"/>
        <v>Pass_Completed</v>
      </c>
      <c r="BF694" t="str">
        <f t="shared" si="1121"/>
        <v>Pass-Rim/Wrap</v>
      </c>
      <c r="BG694" t="str">
        <f t="shared" si="1104"/>
        <v>s</v>
      </c>
      <c r="BH694" cm="1">
        <f t="array" aca="1" ref="BH694" ca="1">IFERROR(_xlfn._xlws.FILTER(shifts!A:A,(shifts!B:B=events!Z694)*(shifts!AG:AG&gt;=events!BJ694)*(shifts!AH:AH&lt;=events!BK694)),BH693)</f>
        <v>24</v>
      </c>
      <c r="BI694" s="15">
        <f t="shared" si="1122"/>
        <v>0</v>
      </c>
      <c r="BJ694">
        <f t="shared" si="1123"/>
        <v>487</v>
      </c>
      <c r="BK694">
        <f t="shared" si="1124"/>
        <v>487</v>
      </c>
      <c r="BL694" s="15">
        <f>SUMIFS(BI$2:BI694,K$2:K694,"=Intermission")+SUMIFS(BI$2:BI694,K$2:K694,"=Timeout")</f>
        <v>0</v>
      </c>
      <c r="BM694">
        <f t="shared" si="1125"/>
        <v>0</v>
      </c>
      <c r="BN694" s="19">
        <f t="shared" si="1126"/>
        <v>593</v>
      </c>
      <c r="BO694">
        <f t="shared" si="1127"/>
        <v>588</v>
      </c>
      <c r="BP694" s="17">
        <f t="shared" si="1128"/>
        <v>593</v>
      </c>
      <c r="BQ694" t="str">
        <f t="shared" si="1129"/>
        <v>event_team_player_1</v>
      </c>
      <c r="BR694">
        <f>COUNTIFS(S$3:S694,"="&amp;S694,AH$3:AH694,"="&amp;AH694)</f>
        <v>1</v>
      </c>
      <c r="BS694" t="str">
        <f>IFERROR(VLOOKUP(BA694&amp;BT694&amp;X694,game_rosters!U:W,3,FALSE),"")</f>
        <v>P100105</v>
      </c>
      <c r="BT694" t="str">
        <f t="shared" si="1130"/>
        <v>Velodrome</v>
      </c>
    </row>
    <row r="695" spans="1:72" x14ac:dyDescent="0.2">
      <c r="A695" t="str">
        <f t="shared" si="1131"/>
        <v/>
      </c>
      <c r="E695" s="4"/>
      <c r="F695" s="45"/>
      <c r="G695" s="4"/>
      <c r="H695" s="47"/>
      <c r="I695" s="26">
        <v>70</v>
      </c>
      <c r="J695" s="26" t="str">
        <f t="shared" si="1132"/>
        <v/>
      </c>
      <c r="N695" t="str">
        <f t="shared" si="1150"/>
        <v/>
      </c>
      <c r="Q695" t="str">
        <f t="shared" si="1144"/>
        <v/>
      </c>
      <c r="S695">
        <f>IF(A695=1,MAX($S$2:$S694)+1,IF(OR($I695&lt;&gt;"",A695="x"),$S694,""))</f>
        <v>346</v>
      </c>
      <c r="T695" t="str">
        <f>IF(D695=1,MAX($T$2:$T694)+1,IF(S695=S694,$T694,IF(D695="x",T694,IF(D694="x","",""))))</f>
        <v/>
      </c>
      <c r="U695" t="str">
        <f>IF(B695=1,MAX($U$2:$U694)+1,IF(AND($T695&lt;&gt;"",$T695=$T694),$U694,IF(B695="x",U694,"")))</f>
        <v/>
      </c>
      <c r="V695" t="str">
        <f>IF(C695=1,MAX($V$2:$V694)+1,IF(AND($T695&lt;&gt;"",$T695=$T694),$U694,IF(C695="x",V694,"")))</f>
        <v/>
      </c>
      <c r="W695" t="str" cm="1">
        <f t="array" ref="W695">IFERROR(_xlfn._xlws.FILTER(game_rosters!AC:AC,(game_rosters!J:J=events!X695)*(K695&lt;&gt;"")),"")</f>
        <v/>
      </c>
      <c r="X695" cm="1">
        <f t="array" ref="X695">IF($I695&lt;&gt;"",$I695,INDEX($I$1:$I695,ROW()-COUNTIFS($T$1:$T695,"="&amp;$T695,$S$1:$S695,"&lt;"&amp;$S695)))</f>
        <v>70</v>
      </c>
      <c r="Y695" cm="1">
        <f t="array" ref="Y695">IFERROR(IF(_xlfn._xlws.FILTER(game_rosters!$J:$J,(game_rosters!$G:$G=events!$AM695)*(game_rosters!$J:$J=events!$X695))&gt;0,1,""),"")</f>
        <v>1</v>
      </c>
      <c r="Z695" s="6">
        <f t="shared" si="1106"/>
        <v>1</v>
      </c>
      <c r="AA695">
        <f t="shared" si="1107"/>
        <v>1346</v>
      </c>
      <c r="AB695" t="str">
        <f t="shared" si="1108"/>
        <v/>
      </c>
      <c r="AC695">
        <f t="shared" si="1109"/>
        <v>1346</v>
      </c>
      <c r="AD695" t="str">
        <f t="shared" si="1110"/>
        <v>8</v>
      </c>
      <c r="AE695" t="str">
        <f t="shared" si="1111"/>
        <v>07</v>
      </c>
      <c r="AF695" t="str">
        <f t="shared" si="1112"/>
        <v/>
      </c>
      <c r="AG695" t="str">
        <f t="shared" si="1113"/>
        <v/>
      </c>
      <c r="AH695" t="str">
        <f t="shared" si="1157"/>
        <v>e</v>
      </c>
      <c r="AI695" t="str">
        <f t="shared" si="1182"/>
        <v>o</v>
      </c>
      <c r="AJ695" t="str">
        <f t="shared" si="1182"/>
        <v>o</v>
      </c>
      <c r="AK695" t="str">
        <f t="shared" si="1159"/>
        <v/>
      </c>
      <c r="AL695" t="str">
        <f t="shared" si="1160"/>
        <v/>
      </c>
      <c r="AM695" t="str">
        <f t="shared" si="1114"/>
        <v>Away</v>
      </c>
      <c r="AN695" t="str">
        <f t="shared" si="1161"/>
        <v>a</v>
      </c>
      <c r="AO695" t="str">
        <f t="shared" si="1162"/>
        <v>d</v>
      </c>
      <c r="AP695" t="str">
        <f t="shared" si="1163"/>
        <v>o</v>
      </c>
      <c r="AQ695" t="str">
        <f>IF(AM695&lt;&gt;"",AM695,IF($AC695=#REF!,#REF!,""))</f>
        <v>Away</v>
      </c>
      <c r="AR695" t="str">
        <f t="shared" si="1164"/>
        <v>a</v>
      </c>
      <c r="AS695" t="str">
        <f t="shared" si="1165"/>
        <v>Offensive</v>
      </c>
      <c r="AT695" t="str">
        <f t="shared" si="1115"/>
        <v/>
      </c>
      <c r="AU695" t="str">
        <f t="shared" si="1116"/>
        <v/>
      </c>
      <c r="AV695" t="str" cm="1">
        <f t="array" ref="AV695">IFERROR(IF(O695&lt;&gt;"",O695,IF(OR($S695="",$T695=""),"",IF(O695&lt;&gt;"",O695,IF($T695&lt;&gt;"",_xlfn._xlws.FILTER(O:O,($BT:$BT=$BT695)*($I:$I=$I695)*($T:$T=$T695)*($S:$S=_xlfn.MINIFS($S:$S,$T:$T,"="&amp;$T695)),"")))))&amp;"",IF(O695="","",""))&amp;""</f>
        <v/>
      </c>
      <c r="AW695" t="str" cm="1">
        <f t="array" ref="AW695">IFERROR(IF(P695&lt;&gt;"",P695,IF(OR($S695="",$T695=""),"",IF($T695&lt;&gt;"",_xlfn._xlws.FILTER(P:P,($BT:$BT=$BT695)*($I:$I=$I695)*($T:$T=$T695)*($S:$S=_xlfn.MINIFS($S:$S,$T:$T,"="&amp;$T695)),""))))&amp;"",IF(P695="","",""))&amp;""</f>
        <v/>
      </c>
      <c r="AX695" t="str" cm="1">
        <f t="array" ref="AX695">IFERROR(IF(Q695&lt;&gt;"",Q695,IF(OR($S695="",$T695=""),"",IF($T695&lt;&gt;"",_xlfn._xlws.FILTER(Q:Q,($BT:$BT=$BT695)*($I:$I=$I695)*($T:$T=$T695)*($S:$S=_xlfn.MINIFS($S:$S,$T:$T,"="&amp;$T695)),""))))&amp;"",IF(Q695="","",""))&amp;""</f>
        <v/>
      </c>
      <c r="AY695" t="str" cm="1">
        <f t="array" ref="AY695">IFERROR(IF(R695&lt;&gt;"",R695,IF(OR($S695="",$T695=""),"",IF($T695&lt;&gt;"",_xlfn._xlws.FILTER(R:R,($BT:$BT=$BT695)*($I:$I=$I695)*($T:$T=$T695)*($S:$S=_xlfn.MINIFS($S:$S,$T:$T,"="&amp;$T695)),""))))&amp;"",IF(R695="","",""))&amp;""</f>
        <v/>
      </c>
      <c r="AZ695" s="6">
        <f t="shared" si="1117"/>
        <v>57</v>
      </c>
      <c r="BA695">
        <f t="shared" ref="BA695:BC695" si="1195">BA694</f>
        <v>18991</v>
      </c>
      <c r="BB695" t="str">
        <f t="shared" si="1195"/>
        <v>Triple J</v>
      </c>
      <c r="BC695" t="str">
        <f t="shared" si="1195"/>
        <v>Velodrome</v>
      </c>
      <c r="BD695" t="str">
        <f t="shared" si="1119"/>
        <v>Pass</v>
      </c>
      <c r="BE695" t="str">
        <f t="shared" si="1120"/>
        <v>Pass_Completed</v>
      </c>
      <c r="BF695" t="str">
        <f t="shared" si="1121"/>
        <v>Pass-Rim/Wrap</v>
      </c>
      <c r="BG695" t="str">
        <f t="shared" si="1104"/>
        <v>s</v>
      </c>
      <c r="BH695" cm="1">
        <f t="array" aca="1" ref="BH695" ca="1">IFERROR(_xlfn._xlws.FILTER(shifts!A:A,(shifts!B:B=events!Z695)*(shifts!AG:AG&gt;=events!BJ695)*(shifts!AH:AH&lt;=events!BK695)),BH694)</f>
        <v>24</v>
      </c>
      <c r="BI695" s="15">
        <f t="shared" si="1122"/>
        <v>0</v>
      </c>
      <c r="BJ695">
        <f t="shared" si="1123"/>
        <v>487</v>
      </c>
      <c r="BK695">
        <f t="shared" si="1124"/>
        <v>487</v>
      </c>
      <c r="BL695" s="15">
        <f>SUMIFS(BI$2:BI695,K$2:K695,"=Intermission")+SUMIFS(BI$2:BI695,K$2:K695,"=Timeout")</f>
        <v>0</v>
      </c>
      <c r="BM695">
        <f t="shared" si="1125"/>
        <v>0</v>
      </c>
      <c r="BN695" s="19">
        <f t="shared" si="1126"/>
        <v>593</v>
      </c>
      <c r="BO695">
        <f t="shared" si="1127"/>
        <v>588</v>
      </c>
      <c r="BP695" s="17">
        <f t="shared" si="1128"/>
        <v>593</v>
      </c>
      <c r="BQ695" t="str">
        <f t="shared" si="1129"/>
        <v>event_team_player_2</v>
      </c>
      <c r="BR695">
        <f>COUNTIFS(S$3:S695,"="&amp;S695,AH$3:AH695,"="&amp;AH695)</f>
        <v>2</v>
      </c>
      <c r="BS695" t="str">
        <f>IFERROR(VLOOKUP(BA695&amp;BT695&amp;X695,game_rosters!U:W,3,FALSE),"")</f>
        <v>P100001</v>
      </c>
      <c r="BT695" t="str">
        <f t="shared" si="1130"/>
        <v>Velodrome</v>
      </c>
    </row>
    <row r="696" spans="1:72" x14ac:dyDescent="0.2">
      <c r="A696" t="str">
        <f t="shared" si="1131"/>
        <v/>
      </c>
      <c r="E696" s="4"/>
      <c r="F696" s="45"/>
      <c r="G696" s="4"/>
      <c r="H696" s="47"/>
      <c r="I696" s="26">
        <v>41</v>
      </c>
      <c r="J696" s="26" t="str">
        <f t="shared" si="1132"/>
        <v/>
      </c>
      <c r="N696" t="str">
        <f t="shared" si="1150"/>
        <v/>
      </c>
      <c r="Q696" t="str">
        <f t="shared" si="1144"/>
        <v/>
      </c>
      <c r="R696" s="26">
        <v>1</v>
      </c>
      <c r="S696">
        <f>IF(A696=1,MAX($S$2:$S695)+1,IF(OR($I696&lt;&gt;"",A696="x"),$S695,""))</f>
        <v>346</v>
      </c>
      <c r="T696" t="str">
        <f>IF(D696=1,MAX($T$2:$T695)+1,IF(S696=S695,$T695,IF(D696="x",T695,IF(D695="x","",""))))</f>
        <v/>
      </c>
      <c r="U696" t="str">
        <f>IF(B696=1,MAX($U$2:$U695)+1,IF(AND($T696&lt;&gt;"",$T696=$T695),$U695,IF(B696="x",U695,"")))</f>
        <v/>
      </c>
      <c r="V696" t="str">
        <f>IF(C696=1,MAX($V$2:$V695)+1,IF(AND($T696&lt;&gt;"",$T696=$T695),$U695,IF(C696="x",V695,"")))</f>
        <v/>
      </c>
      <c r="W696" t="str" cm="1">
        <f t="array" ref="W696">IFERROR(_xlfn._xlws.FILTER(game_rosters!AC:AC,(game_rosters!J:J=events!X696)*(K696&lt;&gt;"")),"")</f>
        <v/>
      </c>
      <c r="X696" cm="1">
        <f t="array" ref="X696">IF($I696&lt;&gt;"",$I696,INDEX($I$1:$I696,ROW()-COUNTIFS($T$1:$T696,"="&amp;$T696,$S$1:$S696,"&lt;"&amp;$S696)))</f>
        <v>41</v>
      </c>
      <c r="Y696" t="str" cm="1">
        <f t="array" ref="Y696">IFERROR(IF(_xlfn._xlws.FILTER(game_rosters!$J:$J,(game_rosters!$G:$G=events!$AM696)*(game_rosters!$J:$J=events!$X696))&gt;0,1,""),"")</f>
        <v/>
      </c>
      <c r="Z696" s="6">
        <f t="shared" si="1106"/>
        <v>1</v>
      </c>
      <c r="AA696">
        <f t="shared" si="1107"/>
        <v>1346</v>
      </c>
      <c r="AB696" t="str">
        <f t="shared" si="1108"/>
        <v/>
      </c>
      <c r="AC696">
        <f t="shared" si="1109"/>
        <v>1346</v>
      </c>
      <c r="AD696" t="str">
        <f t="shared" si="1110"/>
        <v>8</v>
      </c>
      <c r="AE696" t="str">
        <f t="shared" si="1111"/>
        <v>07</v>
      </c>
      <c r="AF696" t="str">
        <f t="shared" si="1112"/>
        <v/>
      </c>
      <c r="AG696" t="str">
        <f t="shared" si="1113"/>
        <v/>
      </c>
      <c r="AH696" t="str">
        <f t="shared" si="1157"/>
        <v>o</v>
      </c>
      <c r="AI696" t="str">
        <f t="shared" si="1182"/>
        <v>o</v>
      </c>
      <c r="AJ696" t="str">
        <f t="shared" si="1182"/>
        <v>o</v>
      </c>
      <c r="AK696" t="str">
        <f t="shared" si="1159"/>
        <v/>
      </c>
      <c r="AL696" t="str">
        <f t="shared" si="1160"/>
        <v/>
      </c>
      <c r="AM696" t="str">
        <f t="shared" si="1114"/>
        <v>Away</v>
      </c>
      <c r="AN696" t="str">
        <f t="shared" si="1161"/>
        <v>a</v>
      </c>
      <c r="AO696" t="str">
        <f t="shared" si="1162"/>
        <v>d</v>
      </c>
      <c r="AP696" t="str">
        <f t="shared" si="1163"/>
        <v>o</v>
      </c>
      <c r="AQ696" t="str">
        <f>IF(AM696&lt;&gt;"",AM696,IF($AC696=#REF!,#REF!,""))</f>
        <v>Away</v>
      </c>
      <c r="AR696" t="str">
        <f t="shared" si="1164"/>
        <v>a</v>
      </c>
      <c r="AS696" t="str">
        <f t="shared" si="1165"/>
        <v>Defensive</v>
      </c>
      <c r="AT696" t="str">
        <f t="shared" si="1115"/>
        <v/>
      </c>
      <c r="AU696" t="str">
        <f t="shared" si="1116"/>
        <v/>
      </c>
      <c r="AV696" t="str" cm="1">
        <f t="array" ref="AV696">IFERROR(IF(O696&lt;&gt;"",O696,IF(OR($S696="",$T696=""),"",IF(O696&lt;&gt;"",O696,IF($T696&lt;&gt;"",_xlfn._xlws.FILTER(O:O,($BT:$BT=$BT696)*($I:$I=$I696)*($T:$T=$T696)*($S:$S=_xlfn.MINIFS($S:$S,$T:$T,"="&amp;$T696)),"")))))&amp;"",IF(O696="","",""))&amp;""</f>
        <v/>
      </c>
      <c r="AW696" t="str" cm="1">
        <f t="array" ref="AW696">IFERROR(IF(P696&lt;&gt;"",P696,IF(OR($S696="",$T696=""),"",IF($T696&lt;&gt;"",_xlfn._xlws.FILTER(P:P,($BT:$BT=$BT696)*($I:$I=$I696)*($T:$T=$T696)*($S:$S=_xlfn.MINIFS($S:$S,$T:$T,"="&amp;$T696)),""))))&amp;"",IF(P696="","",""))&amp;""</f>
        <v/>
      </c>
      <c r="AX696" t="str" cm="1">
        <f t="array" ref="AX696">IFERROR(IF(Q696&lt;&gt;"",Q696,IF(OR($S696="",$T696=""),"",IF($T696&lt;&gt;"",_xlfn._xlws.FILTER(Q:Q,($BT:$BT=$BT696)*($I:$I=$I696)*($T:$T=$T696)*($S:$S=_xlfn.MINIFS($S:$S,$T:$T,"="&amp;$T696)),""))))&amp;"",IF(Q696="","",""))&amp;""</f>
        <v/>
      </c>
      <c r="AY696" t="str" cm="1">
        <f t="array" ref="AY696">IFERROR(IF(R696&lt;&gt;"",R696,IF(OR($S696="",$T696=""),"",IF($T696&lt;&gt;"",_xlfn._xlws.FILTER(R:R,($BT:$BT=$BT696)*($I:$I=$I696)*($T:$T=$T696)*($S:$S=_xlfn.MINIFS($S:$S,$T:$T,"="&amp;$T696)),""))))&amp;"",IF(R696="","",""))&amp;""</f>
        <v>1</v>
      </c>
      <c r="AZ696" s="6">
        <f t="shared" si="1117"/>
        <v>57</v>
      </c>
      <c r="BA696">
        <f t="shared" ref="BA696:BC696" si="1196">BA695</f>
        <v>18991</v>
      </c>
      <c r="BB696" t="str">
        <f t="shared" si="1196"/>
        <v>Triple J</v>
      </c>
      <c r="BC696" t="str">
        <f t="shared" si="1196"/>
        <v>Velodrome</v>
      </c>
      <c r="BD696" t="str">
        <f t="shared" si="1119"/>
        <v>Pass</v>
      </c>
      <c r="BE696" t="str">
        <f t="shared" si="1120"/>
        <v>Pass_Completed</v>
      </c>
      <c r="BF696" t="str">
        <f t="shared" si="1121"/>
        <v>Pass-Rim/Wrap</v>
      </c>
      <c r="BG696" t="str">
        <f t="shared" si="1104"/>
        <v>s</v>
      </c>
      <c r="BH696" cm="1">
        <f t="array" aca="1" ref="BH696" ca="1">IFERROR(_xlfn._xlws.FILTER(shifts!A:A,(shifts!B:B=events!Z696)*(shifts!AG:AG&gt;=events!BJ696)*(shifts!AH:AH&lt;=events!BK696)),BH695)</f>
        <v>24</v>
      </c>
      <c r="BI696" s="15">
        <f t="shared" si="1122"/>
        <v>0</v>
      </c>
      <c r="BJ696">
        <f t="shared" si="1123"/>
        <v>487</v>
      </c>
      <c r="BK696">
        <f t="shared" si="1124"/>
        <v>487</v>
      </c>
      <c r="BL696" s="15">
        <f>SUMIFS(BI$2:BI696,K$2:K696,"=Intermission")+SUMIFS(BI$2:BI696,K$2:K696,"=Timeout")</f>
        <v>0</v>
      </c>
      <c r="BM696">
        <f t="shared" si="1125"/>
        <v>0</v>
      </c>
      <c r="BN696" s="19">
        <f t="shared" si="1126"/>
        <v>593</v>
      </c>
      <c r="BO696">
        <f t="shared" si="1127"/>
        <v>588</v>
      </c>
      <c r="BP696" s="17">
        <f t="shared" si="1128"/>
        <v>593</v>
      </c>
      <c r="BQ696" t="str">
        <f t="shared" si="1129"/>
        <v>opp_team_player_1</v>
      </c>
      <c r="BR696">
        <f>COUNTIFS(S$3:S696,"="&amp;S696,AH$3:AH696,"="&amp;AH696)</f>
        <v>1</v>
      </c>
      <c r="BS696" t="str">
        <f>IFERROR(VLOOKUP(BA696&amp;BT696&amp;X696,game_rosters!U:W,3,FALSE),"")</f>
        <v>P100206</v>
      </c>
      <c r="BT696" t="str">
        <f t="shared" si="1130"/>
        <v>Triple J</v>
      </c>
    </row>
    <row r="697" spans="1:72" x14ac:dyDescent="0.2">
      <c r="A697">
        <f t="shared" si="1131"/>
        <v>1</v>
      </c>
      <c r="E697" s="4"/>
      <c r="F697" s="45" t="s">
        <v>748</v>
      </c>
      <c r="G697" s="4"/>
      <c r="H697" s="47" t="s">
        <v>413</v>
      </c>
      <c r="I697" s="26">
        <v>70</v>
      </c>
      <c r="J697" s="26" t="s">
        <v>368</v>
      </c>
      <c r="K697" t="s">
        <v>13</v>
      </c>
      <c r="N697" t="str">
        <f t="shared" si="1150"/>
        <v/>
      </c>
      <c r="Q697" t="str">
        <f t="shared" si="1144"/>
        <v/>
      </c>
      <c r="S697">
        <f>IF(A697=1,MAX($S$2:$S696)+1,IF(OR($I697&lt;&gt;"",A697="x"),$S696,""))</f>
        <v>347</v>
      </c>
      <c r="T697" t="str">
        <f>IF(D697=1,MAX($T$2:$T696)+1,IF(S697=S696,$T696,IF(D697="x",T696,IF(D696="x","",""))))</f>
        <v/>
      </c>
      <c r="U697" t="str">
        <f>IF(B697=1,MAX($U$2:$U696)+1,IF(AND($T697&lt;&gt;"",$T697=$T696),$U696,IF(B697="x",U696,"")))</f>
        <v/>
      </c>
      <c r="V697" t="str">
        <f>IF(C697=1,MAX($V$2:$V696)+1,IF(AND($T697&lt;&gt;"",$T697=$T696),$U696,IF(C697="x",V696,"")))</f>
        <v/>
      </c>
      <c r="W697" t="str" cm="1">
        <f t="array" ref="W697">IFERROR(_xlfn._xlws.FILTER(game_rosters!AC:AC,(game_rosters!J:J=events!X697)*(K697&lt;&gt;"")),"")</f>
        <v>a</v>
      </c>
      <c r="X697" cm="1">
        <f t="array" ref="X697">IF($I697&lt;&gt;"",$I697,INDEX($I$1:$I697,ROW()-COUNTIFS($T$1:$T697,"="&amp;$T697,$S$1:$S697,"&lt;"&amp;$S697)))</f>
        <v>70</v>
      </c>
      <c r="Y697" cm="1">
        <f t="array" ref="Y697">IFERROR(IF(_xlfn._xlws.FILTER(game_rosters!$J:$J,(game_rosters!$G:$G=events!$AM697)*(game_rosters!$J:$J=events!$X697))&gt;0,1,""),"")</f>
        <v>1</v>
      </c>
      <c r="Z697" s="6">
        <f t="shared" si="1106"/>
        <v>1</v>
      </c>
      <c r="AA697">
        <f t="shared" si="1107"/>
        <v>1347</v>
      </c>
      <c r="AB697" t="str">
        <f t="shared" si="1108"/>
        <v/>
      </c>
      <c r="AC697">
        <f t="shared" si="1109"/>
        <v>1347</v>
      </c>
      <c r="AD697" t="str">
        <f t="shared" si="1110"/>
        <v>8</v>
      </c>
      <c r="AE697" t="str">
        <f t="shared" si="1111"/>
        <v>01</v>
      </c>
      <c r="AF697" t="str">
        <f t="shared" si="1112"/>
        <v>8</v>
      </c>
      <c r="AG697" t="str">
        <f t="shared" si="1113"/>
        <v>00</v>
      </c>
      <c r="AH697" t="str">
        <f t="shared" si="1157"/>
        <v>e</v>
      </c>
      <c r="AI697" t="str">
        <f t="shared" si="1182"/>
        <v>o</v>
      </c>
      <c r="AJ697" t="str">
        <f t="shared" si="1182"/>
        <v>o</v>
      </c>
      <c r="AK697" t="str">
        <f t="shared" si="1159"/>
        <v>d</v>
      </c>
      <c r="AL697" t="str">
        <f t="shared" si="1160"/>
        <v>o</v>
      </c>
      <c r="AM697" t="str">
        <f t="shared" si="1114"/>
        <v>Away</v>
      </c>
      <c r="AN697" t="str">
        <f t="shared" si="1161"/>
        <v>a</v>
      </c>
      <c r="AO697" t="str">
        <f t="shared" si="1162"/>
        <v>d</v>
      </c>
      <c r="AP697" t="str">
        <f t="shared" si="1163"/>
        <v>o</v>
      </c>
      <c r="AQ697" t="str">
        <f>IF(AM697&lt;&gt;"",AM697,IF($AC697=#REF!,#REF!,""))</f>
        <v>Away</v>
      </c>
      <c r="AR697" t="str">
        <f t="shared" si="1164"/>
        <v>a</v>
      </c>
      <c r="AS697" t="str">
        <f t="shared" si="1165"/>
        <v>Offensive</v>
      </c>
      <c r="AT697" t="str">
        <f t="shared" si="1115"/>
        <v/>
      </c>
      <c r="AU697" t="str">
        <f t="shared" si="1116"/>
        <v/>
      </c>
      <c r="AV697" t="str" cm="1">
        <f t="array" ref="AV697">IFERROR(IF(O697&lt;&gt;"",O697,IF(OR($S697="",$T697=""),"",IF(O697&lt;&gt;"",O697,IF($T697&lt;&gt;"",_xlfn._xlws.FILTER(O:O,($BT:$BT=$BT697)*($I:$I=$I697)*($T:$T=$T697)*($S:$S=_xlfn.MINIFS($S:$S,$T:$T,"="&amp;$T697)),"")))))&amp;"",IF(O697="","",""))&amp;""</f>
        <v/>
      </c>
      <c r="AW697" t="str" cm="1">
        <f t="array" ref="AW697">IFERROR(IF(P697&lt;&gt;"",P697,IF(OR($S697="",$T697=""),"",IF($T697&lt;&gt;"",_xlfn._xlws.FILTER(P:P,($BT:$BT=$BT697)*($I:$I=$I697)*($T:$T=$T697)*($S:$S=_xlfn.MINIFS($S:$S,$T:$T,"="&amp;$T697)),""))))&amp;"",IF(P697="","",""))&amp;""</f>
        <v/>
      </c>
      <c r="AX697" t="str" cm="1">
        <f t="array" ref="AX697">IFERROR(IF(Q697&lt;&gt;"",Q697,IF(OR($S697="",$T697=""),"",IF($T697&lt;&gt;"",_xlfn._xlws.FILTER(Q:Q,($BT:$BT=$BT697)*($I:$I=$I697)*($T:$T=$T697)*($S:$S=_xlfn.MINIFS($S:$S,$T:$T,"="&amp;$T697)),""))))&amp;"",IF(Q697="","",""))&amp;""</f>
        <v/>
      </c>
      <c r="AY697" t="str" cm="1">
        <f t="array" ref="AY697">IFERROR(IF(R697&lt;&gt;"",R697,IF(OR($S697="",$T697=""),"",IF($T697&lt;&gt;"",_xlfn._xlws.FILTER(R:R,($BT:$BT=$BT697)*($I:$I=$I697)*($T:$T=$T697)*($S:$S=_xlfn.MINIFS($S:$S,$T:$T,"="&amp;$T697)),""))))&amp;"",IF(R697="","",""))&amp;""</f>
        <v/>
      </c>
      <c r="AZ697" s="6">
        <f t="shared" si="1117"/>
        <v>57</v>
      </c>
      <c r="BA697">
        <f t="shared" ref="BA697:BC697" si="1197">BA696</f>
        <v>18991</v>
      </c>
      <c r="BB697" t="str">
        <f t="shared" si="1197"/>
        <v>Triple J</v>
      </c>
      <c r="BC697" t="str">
        <f t="shared" si="1197"/>
        <v>Velodrome</v>
      </c>
      <c r="BD697" t="str">
        <f t="shared" si="1119"/>
        <v>Possession</v>
      </c>
      <c r="BE697" t="str">
        <f t="shared" si="1120"/>
        <v/>
      </c>
      <c r="BF697" t="str">
        <f t="shared" si="1121"/>
        <v/>
      </c>
      <c r="BG697" t="str">
        <f t="shared" si="1104"/>
        <v/>
      </c>
      <c r="BH697" cm="1">
        <f t="array" aca="1" ref="BH697" ca="1">IFERROR(_xlfn._xlws.FILTER(shifts!A:A,(shifts!B:B=events!Z697)*(shifts!AG:AG&gt;=events!BJ697)*(shifts!AH:AH&lt;=events!BK697)),BH696)</f>
        <v>24</v>
      </c>
      <c r="BI697" s="15">
        <f t="shared" si="1122"/>
        <v>1</v>
      </c>
      <c r="BJ697">
        <f t="shared" si="1123"/>
        <v>481</v>
      </c>
      <c r="BK697">
        <f t="shared" si="1124"/>
        <v>480</v>
      </c>
      <c r="BL697" s="15">
        <f>SUMIFS(BI$2:BI697,K$2:K697,"=Intermission")+SUMIFS(BI$2:BI697,K$2:K697,"=Timeout")</f>
        <v>0</v>
      </c>
      <c r="BM697">
        <f t="shared" si="1125"/>
        <v>0</v>
      </c>
      <c r="BN697" s="19">
        <f t="shared" si="1126"/>
        <v>599</v>
      </c>
      <c r="BO697">
        <f t="shared" si="1127"/>
        <v>594</v>
      </c>
      <c r="BP697" s="17">
        <f t="shared" si="1128"/>
        <v>600</v>
      </c>
      <c r="BQ697" t="str">
        <f t="shared" si="1129"/>
        <v>event_team_player_1</v>
      </c>
      <c r="BR697">
        <f>COUNTIFS(S$3:S697,"="&amp;S697,AH$3:AH697,"="&amp;AH697)</f>
        <v>1</v>
      </c>
      <c r="BS697" t="str">
        <f>IFERROR(VLOOKUP(BA697&amp;BT697&amp;X697,game_rosters!U:W,3,FALSE),"")</f>
        <v>P100001</v>
      </c>
      <c r="BT697" t="str">
        <f t="shared" si="1130"/>
        <v>Velodrome</v>
      </c>
    </row>
    <row r="698" spans="1:72" x14ac:dyDescent="0.2">
      <c r="A698">
        <f t="shared" si="1131"/>
        <v>1</v>
      </c>
      <c r="E698" s="4"/>
      <c r="F698" s="45"/>
      <c r="G698" s="4"/>
      <c r="H698" s="47"/>
      <c r="I698" s="26">
        <v>70</v>
      </c>
      <c r="J698" s="26" t="s">
        <v>368</v>
      </c>
      <c r="K698" t="s">
        <v>230</v>
      </c>
      <c r="L698" t="s">
        <v>388</v>
      </c>
      <c r="M698" t="s">
        <v>431</v>
      </c>
      <c r="N698" t="str">
        <f t="shared" si="1150"/>
        <v/>
      </c>
      <c r="Q698" t="str">
        <f t="shared" si="1144"/>
        <v/>
      </c>
      <c r="S698">
        <f>IF(A698=1,MAX($S$2:$S697)+1,IF(OR($I698&lt;&gt;"",A698="x"),$S697,""))</f>
        <v>348</v>
      </c>
      <c r="T698" t="str">
        <f>IF(D698=1,MAX($T$2:$T697)+1,IF(S698=S697,$T697,IF(D698="x",T697,IF(D697="x","",""))))</f>
        <v/>
      </c>
      <c r="U698" t="str">
        <f>IF(B698=1,MAX($U$2:$U697)+1,IF(AND($T698&lt;&gt;"",$T698=$T697),$U697,IF(B698="x",U697,"")))</f>
        <v/>
      </c>
      <c r="V698" t="str">
        <f>IF(C698=1,MAX($V$2:$V697)+1,IF(AND($T698&lt;&gt;"",$T698=$T697),$U697,IF(C698="x",V697,"")))</f>
        <v/>
      </c>
      <c r="W698" t="str" cm="1">
        <f t="array" ref="W698">IFERROR(_xlfn._xlws.FILTER(game_rosters!AC:AC,(game_rosters!J:J=events!X698)*(K698&lt;&gt;"")),"")</f>
        <v>a</v>
      </c>
      <c r="X698" cm="1">
        <f t="array" ref="X698">IF($I698&lt;&gt;"",$I698,INDEX($I$1:$I698,ROW()-COUNTIFS($T$1:$T698,"="&amp;$T698,$S$1:$S698,"&lt;"&amp;$S698)))</f>
        <v>70</v>
      </c>
      <c r="Y698" cm="1">
        <f t="array" ref="Y698">IFERROR(IF(_xlfn._xlws.FILTER(game_rosters!$J:$J,(game_rosters!$G:$G=events!$AM698)*(game_rosters!$J:$J=events!$X698))&gt;0,1,""),"")</f>
        <v>1</v>
      </c>
      <c r="Z698" s="6">
        <f t="shared" si="1106"/>
        <v>1</v>
      </c>
      <c r="AA698">
        <f t="shared" si="1107"/>
        <v>1348</v>
      </c>
      <c r="AB698" t="str">
        <f t="shared" si="1108"/>
        <v/>
      </c>
      <c r="AC698">
        <f t="shared" si="1109"/>
        <v>1348</v>
      </c>
      <c r="AD698" t="str">
        <f t="shared" si="1110"/>
        <v>8</v>
      </c>
      <c r="AE698" t="str">
        <f t="shared" si="1111"/>
        <v>00</v>
      </c>
      <c r="AF698" t="str">
        <f t="shared" si="1112"/>
        <v/>
      </c>
      <c r="AG698" t="str">
        <f t="shared" si="1113"/>
        <v/>
      </c>
      <c r="AH698" t="str">
        <f t="shared" si="1157"/>
        <v>e</v>
      </c>
      <c r="AI698" t="str">
        <f t="shared" si="1182"/>
        <v>o</v>
      </c>
      <c r="AJ698" t="str">
        <f t="shared" si="1182"/>
        <v>o</v>
      </c>
      <c r="AK698" t="str">
        <f t="shared" si="1159"/>
        <v>d</v>
      </c>
      <c r="AL698" t="str">
        <f t="shared" si="1160"/>
        <v>o</v>
      </c>
      <c r="AM698" t="str">
        <f t="shared" si="1114"/>
        <v>Away</v>
      </c>
      <c r="AN698" t="str">
        <f t="shared" si="1161"/>
        <v>a</v>
      </c>
      <c r="AO698" t="str">
        <f t="shared" si="1162"/>
        <v>d</v>
      </c>
      <c r="AP698" t="str">
        <f t="shared" si="1163"/>
        <v>o</v>
      </c>
      <c r="AQ698" t="str">
        <f>IF(AM698&lt;&gt;"",AM698,IF($AC698=#REF!,#REF!,""))</f>
        <v>Away</v>
      </c>
      <c r="AR698" t="str">
        <f t="shared" si="1164"/>
        <v>a</v>
      </c>
      <c r="AS698" t="str">
        <f t="shared" si="1165"/>
        <v>Offensive</v>
      </c>
      <c r="AT698" t="str">
        <f t="shared" si="1115"/>
        <v/>
      </c>
      <c r="AU698" t="str">
        <f t="shared" si="1116"/>
        <v/>
      </c>
      <c r="AV698" t="str" cm="1">
        <f t="array" ref="AV698">IFERROR(IF(O698&lt;&gt;"",O698,IF(OR($S698="",$T698=""),"",IF(O698&lt;&gt;"",O698,IF($T698&lt;&gt;"",_xlfn._xlws.FILTER(O:O,($BT:$BT=$BT698)*($I:$I=$I698)*($T:$T=$T698)*($S:$S=_xlfn.MINIFS($S:$S,$T:$T,"="&amp;$T698)),"")))))&amp;"",IF(O698="","",""))&amp;""</f>
        <v/>
      </c>
      <c r="AW698" t="str" cm="1">
        <f t="array" ref="AW698">IFERROR(IF(P698&lt;&gt;"",P698,IF(OR($S698="",$T698=""),"",IF($T698&lt;&gt;"",_xlfn._xlws.FILTER(P:P,($BT:$BT=$BT698)*($I:$I=$I698)*($T:$T=$T698)*($S:$S=_xlfn.MINIFS($S:$S,$T:$T,"="&amp;$T698)),""))))&amp;"",IF(P698="","",""))&amp;""</f>
        <v/>
      </c>
      <c r="AX698" t="str" cm="1">
        <f t="array" ref="AX698">IFERROR(IF(Q698&lt;&gt;"",Q698,IF(OR($S698="",$T698=""),"",IF($T698&lt;&gt;"",_xlfn._xlws.FILTER(Q:Q,($BT:$BT=$BT698)*($I:$I=$I698)*($T:$T=$T698)*($S:$S=_xlfn.MINIFS($S:$S,$T:$T,"="&amp;$T698)),""))))&amp;"",IF(Q698="","",""))&amp;""</f>
        <v/>
      </c>
      <c r="AY698" t="str" cm="1">
        <f t="array" ref="AY698">IFERROR(IF(R698&lt;&gt;"",R698,IF(OR($S698="",$T698=""),"",IF($T698&lt;&gt;"",_xlfn._xlws.FILTER(R:R,($BT:$BT=$BT698)*($I:$I=$I698)*($T:$T=$T698)*($S:$S=_xlfn.MINIFS($S:$S,$T:$T,"="&amp;$T698)),""))))&amp;"",IF(R698="","",""))&amp;""</f>
        <v/>
      </c>
      <c r="AZ698" s="6">
        <f t="shared" si="1117"/>
        <v>57</v>
      </c>
      <c r="BA698">
        <f t="shared" ref="BA698:BC698" si="1198">BA697</f>
        <v>18991</v>
      </c>
      <c r="BB698" t="str">
        <f t="shared" si="1198"/>
        <v>Triple J</v>
      </c>
      <c r="BC698" t="str">
        <f t="shared" si="1198"/>
        <v>Velodrome</v>
      </c>
      <c r="BD698" t="str">
        <f t="shared" si="1119"/>
        <v>Play</v>
      </c>
      <c r="BE698" t="str">
        <f t="shared" si="1120"/>
        <v>Play_Offensive</v>
      </c>
      <c r="BF698" t="str">
        <f t="shared" si="1121"/>
        <v>Play-Dump/RimInZone</v>
      </c>
      <c r="BG698" t="str">
        <f t="shared" si="1104"/>
        <v/>
      </c>
      <c r="BH698" cm="1">
        <f t="array" aca="1" ref="BH698" ca="1">IFERROR(_xlfn._xlws.FILTER(shifts!A:A,(shifts!B:B=events!Z698)*(shifts!AG:AG&gt;=events!BJ698)*(shifts!AH:AH&lt;=events!BK698)),BH697)</f>
        <v>24</v>
      </c>
      <c r="BI698" s="15">
        <f t="shared" si="1122"/>
        <v>0</v>
      </c>
      <c r="BJ698">
        <f t="shared" si="1123"/>
        <v>480</v>
      </c>
      <c r="BK698">
        <f t="shared" si="1124"/>
        <v>480</v>
      </c>
      <c r="BL698" s="15">
        <f>SUMIFS(BI$2:BI698,K$2:K698,"=Intermission")+SUMIFS(BI$2:BI698,K$2:K698,"=Timeout")</f>
        <v>0</v>
      </c>
      <c r="BM698">
        <f t="shared" si="1125"/>
        <v>0</v>
      </c>
      <c r="BN698" s="19">
        <f t="shared" si="1126"/>
        <v>600</v>
      </c>
      <c r="BO698">
        <f t="shared" si="1127"/>
        <v>595</v>
      </c>
      <c r="BP698" s="17">
        <f t="shared" si="1128"/>
        <v>600</v>
      </c>
      <c r="BQ698" t="str">
        <f t="shared" si="1129"/>
        <v>event_team_player_1</v>
      </c>
      <c r="BR698">
        <f>COUNTIFS(S$3:S698,"="&amp;S698,AH$3:AH698,"="&amp;AH698)</f>
        <v>1</v>
      </c>
      <c r="BS698" t="str">
        <f>IFERROR(VLOOKUP(BA698&amp;BT698&amp;X698,game_rosters!U:W,3,FALSE),"")</f>
        <v>P100001</v>
      </c>
      <c r="BT698" t="str">
        <f t="shared" si="1130"/>
        <v>Velodrome</v>
      </c>
    </row>
    <row r="699" spans="1:72" x14ac:dyDescent="0.2">
      <c r="A699">
        <f t="shared" si="1131"/>
        <v>1</v>
      </c>
      <c r="E699" s="4" t="s">
        <v>1072</v>
      </c>
      <c r="F699" s="45" t="s">
        <v>1059</v>
      </c>
      <c r="G699" s="4"/>
      <c r="H699" s="47"/>
      <c r="I699" s="26">
        <v>9</v>
      </c>
      <c r="J699" s="26" t="s">
        <v>368</v>
      </c>
      <c r="K699" t="s">
        <v>13</v>
      </c>
      <c r="L699" t="s">
        <v>587</v>
      </c>
      <c r="N699" t="s">
        <v>594</v>
      </c>
      <c r="O699" t="s">
        <v>904</v>
      </c>
      <c r="Q699" t="str">
        <f t="shared" si="1144"/>
        <v>u</v>
      </c>
      <c r="R699" s="26">
        <v>1</v>
      </c>
      <c r="S699">
        <f>IF(A699=1,MAX($S$2:$S698)+1,IF(OR($I699&lt;&gt;"",A699="x"),$S698,""))</f>
        <v>349</v>
      </c>
      <c r="T699" t="str">
        <f>IF(D699=1,MAX($T$2:$T698)+1,IF(S699=S698,$T698,IF(D699="x",T698,IF(D698="x","",""))))</f>
        <v/>
      </c>
      <c r="U699" t="str">
        <f>IF(B699=1,MAX($U$2:$U698)+1,IF(AND($T699&lt;&gt;"",$T699=$T698),$U698,IF(B699="x",U698,"")))</f>
        <v/>
      </c>
      <c r="V699" t="str">
        <f>IF(C699=1,MAX($V$2:$V698)+1,IF(AND($T699&lt;&gt;"",$T699=$T698),$U698,IF(C699="x",V698,"")))</f>
        <v/>
      </c>
      <c r="W699" t="str" cm="1">
        <f t="array" ref="W699">IFERROR(_xlfn._xlws.FILTER(game_rosters!AC:AC,(game_rosters!J:J=events!X699)*(K699&lt;&gt;"")),"")</f>
        <v>a</v>
      </c>
      <c r="X699" cm="1">
        <f t="array" ref="X699">IF($I699&lt;&gt;"",$I699,INDEX($I$1:$I699,ROW()-COUNTIFS($T$1:$T699,"="&amp;$T699,$S$1:$S699,"&lt;"&amp;$S699)))</f>
        <v>9</v>
      </c>
      <c r="Y699" cm="1">
        <f t="array" ref="Y699">IFERROR(IF(_xlfn._xlws.FILTER(game_rosters!$J:$J,(game_rosters!$G:$G=events!$AM699)*(game_rosters!$J:$J=events!$X699))&gt;0,1,""),"")</f>
        <v>1</v>
      </c>
      <c r="Z699" s="6">
        <f t="shared" si="1106"/>
        <v>1</v>
      </c>
      <c r="AA699">
        <f t="shared" si="1107"/>
        <v>1349</v>
      </c>
      <c r="AB699" t="str">
        <f t="shared" si="1108"/>
        <v/>
      </c>
      <c r="AC699">
        <f t="shared" si="1109"/>
        <v>1349</v>
      </c>
      <c r="AD699" t="str">
        <f t="shared" si="1110"/>
        <v>7</v>
      </c>
      <c r="AE699" t="str">
        <f t="shared" si="1111"/>
        <v>54</v>
      </c>
      <c r="AF699" t="str">
        <f t="shared" si="1112"/>
        <v/>
      </c>
      <c r="AG699" t="str">
        <f t="shared" si="1113"/>
        <v/>
      </c>
      <c r="AH699" t="str">
        <f t="shared" si="1157"/>
        <v>e</v>
      </c>
      <c r="AI699" t="str">
        <f t="shared" ref="AI699:AJ714" si="1199">IF($J699&lt;&gt;"",$J699,IF($AC699=$AC698,AI698,""))</f>
        <v>o</v>
      </c>
      <c r="AJ699" t="str">
        <f t="shared" si="1199"/>
        <v>o</v>
      </c>
      <c r="AK699" t="str">
        <f t="shared" si="1159"/>
        <v>d</v>
      </c>
      <c r="AL699" t="str">
        <f t="shared" si="1160"/>
        <v>o</v>
      </c>
      <c r="AM699" t="str">
        <f t="shared" si="1114"/>
        <v>Away</v>
      </c>
      <c r="AN699" t="str">
        <f t="shared" si="1161"/>
        <v>a</v>
      </c>
      <c r="AO699" t="str">
        <f t="shared" si="1162"/>
        <v>d</v>
      </c>
      <c r="AP699" t="str">
        <f t="shared" si="1163"/>
        <v>o</v>
      </c>
      <c r="AQ699" t="str">
        <f>IF(AM699&lt;&gt;"",AM699,IF($AC699=#REF!,#REF!,""))</f>
        <v>Away</v>
      </c>
      <c r="AR699" t="str">
        <f t="shared" si="1164"/>
        <v>a</v>
      </c>
      <c r="AS699" t="str">
        <f t="shared" si="1165"/>
        <v>Offensive</v>
      </c>
      <c r="AT699" t="str">
        <f t="shared" si="1115"/>
        <v/>
      </c>
      <c r="AU699" t="str">
        <f t="shared" si="1116"/>
        <v/>
      </c>
      <c r="AV699" t="str" cm="1">
        <f t="array" ref="AV699">IFERROR(IF(O699&lt;&gt;"",O699,IF(OR($S699="",$T699=""),"",IF(O699&lt;&gt;"",O699,IF($T699&lt;&gt;"",_xlfn._xlws.FILTER(O:O,($BT:$BT=$BT699)*($I:$I=$I699)*($T:$T=$T699)*($S:$S=_xlfn.MINIFS($S:$S,$T:$T,"="&amp;$T699)),"")))))&amp;"",IF(O699="","",""))&amp;""</f>
        <v>PuckRecoveryRetreivalDumpIn</v>
      </c>
      <c r="AW699" t="str" cm="1">
        <f t="array" ref="AW699">IFERROR(IF(P699&lt;&gt;"",P699,IF(OR($S699="",$T699=""),"",IF($T699&lt;&gt;"",_xlfn._xlws.FILTER(P:P,($BT:$BT=$BT699)*($I:$I=$I699)*($T:$T=$T699)*($S:$S=_xlfn.MINIFS($S:$S,$T:$T,"="&amp;$T699)),""))))&amp;"",IF(P699="","",""))&amp;""</f>
        <v/>
      </c>
      <c r="AX699" t="str" cm="1">
        <f t="array" ref="AX699">IFERROR(IF(Q699&lt;&gt;"",Q699,IF(OR($S699="",$T699=""),"",IF($T699&lt;&gt;"",_xlfn._xlws.FILTER(Q:Q,($BT:$BT=$BT699)*($I:$I=$I699)*($T:$T=$T699)*($S:$S=_xlfn.MINIFS($S:$S,$T:$T,"="&amp;$T699)),""))))&amp;"",IF(Q699="","",""))&amp;""</f>
        <v>u</v>
      </c>
      <c r="AY699" t="str" cm="1">
        <f t="array" ref="AY699">IFERROR(IF(R699&lt;&gt;"",R699,IF(OR($S699="",$T699=""),"",IF($T699&lt;&gt;"",_xlfn._xlws.FILTER(R:R,($BT:$BT=$BT699)*($I:$I=$I699)*($T:$T=$T699)*($S:$S=_xlfn.MINIFS($S:$S,$T:$T,"="&amp;$T699)),""))))&amp;"",IF(R699="","",""))&amp;""</f>
        <v>1</v>
      </c>
      <c r="AZ699" s="6">
        <f t="shared" si="1117"/>
        <v>57</v>
      </c>
      <c r="BA699">
        <f t="shared" ref="BA699:BC699" si="1200">BA698</f>
        <v>18991</v>
      </c>
      <c r="BB699" t="str">
        <f t="shared" si="1200"/>
        <v>Triple J</v>
      </c>
      <c r="BC699" t="str">
        <f t="shared" si="1200"/>
        <v>Velodrome</v>
      </c>
      <c r="BD699" t="str">
        <f t="shared" si="1119"/>
        <v>Possession</v>
      </c>
      <c r="BE699" t="str">
        <f t="shared" si="1120"/>
        <v>PuckRecovery</v>
      </c>
      <c r="BF699" t="str">
        <f t="shared" si="1121"/>
        <v/>
      </c>
      <c r="BG699" t="str">
        <f t="shared" si="1104"/>
        <v>u</v>
      </c>
      <c r="BH699" cm="1">
        <f t="array" aca="1" ref="BH699" ca="1">IFERROR(_xlfn._xlws.FILTER(shifts!A:A,(shifts!B:B=events!Z699)*(shifts!AG:AG&gt;=events!BJ699)*(shifts!AH:AH&lt;=events!BK699)),BH698)</f>
        <v>24</v>
      </c>
      <c r="BI699" s="15">
        <f t="shared" si="1122"/>
        <v>0</v>
      </c>
      <c r="BJ699">
        <f t="shared" si="1123"/>
        <v>474</v>
      </c>
      <c r="BK699">
        <f t="shared" si="1124"/>
        <v>474</v>
      </c>
      <c r="BL699" s="15">
        <f>SUMIFS(BI$2:BI699,K$2:K699,"=Intermission")+SUMIFS(BI$2:BI699,K$2:K699,"=Timeout")</f>
        <v>0</v>
      </c>
      <c r="BM699">
        <f t="shared" si="1125"/>
        <v>0</v>
      </c>
      <c r="BN699" s="19">
        <f t="shared" si="1126"/>
        <v>606</v>
      </c>
      <c r="BO699">
        <f t="shared" si="1127"/>
        <v>601</v>
      </c>
      <c r="BP699" s="17">
        <f t="shared" si="1128"/>
        <v>606</v>
      </c>
      <c r="BQ699" t="str">
        <f t="shared" si="1129"/>
        <v>event_team_player_1</v>
      </c>
      <c r="BR699">
        <f>COUNTIFS(S$3:S699,"="&amp;S699,AH$3:AH699,"="&amp;AH699)</f>
        <v>1</v>
      </c>
      <c r="BS699" t="str">
        <f>IFERROR(VLOOKUP(BA699&amp;BT699&amp;X699,game_rosters!U:W,3,FALSE),"")</f>
        <v>P100105</v>
      </c>
      <c r="BT699" t="str">
        <f t="shared" si="1130"/>
        <v>Velodrome</v>
      </c>
    </row>
    <row r="700" spans="1:72" x14ac:dyDescent="0.2">
      <c r="A700" t="str">
        <f t="shared" si="1131"/>
        <v/>
      </c>
      <c r="E700" s="4"/>
      <c r="F700" s="45"/>
      <c r="G700" s="4"/>
      <c r="H700" s="47"/>
      <c r="I700" s="26">
        <v>41</v>
      </c>
      <c r="J700" s="26" t="str">
        <f t="shared" si="1132"/>
        <v/>
      </c>
      <c r="N700" t="str">
        <f t="shared" si="1150"/>
        <v/>
      </c>
      <c r="Q700" t="str">
        <f t="shared" si="1144"/>
        <v/>
      </c>
      <c r="R700" s="26">
        <v>1</v>
      </c>
      <c r="S700">
        <f>IF(A700=1,MAX($S$2:$S699)+1,IF(OR($I700&lt;&gt;"",A700="x"),$S699,""))</f>
        <v>349</v>
      </c>
      <c r="T700" t="str">
        <f>IF(D700=1,MAX($T$2:$T699)+1,IF(S700=S699,$T699,IF(D700="x",T699,IF(D699="x","",""))))</f>
        <v/>
      </c>
      <c r="U700" t="str">
        <f>IF(B700=1,MAX($U$2:$U699)+1,IF(AND($T700&lt;&gt;"",$T700=$T699),$U699,IF(B700="x",U699,"")))</f>
        <v/>
      </c>
      <c r="V700" t="str">
        <f>IF(C700=1,MAX($V$2:$V699)+1,IF(AND($T700&lt;&gt;"",$T700=$T699),$U699,IF(C700="x",V699,"")))</f>
        <v/>
      </c>
      <c r="W700" t="str" cm="1">
        <f t="array" ref="W700">IFERROR(_xlfn._xlws.FILTER(game_rosters!AC:AC,(game_rosters!J:J=events!X700)*(K700&lt;&gt;"")),"")</f>
        <v/>
      </c>
      <c r="X700" cm="1">
        <f t="array" ref="X700">IF($I700&lt;&gt;"",$I700,INDEX($I$1:$I700,ROW()-COUNTIFS($T$1:$T700,"="&amp;$T700,$S$1:$S700,"&lt;"&amp;$S700)))</f>
        <v>41</v>
      </c>
      <c r="Y700" t="str" cm="1">
        <f t="array" ref="Y700">IFERROR(IF(_xlfn._xlws.FILTER(game_rosters!$J:$J,(game_rosters!$G:$G=events!$AM700)*(game_rosters!$J:$J=events!$X700))&gt;0,1,""),"")</f>
        <v/>
      </c>
      <c r="Z700" s="6">
        <f t="shared" si="1106"/>
        <v>1</v>
      </c>
      <c r="AA700">
        <f t="shared" si="1107"/>
        <v>1349</v>
      </c>
      <c r="AB700" t="str">
        <f t="shared" si="1108"/>
        <v/>
      </c>
      <c r="AC700">
        <f t="shared" si="1109"/>
        <v>1349</v>
      </c>
      <c r="AD700" t="str">
        <f t="shared" si="1110"/>
        <v>7</v>
      </c>
      <c r="AE700" t="str">
        <f t="shared" si="1111"/>
        <v>54</v>
      </c>
      <c r="AF700" t="str">
        <f t="shared" si="1112"/>
        <v/>
      </c>
      <c r="AG700" t="str">
        <f t="shared" si="1113"/>
        <v/>
      </c>
      <c r="AH700" t="str">
        <f t="shared" si="1157"/>
        <v>o</v>
      </c>
      <c r="AI700" t="str">
        <f t="shared" si="1199"/>
        <v>o</v>
      </c>
      <c r="AJ700" t="str">
        <f t="shared" si="1199"/>
        <v>o</v>
      </c>
      <c r="AK700" t="str">
        <f t="shared" si="1159"/>
        <v/>
      </c>
      <c r="AL700" t="str">
        <f t="shared" si="1160"/>
        <v/>
      </c>
      <c r="AM700" t="str">
        <f t="shared" si="1114"/>
        <v>Away</v>
      </c>
      <c r="AN700" t="str">
        <f t="shared" si="1161"/>
        <v>a</v>
      </c>
      <c r="AO700" t="str">
        <f t="shared" si="1162"/>
        <v>d</v>
      </c>
      <c r="AP700" t="str">
        <f t="shared" si="1163"/>
        <v>o</v>
      </c>
      <c r="AQ700" t="str">
        <f>IF(AM700&lt;&gt;"",AM700,IF($AC700=#REF!,#REF!,""))</f>
        <v>Away</v>
      </c>
      <c r="AR700" t="str">
        <f t="shared" si="1164"/>
        <v>a</v>
      </c>
      <c r="AS700" t="str">
        <f t="shared" si="1165"/>
        <v>Defensive</v>
      </c>
      <c r="AT700" t="str">
        <f t="shared" si="1115"/>
        <v/>
      </c>
      <c r="AU700" t="str">
        <f t="shared" si="1116"/>
        <v/>
      </c>
      <c r="AV700" t="str" cm="1">
        <f t="array" ref="AV700">IFERROR(IF(O700&lt;&gt;"",O700,IF(OR($S700="",$T700=""),"",IF(O700&lt;&gt;"",O700,IF($T700&lt;&gt;"",_xlfn._xlws.FILTER(O:O,($BT:$BT=$BT700)*($I:$I=$I700)*($T:$T=$T700)*($S:$S=_xlfn.MINIFS($S:$S,$T:$T,"="&amp;$T700)),"")))))&amp;"",IF(O700="","",""))&amp;""</f>
        <v/>
      </c>
      <c r="AW700" t="str" cm="1">
        <f t="array" ref="AW700">IFERROR(IF(P700&lt;&gt;"",P700,IF(OR($S700="",$T700=""),"",IF($T700&lt;&gt;"",_xlfn._xlws.FILTER(P:P,($BT:$BT=$BT700)*($I:$I=$I700)*($T:$T=$T700)*($S:$S=_xlfn.MINIFS($S:$S,$T:$T,"="&amp;$T700)),""))))&amp;"",IF(P700="","",""))&amp;""</f>
        <v/>
      </c>
      <c r="AX700" t="str" cm="1">
        <f t="array" ref="AX700">IFERROR(IF(Q700&lt;&gt;"",Q700,IF(OR($S700="",$T700=""),"",IF($T700&lt;&gt;"",_xlfn._xlws.FILTER(Q:Q,($BT:$BT=$BT700)*($I:$I=$I700)*($T:$T=$T700)*($S:$S=_xlfn.MINIFS($S:$S,$T:$T,"="&amp;$T700)),""))))&amp;"",IF(Q700="","",""))&amp;""</f>
        <v/>
      </c>
      <c r="AY700" t="str" cm="1">
        <f t="array" ref="AY700">IFERROR(IF(R700&lt;&gt;"",R700,IF(OR($S700="",$T700=""),"",IF($T700&lt;&gt;"",_xlfn._xlws.FILTER(R:R,($BT:$BT=$BT700)*($I:$I=$I700)*($T:$T=$T700)*($S:$S=_xlfn.MINIFS($S:$S,$T:$T,"="&amp;$T700)),""))))&amp;"",IF(R700="","",""))&amp;""</f>
        <v>1</v>
      </c>
      <c r="AZ700" s="6">
        <f t="shared" si="1117"/>
        <v>57</v>
      </c>
      <c r="BA700">
        <f t="shared" ref="BA700:BC700" si="1201">BA699</f>
        <v>18991</v>
      </c>
      <c r="BB700" t="str">
        <f t="shared" si="1201"/>
        <v>Triple J</v>
      </c>
      <c r="BC700" t="str">
        <f t="shared" si="1201"/>
        <v>Velodrome</v>
      </c>
      <c r="BD700" t="str">
        <f t="shared" si="1119"/>
        <v>Possession</v>
      </c>
      <c r="BE700" t="str">
        <f t="shared" si="1120"/>
        <v>PuckRecovery</v>
      </c>
      <c r="BF700" t="str">
        <f t="shared" si="1121"/>
        <v/>
      </c>
      <c r="BG700" t="str">
        <f t="shared" si="1104"/>
        <v>u</v>
      </c>
      <c r="BH700" cm="1">
        <f t="array" aca="1" ref="BH700" ca="1">IFERROR(_xlfn._xlws.FILTER(shifts!A:A,(shifts!B:B=events!Z700)*(shifts!AG:AG&gt;=events!BJ700)*(shifts!AH:AH&lt;=events!BK700)),BH699)</f>
        <v>24</v>
      </c>
      <c r="BI700" s="15">
        <f t="shared" si="1122"/>
        <v>0</v>
      </c>
      <c r="BJ700">
        <f t="shared" si="1123"/>
        <v>474</v>
      </c>
      <c r="BK700">
        <f t="shared" si="1124"/>
        <v>474</v>
      </c>
      <c r="BL700" s="15">
        <f>SUMIFS(BI$2:BI700,K$2:K700,"=Intermission")+SUMIFS(BI$2:BI700,K$2:K700,"=Timeout")</f>
        <v>0</v>
      </c>
      <c r="BM700">
        <f t="shared" si="1125"/>
        <v>0</v>
      </c>
      <c r="BN700" s="19">
        <f t="shared" si="1126"/>
        <v>606</v>
      </c>
      <c r="BO700">
        <f t="shared" si="1127"/>
        <v>601</v>
      </c>
      <c r="BP700" s="17">
        <f t="shared" si="1128"/>
        <v>606</v>
      </c>
      <c r="BQ700" t="str">
        <f t="shared" si="1129"/>
        <v>opp_team_player_1</v>
      </c>
      <c r="BR700">
        <f>COUNTIFS(S$3:S700,"="&amp;S700,AH$3:AH700,"="&amp;AH700)</f>
        <v>1</v>
      </c>
      <c r="BS700" t="str">
        <f>IFERROR(VLOOKUP(BA700&amp;BT700&amp;X700,game_rosters!U:W,3,FALSE),"")</f>
        <v>P100206</v>
      </c>
      <c r="BT700" t="str">
        <f t="shared" si="1130"/>
        <v>Triple J</v>
      </c>
    </row>
    <row r="701" spans="1:72" x14ac:dyDescent="0.2">
      <c r="A701">
        <f t="shared" si="1131"/>
        <v>1</v>
      </c>
      <c r="E701" s="4"/>
      <c r="F701" s="45"/>
      <c r="G701" s="4"/>
      <c r="H701" s="47"/>
      <c r="I701" s="26">
        <v>9</v>
      </c>
      <c r="J701" s="26" t="s">
        <v>368</v>
      </c>
      <c r="K701" t="s">
        <v>230</v>
      </c>
      <c r="L701" t="s">
        <v>388</v>
      </c>
      <c r="M701" t="s">
        <v>431</v>
      </c>
      <c r="N701" t="str">
        <f t="shared" si="1150"/>
        <v/>
      </c>
      <c r="O701" t="s">
        <v>576</v>
      </c>
      <c r="Q701" t="str">
        <f t="shared" si="1144"/>
        <v/>
      </c>
      <c r="R701" s="26">
        <v>1</v>
      </c>
      <c r="S701">
        <f>IF(A701=1,MAX($S$2:$S700)+1,IF(OR($I701&lt;&gt;"",A701="x"),$S700,""))</f>
        <v>350</v>
      </c>
      <c r="T701" t="str">
        <f>IF(D701=1,MAX($T$2:$T700)+1,IF(S701=S700,$T700,IF(D701="x",T700,IF(D700="x","",""))))</f>
        <v/>
      </c>
      <c r="U701" t="str">
        <f>IF(B701=1,MAX($U$2:$U700)+1,IF(AND($T701&lt;&gt;"",$T701=$T700),$U700,IF(B701="x",U700,"")))</f>
        <v/>
      </c>
      <c r="V701" t="str">
        <f>IF(C701=1,MAX($V$2:$V700)+1,IF(AND($T701&lt;&gt;"",$T701=$T700),$U700,IF(C701="x",V700,"")))</f>
        <v/>
      </c>
      <c r="W701" t="str" cm="1">
        <f t="array" ref="W701">IFERROR(_xlfn._xlws.FILTER(game_rosters!AC:AC,(game_rosters!J:J=events!X701)*(K701&lt;&gt;"")),"")</f>
        <v>a</v>
      </c>
      <c r="X701" cm="1">
        <f t="array" ref="X701">IF($I701&lt;&gt;"",$I701,INDEX($I$1:$I701,ROW()-COUNTIFS($T$1:$T701,"="&amp;$T701,$S$1:$S701,"&lt;"&amp;$S701)))</f>
        <v>9</v>
      </c>
      <c r="Y701" cm="1">
        <f t="array" ref="Y701">IFERROR(IF(_xlfn._xlws.FILTER(game_rosters!$J:$J,(game_rosters!$G:$G=events!$AM701)*(game_rosters!$J:$J=events!$X701))&gt;0,1,""),"")</f>
        <v>1</v>
      </c>
      <c r="Z701" s="6">
        <f t="shared" si="1106"/>
        <v>1</v>
      </c>
      <c r="AA701">
        <f t="shared" si="1107"/>
        <v>1350</v>
      </c>
      <c r="AB701" t="str">
        <f t="shared" si="1108"/>
        <v/>
      </c>
      <c r="AC701">
        <f t="shared" si="1109"/>
        <v>1350</v>
      </c>
      <c r="AD701" t="str">
        <f t="shared" si="1110"/>
        <v>7</v>
      </c>
      <c r="AE701" t="str">
        <f t="shared" si="1111"/>
        <v>54</v>
      </c>
      <c r="AF701" t="str">
        <f t="shared" si="1112"/>
        <v/>
      </c>
      <c r="AG701" t="str">
        <f t="shared" si="1113"/>
        <v/>
      </c>
      <c r="AH701" t="str">
        <f t="shared" si="1157"/>
        <v>e</v>
      </c>
      <c r="AI701" t="str">
        <f t="shared" si="1199"/>
        <v>o</v>
      </c>
      <c r="AJ701" t="str">
        <f t="shared" si="1199"/>
        <v>o</v>
      </c>
      <c r="AK701" t="str">
        <f t="shared" si="1159"/>
        <v>d</v>
      </c>
      <c r="AL701" t="str">
        <f t="shared" si="1160"/>
        <v>o</v>
      </c>
      <c r="AM701" t="str">
        <f t="shared" si="1114"/>
        <v>Away</v>
      </c>
      <c r="AN701" t="str">
        <f t="shared" si="1161"/>
        <v>a</v>
      </c>
      <c r="AO701" t="str">
        <f t="shared" si="1162"/>
        <v>d</v>
      </c>
      <c r="AP701" t="str">
        <f t="shared" si="1163"/>
        <v>o</v>
      </c>
      <c r="AQ701" t="str">
        <f>IF(AM701&lt;&gt;"",AM701,IF($AC701=#REF!,#REF!,""))</f>
        <v>Away</v>
      </c>
      <c r="AR701" t="str">
        <f t="shared" si="1164"/>
        <v>a</v>
      </c>
      <c r="AS701" t="str">
        <f t="shared" si="1165"/>
        <v>Offensive</v>
      </c>
      <c r="AT701" t="str">
        <f t="shared" si="1115"/>
        <v/>
      </c>
      <c r="AU701" t="str">
        <f t="shared" si="1116"/>
        <v/>
      </c>
      <c r="AV701" t="str" cm="1">
        <f t="array" ref="AV701">IFERROR(IF(O701&lt;&gt;"",O701,IF(OR($S701="",$T701=""),"",IF(O701&lt;&gt;"",O701,IF($T701&lt;&gt;"",_xlfn._xlws.FILTER(O:O,($BT:$BT=$BT701)*($I:$I=$I701)*($T:$T=$T701)*($S:$S=_xlfn.MINIFS($S:$S,$T:$T,"="&amp;$T701)),"")))))&amp;"",IF(O701="","",""))&amp;""</f>
        <v>SecondTouch</v>
      </c>
      <c r="AW701" t="str" cm="1">
        <f t="array" ref="AW701">IFERROR(IF(P701&lt;&gt;"",P701,IF(OR($S701="",$T701=""),"",IF($T701&lt;&gt;"",_xlfn._xlws.FILTER(P:P,($BT:$BT=$BT701)*($I:$I=$I701)*($T:$T=$T701)*($S:$S=_xlfn.MINIFS($S:$S,$T:$T,"="&amp;$T701)),""))))&amp;"",IF(P701="","",""))&amp;""</f>
        <v/>
      </c>
      <c r="AX701" t="str" cm="1">
        <f t="array" ref="AX701">IFERROR(IF(Q701&lt;&gt;"",Q701,IF(OR($S701="",$T701=""),"",IF($T701&lt;&gt;"",_xlfn._xlws.FILTER(Q:Q,($BT:$BT=$BT701)*($I:$I=$I701)*($T:$T=$T701)*($S:$S=_xlfn.MINIFS($S:$S,$T:$T,"="&amp;$T701)),""))))&amp;"",IF(Q701="","",""))&amp;""</f>
        <v/>
      </c>
      <c r="AY701" t="str" cm="1">
        <f t="array" ref="AY701">IFERROR(IF(R701&lt;&gt;"",R701,IF(OR($S701="",$T701=""),"",IF($T701&lt;&gt;"",_xlfn._xlws.FILTER(R:R,($BT:$BT=$BT701)*($I:$I=$I701)*($T:$T=$T701)*($S:$S=_xlfn.MINIFS($S:$S,$T:$T,"="&amp;$T701)),""))))&amp;"",IF(R701="","",""))&amp;""</f>
        <v>1</v>
      </c>
      <c r="AZ701" s="6">
        <f t="shared" si="1117"/>
        <v>57</v>
      </c>
      <c r="BA701">
        <f t="shared" ref="BA701:BC701" si="1202">BA700</f>
        <v>18991</v>
      </c>
      <c r="BB701" t="str">
        <f t="shared" si="1202"/>
        <v>Triple J</v>
      </c>
      <c r="BC701" t="str">
        <f t="shared" si="1202"/>
        <v>Velodrome</v>
      </c>
      <c r="BD701" t="str">
        <f t="shared" si="1119"/>
        <v>Play</v>
      </c>
      <c r="BE701" t="str">
        <f t="shared" si="1120"/>
        <v>Play_Offensive</v>
      </c>
      <c r="BF701" t="str">
        <f t="shared" si="1121"/>
        <v>Play-Dump/RimInZone</v>
      </c>
      <c r="BG701" t="str">
        <f t="shared" si="1104"/>
        <v/>
      </c>
      <c r="BH701" cm="1">
        <f t="array" aca="1" ref="BH701" ca="1">IFERROR(_xlfn._xlws.FILTER(shifts!A:A,(shifts!B:B=events!Z701)*(shifts!AG:AG&gt;=events!BJ701)*(shifts!AH:AH&lt;=events!BK701)),BH700)</f>
        <v>24</v>
      </c>
      <c r="BI701" s="15">
        <f t="shared" si="1122"/>
        <v>0</v>
      </c>
      <c r="BJ701">
        <f t="shared" si="1123"/>
        <v>474</v>
      </c>
      <c r="BK701">
        <f t="shared" si="1124"/>
        <v>474</v>
      </c>
      <c r="BL701" s="15">
        <f>SUMIFS(BI$2:BI701,K$2:K701,"=Intermission")+SUMIFS(BI$2:BI701,K$2:K701,"=Timeout")</f>
        <v>0</v>
      </c>
      <c r="BM701">
        <f t="shared" si="1125"/>
        <v>0</v>
      </c>
      <c r="BN701" s="19">
        <f t="shared" si="1126"/>
        <v>606</v>
      </c>
      <c r="BO701">
        <f t="shared" si="1127"/>
        <v>601</v>
      </c>
      <c r="BP701" s="17">
        <f t="shared" si="1128"/>
        <v>606</v>
      </c>
      <c r="BQ701" t="str">
        <f t="shared" si="1129"/>
        <v>event_team_player_1</v>
      </c>
      <c r="BR701">
        <f>COUNTIFS(S$3:S701,"="&amp;S701,AH$3:AH701,"="&amp;AH701)</f>
        <v>1</v>
      </c>
      <c r="BS701" t="str">
        <f>IFERROR(VLOOKUP(BA701&amp;BT701&amp;X701,game_rosters!U:W,3,FALSE),"")</f>
        <v>P100105</v>
      </c>
      <c r="BT701" t="str">
        <f t="shared" si="1130"/>
        <v>Velodrome</v>
      </c>
    </row>
    <row r="702" spans="1:72" x14ac:dyDescent="0.2">
      <c r="A702" t="str">
        <f t="shared" si="1131"/>
        <v/>
      </c>
      <c r="E702" s="4"/>
      <c r="F702" s="45"/>
      <c r="G702" s="4"/>
      <c r="H702" s="47"/>
      <c r="I702" s="26">
        <v>41</v>
      </c>
      <c r="J702" s="26" t="str">
        <f t="shared" si="1132"/>
        <v/>
      </c>
      <c r="N702" t="str">
        <f t="shared" si="1150"/>
        <v/>
      </c>
      <c r="Q702" t="str">
        <f t="shared" si="1144"/>
        <v/>
      </c>
      <c r="R702" s="26">
        <v>1</v>
      </c>
      <c r="S702">
        <f>IF(A702=1,MAX($S$2:$S701)+1,IF(OR($I702&lt;&gt;"",A702="x"),$S701,""))</f>
        <v>350</v>
      </c>
      <c r="T702" t="str">
        <f>IF(D702=1,MAX($T$2:$T701)+1,IF(S702=S701,$T701,IF(D702="x",T701,IF(D701="x","",""))))</f>
        <v/>
      </c>
      <c r="U702" t="str">
        <f>IF(B702=1,MAX($U$2:$U701)+1,IF(AND($T702&lt;&gt;"",$T702=$T701),$U701,IF(B702="x",U701,"")))</f>
        <v/>
      </c>
      <c r="V702" t="str">
        <f>IF(C702=1,MAX($V$2:$V701)+1,IF(AND($T702&lt;&gt;"",$T702=$T701),$U701,IF(C702="x",V701,"")))</f>
        <v/>
      </c>
      <c r="W702" t="str" cm="1">
        <f t="array" ref="W702">IFERROR(_xlfn._xlws.FILTER(game_rosters!AC:AC,(game_rosters!J:J=events!X702)*(K702&lt;&gt;"")),"")</f>
        <v/>
      </c>
      <c r="X702" cm="1">
        <f t="array" ref="X702">IF($I702&lt;&gt;"",$I702,INDEX($I$1:$I702,ROW()-COUNTIFS($T$1:$T702,"="&amp;$T702,$S$1:$S702,"&lt;"&amp;$S702)))</f>
        <v>41</v>
      </c>
      <c r="Y702" t="str" cm="1">
        <f t="array" ref="Y702">IFERROR(IF(_xlfn._xlws.FILTER(game_rosters!$J:$J,(game_rosters!$G:$G=events!$AM702)*(game_rosters!$J:$J=events!$X702))&gt;0,1,""),"")</f>
        <v/>
      </c>
      <c r="Z702" s="6">
        <f t="shared" si="1106"/>
        <v>1</v>
      </c>
      <c r="AA702">
        <f t="shared" si="1107"/>
        <v>1350</v>
      </c>
      <c r="AB702" t="str">
        <f t="shared" si="1108"/>
        <v/>
      </c>
      <c r="AC702">
        <f t="shared" si="1109"/>
        <v>1350</v>
      </c>
      <c r="AD702" t="str">
        <f t="shared" si="1110"/>
        <v>7</v>
      </c>
      <c r="AE702" t="str">
        <f t="shared" si="1111"/>
        <v>54</v>
      </c>
      <c r="AF702" t="str">
        <f t="shared" si="1112"/>
        <v/>
      </c>
      <c r="AG702" t="str">
        <f t="shared" si="1113"/>
        <v/>
      </c>
      <c r="AH702" t="str">
        <f t="shared" si="1157"/>
        <v>o</v>
      </c>
      <c r="AI702" t="str">
        <f t="shared" si="1199"/>
        <v>o</v>
      </c>
      <c r="AJ702" t="str">
        <f t="shared" si="1199"/>
        <v>o</v>
      </c>
      <c r="AK702" t="str">
        <f t="shared" si="1159"/>
        <v/>
      </c>
      <c r="AL702" t="str">
        <f t="shared" si="1160"/>
        <v/>
      </c>
      <c r="AM702" t="str">
        <f t="shared" si="1114"/>
        <v>Away</v>
      </c>
      <c r="AN702" t="str">
        <f t="shared" si="1161"/>
        <v>a</v>
      </c>
      <c r="AO702" t="str">
        <f t="shared" si="1162"/>
        <v>d</v>
      </c>
      <c r="AP702" t="str">
        <f t="shared" si="1163"/>
        <v>o</v>
      </c>
      <c r="AQ702" t="str">
        <f>IF(AM702&lt;&gt;"",AM702,IF($AC702=#REF!,#REF!,""))</f>
        <v>Away</v>
      </c>
      <c r="AR702" t="str">
        <f t="shared" si="1164"/>
        <v>a</v>
      </c>
      <c r="AS702" t="str">
        <f t="shared" si="1165"/>
        <v>Defensive</v>
      </c>
      <c r="AT702" t="str">
        <f t="shared" si="1115"/>
        <v/>
      </c>
      <c r="AU702" t="str">
        <f t="shared" si="1116"/>
        <v/>
      </c>
      <c r="AV702" t="str" cm="1">
        <f t="array" ref="AV702">IFERROR(IF(O702&lt;&gt;"",O702,IF(OR($S702="",$T702=""),"",IF(O702&lt;&gt;"",O702,IF($T702&lt;&gt;"",_xlfn._xlws.FILTER(O:O,($BT:$BT=$BT702)*($I:$I=$I702)*($T:$T=$T702)*($S:$S=_xlfn.MINIFS($S:$S,$T:$T,"="&amp;$T702)),"")))))&amp;"",IF(O702="","",""))&amp;""</f>
        <v/>
      </c>
      <c r="AW702" t="str" cm="1">
        <f t="array" ref="AW702">IFERROR(IF(P702&lt;&gt;"",P702,IF(OR($S702="",$T702=""),"",IF($T702&lt;&gt;"",_xlfn._xlws.FILTER(P:P,($BT:$BT=$BT702)*($I:$I=$I702)*($T:$T=$T702)*($S:$S=_xlfn.MINIFS($S:$S,$T:$T,"="&amp;$T702)),""))))&amp;"",IF(P702="","",""))&amp;""</f>
        <v/>
      </c>
      <c r="AX702" t="str" cm="1">
        <f t="array" ref="AX702">IFERROR(IF(Q702&lt;&gt;"",Q702,IF(OR($S702="",$T702=""),"",IF($T702&lt;&gt;"",_xlfn._xlws.FILTER(Q:Q,($BT:$BT=$BT702)*($I:$I=$I702)*($T:$T=$T702)*($S:$S=_xlfn.MINIFS($S:$S,$T:$T,"="&amp;$T702)),""))))&amp;"",IF(Q702="","",""))&amp;""</f>
        <v/>
      </c>
      <c r="AY702" t="str" cm="1">
        <f t="array" ref="AY702">IFERROR(IF(R702&lt;&gt;"",R702,IF(OR($S702="",$T702=""),"",IF($T702&lt;&gt;"",_xlfn._xlws.FILTER(R:R,($BT:$BT=$BT702)*($I:$I=$I702)*($T:$T=$T702)*($S:$S=_xlfn.MINIFS($S:$S,$T:$T,"="&amp;$T702)),""))))&amp;"",IF(R702="","",""))&amp;""</f>
        <v>1</v>
      </c>
      <c r="AZ702" s="6">
        <f t="shared" si="1117"/>
        <v>57</v>
      </c>
      <c r="BA702">
        <f t="shared" ref="BA702:BC702" si="1203">BA701</f>
        <v>18991</v>
      </c>
      <c r="BB702" t="str">
        <f t="shared" si="1203"/>
        <v>Triple J</v>
      </c>
      <c r="BC702" t="str">
        <f t="shared" si="1203"/>
        <v>Velodrome</v>
      </c>
      <c r="BD702" t="str">
        <f t="shared" si="1119"/>
        <v>Play</v>
      </c>
      <c r="BE702" t="str">
        <f t="shared" si="1120"/>
        <v>Play_Offensive</v>
      </c>
      <c r="BF702" t="str">
        <f t="shared" si="1121"/>
        <v>Play-Dump/RimInZone</v>
      </c>
      <c r="BG702" t="str">
        <f t="shared" si="1104"/>
        <v/>
      </c>
      <c r="BH702" cm="1">
        <f t="array" aca="1" ref="BH702" ca="1">IFERROR(_xlfn._xlws.FILTER(shifts!A:A,(shifts!B:B=events!Z702)*(shifts!AG:AG&gt;=events!BJ702)*(shifts!AH:AH&lt;=events!BK702)),BH701)</f>
        <v>24</v>
      </c>
      <c r="BI702" s="15">
        <f t="shared" si="1122"/>
        <v>0</v>
      </c>
      <c r="BJ702">
        <f t="shared" si="1123"/>
        <v>474</v>
      </c>
      <c r="BK702">
        <f t="shared" si="1124"/>
        <v>474</v>
      </c>
      <c r="BL702" s="15">
        <f>SUMIFS(BI$2:BI702,K$2:K702,"=Intermission")+SUMIFS(BI$2:BI702,K$2:K702,"=Timeout")</f>
        <v>0</v>
      </c>
      <c r="BM702">
        <f t="shared" si="1125"/>
        <v>0</v>
      </c>
      <c r="BN702" s="19">
        <f t="shared" si="1126"/>
        <v>606</v>
      </c>
      <c r="BO702">
        <f t="shared" si="1127"/>
        <v>601</v>
      </c>
      <c r="BP702" s="17">
        <f t="shared" si="1128"/>
        <v>606</v>
      </c>
      <c r="BQ702" t="str">
        <f t="shared" si="1129"/>
        <v>opp_team_player_1</v>
      </c>
      <c r="BR702">
        <f>COUNTIFS(S$3:S702,"="&amp;S702,AH$3:AH702,"="&amp;AH702)</f>
        <v>1</v>
      </c>
      <c r="BS702" t="str">
        <f>IFERROR(VLOOKUP(BA702&amp;BT702&amp;X702,game_rosters!U:W,3,FALSE),"")</f>
        <v>P100206</v>
      </c>
      <c r="BT702" t="str">
        <f t="shared" si="1130"/>
        <v>Triple J</v>
      </c>
    </row>
    <row r="703" spans="1:72" x14ac:dyDescent="0.2">
      <c r="A703">
        <f t="shared" si="1131"/>
        <v>1</v>
      </c>
      <c r="E703" s="4"/>
      <c r="F703" s="45" t="s">
        <v>751</v>
      </c>
      <c r="G703" s="4"/>
      <c r="H703" s="47" t="s">
        <v>737</v>
      </c>
      <c r="I703" s="26">
        <v>70</v>
      </c>
      <c r="J703" s="26" t="s">
        <v>368</v>
      </c>
      <c r="K703" t="s">
        <v>13</v>
      </c>
      <c r="L703" t="s">
        <v>587</v>
      </c>
      <c r="N703" t="s">
        <v>595</v>
      </c>
      <c r="O703" t="s">
        <v>904</v>
      </c>
      <c r="Q703" t="str">
        <f t="shared" si="1144"/>
        <v>s</v>
      </c>
      <c r="S703">
        <f>IF(A703=1,MAX($S$2:$S702)+1,IF(OR($I703&lt;&gt;"",A703="x"),$S702,""))</f>
        <v>351</v>
      </c>
      <c r="T703" t="str">
        <f>IF(D703=1,MAX($T$2:$T702)+1,IF(S703=S702,$T702,IF(D703="x",T702,IF(D702="x","",""))))</f>
        <v/>
      </c>
      <c r="U703" t="str">
        <f>IF(B703=1,MAX($U$2:$U702)+1,IF(AND($T703&lt;&gt;"",$T703=$T702),$U702,IF(B703="x",U702,"")))</f>
        <v/>
      </c>
      <c r="V703" t="str">
        <f>IF(C703=1,MAX($V$2:$V702)+1,IF(AND($T703&lt;&gt;"",$T703=$T702),$U702,IF(C703="x",V702,"")))</f>
        <v/>
      </c>
      <c r="W703" t="str" cm="1">
        <f t="array" ref="W703">IFERROR(_xlfn._xlws.FILTER(game_rosters!AC:AC,(game_rosters!J:J=events!X703)*(K703&lt;&gt;"")),"")</f>
        <v>a</v>
      </c>
      <c r="X703" cm="1">
        <f t="array" ref="X703">IF($I703&lt;&gt;"",$I703,INDEX($I$1:$I703,ROW()-COUNTIFS($T$1:$T703,"="&amp;$T703,$S$1:$S703,"&lt;"&amp;$S703)))</f>
        <v>70</v>
      </c>
      <c r="Y703" cm="1">
        <f t="array" ref="Y703">IFERROR(IF(_xlfn._xlws.FILTER(game_rosters!$J:$J,(game_rosters!$G:$G=events!$AM703)*(game_rosters!$J:$J=events!$X703))&gt;0,1,""),"")</f>
        <v>1</v>
      </c>
      <c r="Z703" s="6">
        <f t="shared" si="1106"/>
        <v>1</v>
      </c>
      <c r="AA703">
        <f t="shared" si="1107"/>
        <v>1351</v>
      </c>
      <c r="AB703" t="str">
        <f t="shared" si="1108"/>
        <v/>
      </c>
      <c r="AC703">
        <f t="shared" si="1109"/>
        <v>1351</v>
      </c>
      <c r="AD703" t="str">
        <f t="shared" si="1110"/>
        <v>7</v>
      </c>
      <c r="AE703" t="str">
        <f t="shared" si="1111"/>
        <v>49</v>
      </c>
      <c r="AF703" t="str">
        <f t="shared" si="1112"/>
        <v>7</v>
      </c>
      <c r="AG703" t="str">
        <f t="shared" si="1113"/>
        <v>46</v>
      </c>
      <c r="AH703" t="str">
        <f t="shared" si="1157"/>
        <v>e</v>
      </c>
      <c r="AI703" t="str">
        <f t="shared" si="1199"/>
        <v>o</v>
      </c>
      <c r="AJ703" t="str">
        <f t="shared" si="1199"/>
        <v>o</v>
      </c>
      <c r="AK703" t="str">
        <f t="shared" si="1159"/>
        <v>d</v>
      </c>
      <c r="AL703" t="str">
        <f t="shared" si="1160"/>
        <v>o</v>
      </c>
      <c r="AM703" t="str">
        <f t="shared" si="1114"/>
        <v>Away</v>
      </c>
      <c r="AN703" t="str">
        <f t="shared" si="1161"/>
        <v>a</v>
      </c>
      <c r="AO703" t="str">
        <f t="shared" si="1162"/>
        <v>d</v>
      </c>
      <c r="AP703" t="str">
        <f t="shared" si="1163"/>
        <v>o</v>
      </c>
      <c r="AQ703" t="str">
        <f>IF(AM703&lt;&gt;"",AM703,IF($AC703=#REF!,#REF!,""))</f>
        <v>Away</v>
      </c>
      <c r="AR703" t="str">
        <f t="shared" si="1164"/>
        <v>a</v>
      </c>
      <c r="AS703" t="str">
        <f t="shared" si="1165"/>
        <v>Offensive</v>
      </c>
      <c r="AT703" t="str">
        <f t="shared" si="1115"/>
        <v/>
      </c>
      <c r="AU703" t="str">
        <f t="shared" si="1116"/>
        <v/>
      </c>
      <c r="AV703" t="str" cm="1">
        <f t="array" ref="AV703">IFERROR(IF(O703&lt;&gt;"",O703,IF(OR($S703="",$T703=""),"",IF(O703&lt;&gt;"",O703,IF($T703&lt;&gt;"",_xlfn._xlws.FILTER(O:O,($BT:$BT=$BT703)*($I:$I=$I703)*($T:$T=$T703)*($S:$S=_xlfn.MINIFS($S:$S,$T:$T,"="&amp;$T703)),"")))))&amp;"",IF(O703="","",""))&amp;""</f>
        <v>PuckRecoveryRetreivalDumpIn</v>
      </c>
      <c r="AW703" t="str" cm="1">
        <f t="array" ref="AW703">IFERROR(IF(P703&lt;&gt;"",P703,IF(OR($S703="",$T703=""),"",IF($T703&lt;&gt;"",_xlfn._xlws.FILTER(P:P,($BT:$BT=$BT703)*($I:$I=$I703)*($T:$T=$T703)*($S:$S=_xlfn.MINIFS($S:$S,$T:$T,"="&amp;$T703)),""))))&amp;"",IF(P703="","",""))&amp;""</f>
        <v/>
      </c>
      <c r="AX703" t="str" cm="1">
        <f t="array" ref="AX703">IFERROR(IF(Q703&lt;&gt;"",Q703,IF(OR($S703="",$T703=""),"",IF($T703&lt;&gt;"",_xlfn._xlws.FILTER(Q:Q,($BT:$BT=$BT703)*($I:$I=$I703)*($T:$T=$T703)*($S:$S=_xlfn.MINIFS($S:$S,$T:$T,"="&amp;$T703)),""))))&amp;"",IF(Q703="","",""))&amp;""</f>
        <v>s</v>
      </c>
      <c r="AY703" t="str" cm="1">
        <f t="array" ref="AY703">IFERROR(IF(R703&lt;&gt;"",R703,IF(OR($S703="",$T703=""),"",IF($T703&lt;&gt;"",_xlfn._xlws.FILTER(R:R,($BT:$BT=$BT703)*($I:$I=$I703)*($T:$T=$T703)*($S:$S=_xlfn.MINIFS($S:$S,$T:$T,"="&amp;$T703)),""))))&amp;"",IF(R703="","",""))&amp;""</f>
        <v/>
      </c>
      <c r="AZ703" s="6">
        <f t="shared" si="1117"/>
        <v>57</v>
      </c>
      <c r="BA703">
        <f t="shared" ref="BA703:BC703" si="1204">BA702</f>
        <v>18991</v>
      </c>
      <c r="BB703" t="str">
        <f t="shared" si="1204"/>
        <v>Triple J</v>
      </c>
      <c r="BC703" t="str">
        <f t="shared" si="1204"/>
        <v>Velodrome</v>
      </c>
      <c r="BD703" t="str">
        <f t="shared" si="1119"/>
        <v>Possession</v>
      </c>
      <c r="BE703" t="str">
        <f t="shared" si="1120"/>
        <v>PuckRecovery</v>
      </c>
      <c r="BF703" t="str">
        <f t="shared" si="1121"/>
        <v/>
      </c>
      <c r="BG703" t="str">
        <f t="shared" si="1104"/>
        <v>s</v>
      </c>
      <c r="BH703" cm="1">
        <f t="array" aca="1" ref="BH703" ca="1">IFERROR(_xlfn._xlws.FILTER(shifts!A:A,(shifts!B:B=events!Z703)*(shifts!AG:AG&gt;=events!BJ703)*(shifts!AH:AH&lt;=events!BK703)),BH702)</f>
        <v>24</v>
      </c>
      <c r="BI703" s="15">
        <f t="shared" si="1122"/>
        <v>3</v>
      </c>
      <c r="BJ703">
        <f t="shared" si="1123"/>
        <v>469</v>
      </c>
      <c r="BK703">
        <f t="shared" si="1124"/>
        <v>466</v>
      </c>
      <c r="BL703" s="15">
        <f>SUMIFS(BI$2:BI703,K$2:K703,"=Intermission")+SUMIFS(BI$2:BI703,K$2:K703,"=Timeout")</f>
        <v>0</v>
      </c>
      <c r="BM703">
        <f t="shared" si="1125"/>
        <v>0</v>
      </c>
      <c r="BN703" s="19">
        <f t="shared" si="1126"/>
        <v>611</v>
      </c>
      <c r="BO703">
        <f t="shared" si="1127"/>
        <v>606</v>
      </c>
      <c r="BP703" s="17">
        <f t="shared" si="1128"/>
        <v>614</v>
      </c>
      <c r="BQ703" t="str">
        <f t="shared" si="1129"/>
        <v>event_team_player_1</v>
      </c>
      <c r="BR703">
        <f>COUNTIFS(S$3:S703,"="&amp;S703,AH$3:AH703,"="&amp;AH703)</f>
        <v>1</v>
      </c>
      <c r="BS703" t="str">
        <f>IFERROR(VLOOKUP(BA703&amp;BT703&amp;X703,game_rosters!U:W,3,FALSE),"")</f>
        <v>P100001</v>
      </c>
      <c r="BT703" t="str">
        <f t="shared" si="1130"/>
        <v>Velodrome</v>
      </c>
    </row>
    <row r="704" spans="1:72" x14ac:dyDescent="0.2">
      <c r="A704" t="str">
        <f t="shared" si="1131"/>
        <v/>
      </c>
      <c r="E704" s="4"/>
      <c r="F704" s="45"/>
      <c r="G704" s="4"/>
      <c r="H704" s="47"/>
      <c r="I704" s="26">
        <v>19</v>
      </c>
      <c r="J704" s="26" t="str">
        <f t="shared" si="1132"/>
        <v/>
      </c>
      <c r="N704" t="str">
        <f t="shared" si="1150"/>
        <v/>
      </c>
      <c r="Q704" t="str">
        <f t="shared" si="1144"/>
        <v/>
      </c>
      <c r="S704">
        <f>IF(A704=1,MAX($S$2:$S703)+1,IF(OR($I704&lt;&gt;"",A704="x"),$S703,""))</f>
        <v>351</v>
      </c>
      <c r="T704" t="str">
        <f>IF(D704=1,MAX($T$2:$T703)+1,IF(S704=S703,$T703,IF(D704="x",T703,IF(D703="x","",""))))</f>
        <v/>
      </c>
      <c r="U704" t="str">
        <f>IF(B704=1,MAX($U$2:$U703)+1,IF(AND($T704&lt;&gt;"",$T704=$T703),$U703,IF(B704="x",U703,"")))</f>
        <v/>
      </c>
      <c r="V704" t="str">
        <f>IF(C704=1,MAX($V$2:$V703)+1,IF(AND($T704&lt;&gt;"",$T704=$T703),$U703,IF(C704="x",V703,"")))</f>
        <v/>
      </c>
      <c r="W704" t="str" cm="1">
        <f t="array" ref="W704">IFERROR(_xlfn._xlws.FILTER(game_rosters!AC:AC,(game_rosters!J:J=events!X704)*(K704&lt;&gt;"")),"")</f>
        <v/>
      </c>
      <c r="X704" cm="1">
        <f t="array" ref="X704">IF($I704&lt;&gt;"",$I704,INDEX($I$1:$I704,ROW()-COUNTIFS($T$1:$T704,"="&amp;$T704,$S$1:$S704,"&lt;"&amp;$S704)))</f>
        <v>19</v>
      </c>
      <c r="Y704" t="str" cm="1">
        <f t="array" ref="Y704">IFERROR(IF(_xlfn._xlws.FILTER(game_rosters!$J:$J,(game_rosters!$G:$G=events!$AM704)*(game_rosters!$J:$J=events!$X704))&gt;0,1,""),"")</f>
        <v/>
      </c>
      <c r="Z704" s="6">
        <f t="shared" si="1106"/>
        <v>1</v>
      </c>
      <c r="AA704">
        <f t="shared" si="1107"/>
        <v>1351</v>
      </c>
      <c r="AB704" t="str">
        <f t="shared" si="1108"/>
        <v/>
      </c>
      <c r="AC704">
        <f t="shared" si="1109"/>
        <v>1351</v>
      </c>
      <c r="AD704" t="str">
        <f t="shared" si="1110"/>
        <v>7</v>
      </c>
      <c r="AE704" t="str">
        <f t="shared" si="1111"/>
        <v>49</v>
      </c>
      <c r="AF704" t="str">
        <f t="shared" si="1112"/>
        <v>7</v>
      </c>
      <c r="AG704" t="str">
        <f t="shared" si="1113"/>
        <v>46</v>
      </c>
      <c r="AH704" t="str">
        <f t="shared" si="1157"/>
        <v>o</v>
      </c>
      <c r="AI704" t="str">
        <f t="shared" si="1199"/>
        <v>o</v>
      </c>
      <c r="AJ704" t="str">
        <f t="shared" si="1199"/>
        <v>o</v>
      </c>
      <c r="AK704" t="str">
        <f t="shared" si="1159"/>
        <v/>
      </c>
      <c r="AL704" t="str">
        <f t="shared" si="1160"/>
        <v/>
      </c>
      <c r="AM704" t="str">
        <f t="shared" si="1114"/>
        <v>Away</v>
      </c>
      <c r="AN704" t="str">
        <f t="shared" si="1161"/>
        <v>a</v>
      </c>
      <c r="AO704" t="str">
        <f t="shared" si="1162"/>
        <v>d</v>
      </c>
      <c r="AP704" t="str">
        <f t="shared" si="1163"/>
        <v>o</v>
      </c>
      <c r="AQ704" t="str">
        <f>IF(AM704&lt;&gt;"",AM704,IF($AC704=#REF!,#REF!,""))</f>
        <v>Away</v>
      </c>
      <c r="AR704" t="str">
        <f t="shared" si="1164"/>
        <v>a</v>
      </c>
      <c r="AS704" t="str">
        <f t="shared" si="1165"/>
        <v>Defensive</v>
      </c>
      <c r="AT704" t="str">
        <f t="shared" si="1115"/>
        <v/>
      </c>
      <c r="AU704" t="str">
        <f t="shared" si="1116"/>
        <v/>
      </c>
      <c r="AV704" t="str" cm="1">
        <f t="array" ref="AV704">IFERROR(IF(O704&lt;&gt;"",O704,IF(OR($S704="",$T704=""),"",IF(O704&lt;&gt;"",O704,IF($T704&lt;&gt;"",_xlfn._xlws.FILTER(O:O,($BT:$BT=$BT704)*($I:$I=$I704)*($T:$T=$T704)*($S:$S=_xlfn.MINIFS($S:$S,$T:$T,"="&amp;$T704)),"")))))&amp;"",IF(O704="","",""))&amp;""</f>
        <v/>
      </c>
      <c r="AW704" t="str" cm="1">
        <f t="array" ref="AW704">IFERROR(IF(P704&lt;&gt;"",P704,IF(OR($S704="",$T704=""),"",IF($T704&lt;&gt;"",_xlfn._xlws.FILTER(P:P,($BT:$BT=$BT704)*($I:$I=$I704)*($T:$T=$T704)*($S:$S=_xlfn.MINIFS($S:$S,$T:$T,"="&amp;$T704)),""))))&amp;"",IF(P704="","",""))&amp;""</f>
        <v/>
      </c>
      <c r="AX704" t="str" cm="1">
        <f t="array" ref="AX704">IFERROR(IF(Q704&lt;&gt;"",Q704,IF(OR($S704="",$T704=""),"",IF($T704&lt;&gt;"",_xlfn._xlws.FILTER(Q:Q,($BT:$BT=$BT704)*($I:$I=$I704)*($T:$T=$T704)*($S:$S=_xlfn.MINIFS($S:$S,$T:$T,"="&amp;$T704)),""))))&amp;"",IF(Q704="","",""))&amp;""</f>
        <v/>
      </c>
      <c r="AY704" t="str" cm="1">
        <f t="array" ref="AY704">IFERROR(IF(R704&lt;&gt;"",R704,IF(OR($S704="",$T704=""),"",IF($T704&lt;&gt;"",_xlfn._xlws.FILTER(R:R,($BT:$BT=$BT704)*($I:$I=$I704)*($T:$T=$T704)*($S:$S=_xlfn.MINIFS($S:$S,$T:$T,"="&amp;$T704)),""))))&amp;"",IF(R704="","",""))&amp;""</f>
        <v/>
      </c>
      <c r="AZ704" s="6">
        <f t="shared" si="1117"/>
        <v>57</v>
      </c>
      <c r="BA704">
        <f t="shared" ref="BA704:BC704" si="1205">BA703</f>
        <v>18991</v>
      </c>
      <c r="BB704" t="str">
        <f t="shared" si="1205"/>
        <v>Triple J</v>
      </c>
      <c r="BC704" t="str">
        <f t="shared" si="1205"/>
        <v>Velodrome</v>
      </c>
      <c r="BD704" t="str">
        <f t="shared" si="1119"/>
        <v>Possession</v>
      </c>
      <c r="BE704" t="str">
        <f t="shared" si="1120"/>
        <v>PuckRecovery</v>
      </c>
      <c r="BF704" t="str">
        <f t="shared" si="1121"/>
        <v/>
      </c>
      <c r="BG704" t="str">
        <f t="shared" si="1104"/>
        <v>s</v>
      </c>
      <c r="BH704" cm="1">
        <f t="array" aca="1" ref="BH704" ca="1">IFERROR(_xlfn._xlws.FILTER(shifts!A:A,(shifts!B:B=events!Z704)*(shifts!AG:AG&gt;=events!BJ704)*(shifts!AH:AH&lt;=events!BK704)),BH703)</f>
        <v>24</v>
      </c>
      <c r="BI704" s="15">
        <f t="shared" si="1122"/>
        <v>3</v>
      </c>
      <c r="BJ704">
        <f t="shared" si="1123"/>
        <v>469</v>
      </c>
      <c r="BK704">
        <f t="shared" si="1124"/>
        <v>466</v>
      </c>
      <c r="BL704" s="15">
        <f>SUMIFS(BI$2:BI704,K$2:K704,"=Intermission")+SUMIFS(BI$2:BI704,K$2:K704,"=Timeout")</f>
        <v>0</v>
      </c>
      <c r="BM704">
        <f t="shared" si="1125"/>
        <v>0</v>
      </c>
      <c r="BN704" s="19">
        <f t="shared" si="1126"/>
        <v>611</v>
      </c>
      <c r="BO704">
        <f t="shared" si="1127"/>
        <v>606</v>
      </c>
      <c r="BP704" s="17">
        <f t="shared" si="1128"/>
        <v>614</v>
      </c>
      <c r="BQ704" t="str">
        <f t="shared" si="1129"/>
        <v>opp_team_player_1</v>
      </c>
      <c r="BR704">
        <f>COUNTIFS(S$3:S704,"="&amp;S704,AH$3:AH704,"="&amp;AH704)</f>
        <v>1</v>
      </c>
      <c r="BS704" t="str">
        <f>IFERROR(VLOOKUP(BA704&amp;BT704&amp;X704,game_rosters!U:W,3,FALSE),"")</f>
        <v>P100089</v>
      </c>
      <c r="BT704" t="str">
        <f t="shared" si="1130"/>
        <v>Triple J</v>
      </c>
    </row>
    <row r="705" spans="1:72" x14ac:dyDescent="0.2">
      <c r="A705" t="str">
        <f t="shared" si="1131"/>
        <v/>
      </c>
      <c r="E705" s="4"/>
      <c r="F705" s="45"/>
      <c r="G705" s="4"/>
      <c r="H705" s="47"/>
      <c r="I705" s="26">
        <v>73</v>
      </c>
      <c r="J705" s="26" t="str">
        <f t="shared" si="1132"/>
        <v/>
      </c>
      <c r="N705" t="str">
        <f t="shared" si="1150"/>
        <v/>
      </c>
      <c r="O705" t="s">
        <v>567</v>
      </c>
      <c r="Q705" t="str">
        <f t="shared" si="1144"/>
        <v/>
      </c>
      <c r="S705">
        <f>IF(A705=1,MAX($S$2:$S704)+1,IF(OR($I705&lt;&gt;"",A705="x"),$S704,""))</f>
        <v>351</v>
      </c>
      <c r="T705" t="str">
        <f>IF(D705=1,MAX($T$2:$T704)+1,IF(S705=S704,$T704,IF(D705="x",T704,IF(D704="x","",""))))</f>
        <v/>
      </c>
      <c r="U705" t="str">
        <f>IF(B705=1,MAX($U$2:$U704)+1,IF(AND($T705&lt;&gt;"",$T705=$T704),$U704,IF(B705="x",U704,"")))</f>
        <v/>
      </c>
      <c r="V705" t="str">
        <f>IF(C705=1,MAX($V$2:$V704)+1,IF(AND($T705&lt;&gt;"",$T705=$T704),$U704,IF(C705="x",V704,"")))</f>
        <v/>
      </c>
      <c r="W705" t="str" cm="1">
        <f t="array" ref="W705">IFERROR(_xlfn._xlws.FILTER(game_rosters!AC:AC,(game_rosters!J:J=events!X705)*(K705&lt;&gt;"")),"")</f>
        <v/>
      </c>
      <c r="X705" cm="1">
        <f t="array" ref="X705">IF($I705&lt;&gt;"",$I705,INDEX($I$1:$I705,ROW()-COUNTIFS($T$1:$T705,"="&amp;$T705,$S$1:$S705,"&lt;"&amp;$S705)))</f>
        <v>73</v>
      </c>
      <c r="Y705" t="str" cm="1">
        <f t="array" ref="Y705">IFERROR(IF(_xlfn._xlws.FILTER(game_rosters!$J:$J,(game_rosters!$G:$G=events!$AM705)*(game_rosters!$J:$J=events!$X705))&gt;0,1,""),"")</f>
        <v/>
      </c>
      <c r="Z705" s="6">
        <f t="shared" si="1106"/>
        <v>1</v>
      </c>
      <c r="AA705">
        <f t="shared" si="1107"/>
        <v>1351</v>
      </c>
      <c r="AB705" t="str">
        <f t="shared" si="1108"/>
        <v/>
      </c>
      <c r="AC705">
        <f t="shared" si="1109"/>
        <v>1351</v>
      </c>
      <c r="AD705" t="str">
        <f t="shared" si="1110"/>
        <v>7</v>
      </c>
      <c r="AE705" t="str">
        <f t="shared" si="1111"/>
        <v>49</v>
      </c>
      <c r="AF705" t="str">
        <f t="shared" si="1112"/>
        <v>7</v>
      </c>
      <c r="AG705" t="str">
        <f t="shared" si="1113"/>
        <v>46</v>
      </c>
      <c r="AH705" t="str">
        <f t="shared" si="1157"/>
        <v>o</v>
      </c>
      <c r="AI705" t="str">
        <f t="shared" si="1199"/>
        <v>o</v>
      </c>
      <c r="AJ705" t="str">
        <f t="shared" si="1199"/>
        <v>o</v>
      </c>
      <c r="AK705" t="str">
        <f t="shared" si="1159"/>
        <v/>
      </c>
      <c r="AL705" t="str">
        <f t="shared" si="1160"/>
        <v/>
      </c>
      <c r="AM705" t="str">
        <f t="shared" si="1114"/>
        <v>Away</v>
      </c>
      <c r="AN705" t="str">
        <f t="shared" si="1161"/>
        <v>a</v>
      </c>
      <c r="AO705" t="str">
        <f t="shared" si="1162"/>
        <v>d</v>
      </c>
      <c r="AP705" t="str">
        <f t="shared" si="1163"/>
        <v>o</v>
      </c>
      <c r="AQ705" t="str">
        <f>IF(AM705&lt;&gt;"",AM705,IF($AC705=#REF!,#REF!,""))</f>
        <v>Away</v>
      </c>
      <c r="AR705" t="str">
        <f t="shared" si="1164"/>
        <v>a</v>
      </c>
      <c r="AS705" t="str">
        <f t="shared" si="1165"/>
        <v>Defensive</v>
      </c>
      <c r="AT705" t="str">
        <f t="shared" si="1115"/>
        <v/>
      </c>
      <c r="AU705" t="str">
        <f t="shared" si="1116"/>
        <v/>
      </c>
      <c r="AV705" t="str" cm="1">
        <f t="array" ref="AV705">IFERROR(IF(O705&lt;&gt;"",O705,IF(OR($S705="",$T705=""),"",IF(O705&lt;&gt;"",O705,IF($T705&lt;&gt;"",_xlfn._xlws.FILTER(O:O,($BT:$BT=$BT705)*($I:$I=$I705)*($T:$T=$T705)*($S:$S=_xlfn.MINIFS($S:$S,$T:$T,"="&amp;$T705)),"")))))&amp;"",IF(O705="","",""))&amp;""</f>
        <v>StickCheck</v>
      </c>
      <c r="AW705" t="str" cm="1">
        <f t="array" ref="AW705">IFERROR(IF(P705&lt;&gt;"",P705,IF(OR($S705="",$T705=""),"",IF($T705&lt;&gt;"",_xlfn._xlws.FILTER(P:P,($BT:$BT=$BT705)*($I:$I=$I705)*($T:$T=$T705)*($S:$S=_xlfn.MINIFS($S:$S,$T:$T,"="&amp;$T705)),""))))&amp;"",IF(P705="","",""))&amp;""</f>
        <v/>
      </c>
      <c r="AX705" t="str" cm="1">
        <f t="array" ref="AX705">IFERROR(IF(Q705&lt;&gt;"",Q705,IF(OR($S705="",$T705=""),"",IF($T705&lt;&gt;"",_xlfn._xlws.FILTER(Q:Q,($BT:$BT=$BT705)*($I:$I=$I705)*($T:$T=$T705)*($S:$S=_xlfn.MINIFS($S:$S,$T:$T,"="&amp;$T705)),""))))&amp;"",IF(Q705="","",""))&amp;""</f>
        <v/>
      </c>
      <c r="AY705" t="str" cm="1">
        <f t="array" ref="AY705">IFERROR(IF(R705&lt;&gt;"",R705,IF(OR($S705="",$T705=""),"",IF($T705&lt;&gt;"",_xlfn._xlws.FILTER(R:R,($BT:$BT=$BT705)*($I:$I=$I705)*($T:$T=$T705)*($S:$S=_xlfn.MINIFS($S:$S,$T:$T,"="&amp;$T705)),""))))&amp;"",IF(R705="","",""))&amp;""</f>
        <v/>
      </c>
      <c r="AZ705" s="6">
        <f t="shared" si="1117"/>
        <v>57</v>
      </c>
      <c r="BA705">
        <f t="shared" ref="BA705:BC705" si="1206">BA704</f>
        <v>18991</v>
      </c>
      <c r="BB705" t="str">
        <f t="shared" si="1206"/>
        <v>Triple J</v>
      </c>
      <c r="BC705" t="str">
        <f t="shared" si="1206"/>
        <v>Velodrome</v>
      </c>
      <c r="BD705" t="str">
        <f t="shared" si="1119"/>
        <v>Possession</v>
      </c>
      <c r="BE705" t="str">
        <f t="shared" si="1120"/>
        <v>PuckRecovery</v>
      </c>
      <c r="BF705" t="str">
        <f t="shared" si="1121"/>
        <v/>
      </c>
      <c r="BG705" t="str">
        <f t="shared" si="1104"/>
        <v>s</v>
      </c>
      <c r="BH705" cm="1">
        <f t="array" aca="1" ref="BH705" ca="1">IFERROR(_xlfn._xlws.FILTER(shifts!A:A,(shifts!B:B=events!Z705)*(shifts!AG:AG&gt;=events!BJ705)*(shifts!AH:AH&lt;=events!BK705)),BH704)</f>
        <v>24</v>
      </c>
      <c r="BI705" s="15">
        <f t="shared" si="1122"/>
        <v>3</v>
      </c>
      <c r="BJ705">
        <f t="shared" si="1123"/>
        <v>469</v>
      </c>
      <c r="BK705">
        <f t="shared" si="1124"/>
        <v>466</v>
      </c>
      <c r="BL705" s="15">
        <f>SUMIFS(BI$2:BI705,K$2:K705,"=Intermission")+SUMIFS(BI$2:BI705,K$2:K705,"=Timeout")</f>
        <v>0</v>
      </c>
      <c r="BM705">
        <f t="shared" si="1125"/>
        <v>0</v>
      </c>
      <c r="BN705" s="19">
        <f t="shared" si="1126"/>
        <v>611</v>
      </c>
      <c r="BO705">
        <f t="shared" si="1127"/>
        <v>606</v>
      </c>
      <c r="BP705" s="17">
        <f t="shared" si="1128"/>
        <v>614</v>
      </c>
      <c r="BQ705" t="str">
        <f t="shared" si="1129"/>
        <v>opp_team_player_2</v>
      </c>
      <c r="BR705">
        <f>COUNTIFS(S$3:S705,"="&amp;S705,AH$3:AH705,"="&amp;AH705)</f>
        <v>2</v>
      </c>
      <c r="BS705" t="str">
        <f>IFERROR(VLOOKUP(BA705&amp;BT705&amp;X705,game_rosters!U:W,3,FALSE),"")</f>
        <v>P100021</v>
      </c>
      <c r="BT705" t="str">
        <f t="shared" si="1130"/>
        <v>Triple J</v>
      </c>
    </row>
    <row r="706" spans="1:72" x14ac:dyDescent="0.2">
      <c r="A706">
        <f t="shared" si="1131"/>
        <v>1</v>
      </c>
      <c r="E706" s="4"/>
      <c r="F706" s="45"/>
      <c r="G706" s="4"/>
      <c r="H706" s="47"/>
      <c r="I706" s="26">
        <v>70</v>
      </c>
      <c r="J706" s="26" t="s">
        <v>368</v>
      </c>
      <c r="K706" t="s">
        <v>7</v>
      </c>
      <c r="L706" t="s">
        <v>172</v>
      </c>
      <c r="M706" t="s">
        <v>68</v>
      </c>
      <c r="N706" t="str">
        <f t="shared" si="1150"/>
        <v>s</v>
      </c>
      <c r="Q706" t="str">
        <f t="shared" si="1144"/>
        <v/>
      </c>
      <c r="S706">
        <f>IF(A706=1,MAX($S$2:$S705)+1,IF(OR($I706&lt;&gt;"",A706="x"),$S705,""))</f>
        <v>352</v>
      </c>
      <c r="T706" t="str">
        <f>IF(D706=1,MAX($T$2:$T705)+1,IF(S706=S705,$T705,IF(D706="x",T705,IF(D705="x","",""))))</f>
        <v/>
      </c>
      <c r="U706" t="str">
        <f>IF(B706=1,MAX($U$2:$U705)+1,IF(AND($T706&lt;&gt;"",$T706=$T705),$U705,IF(B706="x",U705,"")))</f>
        <v/>
      </c>
      <c r="V706" t="str">
        <f>IF(C706=1,MAX($V$2:$V705)+1,IF(AND($T706&lt;&gt;"",$T706=$T705),$U705,IF(C706="x",V705,"")))</f>
        <v/>
      </c>
      <c r="W706" t="str" cm="1">
        <f t="array" ref="W706">IFERROR(_xlfn._xlws.FILTER(game_rosters!AC:AC,(game_rosters!J:J=events!X706)*(K706&lt;&gt;"")),"")</f>
        <v>a</v>
      </c>
      <c r="X706" cm="1">
        <f t="array" ref="X706">IF($I706&lt;&gt;"",$I706,INDEX($I$1:$I706,ROW()-COUNTIFS($T$1:$T706,"="&amp;$T706,$S$1:$S706,"&lt;"&amp;$S706)))</f>
        <v>70</v>
      </c>
      <c r="Y706" cm="1">
        <f t="array" ref="Y706">IFERROR(IF(_xlfn._xlws.FILTER(game_rosters!$J:$J,(game_rosters!$G:$G=events!$AM706)*(game_rosters!$J:$J=events!$X706))&gt;0,1,""),"")</f>
        <v>1</v>
      </c>
      <c r="Z706" s="6">
        <f t="shared" si="1106"/>
        <v>1</v>
      </c>
      <c r="AA706">
        <f t="shared" si="1107"/>
        <v>1352</v>
      </c>
      <c r="AB706" t="str">
        <f t="shared" si="1108"/>
        <v/>
      </c>
      <c r="AC706">
        <f t="shared" si="1109"/>
        <v>1352</v>
      </c>
      <c r="AD706" t="str">
        <f t="shared" si="1110"/>
        <v>7</v>
      </c>
      <c r="AE706" t="str">
        <f t="shared" si="1111"/>
        <v>46</v>
      </c>
      <c r="AF706" t="str">
        <f t="shared" si="1112"/>
        <v/>
      </c>
      <c r="AG706" t="str">
        <f t="shared" si="1113"/>
        <v/>
      </c>
      <c r="AH706" t="str">
        <f t="shared" si="1157"/>
        <v>e</v>
      </c>
      <c r="AI706" t="str">
        <f t="shared" si="1199"/>
        <v>o</v>
      </c>
      <c r="AJ706" t="str">
        <f t="shared" si="1199"/>
        <v>o</v>
      </c>
      <c r="AK706" t="str">
        <f t="shared" si="1159"/>
        <v>d</v>
      </c>
      <c r="AL706" t="str">
        <f t="shared" si="1160"/>
        <v>o</v>
      </c>
      <c r="AM706" t="str">
        <f t="shared" si="1114"/>
        <v>Away</v>
      </c>
      <c r="AN706" t="str">
        <f t="shared" si="1161"/>
        <v>a</v>
      </c>
      <c r="AO706" t="str">
        <f t="shared" si="1162"/>
        <v>d</v>
      </c>
      <c r="AP706" t="str">
        <f t="shared" si="1163"/>
        <v>o</v>
      </c>
      <c r="AQ706" t="str">
        <f>IF(AM706&lt;&gt;"",AM706,IF($AC706=#REF!,#REF!,""))</f>
        <v>Away</v>
      </c>
      <c r="AR706" t="str">
        <f t="shared" si="1164"/>
        <v>a</v>
      </c>
      <c r="AS706" t="str">
        <f t="shared" si="1165"/>
        <v>Offensive</v>
      </c>
      <c r="AT706" t="str">
        <f t="shared" si="1115"/>
        <v/>
      </c>
      <c r="AU706" t="str">
        <f t="shared" si="1116"/>
        <v/>
      </c>
      <c r="AV706" t="str" cm="1">
        <f t="array" ref="AV706">IFERROR(IF(O706&lt;&gt;"",O706,IF(OR($S706="",$T706=""),"",IF(O706&lt;&gt;"",O706,IF($T706&lt;&gt;"",_xlfn._xlws.FILTER(O:O,($BT:$BT=$BT706)*($I:$I=$I706)*($T:$T=$T706)*($S:$S=_xlfn.MINIFS($S:$S,$T:$T,"="&amp;$T706)),"")))))&amp;"",IF(O706="","",""))&amp;""</f>
        <v/>
      </c>
      <c r="AW706" t="str" cm="1">
        <f t="array" ref="AW706">IFERROR(IF(P706&lt;&gt;"",P706,IF(OR($S706="",$T706=""),"",IF($T706&lt;&gt;"",_xlfn._xlws.FILTER(P:P,($BT:$BT=$BT706)*($I:$I=$I706)*($T:$T=$T706)*($S:$S=_xlfn.MINIFS($S:$S,$T:$T,"="&amp;$T706)),""))))&amp;"",IF(P706="","",""))&amp;""</f>
        <v/>
      </c>
      <c r="AX706" t="str" cm="1">
        <f t="array" ref="AX706">IFERROR(IF(Q706&lt;&gt;"",Q706,IF(OR($S706="",$T706=""),"",IF($T706&lt;&gt;"",_xlfn._xlws.FILTER(Q:Q,($BT:$BT=$BT706)*($I:$I=$I706)*($T:$T=$T706)*($S:$S=_xlfn.MINIFS($S:$S,$T:$T,"="&amp;$T706)),""))))&amp;"",IF(Q706="","",""))&amp;""</f>
        <v/>
      </c>
      <c r="AY706" t="str" cm="1">
        <f t="array" ref="AY706">IFERROR(IF(R706&lt;&gt;"",R706,IF(OR($S706="",$T706=""),"",IF($T706&lt;&gt;"",_xlfn._xlws.FILTER(R:R,($BT:$BT=$BT706)*($I:$I=$I706)*($T:$T=$T706)*($S:$S=_xlfn.MINIFS($S:$S,$T:$T,"="&amp;$T706)),""))))&amp;"",IF(R706="","",""))&amp;""</f>
        <v/>
      </c>
      <c r="AZ706" s="6">
        <f t="shared" si="1117"/>
        <v>57</v>
      </c>
      <c r="BA706">
        <f t="shared" ref="BA706:BC706" si="1207">BA705</f>
        <v>18991</v>
      </c>
      <c r="BB706" t="str">
        <f t="shared" si="1207"/>
        <v>Triple J</v>
      </c>
      <c r="BC706" t="str">
        <f t="shared" si="1207"/>
        <v>Velodrome</v>
      </c>
      <c r="BD706" t="str">
        <f t="shared" si="1119"/>
        <v>Pass</v>
      </c>
      <c r="BE706" t="str">
        <f t="shared" si="1120"/>
        <v>Pass_Completed</v>
      </c>
      <c r="BF706" t="str">
        <f t="shared" si="1121"/>
        <v>Pass-Forehand</v>
      </c>
      <c r="BG706" t="str">
        <f t="shared" si="1104"/>
        <v>s</v>
      </c>
      <c r="BH706" cm="1">
        <f t="array" aca="1" ref="BH706" ca="1">IFERROR(_xlfn._xlws.FILTER(shifts!A:A,(shifts!B:B=events!Z706)*(shifts!AG:AG&gt;=events!BJ706)*(shifts!AH:AH&lt;=events!BK706)),BH705)</f>
        <v>24</v>
      </c>
      <c r="BI706" s="15">
        <f t="shared" si="1122"/>
        <v>0</v>
      </c>
      <c r="BJ706">
        <f t="shared" si="1123"/>
        <v>466</v>
      </c>
      <c r="BK706">
        <f t="shared" si="1124"/>
        <v>466</v>
      </c>
      <c r="BL706" s="15">
        <f>SUMIFS(BI$2:BI706,K$2:K706,"=Intermission")+SUMIFS(BI$2:BI706,K$2:K706,"=Timeout")</f>
        <v>0</v>
      </c>
      <c r="BM706">
        <f t="shared" si="1125"/>
        <v>0</v>
      </c>
      <c r="BN706" s="19">
        <f t="shared" si="1126"/>
        <v>614</v>
      </c>
      <c r="BO706">
        <f t="shared" si="1127"/>
        <v>609</v>
      </c>
      <c r="BP706" s="17">
        <f t="shared" si="1128"/>
        <v>614</v>
      </c>
      <c r="BQ706" t="str">
        <f t="shared" si="1129"/>
        <v>event_team_player_1</v>
      </c>
      <c r="BR706">
        <f>COUNTIFS(S$3:S706,"="&amp;S706,AH$3:AH706,"="&amp;AH706)</f>
        <v>1</v>
      </c>
      <c r="BS706" t="str">
        <f>IFERROR(VLOOKUP(BA706&amp;BT706&amp;X706,game_rosters!U:W,3,FALSE),"")</f>
        <v>P100001</v>
      </c>
      <c r="BT706" t="str">
        <f t="shared" si="1130"/>
        <v>Velodrome</v>
      </c>
    </row>
    <row r="707" spans="1:72" x14ac:dyDescent="0.2">
      <c r="A707" t="str">
        <f t="shared" si="1131"/>
        <v/>
      </c>
      <c r="E707" s="4"/>
      <c r="F707" s="45"/>
      <c r="G707" s="4"/>
      <c r="H707" s="47"/>
      <c r="I707" s="26">
        <v>9</v>
      </c>
      <c r="J707" s="26" t="str">
        <f t="shared" si="1132"/>
        <v/>
      </c>
      <c r="N707" t="str">
        <f t="shared" si="1150"/>
        <v/>
      </c>
      <c r="Q707" t="str">
        <f t="shared" si="1144"/>
        <v/>
      </c>
      <c r="S707">
        <f>IF(A707=1,MAX($S$2:$S706)+1,IF(OR($I707&lt;&gt;"",A707="x"),$S706,""))</f>
        <v>352</v>
      </c>
      <c r="T707" t="str">
        <f>IF(D707=1,MAX($T$2:$T706)+1,IF(S707=S706,$T706,IF(D707="x",T706,IF(D706="x","",""))))</f>
        <v/>
      </c>
      <c r="U707" t="str">
        <f>IF(B707=1,MAX($U$2:$U706)+1,IF(AND($T707&lt;&gt;"",$T707=$T706),$U706,IF(B707="x",U706,"")))</f>
        <v/>
      </c>
      <c r="V707" t="str">
        <f>IF(C707=1,MAX($V$2:$V706)+1,IF(AND($T707&lt;&gt;"",$T707=$T706),$U706,IF(C707="x",V706,"")))</f>
        <v/>
      </c>
      <c r="W707" t="str" cm="1">
        <f t="array" ref="W707">IFERROR(_xlfn._xlws.FILTER(game_rosters!AC:AC,(game_rosters!J:J=events!X707)*(K707&lt;&gt;"")),"")</f>
        <v/>
      </c>
      <c r="X707" cm="1">
        <f t="array" ref="X707">IF($I707&lt;&gt;"",$I707,INDEX($I$1:$I707,ROW()-COUNTIFS($T$1:$T707,"="&amp;$T707,$S$1:$S707,"&lt;"&amp;$S707)))</f>
        <v>9</v>
      </c>
      <c r="Y707" cm="1">
        <f t="array" ref="Y707">IFERROR(IF(_xlfn._xlws.FILTER(game_rosters!$J:$J,(game_rosters!$G:$G=events!$AM707)*(game_rosters!$J:$J=events!$X707))&gt;0,1,""),"")</f>
        <v>1</v>
      </c>
      <c r="Z707" s="6">
        <f t="shared" si="1106"/>
        <v>1</v>
      </c>
      <c r="AA707">
        <f t="shared" si="1107"/>
        <v>1352</v>
      </c>
      <c r="AB707" t="str">
        <f t="shared" si="1108"/>
        <v/>
      </c>
      <c r="AC707">
        <f t="shared" si="1109"/>
        <v>1352</v>
      </c>
      <c r="AD707" t="str">
        <f t="shared" si="1110"/>
        <v>7</v>
      </c>
      <c r="AE707" t="str">
        <f t="shared" si="1111"/>
        <v>46</v>
      </c>
      <c r="AF707" t="str">
        <f t="shared" si="1112"/>
        <v/>
      </c>
      <c r="AG707" t="str">
        <f t="shared" si="1113"/>
        <v/>
      </c>
      <c r="AH707" t="str">
        <f t="shared" si="1157"/>
        <v>e</v>
      </c>
      <c r="AI707" t="str">
        <f t="shared" si="1199"/>
        <v>o</v>
      </c>
      <c r="AJ707" t="str">
        <f t="shared" si="1199"/>
        <v>o</v>
      </c>
      <c r="AK707" t="str">
        <f t="shared" si="1159"/>
        <v/>
      </c>
      <c r="AL707" t="str">
        <f t="shared" si="1160"/>
        <v/>
      </c>
      <c r="AM707" t="str">
        <f t="shared" si="1114"/>
        <v>Away</v>
      </c>
      <c r="AN707" t="str">
        <f t="shared" si="1161"/>
        <v>a</v>
      </c>
      <c r="AO707" t="str">
        <f t="shared" si="1162"/>
        <v>d</v>
      </c>
      <c r="AP707" t="str">
        <f t="shared" si="1163"/>
        <v>o</v>
      </c>
      <c r="AQ707" t="str">
        <f>IF(AM707&lt;&gt;"",AM707,IF($AC707=#REF!,#REF!,""))</f>
        <v>Away</v>
      </c>
      <c r="AR707" t="str">
        <f t="shared" si="1164"/>
        <v>a</v>
      </c>
      <c r="AS707" t="str">
        <f t="shared" si="1165"/>
        <v>Offensive</v>
      </c>
      <c r="AT707" t="str">
        <f t="shared" si="1115"/>
        <v/>
      </c>
      <c r="AU707" t="str">
        <f t="shared" si="1116"/>
        <v/>
      </c>
      <c r="AV707" t="str" cm="1">
        <f t="array" ref="AV707">IFERROR(IF(O707&lt;&gt;"",O707,IF(OR($S707="",$T707=""),"",IF(O707&lt;&gt;"",O707,IF($T707&lt;&gt;"",_xlfn._xlws.FILTER(O:O,($BT:$BT=$BT707)*($I:$I=$I707)*($T:$T=$T707)*($S:$S=_xlfn.MINIFS($S:$S,$T:$T,"="&amp;$T707)),"")))))&amp;"",IF(O707="","",""))&amp;""</f>
        <v/>
      </c>
      <c r="AW707" t="str" cm="1">
        <f t="array" ref="AW707">IFERROR(IF(P707&lt;&gt;"",P707,IF(OR($S707="",$T707=""),"",IF($T707&lt;&gt;"",_xlfn._xlws.FILTER(P:P,($BT:$BT=$BT707)*($I:$I=$I707)*($T:$T=$T707)*($S:$S=_xlfn.MINIFS($S:$S,$T:$T,"="&amp;$T707)),""))))&amp;"",IF(P707="","",""))&amp;""</f>
        <v/>
      </c>
      <c r="AX707" t="str" cm="1">
        <f t="array" ref="AX707">IFERROR(IF(Q707&lt;&gt;"",Q707,IF(OR($S707="",$T707=""),"",IF($T707&lt;&gt;"",_xlfn._xlws.FILTER(Q:Q,($BT:$BT=$BT707)*($I:$I=$I707)*($T:$T=$T707)*($S:$S=_xlfn.MINIFS($S:$S,$T:$T,"="&amp;$T707)),""))))&amp;"",IF(Q707="","",""))&amp;""</f>
        <v/>
      </c>
      <c r="AY707" t="str" cm="1">
        <f t="array" ref="AY707">IFERROR(IF(R707&lt;&gt;"",R707,IF(OR($S707="",$T707=""),"",IF($T707&lt;&gt;"",_xlfn._xlws.FILTER(R:R,($BT:$BT=$BT707)*($I:$I=$I707)*($T:$T=$T707)*($S:$S=_xlfn.MINIFS($S:$S,$T:$T,"="&amp;$T707)),""))))&amp;"",IF(R707="","",""))&amp;""</f>
        <v/>
      </c>
      <c r="AZ707" s="6">
        <f t="shared" si="1117"/>
        <v>57</v>
      </c>
      <c r="BA707">
        <f t="shared" ref="BA707:BC707" si="1208">BA706</f>
        <v>18991</v>
      </c>
      <c r="BB707" t="str">
        <f t="shared" si="1208"/>
        <v>Triple J</v>
      </c>
      <c r="BC707" t="str">
        <f t="shared" si="1208"/>
        <v>Velodrome</v>
      </c>
      <c r="BD707" t="str">
        <f t="shared" si="1119"/>
        <v>Pass</v>
      </c>
      <c r="BE707" t="str">
        <f t="shared" si="1120"/>
        <v>Pass_Completed</v>
      </c>
      <c r="BF707" t="str">
        <f t="shared" si="1121"/>
        <v>Pass-Forehand</v>
      </c>
      <c r="BG707" t="str">
        <f t="shared" ref="BG707:BG738" si="1209">IF($N707&lt;&gt;"",$N707,IF($S707=$S706,BG706,""))</f>
        <v>s</v>
      </c>
      <c r="BH707" cm="1">
        <f t="array" aca="1" ref="BH707" ca="1">IFERROR(_xlfn._xlws.FILTER(shifts!A:A,(shifts!B:B=events!Z707)*(shifts!AG:AG&gt;=events!BJ707)*(shifts!AH:AH&lt;=events!BK707)),BH706)</f>
        <v>24</v>
      </c>
      <c r="BI707" s="15">
        <f t="shared" si="1122"/>
        <v>0</v>
      </c>
      <c r="BJ707">
        <f t="shared" si="1123"/>
        <v>466</v>
      </c>
      <c r="BK707">
        <f t="shared" si="1124"/>
        <v>466</v>
      </c>
      <c r="BL707" s="15">
        <f>SUMIFS(BI$2:BI707,K$2:K707,"=Intermission")+SUMIFS(BI$2:BI707,K$2:K707,"=Timeout")</f>
        <v>0</v>
      </c>
      <c r="BM707">
        <f t="shared" si="1125"/>
        <v>0</v>
      </c>
      <c r="BN707" s="19">
        <f t="shared" si="1126"/>
        <v>614</v>
      </c>
      <c r="BO707">
        <f t="shared" si="1127"/>
        <v>609</v>
      </c>
      <c r="BP707" s="17">
        <f t="shared" si="1128"/>
        <v>614</v>
      </c>
      <c r="BQ707" t="str">
        <f t="shared" si="1129"/>
        <v>event_team_player_2</v>
      </c>
      <c r="BR707">
        <f>COUNTIFS(S$3:S707,"="&amp;S707,AH$3:AH707,"="&amp;AH707)</f>
        <v>2</v>
      </c>
      <c r="BS707" t="str">
        <f>IFERROR(VLOOKUP(BA707&amp;BT707&amp;X707,game_rosters!U:W,3,FALSE),"")</f>
        <v>P100105</v>
      </c>
      <c r="BT707" t="str">
        <f t="shared" si="1130"/>
        <v>Velodrome</v>
      </c>
    </row>
    <row r="708" spans="1:72" x14ac:dyDescent="0.2">
      <c r="A708" t="str">
        <f t="shared" si="1131"/>
        <v/>
      </c>
      <c r="E708" s="4"/>
      <c r="F708" s="45"/>
      <c r="G708" s="4"/>
      <c r="H708" s="47"/>
      <c r="I708" s="26">
        <v>73</v>
      </c>
      <c r="J708" s="26" t="str">
        <f t="shared" si="1132"/>
        <v/>
      </c>
      <c r="N708" t="str">
        <f t="shared" si="1150"/>
        <v/>
      </c>
      <c r="Q708" t="str">
        <f t="shared" si="1144"/>
        <v/>
      </c>
      <c r="S708">
        <f>IF(A708=1,MAX($S$2:$S707)+1,IF(OR($I708&lt;&gt;"",A708="x"),$S707,""))</f>
        <v>352</v>
      </c>
      <c r="T708" t="str">
        <f>IF(D708=1,MAX($T$2:$T707)+1,IF(S708=S707,$T707,IF(D708="x",T707,IF(D707="x","",""))))</f>
        <v/>
      </c>
      <c r="U708" t="str">
        <f>IF(B708=1,MAX($U$2:$U707)+1,IF(AND($T708&lt;&gt;"",$T708=$T707),$U707,IF(B708="x",U707,"")))</f>
        <v/>
      </c>
      <c r="V708" t="str">
        <f>IF(C708=1,MAX($V$2:$V707)+1,IF(AND($T708&lt;&gt;"",$T708=$T707),$U707,IF(C708="x",V707,"")))</f>
        <v/>
      </c>
      <c r="W708" t="str" cm="1">
        <f t="array" ref="W708">IFERROR(_xlfn._xlws.FILTER(game_rosters!AC:AC,(game_rosters!J:J=events!X708)*(K708&lt;&gt;"")),"")</f>
        <v/>
      </c>
      <c r="X708" cm="1">
        <f t="array" ref="X708">IF($I708&lt;&gt;"",$I708,INDEX($I$1:$I708,ROW()-COUNTIFS($T$1:$T708,"="&amp;$T708,$S$1:$S708,"&lt;"&amp;$S708)))</f>
        <v>73</v>
      </c>
      <c r="Y708" t="str" cm="1">
        <f t="array" ref="Y708">IFERROR(IF(_xlfn._xlws.FILTER(game_rosters!$J:$J,(game_rosters!$G:$G=events!$AM708)*(game_rosters!$J:$J=events!$X708))&gt;0,1,""),"")</f>
        <v/>
      </c>
      <c r="Z708" s="6">
        <f t="shared" si="1106"/>
        <v>1</v>
      </c>
      <c r="AA708">
        <f t="shared" si="1107"/>
        <v>1352</v>
      </c>
      <c r="AB708" t="str">
        <f t="shared" si="1108"/>
        <v/>
      </c>
      <c r="AC708">
        <f t="shared" si="1109"/>
        <v>1352</v>
      </c>
      <c r="AD708" t="str">
        <f t="shared" si="1110"/>
        <v>7</v>
      </c>
      <c r="AE708" t="str">
        <f t="shared" si="1111"/>
        <v>46</v>
      </c>
      <c r="AF708" t="str">
        <f t="shared" si="1112"/>
        <v/>
      </c>
      <c r="AG708" t="str">
        <f t="shared" si="1113"/>
        <v/>
      </c>
      <c r="AH708" t="str">
        <f t="shared" si="1157"/>
        <v>o</v>
      </c>
      <c r="AI708" t="str">
        <f t="shared" si="1199"/>
        <v>o</v>
      </c>
      <c r="AJ708" t="str">
        <f t="shared" si="1199"/>
        <v>o</v>
      </c>
      <c r="AK708" t="str">
        <f t="shared" si="1159"/>
        <v/>
      </c>
      <c r="AL708" t="str">
        <f t="shared" si="1160"/>
        <v/>
      </c>
      <c r="AM708" t="str">
        <f t="shared" si="1114"/>
        <v>Away</v>
      </c>
      <c r="AN708" t="str">
        <f t="shared" si="1161"/>
        <v>a</v>
      </c>
      <c r="AO708" t="str">
        <f t="shared" si="1162"/>
        <v>d</v>
      </c>
      <c r="AP708" t="str">
        <f t="shared" si="1163"/>
        <v>o</v>
      </c>
      <c r="AQ708" t="str">
        <f>IF(AM708&lt;&gt;"",AM708,IF($AC708=#REF!,#REF!,""))</f>
        <v>Away</v>
      </c>
      <c r="AR708" t="str">
        <f t="shared" si="1164"/>
        <v>a</v>
      </c>
      <c r="AS708" t="str">
        <f t="shared" si="1165"/>
        <v>Defensive</v>
      </c>
      <c r="AT708" t="str">
        <f t="shared" si="1115"/>
        <v/>
      </c>
      <c r="AU708" t="str">
        <f t="shared" si="1116"/>
        <v/>
      </c>
      <c r="AV708" t="str" cm="1">
        <f t="array" ref="AV708">IFERROR(IF(O708&lt;&gt;"",O708,IF(OR($S708="",$T708=""),"",IF(O708&lt;&gt;"",O708,IF($T708&lt;&gt;"",_xlfn._xlws.FILTER(O:O,($BT:$BT=$BT708)*($I:$I=$I708)*($T:$T=$T708)*($S:$S=_xlfn.MINIFS($S:$S,$T:$T,"="&amp;$T708)),"")))))&amp;"",IF(O708="","",""))&amp;""</f>
        <v/>
      </c>
      <c r="AW708" t="str" cm="1">
        <f t="array" ref="AW708">IFERROR(IF(P708&lt;&gt;"",P708,IF(OR($S708="",$T708=""),"",IF($T708&lt;&gt;"",_xlfn._xlws.FILTER(P:P,($BT:$BT=$BT708)*($I:$I=$I708)*($T:$T=$T708)*($S:$S=_xlfn.MINIFS($S:$S,$T:$T,"="&amp;$T708)),""))))&amp;"",IF(P708="","",""))&amp;""</f>
        <v/>
      </c>
      <c r="AX708" t="str" cm="1">
        <f t="array" ref="AX708">IFERROR(IF(Q708&lt;&gt;"",Q708,IF(OR($S708="",$T708=""),"",IF($T708&lt;&gt;"",_xlfn._xlws.FILTER(Q:Q,($BT:$BT=$BT708)*($I:$I=$I708)*($T:$T=$T708)*($S:$S=_xlfn.MINIFS($S:$S,$T:$T,"="&amp;$T708)),""))))&amp;"",IF(Q708="","",""))&amp;""</f>
        <v/>
      </c>
      <c r="AY708" t="str" cm="1">
        <f t="array" ref="AY708">IFERROR(IF(R708&lt;&gt;"",R708,IF(OR($S708="",$T708=""),"",IF($T708&lt;&gt;"",_xlfn._xlws.FILTER(R:R,($BT:$BT=$BT708)*($I:$I=$I708)*($T:$T=$T708)*($S:$S=_xlfn.MINIFS($S:$S,$T:$T,"="&amp;$T708)),""))))&amp;"",IF(R708="","",""))&amp;""</f>
        <v/>
      </c>
      <c r="AZ708" s="6">
        <f t="shared" si="1117"/>
        <v>57</v>
      </c>
      <c r="BA708">
        <f t="shared" ref="BA708:BC708" si="1210">BA707</f>
        <v>18991</v>
      </c>
      <c r="BB708" t="str">
        <f t="shared" si="1210"/>
        <v>Triple J</v>
      </c>
      <c r="BC708" t="str">
        <f t="shared" si="1210"/>
        <v>Velodrome</v>
      </c>
      <c r="BD708" t="str">
        <f t="shared" si="1119"/>
        <v>Pass</v>
      </c>
      <c r="BE708" t="str">
        <f t="shared" si="1120"/>
        <v>Pass_Completed</v>
      </c>
      <c r="BF708" t="str">
        <f t="shared" si="1121"/>
        <v>Pass-Forehand</v>
      </c>
      <c r="BG708" t="str">
        <f t="shared" si="1209"/>
        <v>s</v>
      </c>
      <c r="BH708" cm="1">
        <f t="array" aca="1" ref="BH708" ca="1">IFERROR(_xlfn._xlws.FILTER(shifts!A:A,(shifts!B:B=events!Z708)*(shifts!AG:AG&gt;=events!BJ708)*(shifts!AH:AH&lt;=events!BK708)),BH707)</f>
        <v>24</v>
      </c>
      <c r="BI708" s="15">
        <f t="shared" si="1122"/>
        <v>0</v>
      </c>
      <c r="BJ708">
        <f t="shared" si="1123"/>
        <v>466</v>
      </c>
      <c r="BK708">
        <f t="shared" si="1124"/>
        <v>466</v>
      </c>
      <c r="BL708" s="15">
        <f>SUMIFS(BI$2:BI708,K$2:K708,"=Intermission")+SUMIFS(BI$2:BI708,K$2:K708,"=Timeout")</f>
        <v>0</v>
      </c>
      <c r="BM708">
        <f t="shared" si="1125"/>
        <v>0</v>
      </c>
      <c r="BN708" s="19">
        <f t="shared" si="1126"/>
        <v>614</v>
      </c>
      <c r="BO708">
        <f t="shared" si="1127"/>
        <v>609</v>
      </c>
      <c r="BP708" s="17">
        <f t="shared" si="1128"/>
        <v>614</v>
      </c>
      <c r="BQ708" t="str">
        <f t="shared" si="1129"/>
        <v>opp_team_player_1</v>
      </c>
      <c r="BR708">
        <f>COUNTIFS(S$3:S708,"="&amp;S708,AH$3:AH708,"="&amp;AH708)</f>
        <v>1</v>
      </c>
      <c r="BS708" t="str">
        <f>IFERROR(VLOOKUP(BA708&amp;BT708&amp;X708,game_rosters!U:W,3,FALSE),"")</f>
        <v>P100021</v>
      </c>
      <c r="BT708" t="str">
        <f t="shared" si="1130"/>
        <v>Triple J</v>
      </c>
    </row>
    <row r="709" spans="1:72" x14ac:dyDescent="0.2">
      <c r="A709">
        <f t="shared" ref="A709:A738" si="1211">IF(K709&lt;&gt;"",1,IF(D709="x","x",""))</f>
        <v>1</v>
      </c>
      <c r="E709" s="4"/>
      <c r="F709" s="45" t="s">
        <v>1029</v>
      </c>
      <c r="G709" s="4"/>
      <c r="H709" s="47"/>
      <c r="I709" s="26">
        <v>9</v>
      </c>
      <c r="J709" s="26" t="s">
        <v>368</v>
      </c>
      <c r="K709" t="s">
        <v>7</v>
      </c>
      <c r="L709" t="s">
        <v>172</v>
      </c>
      <c r="M709" t="s">
        <v>66</v>
      </c>
      <c r="N709" t="str">
        <f t="shared" si="1150"/>
        <v>s</v>
      </c>
      <c r="O709" t="s">
        <v>576</v>
      </c>
      <c r="Q709" t="str">
        <f t="shared" si="1144"/>
        <v>s</v>
      </c>
      <c r="S709">
        <f>IF(A709=1,MAX($S$2:$S708)+1,IF(OR($I709&lt;&gt;"",A709="x"),$S708,""))</f>
        <v>353</v>
      </c>
      <c r="T709" t="str">
        <f>IF(D709=1,MAX($T$2:$T708)+1,IF(S709=S708,$T708,IF(D709="x",T708,IF(D708="x","",""))))</f>
        <v/>
      </c>
      <c r="U709" t="str">
        <f>IF(B709=1,MAX($U$2:$U708)+1,IF(AND($T709&lt;&gt;"",$T709=$T708),$U708,IF(B709="x",U708,"")))</f>
        <v/>
      </c>
      <c r="V709" t="str">
        <f>IF(C709=1,MAX($V$2:$V708)+1,IF(AND($T709&lt;&gt;"",$T709=$T708),$U708,IF(C709="x",V708,"")))</f>
        <v/>
      </c>
      <c r="W709" t="str" cm="1">
        <f t="array" ref="W709">IFERROR(_xlfn._xlws.FILTER(game_rosters!AC:AC,(game_rosters!J:J=events!X709)*(K709&lt;&gt;"")),"")</f>
        <v>a</v>
      </c>
      <c r="X709" cm="1">
        <f t="array" ref="X709">IF($I709&lt;&gt;"",$I709,INDEX($I$1:$I709,ROW()-COUNTIFS($T$1:$T709,"="&amp;$T709,$S$1:$S709,"&lt;"&amp;$S709)))</f>
        <v>9</v>
      </c>
      <c r="Y709" cm="1">
        <f t="array" ref="Y709">IFERROR(IF(_xlfn._xlws.FILTER(game_rosters!$J:$J,(game_rosters!$G:$G=events!$AM709)*(game_rosters!$J:$J=events!$X709))&gt;0,1,""),"")</f>
        <v>1</v>
      </c>
      <c r="Z709" s="6">
        <f t="shared" ref="Z709:Z738" si="1212">IF(K709="Intermission",Z708+1,Z708)</f>
        <v>1</v>
      </c>
      <c r="AA709">
        <f t="shared" ref="AA709:AA738" si="1213">S709+1000</f>
        <v>1353</v>
      </c>
      <c r="AB709" t="str">
        <f t="shared" ref="AB709:AB738" si="1214">IF(T709&lt;&gt;"",9000+T709,"")</f>
        <v/>
      </c>
      <c r="AC709">
        <f t="shared" ref="AC709:AC738" si="1215">IF(AB709&lt;&gt;"",AB709,S709+1000)</f>
        <v>1353</v>
      </c>
      <c r="AD709" t="str">
        <f t="shared" ref="AD709:AD712" si="1216">IF(E709&lt;&gt;"",E709,IF($AC709=$AC708,AD708,IF(AF708&lt;&gt;"",AF708,IF(AD708&lt;&gt;"",AD708,""))))</f>
        <v>7</v>
      </c>
      <c r="AE709" t="str">
        <f t="shared" ref="AE709:AE712" si="1217">IF(F709&lt;&gt;"",F709,IF($AC709=$AC708,AE708,IF(AG708&lt;&gt;"",AG708,IF(AE708&lt;&gt;"",AE708,""))))</f>
        <v>44</v>
      </c>
      <c r="AF709" t="str">
        <f t="shared" ref="AF709:AF712" si="1218">IF(G709&lt;&gt;"",G709,IF($AC709=$AC708,AF708,IF(H709="","",AD709)))</f>
        <v/>
      </c>
      <c r="AG709" t="str">
        <f t="shared" ref="AG709:AG712" si="1219">IF(H709&lt;&gt;"",H709,IF($S709=$S708,AG708,""))</f>
        <v/>
      </c>
      <c r="AH709" t="str">
        <f t="shared" si="1157"/>
        <v>e</v>
      </c>
      <c r="AI709" t="str">
        <f t="shared" si="1199"/>
        <v>o</v>
      </c>
      <c r="AJ709" t="str">
        <f t="shared" si="1199"/>
        <v>o</v>
      </c>
      <c r="AK709" t="str">
        <f t="shared" si="1159"/>
        <v>d</v>
      </c>
      <c r="AL709" t="str">
        <f t="shared" si="1160"/>
        <v>o</v>
      </c>
      <c r="AM709" t="str">
        <f t="shared" ref="AM709:AM738" si="1220">IF(AN709="H","Home",IF(AN709="A","Away",""))</f>
        <v>Away</v>
      </c>
      <c r="AN709" t="str">
        <f t="shared" si="1161"/>
        <v>a</v>
      </c>
      <c r="AO709" t="str">
        <f t="shared" si="1162"/>
        <v>d</v>
      </c>
      <c r="AP709" t="str">
        <f t="shared" si="1163"/>
        <v>o</v>
      </c>
      <c r="AQ709" t="str">
        <f>IF(AM709&lt;&gt;"",AM709,IF($AC709=#REF!,#REF!,""))</f>
        <v>Away</v>
      </c>
      <c r="AR709" t="str">
        <f t="shared" si="1164"/>
        <v>a</v>
      </c>
      <c r="AS709" t="str">
        <f t="shared" si="1165"/>
        <v>Offensive</v>
      </c>
      <c r="AT709" t="str">
        <f t="shared" ref="AT709:AT712" si="1221">IF(U709&lt;&gt;"",U709+5000,"")</f>
        <v/>
      </c>
      <c r="AU709" t="str">
        <f t="shared" ref="AU709:AU712" si="1222">IF(V709&lt;&gt;"",V709+6000,"")</f>
        <v/>
      </c>
      <c r="AV709" t="str" cm="1">
        <f t="array" ref="AV709">IFERROR(IF(O709&lt;&gt;"",O709,IF(OR($S709="",$T709=""),"",IF(O709&lt;&gt;"",O709,IF($T709&lt;&gt;"",_xlfn._xlws.FILTER(O:O,($BT:$BT=$BT709)*($I:$I=$I709)*($T:$T=$T709)*($S:$S=_xlfn.MINIFS($S:$S,$T:$T,"="&amp;$T709)),"")))))&amp;"",IF(O709="","",""))&amp;""</f>
        <v>SecondTouch</v>
      </c>
      <c r="AW709" t="str" cm="1">
        <f t="array" ref="AW709">IFERROR(IF(P709&lt;&gt;"",P709,IF(OR($S709="",$T709=""),"",IF($T709&lt;&gt;"",_xlfn._xlws.FILTER(P:P,($BT:$BT=$BT709)*($I:$I=$I709)*($T:$T=$T709)*($S:$S=_xlfn.MINIFS($S:$S,$T:$T,"="&amp;$T709)),""))))&amp;"",IF(P709="","",""))&amp;""</f>
        <v/>
      </c>
      <c r="AX709" t="str" cm="1">
        <f t="array" ref="AX709">IFERROR(IF(Q709&lt;&gt;"",Q709,IF(OR($S709="",$T709=""),"",IF($T709&lt;&gt;"",_xlfn._xlws.FILTER(Q:Q,($BT:$BT=$BT709)*($I:$I=$I709)*($T:$T=$T709)*($S:$S=_xlfn.MINIFS($S:$S,$T:$T,"="&amp;$T709)),""))))&amp;"",IF(Q709="","",""))&amp;""</f>
        <v>s</v>
      </c>
      <c r="AY709" t="str" cm="1">
        <f t="array" ref="AY709">IFERROR(IF(R709&lt;&gt;"",R709,IF(OR($S709="",$T709=""),"",IF($T709&lt;&gt;"",_xlfn._xlws.FILTER(R:R,($BT:$BT=$BT709)*($I:$I=$I709)*($T:$T=$T709)*($S:$S=_xlfn.MINIFS($S:$S,$T:$T,"="&amp;$T709)),""))))&amp;"",IF(R709="","",""))&amp;""</f>
        <v/>
      </c>
      <c r="AZ709" s="6">
        <f t="shared" ref="AZ709:AZ738" si="1223">IF(OR(L709="Zone_Entry",L709="Zone_Exit"),AZ708+1,AZ708)</f>
        <v>57</v>
      </c>
      <c r="BA709">
        <f t="shared" ref="BA709:BC709" si="1224">BA708</f>
        <v>18991</v>
      </c>
      <c r="BB709" t="str">
        <f t="shared" si="1224"/>
        <v>Triple J</v>
      </c>
      <c r="BC709" t="str">
        <f t="shared" si="1224"/>
        <v>Velodrome</v>
      </c>
      <c r="BD709" t="str">
        <f t="shared" ref="BD709:BD738" si="1225">IF($K709&lt;&gt;"",$K709,IF($S709=$S708,BD708,""))</f>
        <v>Pass</v>
      </c>
      <c r="BE709" t="str">
        <f t="shared" ref="BE709:BE738" si="1226">IF(L709&lt;&gt;"",L709,IF($S709=$S708,BE708,""))</f>
        <v>Pass_Completed</v>
      </c>
      <c r="BF709" t="str">
        <f t="shared" ref="BF709:BF738" si="1227">IF(M709&lt;&gt;"",M709,IF($S709=$S708,BF708,""))</f>
        <v>Pass-Rim/Wrap</v>
      </c>
      <c r="BG709" t="str">
        <f t="shared" si="1209"/>
        <v>s</v>
      </c>
      <c r="BH709" cm="1">
        <f t="array" aca="1" ref="BH709" ca="1">IFERROR(_xlfn._xlws.FILTER(shifts!A:A,(shifts!B:B=events!Z709)*(shifts!AG:AG&gt;=events!BJ709)*(shifts!AH:AH&lt;=events!BK709)),BH708)</f>
        <v>24</v>
      </c>
      <c r="BI709" s="15">
        <f t="shared" ref="BI709:BI712" si="1228">IF(AND(AF709="",AG709=""),0,((AD709*60)+AE709)-((AF709*60)+AG709))</f>
        <v>0</v>
      </c>
      <c r="BJ709">
        <f t="shared" ref="BJ709:BJ712" si="1229">(AD709*60)+AE709</f>
        <v>464</v>
      </c>
      <c r="BK709">
        <f t="shared" ref="BK709:BK712" si="1230">IF(AND(AF709="",AG709=""),BJ709,((AF709*60)+AG709))</f>
        <v>464</v>
      </c>
      <c r="BL709" s="15">
        <f>SUMIFS(BI$2:BI709,K$2:K709,"=Intermission")+SUMIFS(BI$2:BI709,K$2:K709,"=Timeout")</f>
        <v>0</v>
      </c>
      <c r="BM709">
        <f t="shared" ref="BM709:BM712" si="1231">IF(Z709=1,0,IF(Z709=2,1080+BL709,IF(Z709=3,(1080*2)+BL709,0)))</f>
        <v>0</v>
      </c>
      <c r="BN709" s="19">
        <f t="shared" ref="BN709:BN712" si="1232">IF(K709="Intermission",BN708,((1080)-((AD709*60)+AE709))+BM709)</f>
        <v>616</v>
      </c>
      <c r="BO709">
        <f t="shared" ref="BO709:BO712" si="1233">IF(BN709&lt;5,0,BN709-5)</f>
        <v>611</v>
      </c>
      <c r="BP709" s="17">
        <f t="shared" ref="BP709:BP712" si="1234">BO709+BI709+5</f>
        <v>616</v>
      </c>
      <c r="BQ709" t="str">
        <f t="shared" ref="BQ709:BQ712" si="1235">IF(AH709="e","event_team_player_"&amp;BR709,IF(AH709="o","opp_team_player_"&amp;BR709,""))</f>
        <v>event_team_player_1</v>
      </c>
      <c r="BR709">
        <f>COUNTIFS(S$3:S709,"="&amp;S709,AH$3:AH709,"="&amp;AH709)</f>
        <v>1</v>
      </c>
      <c r="BS709" t="str">
        <f>IFERROR(VLOOKUP(BA709&amp;BT709&amp;X709,game_rosters!U:W,3,FALSE),"")</f>
        <v>P100105</v>
      </c>
      <c r="BT709" t="str">
        <f t="shared" ref="BT709:BT712" si="1236">IF(AQ709="","",IF(AND(AQ709="Away",AH709="e"),BC709,IF(AND(AQ709="Home",AH709="e"),BB709,IF(AND(AQ709="Away",AH709="o"),BB709,IF(AND(AQ709="Home",AH709="o"),BC709)))))</f>
        <v>Velodrome</v>
      </c>
    </row>
    <row r="710" spans="1:72" x14ac:dyDescent="0.2">
      <c r="A710" t="str">
        <f t="shared" si="1211"/>
        <v/>
      </c>
      <c r="E710" s="4"/>
      <c r="F710" s="45"/>
      <c r="G710" s="4"/>
      <c r="H710" s="47"/>
      <c r="I710" s="26">
        <v>55</v>
      </c>
      <c r="J710" s="26" t="str">
        <f t="shared" ref="J710:J738" si="1237">IF(OR(K710="Goal",K710="Shot",L710="Zone_Entry",M710="Stoppage-Goal",M709="Stoppage-Goal"),"o",IF(OR(K710="Save",K710="Rebound",L710="Zone_Exit",M710="Stoppage-GoalieStoppage",M709="Stoppage-GoalieStoppage"),"d",IF(OR(L710="Faceoff_AfterGoal",L710="Faceoff_PeriodStart",698="Faceoff_GameStart",M709="Stoppage-Goal"),"n","")))</f>
        <v/>
      </c>
      <c r="N710" t="str">
        <f t="shared" si="1150"/>
        <v/>
      </c>
      <c r="Q710" t="str">
        <f t="shared" si="1144"/>
        <v/>
      </c>
      <c r="R710" s="26">
        <v>1</v>
      </c>
      <c r="S710">
        <f>IF(A710=1,MAX($S$2:$S709)+1,IF(OR($I710&lt;&gt;"",A710="x"),$S709,""))</f>
        <v>353</v>
      </c>
      <c r="T710" t="str">
        <f>IF(D710=1,MAX($T$2:$T709)+1,IF(S710=S709,$T709,IF(D710="x",T709,IF(D709="x","",""))))</f>
        <v/>
      </c>
      <c r="U710" t="str">
        <f>IF(B710=1,MAX($U$2:$U709)+1,IF(AND($T710&lt;&gt;"",$T710=$T709),$U709,IF(B710="x",U709,"")))</f>
        <v/>
      </c>
      <c r="V710" t="str">
        <f>IF(C710=1,MAX($V$2:$V709)+1,IF(AND($T710&lt;&gt;"",$T710=$T709),$U709,IF(C710="x",V709,"")))</f>
        <v/>
      </c>
      <c r="W710" t="str" cm="1">
        <f t="array" ref="W710">IFERROR(_xlfn._xlws.FILTER(game_rosters!AC:AC,(game_rosters!J:J=events!X710)*(K710&lt;&gt;"")),"")</f>
        <v/>
      </c>
      <c r="X710" cm="1">
        <f t="array" ref="X710">IF($I710&lt;&gt;"",$I710,INDEX($I$1:$I710,ROW()-COUNTIFS($T$1:$T710,"="&amp;$T710,$S$1:$S710,"&lt;"&amp;$S710)))</f>
        <v>55</v>
      </c>
      <c r="Y710" cm="1">
        <f t="array" ref="Y710">IFERROR(IF(_xlfn._xlws.FILTER(game_rosters!$J:$J,(game_rosters!$G:$G=events!$AM710)*(game_rosters!$J:$J=events!$X710))&gt;0,1,""),"")</f>
        <v>1</v>
      </c>
      <c r="Z710" s="6">
        <f t="shared" si="1212"/>
        <v>1</v>
      </c>
      <c r="AA710">
        <f t="shared" si="1213"/>
        <v>1353</v>
      </c>
      <c r="AB710" t="str">
        <f t="shared" si="1214"/>
        <v/>
      </c>
      <c r="AC710">
        <f t="shared" si="1215"/>
        <v>1353</v>
      </c>
      <c r="AD710" t="str">
        <f t="shared" si="1216"/>
        <v>7</v>
      </c>
      <c r="AE710" t="str">
        <f t="shared" si="1217"/>
        <v>44</v>
      </c>
      <c r="AF710" t="str">
        <f t="shared" si="1218"/>
        <v/>
      </c>
      <c r="AG710" t="str">
        <f t="shared" si="1219"/>
        <v/>
      </c>
      <c r="AH710" t="str">
        <f t="shared" si="1157"/>
        <v>e</v>
      </c>
      <c r="AI710" t="str">
        <f t="shared" si="1199"/>
        <v>o</v>
      </c>
      <c r="AJ710" t="str">
        <f t="shared" si="1199"/>
        <v>o</v>
      </c>
      <c r="AK710" t="str">
        <f t="shared" si="1159"/>
        <v/>
      </c>
      <c r="AL710" t="str">
        <f t="shared" si="1160"/>
        <v/>
      </c>
      <c r="AM710" t="str">
        <f t="shared" si="1220"/>
        <v>Away</v>
      </c>
      <c r="AN710" t="str">
        <f t="shared" si="1161"/>
        <v>a</v>
      </c>
      <c r="AO710" t="str">
        <f t="shared" si="1162"/>
        <v>d</v>
      </c>
      <c r="AP710" t="str">
        <f t="shared" si="1163"/>
        <v>o</v>
      </c>
      <c r="AQ710" t="str">
        <f>IF(AM710&lt;&gt;"",AM710,IF($AC710=#REF!,#REF!,""))</f>
        <v>Away</v>
      </c>
      <c r="AR710" t="str">
        <f t="shared" si="1164"/>
        <v>a</v>
      </c>
      <c r="AS710" t="str">
        <f t="shared" si="1165"/>
        <v>Offensive</v>
      </c>
      <c r="AT710" t="str">
        <f t="shared" si="1221"/>
        <v/>
      </c>
      <c r="AU710" t="str">
        <f t="shared" si="1222"/>
        <v/>
      </c>
      <c r="AV710" t="str" cm="1">
        <f t="array" ref="AV710">IFERROR(IF(O710&lt;&gt;"",O710,IF(OR($S710="",$T710=""),"",IF(O710&lt;&gt;"",O710,IF($T710&lt;&gt;"",_xlfn._xlws.FILTER(O:O,($BT:$BT=$BT710)*($I:$I=$I710)*($T:$T=$T710)*($S:$S=_xlfn.MINIFS($S:$S,$T:$T,"="&amp;$T710)),"")))))&amp;"",IF(O710="","",""))&amp;""</f>
        <v/>
      </c>
      <c r="AW710" t="str" cm="1">
        <f t="array" ref="AW710">IFERROR(IF(P710&lt;&gt;"",P710,IF(OR($S710="",$T710=""),"",IF($T710&lt;&gt;"",_xlfn._xlws.FILTER(P:P,($BT:$BT=$BT710)*($I:$I=$I710)*($T:$T=$T710)*($S:$S=_xlfn.MINIFS($S:$S,$T:$T,"="&amp;$T710)),""))))&amp;"",IF(P710="","",""))&amp;""</f>
        <v/>
      </c>
      <c r="AX710" t="str" cm="1">
        <f t="array" ref="AX710">IFERROR(IF(Q710&lt;&gt;"",Q710,IF(OR($S710="",$T710=""),"",IF($T710&lt;&gt;"",_xlfn._xlws.FILTER(Q:Q,($BT:$BT=$BT710)*($I:$I=$I710)*($T:$T=$T710)*($S:$S=_xlfn.MINIFS($S:$S,$T:$T,"="&amp;$T710)),""))))&amp;"",IF(Q710="","",""))&amp;""</f>
        <v/>
      </c>
      <c r="AY710" t="str" cm="1">
        <f t="array" ref="AY710">IFERROR(IF(R710&lt;&gt;"",R710,IF(OR($S710="",$T710=""),"",IF($T710&lt;&gt;"",_xlfn._xlws.FILTER(R:R,($BT:$BT=$BT710)*($I:$I=$I710)*($T:$T=$T710)*($S:$S=_xlfn.MINIFS($S:$S,$T:$T,"="&amp;$T710)),""))))&amp;"",IF(R710="","",""))&amp;""</f>
        <v>1</v>
      </c>
      <c r="AZ710" s="6">
        <f t="shared" si="1223"/>
        <v>57</v>
      </c>
      <c r="BA710">
        <f t="shared" ref="BA710:BC710" si="1238">BA709</f>
        <v>18991</v>
      </c>
      <c r="BB710" t="str">
        <f t="shared" si="1238"/>
        <v>Triple J</v>
      </c>
      <c r="BC710" t="str">
        <f t="shared" si="1238"/>
        <v>Velodrome</v>
      </c>
      <c r="BD710" t="str">
        <f t="shared" si="1225"/>
        <v>Pass</v>
      </c>
      <c r="BE710" t="str">
        <f t="shared" si="1226"/>
        <v>Pass_Completed</v>
      </c>
      <c r="BF710" t="str">
        <f t="shared" si="1227"/>
        <v>Pass-Rim/Wrap</v>
      </c>
      <c r="BG710" t="str">
        <f t="shared" si="1209"/>
        <v>s</v>
      </c>
      <c r="BH710" cm="1">
        <f t="array" aca="1" ref="BH710" ca="1">IFERROR(_xlfn._xlws.FILTER(shifts!A:A,(shifts!B:B=events!Z710)*(shifts!AG:AG&gt;=events!BJ710)*(shifts!AH:AH&lt;=events!BK710)),BH709)</f>
        <v>24</v>
      </c>
      <c r="BI710" s="15">
        <f t="shared" si="1228"/>
        <v>0</v>
      </c>
      <c r="BJ710">
        <f t="shared" si="1229"/>
        <v>464</v>
      </c>
      <c r="BK710">
        <f t="shared" si="1230"/>
        <v>464</v>
      </c>
      <c r="BL710" s="15">
        <f>SUMIFS(BI$2:BI710,K$2:K710,"=Intermission")+SUMIFS(BI$2:BI710,K$2:K710,"=Timeout")</f>
        <v>0</v>
      </c>
      <c r="BM710">
        <f t="shared" si="1231"/>
        <v>0</v>
      </c>
      <c r="BN710" s="19">
        <f t="shared" si="1232"/>
        <v>616</v>
      </c>
      <c r="BO710">
        <f t="shared" si="1233"/>
        <v>611</v>
      </c>
      <c r="BP710" s="17">
        <f t="shared" si="1234"/>
        <v>616</v>
      </c>
      <c r="BQ710" t="str">
        <f t="shared" si="1235"/>
        <v>event_team_player_2</v>
      </c>
      <c r="BR710">
        <f>COUNTIFS(S$3:S710,"="&amp;S710,AH$3:AH710,"="&amp;AH710)</f>
        <v>2</v>
      </c>
      <c r="BS710" t="str">
        <f>IFERROR(VLOOKUP(BA710&amp;BT710&amp;X710,game_rosters!U:W,3,FALSE),"")</f>
        <v>P100064</v>
      </c>
      <c r="BT710" t="str">
        <f t="shared" si="1236"/>
        <v>Velodrome</v>
      </c>
    </row>
    <row r="711" spans="1:72" x14ac:dyDescent="0.2">
      <c r="A711">
        <f t="shared" si="1211"/>
        <v>1</v>
      </c>
      <c r="E711" s="4"/>
      <c r="F711" s="45" t="s">
        <v>1032</v>
      </c>
      <c r="G711" s="4"/>
      <c r="H711" s="47" t="s">
        <v>1037</v>
      </c>
      <c r="I711" s="26">
        <v>55</v>
      </c>
      <c r="J711" s="26" t="s">
        <v>368</v>
      </c>
      <c r="K711" t="s">
        <v>13</v>
      </c>
      <c r="N711" t="str">
        <f t="shared" si="1150"/>
        <v/>
      </c>
      <c r="Q711" t="str">
        <f t="shared" si="1144"/>
        <v/>
      </c>
      <c r="R711" s="26">
        <v>1</v>
      </c>
      <c r="S711">
        <f>IF(A711=1,MAX($S$2:$S710)+1,IF(OR($I711&lt;&gt;"",A711="x"),$S710,""))</f>
        <v>354</v>
      </c>
      <c r="T711" t="str">
        <f>IF(D711=1,MAX($T$2:$T710)+1,IF(S711=S710,$T710,IF(D711="x",T710,IF(D710="x","",""))))</f>
        <v/>
      </c>
      <c r="U711" t="str">
        <f>IF(B711=1,MAX($U$2:$U710)+1,IF(AND($T711&lt;&gt;"",$T711=$T710),$U710,IF(B711="x",U710,"")))</f>
        <v/>
      </c>
      <c r="V711" t="str">
        <f>IF(C711=1,MAX($V$2:$V710)+1,IF(AND($T711&lt;&gt;"",$T711=$T710),$U710,IF(C711="x",V710,"")))</f>
        <v/>
      </c>
      <c r="W711" t="str" cm="1">
        <f t="array" ref="W711">IFERROR(_xlfn._xlws.FILTER(game_rosters!AC:AC,(game_rosters!J:J=events!X711)*(K711&lt;&gt;"")),"")</f>
        <v>a</v>
      </c>
      <c r="X711" cm="1">
        <f t="array" ref="X711">IF($I711&lt;&gt;"",$I711,INDEX($I$1:$I711,ROW()-COUNTIFS($T$1:$T711,"="&amp;$T711,$S$1:$S711,"&lt;"&amp;$S711)))</f>
        <v>55</v>
      </c>
      <c r="Y711" cm="1">
        <f t="array" ref="Y711">IFERROR(IF(_xlfn._xlws.FILTER(game_rosters!$J:$J,(game_rosters!$G:$G=events!$AM711)*(game_rosters!$J:$J=events!$X711))&gt;0,1,""),"")</f>
        <v>1</v>
      </c>
      <c r="Z711" s="6">
        <f t="shared" si="1212"/>
        <v>1</v>
      </c>
      <c r="AA711">
        <f t="shared" si="1213"/>
        <v>1354</v>
      </c>
      <c r="AB711" t="str">
        <f t="shared" si="1214"/>
        <v/>
      </c>
      <c r="AC711">
        <f t="shared" si="1215"/>
        <v>1354</v>
      </c>
      <c r="AD711" t="str">
        <f t="shared" si="1216"/>
        <v>7</v>
      </c>
      <c r="AE711" t="str">
        <f t="shared" si="1217"/>
        <v>42</v>
      </c>
      <c r="AF711" t="str">
        <f t="shared" si="1218"/>
        <v>7</v>
      </c>
      <c r="AG711" t="str">
        <f t="shared" si="1219"/>
        <v>41</v>
      </c>
      <c r="AH711" t="str">
        <f t="shared" si="1157"/>
        <v>e</v>
      </c>
      <c r="AI711" t="str">
        <f t="shared" si="1199"/>
        <v>o</v>
      </c>
      <c r="AJ711" t="str">
        <f t="shared" si="1199"/>
        <v>o</v>
      </c>
      <c r="AK711" t="str">
        <f t="shared" si="1159"/>
        <v>d</v>
      </c>
      <c r="AL711" t="str">
        <f t="shared" si="1160"/>
        <v>o</v>
      </c>
      <c r="AM711" t="str">
        <f t="shared" si="1220"/>
        <v>Away</v>
      </c>
      <c r="AN711" t="str">
        <f t="shared" si="1161"/>
        <v>a</v>
      </c>
      <c r="AO711" t="str">
        <f t="shared" si="1162"/>
        <v>d</v>
      </c>
      <c r="AP711" t="str">
        <f t="shared" si="1163"/>
        <v>o</v>
      </c>
      <c r="AQ711" t="str">
        <f>IF(AM711&lt;&gt;"",AM711,IF($AC711=#REF!,#REF!,""))</f>
        <v>Away</v>
      </c>
      <c r="AR711" t="str">
        <f t="shared" si="1164"/>
        <v>a</v>
      </c>
      <c r="AS711" t="str">
        <f t="shared" si="1165"/>
        <v>Offensive</v>
      </c>
      <c r="AT711" t="str">
        <f t="shared" si="1221"/>
        <v/>
      </c>
      <c r="AU711" t="str">
        <f t="shared" si="1222"/>
        <v/>
      </c>
      <c r="AV711" t="str" cm="1">
        <f t="array" ref="AV711">IFERROR(IF(O711&lt;&gt;"",O711,IF(OR($S711="",$T711=""),"",IF(O711&lt;&gt;"",O711,IF($T711&lt;&gt;"",_xlfn._xlws.FILTER(O:O,($BT:$BT=$BT711)*($I:$I=$I711)*($T:$T=$T711)*($S:$S=_xlfn.MINIFS($S:$S,$T:$T,"="&amp;$T711)),"")))))&amp;"",IF(O711="","",""))&amp;""</f>
        <v/>
      </c>
      <c r="AW711" t="str" cm="1">
        <f t="array" ref="AW711">IFERROR(IF(P711&lt;&gt;"",P711,IF(OR($S711="",$T711=""),"",IF($T711&lt;&gt;"",_xlfn._xlws.FILTER(P:P,($BT:$BT=$BT711)*($I:$I=$I711)*($T:$T=$T711)*($S:$S=_xlfn.MINIFS($S:$S,$T:$T,"="&amp;$T711)),""))))&amp;"",IF(P711="","",""))&amp;""</f>
        <v/>
      </c>
      <c r="AX711" t="str" cm="1">
        <f t="array" ref="AX711">IFERROR(IF(Q711&lt;&gt;"",Q711,IF(OR($S711="",$T711=""),"",IF($T711&lt;&gt;"",_xlfn._xlws.FILTER(Q:Q,($BT:$BT=$BT711)*($I:$I=$I711)*($T:$T=$T711)*($S:$S=_xlfn.MINIFS($S:$S,$T:$T,"="&amp;$T711)),""))))&amp;"",IF(Q711="","",""))&amp;""</f>
        <v/>
      </c>
      <c r="AY711" t="str" cm="1">
        <f t="array" ref="AY711">IFERROR(IF(R711&lt;&gt;"",R711,IF(OR($S711="",$T711=""),"",IF($T711&lt;&gt;"",_xlfn._xlws.FILTER(R:R,($BT:$BT=$BT711)*($I:$I=$I711)*($T:$T=$T711)*($S:$S=_xlfn.MINIFS($S:$S,$T:$T,"="&amp;$T711)),""))))&amp;"",IF(R711="","",""))&amp;""</f>
        <v>1</v>
      </c>
      <c r="AZ711" s="6">
        <f t="shared" si="1223"/>
        <v>57</v>
      </c>
      <c r="BA711">
        <f t="shared" ref="BA711:BC711" si="1239">BA710</f>
        <v>18991</v>
      </c>
      <c r="BB711" t="str">
        <f t="shared" si="1239"/>
        <v>Triple J</v>
      </c>
      <c r="BC711" t="str">
        <f t="shared" si="1239"/>
        <v>Velodrome</v>
      </c>
      <c r="BD711" t="str">
        <f t="shared" si="1225"/>
        <v>Possession</v>
      </c>
      <c r="BE711" t="str">
        <f t="shared" si="1226"/>
        <v/>
      </c>
      <c r="BF711" t="str">
        <f t="shared" si="1227"/>
        <v/>
      </c>
      <c r="BG711" t="str">
        <f t="shared" si="1209"/>
        <v/>
      </c>
      <c r="BH711" cm="1">
        <f t="array" aca="1" ref="BH711" ca="1">IFERROR(_xlfn._xlws.FILTER(shifts!A:A,(shifts!B:B=events!Z711)*(shifts!AG:AG&gt;=events!BJ711)*(shifts!AH:AH&lt;=events!BK711)),BH710)</f>
        <v>24</v>
      </c>
      <c r="BI711" s="15">
        <f t="shared" si="1228"/>
        <v>1</v>
      </c>
      <c r="BJ711">
        <f t="shared" si="1229"/>
        <v>462</v>
      </c>
      <c r="BK711">
        <f t="shared" si="1230"/>
        <v>461</v>
      </c>
      <c r="BL711" s="15">
        <f>SUMIFS(BI$2:BI711,K$2:K711,"=Intermission")+SUMIFS(BI$2:BI711,K$2:K711,"=Timeout")</f>
        <v>0</v>
      </c>
      <c r="BM711">
        <f t="shared" si="1231"/>
        <v>0</v>
      </c>
      <c r="BN711" s="19">
        <f t="shared" si="1232"/>
        <v>618</v>
      </c>
      <c r="BO711">
        <f t="shared" si="1233"/>
        <v>613</v>
      </c>
      <c r="BP711" s="17">
        <f t="shared" si="1234"/>
        <v>619</v>
      </c>
      <c r="BQ711" t="str">
        <f t="shared" si="1235"/>
        <v>event_team_player_1</v>
      </c>
      <c r="BR711">
        <f>COUNTIFS(S$3:S711,"="&amp;S711,AH$3:AH711,"="&amp;AH711)</f>
        <v>1</v>
      </c>
      <c r="BS711" t="str">
        <f>IFERROR(VLOOKUP(BA711&amp;BT711&amp;X711,game_rosters!U:W,3,FALSE),"")</f>
        <v>P100064</v>
      </c>
      <c r="BT711" t="str">
        <f t="shared" si="1236"/>
        <v>Velodrome</v>
      </c>
    </row>
    <row r="712" spans="1:72" x14ac:dyDescent="0.2">
      <c r="A712" t="str">
        <f t="shared" si="1211"/>
        <v/>
      </c>
      <c r="E712" s="4"/>
      <c r="F712" s="45"/>
      <c r="G712" s="4"/>
      <c r="H712" s="47"/>
      <c r="I712" s="26">
        <v>19</v>
      </c>
      <c r="J712" s="26" t="str">
        <f t="shared" si="1237"/>
        <v/>
      </c>
      <c r="N712" t="str">
        <f t="shared" si="1150"/>
        <v/>
      </c>
      <c r="O712" t="s">
        <v>567</v>
      </c>
      <c r="Q712" t="str">
        <f t="shared" si="1144"/>
        <v/>
      </c>
      <c r="S712">
        <f>IF(A712=1,MAX($S$2:$S711)+1,IF(OR($I712&lt;&gt;"",A712="x"),$S711,""))</f>
        <v>354</v>
      </c>
      <c r="T712" t="str">
        <f>IF(D712=1,MAX($T$2:$T711)+1,IF(S712=S711,$T711,IF(D712="x",T711,IF(D711="x","",""))))</f>
        <v/>
      </c>
      <c r="U712" t="str">
        <f>IF(B712=1,MAX($U$2:$U711)+1,IF(AND($T712&lt;&gt;"",$T712=$T711),$U711,IF(B712="x",U711,"")))</f>
        <v/>
      </c>
      <c r="V712" t="str">
        <f>IF(C712=1,MAX($V$2:$V711)+1,IF(AND($T712&lt;&gt;"",$T712=$T711),$U711,IF(C712="x",V711,"")))</f>
        <v/>
      </c>
      <c r="W712" t="str" cm="1">
        <f t="array" ref="W712">IFERROR(_xlfn._xlws.FILTER(game_rosters!AC:AC,(game_rosters!J:J=events!X712)*(K712&lt;&gt;"")),"")</f>
        <v/>
      </c>
      <c r="X712" cm="1">
        <f t="array" ref="X712">IF($I712&lt;&gt;"",$I712,INDEX($I$1:$I712,ROW()-COUNTIFS($T$1:$T712,"="&amp;$T712,$S$1:$S712,"&lt;"&amp;$S712)))</f>
        <v>19</v>
      </c>
      <c r="Y712" t="str" cm="1">
        <f t="array" ref="Y712">IFERROR(IF(_xlfn._xlws.FILTER(game_rosters!$J:$J,(game_rosters!$G:$G=events!$AM712)*(game_rosters!$J:$J=events!$X712))&gt;0,1,""),"")</f>
        <v/>
      </c>
      <c r="Z712" s="6">
        <f t="shared" si="1212"/>
        <v>1</v>
      </c>
      <c r="AA712">
        <f t="shared" si="1213"/>
        <v>1354</v>
      </c>
      <c r="AB712" t="str">
        <f t="shared" si="1214"/>
        <v/>
      </c>
      <c r="AC712">
        <f t="shared" si="1215"/>
        <v>1354</v>
      </c>
      <c r="AD712" t="str">
        <f t="shared" si="1216"/>
        <v>7</v>
      </c>
      <c r="AE712" t="str">
        <f t="shared" si="1217"/>
        <v>42</v>
      </c>
      <c r="AF712" t="str">
        <f t="shared" si="1218"/>
        <v>7</v>
      </c>
      <c r="AG712" t="str">
        <f t="shared" si="1219"/>
        <v>41</v>
      </c>
      <c r="AH712" t="str">
        <f t="shared" si="1157"/>
        <v>o</v>
      </c>
      <c r="AI712" t="str">
        <f t="shared" si="1199"/>
        <v>o</v>
      </c>
      <c r="AJ712" t="str">
        <f t="shared" si="1199"/>
        <v>o</v>
      </c>
      <c r="AK712" t="str">
        <f t="shared" si="1159"/>
        <v/>
      </c>
      <c r="AL712" t="str">
        <f t="shared" si="1160"/>
        <v/>
      </c>
      <c r="AM712" t="str">
        <f t="shared" si="1220"/>
        <v>Away</v>
      </c>
      <c r="AN712" t="str">
        <f t="shared" si="1161"/>
        <v>a</v>
      </c>
      <c r="AO712" t="str">
        <f t="shared" si="1162"/>
        <v>d</v>
      </c>
      <c r="AP712" t="str">
        <f t="shared" si="1163"/>
        <v>o</v>
      </c>
      <c r="AQ712" t="str">
        <f>IF(AM712&lt;&gt;"",AM712,IF($AC712=#REF!,#REF!,""))</f>
        <v>Away</v>
      </c>
      <c r="AR712" t="str">
        <f t="shared" si="1164"/>
        <v>a</v>
      </c>
      <c r="AS712" t="str">
        <f t="shared" si="1165"/>
        <v>Defensive</v>
      </c>
      <c r="AT712" t="str">
        <f t="shared" si="1221"/>
        <v/>
      </c>
      <c r="AU712" t="str">
        <f t="shared" si="1222"/>
        <v/>
      </c>
      <c r="AV712" t="str" cm="1">
        <f t="array" ref="AV712">IFERROR(IF(O712&lt;&gt;"",O712,IF(OR($S712="",$T712=""),"",IF(O712&lt;&gt;"",O712,IF($T712&lt;&gt;"",_xlfn._xlws.FILTER(O:O,($BT:$BT=$BT712)*($I:$I=$I712)*($T:$T=$T712)*($S:$S=_xlfn.MINIFS($S:$S,$T:$T,"="&amp;$T712)),"")))))&amp;"",IF(O712="","",""))&amp;""</f>
        <v>StickCheck</v>
      </c>
      <c r="AW712" t="str" cm="1">
        <f t="array" ref="AW712">IFERROR(IF(P712&lt;&gt;"",P712,IF(OR($S712="",$T712=""),"",IF($T712&lt;&gt;"",_xlfn._xlws.FILTER(P:P,($BT:$BT=$BT712)*($I:$I=$I712)*($T:$T=$T712)*($S:$S=_xlfn.MINIFS($S:$S,$T:$T,"="&amp;$T712)),""))))&amp;"",IF(P712="","",""))&amp;""</f>
        <v/>
      </c>
      <c r="AX712" t="str" cm="1">
        <f t="array" ref="AX712">IFERROR(IF(Q712&lt;&gt;"",Q712,IF(OR($S712="",$T712=""),"",IF($T712&lt;&gt;"",_xlfn._xlws.FILTER(Q:Q,($BT:$BT=$BT712)*($I:$I=$I712)*($T:$T=$T712)*($S:$S=_xlfn.MINIFS($S:$S,$T:$T,"="&amp;$T712)),""))))&amp;"",IF(Q712="","",""))&amp;""</f>
        <v/>
      </c>
      <c r="AY712" t="str" cm="1">
        <f t="array" ref="AY712">IFERROR(IF(R712&lt;&gt;"",R712,IF(OR($S712="",$T712=""),"",IF($T712&lt;&gt;"",_xlfn._xlws.FILTER(R:R,($BT:$BT=$BT712)*($I:$I=$I712)*($T:$T=$T712)*($S:$S=_xlfn.MINIFS($S:$S,$T:$T,"="&amp;$T712)),""))))&amp;"",IF(R712="","",""))&amp;""</f>
        <v/>
      </c>
      <c r="AZ712" s="6">
        <f t="shared" si="1223"/>
        <v>57</v>
      </c>
      <c r="BA712">
        <f t="shared" ref="BA712:BC712" si="1240">BA711</f>
        <v>18991</v>
      </c>
      <c r="BB712" t="str">
        <f t="shared" si="1240"/>
        <v>Triple J</v>
      </c>
      <c r="BC712" t="str">
        <f t="shared" si="1240"/>
        <v>Velodrome</v>
      </c>
      <c r="BD712" t="str">
        <f t="shared" si="1225"/>
        <v>Possession</v>
      </c>
      <c r="BE712" t="str">
        <f t="shared" si="1226"/>
        <v/>
      </c>
      <c r="BF712" t="str">
        <f t="shared" si="1227"/>
        <v/>
      </c>
      <c r="BG712" t="str">
        <f t="shared" si="1209"/>
        <v/>
      </c>
      <c r="BH712" cm="1">
        <f t="array" aca="1" ref="BH712" ca="1">IFERROR(_xlfn._xlws.FILTER(shifts!A:A,(shifts!B:B=events!Z712)*(shifts!AG:AG&gt;=events!BJ712)*(shifts!AH:AH&lt;=events!BK712)),BH711)</f>
        <v>24</v>
      </c>
      <c r="BI712" s="15">
        <f t="shared" si="1228"/>
        <v>1</v>
      </c>
      <c r="BJ712">
        <f t="shared" si="1229"/>
        <v>462</v>
      </c>
      <c r="BK712">
        <f t="shared" si="1230"/>
        <v>461</v>
      </c>
      <c r="BL712" s="15">
        <f>SUMIFS(BI$2:BI712,K$2:K712,"=Intermission")+SUMIFS(BI$2:BI712,K$2:K712,"=Timeout")</f>
        <v>0</v>
      </c>
      <c r="BM712">
        <f t="shared" si="1231"/>
        <v>0</v>
      </c>
      <c r="BN712" s="19">
        <f t="shared" si="1232"/>
        <v>618</v>
      </c>
      <c r="BO712">
        <f t="shared" si="1233"/>
        <v>613</v>
      </c>
      <c r="BP712" s="17">
        <f t="shared" si="1234"/>
        <v>619</v>
      </c>
      <c r="BQ712" t="str">
        <f t="shared" si="1235"/>
        <v>opp_team_player_1</v>
      </c>
      <c r="BR712">
        <f>COUNTIFS(S$3:S712,"="&amp;S712,AH$3:AH712,"="&amp;AH712)</f>
        <v>1</v>
      </c>
      <c r="BS712" t="str">
        <f>IFERROR(VLOOKUP(BA712&amp;BT712&amp;X712,game_rosters!U:W,3,FALSE),"")</f>
        <v>P100089</v>
      </c>
      <c r="BT712" t="str">
        <f t="shared" si="1236"/>
        <v>Triple J</v>
      </c>
    </row>
    <row r="713" spans="1:72" x14ac:dyDescent="0.2">
      <c r="A713">
        <f t="shared" si="1211"/>
        <v>1</v>
      </c>
      <c r="D713" s="26">
        <v>1</v>
      </c>
      <c r="E713" s="4"/>
      <c r="F713" s="45"/>
      <c r="G713" s="4"/>
      <c r="H713" s="47"/>
      <c r="I713" s="26">
        <v>55</v>
      </c>
      <c r="J713" s="26" t="s">
        <v>368</v>
      </c>
      <c r="K713" t="s">
        <v>7</v>
      </c>
      <c r="L713" t="s">
        <v>199</v>
      </c>
      <c r="M713" t="s">
        <v>67</v>
      </c>
      <c r="N713" t="str">
        <f t="shared" si="1150"/>
        <v>u</v>
      </c>
      <c r="O713" t="s">
        <v>576</v>
      </c>
      <c r="Q713" t="str">
        <f t="shared" si="1144"/>
        <v>u</v>
      </c>
      <c r="R713" s="26">
        <v>1</v>
      </c>
      <c r="S713">
        <f>IF(A713=1,MAX($S$2:$S712)+1,IF(OR($I713&lt;&gt;"",A713="x"),$S712,""))</f>
        <v>355</v>
      </c>
      <c r="T713">
        <f>IF(D713=1,MAX($T$2:$T712)+1,IF(S713=S712,$T712,IF(D713="x",T712,IF(D712="x","",""))))</f>
        <v>47</v>
      </c>
      <c r="U713" t="str">
        <f>IF(B713=1,MAX($U$2:$U712)+1,IF(AND($T713&lt;&gt;"",$T713=$T712),$U712,IF(B713="x",U712,"")))</f>
        <v/>
      </c>
      <c r="V713" t="str">
        <f>IF(C713=1,MAX($V$2:$V712)+1,IF(AND($T713&lt;&gt;"",$T713=$T712),$U712,IF(C713="x",V712,"")))</f>
        <v/>
      </c>
      <c r="W713" t="str" cm="1">
        <f t="array" ref="W713">IFERROR(_xlfn._xlws.FILTER(game_rosters!AC:AC,(game_rosters!J:J=events!X713)*(K713&lt;&gt;"")),"")</f>
        <v>a</v>
      </c>
      <c r="X713" cm="1">
        <f t="array" ref="X713">IF($I713&lt;&gt;"",$I713,INDEX($I$1:$I713,ROW()-COUNTIFS($T$1:$T713,"="&amp;$T713,$S$1:$S713,"&lt;"&amp;$S713)))</f>
        <v>55</v>
      </c>
      <c r="Y713" cm="1">
        <f t="array" ref="Y713">IFERROR(IF(_xlfn._xlws.FILTER(game_rosters!$J:$J,(game_rosters!$G:$G=events!$AM713)*(game_rosters!$J:$J=events!$X713))&gt;0,1,""),"")</f>
        <v>1</v>
      </c>
      <c r="Z713" s="6">
        <f t="shared" si="1212"/>
        <v>1</v>
      </c>
      <c r="AA713">
        <f t="shared" si="1213"/>
        <v>1355</v>
      </c>
      <c r="AB713">
        <f t="shared" si="1214"/>
        <v>9047</v>
      </c>
      <c r="AC713">
        <f t="shared" si="1215"/>
        <v>9047</v>
      </c>
      <c r="AD713" t="str">
        <f t="shared" ref="AD713:AD738" si="1241">IF(E713&lt;&gt;"",E713,IF($AC713=$AC712,AD712,IF(AF712&lt;&gt;"",AF712,IF(AD712&lt;&gt;"",AD712,""))))</f>
        <v>7</v>
      </c>
      <c r="AE713" t="str">
        <f t="shared" ref="AE713:AE738" si="1242">IF(F713&lt;&gt;"",F713,IF($AC713=$AC712,AE712,IF(AG712&lt;&gt;"",AG712,IF(AE712&lt;&gt;"",AE712,""))))</f>
        <v>41</v>
      </c>
      <c r="AF713" t="str">
        <f t="shared" ref="AF713:AF738" si="1243">IF(G713&lt;&gt;"",G713,IF($AC713=$AC712,AF712,IF(H713="","",AD713)))</f>
        <v/>
      </c>
      <c r="AG713" t="str">
        <f t="shared" ref="AG713:AG738" si="1244">IF(H713&lt;&gt;"",H713,IF($S713=$S712,AG712,""))</f>
        <v/>
      </c>
      <c r="AH713" t="str">
        <f t="shared" si="1157"/>
        <v>e</v>
      </c>
      <c r="AI713" t="str">
        <f t="shared" si="1199"/>
        <v>o</v>
      </c>
      <c r="AJ713" t="str">
        <f t="shared" si="1199"/>
        <v>o</v>
      </c>
      <c r="AK713" t="str">
        <f t="shared" si="1159"/>
        <v>d</v>
      </c>
      <c r="AL713" t="str">
        <f t="shared" si="1160"/>
        <v>o</v>
      </c>
      <c r="AM713" t="str">
        <f t="shared" si="1220"/>
        <v>Away</v>
      </c>
      <c r="AN713" t="str">
        <f t="shared" si="1161"/>
        <v>a</v>
      </c>
      <c r="AO713" t="str">
        <f t="shared" si="1162"/>
        <v>d</v>
      </c>
      <c r="AP713" t="str">
        <f t="shared" si="1163"/>
        <v>o</v>
      </c>
      <c r="AQ713" t="str">
        <f>IF(AM713&lt;&gt;"",AM713,IF($AC713=#REF!,#REF!,""))</f>
        <v>Away</v>
      </c>
      <c r="AR713" t="str">
        <f t="shared" si="1164"/>
        <v>a</v>
      </c>
      <c r="AS713" t="str">
        <f t="shared" si="1165"/>
        <v>Offensive</v>
      </c>
      <c r="AV713" t="str" cm="1">
        <f t="array" ref="AV713">IFERROR(IF(O713&lt;&gt;"",O713,IF(OR($S713="",$T713=""),"",IF(O713&lt;&gt;"",O713,IF($T713&lt;&gt;"",_xlfn._xlws.FILTER(O:O,($BT:$BT=$BT713)*($I:$I=$I713)*($T:$T=$T713)*($S:$S=_xlfn.MINIFS($S:$S,$T:$T,"="&amp;$T713)),"")))))&amp;"",IF(O713="","",""))&amp;""</f>
        <v>SecondTouch</v>
      </c>
      <c r="AW713" t="str" cm="1">
        <f t="array" ref="AW713">IFERROR(IF(P713&lt;&gt;"",P713,IF(OR($S713="",$T713=""),"",IF($T713&lt;&gt;"",_xlfn._xlws.FILTER(P:P,($BT:$BT=$BT713)*($I:$I=$I713)*($T:$T=$T713)*($S:$S=_xlfn.MINIFS($S:$S,$T:$T,"="&amp;$T713)),""))))&amp;"",IF(P713="","",""))&amp;""</f>
        <v/>
      </c>
      <c r="AX713" t="str" cm="1">
        <f t="array" ref="AX713">IFERROR(IF(Q713&lt;&gt;"",Q713,IF(OR($S713="",$T713=""),"",IF($T713&lt;&gt;"",_xlfn._xlws.FILTER(Q:Q,($BT:$BT=$BT713)*($I:$I=$I713)*($T:$T=$T713)*($S:$S=_xlfn.MINIFS($S:$S,$T:$T,"="&amp;$T713)),""))))&amp;"",IF(Q713="","",""))&amp;""</f>
        <v>u</v>
      </c>
      <c r="AY713" t="str" cm="1">
        <f t="array" ref="AY713">IFERROR(IF(R713&lt;&gt;"",R713,IF(OR($S713="",$T713=""),"",IF($T713&lt;&gt;"",_xlfn._xlws.FILTER(R:R,($BT:$BT=$BT713)*($I:$I=$I713)*($T:$T=$T713)*($S:$S=_xlfn.MINIFS($S:$S,$T:$T,"="&amp;$T713)),""))))&amp;"",IF(R713="","",""))&amp;""</f>
        <v>1</v>
      </c>
      <c r="AZ713" s="6">
        <f t="shared" si="1223"/>
        <v>57</v>
      </c>
      <c r="BA713">
        <f t="shared" ref="BA713:BC713" si="1245">BA712</f>
        <v>18991</v>
      </c>
      <c r="BB713" t="str">
        <f t="shared" si="1245"/>
        <v>Triple J</v>
      </c>
      <c r="BC713" t="str">
        <f t="shared" si="1245"/>
        <v>Velodrome</v>
      </c>
      <c r="BD713" t="str">
        <f t="shared" si="1225"/>
        <v>Pass</v>
      </c>
      <c r="BE713" t="str">
        <f t="shared" si="1226"/>
        <v>Pass_Intercepted</v>
      </c>
      <c r="BF713" t="str">
        <f t="shared" si="1227"/>
        <v>Pass-Backhand</v>
      </c>
      <c r="BG713" t="str">
        <f t="shared" si="1209"/>
        <v>u</v>
      </c>
      <c r="BH713" cm="1">
        <f t="array" aca="1" ref="BH713" ca="1">IFERROR(_xlfn._xlws.FILTER(shifts!A:A,(shifts!B:B=events!Z713)*(shifts!AG:AG&gt;=events!BJ713)*(shifts!AH:AH&lt;=events!BK713)),BH712)</f>
        <v>24</v>
      </c>
      <c r="BI713" s="15">
        <f t="shared" ref="BI713:BI738" si="1246">IF(AND(AF713="",AG713=""),0,((AD713*60)+AE713)-((AF713*60)+AG713))</f>
        <v>0</v>
      </c>
      <c r="BJ713">
        <f t="shared" ref="BJ713:BJ738" si="1247">(AD713*60)+AE713</f>
        <v>461</v>
      </c>
      <c r="BK713">
        <f t="shared" ref="BK713:BK738" si="1248">IF(AND(AF713="",AG713=""),BJ713,((AF713*60)+AG713))</f>
        <v>461</v>
      </c>
      <c r="BL713" s="15">
        <f>SUMIFS(BI$2:BI713,K$2:K713,"=Intermission")+SUMIFS(BI$2:BI713,K$2:K713,"=Timeout")</f>
        <v>0</v>
      </c>
      <c r="BM713">
        <f t="shared" ref="BM713:BM738" si="1249">IF(Z713=1,0,IF(Z713=2,1080+BL713,IF(Z713=3,(1080*2)+BL713,0)))</f>
        <v>0</v>
      </c>
      <c r="BN713" s="19">
        <f t="shared" ref="BN713:BN738" si="1250">IF(K713="Intermission",BN712,((1080)-((AD713*60)+AE713))+BM713)</f>
        <v>619</v>
      </c>
      <c r="BO713">
        <f t="shared" ref="BO713:BO738" si="1251">IF(BN713&lt;5,0,BN713-5)</f>
        <v>614</v>
      </c>
      <c r="BP713" s="17">
        <f t="shared" ref="BP713:BP738" si="1252">BO713+BI713+5</f>
        <v>619</v>
      </c>
      <c r="BQ713" t="str">
        <f t="shared" ref="BQ713:BQ738" si="1253">IF(AH713="e","event_team_player_"&amp;BR713,IF(AH713="o","opp_team_player_"&amp;BR713,""))</f>
        <v>event_team_player_1</v>
      </c>
      <c r="BR713">
        <f>COUNTIFS(S$3:S713,"="&amp;S713,AH$3:AH713,"="&amp;AH713)</f>
        <v>1</v>
      </c>
      <c r="BS713" t="str">
        <f>IFERROR(VLOOKUP(BA713&amp;BT713&amp;X713,game_rosters!U:W,3,FALSE),"")</f>
        <v>P100064</v>
      </c>
      <c r="BT713" t="str">
        <f t="shared" ref="BT713:BT738" si="1254">IF(AQ713="","",IF(AND(AQ713="Away",AH713="e"),BC713,IF(AND(AQ713="Home",AH713="e"),BB713,IF(AND(AQ713="Away",AH713="o"),BB713,IF(AND(AQ713="Home",AH713="o"),BC713)))))</f>
        <v>Velodrome</v>
      </c>
    </row>
    <row r="714" spans="1:72" x14ac:dyDescent="0.2">
      <c r="A714" t="str">
        <f t="shared" si="1211"/>
        <v>x</v>
      </c>
      <c r="D714" s="26" t="s">
        <v>729</v>
      </c>
      <c r="E714" s="4"/>
      <c r="F714" s="45"/>
      <c r="G714" s="4"/>
      <c r="H714" s="47"/>
      <c r="I714" s="26">
        <v>70</v>
      </c>
      <c r="J714" s="26" t="str">
        <f t="shared" si="1237"/>
        <v/>
      </c>
      <c r="N714" t="str">
        <f t="shared" si="1150"/>
        <v/>
      </c>
      <c r="Q714" t="str">
        <f t="shared" si="1144"/>
        <v/>
      </c>
      <c r="S714">
        <f>IF(A714=1,MAX($S$2:$S713)+1,IF(OR($I714&lt;&gt;"",A714="x"),$S713,""))</f>
        <v>355</v>
      </c>
      <c r="T714">
        <f>IF(D714=1,MAX($T$2:$T713)+1,IF(S714=S713,$T713,IF(D714="x",T713,IF(D713="x","",""))))</f>
        <v>47</v>
      </c>
      <c r="U714" t="str">
        <f>IF(B714=1,MAX($U$2:$U713)+1,IF(AND($T714&lt;&gt;"",$T714=$T713),$U713,IF(B714="x",U713,"")))</f>
        <v/>
      </c>
      <c r="V714" t="str">
        <f>IF(C714=1,MAX($V$2:$V713)+1,IF(AND($T714&lt;&gt;"",$T714=$T713),$U713,IF(C714="x",V713,"")))</f>
        <v/>
      </c>
      <c r="W714" t="str" cm="1">
        <f t="array" ref="W714">IFERROR(_xlfn._xlws.FILTER(game_rosters!AC:AC,(game_rosters!J:J=events!X714)*(K714&lt;&gt;"")),"")</f>
        <v/>
      </c>
      <c r="X714" cm="1">
        <f t="array" ref="X714">IF($I714&lt;&gt;"",$I714,INDEX($I$1:$I714,ROW()-COUNTIFS($T$1:$T714,"="&amp;$T714,$S$1:$S714,"&lt;"&amp;$S714)))</f>
        <v>70</v>
      </c>
      <c r="Y714" cm="1">
        <f t="array" ref="Y714">IFERROR(IF(_xlfn._xlws.FILTER(game_rosters!$J:$J,(game_rosters!$G:$G=events!$AM714)*(game_rosters!$J:$J=events!$X714))&gt;0,1,""),"")</f>
        <v>1</v>
      </c>
      <c r="Z714" s="6">
        <f t="shared" si="1212"/>
        <v>1</v>
      </c>
      <c r="AA714">
        <f t="shared" si="1213"/>
        <v>1355</v>
      </c>
      <c r="AB714">
        <f t="shared" si="1214"/>
        <v>9047</v>
      </c>
      <c r="AC714">
        <f t="shared" si="1215"/>
        <v>9047</v>
      </c>
      <c r="AD714" t="str">
        <f t="shared" si="1241"/>
        <v>7</v>
      </c>
      <c r="AE714" t="str">
        <f t="shared" si="1242"/>
        <v>41</v>
      </c>
      <c r="AF714" t="str">
        <f t="shared" si="1243"/>
        <v/>
      </c>
      <c r="AG714" t="str">
        <f t="shared" si="1244"/>
        <v/>
      </c>
      <c r="AH714" t="str">
        <f t="shared" si="1157"/>
        <v>e</v>
      </c>
      <c r="AI714" t="str">
        <f t="shared" si="1199"/>
        <v>o</v>
      </c>
      <c r="AJ714" t="str">
        <f t="shared" si="1199"/>
        <v>o</v>
      </c>
      <c r="AK714" t="str">
        <f t="shared" si="1159"/>
        <v/>
      </c>
      <c r="AL714" t="str">
        <f t="shared" si="1160"/>
        <v/>
      </c>
      <c r="AM714" t="str">
        <f t="shared" si="1220"/>
        <v>Away</v>
      </c>
      <c r="AN714" t="str">
        <f t="shared" si="1161"/>
        <v>a</v>
      </c>
      <c r="AO714" t="str">
        <f t="shared" si="1162"/>
        <v>d</v>
      </c>
      <c r="AP714" t="str">
        <f t="shared" si="1163"/>
        <v>o</v>
      </c>
      <c r="AQ714" t="str">
        <f>IF(AM714&lt;&gt;"",AM714,IF($AC714=#REF!,#REF!,""))</f>
        <v>Away</v>
      </c>
      <c r="AR714" t="str">
        <f t="shared" si="1164"/>
        <v>a</v>
      </c>
      <c r="AS714" t="str">
        <f t="shared" si="1165"/>
        <v>Offensive</v>
      </c>
      <c r="AV714" t="str" cm="1">
        <f t="array" ref="AV714">IFERROR(IF(O714&lt;&gt;"",O714,IF(OR($S714="",$T714=""),"",IF(O714&lt;&gt;"",O714,IF($T714&lt;&gt;"",_xlfn._xlws.FILTER(O:O,($BT:$BT=$BT714)*($I:$I=$I714)*($T:$T=$T714)*($S:$S=_xlfn.MINIFS($S:$S,$T:$T,"="&amp;$T714)),"")))))&amp;"",IF(O714="","",""))&amp;""</f>
        <v/>
      </c>
      <c r="AW714" t="str" cm="1">
        <f t="array" ref="AW714">IFERROR(IF(P714&lt;&gt;"",P714,IF(OR($S714="",$T714=""),"",IF($T714&lt;&gt;"",_xlfn._xlws.FILTER(P:P,($BT:$BT=$BT714)*($I:$I=$I714)*($T:$T=$T714)*($S:$S=_xlfn.MINIFS($S:$S,$T:$T,"="&amp;$T714)),""))))&amp;"",IF(P714="","",""))&amp;""</f>
        <v/>
      </c>
      <c r="AX714" t="str" cm="1">
        <f t="array" ref="AX714">IFERROR(IF(Q714&lt;&gt;"",Q714,IF(OR($S714="",$T714=""),"",IF($T714&lt;&gt;"",_xlfn._xlws.FILTER(Q:Q,($BT:$BT=$BT714)*($I:$I=$I714)*($T:$T=$T714)*($S:$S=_xlfn.MINIFS($S:$S,$T:$T,"="&amp;$T714)),""))))&amp;"",IF(Q714="","",""))&amp;""</f>
        <v/>
      </c>
      <c r="AY714" t="str" cm="1">
        <f t="array" ref="AY714">IFERROR(IF(R714&lt;&gt;"",R714,IF(OR($S714="",$T714=""),"",IF($T714&lt;&gt;"",_xlfn._xlws.FILTER(R:R,($BT:$BT=$BT714)*($I:$I=$I714)*($T:$T=$T714)*($S:$S=_xlfn.MINIFS($S:$S,$T:$T,"="&amp;$T714)),""))))&amp;"",IF(R714="","",""))&amp;""</f>
        <v/>
      </c>
      <c r="AZ714" s="6">
        <f t="shared" si="1223"/>
        <v>57</v>
      </c>
      <c r="BA714">
        <f t="shared" ref="BA714:BC714" si="1255">BA713</f>
        <v>18991</v>
      </c>
      <c r="BB714" t="str">
        <f t="shared" si="1255"/>
        <v>Triple J</v>
      </c>
      <c r="BC714" t="str">
        <f t="shared" si="1255"/>
        <v>Velodrome</v>
      </c>
      <c r="BD714" t="str">
        <f t="shared" si="1225"/>
        <v>Pass</v>
      </c>
      <c r="BE714" t="str">
        <f t="shared" si="1226"/>
        <v>Pass_Intercepted</v>
      </c>
      <c r="BF714" t="str">
        <f t="shared" si="1227"/>
        <v>Pass-Backhand</v>
      </c>
      <c r="BG714" t="str">
        <f t="shared" si="1209"/>
        <v>u</v>
      </c>
      <c r="BH714" cm="1">
        <f t="array" aca="1" ref="BH714" ca="1">IFERROR(_xlfn._xlws.FILTER(shifts!A:A,(shifts!B:B=events!Z714)*(shifts!AG:AG&gt;=events!BJ714)*(shifts!AH:AH&lt;=events!BK714)),BH713)</f>
        <v>24</v>
      </c>
      <c r="BI714" s="15">
        <f t="shared" si="1246"/>
        <v>0</v>
      </c>
      <c r="BJ714">
        <f t="shared" si="1247"/>
        <v>461</v>
      </c>
      <c r="BK714">
        <f t="shared" si="1248"/>
        <v>461</v>
      </c>
      <c r="BL714" s="15">
        <f>SUMIFS(BI$2:BI714,K$2:K714,"=Intermission")+SUMIFS(BI$2:BI714,K$2:K714,"=Timeout")</f>
        <v>0</v>
      </c>
      <c r="BM714">
        <f t="shared" si="1249"/>
        <v>0</v>
      </c>
      <c r="BN714" s="19">
        <f t="shared" si="1250"/>
        <v>619</v>
      </c>
      <c r="BO714">
        <f t="shared" si="1251"/>
        <v>614</v>
      </c>
      <c r="BP714" s="17">
        <f t="shared" si="1252"/>
        <v>619</v>
      </c>
      <c r="BQ714" t="str">
        <f t="shared" si="1253"/>
        <v>event_team_player_2</v>
      </c>
      <c r="BR714">
        <f>COUNTIFS(S$3:S714,"="&amp;S714,AH$3:AH714,"="&amp;AH714)</f>
        <v>2</v>
      </c>
      <c r="BS714" t="str">
        <f>IFERROR(VLOOKUP(BA714&amp;BT714&amp;X714,game_rosters!U:W,3,FALSE),"")</f>
        <v>P100001</v>
      </c>
      <c r="BT714" t="str">
        <f t="shared" si="1254"/>
        <v>Velodrome</v>
      </c>
    </row>
    <row r="715" spans="1:72" x14ac:dyDescent="0.2">
      <c r="A715" t="str">
        <f t="shared" si="1211"/>
        <v>x</v>
      </c>
      <c r="D715" s="26" t="s">
        <v>729</v>
      </c>
      <c r="E715" s="4"/>
      <c r="F715" s="45"/>
      <c r="G715" s="4"/>
      <c r="H715" s="47"/>
      <c r="I715" s="26">
        <v>19</v>
      </c>
      <c r="J715" s="26" t="str">
        <f t="shared" si="1237"/>
        <v/>
      </c>
      <c r="N715" t="str">
        <f>IF(K715="","",IF(K715="Goal","s",IF(AND(K715="Zone_Entry_Exit",OR(ISNUMBER(SEARCH("fail",L715)),ISNUMBER(SEARCH("FromExitClear",M715)),ISNUMBER(SEARCH("miss",M715)))),"u",IF(AND(K715="Zone_Entry_Exit",OR(NOT(ISNUMBER(SEARCH("fail",L715))),NOT(ISNUMBER(SEARCH("FromExitClear",M715))),NOT(ISNUMBER(SEARCH("miss",M715))))),"s",IF(AND(OR(K715="Shot",K715="Pass"),OR(ISNUMBER(SEARCH("complete",L715)),ISNUMBER(SEARCH("goal",L715)),ISNUMBER(SEARCH("OnNet",L715)))),"s",IF(L715="Turnover_Giveaway","u",IF(AND(OR(K715="Shot",K715="Pass"),OR(ISNUMBER(SEARCH("fail",L715)),NOT(ISNUMBER(SEARCH("complete",L715))),NOT(ISNUMBER(SEARCH("OnNet",L715))))),"u","")))))))</f>
        <v/>
      </c>
      <c r="O715" t="s">
        <v>567</v>
      </c>
      <c r="Q715" t="str">
        <f t="shared" si="1144"/>
        <v/>
      </c>
      <c r="R715" s="26">
        <v>1</v>
      </c>
      <c r="S715">
        <f>IF(A715=1,MAX($S$2:$S714)+1,IF(OR($I715&lt;&gt;"",A715="x"),$S714,""))</f>
        <v>355</v>
      </c>
      <c r="T715">
        <f>IF(D715=1,MAX($T$2:$T714)+1,IF(S715=S714,$T714,IF(D715="x",T714,IF(D714="x","",""))))</f>
        <v>47</v>
      </c>
      <c r="U715" t="str">
        <f>IF(B715=1,MAX($U$2:$U714)+1,IF(AND($T715&lt;&gt;"",$T715=$T714),$U714,IF(B715="x",U714,"")))</f>
        <v/>
      </c>
      <c r="V715" t="str">
        <f>IF(C715=1,MAX($V$2:$V714)+1,IF(AND($T715&lt;&gt;"",$T715=$T714),$U714,IF(C715="x",V714,"")))</f>
        <v/>
      </c>
      <c r="W715" t="str" cm="1">
        <f t="array" ref="W715">IFERROR(_xlfn._xlws.FILTER(game_rosters!AC:AC,(game_rosters!J:J=events!X715)*(K715&lt;&gt;"")),"")</f>
        <v/>
      </c>
      <c r="X715" cm="1">
        <f t="array" ref="X715">IF($I715&lt;&gt;"",$I715,INDEX($I$1:$I715,ROW()-COUNTIFS($T$1:$T715,"="&amp;$T715,$S$1:$S715,"&lt;"&amp;$S715)))</f>
        <v>19</v>
      </c>
      <c r="Y715" t="str" cm="1">
        <f t="array" ref="Y715">IFERROR(IF(_xlfn._xlws.FILTER(game_rosters!$J:$J,(game_rosters!$G:$G=events!$AM715)*(game_rosters!$J:$J=events!$X715))&gt;0,1,""),"")</f>
        <v/>
      </c>
      <c r="Z715" s="6">
        <f t="shared" si="1212"/>
        <v>1</v>
      </c>
      <c r="AA715">
        <f t="shared" si="1213"/>
        <v>1355</v>
      </c>
      <c r="AB715">
        <f t="shared" si="1214"/>
        <v>9047</v>
      </c>
      <c r="AC715">
        <f t="shared" si="1215"/>
        <v>9047</v>
      </c>
      <c r="AD715" t="str">
        <f t="shared" si="1241"/>
        <v>7</v>
      </c>
      <c r="AE715" t="str">
        <f t="shared" si="1242"/>
        <v>41</v>
      </c>
      <c r="AF715" t="str">
        <f t="shared" si="1243"/>
        <v/>
      </c>
      <c r="AG715" t="str">
        <f t="shared" si="1244"/>
        <v/>
      </c>
      <c r="AH715" t="str">
        <f t="shared" si="1157"/>
        <v>o</v>
      </c>
      <c r="AI715" t="str">
        <f t="shared" ref="AI715:AJ730" si="1256">IF($J715&lt;&gt;"",$J715,IF($AC715=$AC714,AI714,""))</f>
        <v>o</v>
      </c>
      <c r="AJ715" t="str">
        <f t="shared" si="1256"/>
        <v>o</v>
      </c>
      <c r="AK715" t="str">
        <f t="shared" si="1159"/>
        <v/>
      </c>
      <c r="AL715" t="str">
        <f t="shared" si="1160"/>
        <v/>
      </c>
      <c r="AM715" t="str">
        <f t="shared" si="1220"/>
        <v>Away</v>
      </c>
      <c r="AN715" t="str">
        <f t="shared" si="1161"/>
        <v>a</v>
      </c>
      <c r="AO715" t="str">
        <f t="shared" si="1162"/>
        <v>d</v>
      </c>
      <c r="AP715" t="str">
        <f t="shared" si="1163"/>
        <v>o</v>
      </c>
      <c r="AQ715" t="str">
        <f>IF(AM715&lt;&gt;"",AM715,IF($AC715=#REF!,#REF!,""))</f>
        <v>Away</v>
      </c>
      <c r="AR715" t="str">
        <f t="shared" si="1164"/>
        <v>a</v>
      </c>
      <c r="AS715" t="str">
        <f t="shared" si="1165"/>
        <v>Defensive</v>
      </c>
      <c r="AV715" t="str" cm="1">
        <f t="array" ref="AV715">IFERROR(IF(O715&lt;&gt;"",O715,IF(OR($S715="",$T715=""),"",IF(O715&lt;&gt;"",O715,IF($T715&lt;&gt;"",_xlfn._xlws.FILTER(O:O,($BT:$BT=$BT715)*($I:$I=$I715)*($T:$T=$T715)*($S:$S=_xlfn.MINIFS($S:$S,$T:$T,"="&amp;$T715)),"")))))&amp;"",IF(O715="","",""))&amp;""</f>
        <v>StickCheck</v>
      </c>
      <c r="AW715" t="str" cm="1">
        <f t="array" ref="AW715">IFERROR(IF(P715&lt;&gt;"",P715,IF(OR($S715="",$T715=""),"",IF($T715&lt;&gt;"",_xlfn._xlws.FILTER(P:P,($BT:$BT=$BT715)*($I:$I=$I715)*($T:$T=$T715)*($S:$S=_xlfn.MINIFS($S:$S,$T:$T,"="&amp;$T715)),""))))&amp;"",IF(P715="","",""))&amp;""</f>
        <v/>
      </c>
      <c r="AX715" t="str" cm="1">
        <f t="array" ref="AX715">IFERROR(IF(Q715&lt;&gt;"",Q715,IF(OR($S715="",$T715=""),"",IF($T715&lt;&gt;"",_xlfn._xlws.FILTER(Q:Q,($BT:$BT=$BT715)*($I:$I=$I715)*($T:$T=$T715)*($S:$S=_xlfn.MINIFS($S:$S,$T:$T,"="&amp;$T715)),""))))&amp;"",IF(Q715="","",""))&amp;""</f>
        <v/>
      </c>
      <c r="AY715" t="str" cm="1">
        <f t="array" ref="AY715">IFERROR(IF(R715&lt;&gt;"",R715,IF(OR($S715="",$T715=""),"",IF($T715&lt;&gt;"",_xlfn._xlws.FILTER(R:R,($BT:$BT=$BT715)*($I:$I=$I715)*($T:$T=$T715)*($S:$S=_xlfn.MINIFS($S:$S,$T:$T,"="&amp;$T715)),""))))&amp;"",IF(R715="","",""))&amp;""</f>
        <v>1</v>
      </c>
      <c r="AZ715" s="6">
        <f t="shared" si="1223"/>
        <v>57</v>
      </c>
      <c r="BA715">
        <f t="shared" ref="BA715:BC715" si="1257">BA714</f>
        <v>18991</v>
      </c>
      <c r="BB715" t="str">
        <f t="shared" si="1257"/>
        <v>Triple J</v>
      </c>
      <c r="BC715" t="str">
        <f t="shared" si="1257"/>
        <v>Velodrome</v>
      </c>
      <c r="BD715" t="str">
        <f t="shared" si="1225"/>
        <v>Pass</v>
      </c>
      <c r="BE715" t="str">
        <f t="shared" si="1226"/>
        <v>Pass_Intercepted</v>
      </c>
      <c r="BF715" t="str">
        <f t="shared" si="1227"/>
        <v>Pass-Backhand</v>
      </c>
      <c r="BG715" t="str">
        <f t="shared" si="1209"/>
        <v>u</v>
      </c>
      <c r="BH715" cm="1">
        <f t="array" aca="1" ref="BH715" ca="1">IFERROR(_xlfn._xlws.FILTER(shifts!A:A,(shifts!B:B=events!Z715)*(shifts!AG:AG&gt;=events!BJ715)*(shifts!AH:AH&lt;=events!BK715)),BH714)</f>
        <v>24</v>
      </c>
      <c r="BI715" s="15">
        <f t="shared" si="1246"/>
        <v>0</v>
      </c>
      <c r="BJ715">
        <f t="shared" si="1247"/>
        <v>461</v>
      </c>
      <c r="BK715">
        <f t="shared" si="1248"/>
        <v>461</v>
      </c>
      <c r="BL715" s="15">
        <f>SUMIFS(BI$2:BI715,K$2:K715,"=Intermission")+SUMIFS(BI$2:BI715,K$2:K715,"=Timeout")</f>
        <v>0</v>
      </c>
      <c r="BM715">
        <f t="shared" si="1249"/>
        <v>0</v>
      </c>
      <c r="BN715" s="19">
        <f t="shared" si="1250"/>
        <v>619</v>
      </c>
      <c r="BO715">
        <f t="shared" si="1251"/>
        <v>614</v>
      </c>
      <c r="BP715" s="17">
        <f t="shared" si="1252"/>
        <v>619</v>
      </c>
      <c r="BQ715" t="str">
        <f t="shared" si="1253"/>
        <v>opp_team_player_1</v>
      </c>
      <c r="BR715">
        <f>COUNTIFS(S$3:S715,"="&amp;S715,AH$3:AH715,"="&amp;AH715)</f>
        <v>1</v>
      </c>
      <c r="BS715" t="str">
        <f>IFERROR(VLOOKUP(BA715&amp;BT715&amp;X715,game_rosters!U:W,3,FALSE),"")</f>
        <v>P100089</v>
      </c>
      <c r="BT715" t="str">
        <f t="shared" si="1254"/>
        <v>Triple J</v>
      </c>
    </row>
    <row r="716" spans="1:72" x14ac:dyDescent="0.2">
      <c r="A716" t="str">
        <f t="shared" si="1211"/>
        <v>x</v>
      </c>
      <c r="D716" s="26" t="s">
        <v>729</v>
      </c>
      <c r="E716" s="4"/>
      <c r="F716" s="45"/>
      <c r="G716" s="4"/>
      <c r="H716" s="47"/>
      <c r="I716" s="26">
        <v>73</v>
      </c>
      <c r="J716" s="26" t="str">
        <f t="shared" si="1237"/>
        <v/>
      </c>
      <c r="N716" t="str">
        <f t="shared" si="1150"/>
        <v/>
      </c>
      <c r="O716" t="s">
        <v>557</v>
      </c>
      <c r="Q716" t="str">
        <f t="shared" si="1144"/>
        <v/>
      </c>
      <c r="S716">
        <f>IF(A716=1,MAX($S$2:$S715)+1,IF(OR($I716&lt;&gt;"",A716="x"),$S715,""))</f>
        <v>355</v>
      </c>
      <c r="T716">
        <f>IF(D716=1,MAX($T$2:$T715)+1,IF(S716=S715,$T715,IF(D716="x",T715,IF(D715="x","",""))))</f>
        <v>47</v>
      </c>
      <c r="U716" t="str">
        <f>IF(B716=1,MAX($U$2:$U715)+1,IF(AND($T716&lt;&gt;"",$T716=$T715),$U715,IF(B716="x",U715,"")))</f>
        <v/>
      </c>
      <c r="V716" t="str">
        <f>IF(C716=1,MAX($V$2:$V715)+1,IF(AND($T716&lt;&gt;"",$T716=$T715),$U715,IF(C716="x",V715,"")))</f>
        <v/>
      </c>
      <c r="W716" t="str" cm="1">
        <f t="array" ref="W716">IFERROR(_xlfn._xlws.FILTER(game_rosters!AC:AC,(game_rosters!J:J=events!X716)*(K716&lt;&gt;"")),"")</f>
        <v/>
      </c>
      <c r="X716" cm="1">
        <f t="array" ref="X716">IF($I716&lt;&gt;"",$I716,INDEX($I$1:$I716,ROW()-COUNTIFS($T$1:$T716,"="&amp;$T716,$S$1:$S716,"&lt;"&amp;$S716)))</f>
        <v>73</v>
      </c>
      <c r="Y716" t="str" cm="1">
        <f t="array" ref="Y716">IFERROR(IF(_xlfn._xlws.FILTER(game_rosters!$J:$J,(game_rosters!$G:$G=events!$AM716)*(game_rosters!$J:$J=events!$X716))&gt;0,1,""),"")</f>
        <v/>
      </c>
      <c r="Z716" s="6">
        <f t="shared" si="1212"/>
        <v>1</v>
      </c>
      <c r="AA716">
        <f t="shared" si="1213"/>
        <v>1355</v>
      </c>
      <c r="AB716">
        <f t="shared" si="1214"/>
        <v>9047</v>
      </c>
      <c r="AC716">
        <f t="shared" si="1215"/>
        <v>9047</v>
      </c>
      <c r="AD716" t="str">
        <f t="shared" si="1241"/>
        <v>7</v>
      </c>
      <c r="AE716" t="str">
        <f t="shared" si="1242"/>
        <v>41</v>
      </c>
      <c r="AF716" t="str">
        <f t="shared" si="1243"/>
        <v/>
      </c>
      <c r="AG716" t="str">
        <f t="shared" si="1244"/>
        <v/>
      </c>
      <c r="AH716" t="str">
        <f t="shared" si="1157"/>
        <v>o</v>
      </c>
      <c r="AI716" t="str">
        <f t="shared" si="1256"/>
        <v>o</v>
      </c>
      <c r="AJ716" t="str">
        <f t="shared" si="1256"/>
        <v>o</v>
      </c>
      <c r="AK716" t="str">
        <f t="shared" si="1159"/>
        <v/>
      </c>
      <c r="AL716" t="str">
        <f t="shared" si="1160"/>
        <v/>
      </c>
      <c r="AM716" t="str">
        <f t="shared" si="1220"/>
        <v>Away</v>
      </c>
      <c r="AN716" t="str">
        <f t="shared" si="1161"/>
        <v>a</v>
      </c>
      <c r="AO716" t="str">
        <f t="shared" si="1162"/>
        <v>d</v>
      </c>
      <c r="AP716" t="str">
        <f t="shared" si="1163"/>
        <v>o</v>
      </c>
      <c r="AQ716" t="str">
        <f>IF(AM716&lt;&gt;"",AM716,IF($AC716=#REF!,#REF!,""))</f>
        <v>Away</v>
      </c>
      <c r="AR716" t="str">
        <f t="shared" si="1164"/>
        <v>a</v>
      </c>
      <c r="AS716" t="str">
        <f t="shared" si="1165"/>
        <v>Defensive</v>
      </c>
      <c r="AV716" t="str" cm="1">
        <f t="array" ref="AV716">IFERROR(IF(O716&lt;&gt;"",O716,IF(OR($S716="",$T716=""),"",IF(O716&lt;&gt;"",O716,IF($T716&lt;&gt;"",_xlfn._xlws.FILTER(O:O,($BT:$BT=$BT716)*($I:$I=$I716)*($T:$T=$T716)*($S:$S=_xlfn.MINIFS($S:$S,$T:$T,"="&amp;$T716)),"")))))&amp;"",IF(O716="","",""))&amp;""</f>
        <v>PassIntercepted</v>
      </c>
      <c r="AW716" t="str" cm="1">
        <f t="array" ref="AW716">IFERROR(IF(P716&lt;&gt;"",P716,IF(OR($S716="",$T716=""),"",IF($T716&lt;&gt;"",_xlfn._xlws.FILTER(P:P,($BT:$BT=$BT716)*($I:$I=$I716)*($T:$T=$T716)*($S:$S=_xlfn.MINIFS($S:$S,$T:$T,"="&amp;$T716)),""))))&amp;"",IF(P716="","",""))&amp;""</f>
        <v/>
      </c>
      <c r="AX716" t="str" cm="1">
        <f t="array" ref="AX716">IFERROR(IF(Q716&lt;&gt;"",Q716,IF(OR($S716="",$T716=""),"",IF($T716&lt;&gt;"",_xlfn._xlws.FILTER(Q:Q,($BT:$BT=$BT716)*($I:$I=$I716)*($T:$T=$T716)*($S:$S=_xlfn.MINIFS($S:$S,$T:$T,"="&amp;$T716)),""))))&amp;"",IF(Q716="","",""))&amp;""</f>
        <v/>
      </c>
      <c r="AY716" t="str" cm="1">
        <f t="array" ref="AY716">IFERROR(IF(R716&lt;&gt;"",R716,IF(OR($S716="",$T716=""),"",IF($T716&lt;&gt;"",_xlfn._xlws.FILTER(R:R,($BT:$BT=$BT716)*($I:$I=$I716)*($T:$T=$T716)*($S:$S=_xlfn.MINIFS($S:$S,$T:$T,"="&amp;$T716)),""))))&amp;"",IF(R716="","",""))&amp;""</f>
        <v/>
      </c>
      <c r="AZ716" s="6">
        <f t="shared" si="1223"/>
        <v>57</v>
      </c>
      <c r="BA716">
        <f t="shared" ref="BA716:BC716" si="1258">BA715</f>
        <v>18991</v>
      </c>
      <c r="BB716" t="str">
        <f t="shared" si="1258"/>
        <v>Triple J</v>
      </c>
      <c r="BC716" t="str">
        <f t="shared" si="1258"/>
        <v>Velodrome</v>
      </c>
      <c r="BD716" t="str">
        <f t="shared" si="1225"/>
        <v>Pass</v>
      </c>
      <c r="BE716" t="str">
        <f t="shared" si="1226"/>
        <v>Pass_Intercepted</v>
      </c>
      <c r="BF716" t="str">
        <f t="shared" si="1227"/>
        <v>Pass-Backhand</v>
      </c>
      <c r="BG716" t="str">
        <f t="shared" si="1209"/>
        <v>u</v>
      </c>
      <c r="BH716" cm="1">
        <f t="array" aca="1" ref="BH716" ca="1">IFERROR(_xlfn._xlws.FILTER(shifts!A:A,(shifts!B:B=events!Z716)*(shifts!AG:AG&gt;=events!BJ716)*(shifts!AH:AH&lt;=events!BK716)),BH715)</f>
        <v>24</v>
      </c>
      <c r="BI716" s="15">
        <f t="shared" si="1246"/>
        <v>0</v>
      </c>
      <c r="BJ716">
        <f t="shared" si="1247"/>
        <v>461</v>
      </c>
      <c r="BK716">
        <f t="shared" si="1248"/>
        <v>461</v>
      </c>
      <c r="BL716" s="15">
        <f>SUMIFS(BI$2:BI716,K$2:K716,"=Intermission")+SUMIFS(BI$2:BI716,K$2:K716,"=Timeout")</f>
        <v>0</v>
      </c>
      <c r="BM716">
        <f t="shared" si="1249"/>
        <v>0</v>
      </c>
      <c r="BN716" s="19">
        <f t="shared" si="1250"/>
        <v>619</v>
      </c>
      <c r="BO716">
        <f t="shared" si="1251"/>
        <v>614</v>
      </c>
      <c r="BP716" s="17">
        <f t="shared" si="1252"/>
        <v>619</v>
      </c>
      <c r="BQ716" t="str">
        <f t="shared" si="1253"/>
        <v>opp_team_player_2</v>
      </c>
      <c r="BR716">
        <f>COUNTIFS(S$3:S716,"="&amp;S716,AH$3:AH716,"="&amp;AH716)</f>
        <v>2</v>
      </c>
      <c r="BS716" t="str">
        <f>IFERROR(VLOOKUP(BA716&amp;BT716&amp;X716,game_rosters!U:W,3,FALSE),"")</f>
        <v>P100021</v>
      </c>
      <c r="BT716" t="str">
        <f t="shared" si="1254"/>
        <v>Triple J</v>
      </c>
    </row>
    <row r="717" spans="1:72" x14ac:dyDescent="0.2">
      <c r="A717">
        <f t="shared" si="1211"/>
        <v>1</v>
      </c>
      <c r="D717" s="26" t="s">
        <v>729</v>
      </c>
      <c r="E717" s="4"/>
      <c r="F717" s="45"/>
      <c r="G717" s="4"/>
      <c r="H717" s="47"/>
      <c r="J717" s="26" t="s">
        <v>368</v>
      </c>
      <c r="K717" t="s">
        <v>9</v>
      </c>
      <c r="L717" t="s">
        <v>173</v>
      </c>
      <c r="M717" t="s">
        <v>73</v>
      </c>
      <c r="N717" t="str">
        <f t="shared" si="1150"/>
        <v>u</v>
      </c>
      <c r="Q717" t="str">
        <f t="shared" si="1144"/>
        <v/>
      </c>
      <c r="S717">
        <f>IF(A717=1,MAX($S$2:$S716)+1,IF(OR($I717&lt;&gt;"",A717="x"),$S716,""))</f>
        <v>356</v>
      </c>
      <c r="T717">
        <f>IF(D717=1,MAX($T$2:$T716)+1,IF(S717=S716,$T716,IF(D717="x",T716,IF(D716="x","",""))))</f>
        <v>47</v>
      </c>
      <c r="U717" t="str">
        <f>IF(B717=1,MAX($U$2:$U716)+1,IF(AND($T717&lt;&gt;"",$T717=$T716),$U716,IF(B717="x",U716,"")))</f>
        <v/>
      </c>
      <c r="V717" t="str">
        <f>IF(C717=1,MAX($V$2:$V716)+1,IF(AND($T717&lt;&gt;"",$T717=$T716),$U716,IF(C717="x",V716,"")))</f>
        <v/>
      </c>
      <c r="W717" t="str" cm="1">
        <f t="array" ref="W717">IFERROR(_xlfn._xlws.FILTER(game_rosters!AC:AC,(game_rosters!J:J=events!X717)*(K717&lt;&gt;"")),"")</f>
        <v>a</v>
      </c>
      <c r="X717" cm="1">
        <f t="array" ref="X717">IF($I717&lt;&gt;"",$I717,INDEX($I$1:$I717,ROW()-COUNTIFS($T$1:$T717,"="&amp;$T717,$S$1:$S717,"&lt;"&amp;$S717)))</f>
        <v>55</v>
      </c>
      <c r="Y717" cm="1">
        <f t="array" ref="Y717">IFERROR(IF(_xlfn._xlws.FILTER(game_rosters!$J:$J,(game_rosters!$G:$G=events!$AM717)*(game_rosters!$J:$J=events!$X717))&gt;0,1,""),"")</f>
        <v>1</v>
      </c>
      <c r="Z717" s="6">
        <f t="shared" si="1212"/>
        <v>1</v>
      </c>
      <c r="AA717">
        <f t="shared" si="1213"/>
        <v>1356</v>
      </c>
      <c r="AB717">
        <f t="shared" si="1214"/>
        <v>9047</v>
      </c>
      <c r="AC717">
        <f t="shared" si="1215"/>
        <v>9047</v>
      </c>
      <c r="AD717" t="str">
        <f t="shared" si="1241"/>
        <v>7</v>
      </c>
      <c r="AE717" t="str">
        <f t="shared" si="1242"/>
        <v>41</v>
      </c>
      <c r="AF717" t="str">
        <f t="shared" si="1243"/>
        <v/>
      </c>
      <c r="AG717" t="str">
        <f t="shared" si="1244"/>
        <v/>
      </c>
      <c r="AH717" t="str">
        <f t="shared" si="1157"/>
        <v>e</v>
      </c>
      <c r="AI717" t="str">
        <f t="shared" si="1256"/>
        <v>o</v>
      </c>
      <c r="AJ717" t="str">
        <f t="shared" si="1256"/>
        <v>o</v>
      </c>
      <c r="AK717" t="str">
        <f t="shared" si="1159"/>
        <v>d</v>
      </c>
      <c r="AL717" t="str">
        <f t="shared" si="1160"/>
        <v>o</v>
      </c>
      <c r="AM717" t="str">
        <f t="shared" si="1220"/>
        <v>Away</v>
      </c>
      <c r="AN717" t="str">
        <f t="shared" si="1161"/>
        <v>a</v>
      </c>
      <c r="AO717" t="str">
        <f t="shared" si="1162"/>
        <v>d</v>
      </c>
      <c r="AP717" t="str">
        <f t="shared" si="1163"/>
        <v>o</v>
      </c>
      <c r="AQ717" t="str">
        <f>IF(AM717&lt;&gt;"",AM717,IF($AC717=#REF!,#REF!,""))</f>
        <v>Away</v>
      </c>
      <c r="AR717" t="str">
        <f t="shared" si="1164"/>
        <v>a</v>
      </c>
      <c r="AS717" t="str">
        <f t="shared" si="1165"/>
        <v>Offensive</v>
      </c>
      <c r="AV717" t="str" cm="1">
        <f t="array" ref="AV717">IFERROR(IF(O717&lt;&gt;"",O717,IF(OR($S717="",$T717=""),"",IF(O717&lt;&gt;"",O717,IF($T717&lt;&gt;"",_xlfn._xlws.FILTER(O:O,($BT:$BT=$BT717)*($I:$I=$I717)*($T:$T=$T717)*($S:$S=_xlfn.MINIFS($S:$S,$T:$T,"="&amp;$T717)),"")))))&amp;"",IF(O717="","",""))&amp;""</f>
        <v/>
      </c>
      <c r="AW717" t="str" cm="1">
        <f t="array" ref="AW717">IFERROR(IF(P717&lt;&gt;"",P717,IF(OR($S717="",$T717=""),"",IF($T717&lt;&gt;"",_xlfn._xlws.FILTER(P:P,($BT:$BT=$BT717)*($I:$I=$I717)*($T:$T=$T717)*($S:$S=_xlfn.MINIFS($S:$S,$T:$T,"="&amp;$T717)),""))))&amp;"",IF(P717="","",""))&amp;""</f>
        <v/>
      </c>
      <c r="AX717" t="str" cm="1">
        <f t="array" ref="AX717">IFERROR(IF(Q717&lt;&gt;"",Q717,IF(OR($S717="",$T717=""),"",IF($T717&lt;&gt;"",_xlfn._xlws.FILTER(Q:Q,($BT:$BT=$BT717)*($I:$I=$I717)*($T:$T=$T717)*($S:$S=_xlfn.MINIFS($S:$S,$T:$T,"="&amp;$T717)),""))))&amp;"",IF(Q717="","",""))&amp;""</f>
        <v/>
      </c>
      <c r="AY717" t="str" cm="1">
        <f t="array" ref="AY717">IFERROR(IF(R717&lt;&gt;"",R717,IF(OR($S717="",$T717=""),"",IF($T717&lt;&gt;"",_xlfn._xlws.FILTER(R:R,($BT:$BT=$BT717)*($I:$I=$I717)*($T:$T=$T717)*($S:$S=_xlfn.MINIFS($S:$S,$T:$T,"="&amp;$T717)),""))))&amp;"",IF(R717="","",""))&amp;""</f>
        <v/>
      </c>
      <c r="AZ717" s="6">
        <f t="shared" si="1223"/>
        <v>57</v>
      </c>
      <c r="BA717">
        <f t="shared" ref="BA717:BC717" si="1259">BA716</f>
        <v>18991</v>
      </c>
      <c r="BB717" t="str">
        <f t="shared" si="1259"/>
        <v>Triple J</v>
      </c>
      <c r="BC717" t="str">
        <f t="shared" si="1259"/>
        <v>Velodrome</v>
      </c>
      <c r="BD717" t="str">
        <f t="shared" si="1225"/>
        <v>Turnover</v>
      </c>
      <c r="BE717" t="str">
        <f t="shared" si="1226"/>
        <v>Turnover_Giveaway</v>
      </c>
      <c r="BF717" t="str">
        <f t="shared" si="1227"/>
        <v>Giveaway-PassIntercepted</v>
      </c>
      <c r="BG717" t="str">
        <f t="shared" si="1209"/>
        <v>u</v>
      </c>
      <c r="BH717" cm="1">
        <f t="array" aca="1" ref="BH717" ca="1">IFERROR(_xlfn._xlws.FILTER(shifts!A:A,(shifts!B:B=events!Z717)*(shifts!AG:AG&gt;=events!BJ717)*(shifts!AH:AH&lt;=events!BK717)),BH716)</f>
        <v>24</v>
      </c>
      <c r="BI717" s="15">
        <f t="shared" si="1246"/>
        <v>0</v>
      </c>
      <c r="BJ717">
        <f t="shared" si="1247"/>
        <v>461</v>
      </c>
      <c r="BK717">
        <f t="shared" si="1248"/>
        <v>461</v>
      </c>
      <c r="BL717" s="15">
        <f>SUMIFS(BI$2:BI717,K$2:K717,"=Intermission")+SUMIFS(BI$2:BI717,K$2:K717,"=Timeout")</f>
        <v>0</v>
      </c>
      <c r="BM717">
        <f t="shared" si="1249"/>
        <v>0</v>
      </c>
      <c r="BN717" s="19">
        <f t="shared" si="1250"/>
        <v>619</v>
      </c>
      <c r="BO717">
        <f t="shared" si="1251"/>
        <v>614</v>
      </c>
      <c r="BP717" s="17">
        <f t="shared" si="1252"/>
        <v>619</v>
      </c>
      <c r="BQ717" t="str">
        <f t="shared" si="1253"/>
        <v>event_team_player_1</v>
      </c>
      <c r="BR717">
        <f>COUNTIFS(S$3:S717,"="&amp;S717,AH$3:AH717,"="&amp;AH717)</f>
        <v>1</v>
      </c>
      <c r="BS717" t="str">
        <f>IFERROR(VLOOKUP(BA717&amp;BT717&amp;X717,game_rosters!U:W,3,FALSE),"")</f>
        <v>P100064</v>
      </c>
      <c r="BT717" t="str">
        <f t="shared" si="1254"/>
        <v>Velodrome</v>
      </c>
    </row>
    <row r="718" spans="1:72" x14ac:dyDescent="0.2">
      <c r="A718" t="str">
        <f t="shared" si="1211"/>
        <v>x</v>
      </c>
      <c r="D718" s="26" t="s">
        <v>729</v>
      </c>
      <c r="E718" s="4"/>
      <c r="F718" s="45"/>
      <c r="G718" s="4"/>
      <c r="H718" s="47"/>
      <c r="J718" s="26" t="str">
        <f t="shared" si="1237"/>
        <v/>
      </c>
      <c r="N718" t="str">
        <f t="shared" si="1150"/>
        <v/>
      </c>
      <c r="Q718" t="str">
        <f t="shared" si="1144"/>
        <v/>
      </c>
      <c r="S718">
        <f>IF(A718=1,MAX($S$2:$S717)+1,IF(OR($I718&lt;&gt;"",A718="x"),$S717,""))</f>
        <v>356</v>
      </c>
      <c r="T718">
        <f>IF(D718=1,MAX($T$2:$T717)+1,IF(S718=S717,$T717,IF(D718="x",T717,IF(D717="x","",""))))</f>
        <v>47</v>
      </c>
      <c r="U718" t="str">
        <f>IF(B718=1,MAX($U$2:$U717)+1,IF(AND($T718&lt;&gt;"",$T718=$T717),$U717,IF(B718="x",U717,"")))</f>
        <v/>
      </c>
      <c r="V718" t="str">
        <f>IF(C718=1,MAX($V$2:$V717)+1,IF(AND($T718&lt;&gt;"",$T718=$T717),$U717,IF(C718="x",V717,"")))</f>
        <v/>
      </c>
      <c r="W718" t="str" cm="1">
        <f t="array" ref="W718">IFERROR(_xlfn._xlws.FILTER(game_rosters!AC:AC,(game_rosters!J:J=events!X718)*(K718&lt;&gt;"")),"")</f>
        <v/>
      </c>
      <c r="X718" cm="1">
        <f t="array" ref="X718">IF($I718&lt;&gt;"",$I718,INDEX($I$1:$I718,ROW()-COUNTIFS($T$1:$T718,"="&amp;$T718,$S$1:$S718,"&lt;"&amp;$S718)))</f>
        <v>70</v>
      </c>
      <c r="Y718" cm="1">
        <f t="array" ref="Y718">IFERROR(IF(_xlfn._xlws.FILTER(game_rosters!$J:$J,(game_rosters!$G:$G=events!$AM718)*(game_rosters!$J:$J=events!$X718))&gt;0,1,""),"")</f>
        <v>1</v>
      </c>
      <c r="Z718" s="6">
        <f t="shared" si="1212"/>
        <v>1</v>
      </c>
      <c r="AA718">
        <f t="shared" si="1213"/>
        <v>1356</v>
      </c>
      <c r="AB718">
        <f t="shared" si="1214"/>
        <v>9047</v>
      </c>
      <c r="AC718">
        <f t="shared" si="1215"/>
        <v>9047</v>
      </c>
      <c r="AD718" t="str">
        <f t="shared" si="1241"/>
        <v>7</v>
      </c>
      <c r="AE718" t="str">
        <f t="shared" si="1242"/>
        <v>41</v>
      </c>
      <c r="AF718" t="str">
        <f t="shared" si="1243"/>
        <v/>
      </c>
      <c r="AG718" t="str">
        <f t="shared" si="1244"/>
        <v/>
      </c>
      <c r="AH718" t="str">
        <f t="shared" si="1157"/>
        <v>e</v>
      </c>
      <c r="AI718" t="str">
        <f t="shared" si="1256"/>
        <v>o</v>
      </c>
      <c r="AJ718" t="str">
        <f t="shared" si="1256"/>
        <v>o</v>
      </c>
      <c r="AK718" t="str">
        <f t="shared" si="1159"/>
        <v/>
      </c>
      <c r="AL718" t="str">
        <f t="shared" si="1160"/>
        <v/>
      </c>
      <c r="AM718" t="str">
        <f t="shared" si="1220"/>
        <v>Away</v>
      </c>
      <c r="AN718" t="str">
        <f t="shared" si="1161"/>
        <v>a</v>
      </c>
      <c r="AO718" t="str">
        <f t="shared" si="1162"/>
        <v>d</v>
      </c>
      <c r="AP718" t="str">
        <f t="shared" si="1163"/>
        <v>o</v>
      </c>
      <c r="AQ718" t="str">
        <f>IF(AM718&lt;&gt;"",AM718,IF($AC718=#REF!,#REF!,""))</f>
        <v>Away</v>
      </c>
      <c r="AR718" t="str">
        <f t="shared" si="1164"/>
        <v>a</v>
      </c>
      <c r="AS718" t="str">
        <f t="shared" si="1165"/>
        <v>Offensive</v>
      </c>
      <c r="AV718" t="str" cm="1">
        <f t="array" ref="AV718">IFERROR(IF(O718&lt;&gt;"",O718,IF(OR($S718="",$T718=""),"",IF(O718&lt;&gt;"",O718,IF($T718&lt;&gt;"",_xlfn._xlws.FILTER(O:O,($BT:$BT=$BT718)*($I:$I=$I718)*($T:$T=$T718)*($S:$S=_xlfn.MINIFS($S:$S,$T:$T,"="&amp;$T718)),"")))))&amp;"",IF(O718="","",""))&amp;""</f>
        <v/>
      </c>
      <c r="AW718" t="str" cm="1">
        <f t="array" ref="AW718">IFERROR(IF(P718&lt;&gt;"",P718,IF(OR($S718="",$T718=""),"",IF($T718&lt;&gt;"",_xlfn._xlws.FILTER(P:P,($BT:$BT=$BT718)*($I:$I=$I718)*($T:$T=$T718)*($S:$S=_xlfn.MINIFS($S:$S,$T:$T,"="&amp;$T718)),""))))&amp;"",IF(P718="","",""))&amp;""</f>
        <v/>
      </c>
      <c r="AX718" t="str" cm="1">
        <f t="array" ref="AX718">IFERROR(IF(Q718&lt;&gt;"",Q718,IF(OR($S718="",$T718=""),"",IF($T718&lt;&gt;"",_xlfn._xlws.FILTER(Q:Q,($BT:$BT=$BT718)*($I:$I=$I718)*($T:$T=$T718)*($S:$S=_xlfn.MINIFS($S:$S,$T:$T,"="&amp;$T718)),""))))&amp;"",IF(Q718="","",""))&amp;""</f>
        <v/>
      </c>
      <c r="AY718" t="str" cm="1">
        <f t="array" ref="AY718">IFERROR(IF(R718&lt;&gt;"",R718,IF(OR($S718="",$T718=""),"",IF($T718&lt;&gt;"",_xlfn._xlws.FILTER(R:R,($BT:$BT=$BT718)*($I:$I=$I718)*($T:$T=$T718)*($S:$S=_xlfn.MINIFS($S:$S,$T:$T,"="&amp;$T718)),""))))&amp;"",IF(R718="","",""))&amp;""</f>
        <v/>
      </c>
      <c r="AZ718" s="6">
        <f t="shared" si="1223"/>
        <v>57</v>
      </c>
      <c r="BA718">
        <f t="shared" ref="BA718:BC718" si="1260">BA717</f>
        <v>18991</v>
      </c>
      <c r="BB718" t="str">
        <f t="shared" si="1260"/>
        <v>Triple J</v>
      </c>
      <c r="BC718" t="str">
        <f t="shared" si="1260"/>
        <v>Velodrome</v>
      </c>
      <c r="BD718" t="str">
        <f t="shared" si="1225"/>
        <v>Turnover</v>
      </c>
      <c r="BE718" t="str">
        <f t="shared" si="1226"/>
        <v>Turnover_Giveaway</v>
      </c>
      <c r="BF718" t="str">
        <f t="shared" si="1227"/>
        <v>Giveaway-PassIntercepted</v>
      </c>
      <c r="BG718" t="str">
        <f t="shared" si="1209"/>
        <v>u</v>
      </c>
      <c r="BH718" cm="1">
        <f t="array" aca="1" ref="BH718" ca="1">IFERROR(_xlfn._xlws.FILTER(shifts!A:A,(shifts!B:B=events!Z718)*(shifts!AG:AG&gt;=events!BJ718)*(shifts!AH:AH&lt;=events!BK718)),BH717)</f>
        <v>24</v>
      </c>
      <c r="BI718" s="15">
        <f t="shared" si="1246"/>
        <v>0</v>
      </c>
      <c r="BJ718">
        <f t="shared" si="1247"/>
        <v>461</v>
      </c>
      <c r="BK718">
        <f t="shared" si="1248"/>
        <v>461</v>
      </c>
      <c r="BL718" s="15">
        <f>SUMIFS(BI$2:BI718,K$2:K718,"=Intermission")+SUMIFS(BI$2:BI718,K$2:K718,"=Timeout")</f>
        <v>0</v>
      </c>
      <c r="BM718">
        <f t="shared" si="1249"/>
        <v>0</v>
      </c>
      <c r="BN718" s="19">
        <f t="shared" si="1250"/>
        <v>619</v>
      </c>
      <c r="BO718">
        <f t="shared" si="1251"/>
        <v>614</v>
      </c>
      <c r="BP718" s="17">
        <f t="shared" si="1252"/>
        <v>619</v>
      </c>
      <c r="BQ718" t="str">
        <f t="shared" si="1253"/>
        <v>event_team_player_2</v>
      </c>
      <c r="BR718">
        <f>COUNTIFS(S$3:S718,"="&amp;S718,AH$3:AH718,"="&amp;AH718)</f>
        <v>2</v>
      </c>
      <c r="BS718" t="str">
        <f>IFERROR(VLOOKUP(BA718&amp;BT718&amp;X718,game_rosters!U:W,3,FALSE),"")</f>
        <v>P100001</v>
      </c>
      <c r="BT718" t="str">
        <f t="shared" si="1254"/>
        <v>Velodrome</v>
      </c>
    </row>
    <row r="719" spans="1:72" x14ac:dyDescent="0.2">
      <c r="A719" t="str">
        <f t="shared" si="1211"/>
        <v>x</v>
      </c>
      <c r="D719" s="26" t="s">
        <v>729</v>
      </c>
      <c r="E719" s="4"/>
      <c r="F719" s="45"/>
      <c r="G719" s="4"/>
      <c r="H719" s="47"/>
      <c r="J719" s="26" t="str">
        <f t="shared" si="1237"/>
        <v/>
      </c>
      <c r="N719" t="str">
        <f t="shared" si="1150"/>
        <v/>
      </c>
      <c r="Q719" t="str">
        <f t="shared" si="1144"/>
        <v/>
      </c>
      <c r="S719">
        <f>IF(A719=1,MAX($S$2:$S718)+1,IF(OR($I719&lt;&gt;"",A719="x"),$S718,""))</f>
        <v>356</v>
      </c>
      <c r="T719">
        <f>IF(D719=1,MAX($T$2:$T718)+1,IF(S719=S718,$T718,IF(D719="x",T718,IF(D718="x","",""))))</f>
        <v>47</v>
      </c>
      <c r="U719" t="str">
        <f>IF(B719=1,MAX($U$2:$U718)+1,IF(AND($T719&lt;&gt;"",$T719=$T718),$U718,IF(B719="x",U718,"")))</f>
        <v/>
      </c>
      <c r="V719" t="str">
        <f>IF(C719=1,MAX($V$2:$V718)+1,IF(AND($T719&lt;&gt;"",$T719=$T718),$U718,IF(C719="x",V718,"")))</f>
        <v/>
      </c>
      <c r="W719" t="str" cm="1">
        <f t="array" ref="W719">IFERROR(_xlfn._xlws.FILTER(game_rosters!AC:AC,(game_rosters!J:J=events!X719)*(K719&lt;&gt;"")),"")</f>
        <v/>
      </c>
      <c r="X719" cm="1">
        <f t="array" ref="X719">IF($I719&lt;&gt;"",$I719,INDEX($I$1:$I719,ROW()-COUNTIFS($T$1:$T719,"="&amp;$T719,$S$1:$S719,"&lt;"&amp;$S719)))</f>
        <v>19</v>
      </c>
      <c r="Y719" t="str" cm="1">
        <f t="array" ref="Y719">IFERROR(IF(_xlfn._xlws.FILTER(game_rosters!$J:$J,(game_rosters!$G:$G=events!$AM719)*(game_rosters!$J:$J=events!$X719))&gt;0,1,""),"")</f>
        <v/>
      </c>
      <c r="Z719" s="6">
        <f t="shared" si="1212"/>
        <v>1</v>
      </c>
      <c r="AA719">
        <f t="shared" si="1213"/>
        <v>1356</v>
      </c>
      <c r="AB719">
        <f t="shared" si="1214"/>
        <v>9047</v>
      </c>
      <c r="AC719">
        <f t="shared" si="1215"/>
        <v>9047</v>
      </c>
      <c r="AD719" t="str">
        <f t="shared" si="1241"/>
        <v>7</v>
      </c>
      <c r="AE719" t="str">
        <f t="shared" si="1242"/>
        <v>41</v>
      </c>
      <c r="AF719" t="str">
        <f t="shared" si="1243"/>
        <v/>
      </c>
      <c r="AG719" t="str">
        <f t="shared" si="1244"/>
        <v/>
      </c>
      <c r="AH719" t="str">
        <f t="shared" si="1157"/>
        <v>o</v>
      </c>
      <c r="AI719" t="str">
        <f t="shared" si="1256"/>
        <v>o</v>
      </c>
      <c r="AJ719" t="str">
        <f t="shared" si="1256"/>
        <v>o</v>
      </c>
      <c r="AK719" t="str">
        <f t="shared" si="1159"/>
        <v/>
      </c>
      <c r="AL719" t="str">
        <f t="shared" si="1160"/>
        <v/>
      </c>
      <c r="AM719" t="str">
        <f t="shared" si="1220"/>
        <v>Away</v>
      </c>
      <c r="AN719" t="str">
        <f t="shared" si="1161"/>
        <v>a</v>
      </c>
      <c r="AO719" t="str">
        <f t="shared" si="1162"/>
        <v>d</v>
      </c>
      <c r="AP719" t="str">
        <f t="shared" si="1163"/>
        <v>o</v>
      </c>
      <c r="AQ719" t="str">
        <f>IF(AM719&lt;&gt;"",AM719,IF($AC719=#REF!,#REF!,""))</f>
        <v>Away</v>
      </c>
      <c r="AR719" t="str">
        <f t="shared" si="1164"/>
        <v>a</v>
      </c>
      <c r="AS719" t="str">
        <f t="shared" si="1165"/>
        <v>Defensive</v>
      </c>
      <c r="AV719" t="str" cm="1">
        <f t="array" ref="AV719">IFERROR(IF(O719&lt;&gt;"",O719,IF(OR($S719="",$T719=""),"",IF(O719&lt;&gt;"",O719,IF($T719&lt;&gt;"",_xlfn._xlws.FILTER(O:O,($BT:$BT=$BT719)*($I:$I=$I719)*($T:$T=$T719)*($S:$S=_xlfn.MINIFS($S:$S,$T:$T,"="&amp;$T719)),"")))))&amp;"",IF(O719="","",""))&amp;""</f>
        <v/>
      </c>
      <c r="AW719" t="str" cm="1">
        <f t="array" ref="AW719">IFERROR(IF(P719&lt;&gt;"",P719,IF(OR($S719="",$T719=""),"",IF($T719&lt;&gt;"",_xlfn._xlws.FILTER(P:P,($BT:$BT=$BT719)*($I:$I=$I719)*($T:$T=$T719)*($S:$S=_xlfn.MINIFS($S:$S,$T:$T,"="&amp;$T719)),""))))&amp;"",IF(P719="","",""))&amp;""</f>
        <v/>
      </c>
      <c r="AX719" t="str" cm="1">
        <f t="array" ref="AX719">IFERROR(IF(Q719&lt;&gt;"",Q719,IF(OR($S719="",$T719=""),"",IF($T719&lt;&gt;"",_xlfn._xlws.FILTER(Q:Q,($BT:$BT=$BT719)*($I:$I=$I719)*($T:$T=$T719)*($S:$S=_xlfn.MINIFS($S:$S,$T:$T,"="&amp;$T719)),""))))&amp;"",IF(Q719="","",""))&amp;""</f>
        <v/>
      </c>
      <c r="AY719" t="str" cm="1">
        <f t="array" ref="AY719">IFERROR(IF(R719&lt;&gt;"",R719,IF(OR($S719="",$T719=""),"",IF($T719&lt;&gt;"",_xlfn._xlws.FILTER(R:R,($BT:$BT=$BT719)*($I:$I=$I719)*($T:$T=$T719)*($S:$S=_xlfn.MINIFS($S:$S,$T:$T,"="&amp;$T719)),""))))&amp;"",IF(R719="","",""))&amp;""</f>
        <v/>
      </c>
      <c r="AZ719" s="6">
        <f t="shared" si="1223"/>
        <v>57</v>
      </c>
      <c r="BA719">
        <f t="shared" ref="BA719:BC719" si="1261">BA718</f>
        <v>18991</v>
      </c>
      <c r="BB719" t="str">
        <f t="shared" si="1261"/>
        <v>Triple J</v>
      </c>
      <c r="BC719" t="str">
        <f t="shared" si="1261"/>
        <v>Velodrome</v>
      </c>
      <c r="BD719" t="str">
        <f t="shared" si="1225"/>
        <v>Turnover</v>
      </c>
      <c r="BE719" t="str">
        <f t="shared" si="1226"/>
        <v>Turnover_Giveaway</v>
      </c>
      <c r="BF719" t="str">
        <f t="shared" si="1227"/>
        <v>Giveaway-PassIntercepted</v>
      </c>
      <c r="BG719" t="str">
        <f t="shared" si="1209"/>
        <v>u</v>
      </c>
      <c r="BH719" cm="1">
        <f t="array" aca="1" ref="BH719" ca="1">IFERROR(_xlfn._xlws.FILTER(shifts!A:A,(shifts!B:B=events!Z719)*(shifts!AG:AG&gt;=events!BJ719)*(shifts!AH:AH&lt;=events!BK719)),BH718)</f>
        <v>24</v>
      </c>
      <c r="BI719" s="15">
        <f t="shared" si="1246"/>
        <v>0</v>
      </c>
      <c r="BJ719">
        <f t="shared" si="1247"/>
        <v>461</v>
      </c>
      <c r="BK719">
        <f t="shared" si="1248"/>
        <v>461</v>
      </c>
      <c r="BL719" s="15">
        <f>SUMIFS(BI$2:BI719,K$2:K719,"=Intermission")+SUMIFS(BI$2:BI719,K$2:K719,"=Timeout")</f>
        <v>0</v>
      </c>
      <c r="BM719">
        <f t="shared" si="1249"/>
        <v>0</v>
      </c>
      <c r="BN719" s="19">
        <f t="shared" si="1250"/>
        <v>619</v>
      </c>
      <c r="BO719">
        <f t="shared" si="1251"/>
        <v>614</v>
      </c>
      <c r="BP719" s="17">
        <f t="shared" si="1252"/>
        <v>619</v>
      </c>
      <c r="BQ719" t="str">
        <f t="shared" si="1253"/>
        <v>opp_team_player_1</v>
      </c>
      <c r="BR719">
        <f>COUNTIFS(S$3:S719,"="&amp;S719,AH$3:AH719,"="&amp;AH719)</f>
        <v>1</v>
      </c>
      <c r="BS719" t="str">
        <f>IFERROR(VLOOKUP(BA719&amp;BT719&amp;X719,game_rosters!U:W,3,FALSE),"")</f>
        <v>P100089</v>
      </c>
      <c r="BT719" t="str">
        <f t="shared" si="1254"/>
        <v>Triple J</v>
      </c>
    </row>
    <row r="720" spans="1:72" x14ac:dyDescent="0.2">
      <c r="A720" t="str">
        <f t="shared" si="1211"/>
        <v>x</v>
      </c>
      <c r="D720" s="26" t="s">
        <v>729</v>
      </c>
      <c r="E720" s="4"/>
      <c r="F720" s="45"/>
      <c r="G720" s="4"/>
      <c r="H720" s="47"/>
      <c r="J720" s="26" t="str">
        <f t="shared" si="1237"/>
        <v/>
      </c>
      <c r="N720" t="str">
        <f t="shared" si="1150"/>
        <v/>
      </c>
      <c r="Q720" t="str">
        <f t="shared" ref="Q720:Q738" si="1262">IF(O720="","",IF(AND(N720&lt;&gt;"",OR(O720&lt;&gt;"",P720&lt;&gt;"")),N720,IF(OR(ISNUMBER(SEARCH("attemp",O720)),ISNUMBER(SEARCH("beat",O720)),ISNUMBER(SEARCH("mis",O720)),ISNUMBER(SEARCH("fail",O720)),ISNUMBER(SEARCH("loss",O720)),ISNUMBER(SEARCH("lost",O720)),ISNUMBER(SEARCH("attemp",P720)),ISNUMBER(SEARCH("mis",P720)),ISNUMBER(SEARCH("fail",P720)),ISNUMBER(SEARCH("loss",P720)),ISNUMBER(SEARCH("beat",P720)),ISNUMBER(SEARCH("lost",P720))),"u","")))</f>
        <v/>
      </c>
      <c r="S720">
        <f>IF(A720=1,MAX($S$2:$S719)+1,IF(OR($I720&lt;&gt;"",A720="x"),$S719,""))</f>
        <v>356</v>
      </c>
      <c r="T720">
        <f>IF(D720=1,MAX($T$2:$T719)+1,IF(S720=S719,$T719,IF(D720="x",T719,IF(D719="x","",""))))</f>
        <v>47</v>
      </c>
      <c r="U720" t="str">
        <f>IF(B720=1,MAX($U$2:$U719)+1,IF(AND($T720&lt;&gt;"",$T720=$T719),$U719,IF(B720="x",U719,"")))</f>
        <v/>
      </c>
      <c r="V720" t="str">
        <f>IF(C720=1,MAX($V$2:$V719)+1,IF(AND($T720&lt;&gt;"",$T720=$T719),$U719,IF(C720="x",V719,"")))</f>
        <v/>
      </c>
      <c r="W720" t="str" cm="1">
        <f t="array" ref="W720">IFERROR(_xlfn._xlws.FILTER(game_rosters!AC:AC,(game_rosters!J:J=events!X720)*(K720&lt;&gt;"")),"")</f>
        <v/>
      </c>
      <c r="X720" cm="1">
        <f t="array" ref="X720">IF($I720&lt;&gt;"",$I720,INDEX($I$1:$I720,ROW()-COUNTIFS($T$1:$T720,"="&amp;$T720,$S$1:$S720,"&lt;"&amp;$S720)))</f>
        <v>73</v>
      </c>
      <c r="Y720" t="str" cm="1">
        <f t="array" ref="Y720">IFERROR(IF(_xlfn._xlws.FILTER(game_rosters!$J:$J,(game_rosters!$G:$G=events!$AM720)*(game_rosters!$J:$J=events!$X720))&gt;0,1,""),"")</f>
        <v/>
      </c>
      <c r="Z720" s="6">
        <f t="shared" si="1212"/>
        <v>1</v>
      </c>
      <c r="AA720">
        <f t="shared" si="1213"/>
        <v>1356</v>
      </c>
      <c r="AB720">
        <f t="shared" si="1214"/>
        <v>9047</v>
      </c>
      <c r="AC720">
        <f t="shared" si="1215"/>
        <v>9047</v>
      </c>
      <c r="AD720" t="str">
        <f t="shared" si="1241"/>
        <v>7</v>
      </c>
      <c r="AE720" t="str">
        <f t="shared" si="1242"/>
        <v>41</v>
      </c>
      <c r="AF720" t="str">
        <f t="shared" si="1243"/>
        <v/>
      </c>
      <c r="AG720" t="str">
        <f t="shared" si="1244"/>
        <v/>
      </c>
      <c r="AH720" t="str">
        <f t="shared" si="1157"/>
        <v>o</v>
      </c>
      <c r="AI720" t="str">
        <f t="shared" si="1256"/>
        <v>o</v>
      </c>
      <c r="AJ720" t="str">
        <f t="shared" si="1256"/>
        <v>o</v>
      </c>
      <c r="AK720" t="str">
        <f t="shared" si="1159"/>
        <v/>
      </c>
      <c r="AL720" t="str">
        <f t="shared" si="1160"/>
        <v/>
      </c>
      <c r="AM720" t="str">
        <f t="shared" si="1220"/>
        <v>Away</v>
      </c>
      <c r="AN720" t="str">
        <f t="shared" si="1161"/>
        <v>a</v>
      </c>
      <c r="AO720" t="str">
        <f t="shared" si="1162"/>
        <v>d</v>
      </c>
      <c r="AP720" t="str">
        <f t="shared" si="1163"/>
        <v>o</v>
      </c>
      <c r="AQ720" t="str">
        <f>IF(AM720&lt;&gt;"",AM720,IF($AC720=#REF!,#REF!,""))</f>
        <v>Away</v>
      </c>
      <c r="AR720" t="str">
        <f t="shared" si="1164"/>
        <v>a</v>
      </c>
      <c r="AS720" t="str">
        <f t="shared" si="1165"/>
        <v>Defensive</v>
      </c>
      <c r="AV720" t="str" cm="1">
        <f t="array" ref="AV720">IFERROR(IF(O720&lt;&gt;"",O720,IF(OR($S720="",$T720=""),"",IF(O720&lt;&gt;"",O720,IF($T720&lt;&gt;"",_xlfn._xlws.FILTER(O:O,($BT:$BT=$BT720)*($I:$I=$I720)*($T:$T=$T720)*($S:$S=_xlfn.MINIFS($S:$S,$T:$T,"="&amp;$T720)),"")))))&amp;"",IF(O720="","",""))&amp;""</f>
        <v/>
      </c>
      <c r="AW720" t="str" cm="1">
        <f t="array" ref="AW720">IFERROR(IF(P720&lt;&gt;"",P720,IF(OR($S720="",$T720=""),"",IF($T720&lt;&gt;"",_xlfn._xlws.FILTER(P:P,($BT:$BT=$BT720)*($I:$I=$I720)*($T:$T=$T720)*($S:$S=_xlfn.MINIFS($S:$S,$T:$T,"="&amp;$T720)),""))))&amp;"",IF(P720="","",""))&amp;""</f>
        <v/>
      </c>
      <c r="AX720" t="str" cm="1">
        <f t="array" ref="AX720">IFERROR(IF(Q720&lt;&gt;"",Q720,IF(OR($S720="",$T720=""),"",IF($T720&lt;&gt;"",_xlfn._xlws.FILTER(Q:Q,($BT:$BT=$BT720)*($I:$I=$I720)*($T:$T=$T720)*($S:$S=_xlfn.MINIFS($S:$S,$T:$T,"="&amp;$T720)),""))))&amp;"",IF(Q720="","",""))&amp;""</f>
        <v/>
      </c>
      <c r="AY720" t="str" cm="1">
        <f t="array" ref="AY720">IFERROR(IF(R720&lt;&gt;"",R720,IF(OR($S720="",$T720=""),"",IF($T720&lt;&gt;"",_xlfn._xlws.FILTER(R:R,($BT:$BT=$BT720)*($I:$I=$I720)*($T:$T=$T720)*($S:$S=_xlfn.MINIFS($S:$S,$T:$T,"="&amp;$T720)),""))))&amp;"",IF(R720="","",""))&amp;""</f>
        <v/>
      </c>
      <c r="AZ720" s="6">
        <f t="shared" si="1223"/>
        <v>57</v>
      </c>
      <c r="BA720">
        <f t="shared" ref="BA720:BC720" si="1263">BA719</f>
        <v>18991</v>
      </c>
      <c r="BB720" t="str">
        <f t="shared" si="1263"/>
        <v>Triple J</v>
      </c>
      <c r="BC720" t="str">
        <f t="shared" si="1263"/>
        <v>Velodrome</v>
      </c>
      <c r="BD720" t="str">
        <f t="shared" si="1225"/>
        <v>Turnover</v>
      </c>
      <c r="BE720" t="str">
        <f t="shared" si="1226"/>
        <v>Turnover_Giveaway</v>
      </c>
      <c r="BF720" t="str">
        <f t="shared" si="1227"/>
        <v>Giveaway-PassIntercepted</v>
      </c>
      <c r="BG720" t="str">
        <f t="shared" si="1209"/>
        <v>u</v>
      </c>
      <c r="BH720" cm="1">
        <f t="array" aca="1" ref="BH720" ca="1">IFERROR(_xlfn._xlws.FILTER(shifts!A:A,(shifts!B:B=events!Z720)*(shifts!AG:AG&gt;=events!BJ720)*(shifts!AH:AH&lt;=events!BK720)),BH719)</f>
        <v>24</v>
      </c>
      <c r="BI720" s="15">
        <f t="shared" si="1246"/>
        <v>0</v>
      </c>
      <c r="BJ720">
        <f t="shared" si="1247"/>
        <v>461</v>
      </c>
      <c r="BK720">
        <f t="shared" si="1248"/>
        <v>461</v>
      </c>
      <c r="BL720" s="15">
        <f>SUMIFS(BI$2:BI720,K$2:K720,"=Intermission")+SUMIFS(BI$2:BI720,K$2:K720,"=Timeout")</f>
        <v>0</v>
      </c>
      <c r="BM720">
        <f t="shared" si="1249"/>
        <v>0</v>
      </c>
      <c r="BN720" s="19">
        <f t="shared" si="1250"/>
        <v>619</v>
      </c>
      <c r="BO720">
        <f t="shared" si="1251"/>
        <v>614</v>
      </c>
      <c r="BP720" s="17">
        <f t="shared" si="1252"/>
        <v>619</v>
      </c>
      <c r="BQ720" t="str">
        <f t="shared" si="1253"/>
        <v>opp_team_player_2</v>
      </c>
      <c r="BR720">
        <f>COUNTIFS(S$3:S720,"="&amp;S720,AH$3:AH720,"="&amp;AH720)</f>
        <v>2</v>
      </c>
      <c r="BS720" t="str">
        <f>IFERROR(VLOOKUP(BA720&amp;BT720&amp;X720,game_rosters!U:W,3,FALSE),"")</f>
        <v>P100021</v>
      </c>
      <c r="BT720" t="str">
        <f t="shared" si="1254"/>
        <v>Triple J</v>
      </c>
    </row>
    <row r="721" spans="1:72" x14ac:dyDescent="0.2">
      <c r="A721">
        <f t="shared" si="1211"/>
        <v>1</v>
      </c>
      <c r="E721" s="4"/>
      <c r="F721" s="45" t="s">
        <v>749</v>
      </c>
      <c r="G721" s="4"/>
      <c r="H721" s="47"/>
      <c r="I721" s="26">
        <v>73</v>
      </c>
      <c r="J721" s="26" t="s">
        <v>736</v>
      </c>
      <c r="K721" t="s">
        <v>7</v>
      </c>
      <c r="L721" t="s">
        <v>192</v>
      </c>
      <c r="M721" t="s">
        <v>68</v>
      </c>
      <c r="N721" t="str">
        <f t="shared" si="1150"/>
        <v>u</v>
      </c>
      <c r="Q721" t="str">
        <f t="shared" si="1262"/>
        <v/>
      </c>
      <c r="R721" s="26">
        <v>1</v>
      </c>
      <c r="S721">
        <f>IF(A721=1,MAX($S$2:$S720)+1,IF(OR($I721&lt;&gt;"",A721="x"),$S720,""))</f>
        <v>357</v>
      </c>
      <c r="T721" t="str">
        <f>IF(D721=1,MAX($T$2:$T720)+1,IF(S721=S720,$T720,IF(D721="x",T720,IF(D720="x","",""))))</f>
        <v/>
      </c>
      <c r="U721" t="str">
        <f>IF(B721=1,MAX($U$2:$U720)+1,IF(AND($T721&lt;&gt;"",$T721=$T720),$U720,IF(B721="x",U720,"")))</f>
        <v/>
      </c>
      <c r="V721" t="str">
        <f>IF(C721=1,MAX($V$2:$V720)+1,IF(AND($T721&lt;&gt;"",$T721=$T720),$U720,IF(C721="x",V720,"")))</f>
        <v/>
      </c>
      <c r="W721" t="str" cm="1">
        <f t="array" ref="W721">IFERROR(_xlfn._xlws.FILTER(game_rosters!AC:AC,(game_rosters!J:J=events!X721)*(K721&lt;&gt;"")),"")</f>
        <v>h</v>
      </c>
      <c r="X721" cm="1">
        <f t="array" ref="X721">IF($I721&lt;&gt;"",$I721,INDEX($I$1:$I721,ROW()-COUNTIFS($T$1:$T721,"="&amp;$T721,$S$1:$S721,"&lt;"&amp;$S721)))</f>
        <v>73</v>
      </c>
      <c r="Y721" cm="1">
        <f t="array" ref="Y721">IFERROR(IF(_xlfn._xlws.FILTER(game_rosters!$J:$J,(game_rosters!$G:$G=events!$AM721)*(game_rosters!$J:$J=events!$X721))&gt;0,1,""),"")</f>
        <v>1</v>
      </c>
      <c r="Z721" s="6">
        <f t="shared" si="1212"/>
        <v>1</v>
      </c>
      <c r="AA721">
        <f t="shared" si="1213"/>
        <v>1357</v>
      </c>
      <c r="AB721" t="str">
        <f t="shared" si="1214"/>
        <v/>
      </c>
      <c r="AC721">
        <f t="shared" si="1215"/>
        <v>1357</v>
      </c>
      <c r="AD721" t="str">
        <f t="shared" si="1241"/>
        <v>7</v>
      </c>
      <c r="AE721" t="str">
        <f t="shared" si="1242"/>
        <v>39</v>
      </c>
      <c r="AF721" t="str">
        <f t="shared" si="1243"/>
        <v/>
      </c>
      <c r="AG721" t="str">
        <f t="shared" si="1244"/>
        <v/>
      </c>
      <c r="AH721" t="str">
        <f t="shared" si="1157"/>
        <v>e</v>
      </c>
      <c r="AI721" t="str">
        <f t="shared" si="1256"/>
        <v>d</v>
      </c>
      <c r="AJ721" t="str">
        <f t="shared" si="1256"/>
        <v>d</v>
      </c>
      <c r="AK721" t="str">
        <f t="shared" si="1159"/>
        <v>d</v>
      </c>
      <c r="AL721" t="str">
        <f t="shared" si="1160"/>
        <v>o</v>
      </c>
      <c r="AM721" t="str">
        <f t="shared" si="1220"/>
        <v>Home</v>
      </c>
      <c r="AN721" t="str">
        <f t="shared" si="1161"/>
        <v>h</v>
      </c>
      <c r="AO721" t="str">
        <f t="shared" si="1162"/>
        <v>d</v>
      </c>
      <c r="AP721" t="str">
        <f t="shared" si="1163"/>
        <v>o</v>
      </c>
      <c r="AQ721" t="str">
        <f>IF(AM721&lt;&gt;"",AM721,IF($AC721=#REF!,#REF!,""))</f>
        <v>Home</v>
      </c>
      <c r="AR721" t="str">
        <f t="shared" si="1164"/>
        <v>h</v>
      </c>
      <c r="AS721" t="str">
        <f t="shared" si="1165"/>
        <v>Offensive</v>
      </c>
      <c r="AV721" t="str" cm="1">
        <f t="array" ref="AV721">IFERROR(IF(O721&lt;&gt;"",O721,IF(OR($S721="",$T721=""),"",IF(O721&lt;&gt;"",O721,IF($T721&lt;&gt;"",_xlfn._xlws.FILTER(O:O,($BT:$BT=$BT721)*($I:$I=$I721)*($T:$T=$T721)*($S:$S=_xlfn.MINIFS($S:$S,$T:$T,"="&amp;$T721)),"")))))&amp;"",IF(O721="","",""))&amp;""</f>
        <v/>
      </c>
      <c r="AW721" t="str" cm="1">
        <f t="array" ref="AW721">IFERROR(IF(P721&lt;&gt;"",P721,IF(OR($S721="",$T721=""),"",IF($T721&lt;&gt;"",_xlfn._xlws.FILTER(P:P,($BT:$BT=$BT721)*($I:$I=$I721)*($T:$T=$T721)*($S:$S=_xlfn.MINIFS($S:$S,$T:$T,"="&amp;$T721)),""))))&amp;"",IF(P721="","",""))&amp;""</f>
        <v/>
      </c>
      <c r="AX721" t="str" cm="1">
        <f t="array" ref="AX721">IFERROR(IF(Q721&lt;&gt;"",Q721,IF(OR($S721="",$T721=""),"",IF($T721&lt;&gt;"",_xlfn._xlws.FILTER(Q:Q,($BT:$BT=$BT721)*($I:$I=$I721)*($T:$T=$T721)*($S:$S=_xlfn.MINIFS($S:$S,$T:$T,"="&amp;$T721)),""))))&amp;"",IF(Q721="","",""))&amp;""</f>
        <v/>
      </c>
      <c r="AY721" t="str" cm="1">
        <f t="array" ref="AY721">IFERROR(IF(R721&lt;&gt;"",R721,IF(OR($S721="",$T721=""),"",IF($T721&lt;&gt;"",_xlfn._xlws.FILTER(R:R,($BT:$BT=$BT721)*($I:$I=$I721)*($T:$T=$T721)*($S:$S=_xlfn.MINIFS($S:$S,$T:$T,"="&amp;$T721)),""))))&amp;"",IF(R721="","",""))&amp;""</f>
        <v>1</v>
      </c>
      <c r="AZ721" s="6">
        <f t="shared" si="1223"/>
        <v>57</v>
      </c>
      <c r="BA721">
        <f t="shared" ref="BA721:BC721" si="1264">BA720</f>
        <v>18991</v>
      </c>
      <c r="BB721" t="str">
        <f t="shared" si="1264"/>
        <v>Triple J</v>
      </c>
      <c r="BC721" t="str">
        <f t="shared" si="1264"/>
        <v>Velodrome</v>
      </c>
      <c r="BD721" t="str">
        <f t="shared" si="1225"/>
        <v>Pass</v>
      </c>
      <c r="BE721" t="str">
        <f t="shared" si="1226"/>
        <v>Pass_Deflected</v>
      </c>
      <c r="BF721" t="str">
        <f t="shared" si="1227"/>
        <v>Pass-Forehand</v>
      </c>
      <c r="BG721" t="str">
        <f t="shared" si="1209"/>
        <v>u</v>
      </c>
      <c r="BH721" cm="1">
        <f t="array" aca="1" ref="BH721" ca="1">IFERROR(_xlfn._xlws.FILTER(shifts!A:A,(shifts!B:B=events!Z721)*(shifts!AG:AG&gt;=events!BJ721)*(shifts!AH:AH&lt;=events!BK721)),BH720)</f>
        <v>24</v>
      </c>
      <c r="BI721" s="15">
        <f t="shared" si="1246"/>
        <v>0</v>
      </c>
      <c r="BJ721">
        <f t="shared" si="1247"/>
        <v>459</v>
      </c>
      <c r="BK721">
        <f t="shared" si="1248"/>
        <v>459</v>
      </c>
      <c r="BL721" s="15">
        <f>SUMIFS(BI$2:BI721,K$2:K721,"=Intermission")+SUMIFS(BI$2:BI721,K$2:K721,"=Timeout")</f>
        <v>0</v>
      </c>
      <c r="BM721">
        <f t="shared" si="1249"/>
        <v>0</v>
      </c>
      <c r="BN721" s="19">
        <f t="shared" si="1250"/>
        <v>621</v>
      </c>
      <c r="BO721">
        <f t="shared" si="1251"/>
        <v>616</v>
      </c>
      <c r="BP721" s="17">
        <f t="shared" si="1252"/>
        <v>621</v>
      </c>
      <c r="BQ721" t="str">
        <f t="shared" si="1253"/>
        <v>event_team_player_1</v>
      </c>
      <c r="BR721">
        <f>COUNTIFS(S$3:S721,"="&amp;S721,AH$3:AH721,"="&amp;AH721)</f>
        <v>1</v>
      </c>
      <c r="BS721" t="str">
        <f>IFERROR(VLOOKUP(BA721&amp;BT721&amp;X721,game_rosters!U:W,3,FALSE),"")</f>
        <v>P100021</v>
      </c>
      <c r="BT721" t="str">
        <f t="shared" si="1254"/>
        <v>Triple J</v>
      </c>
    </row>
    <row r="722" spans="1:72" x14ac:dyDescent="0.2">
      <c r="A722" t="str">
        <f t="shared" si="1211"/>
        <v/>
      </c>
      <c r="E722" s="4"/>
      <c r="F722" s="45"/>
      <c r="G722" s="4"/>
      <c r="H722" s="47"/>
      <c r="I722" s="26">
        <v>37</v>
      </c>
      <c r="J722" s="26" t="str">
        <f t="shared" si="1237"/>
        <v/>
      </c>
      <c r="N722" t="str">
        <f t="shared" si="1150"/>
        <v/>
      </c>
      <c r="Q722" t="str">
        <f t="shared" si="1262"/>
        <v/>
      </c>
      <c r="S722">
        <f>IF(A722=1,MAX($S$2:$S721)+1,IF(OR($I722&lt;&gt;"",A722="x"),$S721,""))</f>
        <v>357</v>
      </c>
      <c r="T722" t="str">
        <f>IF(D722=1,MAX($T$2:$T721)+1,IF(S722=S721,$T721,IF(D722="x",T721,IF(D721="x","",""))))</f>
        <v/>
      </c>
      <c r="U722" t="str">
        <f>IF(B722=1,MAX($U$2:$U721)+1,IF(AND($T722&lt;&gt;"",$T722=$T721),$U721,IF(B722="x",U721,"")))</f>
        <v/>
      </c>
      <c r="V722" t="str">
        <f>IF(C722=1,MAX($V$2:$V721)+1,IF(AND($T722&lt;&gt;"",$T722=$T721),$U721,IF(C722="x",V721,"")))</f>
        <v/>
      </c>
      <c r="W722" t="str" cm="1">
        <f t="array" ref="W722">IFERROR(_xlfn._xlws.FILTER(game_rosters!AC:AC,(game_rosters!J:J=events!X722)*(K722&lt;&gt;"")),"")</f>
        <v/>
      </c>
      <c r="X722" cm="1">
        <f t="array" ref="X722">IF($I722&lt;&gt;"",$I722,INDEX($I$1:$I722,ROW()-COUNTIFS($T$1:$T722,"="&amp;$T722,$S$1:$S722,"&lt;"&amp;$S722)))</f>
        <v>37</v>
      </c>
      <c r="Y722" cm="1">
        <f t="array" ref="Y722">IFERROR(IF(_xlfn._xlws.FILTER(game_rosters!$J:$J,(game_rosters!$G:$G=events!$AM722)*(game_rosters!$J:$J=events!$X722))&gt;0,1,""),"")</f>
        <v>1</v>
      </c>
      <c r="Z722" s="6">
        <f t="shared" si="1212"/>
        <v>1</v>
      </c>
      <c r="AA722">
        <f t="shared" si="1213"/>
        <v>1357</v>
      </c>
      <c r="AB722" t="str">
        <f t="shared" si="1214"/>
        <v/>
      </c>
      <c r="AC722">
        <f t="shared" si="1215"/>
        <v>1357</v>
      </c>
      <c r="AD722" t="str">
        <f t="shared" si="1241"/>
        <v>7</v>
      </c>
      <c r="AE722" t="str">
        <f t="shared" si="1242"/>
        <v>39</v>
      </c>
      <c r="AF722" t="str">
        <f t="shared" si="1243"/>
        <v/>
      </c>
      <c r="AG722" t="str">
        <f t="shared" si="1244"/>
        <v/>
      </c>
      <c r="AH722" t="str">
        <f t="shared" si="1157"/>
        <v>e</v>
      </c>
      <c r="AI722" t="str">
        <f t="shared" si="1256"/>
        <v>d</v>
      </c>
      <c r="AJ722" t="str">
        <f t="shared" si="1256"/>
        <v>d</v>
      </c>
      <c r="AK722" t="str">
        <f t="shared" si="1159"/>
        <v/>
      </c>
      <c r="AL722" t="str">
        <f t="shared" si="1160"/>
        <v/>
      </c>
      <c r="AM722" t="str">
        <f t="shared" si="1220"/>
        <v>Home</v>
      </c>
      <c r="AN722" t="str">
        <f t="shared" si="1161"/>
        <v>h</v>
      </c>
      <c r="AO722" t="str">
        <f t="shared" si="1162"/>
        <v>d</v>
      </c>
      <c r="AP722" t="str">
        <f t="shared" si="1163"/>
        <v>o</v>
      </c>
      <c r="AQ722" t="str">
        <f>IF(AM722&lt;&gt;"",AM722,IF($AC722=#REF!,#REF!,""))</f>
        <v>Home</v>
      </c>
      <c r="AR722" t="str">
        <f t="shared" si="1164"/>
        <v>h</v>
      </c>
      <c r="AS722" t="str">
        <f t="shared" si="1165"/>
        <v>Offensive</v>
      </c>
      <c r="AV722" t="str" cm="1">
        <f t="array" ref="AV722">IFERROR(IF(O722&lt;&gt;"",O722,IF(OR($S722="",$T722=""),"",IF(O722&lt;&gt;"",O722,IF($T722&lt;&gt;"",_xlfn._xlws.FILTER(O:O,($BT:$BT=$BT722)*($I:$I=$I722)*($T:$T=$T722)*($S:$S=_xlfn.MINIFS($S:$S,$T:$T,"="&amp;$T722)),"")))))&amp;"",IF(O722="","",""))&amp;""</f>
        <v/>
      </c>
      <c r="AW722" t="str" cm="1">
        <f t="array" ref="AW722">IFERROR(IF(P722&lt;&gt;"",P722,IF(OR($S722="",$T722=""),"",IF($T722&lt;&gt;"",_xlfn._xlws.FILTER(P:P,($BT:$BT=$BT722)*($I:$I=$I722)*($T:$T=$T722)*($S:$S=_xlfn.MINIFS($S:$S,$T:$T,"="&amp;$T722)),""))))&amp;"",IF(P722="","",""))&amp;""</f>
        <v/>
      </c>
      <c r="AX722" t="str" cm="1">
        <f t="array" ref="AX722">IFERROR(IF(Q722&lt;&gt;"",Q722,IF(OR($S722="",$T722=""),"",IF($T722&lt;&gt;"",_xlfn._xlws.FILTER(Q:Q,($BT:$BT=$BT722)*($I:$I=$I722)*($T:$T=$T722)*($S:$S=_xlfn.MINIFS($S:$S,$T:$T,"="&amp;$T722)),""))))&amp;"",IF(Q722="","",""))&amp;""</f>
        <v/>
      </c>
      <c r="AY722" t="str" cm="1">
        <f t="array" ref="AY722">IFERROR(IF(R722&lt;&gt;"",R722,IF(OR($S722="",$T722=""),"",IF($T722&lt;&gt;"",_xlfn._xlws.FILTER(R:R,($BT:$BT=$BT722)*($I:$I=$I722)*($T:$T=$T722)*($S:$S=_xlfn.MINIFS($S:$S,$T:$T,"="&amp;$T722)),""))))&amp;"",IF(R722="","",""))&amp;""</f>
        <v/>
      </c>
      <c r="AZ722" s="6">
        <f t="shared" si="1223"/>
        <v>57</v>
      </c>
      <c r="BA722">
        <f t="shared" ref="BA722:BC722" si="1265">BA721</f>
        <v>18991</v>
      </c>
      <c r="BB722" t="str">
        <f t="shared" si="1265"/>
        <v>Triple J</v>
      </c>
      <c r="BC722" t="str">
        <f t="shared" si="1265"/>
        <v>Velodrome</v>
      </c>
      <c r="BD722" t="str">
        <f t="shared" si="1225"/>
        <v>Pass</v>
      </c>
      <c r="BE722" t="str">
        <f t="shared" si="1226"/>
        <v>Pass_Deflected</v>
      </c>
      <c r="BF722" t="str">
        <f t="shared" si="1227"/>
        <v>Pass-Forehand</v>
      </c>
      <c r="BG722" t="str">
        <f t="shared" si="1209"/>
        <v>u</v>
      </c>
      <c r="BH722" cm="1">
        <f t="array" aca="1" ref="BH722" ca="1">IFERROR(_xlfn._xlws.FILTER(shifts!A:A,(shifts!B:B=events!Z722)*(shifts!AG:AG&gt;=events!BJ722)*(shifts!AH:AH&lt;=events!BK722)),BH721)</f>
        <v>24</v>
      </c>
      <c r="BI722" s="15">
        <f t="shared" si="1246"/>
        <v>0</v>
      </c>
      <c r="BJ722">
        <f t="shared" si="1247"/>
        <v>459</v>
      </c>
      <c r="BK722">
        <f t="shared" si="1248"/>
        <v>459</v>
      </c>
      <c r="BL722" s="15">
        <f>SUMIFS(BI$2:BI722,K$2:K722,"=Intermission")+SUMIFS(BI$2:BI722,K$2:K722,"=Timeout")</f>
        <v>0</v>
      </c>
      <c r="BM722">
        <f t="shared" si="1249"/>
        <v>0</v>
      </c>
      <c r="BN722" s="19">
        <f t="shared" si="1250"/>
        <v>621</v>
      </c>
      <c r="BO722">
        <f t="shared" si="1251"/>
        <v>616</v>
      </c>
      <c r="BP722" s="17">
        <f t="shared" si="1252"/>
        <v>621</v>
      </c>
      <c r="BQ722" t="str">
        <f t="shared" si="1253"/>
        <v>event_team_player_2</v>
      </c>
      <c r="BR722">
        <f>COUNTIFS(S$3:S722,"="&amp;S722,AH$3:AH722,"="&amp;AH722)</f>
        <v>2</v>
      </c>
      <c r="BS722" t="str">
        <f>IFERROR(VLOOKUP(BA722&amp;BT722&amp;X722,game_rosters!U:W,3,FALSE),"")</f>
        <v>P100006</v>
      </c>
      <c r="BT722" t="str">
        <f t="shared" si="1254"/>
        <v>Triple J</v>
      </c>
    </row>
    <row r="723" spans="1:72" x14ac:dyDescent="0.2">
      <c r="A723" t="str">
        <f t="shared" si="1211"/>
        <v/>
      </c>
      <c r="E723" s="4"/>
      <c r="F723" s="45"/>
      <c r="G723" s="4"/>
      <c r="H723" s="47"/>
      <c r="I723" s="26">
        <v>70</v>
      </c>
      <c r="J723" s="26" t="str">
        <f t="shared" si="1237"/>
        <v/>
      </c>
      <c r="N723" t="str">
        <f t="shared" si="1150"/>
        <v/>
      </c>
      <c r="O723" t="s">
        <v>782</v>
      </c>
      <c r="Q723" t="str">
        <f t="shared" si="1262"/>
        <v/>
      </c>
      <c r="R723" s="26">
        <v>1</v>
      </c>
      <c r="S723">
        <f>IF(A723=1,MAX($S$2:$S722)+1,IF(OR($I723&lt;&gt;"",A723="x"),$S722,""))</f>
        <v>357</v>
      </c>
      <c r="T723" t="str">
        <f>IF(D723=1,MAX($T$2:$T722)+1,IF(S723=S722,$T722,IF(D723="x",T722,IF(D722="x","",""))))</f>
        <v/>
      </c>
      <c r="U723" t="str">
        <f>IF(B723=1,MAX($U$2:$U722)+1,IF(AND($T723&lt;&gt;"",$T723=$T722),$U722,IF(B723="x",U722,"")))</f>
        <v/>
      </c>
      <c r="V723" t="str">
        <f>IF(C723=1,MAX($V$2:$V722)+1,IF(AND($T723&lt;&gt;"",$T723=$T722),$U722,IF(C723="x",V722,"")))</f>
        <v/>
      </c>
      <c r="W723" t="str" cm="1">
        <f t="array" ref="W723">IFERROR(_xlfn._xlws.FILTER(game_rosters!AC:AC,(game_rosters!J:J=events!X723)*(K723&lt;&gt;"")),"")</f>
        <v/>
      </c>
      <c r="X723" cm="1">
        <f t="array" ref="X723">IF($I723&lt;&gt;"",$I723,INDEX($I$1:$I723,ROW()-COUNTIFS($T$1:$T723,"="&amp;$T723,$S$1:$S723,"&lt;"&amp;$S723)))</f>
        <v>70</v>
      </c>
      <c r="Y723" t="str" cm="1">
        <f t="array" ref="Y723">IFERROR(IF(_xlfn._xlws.FILTER(game_rosters!$J:$J,(game_rosters!$G:$G=events!$AM723)*(game_rosters!$J:$J=events!$X723))&gt;0,1,""),"")</f>
        <v/>
      </c>
      <c r="Z723" s="6">
        <f t="shared" si="1212"/>
        <v>1</v>
      </c>
      <c r="AA723">
        <f t="shared" si="1213"/>
        <v>1357</v>
      </c>
      <c r="AB723" t="str">
        <f t="shared" si="1214"/>
        <v/>
      </c>
      <c r="AC723">
        <f t="shared" si="1215"/>
        <v>1357</v>
      </c>
      <c r="AD723" t="str">
        <f t="shared" si="1241"/>
        <v>7</v>
      </c>
      <c r="AE723" t="str">
        <f t="shared" si="1242"/>
        <v>39</v>
      </c>
      <c r="AF723" t="str">
        <f t="shared" si="1243"/>
        <v/>
      </c>
      <c r="AG723" t="str">
        <f t="shared" si="1244"/>
        <v/>
      </c>
      <c r="AH723" t="str">
        <f t="shared" si="1157"/>
        <v>o</v>
      </c>
      <c r="AI723" t="str">
        <f t="shared" si="1256"/>
        <v>d</v>
      </c>
      <c r="AJ723" t="str">
        <f t="shared" si="1256"/>
        <v>d</v>
      </c>
      <c r="AK723" t="str">
        <f t="shared" si="1159"/>
        <v/>
      </c>
      <c r="AL723" t="str">
        <f t="shared" si="1160"/>
        <v/>
      </c>
      <c r="AM723" t="str">
        <f t="shared" si="1220"/>
        <v>Home</v>
      </c>
      <c r="AN723" t="str">
        <f t="shared" si="1161"/>
        <v>h</v>
      </c>
      <c r="AO723" t="str">
        <f t="shared" si="1162"/>
        <v>d</v>
      </c>
      <c r="AP723" t="str">
        <f t="shared" si="1163"/>
        <v>o</v>
      </c>
      <c r="AQ723" t="str">
        <f>IF(AM723&lt;&gt;"",AM723,IF($AC723=#REF!,#REF!,""))</f>
        <v>Home</v>
      </c>
      <c r="AR723" t="str">
        <f t="shared" si="1164"/>
        <v>h</v>
      </c>
      <c r="AS723" t="str">
        <f t="shared" si="1165"/>
        <v>Defensive</v>
      </c>
      <c r="AV723" t="str" cm="1">
        <f t="array" ref="AV723">IFERROR(IF(O723&lt;&gt;"",O723,IF(OR($S723="",$T723=""),"",IF(O723&lt;&gt;"",O723,IF($T723&lt;&gt;"",_xlfn._xlws.FILTER(O:O,($BT:$BT=$BT723)*($I:$I=$I723)*($T:$T=$T723)*($S:$S=_xlfn.MINIFS($S:$S,$T:$T,"="&amp;$T723)),"")))))&amp;"",IF(O723="","",""))&amp;""</f>
        <v>PassDeflected</v>
      </c>
      <c r="AW723" t="str" cm="1">
        <f t="array" ref="AW723">IFERROR(IF(P723&lt;&gt;"",P723,IF(OR($S723="",$T723=""),"",IF($T723&lt;&gt;"",_xlfn._xlws.FILTER(P:P,($BT:$BT=$BT723)*($I:$I=$I723)*($T:$T=$T723)*($S:$S=_xlfn.MINIFS($S:$S,$T:$T,"="&amp;$T723)),""))))&amp;"",IF(P723="","",""))&amp;""</f>
        <v/>
      </c>
      <c r="AX723" t="str" cm="1">
        <f t="array" ref="AX723">IFERROR(IF(Q723&lt;&gt;"",Q723,IF(OR($S723="",$T723=""),"",IF($T723&lt;&gt;"",_xlfn._xlws.FILTER(Q:Q,($BT:$BT=$BT723)*($I:$I=$I723)*($T:$T=$T723)*($S:$S=_xlfn.MINIFS($S:$S,$T:$T,"="&amp;$T723)),""))))&amp;"",IF(Q723="","",""))&amp;""</f>
        <v/>
      </c>
      <c r="AY723" t="str" cm="1">
        <f t="array" ref="AY723">IFERROR(IF(R723&lt;&gt;"",R723,IF(OR($S723="",$T723=""),"",IF($T723&lt;&gt;"",_xlfn._xlws.FILTER(R:R,($BT:$BT=$BT723)*($I:$I=$I723)*($T:$T=$T723)*($S:$S=_xlfn.MINIFS($S:$S,$T:$T,"="&amp;$T723)),""))))&amp;"",IF(R723="","",""))&amp;""</f>
        <v>1</v>
      </c>
      <c r="AZ723" s="6">
        <f t="shared" si="1223"/>
        <v>57</v>
      </c>
      <c r="BA723">
        <f t="shared" ref="BA723:BC723" si="1266">BA722</f>
        <v>18991</v>
      </c>
      <c r="BB723" t="str">
        <f t="shared" si="1266"/>
        <v>Triple J</v>
      </c>
      <c r="BC723" t="str">
        <f t="shared" si="1266"/>
        <v>Velodrome</v>
      </c>
      <c r="BD723" t="str">
        <f t="shared" si="1225"/>
        <v>Pass</v>
      </c>
      <c r="BE723" t="str">
        <f t="shared" si="1226"/>
        <v>Pass_Deflected</v>
      </c>
      <c r="BF723" t="str">
        <f t="shared" si="1227"/>
        <v>Pass-Forehand</v>
      </c>
      <c r="BG723" t="str">
        <f t="shared" si="1209"/>
        <v>u</v>
      </c>
      <c r="BH723" cm="1">
        <f t="array" aca="1" ref="BH723" ca="1">IFERROR(_xlfn._xlws.FILTER(shifts!A:A,(shifts!B:B=events!Z723)*(shifts!AG:AG&gt;=events!BJ723)*(shifts!AH:AH&lt;=events!BK723)),BH722)</f>
        <v>24</v>
      </c>
      <c r="BI723" s="15">
        <f t="shared" si="1246"/>
        <v>0</v>
      </c>
      <c r="BJ723">
        <f t="shared" si="1247"/>
        <v>459</v>
      </c>
      <c r="BK723">
        <f t="shared" si="1248"/>
        <v>459</v>
      </c>
      <c r="BL723" s="15">
        <f>SUMIFS(BI$2:BI723,K$2:K723,"=Intermission")+SUMIFS(BI$2:BI723,K$2:K723,"=Timeout")</f>
        <v>0</v>
      </c>
      <c r="BM723">
        <f t="shared" si="1249"/>
        <v>0</v>
      </c>
      <c r="BN723" s="19">
        <f t="shared" si="1250"/>
        <v>621</v>
      </c>
      <c r="BO723">
        <f t="shared" si="1251"/>
        <v>616</v>
      </c>
      <c r="BP723" s="17">
        <f t="shared" si="1252"/>
        <v>621</v>
      </c>
      <c r="BQ723" t="str">
        <f t="shared" si="1253"/>
        <v>opp_team_player_1</v>
      </c>
      <c r="BR723">
        <f>COUNTIFS(S$3:S723,"="&amp;S723,AH$3:AH723,"="&amp;AH723)</f>
        <v>1</v>
      </c>
      <c r="BS723" t="str">
        <f>IFERROR(VLOOKUP(BA723&amp;BT723&amp;X723,game_rosters!U:W,3,FALSE),"")</f>
        <v>P100001</v>
      </c>
      <c r="BT723" t="str">
        <f t="shared" si="1254"/>
        <v>Velodrome</v>
      </c>
    </row>
    <row r="724" spans="1:72" x14ac:dyDescent="0.2">
      <c r="A724">
        <f t="shared" si="1211"/>
        <v>1</v>
      </c>
      <c r="E724" s="4"/>
      <c r="F724" s="45" t="s">
        <v>1062</v>
      </c>
      <c r="G724" s="4"/>
      <c r="H724" s="47"/>
      <c r="I724" s="26">
        <v>37</v>
      </c>
      <c r="J724" s="26" t="s">
        <v>736</v>
      </c>
      <c r="K724" t="s">
        <v>13</v>
      </c>
      <c r="L724" t="s">
        <v>587</v>
      </c>
      <c r="N724" t="s">
        <v>595</v>
      </c>
      <c r="O724" t="s">
        <v>907</v>
      </c>
      <c r="Q724" t="str">
        <f t="shared" si="1262"/>
        <v>s</v>
      </c>
      <c r="R724" s="26">
        <v>1</v>
      </c>
      <c r="S724">
        <f>IF(A724=1,MAX($S$2:$S723)+1,IF(OR($I724&lt;&gt;"",A724="x"),$S723,""))</f>
        <v>358</v>
      </c>
      <c r="T724" t="str">
        <f>IF(D724=1,MAX($T$2:$T723)+1,IF(S724=S723,$T723,IF(D724="x",T723,IF(D723="x","",""))))</f>
        <v/>
      </c>
      <c r="U724" t="str">
        <f>IF(B724=1,MAX($U$2:$U723)+1,IF(AND($T724&lt;&gt;"",$T724=$T723),$U723,IF(B724="x",U723,"")))</f>
        <v/>
      </c>
      <c r="V724" t="str">
        <f>IF(C724=1,MAX($V$2:$V723)+1,IF(AND($T724&lt;&gt;"",$T724=$T723),$U723,IF(C724="x",V723,"")))</f>
        <v/>
      </c>
      <c r="W724" t="str" cm="1">
        <f t="array" ref="W724">IFERROR(_xlfn._xlws.FILTER(game_rosters!AC:AC,(game_rosters!J:J=events!X724)*(K724&lt;&gt;"")),"")</f>
        <v>h</v>
      </c>
      <c r="X724" cm="1">
        <f t="array" ref="X724">IF($I724&lt;&gt;"",$I724,INDEX($I$1:$I724,ROW()-COUNTIFS($T$1:$T724,"="&amp;$T724,$S$1:$S724,"&lt;"&amp;$S724)))</f>
        <v>37</v>
      </c>
      <c r="Y724" cm="1">
        <f t="array" ref="Y724">IFERROR(IF(_xlfn._xlws.FILTER(game_rosters!$J:$J,(game_rosters!$G:$G=events!$AM724)*(game_rosters!$J:$J=events!$X724))&gt;0,1,""),"")</f>
        <v>1</v>
      </c>
      <c r="Z724" s="6">
        <f t="shared" si="1212"/>
        <v>1</v>
      </c>
      <c r="AA724">
        <f t="shared" si="1213"/>
        <v>1358</v>
      </c>
      <c r="AB724" t="str">
        <f t="shared" si="1214"/>
        <v/>
      </c>
      <c r="AC724">
        <f t="shared" si="1215"/>
        <v>1358</v>
      </c>
      <c r="AD724" t="str">
        <f t="shared" si="1241"/>
        <v>7</v>
      </c>
      <c r="AE724" t="str">
        <f t="shared" si="1242"/>
        <v>36</v>
      </c>
      <c r="AF724" t="str">
        <f t="shared" si="1243"/>
        <v/>
      </c>
      <c r="AG724" t="str">
        <f t="shared" si="1244"/>
        <v/>
      </c>
      <c r="AH724" t="str">
        <f t="shared" si="1157"/>
        <v>e</v>
      </c>
      <c r="AI724" t="str">
        <f t="shared" si="1256"/>
        <v>d</v>
      </c>
      <c r="AJ724" t="str">
        <f t="shared" si="1256"/>
        <v>d</v>
      </c>
      <c r="AK724" t="str">
        <f t="shared" si="1159"/>
        <v>d</v>
      </c>
      <c r="AL724" t="str">
        <f t="shared" si="1160"/>
        <v>o</v>
      </c>
      <c r="AM724" t="str">
        <f t="shared" si="1220"/>
        <v>Home</v>
      </c>
      <c r="AN724" t="str">
        <f t="shared" si="1161"/>
        <v>h</v>
      </c>
      <c r="AO724" t="str">
        <f t="shared" si="1162"/>
        <v>d</v>
      </c>
      <c r="AP724" t="str">
        <f t="shared" si="1163"/>
        <v>o</v>
      </c>
      <c r="AQ724" t="str">
        <f>IF(AM724&lt;&gt;"",AM724,IF($AC724=#REF!,#REF!,""))</f>
        <v>Home</v>
      </c>
      <c r="AR724" t="str">
        <f t="shared" si="1164"/>
        <v>h</v>
      </c>
      <c r="AS724" t="str">
        <f t="shared" si="1165"/>
        <v>Offensive</v>
      </c>
      <c r="AV724" t="str" cm="1">
        <f t="array" ref="AV724">IFERROR(IF(O724&lt;&gt;"",O724,IF(OR($S724="",$T724=""),"",IF(O724&lt;&gt;"",O724,IF($T724&lt;&gt;"",_xlfn._xlws.FILTER(O:O,($BT:$BT=$BT724)*($I:$I=$I724)*($T:$T=$T724)*($S:$S=_xlfn.MINIFS($S:$S,$T:$T,"="&amp;$T724)),"")))))&amp;"",IF(O724="","",""))&amp;""</f>
        <v>PuckRecoveryRetreivalPass</v>
      </c>
      <c r="AW724" t="str" cm="1">
        <f t="array" ref="AW724">IFERROR(IF(P724&lt;&gt;"",P724,IF(OR($S724="",$T724=""),"",IF($T724&lt;&gt;"",_xlfn._xlws.FILTER(P:P,($BT:$BT=$BT724)*($I:$I=$I724)*($T:$T=$T724)*($S:$S=_xlfn.MINIFS($S:$S,$T:$T,"="&amp;$T724)),""))))&amp;"",IF(P724="","",""))&amp;""</f>
        <v/>
      </c>
      <c r="AX724" t="str" cm="1">
        <f t="array" ref="AX724">IFERROR(IF(Q724&lt;&gt;"",Q724,IF(OR($S724="",$T724=""),"",IF($T724&lt;&gt;"",_xlfn._xlws.FILTER(Q:Q,($BT:$BT=$BT724)*($I:$I=$I724)*($T:$T=$T724)*($S:$S=_xlfn.MINIFS($S:$S,$T:$T,"="&amp;$T724)),""))))&amp;"",IF(Q724="","",""))&amp;""</f>
        <v>s</v>
      </c>
      <c r="AY724" t="str" cm="1">
        <f t="array" ref="AY724">IFERROR(IF(R724&lt;&gt;"",R724,IF(OR($S724="",$T724=""),"",IF($T724&lt;&gt;"",_xlfn._xlws.FILTER(R:R,($BT:$BT=$BT724)*($I:$I=$I724)*($T:$T=$T724)*($S:$S=_xlfn.MINIFS($S:$S,$T:$T,"="&amp;$T724)),""))))&amp;"",IF(R724="","",""))&amp;""</f>
        <v>1</v>
      </c>
      <c r="AZ724" s="6">
        <f t="shared" si="1223"/>
        <v>57</v>
      </c>
      <c r="BA724">
        <f t="shared" ref="BA724:BC724" si="1267">BA723</f>
        <v>18991</v>
      </c>
      <c r="BB724" t="str">
        <f t="shared" si="1267"/>
        <v>Triple J</v>
      </c>
      <c r="BC724" t="str">
        <f t="shared" si="1267"/>
        <v>Velodrome</v>
      </c>
      <c r="BD724" t="str">
        <f t="shared" si="1225"/>
        <v>Possession</v>
      </c>
      <c r="BE724" t="str">
        <f t="shared" si="1226"/>
        <v>PuckRecovery</v>
      </c>
      <c r="BF724" t="str">
        <f t="shared" si="1227"/>
        <v/>
      </c>
      <c r="BG724" t="str">
        <f t="shared" si="1209"/>
        <v>s</v>
      </c>
      <c r="BH724" cm="1">
        <f t="array" aca="1" ref="BH724" ca="1">IFERROR(_xlfn._xlws.FILTER(shifts!A:A,(shifts!B:B=events!Z724)*(shifts!AG:AG&gt;=events!BJ724)*(shifts!AH:AH&lt;=events!BK724)),BH723)</f>
        <v>24</v>
      </c>
      <c r="BI724" s="15">
        <f t="shared" si="1246"/>
        <v>0</v>
      </c>
      <c r="BJ724">
        <f t="shared" si="1247"/>
        <v>456</v>
      </c>
      <c r="BK724">
        <f t="shared" si="1248"/>
        <v>456</v>
      </c>
      <c r="BL724" s="15">
        <f>SUMIFS(BI$2:BI724,K$2:K724,"=Intermission")+SUMIFS(BI$2:BI724,K$2:K724,"=Timeout")</f>
        <v>0</v>
      </c>
      <c r="BM724">
        <f t="shared" si="1249"/>
        <v>0</v>
      </c>
      <c r="BN724" s="19">
        <f t="shared" si="1250"/>
        <v>624</v>
      </c>
      <c r="BO724">
        <f t="shared" si="1251"/>
        <v>619</v>
      </c>
      <c r="BP724" s="17">
        <f t="shared" si="1252"/>
        <v>624</v>
      </c>
      <c r="BQ724" t="str">
        <f t="shared" si="1253"/>
        <v>event_team_player_1</v>
      </c>
      <c r="BR724">
        <f>COUNTIFS(S$3:S724,"="&amp;S724,AH$3:AH724,"="&amp;AH724)</f>
        <v>1</v>
      </c>
      <c r="BS724" t="str">
        <f>IFERROR(VLOOKUP(BA724&amp;BT724&amp;X724,game_rosters!U:W,3,FALSE),"")</f>
        <v>P100006</v>
      </c>
      <c r="BT724" t="str">
        <f t="shared" si="1254"/>
        <v>Triple J</v>
      </c>
    </row>
    <row r="725" spans="1:72" x14ac:dyDescent="0.2">
      <c r="A725" t="str">
        <f t="shared" si="1211"/>
        <v/>
      </c>
      <c r="E725" s="4"/>
      <c r="F725" s="45"/>
      <c r="G725" s="4"/>
      <c r="H725" s="47"/>
      <c r="I725" s="26">
        <v>55</v>
      </c>
      <c r="J725" s="26" t="str">
        <f t="shared" si="1237"/>
        <v/>
      </c>
      <c r="N725" t="str">
        <f t="shared" ref="N725:N738" si="1268">IF(K725="","",IF(K725="Goal","s",IF(AND(K725="Zone_Entry_Exit",OR(ISNUMBER(SEARCH("fail",L725)),ISNUMBER(SEARCH("FromExitClear",M725)),ISNUMBER(SEARCH("miss",M725)))),"u",IF(AND(K725="Zone_Entry_Exit",OR(NOT(ISNUMBER(SEARCH("fail",L725))),NOT(ISNUMBER(SEARCH("FromExitClear",M725))),NOT(ISNUMBER(SEARCH("miss",M725))))),"s",IF(AND(OR(K725="Shot",K725="Pass"),OR(ISNUMBER(SEARCH("complete",L725)),ISNUMBER(SEARCH("goal",L725)),ISNUMBER(SEARCH("OnNet",L725)))),"s",IF(L725="Turnover_Giveaway","u",IF(AND(OR(K725="Shot",K725="Pass"),OR(ISNUMBER(SEARCH("fail",L725)),NOT(ISNUMBER(SEARCH("complete",L725))),NOT(ISNUMBER(SEARCH("OnNet",L725))))),"u","")))))))</f>
        <v/>
      </c>
      <c r="O725" t="s">
        <v>567</v>
      </c>
      <c r="Q725" t="str">
        <f t="shared" si="1262"/>
        <v/>
      </c>
      <c r="R725" s="26">
        <v>1</v>
      </c>
      <c r="S725">
        <f>IF(A725=1,MAX($S$2:$S724)+1,IF(OR($I725&lt;&gt;"",A725="x"),$S724,""))</f>
        <v>358</v>
      </c>
      <c r="T725" t="str">
        <f>IF(D725=1,MAX($T$2:$T724)+1,IF(S725=S724,$T724,IF(D725="x",T724,IF(D724="x","",""))))</f>
        <v/>
      </c>
      <c r="U725" t="str">
        <f>IF(B725=1,MAX($U$2:$U724)+1,IF(AND($T725&lt;&gt;"",$T725=$T724),$U724,IF(B725="x",U724,"")))</f>
        <v/>
      </c>
      <c r="V725" t="str">
        <f>IF(C725=1,MAX($V$2:$V724)+1,IF(AND($T725&lt;&gt;"",$T725=$T724),$U724,IF(C725="x",V724,"")))</f>
        <v/>
      </c>
      <c r="W725" t="str" cm="1">
        <f t="array" ref="W725">IFERROR(_xlfn._xlws.FILTER(game_rosters!AC:AC,(game_rosters!J:J=events!X725)*(K725&lt;&gt;"")),"")</f>
        <v/>
      </c>
      <c r="X725" cm="1">
        <f t="array" ref="X725">IF($I725&lt;&gt;"",$I725,INDEX($I$1:$I725,ROW()-COUNTIFS($T$1:$T725,"="&amp;$T725,$S$1:$S725,"&lt;"&amp;$S725)))</f>
        <v>55</v>
      </c>
      <c r="Y725" t="str" cm="1">
        <f t="array" ref="Y725">IFERROR(IF(_xlfn._xlws.FILTER(game_rosters!$J:$J,(game_rosters!$G:$G=events!$AM725)*(game_rosters!$J:$J=events!$X725))&gt;0,1,""),"")</f>
        <v/>
      </c>
      <c r="Z725" s="6">
        <f t="shared" si="1212"/>
        <v>1</v>
      </c>
      <c r="AA725">
        <f t="shared" si="1213"/>
        <v>1358</v>
      </c>
      <c r="AB725" t="str">
        <f t="shared" si="1214"/>
        <v/>
      </c>
      <c r="AC725">
        <f t="shared" si="1215"/>
        <v>1358</v>
      </c>
      <c r="AD725" t="str">
        <f t="shared" si="1241"/>
        <v>7</v>
      </c>
      <c r="AE725" t="str">
        <f t="shared" si="1242"/>
        <v>36</v>
      </c>
      <c r="AF725" t="str">
        <f t="shared" si="1243"/>
        <v/>
      </c>
      <c r="AG725" t="str">
        <f t="shared" si="1244"/>
        <v/>
      </c>
      <c r="AH725" t="str">
        <f t="shared" si="1157"/>
        <v>o</v>
      </c>
      <c r="AI725" t="str">
        <f t="shared" si="1256"/>
        <v>d</v>
      </c>
      <c r="AJ725" t="str">
        <f t="shared" si="1256"/>
        <v>d</v>
      </c>
      <c r="AK725" t="str">
        <f t="shared" si="1159"/>
        <v/>
      </c>
      <c r="AL725" t="str">
        <f t="shared" si="1160"/>
        <v/>
      </c>
      <c r="AM725" t="str">
        <f t="shared" si="1220"/>
        <v>Home</v>
      </c>
      <c r="AN725" t="str">
        <f t="shared" si="1161"/>
        <v>h</v>
      </c>
      <c r="AO725" t="str">
        <f t="shared" si="1162"/>
        <v>d</v>
      </c>
      <c r="AP725" t="str">
        <f t="shared" si="1163"/>
        <v>o</v>
      </c>
      <c r="AQ725" t="str">
        <f>IF(AM725&lt;&gt;"",AM725,IF($AC725=#REF!,#REF!,""))</f>
        <v>Home</v>
      </c>
      <c r="AR725" t="str">
        <f t="shared" si="1164"/>
        <v>h</v>
      </c>
      <c r="AS725" t="str">
        <f t="shared" si="1165"/>
        <v>Defensive</v>
      </c>
      <c r="AV725" t="str" cm="1">
        <f t="array" ref="AV725">IFERROR(IF(O725&lt;&gt;"",O725,IF(OR($S725="",$T725=""),"",IF(O725&lt;&gt;"",O725,IF($T725&lt;&gt;"",_xlfn._xlws.FILTER(O:O,($BT:$BT=$BT725)*($I:$I=$I725)*($T:$T=$T725)*($S:$S=_xlfn.MINIFS($S:$S,$T:$T,"="&amp;$T725)),"")))))&amp;"",IF(O725="","",""))&amp;""</f>
        <v>StickCheck</v>
      </c>
      <c r="AW725" t="str" cm="1">
        <f t="array" ref="AW725">IFERROR(IF(P725&lt;&gt;"",P725,IF(OR($S725="",$T725=""),"",IF($T725&lt;&gt;"",_xlfn._xlws.FILTER(P:P,($BT:$BT=$BT725)*($I:$I=$I725)*($T:$T=$T725)*($S:$S=_xlfn.MINIFS($S:$S,$T:$T,"="&amp;$T725)),""))))&amp;"",IF(P725="","",""))&amp;""</f>
        <v/>
      </c>
      <c r="AX725" t="str" cm="1">
        <f t="array" ref="AX725">IFERROR(IF(Q725&lt;&gt;"",Q725,IF(OR($S725="",$T725=""),"",IF($T725&lt;&gt;"",_xlfn._xlws.FILTER(Q:Q,($BT:$BT=$BT725)*($I:$I=$I725)*($T:$T=$T725)*($S:$S=_xlfn.MINIFS($S:$S,$T:$T,"="&amp;$T725)),""))))&amp;"",IF(Q725="","",""))&amp;""</f>
        <v/>
      </c>
      <c r="AY725" t="str" cm="1">
        <f t="array" ref="AY725">IFERROR(IF(R725&lt;&gt;"",R725,IF(OR($S725="",$T725=""),"",IF($T725&lt;&gt;"",_xlfn._xlws.FILTER(R:R,($BT:$BT=$BT725)*($I:$I=$I725)*($T:$T=$T725)*($S:$S=_xlfn.MINIFS($S:$S,$T:$T,"="&amp;$T725)),""))))&amp;"",IF(R725="","",""))&amp;""</f>
        <v>1</v>
      </c>
      <c r="AZ725" s="6">
        <f t="shared" si="1223"/>
        <v>57</v>
      </c>
      <c r="BA725">
        <f t="shared" ref="BA725:BC725" si="1269">BA724</f>
        <v>18991</v>
      </c>
      <c r="BB725" t="str">
        <f t="shared" si="1269"/>
        <v>Triple J</v>
      </c>
      <c r="BC725" t="str">
        <f t="shared" si="1269"/>
        <v>Velodrome</v>
      </c>
      <c r="BD725" t="str">
        <f t="shared" si="1225"/>
        <v>Possession</v>
      </c>
      <c r="BE725" t="str">
        <f t="shared" si="1226"/>
        <v>PuckRecovery</v>
      </c>
      <c r="BF725" t="str">
        <f t="shared" si="1227"/>
        <v/>
      </c>
      <c r="BG725" t="str">
        <f t="shared" si="1209"/>
        <v>s</v>
      </c>
      <c r="BH725" cm="1">
        <f t="array" aca="1" ref="BH725" ca="1">IFERROR(_xlfn._xlws.FILTER(shifts!A:A,(shifts!B:B=events!Z725)*(shifts!AG:AG&gt;=events!BJ725)*(shifts!AH:AH&lt;=events!BK725)),BH724)</f>
        <v>24</v>
      </c>
      <c r="BI725" s="15">
        <f t="shared" si="1246"/>
        <v>0</v>
      </c>
      <c r="BJ725">
        <f t="shared" si="1247"/>
        <v>456</v>
      </c>
      <c r="BK725">
        <f t="shared" si="1248"/>
        <v>456</v>
      </c>
      <c r="BL725" s="15">
        <f>SUMIFS(BI$2:BI725,K$2:K725,"=Intermission")+SUMIFS(BI$2:BI725,K$2:K725,"=Timeout")</f>
        <v>0</v>
      </c>
      <c r="BM725">
        <f t="shared" si="1249"/>
        <v>0</v>
      </c>
      <c r="BN725" s="19">
        <f t="shared" si="1250"/>
        <v>624</v>
      </c>
      <c r="BO725">
        <f t="shared" si="1251"/>
        <v>619</v>
      </c>
      <c r="BP725" s="17">
        <f t="shared" si="1252"/>
        <v>624</v>
      </c>
      <c r="BQ725" t="str">
        <f t="shared" si="1253"/>
        <v>opp_team_player_1</v>
      </c>
      <c r="BR725">
        <f>COUNTIFS(S$3:S725,"="&amp;S725,AH$3:AH725,"="&amp;AH725)</f>
        <v>1</v>
      </c>
      <c r="BS725" t="str">
        <f>IFERROR(VLOOKUP(BA725&amp;BT725&amp;X725,game_rosters!U:W,3,FALSE),"")</f>
        <v>P100064</v>
      </c>
      <c r="BT725" t="str">
        <f t="shared" si="1254"/>
        <v>Velodrome</v>
      </c>
    </row>
    <row r="726" spans="1:72" x14ac:dyDescent="0.2">
      <c r="A726">
        <f t="shared" si="1211"/>
        <v>1</v>
      </c>
      <c r="E726" s="4"/>
      <c r="F726" s="45"/>
      <c r="G726" s="4"/>
      <c r="H726" s="47"/>
      <c r="I726" s="26">
        <v>37</v>
      </c>
      <c r="J726" s="26" t="s">
        <v>736</v>
      </c>
      <c r="K726" t="s">
        <v>7</v>
      </c>
      <c r="L726" t="s">
        <v>172</v>
      </c>
      <c r="M726" t="s">
        <v>67</v>
      </c>
      <c r="N726" t="str">
        <f t="shared" si="1268"/>
        <v>s</v>
      </c>
      <c r="O726" t="s">
        <v>576</v>
      </c>
      <c r="Q726" t="str">
        <f t="shared" si="1262"/>
        <v>s</v>
      </c>
      <c r="R726" s="26">
        <v>1</v>
      </c>
      <c r="S726">
        <f>IF(A726=1,MAX($S$2:$S725)+1,IF(OR($I726&lt;&gt;"",A726="x"),$S725,""))</f>
        <v>359</v>
      </c>
      <c r="T726" t="str">
        <f>IF(D726=1,MAX($T$2:$T725)+1,IF(S726=S725,$T725,IF(D726="x",T725,IF(D725="x","",""))))</f>
        <v/>
      </c>
      <c r="U726" t="str">
        <f>IF(B726=1,MAX($U$2:$U725)+1,IF(AND($T726&lt;&gt;"",$T726=$T725),$U725,IF(B726="x",U725,"")))</f>
        <v/>
      </c>
      <c r="V726" t="str">
        <f>IF(C726=1,MAX($V$2:$V725)+1,IF(AND($T726&lt;&gt;"",$T726=$T725),$U725,IF(C726="x",V725,"")))</f>
        <v/>
      </c>
      <c r="W726" t="str" cm="1">
        <f t="array" ref="W726">IFERROR(_xlfn._xlws.FILTER(game_rosters!AC:AC,(game_rosters!J:J=events!X726)*(K726&lt;&gt;"")),"")</f>
        <v>h</v>
      </c>
      <c r="X726" cm="1">
        <f t="array" ref="X726">IF($I726&lt;&gt;"",$I726,INDEX($I$1:$I726,ROW()-COUNTIFS($T$1:$T726,"="&amp;$T726,$S$1:$S726,"&lt;"&amp;$S726)))</f>
        <v>37</v>
      </c>
      <c r="Y726" cm="1">
        <f t="array" ref="Y726">IFERROR(IF(_xlfn._xlws.FILTER(game_rosters!$J:$J,(game_rosters!$G:$G=events!$AM726)*(game_rosters!$J:$J=events!$X726))&gt;0,1,""),"")</f>
        <v>1</v>
      </c>
      <c r="Z726" s="6">
        <f t="shared" si="1212"/>
        <v>1</v>
      </c>
      <c r="AA726">
        <f t="shared" si="1213"/>
        <v>1359</v>
      </c>
      <c r="AB726" t="str">
        <f t="shared" si="1214"/>
        <v/>
      </c>
      <c r="AC726">
        <f t="shared" si="1215"/>
        <v>1359</v>
      </c>
      <c r="AD726" t="str">
        <f t="shared" si="1241"/>
        <v>7</v>
      </c>
      <c r="AE726" t="str">
        <f t="shared" si="1242"/>
        <v>36</v>
      </c>
      <c r="AF726" t="str">
        <f t="shared" si="1243"/>
        <v/>
      </c>
      <c r="AG726" t="str">
        <f t="shared" si="1244"/>
        <v/>
      </c>
      <c r="AH726" t="str">
        <f t="shared" si="1157"/>
        <v>e</v>
      </c>
      <c r="AI726" t="str">
        <f t="shared" si="1256"/>
        <v>d</v>
      </c>
      <c r="AJ726" t="str">
        <f t="shared" si="1256"/>
        <v>d</v>
      </c>
      <c r="AK726" t="str">
        <f t="shared" si="1159"/>
        <v>d</v>
      </c>
      <c r="AL726" t="str">
        <f t="shared" si="1160"/>
        <v>o</v>
      </c>
      <c r="AM726" t="str">
        <f t="shared" si="1220"/>
        <v>Home</v>
      </c>
      <c r="AN726" t="str">
        <f t="shared" si="1161"/>
        <v>h</v>
      </c>
      <c r="AO726" t="str">
        <f t="shared" si="1162"/>
        <v>d</v>
      </c>
      <c r="AP726" t="str">
        <f t="shared" si="1163"/>
        <v>o</v>
      </c>
      <c r="AQ726" t="str">
        <f>IF(AM726&lt;&gt;"",AM726,IF($AC726=#REF!,#REF!,""))</f>
        <v>Home</v>
      </c>
      <c r="AR726" t="str">
        <f t="shared" si="1164"/>
        <v>h</v>
      </c>
      <c r="AS726" t="str">
        <f t="shared" si="1165"/>
        <v>Offensive</v>
      </c>
      <c r="AV726" t="str" cm="1">
        <f t="array" ref="AV726">IFERROR(IF(O726&lt;&gt;"",O726,IF(OR($S726="",$T726=""),"",IF(O726&lt;&gt;"",O726,IF($T726&lt;&gt;"",_xlfn._xlws.FILTER(O:O,($BT:$BT=$BT726)*($I:$I=$I726)*($T:$T=$T726)*($S:$S=_xlfn.MINIFS($S:$S,$T:$T,"="&amp;$T726)),"")))))&amp;"",IF(O726="","",""))&amp;""</f>
        <v>SecondTouch</v>
      </c>
      <c r="AW726" t="str" cm="1">
        <f t="array" ref="AW726">IFERROR(IF(P726&lt;&gt;"",P726,IF(OR($S726="",$T726=""),"",IF($T726&lt;&gt;"",_xlfn._xlws.FILTER(P:P,($BT:$BT=$BT726)*($I:$I=$I726)*($T:$T=$T726)*($S:$S=_xlfn.MINIFS($S:$S,$T:$T,"="&amp;$T726)),""))))&amp;"",IF(P726="","",""))&amp;""</f>
        <v/>
      </c>
      <c r="AX726" t="str" cm="1">
        <f t="array" ref="AX726">IFERROR(IF(Q726&lt;&gt;"",Q726,IF(OR($S726="",$T726=""),"",IF($T726&lt;&gt;"",_xlfn._xlws.FILTER(Q:Q,($BT:$BT=$BT726)*($I:$I=$I726)*($T:$T=$T726)*($S:$S=_xlfn.MINIFS($S:$S,$T:$T,"="&amp;$T726)),""))))&amp;"",IF(Q726="","",""))&amp;""</f>
        <v>s</v>
      </c>
      <c r="AY726" t="str" cm="1">
        <f t="array" ref="AY726">IFERROR(IF(R726&lt;&gt;"",R726,IF(OR($S726="",$T726=""),"",IF($T726&lt;&gt;"",_xlfn._xlws.FILTER(R:R,($BT:$BT=$BT726)*($I:$I=$I726)*($T:$T=$T726)*($S:$S=_xlfn.MINIFS($S:$S,$T:$T,"="&amp;$T726)),""))))&amp;"",IF(R726="","",""))&amp;""</f>
        <v>1</v>
      </c>
      <c r="AZ726" s="6">
        <f t="shared" si="1223"/>
        <v>57</v>
      </c>
      <c r="BA726">
        <f t="shared" ref="BA726:BC726" si="1270">BA725</f>
        <v>18991</v>
      </c>
      <c r="BB726" t="str">
        <f t="shared" si="1270"/>
        <v>Triple J</v>
      </c>
      <c r="BC726" t="str">
        <f t="shared" si="1270"/>
        <v>Velodrome</v>
      </c>
      <c r="BD726" t="str">
        <f t="shared" si="1225"/>
        <v>Pass</v>
      </c>
      <c r="BE726" t="str">
        <f t="shared" si="1226"/>
        <v>Pass_Completed</v>
      </c>
      <c r="BF726" t="str">
        <f t="shared" si="1227"/>
        <v>Pass-Backhand</v>
      </c>
      <c r="BG726" t="str">
        <f t="shared" si="1209"/>
        <v>s</v>
      </c>
      <c r="BH726" cm="1">
        <f t="array" aca="1" ref="BH726" ca="1">IFERROR(_xlfn._xlws.FILTER(shifts!A:A,(shifts!B:B=events!Z726)*(shifts!AG:AG&gt;=events!BJ726)*(shifts!AH:AH&lt;=events!BK726)),BH725)</f>
        <v>24</v>
      </c>
      <c r="BI726" s="15">
        <f t="shared" si="1246"/>
        <v>0</v>
      </c>
      <c r="BJ726">
        <f t="shared" si="1247"/>
        <v>456</v>
      </c>
      <c r="BK726">
        <f t="shared" si="1248"/>
        <v>456</v>
      </c>
      <c r="BL726" s="15">
        <f>SUMIFS(BI$2:BI726,K$2:K726,"=Intermission")+SUMIFS(BI$2:BI726,K$2:K726,"=Timeout")</f>
        <v>0</v>
      </c>
      <c r="BM726">
        <f t="shared" si="1249"/>
        <v>0</v>
      </c>
      <c r="BN726" s="19">
        <f t="shared" si="1250"/>
        <v>624</v>
      </c>
      <c r="BO726">
        <f t="shared" si="1251"/>
        <v>619</v>
      </c>
      <c r="BP726" s="17">
        <f t="shared" si="1252"/>
        <v>624</v>
      </c>
      <c r="BQ726" t="str">
        <f t="shared" si="1253"/>
        <v>event_team_player_1</v>
      </c>
      <c r="BR726">
        <f>COUNTIFS(S$3:S726,"="&amp;S726,AH$3:AH726,"="&amp;AH726)</f>
        <v>1</v>
      </c>
      <c r="BS726" t="str">
        <f>IFERROR(VLOOKUP(BA726&amp;BT726&amp;X726,game_rosters!U:W,3,FALSE),"")</f>
        <v>P100006</v>
      </c>
      <c r="BT726" t="str">
        <f t="shared" si="1254"/>
        <v>Triple J</v>
      </c>
    </row>
    <row r="727" spans="1:72" x14ac:dyDescent="0.2">
      <c r="A727" t="str">
        <f t="shared" si="1211"/>
        <v/>
      </c>
      <c r="E727" s="4"/>
      <c r="F727" s="45"/>
      <c r="G727" s="4"/>
      <c r="H727" s="47"/>
      <c r="I727" s="26">
        <v>73</v>
      </c>
      <c r="J727" s="26" t="str">
        <f t="shared" si="1237"/>
        <v/>
      </c>
      <c r="N727" t="str">
        <f t="shared" si="1268"/>
        <v/>
      </c>
      <c r="Q727" t="str">
        <f t="shared" si="1262"/>
        <v/>
      </c>
      <c r="S727">
        <f>IF(A727=1,MAX($S$2:$S726)+1,IF(OR($I727&lt;&gt;"",A727="x"),$S726,""))</f>
        <v>359</v>
      </c>
      <c r="T727" t="str">
        <f>IF(D727=1,MAX($T$2:$T726)+1,IF(S727=S726,$T726,IF(D727="x",T726,IF(D726="x","",""))))</f>
        <v/>
      </c>
      <c r="U727" t="str">
        <f>IF(B727=1,MAX($U$2:$U726)+1,IF(AND($T727&lt;&gt;"",$T727=$T726),$U726,IF(B727="x",U726,"")))</f>
        <v/>
      </c>
      <c r="V727" t="str">
        <f>IF(C727=1,MAX($V$2:$V726)+1,IF(AND($T727&lt;&gt;"",$T727=$T726),$U726,IF(C727="x",V726,"")))</f>
        <v/>
      </c>
      <c r="W727" t="str" cm="1">
        <f t="array" ref="W727">IFERROR(_xlfn._xlws.FILTER(game_rosters!AC:AC,(game_rosters!J:J=events!X727)*(K727&lt;&gt;"")),"")</f>
        <v/>
      </c>
      <c r="X727" cm="1">
        <f t="array" ref="X727">IF($I727&lt;&gt;"",$I727,INDEX($I$1:$I727,ROW()-COUNTIFS($T$1:$T727,"="&amp;$T727,$S$1:$S727,"&lt;"&amp;$S727)))</f>
        <v>73</v>
      </c>
      <c r="Y727" cm="1">
        <f t="array" ref="Y727">IFERROR(IF(_xlfn._xlws.FILTER(game_rosters!$J:$J,(game_rosters!$G:$G=events!$AM727)*(game_rosters!$J:$J=events!$X727))&gt;0,1,""),"")</f>
        <v>1</v>
      </c>
      <c r="Z727" s="6">
        <f t="shared" si="1212"/>
        <v>1</v>
      </c>
      <c r="AA727">
        <f t="shared" si="1213"/>
        <v>1359</v>
      </c>
      <c r="AB727" t="str">
        <f t="shared" si="1214"/>
        <v/>
      </c>
      <c r="AC727">
        <f t="shared" si="1215"/>
        <v>1359</v>
      </c>
      <c r="AD727" t="str">
        <f t="shared" si="1241"/>
        <v>7</v>
      </c>
      <c r="AE727" t="str">
        <f t="shared" si="1242"/>
        <v>36</v>
      </c>
      <c r="AF727" t="str">
        <f t="shared" si="1243"/>
        <v/>
      </c>
      <c r="AG727" t="str">
        <f t="shared" si="1244"/>
        <v/>
      </c>
      <c r="AH727" t="str">
        <f t="shared" si="1157"/>
        <v>e</v>
      </c>
      <c r="AI727" t="str">
        <f t="shared" si="1256"/>
        <v>d</v>
      </c>
      <c r="AJ727" t="str">
        <f t="shared" si="1256"/>
        <v>d</v>
      </c>
      <c r="AK727" t="str">
        <f t="shared" si="1159"/>
        <v/>
      </c>
      <c r="AL727" t="str">
        <f t="shared" si="1160"/>
        <v/>
      </c>
      <c r="AM727" t="str">
        <f t="shared" si="1220"/>
        <v>Home</v>
      </c>
      <c r="AN727" t="str">
        <f t="shared" si="1161"/>
        <v>h</v>
      </c>
      <c r="AO727" t="str">
        <f t="shared" si="1162"/>
        <v>d</v>
      </c>
      <c r="AP727" t="str">
        <f t="shared" si="1163"/>
        <v>o</v>
      </c>
      <c r="AQ727" t="str">
        <f>IF(AM727&lt;&gt;"",AM727,IF($AC727=#REF!,#REF!,""))</f>
        <v>Home</v>
      </c>
      <c r="AR727" t="str">
        <f t="shared" si="1164"/>
        <v>h</v>
      </c>
      <c r="AS727" t="str">
        <f t="shared" si="1165"/>
        <v>Offensive</v>
      </c>
      <c r="AV727" t="str" cm="1">
        <f t="array" ref="AV727">IFERROR(IF(O727&lt;&gt;"",O727,IF(OR($S727="",$T727=""),"",IF(O727&lt;&gt;"",O727,IF($T727&lt;&gt;"",_xlfn._xlws.FILTER(O:O,($BT:$BT=$BT727)*($I:$I=$I727)*($T:$T=$T727)*($S:$S=_xlfn.MINIFS($S:$S,$T:$T,"="&amp;$T727)),"")))))&amp;"",IF(O727="","",""))&amp;""</f>
        <v/>
      </c>
      <c r="AW727" t="str" cm="1">
        <f t="array" ref="AW727">IFERROR(IF(P727&lt;&gt;"",P727,IF(OR($S727="",$T727=""),"",IF($T727&lt;&gt;"",_xlfn._xlws.FILTER(P:P,($BT:$BT=$BT727)*($I:$I=$I727)*($T:$T=$T727)*($S:$S=_xlfn.MINIFS($S:$S,$T:$T,"="&amp;$T727)),""))))&amp;"",IF(P727="","",""))&amp;""</f>
        <v/>
      </c>
      <c r="AX727" t="str" cm="1">
        <f t="array" ref="AX727">IFERROR(IF(Q727&lt;&gt;"",Q727,IF(OR($S727="",$T727=""),"",IF($T727&lt;&gt;"",_xlfn._xlws.FILTER(Q:Q,($BT:$BT=$BT727)*($I:$I=$I727)*($T:$T=$T727)*($S:$S=_xlfn.MINIFS($S:$S,$T:$T,"="&amp;$T727)),""))))&amp;"",IF(Q727="","",""))&amp;""</f>
        <v/>
      </c>
      <c r="AY727" t="str" cm="1">
        <f t="array" ref="AY727">IFERROR(IF(R727&lt;&gt;"",R727,IF(OR($S727="",$T727=""),"",IF($T727&lt;&gt;"",_xlfn._xlws.FILTER(R:R,($BT:$BT=$BT727)*($I:$I=$I727)*($T:$T=$T727)*($S:$S=_xlfn.MINIFS($S:$S,$T:$T,"="&amp;$T727)),""))))&amp;"",IF(R727="","",""))&amp;""</f>
        <v/>
      </c>
      <c r="AZ727" s="6">
        <f t="shared" si="1223"/>
        <v>57</v>
      </c>
      <c r="BA727">
        <f t="shared" ref="BA727:BC727" si="1271">BA726</f>
        <v>18991</v>
      </c>
      <c r="BB727" t="str">
        <f t="shared" si="1271"/>
        <v>Triple J</v>
      </c>
      <c r="BC727" t="str">
        <f t="shared" si="1271"/>
        <v>Velodrome</v>
      </c>
      <c r="BD727" t="str">
        <f t="shared" si="1225"/>
        <v>Pass</v>
      </c>
      <c r="BE727" t="str">
        <f t="shared" si="1226"/>
        <v>Pass_Completed</v>
      </c>
      <c r="BF727" t="str">
        <f t="shared" si="1227"/>
        <v>Pass-Backhand</v>
      </c>
      <c r="BG727" t="str">
        <f t="shared" si="1209"/>
        <v>s</v>
      </c>
      <c r="BH727" cm="1">
        <f t="array" aca="1" ref="BH727" ca="1">IFERROR(_xlfn._xlws.FILTER(shifts!A:A,(shifts!B:B=events!Z727)*(shifts!AG:AG&gt;=events!BJ727)*(shifts!AH:AH&lt;=events!BK727)),BH726)</f>
        <v>24</v>
      </c>
      <c r="BI727" s="15">
        <f t="shared" si="1246"/>
        <v>0</v>
      </c>
      <c r="BJ727">
        <f t="shared" si="1247"/>
        <v>456</v>
      </c>
      <c r="BK727">
        <f t="shared" si="1248"/>
        <v>456</v>
      </c>
      <c r="BL727" s="15">
        <f>SUMIFS(BI$2:BI727,K$2:K727,"=Intermission")+SUMIFS(BI$2:BI727,K$2:K727,"=Timeout")</f>
        <v>0</v>
      </c>
      <c r="BM727">
        <f t="shared" si="1249"/>
        <v>0</v>
      </c>
      <c r="BN727" s="19">
        <f t="shared" si="1250"/>
        <v>624</v>
      </c>
      <c r="BO727">
        <f t="shared" si="1251"/>
        <v>619</v>
      </c>
      <c r="BP727" s="17">
        <f t="shared" si="1252"/>
        <v>624</v>
      </c>
      <c r="BQ727" t="str">
        <f t="shared" si="1253"/>
        <v>event_team_player_2</v>
      </c>
      <c r="BR727">
        <f>COUNTIFS(S$3:S727,"="&amp;S727,AH$3:AH727,"="&amp;AH727)</f>
        <v>2</v>
      </c>
      <c r="BS727" t="str">
        <f>IFERROR(VLOOKUP(BA727&amp;BT727&amp;X727,game_rosters!U:W,3,FALSE),"")</f>
        <v>P100021</v>
      </c>
      <c r="BT727" t="str">
        <f t="shared" si="1254"/>
        <v>Triple J</v>
      </c>
    </row>
    <row r="728" spans="1:72" x14ac:dyDescent="0.2">
      <c r="A728" t="str">
        <f t="shared" si="1211"/>
        <v/>
      </c>
      <c r="E728" s="4"/>
      <c r="F728" s="45"/>
      <c r="G728" s="4"/>
      <c r="H728" s="47"/>
      <c r="I728" s="26">
        <v>55</v>
      </c>
      <c r="J728" s="26" t="str">
        <f t="shared" si="1237"/>
        <v/>
      </c>
      <c r="N728" t="str">
        <f t="shared" si="1268"/>
        <v/>
      </c>
      <c r="O728" t="s">
        <v>567</v>
      </c>
      <c r="Q728" t="str">
        <f t="shared" si="1262"/>
        <v/>
      </c>
      <c r="R728" s="26">
        <v>1</v>
      </c>
      <c r="S728">
        <f>IF(A728=1,MAX($S$2:$S727)+1,IF(OR($I728&lt;&gt;"",A728="x"),$S727,""))</f>
        <v>359</v>
      </c>
      <c r="T728" t="str">
        <f>IF(D728=1,MAX($T$2:$T727)+1,IF(S728=S727,$T727,IF(D728="x",T727,IF(D727="x","",""))))</f>
        <v/>
      </c>
      <c r="U728" t="str">
        <f>IF(B728=1,MAX($U$2:$U727)+1,IF(AND($T728&lt;&gt;"",$T728=$T727),$U727,IF(B728="x",U727,"")))</f>
        <v/>
      </c>
      <c r="V728" t="str">
        <f>IF(C728=1,MAX($V$2:$V727)+1,IF(AND($T728&lt;&gt;"",$T728=$T727),$U727,IF(C728="x",V727,"")))</f>
        <v/>
      </c>
      <c r="W728" t="str" cm="1">
        <f t="array" ref="W728">IFERROR(_xlfn._xlws.FILTER(game_rosters!AC:AC,(game_rosters!J:J=events!X728)*(K728&lt;&gt;"")),"")</f>
        <v/>
      </c>
      <c r="X728" cm="1">
        <f t="array" ref="X728">IF($I728&lt;&gt;"",$I728,INDEX($I$1:$I728,ROW()-COUNTIFS($T$1:$T728,"="&amp;$T728,$S$1:$S728,"&lt;"&amp;$S728)))</f>
        <v>55</v>
      </c>
      <c r="Y728" t="str" cm="1">
        <f t="array" ref="Y728">IFERROR(IF(_xlfn._xlws.FILTER(game_rosters!$J:$J,(game_rosters!$G:$G=events!$AM728)*(game_rosters!$J:$J=events!$X728))&gt;0,1,""),"")</f>
        <v/>
      </c>
      <c r="Z728" s="6">
        <f t="shared" si="1212"/>
        <v>1</v>
      </c>
      <c r="AA728">
        <f t="shared" si="1213"/>
        <v>1359</v>
      </c>
      <c r="AB728" t="str">
        <f t="shared" si="1214"/>
        <v/>
      </c>
      <c r="AC728">
        <f t="shared" si="1215"/>
        <v>1359</v>
      </c>
      <c r="AD728" t="str">
        <f t="shared" si="1241"/>
        <v>7</v>
      </c>
      <c r="AE728" t="str">
        <f t="shared" si="1242"/>
        <v>36</v>
      </c>
      <c r="AF728" t="str">
        <f t="shared" si="1243"/>
        <v/>
      </c>
      <c r="AG728" t="str">
        <f t="shared" si="1244"/>
        <v/>
      </c>
      <c r="AH728" t="str">
        <f t="shared" si="1157"/>
        <v>o</v>
      </c>
      <c r="AI728" t="str">
        <f t="shared" si="1256"/>
        <v>d</v>
      </c>
      <c r="AJ728" t="str">
        <f t="shared" si="1256"/>
        <v>d</v>
      </c>
      <c r="AK728" t="str">
        <f t="shared" si="1159"/>
        <v/>
      </c>
      <c r="AL728" t="str">
        <f t="shared" si="1160"/>
        <v/>
      </c>
      <c r="AM728" t="str">
        <f t="shared" si="1220"/>
        <v>Home</v>
      </c>
      <c r="AN728" t="str">
        <f t="shared" si="1161"/>
        <v>h</v>
      </c>
      <c r="AO728" t="str">
        <f t="shared" si="1162"/>
        <v>d</v>
      </c>
      <c r="AP728" t="str">
        <f t="shared" si="1163"/>
        <v>o</v>
      </c>
      <c r="AQ728" t="str">
        <f>IF(AM728&lt;&gt;"",AM728,IF($AC728=#REF!,#REF!,""))</f>
        <v>Home</v>
      </c>
      <c r="AR728" t="str">
        <f t="shared" si="1164"/>
        <v>h</v>
      </c>
      <c r="AS728" t="str">
        <f t="shared" si="1165"/>
        <v>Defensive</v>
      </c>
      <c r="AV728" t="str" cm="1">
        <f t="array" ref="AV728">IFERROR(IF(O728&lt;&gt;"",O728,IF(OR($S728="",$T728=""),"",IF(O728&lt;&gt;"",O728,IF($T728&lt;&gt;"",_xlfn._xlws.FILTER(O:O,($BT:$BT=$BT728)*($I:$I=$I728)*($T:$T=$T728)*($S:$S=_xlfn.MINIFS($S:$S,$T:$T,"="&amp;$T728)),"")))))&amp;"",IF(O728="","",""))&amp;""</f>
        <v>StickCheck</v>
      </c>
      <c r="AW728" t="str" cm="1">
        <f t="array" ref="AW728">IFERROR(IF(P728&lt;&gt;"",P728,IF(OR($S728="",$T728=""),"",IF($T728&lt;&gt;"",_xlfn._xlws.FILTER(P:P,($BT:$BT=$BT728)*($I:$I=$I728)*($T:$T=$T728)*($S:$S=_xlfn.MINIFS($S:$S,$T:$T,"="&amp;$T728)),""))))&amp;"",IF(P728="","",""))&amp;""</f>
        <v/>
      </c>
      <c r="AX728" t="str" cm="1">
        <f t="array" ref="AX728">IFERROR(IF(Q728&lt;&gt;"",Q728,IF(OR($S728="",$T728=""),"",IF($T728&lt;&gt;"",_xlfn._xlws.FILTER(Q:Q,($BT:$BT=$BT728)*($I:$I=$I728)*($T:$T=$T728)*($S:$S=_xlfn.MINIFS($S:$S,$T:$T,"="&amp;$T728)),""))))&amp;"",IF(Q728="","",""))&amp;""</f>
        <v/>
      </c>
      <c r="AY728" t="str" cm="1">
        <f t="array" ref="AY728">IFERROR(IF(R728&lt;&gt;"",R728,IF(OR($S728="",$T728=""),"",IF($T728&lt;&gt;"",_xlfn._xlws.FILTER(R:R,($BT:$BT=$BT728)*($I:$I=$I728)*($T:$T=$T728)*($S:$S=_xlfn.MINIFS($S:$S,$T:$T,"="&amp;$T728)),""))))&amp;"",IF(R728="","",""))&amp;""</f>
        <v>1</v>
      </c>
      <c r="AZ728" s="6">
        <f t="shared" si="1223"/>
        <v>57</v>
      </c>
      <c r="BA728">
        <f t="shared" ref="BA728:BC728" si="1272">BA727</f>
        <v>18991</v>
      </c>
      <c r="BB728" t="str">
        <f t="shared" si="1272"/>
        <v>Triple J</v>
      </c>
      <c r="BC728" t="str">
        <f t="shared" si="1272"/>
        <v>Velodrome</v>
      </c>
      <c r="BD728" t="str">
        <f t="shared" si="1225"/>
        <v>Pass</v>
      </c>
      <c r="BE728" t="str">
        <f t="shared" si="1226"/>
        <v>Pass_Completed</v>
      </c>
      <c r="BF728" t="str">
        <f t="shared" si="1227"/>
        <v>Pass-Backhand</v>
      </c>
      <c r="BG728" t="str">
        <f t="shared" si="1209"/>
        <v>s</v>
      </c>
      <c r="BH728" cm="1">
        <f t="array" aca="1" ref="BH728" ca="1">IFERROR(_xlfn._xlws.FILTER(shifts!A:A,(shifts!B:B=events!Z728)*(shifts!AG:AG&gt;=events!BJ728)*(shifts!AH:AH&lt;=events!BK728)),BH727)</f>
        <v>24</v>
      </c>
      <c r="BI728" s="15">
        <f t="shared" si="1246"/>
        <v>0</v>
      </c>
      <c r="BJ728">
        <f t="shared" si="1247"/>
        <v>456</v>
      </c>
      <c r="BK728">
        <f t="shared" si="1248"/>
        <v>456</v>
      </c>
      <c r="BL728" s="15">
        <f>SUMIFS(BI$2:BI728,K$2:K728,"=Intermission")+SUMIFS(BI$2:BI728,K$2:K728,"=Timeout")</f>
        <v>0</v>
      </c>
      <c r="BM728">
        <f t="shared" si="1249"/>
        <v>0</v>
      </c>
      <c r="BN728" s="19">
        <f t="shared" si="1250"/>
        <v>624</v>
      </c>
      <c r="BO728">
        <f t="shared" si="1251"/>
        <v>619</v>
      </c>
      <c r="BP728" s="17">
        <f t="shared" si="1252"/>
        <v>624</v>
      </c>
      <c r="BQ728" t="str">
        <f t="shared" si="1253"/>
        <v>opp_team_player_1</v>
      </c>
      <c r="BR728">
        <f>COUNTIFS(S$3:S728,"="&amp;S728,AH$3:AH728,"="&amp;AH728)</f>
        <v>1</v>
      </c>
      <c r="BS728" t="str">
        <f>IFERROR(VLOOKUP(BA728&amp;BT728&amp;X728,game_rosters!U:W,3,FALSE),"")</f>
        <v>P100064</v>
      </c>
      <c r="BT728" t="str">
        <f t="shared" si="1254"/>
        <v>Velodrome</v>
      </c>
    </row>
    <row r="729" spans="1:72" x14ac:dyDescent="0.2">
      <c r="A729">
        <f t="shared" si="1211"/>
        <v>1</v>
      </c>
      <c r="E729" s="4"/>
      <c r="F729" s="45" t="s">
        <v>1030</v>
      </c>
      <c r="G729" s="4"/>
      <c r="H729" s="47" t="s">
        <v>1043</v>
      </c>
      <c r="I729" s="26">
        <v>73</v>
      </c>
      <c r="J729" s="26" t="s">
        <v>736</v>
      </c>
      <c r="K729" t="s">
        <v>13</v>
      </c>
      <c r="L729" t="s">
        <v>574</v>
      </c>
      <c r="N729" t="str">
        <f t="shared" si="1268"/>
        <v/>
      </c>
      <c r="Q729" t="str">
        <f t="shared" si="1262"/>
        <v/>
      </c>
      <c r="R729" s="26">
        <v>1</v>
      </c>
      <c r="S729">
        <f>IF(A729=1,MAX($S$2:$S728)+1,IF(OR($I729&lt;&gt;"",A729="x"),$S728,""))</f>
        <v>360</v>
      </c>
      <c r="T729" t="str">
        <f>IF(D729=1,MAX($T$2:$T728)+1,IF(S729=S728,$T728,IF(D729="x",T728,IF(D728="x","",""))))</f>
        <v/>
      </c>
      <c r="U729" t="str">
        <f>IF(B729=1,MAX($U$2:$U728)+1,IF(AND($T729&lt;&gt;"",$T729=$T728),$U728,IF(B729="x",U728,"")))</f>
        <v/>
      </c>
      <c r="V729" t="str">
        <f>IF(C729=1,MAX($V$2:$V728)+1,IF(AND($T729&lt;&gt;"",$T729=$T728),$U728,IF(C729="x",V728,"")))</f>
        <v/>
      </c>
      <c r="W729" t="str" cm="1">
        <f t="array" ref="W729">IFERROR(_xlfn._xlws.FILTER(game_rosters!AC:AC,(game_rosters!J:J=events!X729)*(K729&lt;&gt;"")),"")</f>
        <v>h</v>
      </c>
      <c r="X729" cm="1">
        <f t="array" ref="X729">IF($I729&lt;&gt;"",$I729,INDEX($I$1:$I729,ROW()-COUNTIFS($T$1:$T729,"="&amp;$T729,$S$1:$S729,"&lt;"&amp;$S729)))</f>
        <v>73</v>
      </c>
      <c r="Y729" cm="1">
        <f t="array" ref="Y729">IFERROR(IF(_xlfn._xlws.FILTER(game_rosters!$J:$J,(game_rosters!$G:$G=events!$AM729)*(game_rosters!$J:$J=events!$X729))&gt;0,1,""),"")</f>
        <v>1</v>
      </c>
      <c r="Z729" s="6">
        <f t="shared" si="1212"/>
        <v>1</v>
      </c>
      <c r="AA729">
        <f t="shared" si="1213"/>
        <v>1360</v>
      </c>
      <c r="AB729" t="str">
        <f t="shared" si="1214"/>
        <v/>
      </c>
      <c r="AC729">
        <f t="shared" si="1215"/>
        <v>1360</v>
      </c>
      <c r="AD729" t="str">
        <f t="shared" si="1241"/>
        <v>7</v>
      </c>
      <c r="AE729" t="str">
        <f t="shared" si="1242"/>
        <v>34</v>
      </c>
      <c r="AF729" t="str">
        <f t="shared" si="1243"/>
        <v>7</v>
      </c>
      <c r="AG729" t="str">
        <f t="shared" si="1244"/>
        <v>33</v>
      </c>
      <c r="AH729" t="str">
        <f t="shared" si="1157"/>
        <v>e</v>
      </c>
      <c r="AI729" t="str">
        <f t="shared" si="1256"/>
        <v>d</v>
      </c>
      <c r="AJ729" t="str">
        <f t="shared" si="1256"/>
        <v>d</v>
      </c>
      <c r="AK729" t="str">
        <f t="shared" si="1159"/>
        <v>d</v>
      </c>
      <c r="AL729" t="str">
        <f t="shared" si="1160"/>
        <v>o</v>
      </c>
      <c r="AM729" t="str">
        <f t="shared" si="1220"/>
        <v>Home</v>
      </c>
      <c r="AN729" t="str">
        <f t="shared" si="1161"/>
        <v>h</v>
      </c>
      <c r="AO729" t="str">
        <f t="shared" si="1162"/>
        <v>d</v>
      </c>
      <c r="AP729" t="str">
        <f t="shared" si="1163"/>
        <v>o</v>
      </c>
      <c r="AQ729" t="str">
        <f>IF(AM729&lt;&gt;"",AM729,IF($AC729=#REF!,#REF!,""))</f>
        <v>Home</v>
      </c>
      <c r="AR729" t="str">
        <f t="shared" si="1164"/>
        <v>h</v>
      </c>
      <c r="AS729" t="str">
        <f t="shared" si="1165"/>
        <v>Offensive</v>
      </c>
      <c r="AV729" t="str" cm="1">
        <f t="array" ref="AV729">IFERROR(IF(O729&lt;&gt;"",O729,IF(OR($S729="",$T729=""),"",IF(O729&lt;&gt;"",O729,IF($T729&lt;&gt;"",_xlfn._xlws.FILTER(O:O,($BT:$BT=$BT729)*($I:$I=$I729)*($T:$T=$T729)*($S:$S=_xlfn.MINIFS($S:$S,$T:$T,"="&amp;$T729)),"")))))&amp;"",IF(O729="","",""))&amp;""</f>
        <v/>
      </c>
      <c r="AW729" t="str" cm="1">
        <f t="array" ref="AW729">IFERROR(IF(P729&lt;&gt;"",P729,IF(OR($S729="",$T729=""),"",IF($T729&lt;&gt;"",_xlfn._xlws.FILTER(P:P,($BT:$BT=$BT729)*($I:$I=$I729)*($T:$T=$T729)*($S:$S=_xlfn.MINIFS($S:$S,$T:$T,"="&amp;$T729)),""))))&amp;"",IF(P729="","",""))&amp;""</f>
        <v/>
      </c>
      <c r="AX729" t="str" cm="1">
        <f t="array" ref="AX729">IFERROR(IF(Q729&lt;&gt;"",Q729,IF(OR($S729="",$T729=""),"",IF($T729&lt;&gt;"",_xlfn._xlws.FILTER(Q:Q,($BT:$BT=$BT729)*($I:$I=$I729)*($T:$T=$T729)*($S:$S=_xlfn.MINIFS($S:$S,$T:$T,"="&amp;$T729)),""))))&amp;"",IF(Q729="","",""))&amp;""</f>
        <v/>
      </c>
      <c r="AY729" t="str" cm="1">
        <f t="array" ref="AY729">IFERROR(IF(R729&lt;&gt;"",R729,IF(OR($S729="",$T729=""),"",IF($T729&lt;&gt;"",_xlfn._xlws.FILTER(R:R,($BT:$BT=$BT729)*($I:$I=$I729)*($T:$T=$T729)*($S:$S=_xlfn.MINIFS($S:$S,$T:$T,"="&amp;$T729)),""))))&amp;"",IF(R729="","",""))&amp;""</f>
        <v>1</v>
      </c>
      <c r="AZ729" s="6">
        <f t="shared" si="1223"/>
        <v>57</v>
      </c>
      <c r="BA729">
        <f t="shared" ref="BA729:BC729" si="1273">BA728</f>
        <v>18991</v>
      </c>
      <c r="BB729" t="str">
        <f t="shared" si="1273"/>
        <v>Triple J</v>
      </c>
      <c r="BC729" t="str">
        <f t="shared" si="1273"/>
        <v>Velodrome</v>
      </c>
      <c r="BD729" t="str">
        <f t="shared" si="1225"/>
        <v>Possession</v>
      </c>
      <c r="BE729" t="str">
        <f t="shared" si="1226"/>
        <v>Regroup</v>
      </c>
      <c r="BF729" t="str">
        <f t="shared" si="1227"/>
        <v/>
      </c>
      <c r="BG729" t="str">
        <f t="shared" si="1209"/>
        <v/>
      </c>
      <c r="BH729" cm="1">
        <f t="array" aca="1" ref="BH729" ca="1">IFERROR(_xlfn._xlws.FILTER(shifts!A:A,(shifts!B:B=events!Z729)*(shifts!AG:AG&gt;=events!BJ729)*(shifts!AH:AH&lt;=events!BK729)),BH728)</f>
        <v>24</v>
      </c>
      <c r="BI729" s="15">
        <f t="shared" si="1246"/>
        <v>1</v>
      </c>
      <c r="BJ729">
        <f t="shared" si="1247"/>
        <v>454</v>
      </c>
      <c r="BK729">
        <f t="shared" si="1248"/>
        <v>453</v>
      </c>
      <c r="BL729" s="15">
        <f>SUMIFS(BI$2:BI729,K$2:K729,"=Intermission")+SUMIFS(BI$2:BI729,K$2:K729,"=Timeout")</f>
        <v>0</v>
      </c>
      <c r="BM729">
        <f t="shared" si="1249"/>
        <v>0</v>
      </c>
      <c r="BN729" s="19">
        <f t="shared" si="1250"/>
        <v>626</v>
      </c>
      <c r="BO729">
        <f t="shared" si="1251"/>
        <v>621</v>
      </c>
      <c r="BP729" s="17">
        <f t="shared" si="1252"/>
        <v>627</v>
      </c>
      <c r="BQ729" t="str">
        <f t="shared" si="1253"/>
        <v>event_team_player_1</v>
      </c>
      <c r="BR729">
        <f>COUNTIFS(S$3:S729,"="&amp;S729,AH$3:AH729,"="&amp;AH729)</f>
        <v>1</v>
      </c>
      <c r="BS729" t="str">
        <f>IFERROR(VLOOKUP(BA729&amp;BT729&amp;X729,game_rosters!U:W,3,FALSE),"")</f>
        <v>P100021</v>
      </c>
      <c r="BT729" t="str">
        <f t="shared" si="1254"/>
        <v>Triple J</v>
      </c>
    </row>
    <row r="730" spans="1:72" x14ac:dyDescent="0.2">
      <c r="A730" t="str">
        <f t="shared" si="1211"/>
        <v/>
      </c>
      <c r="E730" s="4"/>
      <c r="F730" s="45"/>
      <c r="G730" s="4"/>
      <c r="H730" s="47"/>
      <c r="I730" s="26">
        <v>55</v>
      </c>
      <c r="J730" s="26" t="str">
        <f t="shared" si="1237"/>
        <v/>
      </c>
      <c r="N730" t="str">
        <f t="shared" si="1268"/>
        <v/>
      </c>
      <c r="Q730" t="str">
        <f t="shared" si="1262"/>
        <v/>
      </c>
      <c r="R730" s="26">
        <v>1</v>
      </c>
      <c r="S730">
        <f>IF(A730=1,MAX($S$2:$S729)+1,IF(OR($I730&lt;&gt;"",A730="x"),$S729,""))</f>
        <v>360</v>
      </c>
      <c r="T730" t="str">
        <f>IF(D730=1,MAX($T$2:$T729)+1,IF(S730=S729,$T729,IF(D730="x",T729,IF(D729="x","",""))))</f>
        <v/>
      </c>
      <c r="U730" t="str">
        <f>IF(B730=1,MAX($U$2:$U729)+1,IF(AND($T730&lt;&gt;"",$T730=$T729),$U729,IF(B730="x",U729,"")))</f>
        <v/>
      </c>
      <c r="V730" t="str">
        <f>IF(C730=1,MAX($V$2:$V729)+1,IF(AND($T730&lt;&gt;"",$T730=$T729),$U729,IF(C730="x",V729,"")))</f>
        <v/>
      </c>
      <c r="W730" t="str" cm="1">
        <f t="array" ref="W730">IFERROR(_xlfn._xlws.FILTER(game_rosters!AC:AC,(game_rosters!J:J=events!X730)*(K730&lt;&gt;"")),"")</f>
        <v/>
      </c>
      <c r="X730" cm="1">
        <f t="array" ref="X730">IF($I730&lt;&gt;"",$I730,INDEX($I$1:$I730,ROW()-COUNTIFS($T$1:$T730,"="&amp;$T730,$S$1:$S730,"&lt;"&amp;$S730)))</f>
        <v>55</v>
      </c>
      <c r="Y730" t="str" cm="1">
        <f t="array" ref="Y730">IFERROR(IF(_xlfn._xlws.FILTER(game_rosters!$J:$J,(game_rosters!$G:$G=events!$AM730)*(game_rosters!$J:$J=events!$X730))&gt;0,1,""),"")</f>
        <v/>
      </c>
      <c r="Z730" s="6">
        <f t="shared" si="1212"/>
        <v>1</v>
      </c>
      <c r="AA730">
        <f t="shared" si="1213"/>
        <v>1360</v>
      </c>
      <c r="AB730" t="str">
        <f t="shared" si="1214"/>
        <v/>
      </c>
      <c r="AC730">
        <f t="shared" si="1215"/>
        <v>1360</v>
      </c>
      <c r="AD730" t="str">
        <f t="shared" si="1241"/>
        <v>7</v>
      </c>
      <c r="AE730" t="str">
        <f t="shared" si="1242"/>
        <v>34</v>
      </c>
      <c r="AF730" t="str">
        <f t="shared" si="1243"/>
        <v>7</v>
      </c>
      <c r="AG730" t="str">
        <f t="shared" si="1244"/>
        <v>33</v>
      </c>
      <c r="AH730" t="str">
        <f t="shared" si="1157"/>
        <v>o</v>
      </c>
      <c r="AI730" t="str">
        <f t="shared" si="1256"/>
        <v>d</v>
      </c>
      <c r="AJ730" t="str">
        <f t="shared" si="1256"/>
        <v>d</v>
      </c>
      <c r="AK730" t="str">
        <f t="shared" si="1159"/>
        <v/>
      </c>
      <c r="AL730" t="str">
        <f t="shared" si="1160"/>
        <v/>
      </c>
      <c r="AM730" t="str">
        <f t="shared" si="1220"/>
        <v>Home</v>
      </c>
      <c r="AN730" t="str">
        <f t="shared" si="1161"/>
        <v>h</v>
      </c>
      <c r="AO730" t="str">
        <f t="shared" si="1162"/>
        <v>d</v>
      </c>
      <c r="AP730" t="str">
        <f t="shared" si="1163"/>
        <v>o</v>
      </c>
      <c r="AQ730" t="str">
        <f>IF(AM730&lt;&gt;"",AM730,IF($AC730=#REF!,#REF!,""))</f>
        <v>Home</v>
      </c>
      <c r="AR730" t="str">
        <f t="shared" si="1164"/>
        <v>h</v>
      </c>
      <c r="AS730" t="str">
        <f t="shared" si="1165"/>
        <v>Defensive</v>
      </c>
      <c r="AV730" t="str" cm="1">
        <f t="array" ref="AV730">IFERROR(IF(O730&lt;&gt;"",O730,IF(OR($S730="",$T730=""),"",IF(O730&lt;&gt;"",O730,IF($T730&lt;&gt;"",_xlfn._xlws.FILTER(O:O,($BT:$BT=$BT730)*($I:$I=$I730)*($T:$T=$T730)*($S:$S=_xlfn.MINIFS($S:$S,$T:$T,"="&amp;$T730)),"")))))&amp;"",IF(O730="","",""))&amp;""</f>
        <v/>
      </c>
      <c r="AW730" t="str" cm="1">
        <f t="array" ref="AW730">IFERROR(IF(P730&lt;&gt;"",P730,IF(OR($S730="",$T730=""),"",IF($T730&lt;&gt;"",_xlfn._xlws.FILTER(P:P,($BT:$BT=$BT730)*($I:$I=$I730)*($T:$T=$T730)*($S:$S=_xlfn.MINIFS($S:$S,$T:$T,"="&amp;$T730)),""))))&amp;"",IF(P730="","",""))&amp;""</f>
        <v/>
      </c>
      <c r="AX730" t="str" cm="1">
        <f t="array" ref="AX730">IFERROR(IF(Q730&lt;&gt;"",Q730,IF(OR($S730="",$T730=""),"",IF($T730&lt;&gt;"",_xlfn._xlws.FILTER(Q:Q,($BT:$BT=$BT730)*($I:$I=$I730)*($T:$T=$T730)*($S:$S=_xlfn.MINIFS($S:$S,$T:$T,"="&amp;$T730)),""))))&amp;"",IF(Q730="","",""))&amp;""</f>
        <v/>
      </c>
      <c r="AY730" t="str" cm="1">
        <f t="array" ref="AY730">IFERROR(IF(R730&lt;&gt;"",R730,IF(OR($S730="",$T730=""),"",IF($T730&lt;&gt;"",_xlfn._xlws.FILTER(R:R,($BT:$BT=$BT730)*($I:$I=$I730)*($T:$T=$T730)*($S:$S=_xlfn.MINIFS($S:$S,$T:$T,"="&amp;$T730)),""))))&amp;"",IF(R730="","",""))&amp;""</f>
        <v>1</v>
      </c>
      <c r="AZ730" s="6">
        <f t="shared" si="1223"/>
        <v>57</v>
      </c>
      <c r="BA730">
        <f t="shared" ref="BA730:BC730" si="1274">BA729</f>
        <v>18991</v>
      </c>
      <c r="BB730" t="str">
        <f t="shared" si="1274"/>
        <v>Triple J</v>
      </c>
      <c r="BC730" t="str">
        <f t="shared" si="1274"/>
        <v>Velodrome</v>
      </c>
      <c r="BD730" t="str">
        <f t="shared" si="1225"/>
        <v>Possession</v>
      </c>
      <c r="BE730" t="str">
        <f t="shared" si="1226"/>
        <v>Regroup</v>
      </c>
      <c r="BF730" t="str">
        <f t="shared" si="1227"/>
        <v/>
      </c>
      <c r="BG730" t="str">
        <f t="shared" si="1209"/>
        <v/>
      </c>
      <c r="BH730" cm="1">
        <f t="array" aca="1" ref="BH730" ca="1">IFERROR(_xlfn._xlws.FILTER(shifts!A:A,(shifts!B:B=events!Z730)*(shifts!AG:AG&gt;=events!BJ730)*(shifts!AH:AH&lt;=events!BK730)),BH729)</f>
        <v>24</v>
      </c>
      <c r="BI730" s="15">
        <f t="shared" si="1246"/>
        <v>1</v>
      </c>
      <c r="BJ730">
        <f t="shared" si="1247"/>
        <v>454</v>
      </c>
      <c r="BK730">
        <f t="shared" si="1248"/>
        <v>453</v>
      </c>
      <c r="BL730" s="15">
        <f>SUMIFS(BI$2:BI730,K$2:K730,"=Intermission")+SUMIFS(BI$2:BI730,K$2:K730,"=Timeout")</f>
        <v>0</v>
      </c>
      <c r="BM730">
        <f t="shared" si="1249"/>
        <v>0</v>
      </c>
      <c r="BN730" s="19">
        <f t="shared" si="1250"/>
        <v>626</v>
      </c>
      <c r="BO730">
        <f t="shared" si="1251"/>
        <v>621</v>
      </c>
      <c r="BP730" s="17">
        <f t="shared" si="1252"/>
        <v>627</v>
      </c>
      <c r="BQ730" t="str">
        <f t="shared" si="1253"/>
        <v>opp_team_player_1</v>
      </c>
      <c r="BR730">
        <f>COUNTIFS(S$3:S730,"="&amp;S730,AH$3:AH730,"="&amp;AH730)</f>
        <v>1</v>
      </c>
      <c r="BS730" t="str">
        <f>IFERROR(VLOOKUP(BA730&amp;BT730&amp;X730,game_rosters!U:W,3,FALSE),"")</f>
        <v>P100064</v>
      </c>
      <c r="BT730" t="str">
        <f t="shared" si="1254"/>
        <v>Velodrome</v>
      </c>
    </row>
    <row r="731" spans="1:72" x14ac:dyDescent="0.2">
      <c r="A731">
        <f t="shared" si="1211"/>
        <v>1</v>
      </c>
      <c r="D731" s="26">
        <v>1</v>
      </c>
      <c r="E731" s="4"/>
      <c r="F731" s="45"/>
      <c r="G731" s="4"/>
      <c r="H731" s="47"/>
      <c r="I731" s="26">
        <v>73</v>
      </c>
      <c r="J731" s="26" t="s">
        <v>736</v>
      </c>
      <c r="K731" t="s">
        <v>7</v>
      </c>
      <c r="L731" t="s">
        <v>182</v>
      </c>
      <c r="M731" t="s">
        <v>65</v>
      </c>
      <c r="N731" t="str">
        <f t="shared" si="1268"/>
        <v>u</v>
      </c>
      <c r="O731" t="s">
        <v>767</v>
      </c>
      <c r="Q731" t="str">
        <f t="shared" si="1262"/>
        <v>u</v>
      </c>
      <c r="S731">
        <f>IF(A731=1,MAX($S$2:$S730)+1,IF(OR($I731&lt;&gt;"",A731="x"),$S730,""))</f>
        <v>361</v>
      </c>
      <c r="T731">
        <f>IF(D731=1,MAX($T$2:$T730)+1,IF(S731=S730,$T730,IF(D731="x",T730,IF(D730="x","",""))))</f>
        <v>48</v>
      </c>
      <c r="U731" t="str">
        <f>IF(B731=1,MAX($U$2:$U730)+1,IF(AND($T731&lt;&gt;"",$T731=$T730),$U730,IF(B731="x",U730,"")))</f>
        <v/>
      </c>
      <c r="V731" t="str">
        <f>IF(C731=1,MAX($V$2:$V730)+1,IF(AND($T731&lt;&gt;"",$T731=$T730),$U730,IF(C731="x",V730,"")))</f>
        <v/>
      </c>
      <c r="W731" t="str" cm="1">
        <f t="array" ref="W731">IFERROR(_xlfn._xlws.FILTER(game_rosters!AC:AC,(game_rosters!J:J=events!X731)*(K731&lt;&gt;"")),"")</f>
        <v>h</v>
      </c>
      <c r="X731" cm="1">
        <f t="array" ref="X731">IF($I731&lt;&gt;"",$I731,INDEX($I$1:$I731,ROW()-COUNTIFS($T$1:$T731,"="&amp;$T731,$S$1:$S731,"&lt;"&amp;$S731)))</f>
        <v>73</v>
      </c>
      <c r="Y731" cm="1">
        <f t="array" ref="Y731">IFERROR(IF(_xlfn._xlws.FILTER(game_rosters!$J:$J,(game_rosters!$G:$G=events!$AM731)*(game_rosters!$J:$J=events!$X731))&gt;0,1,""),"")</f>
        <v>1</v>
      </c>
      <c r="Z731" s="6">
        <f t="shared" si="1212"/>
        <v>1</v>
      </c>
      <c r="AA731">
        <f t="shared" si="1213"/>
        <v>1361</v>
      </c>
      <c r="AB731">
        <f t="shared" si="1214"/>
        <v>9048</v>
      </c>
      <c r="AC731">
        <f t="shared" si="1215"/>
        <v>9048</v>
      </c>
      <c r="AD731" t="str">
        <f t="shared" si="1241"/>
        <v>7</v>
      </c>
      <c r="AE731" t="str">
        <f t="shared" si="1242"/>
        <v>33</v>
      </c>
      <c r="AF731" t="str">
        <f t="shared" si="1243"/>
        <v/>
      </c>
      <c r="AG731" t="str">
        <f t="shared" si="1244"/>
        <v/>
      </c>
      <c r="AH731" t="str">
        <f t="shared" ref="AH731:AH738" si="1275">IF(Y731="x","",IF(Y731=1,"e","o"))</f>
        <v>e</v>
      </c>
      <c r="AI731" t="str">
        <f t="shared" ref="AI731:AJ738" si="1276">IF($J731&lt;&gt;"",$J731,IF($AC731=$AC730,AI730,""))</f>
        <v>d</v>
      </c>
      <c r="AJ731" t="str">
        <f t="shared" si="1276"/>
        <v>d</v>
      </c>
      <c r="AK731" t="str">
        <f t="shared" ref="AK731:AK738" si="1277">IF($W731="","",IF($AI731="","",IF($W731="h",$AI731,IF($AI731="n","n",IF(AND($W731="a",$AI731="d"),"o",IF(AND($W731="a",$AI731="o"),"d"))))))</f>
        <v>d</v>
      </c>
      <c r="AL731" t="str">
        <f t="shared" ref="AL731:AL738" si="1278">IF($W731="","",IF(J731="","",IF(AK731="n","n",IF(AK731="d","o",IF(AK731="o","d","")))))</f>
        <v>o</v>
      </c>
      <c r="AM731" t="str">
        <f t="shared" si="1220"/>
        <v>Home</v>
      </c>
      <c r="AN731" t="str">
        <f t="shared" ref="AN731:AN738" si="1279">IF($W731&lt;&gt;"",$W731,IF($AC731=AC730,AN730,""))</f>
        <v>h</v>
      </c>
      <c r="AO731" t="str">
        <f t="shared" ref="AO731:AO738" si="1280">IF(AK731&lt;&gt;"",AK731,IF($AC731=AC730,AO730,""))</f>
        <v>d</v>
      </c>
      <c r="AP731" t="str">
        <f t="shared" ref="AP731:AP738" si="1281">IF(AL731&lt;&gt;"",AL731,IF($AC731=AC730,AP730,""))</f>
        <v>o</v>
      </c>
      <c r="AQ731" t="str">
        <f>IF(AM731&lt;&gt;"",AM731,IF($AC731=#REF!,#REF!,""))</f>
        <v>Home</v>
      </c>
      <c r="AR731" t="str">
        <f t="shared" ref="AR731:AR738" si="1282">IF(AN731&lt;&gt;"",AN731,IF($AC731=AC730,AQ730,""))</f>
        <v>h</v>
      </c>
      <c r="AS731" t="str">
        <f t="shared" ref="AS731:AS738" si="1283">IF(AND(AH731="e",OR(BD731="Save",BE731="Turnover_Takeaway",BE731="Play_Defensive")),"Defensive",IF(AND(AH731="o",OR(BD731="Save",BE731="Turnover_Takeaway",BE731="Play_Defensive")),"Offensive",IF(OR(BD731="Deadice",BD731="Stoppage",BD731="Intermission"),"",IF(AH731="e","Offensive",IF(AH731="o","Defensive","")))))</f>
        <v>Offensive</v>
      </c>
      <c r="AV731" t="str" cm="1">
        <f t="array" ref="AV731">IFERROR(IF(O731&lt;&gt;"",O731,IF(OR($S731="",$T731=""),"",IF(O731&lt;&gt;"",O731,IF($T731&lt;&gt;"",_xlfn._xlws.FILTER(O:O,($BT:$BT=$BT731)*($I:$I=$I731)*($T:$T=$T731)*($S:$S=_xlfn.MINIFS($S:$S,$T:$T,"="&amp;$T731)),"")))))&amp;"",IF(O731="","",""))&amp;""</f>
        <v>AttemptedBreakOutPass</v>
      </c>
      <c r="AW731" t="str" cm="1">
        <f t="array" ref="AW731">IFERROR(IF(P731&lt;&gt;"",P731,IF(OR($S731="",$T731=""),"",IF($T731&lt;&gt;"",_xlfn._xlws.FILTER(P:P,($BT:$BT=$BT731)*($I:$I=$I731)*($T:$T=$T731)*($S:$S=_xlfn.MINIFS($S:$S,$T:$T,"="&amp;$T731)),""))))&amp;"",IF(P731="","",""))&amp;""</f>
        <v/>
      </c>
      <c r="AX731" t="str" cm="1">
        <f t="array" ref="AX731">IFERROR(IF(Q731&lt;&gt;"",Q731,IF(OR($S731="",$T731=""),"",IF($T731&lt;&gt;"",_xlfn._xlws.FILTER(Q:Q,($BT:$BT=$BT731)*($I:$I=$I731)*($T:$T=$T731)*($S:$S=_xlfn.MINIFS($S:$S,$T:$T,"="&amp;$T731)),""))))&amp;"",IF(Q731="","",""))&amp;""</f>
        <v>u</v>
      </c>
      <c r="AY731" t="str" cm="1">
        <f t="array" ref="AY731">IFERROR(IF(R731&lt;&gt;"",R731,IF(OR($S731="",$T731=""),"",IF($T731&lt;&gt;"",_xlfn._xlws.FILTER(R:R,($BT:$BT=$BT731)*($I:$I=$I731)*($T:$T=$T731)*($S:$S=_xlfn.MINIFS($S:$S,$T:$T,"="&amp;$T731)),""))))&amp;"",IF(R731="","",""))&amp;""</f>
        <v/>
      </c>
      <c r="AZ731" s="6">
        <f t="shared" si="1223"/>
        <v>57</v>
      </c>
      <c r="BA731">
        <f t="shared" ref="BA731:BC731" si="1284">BA730</f>
        <v>18991</v>
      </c>
      <c r="BB731" t="str">
        <f t="shared" si="1284"/>
        <v>Triple J</v>
      </c>
      <c r="BC731" t="str">
        <f t="shared" si="1284"/>
        <v>Velodrome</v>
      </c>
      <c r="BD731" t="str">
        <f t="shared" si="1225"/>
        <v>Pass</v>
      </c>
      <c r="BE731" t="str">
        <f t="shared" si="1226"/>
        <v>Pass_Missed</v>
      </c>
      <c r="BF731" t="str">
        <f t="shared" si="1227"/>
        <v>Pass-Stretch</v>
      </c>
      <c r="BG731" t="str">
        <f t="shared" si="1209"/>
        <v>u</v>
      </c>
      <c r="BH731" cm="1">
        <f t="array" aca="1" ref="BH731" ca="1">IFERROR(_xlfn._xlws.FILTER(shifts!A:A,(shifts!B:B=events!Z731)*(shifts!AG:AG&gt;=events!BJ731)*(shifts!AH:AH&lt;=events!BK731)),BH730)</f>
        <v>24</v>
      </c>
      <c r="BI731" s="15">
        <f t="shared" si="1246"/>
        <v>0</v>
      </c>
      <c r="BJ731">
        <f t="shared" si="1247"/>
        <v>453</v>
      </c>
      <c r="BK731">
        <f t="shared" si="1248"/>
        <v>453</v>
      </c>
      <c r="BL731" s="15">
        <f>SUMIFS(BI$2:BI731,K$2:K731,"=Intermission")+SUMIFS(BI$2:BI731,K$2:K731,"=Timeout")</f>
        <v>0</v>
      </c>
      <c r="BM731">
        <f t="shared" si="1249"/>
        <v>0</v>
      </c>
      <c r="BN731" s="19">
        <f t="shared" si="1250"/>
        <v>627</v>
      </c>
      <c r="BO731">
        <f t="shared" si="1251"/>
        <v>622</v>
      </c>
      <c r="BP731" s="17">
        <f t="shared" si="1252"/>
        <v>627</v>
      </c>
      <c r="BQ731" t="str">
        <f t="shared" si="1253"/>
        <v>event_team_player_1</v>
      </c>
      <c r="BR731">
        <f>COUNTIFS(S$3:S731,"="&amp;S731,AH$3:AH731,"="&amp;AH731)</f>
        <v>1</v>
      </c>
      <c r="BS731" t="str">
        <f>IFERROR(VLOOKUP(BA731&amp;BT731&amp;X731,game_rosters!U:W,3,FALSE),"")</f>
        <v>P100021</v>
      </c>
      <c r="BT731" t="str">
        <f t="shared" si="1254"/>
        <v>Triple J</v>
      </c>
    </row>
    <row r="732" spans="1:72" x14ac:dyDescent="0.2">
      <c r="A732" t="str">
        <f t="shared" si="1211"/>
        <v>x</v>
      </c>
      <c r="D732" s="26" t="s">
        <v>729</v>
      </c>
      <c r="E732" s="4"/>
      <c r="F732" s="45"/>
      <c r="G732" s="4"/>
      <c r="H732" s="47"/>
      <c r="I732" s="26">
        <v>71</v>
      </c>
      <c r="J732" s="26" t="str">
        <f t="shared" si="1237"/>
        <v/>
      </c>
      <c r="N732" t="str">
        <f t="shared" si="1268"/>
        <v/>
      </c>
      <c r="Q732" t="str">
        <f t="shared" si="1262"/>
        <v/>
      </c>
      <c r="S732">
        <f>IF(A732=1,MAX($S$2:$S731)+1,IF(OR($I732&lt;&gt;"",A732="x"),$S731,""))</f>
        <v>361</v>
      </c>
      <c r="T732">
        <f>IF(D732=1,MAX($T$2:$T731)+1,IF(S732=S731,$T731,IF(D732="x",T731,IF(D731="x","",""))))</f>
        <v>48</v>
      </c>
      <c r="U732" t="str">
        <f>IF(B732=1,MAX($U$2:$U731)+1,IF(AND($T732&lt;&gt;"",$T732=$T731),$U731,IF(B732="x",U731,"")))</f>
        <v/>
      </c>
      <c r="V732" t="str">
        <f>IF(C732=1,MAX($V$2:$V731)+1,IF(AND($T732&lt;&gt;"",$T732=$T731),$U731,IF(C732="x",V731,"")))</f>
        <v/>
      </c>
      <c r="W732" t="str" cm="1">
        <f t="array" ref="W732">IFERROR(_xlfn._xlws.FILTER(game_rosters!AC:AC,(game_rosters!J:J=events!X732)*(K732&lt;&gt;"")),"")</f>
        <v/>
      </c>
      <c r="X732" cm="1">
        <f t="array" ref="X732">IF($I732&lt;&gt;"",$I732,INDEX($I$1:$I732,ROW()-COUNTIFS($T$1:$T732,"="&amp;$T732,$S$1:$S732,"&lt;"&amp;$S732)))</f>
        <v>71</v>
      </c>
      <c r="Y732" cm="1">
        <f t="array" ref="Y732">IFERROR(IF(_xlfn._xlws.FILTER(game_rosters!$J:$J,(game_rosters!$G:$G=events!$AM732)*(game_rosters!$J:$J=events!$X732))&gt;0,1,""),"")</f>
        <v>1</v>
      </c>
      <c r="Z732" s="6">
        <f t="shared" si="1212"/>
        <v>1</v>
      </c>
      <c r="AA732">
        <f t="shared" si="1213"/>
        <v>1361</v>
      </c>
      <c r="AB732">
        <f t="shared" si="1214"/>
        <v>9048</v>
      </c>
      <c r="AC732">
        <f t="shared" si="1215"/>
        <v>9048</v>
      </c>
      <c r="AD732" t="str">
        <f t="shared" si="1241"/>
        <v>7</v>
      </c>
      <c r="AE732" t="str">
        <f t="shared" si="1242"/>
        <v>33</v>
      </c>
      <c r="AF732" t="str">
        <f t="shared" si="1243"/>
        <v/>
      </c>
      <c r="AG732" t="str">
        <f t="shared" si="1244"/>
        <v/>
      </c>
      <c r="AH732" t="str">
        <f t="shared" si="1275"/>
        <v>e</v>
      </c>
      <c r="AI732" t="str">
        <f t="shared" si="1276"/>
        <v>d</v>
      </c>
      <c r="AJ732" t="str">
        <f t="shared" si="1276"/>
        <v>d</v>
      </c>
      <c r="AK732" t="str">
        <f t="shared" si="1277"/>
        <v/>
      </c>
      <c r="AL732" t="str">
        <f t="shared" si="1278"/>
        <v/>
      </c>
      <c r="AM732" t="str">
        <f t="shared" si="1220"/>
        <v>Home</v>
      </c>
      <c r="AN732" t="str">
        <f t="shared" si="1279"/>
        <v>h</v>
      </c>
      <c r="AO732" t="str">
        <f t="shared" si="1280"/>
        <v>d</v>
      </c>
      <c r="AP732" t="str">
        <f t="shared" si="1281"/>
        <v>o</v>
      </c>
      <c r="AQ732" t="str">
        <f>IF(AM732&lt;&gt;"",AM732,IF($AC732=#REF!,#REF!,""))</f>
        <v>Home</v>
      </c>
      <c r="AR732" t="str">
        <f t="shared" si="1282"/>
        <v>h</v>
      </c>
      <c r="AS732" t="str">
        <f t="shared" si="1283"/>
        <v>Offensive</v>
      </c>
      <c r="AV732" t="str" cm="1">
        <f t="array" ref="AV732">IFERROR(IF(O732&lt;&gt;"",O732,IF(OR($S732="",$T732=""),"",IF(O732&lt;&gt;"",O732,IF($T732&lt;&gt;"",_xlfn._xlws.FILTER(O:O,($BT:$BT=$BT732)*($I:$I=$I732)*($T:$T=$T732)*($S:$S=_xlfn.MINIFS($S:$S,$T:$T,"="&amp;$T732)),"")))))&amp;"",IF(O732="","",""))&amp;""</f>
        <v/>
      </c>
      <c r="AW732" t="str" cm="1">
        <f t="array" ref="AW732">IFERROR(IF(P732&lt;&gt;"",P732,IF(OR($S732="",$T732=""),"",IF($T732&lt;&gt;"",_xlfn._xlws.FILTER(P:P,($BT:$BT=$BT732)*($I:$I=$I732)*($T:$T=$T732)*($S:$S=_xlfn.MINIFS($S:$S,$T:$T,"="&amp;$T732)),""))))&amp;"",IF(P732="","",""))&amp;""</f>
        <v/>
      </c>
      <c r="AX732" t="str" cm="1">
        <f t="array" ref="AX732">IFERROR(IF(Q732&lt;&gt;"",Q732,IF(OR($S732="",$T732=""),"",IF($T732&lt;&gt;"",_xlfn._xlws.FILTER(Q:Q,($BT:$BT=$BT732)*($I:$I=$I732)*($T:$T=$T732)*($S:$S=_xlfn.MINIFS($S:$S,$T:$T,"="&amp;$T732)),""))))&amp;"",IF(Q732="","",""))&amp;""</f>
        <v/>
      </c>
      <c r="AY732" t="str" cm="1">
        <f t="array" ref="AY732">IFERROR(IF(R732&lt;&gt;"",R732,IF(OR($S732="",$T732=""),"",IF($T732&lt;&gt;"",_xlfn._xlws.FILTER(R:R,($BT:$BT=$BT732)*($I:$I=$I732)*($T:$T=$T732)*($S:$S=_xlfn.MINIFS($S:$S,$T:$T,"="&amp;$T732)),""))))&amp;"",IF(R732="","",""))&amp;""</f>
        <v/>
      </c>
      <c r="AZ732" s="6">
        <f t="shared" si="1223"/>
        <v>57</v>
      </c>
      <c r="BA732">
        <f t="shared" ref="BA732:BC732" si="1285">BA731</f>
        <v>18991</v>
      </c>
      <c r="BB732" t="str">
        <f t="shared" si="1285"/>
        <v>Triple J</v>
      </c>
      <c r="BC732" t="str">
        <f t="shared" si="1285"/>
        <v>Velodrome</v>
      </c>
      <c r="BD732" t="str">
        <f t="shared" si="1225"/>
        <v>Pass</v>
      </c>
      <c r="BE732" t="str">
        <f t="shared" si="1226"/>
        <v>Pass_Missed</v>
      </c>
      <c r="BF732" t="str">
        <f t="shared" si="1227"/>
        <v>Pass-Stretch</v>
      </c>
      <c r="BG732" t="str">
        <f t="shared" si="1209"/>
        <v>u</v>
      </c>
      <c r="BH732" cm="1">
        <f t="array" aca="1" ref="BH732" ca="1">IFERROR(_xlfn._xlws.FILTER(shifts!A:A,(shifts!B:B=events!Z732)*(shifts!AG:AG&gt;=events!BJ732)*(shifts!AH:AH&lt;=events!BK732)),BH731)</f>
        <v>24</v>
      </c>
      <c r="BI732" s="15">
        <f t="shared" si="1246"/>
        <v>0</v>
      </c>
      <c r="BJ732">
        <f t="shared" si="1247"/>
        <v>453</v>
      </c>
      <c r="BK732">
        <f t="shared" si="1248"/>
        <v>453</v>
      </c>
      <c r="BL732" s="15">
        <f>SUMIFS(BI$2:BI732,K$2:K732,"=Intermission")+SUMIFS(BI$2:BI732,K$2:K732,"=Timeout")</f>
        <v>0</v>
      </c>
      <c r="BM732">
        <f t="shared" si="1249"/>
        <v>0</v>
      </c>
      <c r="BN732" s="19">
        <f t="shared" si="1250"/>
        <v>627</v>
      </c>
      <c r="BO732">
        <f t="shared" si="1251"/>
        <v>622</v>
      </c>
      <c r="BP732" s="17">
        <f t="shared" si="1252"/>
        <v>627</v>
      </c>
      <c r="BQ732" t="str">
        <f t="shared" si="1253"/>
        <v>event_team_player_2</v>
      </c>
      <c r="BR732">
        <f>COUNTIFS(S$3:S732,"="&amp;S732,AH$3:AH732,"="&amp;AH732)</f>
        <v>2</v>
      </c>
      <c r="BS732" t="str">
        <f>IFERROR(VLOOKUP(BA732&amp;BT732&amp;X732,game_rosters!U:W,3,FALSE),"")</f>
        <v>P100008</v>
      </c>
      <c r="BT732" t="str">
        <f t="shared" si="1254"/>
        <v>Triple J</v>
      </c>
    </row>
    <row r="733" spans="1:72" x14ac:dyDescent="0.2">
      <c r="A733">
        <f t="shared" si="1211"/>
        <v>1</v>
      </c>
      <c r="D733" s="26" t="s">
        <v>729</v>
      </c>
      <c r="E733" s="4"/>
      <c r="F733" s="45"/>
      <c r="G733" s="4"/>
      <c r="H733" s="47"/>
      <c r="J733" s="26" t="str">
        <f t="shared" si="1237"/>
        <v>d</v>
      </c>
      <c r="K733" t="s">
        <v>238</v>
      </c>
      <c r="L733" t="s">
        <v>184</v>
      </c>
      <c r="M733" t="s">
        <v>376</v>
      </c>
      <c r="N733" t="str">
        <f t="shared" si="1268"/>
        <v>u</v>
      </c>
      <c r="Q733" t="str">
        <f t="shared" si="1262"/>
        <v/>
      </c>
      <c r="S733">
        <f>IF(A733=1,MAX($S$2:$S732)+1,IF(OR($I733&lt;&gt;"",A733="x"),$S732,""))</f>
        <v>362</v>
      </c>
      <c r="T733">
        <f>IF(D733=1,MAX($T$2:$T732)+1,IF(S733=S732,$T732,IF(D733="x",T732,IF(D732="x","",""))))</f>
        <v>48</v>
      </c>
      <c r="U733" t="str">
        <f>IF(B733=1,MAX($U$2:$U732)+1,IF(AND($T733&lt;&gt;"",$T733=$T732),$U732,IF(B733="x",U732,"")))</f>
        <v/>
      </c>
      <c r="V733" t="str">
        <f>IF(C733=1,MAX($V$2:$V732)+1,IF(AND($T733&lt;&gt;"",$T733=$T732),$U732,IF(C733="x",V732,"")))</f>
        <v/>
      </c>
      <c r="W733" t="str" cm="1">
        <f t="array" ref="W733">IFERROR(_xlfn._xlws.FILTER(game_rosters!AC:AC,(game_rosters!J:J=events!X733)*(K733&lt;&gt;"")),"")</f>
        <v>h</v>
      </c>
      <c r="X733" cm="1">
        <f t="array" ref="X733">IF($I733&lt;&gt;"",$I733,INDEX($I$1:$I733,ROW()-COUNTIFS($T$1:$T733,"="&amp;$T733,$S$1:$S733,"&lt;"&amp;$S733)))</f>
        <v>73</v>
      </c>
      <c r="Y733" cm="1">
        <f t="array" ref="Y733">IFERROR(IF(_xlfn._xlws.FILTER(game_rosters!$J:$J,(game_rosters!$G:$G=events!$AM733)*(game_rosters!$J:$J=events!$X733))&gt;0,1,""),"")</f>
        <v>1</v>
      </c>
      <c r="Z733" s="6">
        <f t="shared" si="1212"/>
        <v>1</v>
      </c>
      <c r="AA733">
        <f t="shared" si="1213"/>
        <v>1362</v>
      </c>
      <c r="AB733">
        <f t="shared" si="1214"/>
        <v>9048</v>
      </c>
      <c r="AC733">
        <f t="shared" si="1215"/>
        <v>9048</v>
      </c>
      <c r="AD733" t="str">
        <f t="shared" si="1241"/>
        <v>7</v>
      </c>
      <c r="AE733" t="str">
        <f t="shared" si="1242"/>
        <v>33</v>
      </c>
      <c r="AF733" t="str">
        <f t="shared" si="1243"/>
        <v/>
      </c>
      <c r="AG733" t="str">
        <f t="shared" si="1244"/>
        <v/>
      </c>
      <c r="AH733" t="str">
        <f t="shared" si="1275"/>
        <v>e</v>
      </c>
      <c r="AI733" t="str">
        <f t="shared" si="1276"/>
        <v>d</v>
      </c>
      <c r="AJ733" t="str">
        <f t="shared" si="1276"/>
        <v>d</v>
      </c>
      <c r="AK733" t="str">
        <f t="shared" si="1277"/>
        <v>d</v>
      </c>
      <c r="AL733" t="str">
        <f t="shared" si="1278"/>
        <v>o</v>
      </c>
      <c r="AM733" t="str">
        <f t="shared" si="1220"/>
        <v>Home</v>
      </c>
      <c r="AN733" t="str">
        <f t="shared" si="1279"/>
        <v>h</v>
      </c>
      <c r="AO733" t="str">
        <f t="shared" si="1280"/>
        <v>d</v>
      </c>
      <c r="AP733" t="str">
        <f t="shared" si="1281"/>
        <v>o</v>
      </c>
      <c r="AQ733" t="str">
        <f>IF(AM733&lt;&gt;"",AM733,IF($AC733=#REF!,#REF!,""))</f>
        <v>Home</v>
      </c>
      <c r="AR733" t="str">
        <f t="shared" si="1282"/>
        <v>h</v>
      </c>
      <c r="AS733" t="str">
        <f t="shared" si="1283"/>
        <v>Offensive</v>
      </c>
      <c r="AV733" t="str" cm="1">
        <f t="array" ref="AV733">IFERROR(IF(O733&lt;&gt;"",O733,IF(OR($S733="",$T733=""),"",IF(O733&lt;&gt;"",O733,IF($T733&lt;&gt;"",_xlfn._xlws.FILTER(O:O,($BT:$BT=$BT733)*($I:$I=$I733)*($T:$T=$T733)*($S:$S=_xlfn.MINIFS($S:$S,$T:$T,"="&amp;$T733)),"")))))&amp;"",IF(O733="","",""))&amp;""</f>
        <v/>
      </c>
      <c r="AW733" t="str" cm="1">
        <f t="array" ref="AW733">IFERROR(IF(P733&lt;&gt;"",P733,IF(OR($S733="",$T733=""),"",IF($T733&lt;&gt;"",_xlfn._xlws.FILTER(P:P,($BT:$BT=$BT733)*($I:$I=$I733)*($T:$T=$T733)*($S:$S=_xlfn.MINIFS($S:$S,$T:$T,"="&amp;$T733)),""))))&amp;"",IF(P733="","",""))&amp;""</f>
        <v/>
      </c>
      <c r="AX733" t="str" cm="1">
        <f t="array" ref="AX733">IFERROR(IF(Q733&lt;&gt;"",Q733,IF(OR($S733="",$T733=""),"",IF($T733&lt;&gt;"",_xlfn._xlws.FILTER(Q:Q,($BT:$BT=$BT733)*($I:$I=$I733)*($T:$T=$T733)*($S:$S=_xlfn.MINIFS($S:$S,$T:$T,"="&amp;$T733)),""))))&amp;"",IF(Q733="","",""))&amp;""</f>
        <v/>
      </c>
      <c r="AY733" t="str" cm="1">
        <f t="array" ref="AY733">IFERROR(IF(R733&lt;&gt;"",R733,IF(OR($S733="",$T733=""),"",IF($T733&lt;&gt;"",_xlfn._xlws.FILTER(R:R,($BT:$BT=$BT733)*($I:$I=$I733)*($T:$T=$T733)*($S:$S=_xlfn.MINIFS($S:$S,$T:$T,"="&amp;$T733)),""))))&amp;"",IF(R733="","",""))&amp;""</f>
        <v/>
      </c>
      <c r="AZ733" s="6">
        <f t="shared" si="1223"/>
        <v>58</v>
      </c>
      <c r="BA733">
        <f t="shared" ref="BA733:BC733" si="1286">BA732</f>
        <v>18991</v>
      </c>
      <c r="BB733" t="str">
        <f t="shared" si="1286"/>
        <v>Triple J</v>
      </c>
      <c r="BC733" t="str">
        <f t="shared" si="1286"/>
        <v>Velodrome</v>
      </c>
      <c r="BD733" t="str">
        <f t="shared" si="1225"/>
        <v>Zone_Entry_Exit</v>
      </c>
      <c r="BE733" t="str">
        <f t="shared" si="1226"/>
        <v>Zone_Exit</v>
      </c>
      <c r="BF733" t="str">
        <f t="shared" si="1227"/>
        <v>ZoneExit-PassMiss/Misplay</v>
      </c>
      <c r="BG733" t="str">
        <f t="shared" si="1209"/>
        <v>u</v>
      </c>
      <c r="BH733" cm="1">
        <f t="array" aca="1" ref="BH733" ca="1">IFERROR(_xlfn._xlws.FILTER(shifts!A:A,(shifts!B:B=events!Z733)*(shifts!AG:AG&gt;=events!BJ733)*(shifts!AH:AH&lt;=events!BK733)),BH732)</f>
        <v>24</v>
      </c>
      <c r="BI733" s="15">
        <f t="shared" si="1246"/>
        <v>0</v>
      </c>
      <c r="BJ733">
        <f t="shared" si="1247"/>
        <v>453</v>
      </c>
      <c r="BK733">
        <f t="shared" si="1248"/>
        <v>453</v>
      </c>
      <c r="BL733" s="15">
        <f>SUMIFS(BI$2:BI733,K$2:K733,"=Intermission")+SUMIFS(BI$2:BI733,K$2:K733,"=Timeout")</f>
        <v>0</v>
      </c>
      <c r="BM733">
        <f t="shared" si="1249"/>
        <v>0</v>
      </c>
      <c r="BN733" s="19">
        <f t="shared" si="1250"/>
        <v>627</v>
      </c>
      <c r="BO733">
        <f t="shared" si="1251"/>
        <v>622</v>
      </c>
      <c r="BP733" s="17">
        <f t="shared" si="1252"/>
        <v>627</v>
      </c>
      <c r="BQ733" t="str">
        <f t="shared" si="1253"/>
        <v>event_team_player_1</v>
      </c>
      <c r="BR733">
        <f>COUNTIFS(S$3:S733,"="&amp;S733,AH$3:AH733,"="&amp;AH733)</f>
        <v>1</v>
      </c>
      <c r="BS733" t="str">
        <f>IFERROR(VLOOKUP(BA733&amp;BT733&amp;X733,game_rosters!U:W,3,FALSE),"")</f>
        <v>P100021</v>
      </c>
      <c r="BT733" t="str">
        <f t="shared" si="1254"/>
        <v>Triple J</v>
      </c>
    </row>
    <row r="734" spans="1:72" x14ac:dyDescent="0.2">
      <c r="A734" t="str">
        <f t="shared" si="1211"/>
        <v>x</v>
      </c>
      <c r="D734" s="26" t="s">
        <v>729</v>
      </c>
      <c r="E734" s="4"/>
      <c r="F734" s="45"/>
      <c r="G734" s="4"/>
      <c r="H734" s="47"/>
      <c r="J734" s="26" t="str">
        <f t="shared" si="1237"/>
        <v/>
      </c>
      <c r="N734" t="str">
        <f t="shared" si="1268"/>
        <v/>
      </c>
      <c r="Q734" t="str">
        <f t="shared" si="1262"/>
        <v/>
      </c>
      <c r="S734">
        <f>IF(A734=1,MAX($S$2:$S733)+1,IF(OR($I734&lt;&gt;"",A734="x"),$S733,""))</f>
        <v>362</v>
      </c>
      <c r="T734">
        <f>IF(D734=1,MAX($T$2:$T733)+1,IF(S734=S733,$T733,IF(D734="x",T733,IF(D733="x","",""))))</f>
        <v>48</v>
      </c>
      <c r="U734" t="str">
        <f>IF(B734=1,MAX($U$2:$U733)+1,IF(AND($T734&lt;&gt;"",$T734=$T733),$U733,IF(B734="x",U733,"")))</f>
        <v/>
      </c>
      <c r="V734" t="str">
        <f>IF(C734=1,MAX($V$2:$V733)+1,IF(AND($T734&lt;&gt;"",$T734=$T733),$U733,IF(C734="x",V733,"")))</f>
        <v/>
      </c>
      <c r="W734" t="str" cm="1">
        <f t="array" ref="W734">IFERROR(_xlfn._xlws.FILTER(game_rosters!AC:AC,(game_rosters!J:J=events!X734)*(K734&lt;&gt;"")),"")</f>
        <v/>
      </c>
      <c r="X734" cm="1">
        <f t="array" ref="X734">IF($I734&lt;&gt;"",$I734,INDEX($I$1:$I734,ROW()-COUNTIFS($T$1:$T734,"="&amp;$T734,$S$1:$S734,"&lt;"&amp;$S734)))</f>
        <v>71</v>
      </c>
      <c r="Y734" cm="1">
        <f t="array" ref="Y734">IFERROR(IF(_xlfn._xlws.FILTER(game_rosters!$J:$J,(game_rosters!$G:$G=events!$AM734)*(game_rosters!$J:$J=events!$X734))&gt;0,1,""),"")</f>
        <v>1</v>
      </c>
      <c r="Z734" s="6">
        <f t="shared" si="1212"/>
        <v>1</v>
      </c>
      <c r="AA734">
        <f t="shared" si="1213"/>
        <v>1362</v>
      </c>
      <c r="AB734">
        <f t="shared" si="1214"/>
        <v>9048</v>
      </c>
      <c r="AC734">
        <f t="shared" si="1215"/>
        <v>9048</v>
      </c>
      <c r="AD734" t="str">
        <f t="shared" si="1241"/>
        <v>7</v>
      </c>
      <c r="AE734" t="str">
        <f t="shared" si="1242"/>
        <v>33</v>
      </c>
      <c r="AF734" t="str">
        <f t="shared" si="1243"/>
        <v/>
      </c>
      <c r="AG734" t="str">
        <f t="shared" si="1244"/>
        <v/>
      </c>
      <c r="AH734" t="str">
        <f t="shared" si="1275"/>
        <v>e</v>
      </c>
      <c r="AI734" t="str">
        <f t="shared" si="1276"/>
        <v>d</v>
      </c>
      <c r="AJ734" t="str">
        <f t="shared" si="1276"/>
        <v>d</v>
      </c>
      <c r="AK734" t="str">
        <f t="shared" si="1277"/>
        <v/>
      </c>
      <c r="AL734" t="str">
        <f t="shared" si="1278"/>
        <v/>
      </c>
      <c r="AM734" t="str">
        <f t="shared" si="1220"/>
        <v>Home</v>
      </c>
      <c r="AN734" t="str">
        <f t="shared" si="1279"/>
        <v>h</v>
      </c>
      <c r="AO734" t="str">
        <f t="shared" si="1280"/>
        <v>d</v>
      </c>
      <c r="AP734" t="str">
        <f t="shared" si="1281"/>
        <v>o</v>
      </c>
      <c r="AQ734" t="str">
        <f>IF(AM734&lt;&gt;"",AM734,IF($AC734=#REF!,#REF!,""))</f>
        <v>Home</v>
      </c>
      <c r="AR734" t="str">
        <f t="shared" si="1282"/>
        <v>h</v>
      </c>
      <c r="AS734" t="str">
        <f t="shared" si="1283"/>
        <v>Offensive</v>
      </c>
      <c r="AV734" t="str" cm="1">
        <f t="array" ref="AV734">IFERROR(IF(O734&lt;&gt;"",O734,IF(OR($S734="",$T734=""),"",IF(O734&lt;&gt;"",O734,IF($T734&lt;&gt;"",_xlfn._xlws.FILTER(O:O,($BT:$BT=$BT734)*($I:$I=$I734)*($T:$T=$T734)*($S:$S=_xlfn.MINIFS($S:$S,$T:$T,"="&amp;$T734)),"")))))&amp;"",IF(O734="","",""))&amp;""</f>
        <v/>
      </c>
      <c r="AW734" t="str" cm="1">
        <f t="array" ref="AW734">IFERROR(IF(P734&lt;&gt;"",P734,IF(OR($S734="",$T734=""),"",IF($T734&lt;&gt;"",_xlfn._xlws.FILTER(P:P,($BT:$BT=$BT734)*($I:$I=$I734)*($T:$T=$T734)*($S:$S=_xlfn.MINIFS($S:$S,$T:$T,"="&amp;$T734)),""))))&amp;"",IF(P734="","",""))&amp;""</f>
        <v/>
      </c>
      <c r="AX734" t="str" cm="1">
        <f t="array" ref="AX734">IFERROR(IF(Q734&lt;&gt;"",Q734,IF(OR($S734="",$T734=""),"",IF($T734&lt;&gt;"",_xlfn._xlws.FILTER(Q:Q,($BT:$BT=$BT734)*($I:$I=$I734)*($T:$T=$T734)*($S:$S=_xlfn.MINIFS($S:$S,$T:$T,"="&amp;$T734)),""))))&amp;"",IF(Q734="","",""))&amp;""</f>
        <v/>
      </c>
      <c r="AY734" t="str" cm="1">
        <f t="array" ref="AY734">IFERROR(IF(R734&lt;&gt;"",R734,IF(OR($S734="",$T734=""),"",IF($T734&lt;&gt;"",_xlfn._xlws.FILTER(R:R,($BT:$BT=$BT734)*($I:$I=$I734)*($T:$T=$T734)*($S:$S=_xlfn.MINIFS($S:$S,$T:$T,"="&amp;$T734)),""))))&amp;"",IF(R734="","",""))&amp;""</f>
        <v/>
      </c>
      <c r="AZ734" s="6">
        <f t="shared" si="1223"/>
        <v>58</v>
      </c>
      <c r="BA734">
        <f t="shared" ref="BA734:BC734" si="1287">BA733</f>
        <v>18991</v>
      </c>
      <c r="BB734" t="str">
        <f t="shared" si="1287"/>
        <v>Triple J</v>
      </c>
      <c r="BC734" t="str">
        <f t="shared" si="1287"/>
        <v>Velodrome</v>
      </c>
      <c r="BD734" t="str">
        <f t="shared" si="1225"/>
        <v>Zone_Entry_Exit</v>
      </c>
      <c r="BE734" t="str">
        <f t="shared" si="1226"/>
        <v>Zone_Exit</v>
      </c>
      <c r="BF734" t="str">
        <f t="shared" si="1227"/>
        <v>ZoneExit-PassMiss/Misplay</v>
      </c>
      <c r="BG734" t="str">
        <f t="shared" si="1209"/>
        <v>u</v>
      </c>
      <c r="BH734" cm="1">
        <f t="array" aca="1" ref="BH734" ca="1">IFERROR(_xlfn._xlws.FILTER(shifts!A:A,(shifts!B:B=events!Z734)*(shifts!AG:AG&gt;=events!BJ734)*(shifts!AH:AH&lt;=events!BK734)),BH733)</f>
        <v>24</v>
      </c>
      <c r="BI734" s="15">
        <f t="shared" si="1246"/>
        <v>0</v>
      </c>
      <c r="BJ734">
        <f t="shared" si="1247"/>
        <v>453</v>
      </c>
      <c r="BK734">
        <f t="shared" si="1248"/>
        <v>453</v>
      </c>
      <c r="BL734" s="15">
        <f>SUMIFS(BI$2:BI734,K$2:K734,"=Intermission")+SUMIFS(BI$2:BI734,K$2:K734,"=Timeout")</f>
        <v>0</v>
      </c>
      <c r="BM734">
        <f t="shared" si="1249"/>
        <v>0</v>
      </c>
      <c r="BN734" s="19">
        <f t="shared" si="1250"/>
        <v>627</v>
      </c>
      <c r="BO734">
        <f t="shared" si="1251"/>
        <v>622</v>
      </c>
      <c r="BP734" s="17">
        <f t="shared" si="1252"/>
        <v>627</v>
      </c>
      <c r="BQ734" t="str">
        <f t="shared" si="1253"/>
        <v>event_team_player_2</v>
      </c>
      <c r="BR734">
        <f>COUNTIFS(S$3:S734,"="&amp;S734,AH$3:AH734,"="&amp;AH734)</f>
        <v>2</v>
      </c>
      <c r="BS734" t="str">
        <f>IFERROR(VLOOKUP(BA734&amp;BT734&amp;X734,game_rosters!U:W,3,FALSE),"")</f>
        <v>P100008</v>
      </c>
      <c r="BT734" t="str">
        <f t="shared" si="1254"/>
        <v>Triple J</v>
      </c>
    </row>
    <row r="735" spans="1:72" x14ac:dyDescent="0.2">
      <c r="A735">
        <f t="shared" si="1211"/>
        <v>1</v>
      </c>
      <c r="D735" s="26" t="s">
        <v>729</v>
      </c>
      <c r="E735" s="4"/>
      <c r="F735" s="45"/>
      <c r="G735" s="4"/>
      <c r="H735" s="47"/>
      <c r="J735" s="26" t="s">
        <v>736</v>
      </c>
      <c r="K735" t="s">
        <v>238</v>
      </c>
      <c r="L735" t="s">
        <v>174</v>
      </c>
      <c r="M735" t="s">
        <v>375</v>
      </c>
      <c r="N735" t="str">
        <f t="shared" si="1268"/>
        <v>u</v>
      </c>
      <c r="Q735" t="str">
        <f t="shared" si="1262"/>
        <v/>
      </c>
      <c r="S735">
        <f>IF(A735=1,MAX($S$2:$S734)+1,IF(OR($I735&lt;&gt;"",A735="x"),$S734,""))</f>
        <v>363</v>
      </c>
      <c r="T735">
        <f>IF(D735=1,MAX($T$2:$T734)+1,IF(S735=S734,$T734,IF(D735="x",T734,IF(D734="x","",""))))</f>
        <v>48</v>
      </c>
      <c r="U735" t="str">
        <f>IF(B735=1,MAX($U$2:$U734)+1,IF(AND($T735&lt;&gt;"",$T735=$T734),$U734,IF(B735="x",U734,"")))</f>
        <v/>
      </c>
      <c r="V735" t="str">
        <f>IF(C735=1,MAX($V$2:$V734)+1,IF(AND($T735&lt;&gt;"",$T735=$T734),$U734,IF(C735="x",V734,"")))</f>
        <v/>
      </c>
      <c r="W735" t="str" cm="1">
        <f t="array" ref="W735">IFERROR(_xlfn._xlws.FILTER(game_rosters!AC:AC,(game_rosters!J:J=events!X735)*(K735&lt;&gt;"")),"")</f>
        <v>h</v>
      </c>
      <c r="X735" cm="1">
        <f t="array" ref="X735">IF($I735&lt;&gt;"",$I735,INDEX($I$1:$I735,ROW()-COUNTIFS($T$1:$T735,"="&amp;$T735,$S$1:$S735,"&lt;"&amp;$S735)))</f>
        <v>73</v>
      </c>
      <c r="Y735" cm="1">
        <f t="array" ref="Y735">IFERROR(IF(_xlfn._xlws.FILTER(game_rosters!$J:$J,(game_rosters!$G:$G=events!$AM735)*(game_rosters!$J:$J=events!$X735))&gt;0,1,""),"")</f>
        <v>1</v>
      </c>
      <c r="Z735" s="6">
        <f t="shared" si="1212"/>
        <v>1</v>
      </c>
      <c r="AA735">
        <f t="shared" si="1213"/>
        <v>1363</v>
      </c>
      <c r="AB735">
        <f t="shared" si="1214"/>
        <v>9048</v>
      </c>
      <c r="AC735">
        <f t="shared" si="1215"/>
        <v>9048</v>
      </c>
      <c r="AD735" t="str">
        <f t="shared" si="1241"/>
        <v>7</v>
      </c>
      <c r="AE735" t="str">
        <f t="shared" si="1242"/>
        <v>33</v>
      </c>
      <c r="AF735" t="str">
        <f t="shared" si="1243"/>
        <v/>
      </c>
      <c r="AG735" t="str">
        <f t="shared" si="1244"/>
        <v/>
      </c>
      <c r="AH735" t="str">
        <f t="shared" si="1275"/>
        <v>e</v>
      </c>
      <c r="AI735" t="str">
        <f t="shared" si="1276"/>
        <v>d</v>
      </c>
      <c r="AJ735" t="str">
        <f t="shared" si="1276"/>
        <v>d</v>
      </c>
      <c r="AK735" t="str">
        <f t="shared" si="1277"/>
        <v>d</v>
      </c>
      <c r="AL735" t="str">
        <f t="shared" si="1278"/>
        <v>o</v>
      </c>
      <c r="AM735" t="str">
        <f t="shared" si="1220"/>
        <v>Home</v>
      </c>
      <c r="AN735" t="str">
        <f t="shared" si="1279"/>
        <v>h</v>
      </c>
      <c r="AO735" t="str">
        <f t="shared" si="1280"/>
        <v>d</v>
      </c>
      <c r="AP735" t="str">
        <f t="shared" si="1281"/>
        <v>o</v>
      </c>
      <c r="AQ735" t="str">
        <f>IF(AM735&lt;&gt;"",AM735,IF($AC735=#REF!,#REF!,""))</f>
        <v>Home</v>
      </c>
      <c r="AR735" t="str">
        <f t="shared" si="1282"/>
        <v>h</v>
      </c>
      <c r="AS735" t="str">
        <f t="shared" si="1283"/>
        <v>Offensive</v>
      </c>
      <c r="AV735" t="str" cm="1">
        <f t="array" ref="AV735">IFERROR(IF(O735&lt;&gt;"",O735,IF(OR($S735="",$T735=""),"",IF(O735&lt;&gt;"",O735,IF($T735&lt;&gt;"",_xlfn._xlws.FILTER(O:O,($BT:$BT=$BT735)*($I:$I=$I735)*($T:$T=$T735)*($S:$S=_xlfn.MINIFS($S:$S,$T:$T,"="&amp;$T735)),"")))))&amp;"",IF(O735="","",""))&amp;""</f>
        <v/>
      </c>
      <c r="AW735" t="str" cm="1">
        <f t="array" ref="AW735">IFERROR(IF(P735&lt;&gt;"",P735,IF(OR($S735="",$T735=""),"",IF($T735&lt;&gt;"",_xlfn._xlws.FILTER(P:P,($BT:$BT=$BT735)*($I:$I=$I735)*($T:$T=$T735)*($S:$S=_xlfn.MINIFS($S:$S,$T:$T,"="&amp;$T735)),""))))&amp;"",IF(P735="","",""))&amp;""</f>
        <v/>
      </c>
      <c r="AX735" t="str" cm="1">
        <f t="array" ref="AX735">IFERROR(IF(Q735&lt;&gt;"",Q735,IF(OR($S735="",$T735=""),"",IF($T735&lt;&gt;"",_xlfn._xlws.FILTER(Q:Q,($BT:$BT=$BT735)*($I:$I=$I735)*($T:$T=$T735)*($S:$S=_xlfn.MINIFS($S:$S,$T:$T,"="&amp;$T735)),""))))&amp;"",IF(Q735="","",""))&amp;""</f>
        <v/>
      </c>
      <c r="AY735" t="str" cm="1">
        <f t="array" ref="AY735">IFERROR(IF(R735&lt;&gt;"",R735,IF(OR($S735="",$T735=""),"",IF($T735&lt;&gt;"",_xlfn._xlws.FILTER(R:R,($BT:$BT=$BT735)*($I:$I=$I735)*($T:$T=$T735)*($S:$S=_xlfn.MINIFS($S:$S,$T:$T,"="&amp;$T735)),""))))&amp;"",IF(R735="","",""))&amp;""</f>
        <v/>
      </c>
      <c r="AZ735" s="6">
        <f t="shared" si="1223"/>
        <v>59</v>
      </c>
      <c r="BA735">
        <f t="shared" ref="BA735:BC735" si="1288">BA734</f>
        <v>18991</v>
      </c>
      <c r="BB735" t="str">
        <f t="shared" si="1288"/>
        <v>Triple J</v>
      </c>
      <c r="BC735" t="str">
        <f t="shared" si="1288"/>
        <v>Velodrome</v>
      </c>
      <c r="BD735" t="str">
        <f t="shared" si="1225"/>
        <v>Zone_Entry_Exit</v>
      </c>
      <c r="BE735" t="str">
        <f t="shared" si="1226"/>
        <v>Zone_Entry</v>
      </c>
      <c r="BF735" t="str">
        <f t="shared" si="1227"/>
        <v>ZoneEntry-FromExitClear</v>
      </c>
      <c r="BG735" t="str">
        <f t="shared" si="1209"/>
        <v>u</v>
      </c>
      <c r="BH735" cm="1">
        <f t="array" aca="1" ref="BH735" ca="1">IFERROR(_xlfn._xlws.FILTER(shifts!A:A,(shifts!B:B=events!Z735)*(shifts!AG:AG&gt;=events!BJ735)*(shifts!AH:AH&lt;=events!BK735)),BH734)</f>
        <v>24</v>
      </c>
      <c r="BI735" s="15">
        <f t="shared" si="1246"/>
        <v>0</v>
      </c>
      <c r="BJ735">
        <f t="shared" si="1247"/>
        <v>453</v>
      </c>
      <c r="BK735">
        <f t="shared" si="1248"/>
        <v>453</v>
      </c>
      <c r="BL735" s="15">
        <f>SUMIFS(BI$2:BI735,K$2:K735,"=Intermission")+SUMIFS(BI$2:BI735,K$2:K735,"=Timeout")</f>
        <v>0</v>
      </c>
      <c r="BM735">
        <f t="shared" si="1249"/>
        <v>0</v>
      </c>
      <c r="BN735" s="19">
        <f t="shared" si="1250"/>
        <v>627</v>
      </c>
      <c r="BO735">
        <f t="shared" si="1251"/>
        <v>622</v>
      </c>
      <c r="BP735" s="17">
        <f t="shared" si="1252"/>
        <v>627</v>
      </c>
      <c r="BQ735" t="str">
        <f t="shared" si="1253"/>
        <v>event_team_player_1</v>
      </c>
      <c r="BR735">
        <f>COUNTIFS(S$3:S735,"="&amp;S735,AH$3:AH735,"="&amp;AH735)</f>
        <v>1</v>
      </c>
      <c r="BS735" t="str">
        <f>IFERROR(VLOOKUP(BA735&amp;BT735&amp;X735,game_rosters!U:W,3,FALSE),"")</f>
        <v>P100021</v>
      </c>
      <c r="BT735" t="str">
        <f t="shared" si="1254"/>
        <v>Triple J</v>
      </c>
    </row>
    <row r="736" spans="1:72" x14ac:dyDescent="0.2">
      <c r="A736" t="str">
        <f t="shared" si="1211"/>
        <v>x</v>
      </c>
      <c r="D736" s="26" t="s">
        <v>729</v>
      </c>
      <c r="E736" s="4"/>
      <c r="F736" s="45"/>
      <c r="G736" s="4"/>
      <c r="H736" s="47"/>
      <c r="J736" s="26" t="str">
        <f t="shared" si="1237"/>
        <v/>
      </c>
      <c r="N736" t="str">
        <f t="shared" si="1268"/>
        <v/>
      </c>
      <c r="Q736" t="str">
        <f t="shared" si="1262"/>
        <v/>
      </c>
      <c r="S736">
        <f>IF(A736=1,MAX($S$2:$S735)+1,IF(OR($I736&lt;&gt;"",A736="x"),$S735,""))</f>
        <v>363</v>
      </c>
      <c r="T736">
        <f>IF(D736=1,MAX($T$2:$T735)+1,IF(S736=S735,$T735,IF(D736="x",T735,IF(D735="x","",""))))</f>
        <v>48</v>
      </c>
      <c r="U736" t="str">
        <f>IF(B736=1,MAX($U$2:$U735)+1,IF(AND($T736&lt;&gt;"",$T736=$T735),$U735,IF(B736="x",U735,"")))</f>
        <v/>
      </c>
      <c r="V736" t="str">
        <f>IF(C736=1,MAX($V$2:$V735)+1,IF(AND($T736&lt;&gt;"",$T736=$T735),$U735,IF(C736="x",V735,"")))</f>
        <v/>
      </c>
      <c r="W736" t="str" cm="1">
        <f t="array" ref="W736">IFERROR(_xlfn._xlws.FILTER(game_rosters!AC:AC,(game_rosters!J:J=events!X736)*(K736&lt;&gt;"")),"")</f>
        <v/>
      </c>
      <c r="X736" cm="1">
        <f t="array" ref="X736">IF($I736&lt;&gt;"",$I736,INDEX($I$1:$I736,ROW()-COUNTIFS($T$1:$T736,"="&amp;$T736,$S$1:$S736,"&lt;"&amp;$S736)))</f>
        <v>71</v>
      </c>
      <c r="Y736" cm="1">
        <f t="array" ref="Y736">IFERROR(IF(_xlfn._xlws.FILTER(game_rosters!$J:$J,(game_rosters!$G:$G=events!$AM736)*(game_rosters!$J:$J=events!$X736))&gt;0,1,""),"")</f>
        <v>1</v>
      </c>
      <c r="Z736" s="6">
        <f t="shared" si="1212"/>
        <v>1</v>
      </c>
      <c r="AA736">
        <f t="shared" si="1213"/>
        <v>1363</v>
      </c>
      <c r="AB736">
        <f t="shared" si="1214"/>
        <v>9048</v>
      </c>
      <c r="AC736">
        <f t="shared" si="1215"/>
        <v>9048</v>
      </c>
      <c r="AD736" t="str">
        <f t="shared" si="1241"/>
        <v>7</v>
      </c>
      <c r="AE736" t="str">
        <f t="shared" si="1242"/>
        <v>33</v>
      </c>
      <c r="AF736" t="str">
        <f t="shared" si="1243"/>
        <v/>
      </c>
      <c r="AG736" t="str">
        <f t="shared" si="1244"/>
        <v/>
      </c>
      <c r="AH736" t="str">
        <f t="shared" si="1275"/>
        <v>e</v>
      </c>
      <c r="AI736" t="str">
        <f t="shared" si="1276"/>
        <v>d</v>
      </c>
      <c r="AJ736" t="str">
        <f t="shared" si="1276"/>
        <v>d</v>
      </c>
      <c r="AK736" t="str">
        <f t="shared" si="1277"/>
        <v/>
      </c>
      <c r="AL736" t="str">
        <f t="shared" si="1278"/>
        <v/>
      </c>
      <c r="AM736" t="str">
        <f t="shared" si="1220"/>
        <v>Home</v>
      </c>
      <c r="AN736" t="str">
        <f t="shared" si="1279"/>
        <v>h</v>
      </c>
      <c r="AO736" t="str">
        <f t="shared" si="1280"/>
        <v>d</v>
      </c>
      <c r="AP736" t="str">
        <f t="shared" si="1281"/>
        <v>o</v>
      </c>
      <c r="AQ736" t="str">
        <f>IF(AM736&lt;&gt;"",AM736,IF($AC736=#REF!,#REF!,""))</f>
        <v>Home</v>
      </c>
      <c r="AR736" t="str">
        <f t="shared" si="1282"/>
        <v>h</v>
      </c>
      <c r="AS736" t="str">
        <f t="shared" si="1283"/>
        <v>Offensive</v>
      </c>
      <c r="AV736" t="str" cm="1">
        <f t="array" ref="AV736">IFERROR(IF(O736&lt;&gt;"",O736,IF(OR($S736="",$T736=""),"",IF(O736&lt;&gt;"",O736,IF($T736&lt;&gt;"",_xlfn._xlws.FILTER(O:O,($BT:$BT=$BT736)*($I:$I=$I736)*($T:$T=$T736)*($S:$S=_xlfn.MINIFS($S:$S,$T:$T,"="&amp;$T736)),"")))))&amp;"",IF(O736="","",""))&amp;""</f>
        <v/>
      </c>
      <c r="AW736" t="str" cm="1">
        <f t="array" ref="AW736">IFERROR(IF(P736&lt;&gt;"",P736,IF(OR($S736="",$T736=""),"",IF($T736&lt;&gt;"",_xlfn._xlws.FILTER(P:P,($BT:$BT=$BT736)*($I:$I=$I736)*($T:$T=$T736)*($S:$S=_xlfn.MINIFS($S:$S,$T:$T,"="&amp;$T736)),""))))&amp;"",IF(P736="","",""))&amp;""</f>
        <v/>
      </c>
      <c r="AX736" t="str" cm="1">
        <f t="array" ref="AX736">IFERROR(IF(Q736&lt;&gt;"",Q736,IF(OR($S736="",$T736=""),"",IF($T736&lt;&gt;"",_xlfn._xlws.FILTER(Q:Q,($BT:$BT=$BT736)*($I:$I=$I736)*($T:$T=$T736)*($S:$S=_xlfn.MINIFS($S:$S,$T:$T,"="&amp;$T736)),""))))&amp;"",IF(Q736="","",""))&amp;""</f>
        <v/>
      </c>
      <c r="AY736" t="str" cm="1">
        <f t="array" ref="AY736">IFERROR(IF(R736&lt;&gt;"",R736,IF(OR($S736="",$T736=""),"",IF($T736&lt;&gt;"",_xlfn._xlws.FILTER(R:R,($BT:$BT=$BT736)*($I:$I=$I736)*($T:$T=$T736)*($S:$S=_xlfn.MINIFS($S:$S,$T:$T,"="&amp;$T736)),""))))&amp;"",IF(R736="","",""))&amp;""</f>
        <v/>
      </c>
      <c r="AZ736" s="6">
        <f t="shared" si="1223"/>
        <v>59</v>
      </c>
      <c r="BA736">
        <f t="shared" ref="BA736:BC736" si="1289">BA735</f>
        <v>18991</v>
      </c>
      <c r="BB736" t="str">
        <f t="shared" si="1289"/>
        <v>Triple J</v>
      </c>
      <c r="BC736" t="str">
        <f t="shared" si="1289"/>
        <v>Velodrome</v>
      </c>
      <c r="BD736" t="str">
        <f t="shared" si="1225"/>
        <v>Zone_Entry_Exit</v>
      </c>
      <c r="BE736" t="str">
        <f t="shared" si="1226"/>
        <v>Zone_Entry</v>
      </c>
      <c r="BF736" t="str">
        <f t="shared" si="1227"/>
        <v>ZoneEntry-FromExitClear</v>
      </c>
      <c r="BG736" t="str">
        <f t="shared" si="1209"/>
        <v>u</v>
      </c>
      <c r="BH736" cm="1">
        <f t="array" aca="1" ref="BH736" ca="1">IFERROR(_xlfn._xlws.FILTER(shifts!A:A,(shifts!B:B=events!Z736)*(shifts!AG:AG&gt;=events!BJ736)*(shifts!AH:AH&lt;=events!BK736)),BH735)</f>
        <v>24</v>
      </c>
      <c r="BI736" s="15">
        <f t="shared" si="1246"/>
        <v>0</v>
      </c>
      <c r="BJ736">
        <f t="shared" si="1247"/>
        <v>453</v>
      </c>
      <c r="BK736">
        <f t="shared" si="1248"/>
        <v>453</v>
      </c>
      <c r="BL736" s="15">
        <f>SUMIFS(BI$2:BI736,K$2:K736,"=Intermission")+SUMIFS(BI$2:BI736,K$2:K736,"=Timeout")</f>
        <v>0</v>
      </c>
      <c r="BM736">
        <f t="shared" si="1249"/>
        <v>0</v>
      </c>
      <c r="BN736" s="19">
        <f t="shared" si="1250"/>
        <v>627</v>
      </c>
      <c r="BO736">
        <f t="shared" si="1251"/>
        <v>622</v>
      </c>
      <c r="BP736" s="17">
        <f t="shared" si="1252"/>
        <v>627</v>
      </c>
      <c r="BQ736" t="str">
        <f t="shared" si="1253"/>
        <v>event_team_player_2</v>
      </c>
      <c r="BR736">
        <f>COUNTIFS(S$3:S736,"="&amp;S736,AH$3:AH736,"="&amp;AH736)</f>
        <v>2</v>
      </c>
      <c r="BS736" t="str">
        <f>IFERROR(VLOOKUP(BA736&amp;BT736&amp;X736,game_rosters!U:W,3,FALSE),"")</f>
        <v>P100008</v>
      </c>
      <c r="BT736" t="str">
        <f t="shared" si="1254"/>
        <v>Triple J</v>
      </c>
    </row>
    <row r="737" spans="1:72" x14ac:dyDescent="0.2">
      <c r="A737">
        <f t="shared" si="1211"/>
        <v>1</v>
      </c>
      <c r="D737" s="26" t="s">
        <v>729</v>
      </c>
      <c r="E737" s="4"/>
      <c r="F737" s="45"/>
      <c r="G737" s="4"/>
      <c r="H737" s="47"/>
      <c r="J737" s="26" t="s">
        <v>736</v>
      </c>
      <c r="K737" t="s">
        <v>9</v>
      </c>
      <c r="L737" t="s">
        <v>173</v>
      </c>
      <c r="M737" t="s">
        <v>74</v>
      </c>
      <c r="N737" t="str">
        <f t="shared" si="1268"/>
        <v>u</v>
      </c>
      <c r="Q737" t="str">
        <f t="shared" si="1262"/>
        <v/>
      </c>
      <c r="S737">
        <f>IF(A737=1,MAX($S$2:$S736)+1,IF(OR($I737&lt;&gt;"",A737="x"),$S736,""))</f>
        <v>364</v>
      </c>
      <c r="T737">
        <f>IF(D737=1,MAX($T$2:$T736)+1,IF(S737=S736,$T736,IF(D737="x",T736,IF(D736="x","",""))))</f>
        <v>48</v>
      </c>
      <c r="U737" t="str">
        <f>IF(B737=1,MAX($U$2:$U736)+1,IF(AND($T737&lt;&gt;"",$T737=$T736),$U736,IF(B737="x",U736,"")))</f>
        <v/>
      </c>
      <c r="V737" t="str">
        <f>IF(C737=1,MAX($V$2:$V736)+1,IF(AND($T737&lt;&gt;"",$T737=$T736),$U736,IF(C737="x",V736,"")))</f>
        <v/>
      </c>
      <c r="W737" t="str" cm="1">
        <f t="array" ref="W737">IFERROR(_xlfn._xlws.FILTER(game_rosters!AC:AC,(game_rosters!J:J=events!X737)*(K737&lt;&gt;"")),"")</f>
        <v>h</v>
      </c>
      <c r="X737" cm="1">
        <f t="array" ref="X737">IF($I737&lt;&gt;"",$I737,INDEX($I$1:$I737,ROW()-COUNTIFS($T$1:$T737,"="&amp;$T737,$S$1:$S737,"&lt;"&amp;$S737)))</f>
        <v>73</v>
      </c>
      <c r="Y737" cm="1">
        <f t="array" ref="Y737">IFERROR(IF(_xlfn._xlws.FILTER(game_rosters!$J:$J,(game_rosters!$G:$G=events!$AM737)*(game_rosters!$J:$J=events!$X737))&gt;0,1,""),"")</f>
        <v>1</v>
      </c>
      <c r="Z737" s="6">
        <f t="shared" si="1212"/>
        <v>1</v>
      </c>
      <c r="AA737">
        <f t="shared" si="1213"/>
        <v>1364</v>
      </c>
      <c r="AB737">
        <f t="shared" si="1214"/>
        <v>9048</v>
      </c>
      <c r="AC737">
        <f t="shared" si="1215"/>
        <v>9048</v>
      </c>
      <c r="AD737" t="str">
        <f t="shared" si="1241"/>
        <v>7</v>
      </c>
      <c r="AE737" t="str">
        <f t="shared" si="1242"/>
        <v>33</v>
      </c>
      <c r="AF737" t="str">
        <f t="shared" si="1243"/>
        <v/>
      </c>
      <c r="AG737" t="str">
        <f t="shared" si="1244"/>
        <v/>
      </c>
      <c r="AH737" t="str">
        <f t="shared" si="1275"/>
        <v>e</v>
      </c>
      <c r="AI737" t="str">
        <f t="shared" si="1276"/>
        <v>d</v>
      </c>
      <c r="AJ737" t="str">
        <f t="shared" si="1276"/>
        <v>d</v>
      </c>
      <c r="AK737" t="str">
        <f t="shared" si="1277"/>
        <v>d</v>
      </c>
      <c r="AL737" t="str">
        <f t="shared" si="1278"/>
        <v>o</v>
      </c>
      <c r="AM737" t="str">
        <f t="shared" si="1220"/>
        <v>Home</v>
      </c>
      <c r="AN737" t="str">
        <f t="shared" si="1279"/>
        <v>h</v>
      </c>
      <c r="AO737" t="str">
        <f t="shared" si="1280"/>
        <v>d</v>
      </c>
      <c r="AP737" t="str">
        <f t="shared" si="1281"/>
        <v>o</v>
      </c>
      <c r="AQ737" t="str">
        <f>IF(AM737&lt;&gt;"",AM737,IF($AC737=#REF!,#REF!,""))</f>
        <v>Home</v>
      </c>
      <c r="AR737" t="str">
        <f t="shared" si="1282"/>
        <v>h</v>
      </c>
      <c r="AS737" t="str">
        <f t="shared" si="1283"/>
        <v>Offensive</v>
      </c>
      <c r="AV737" t="str" cm="1">
        <f t="array" ref="AV737">IFERROR(IF(O737&lt;&gt;"",O737,IF(OR($S737="",$T737=""),"",IF(O737&lt;&gt;"",O737,IF($T737&lt;&gt;"",_xlfn._xlws.FILTER(O:O,($BT:$BT=$BT737)*($I:$I=$I737)*($T:$T=$T737)*($S:$S=_xlfn.MINIFS($S:$S,$T:$T,"="&amp;$T737)),"")))))&amp;"",IF(O737="","",""))&amp;""</f>
        <v/>
      </c>
      <c r="AW737" t="str" cm="1">
        <f t="array" ref="AW737">IFERROR(IF(P737&lt;&gt;"",P737,IF(OR($S737="",$T737=""),"",IF($T737&lt;&gt;"",_xlfn._xlws.FILTER(P:P,($BT:$BT=$BT737)*($I:$I=$I737)*($T:$T=$T737)*($S:$S=_xlfn.MINIFS($S:$S,$T:$T,"="&amp;$T737)),""))))&amp;"",IF(P737="","",""))&amp;""</f>
        <v/>
      </c>
      <c r="AX737" t="str" cm="1">
        <f t="array" ref="AX737">IFERROR(IF(Q737&lt;&gt;"",Q737,IF(OR($S737="",$T737=""),"",IF($T737&lt;&gt;"",_xlfn._xlws.FILTER(Q:Q,($BT:$BT=$BT737)*($I:$I=$I737)*($T:$T=$T737)*($S:$S=_xlfn.MINIFS($S:$S,$T:$T,"="&amp;$T737)),""))))&amp;"",IF(Q737="","",""))&amp;""</f>
        <v/>
      </c>
      <c r="AY737" t="str" cm="1">
        <f t="array" ref="AY737">IFERROR(IF(R737&lt;&gt;"",R737,IF(OR($S737="",$T737=""),"",IF($T737&lt;&gt;"",_xlfn._xlws.FILTER(R:R,($BT:$BT=$BT737)*($I:$I=$I737)*($T:$T=$T737)*($S:$S=_xlfn.MINIFS($S:$S,$T:$T,"="&amp;$T737)),""))))&amp;"",IF(R737="","",""))&amp;""</f>
        <v/>
      </c>
      <c r="AZ737" s="6">
        <f t="shared" si="1223"/>
        <v>59</v>
      </c>
      <c r="BA737">
        <f t="shared" ref="BA737:BC737" si="1290">BA736</f>
        <v>18991</v>
      </c>
      <c r="BB737" t="str">
        <f t="shared" si="1290"/>
        <v>Triple J</v>
      </c>
      <c r="BC737" t="str">
        <f t="shared" si="1290"/>
        <v>Velodrome</v>
      </c>
      <c r="BD737" t="str">
        <f t="shared" si="1225"/>
        <v>Turnover</v>
      </c>
      <c r="BE737" t="str">
        <f t="shared" si="1226"/>
        <v>Turnover_Giveaway</v>
      </c>
      <c r="BF737" t="str">
        <f t="shared" si="1227"/>
        <v>Giveaway-PassMissed</v>
      </c>
      <c r="BG737" t="str">
        <f t="shared" si="1209"/>
        <v>u</v>
      </c>
      <c r="BH737" cm="1">
        <f t="array" aca="1" ref="BH737" ca="1">IFERROR(_xlfn._xlws.FILTER(shifts!A:A,(shifts!B:B=events!Z737)*(shifts!AG:AG&gt;=events!BJ737)*(shifts!AH:AH&lt;=events!BK737)),BH736)</f>
        <v>24</v>
      </c>
      <c r="BI737" s="15">
        <f t="shared" si="1246"/>
        <v>0</v>
      </c>
      <c r="BJ737">
        <f t="shared" si="1247"/>
        <v>453</v>
      </c>
      <c r="BK737">
        <f t="shared" si="1248"/>
        <v>453</v>
      </c>
      <c r="BL737" s="15">
        <f>SUMIFS(BI$2:BI737,K$2:K737,"=Intermission")+SUMIFS(BI$2:BI737,K$2:K737,"=Timeout")</f>
        <v>0</v>
      </c>
      <c r="BM737">
        <f t="shared" si="1249"/>
        <v>0</v>
      </c>
      <c r="BN737" s="19">
        <f t="shared" si="1250"/>
        <v>627</v>
      </c>
      <c r="BO737">
        <f t="shared" si="1251"/>
        <v>622</v>
      </c>
      <c r="BP737" s="17">
        <f t="shared" si="1252"/>
        <v>627</v>
      </c>
      <c r="BQ737" t="str">
        <f t="shared" si="1253"/>
        <v>event_team_player_1</v>
      </c>
      <c r="BR737">
        <f>COUNTIFS(S$3:S737,"="&amp;S737,AH$3:AH737,"="&amp;AH737)</f>
        <v>1</v>
      </c>
      <c r="BS737" t="str">
        <f>IFERROR(VLOOKUP(BA737&amp;BT737&amp;X737,game_rosters!U:W,3,FALSE),"")</f>
        <v>P100021</v>
      </c>
      <c r="BT737" t="str">
        <f t="shared" si="1254"/>
        <v>Triple J</v>
      </c>
    </row>
    <row r="738" spans="1:72" x14ac:dyDescent="0.2">
      <c r="A738" t="str">
        <f t="shared" si="1211"/>
        <v>x</v>
      </c>
      <c r="D738" s="26" t="s">
        <v>729</v>
      </c>
      <c r="E738" s="4"/>
      <c r="F738" s="45"/>
      <c r="G738" s="4"/>
      <c r="H738" s="47"/>
      <c r="J738" s="26" t="str">
        <f t="shared" si="1237"/>
        <v/>
      </c>
      <c r="N738" t="str">
        <f t="shared" si="1268"/>
        <v/>
      </c>
      <c r="Q738" t="str">
        <f t="shared" si="1262"/>
        <v/>
      </c>
      <c r="S738">
        <f>IF(A738=1,MAX($S$2:$S737)+1,IF(OR($I738&lt;&gt;"",A738="x"),$S737,""))</f>
        <v>364</v>
      </c>
      <c r="T738">
        <f>IF(D738=1,MAX($T$2:$T737)+1,IF(S738=S737,$T737,IF(D738="x",T737,IF(D737="x","",""))))</f>
        <v>48</v>
      </c>
      <c r="U738" t="str">
        <f>IF(B738=1,MAX($U$2:$U737)+1,IF(AND($T738&lt;&gt;"",$T738=$T737),$U737,IF(B738="x",U737,"")))</f>
        <v/>
      </c>
      <c r="V738" t="str">
        <f>IF(C738=1,MAX($V$2:$V737)+1,IF(AND($T738&lt;&gt;"",$T738=$T737),$U737,IF(C738="x",V737,"")))</f>
        <v/>
      </c>
      <c r="W738" t="str" cm="1">
        <f t="array" ref="W738">IFERROR(_xlfn._xlws.FILTER(game_rosters!AC:AC,(game_rosters!J:J=events!X738)*(K738&lt;&gt;"")),"")</f>
        <v/>
      </c>
      <c r="X738" cm="1">
        <f t="array" ref="X738">IF($I738&lt;&gt;"",$I738,INDEX($I$1:$I738,ROW()-COUNTIFS($T$1:$T738,"="&amp;$T738,$S$1:$S738,"&lt;"&amp;$S738)))</f>
        <v>71</v>
      </c>
      <c r="Y738" cm="1">
        <f t="array" ref="Y738">IFERROR(IF(_xlfn._xlws.FILTER(game_rosters!$J:$J,(game_rosters!$G:$G=events!$AM738)*(game_rosters!$J:$J=events!$X738))&gt;0,1,""),"")</f>
        <v>1</v>
      </c>
      <c r="Z738" s="6">
        <f t="shared" si="1212"/>
        <v>1</v>
      </c>
      <c r="AA738">
        <f t="shared" si="1213"/>
        <v>1364</v>
      </c>
      <c r="AB738">
        <f t="shared" si="1214"/>
        <v>9048</v>
      </c>
      <c r="AC738">
        <f t="shared" si="1215"/>
        <v>9048</v>
      </c>
      <c r="AD738" t="str">
        <f t="shared" si="1241"/>
        <v>7</v>
      </c>
      <c r="AE738" t="str">
        <f t="shared" si="1242"/>
        <v>33</v>
      </c>
      <c r="AF738" t="str">
        <f t="shared" si="1243"/>
        <v/>
      </c>
      <c r="AG738" t="str">
        <f t="shared" si="1244"/>
        <v/>
      </c>
      <c r="AH738" t="str">
        <f t="shared" si="1275"/>
        <v>e</v>
      </c>
      <c r="AI738" t="str">
        <f t="shared" si="1276"/>
        <v>d</v>
      </c>
      <c r="AJ738" t="str">
        <f t="shared" si="1276"/>
        <v>d</v>
      </c>
      <c r="AK738" t="str">
        <f t="shared" si="1277"/>
        <v/>
      </c>
      <c r="AL738" t="str">
        <f t="shared" si="1278"/>
        <v/>
      </c>
      <c r="AM738" t="str">
        <f t="shared" si="1220"/>
        <v>Home</v>
      </c>
      <c r="AN738" t="str">
        <f t="shared" si="1279"/>
        <v>h</v>
      </c>
      <c r="AO738" t="str">
        <f t="shared" si="1280"/>
        <v>d</v>
      </c>
      <c r="AP738" t="str">
        <f t="shared" si="1281"/>
        <v>o</v>
      </c>
      <c r="AQ738" t="str">
        <f>IF(AM738&lt;&gt;"",AM738,IF($AC738=#REF!,#REF!,""))</f>
        <v>Home</v>
      </c>
      <c r="AR738" t="str">
        <f t="shared" si="1282"/>
        <v>h</v>
      </c>
      <c r="AS738" t="str">
        <f t="shared" si="1283"/>
        <v>Offensive</v>
      </c>
      <c r="AV738" t="str" cm="1">
        <f t="array" ref="AV738">IFERROR(IF(O738&lt;&gt;"",O738,IF(OR($S738="",$T738=""),"",IF(O738&lt;&gt;"",O738,IF($T738&lt;&gt;"",_xlfn._xlws.FILTER(O:O,($BT:$BT=$BT738)*($I:$I=$I738)*($T:$T=$T738)*($S:$S=_xlfn.MINIFS($S:$S,$T:$T,"="&amp;$T738)),"")))))&amp;"",IF(O738="","",""))&amp;""</f>
        <v/>
      </c>
      <c r="AW738" t="str" cm="1">
        <f t="array" ref="AW738">IFERROR(IF(P738&lt;&gt;"",P738,IF(OR($S738="",$T738=""),"",IF($T738&lt;&gt;"",_xlfn._xlws.FILTER(P:P,($BT:$BT=$BT738)*($I:$I=$I738)*($T:$T=$T738)*($S:$S=_xlfn.MINIFS($S:$S,$T:$T,"="&amp;$T738)),""))))&amp;"",IF(P738="","",""))&amp;""</f>
        <v/>
      </c>
      <c r="AX738" t="str" cm="1">
        <f t="array" ref="AX738">IFERROR(IF(Q738&lt;&gt;"",Q738,IF(OR($S738="",$T738=""),"",IF($T738&lt;&gt;"",_xlfn._xlws.FILTER(Q:Q,($BT:$BT=$BT738)*($I:$I=$I738)*($T:$T=$T738)*($S:$S=_xlfn.MINIFS($S:$S,$T:$T,"="&amp;$T738)),""))))&amp;"",IF(Q738="","",""))&amp;""</f>
        <v/>
      </c>
      <c r="AY738" t="str" cm="1">
        <f t="array" ref="AY738">IFERROR(IF(R738&lt;&gt;"",R738,IF(OR($S738="",$T738=""),"",IF($T738&lt;&gt;"",_xlfn._xlws.FILTER(R:R,($BT:$BT=$BT738)*($I:$I=$I738)*($T:$T=$T738)*($S:$S=_xlfn.MINIFS($S:$S,$T:$T,"="&amp;$T738)),""))))&amp;"",IF(R738="","",""))&amp;""</f>
        <v/>
      </c>
      <c r="AZ738" s="6">
        <f t="shared" si="1223"/>
        <v>59</v>
      </c>
      <c r="BA738">
        <f t="shared" ref="BA738:BC738" si="1291">BA737</f>
        <v>18991</v>
      </c>
      <c r="BB738" t="str">
        <f t="shared" si="1291"/>
        <v>Triple J</v>
      </c>
      <c r="BC738" t="str">
        <f t="shared" si="1291"/>
        <v>Velodrome</v>
      </c>
      <c r="BD738" t="str">
        <f t="shared" si="1225"/>
        <v>Turnover</v>
      </c>
      <c r="BE738" t="str">
        <f t="shared" si="1226"/>
        <v>Turnover_Giveaway</v>
      </c>
      <c r="BF738" t="str">
        <f t="shared" si="1227"/>
        <v>Giveaway-PassMissed</v>
      </c>
      <c r="BG738" t="str">
        <f t="shared" si="1209"/>
        <v>u</v>
      </c>
      <c r="BH738" cm="1">
        <f t="array" aca="1" ref="BH738" ca="1">IFERROR(_xlfn._xlws.FILTER(shifts!A:A,(shifts!B:B=events!Z738)*(shifts!AG:AG&gt;=events!BJ738)*(shifts!AH:AH&lt;=events!BK738)),BH737)</f>
        <v>24</v>
      </c>
      <c r="BI738" s="15">
        <f t="shared" si="1246"/>
        <v>0</v>
      </c>
      <c r="BJ738">
        <f t="shared" si="1247"/>
        <v>453</v>
      </c>
      <c r="BK738">
        <f t="shared" si="1248"/>
        <v>453</v>
      </c>
      <c r="BL738" s="15">
        <f>SUMIFS(BI$2:BI738,K$2:K738,"=Intermission")+SUMIFS(BI$2:BI738,K$2:K738,"=Timeout")</f>
        <v>0</v>
      </c>
      <c r="BM738">
        <f t="shared" si="1249"/>
        <v>0</v>
      </c>
      <c r="BN738" s="19">
        <f t="shared" si="1250"/>
        <v>627</v>
      </c>
      <c r="BO738">
        <f t="shared" si="1251"/>
        <v>622</v>
      </c>
      <c r="BP738" s="17">
        <f t="shared" si="1252"/>
        <v>627</v>
      </c>
      <c r="BQ738" t="str">
        <f t="shared" si="1253"/>
        <v>event_team_player_2</v>
      </c>
      <c r="BR738">
        <f>COUNTIFS(S$3:S738,"="&amp;S738,AH$3:AH738,"="&amp;AH738)</f>
        <v>2</v>
      </c>
      <c r="BS738" t="str">
        <f>IFERROR(VLOOKUP(BA738&amp;BT738&amp;X738,game_rosters!U:W,3,FALSE),"")</f>
        <v>P100008</v>
      </c>
      <c r="BT738" t="str">
        <f t="shared" si="1254"/>
        <v>Triple J</v>
      </c>
    </row>
    <row r="739" spans="1:72" s="27" customFormat="1" x14ac:dyDescent="0.2">
      <c r="E739" s="51"/>
      <c r="F739" s="51"/>
      <c r="G739" s="51"/>
      <c r="H739" s="52"/>
      <c r="Z739" s="53"/>
      <c r="AZ739" s="53"/>
      <c r="BI739" s="54"/>
      <c r="BL739" s="54"/>
      <c r="BN739" s="55"/>
      <c r="BP739" s="56"/>
    </row>
    <row r="740" spans="1:72" x14ac:dyDescent="0.2">
      <c r="E740" s="4"/>
      <c r="F740" s="45"/>
      <c r="G740" s="4"/>
      <c r="H740" s="47"/>
      <c r="Z740" s="6"/>
      <c r="BI740" s="15"/>
      <c r="BL740" s="15"/>
      <c r="BN740" s="19"/>
      <c r="BP740" s="17"/>
    </row>
    <row r="741" spans="1:72" x14ac:dyDescent="0.2">
      <c r="E741" s="4"/>
      <c r="F741" s="45"/>
      <c r="G741" s="4"/>
      <c r="H741" s="47"/>
      <c r="Z741" s="6"/>
      <c r="BI741" s="15"/>
      <c r="BL741" s="15"/>
      <c r="BN741" s="19"/>
      <c r="BP741" s="17"/>
    </row>
    <row r="742" spans="1:72" x14ac:dyDescent="0.2">
      <c r="E742" s="4"/>
      <c r="F742" s="45"/>
      <c r="G742" s="4"/>
      <c r="H742" s="47"/>
      <c r="Z742" s="6"/>
      <c r="BI742" s="15"/>
      <c r="BL742" s="15"/>
      <c r="BN742" s="19"/>
      <c r="BP742" s="17"/>
    </row>
    <row r="743" spans="1:72" x14ac:dyDescent="0.2">
      <c r="E743" s="4"/>
      <c r="F743" s="45"/>
      <c r="G743" s="4"/>
      <c r="H743" s="47"/>
      <c r="Z743" s="6"/>
      <c r="BI743" s="15"/>
      <c r="BL743" s="15"/>
      <c r="BN743" s="19"/>
      <c r="BP743" s="17"/>
    </row>
    <row r="744" spans="1:72" x14ac:dyDescent="0.2">
      <c r="E744" s="4"/>
      <c r="F744" s="45"/>
      <c r="G744" s="4"/>
      <c r="H744" s="47"/>
      <c r="Z744" s="6"/>
      <c r="BI744" s="15"/>
      <c r="BL744" s="15"/>
      <c r="BN744" s="19"/>
      <c r="BP744" s="17"/>
    </row>
    <row r="745" spans="1:72" x14ac:dyDescent="0.2">
      <c r="E745" s="4"/>
      <c r="F745" s="45"/>
      <c r="G745" s="4"/>
      <c r="H745" s="47"/>
      <c r="Z745" s="6"/>
      <c r="BI745" s="15"/>
      <c r="BL745" s="15"/>
      <c r="BN745" s="19"/>
      <c r="BP745" s="17"/>
    </row>
    <row r="746" spans="1:72" x14ac:dyDescent="0.2">
      <c r="E746" s="4"/>
      <c r="F746" s="45"/>
      <c r="G746" s="4"/>
      <c r="H746" s="47"/>
      <c r="Z746" s="6"/>
      <c r="BI746" s="15"/>
      <c r="BL746" s="15"/>
      <c r="BN746" s="19"/>
      <c r="BP746" s="17"/>
    </row>
    <row r="747" spans="1:72" x14ac:dyDescent="0.2">
      <c r="E747" s="4"/>
      <c r="F747" s="45"/>
      <c r="G747" s="4"/>
      <c r="H747" s="47"/>
      <c r="Z747" s="6"/>
      <c r="BI747" s="15"/>
      <c r="BL747" s="15"/>
      <c r="BN747" s="19"/>
      <c r="BP747" s="17"/>
    </row>
    <row r="748" spans="1:72" x14ac:dyDescent="0.2">
      <c r="E748" s="4"/>
      <c r="F748" s="45"/>
      <c r="G748" s="4"/>
      <c r="H748" s="47"/>
      <c r="Z748" s="6"/>
      <c r="BI748" s="15"/>
      <c r="BL748" s="15"/>
      <c r="BN748" s="19"/>
      <c r="BP748" s="17"/>
    </row>
    <row r="749" spans="1:72" x14ac:dyDescent="0.2">
      <c r="E749" s="4"/>
      <c r="F749" s="45"/>
      <c r="G749" s="4"/>
      <c r="H749" s="47"/>
      <c r="Z749" s="6"/>
      <c r="BI749" s="15"/>
      <c r="BL749" s="15"/>
      <c r="BN749" s="19"/>
      <c r="BP749" s="17"/>
    </row>
    <row r="750" spans="1:72" x14ac:dyDescent="0.2">
      <c r="E750" s="4"/>
      <c r="F750" s="45"/>
      <c r="G750" s="4"/>
      <c r="H750" s="47"/>
      <c r="Z750" s="6"/>
      <c r="BI750" s="15"/>
      <c r="BL750" s="15"/>
      <c r="BN750" s="19"/>
      <c r="BP750" s="17"/>
    </row>
    <row r="751" spans="1:72" x14ac:dyDescent="0.2">
      <c r="E751" s="4"/>
      <c r="F751" s="45"/>
      <c r="G751" s="4"/>
      <c r="H751" s="47"/>
      <c r="Z751" s="6"/>
      <c r="BI751" s="15"/>
      <c r="BL751" s="15"/>
      <c r="BN751" s="19"/>
      <c r="BP751" s="17"/>
    </row>
    <row r="752" spans="1:72" x14ac:dyDescent="0.2">
      <c r="E752" s="4"/>
      <c r="F752" s="45"/>
      <c r="G752" s="4"/>
      <c r="H752" s="47"/>
      <c r="Z752" s="6"/>
      <c r="BI752" s="15"/>
      <c r="BL752" s="15"/>
      <c r="BN752" s="19"/>
      <c r="BP752" s="17"/>
    </row>
    <row r="753" spans="5:68" x14ac:dyDescent="0.2">
      <c r="E753" s="4"/>
      <c r="F753" s="45"/>
      <c r="G753" s="4"/>
      <c r="H753" s="47"/>
      <c r="Z753" s="6"/>
      <c r="BI753" s="15"/>
      <c r="BL753" s="15"/>
      <c r="BN753" s="19"/>
      <c r="BP753" s="17"/>
    </row>
    <row r="754" spans="5:68" x14ac:dyDescent="0.2">
      <c r="E754" s="4"/>
      <c r="F754" s="45"/>
      <c r="G754" s="4"/>
      <c r="H754" s="47"/>
      <c r="Z754" s="6"/>
      <c r="BI754" s="15"/>
      <c r="BL754" s="15"/>
      <c r="BN754" s="19"/>
      <c r="BP754" s="17"/>
    </row>
    <row r="755" spans="5:68" x14ac:dyDescent="0.2">
      <c r="E755" s="4"/>
      <c r="F755" s="45"/>
      <c r="G755" s="4"/>
      <c r="H755" s="47"/>
      <c r="Z755" s="6"/>
      <c r="BI755" s="15"/>
      <c r="BL755" s="15"/>
      <c r="BN755" s="19"/>
      <c r="BP755" s="17"/>
    </row>
    <row r="756" spans="5:68" x14ac:dyDescent="0.2">
      <c r="E756" s="4"/>
      <c r="F756" s="45"/>
      <c r="G756" s="4"/>
      <c r="H756" s="47"/>
      <c r="Z756" s="6"/>
      <c r="BI756" s="15"/>
      <c r="BL756" s="15"/>
      <c r="BN756" s="19"/>
      <c r="BP756" s="17"/>
    </row>
    <row r="757" spans="5:68" x14ac:dyDescent="0.2">
      <c r="E757" s="4"/>
      <c r="F757" s="45"/>
      <c r="G757" s="4"/>
      <c r="H757" s="47"/>
      <c r="Z757" s="6"/>
      <c r="BI757" s="15"/>
      <c r="BL757" s="15"/>
      <c r="BN757" s="19"/>
      <c r="BP757" s="17"/>
    </row>
    <row r="758" spans="5:68" x14ac:dyDescent="0.2">
      <c r="E758" s="4"/>
      <c r="F758" s="45"/>
      <c r="G758" s="4"/>
      <c r="H758" s="47"/>
      <c r="Z758" s="6"/>
      <c r="BI758" s="15"/>
      <c r="BL758" s="15"/>
      <c r="BN758" s="19"/>
      <c r="BP758" s="17"/>
    </row>
    <row r="759" spans="5:68" x14ac:dyDescent="0.2">
      <c r="E759" s="4"/>
      <c r="F759" s="45"/>
      <c r="G759" s="4"/>
      <c r="H759" s="47"/>
      <c r="Z759" s="6"/>
      <c r="BI759" s="15"/>
      <c r="BL759" s="15"/>
      <c r="BN759" s="19"/>
      <c r="BP759" s="17"/>
    </row>
    <row r="760" spans="5:68" x14ac:dyDescent="0.2">
      <c r="E760" s="4"/>
      <c r="F760" s="45"/>
      <c r="G760" s="4"/>
      <c r="H760" s="47"/>
      <c r="Z760" s="6"/>
      <c r="BI760" s="15"/>
      <c r="BL760" s="15"/>
      <c r="BN760" s="19"/>
      <c r="BP760" s="17"/>
    </row>
    <row r="761" spans="5:68" x14ac:dyDescent="0.2">
      <c r="E761" s="4"/>
      <c r="F761" s="45"/>
      <c r="G761" s="4"/>
      <c r="H761" s="47"/>
      <c r="Z761" s="6"/>
      <c r="BI761" s="15"/>
      <c r="BL761" s="15"/>
      <c r="BN761" s="19"/>
      <c r="BP761" s="17"/>
    </row>
    <row r="762" spans="5:68" x14ac:dyDescent="0.2">
      <c r="E762" s="4"/>
      <c r="F762" s="45"/>
      <c r="G762" s="4"/>
      <c r="H762" s="47"/>
      <c r="Z762" s="6"/>
      <c r="BI762" s="15"/>
      <c r="BL762" s="15"/>
      <c r="BN762" s="19"/>
      <c r="BP762" s="17"/>
    </row>
    <row r="763" spans="5:68" x14ac:dyDescent="0.2">
      <c r="E763" s="4"/>
      <c r="F763" s="45"/>
      <c r="G763" s="4"/>
      <c r="H763" s="47"/>
      <c r="Z763" s="6"/>
      <c r="BI763" s="15"/>
      <c r="BL763" s="15"/>
      <c r="BN763" s="19"/>
      <c r="BP763" s="17"/>
    </row>
    <row r="764" spans="5:68" x14ac:dyDescent="0.2">
      <c r="E764" s="4"/>
      <c r="F764" s="45"/>
      <c r="G764" s="4"/>
      <c r="H764" s="47"/>
      <c r="Z764" s="6"/>
      <c r="BI764" s="15"/>
      <c r="BL764" s="15"/>
      <c r="BN764" s="19"/>
      <c r="BP764" s="17"/>
    </row>
    <row r="765" spans="5:68" x14ac:dyDescent="0.2">
      <c r="E765" s="4"/>
      <c r="F765" s="45"/>
      <c r="G765" s="4"/>
      <c r="H765" s="47"/>
      <c r="Z765" s="6"/>
      <c r="BI765" s="15"/>
      <c r="BL765" s="15"/>
      <c r="BN765" s="19"/>
      <c r="BP765" s="17"/>
    </row>
    <row r="766" spans="5:68" x14ac:dyDescent="0.2">
      <c r="E766" s="4"/>
      <c r="F766" s="45"/>
      <c r="G766" s="4"/>
      <c r="H766" s="47"/>
      <c r="Z766" s="6"/>
      <c r="BI766" s="15"/>
      <c r="BL766" s="15"/>
      <c r="BN766" s="19"/>
      <c r="BP766" s="17"/>
    </row>
    <row r="767" spans="5:68" x14ac:dyDescent="0.2">
      <c r="E767" s="4"/>
      <c r="F767" s="45"/>
      <c r="G767" s="4"/>
      <c r="H767" s="47"/>
      <c r="Z767" s="6"/>
      <c r="BI767" s="15"/>
      <c r="BL767" s="15"/>
      <c r="BN767" s="19"/>
      <c r="BP767" s="17"/>
    </row>
    <row r="768" spans="5:68" x14ac:dyDescent="0.2">
      <c r="E768" s="4"/>
      <c r="F768" s="45"/>
      <c r="G768" s="4"/>
      <c r="H768" s="47"/>
      <c r="Z768" s="6"/>
      <c r="BI768" s="15"/>
      <c r="BL768" s="15"/>
      <c r="BN768" s="19"/>
      <c r="BP768" s="17"/>
    </row>
    <row r="769" spans="5:68" x14ac:dyDescent="0.2">
      <c r="E769" s="4"/>
      <c r="F769" s="45"/>
      <c r="G769" s="4"/>
      <c r="H769" s="47"/>
      <c r="Z769" s="6"/>
      <c r="BI769" s="15"/>
      <c r="BL769" s="15"/>
      <c r="BN769" s="19"/>
      <c r="BP769" s="17"/>
    </row>
    <row r="770" spans="5:68" x14ac:dyDescent="0.2">
      <c r="E770" s="4"/>
      <c r="F770" s="45"/>
      <c r="G770" s="4"/>
      <c r="H770" s="47"/>
      <c r="Z770" s="6"/>
      <c r="BI770" s="15"/>
      <c r="BL770" s="15"/>
      <c r="BN770" s="19"/>
      <c r="BP770" s="17"/>
    </row>
    <row r="771" spans="5:68" x14ac:dyDescent="0.2">
      <c r="E771" s="4"/>
      <c r="F771" s="45"/>
      <c r="G771" s="4"/>
      <c r="H771" s="47"/>
      <c r="Z771" s="6"/>
      <c r="BI771" s="15"/>
      <c r="BL771" s="15"/>
      <c r="BN771" s="19"/>
      <c r="BP771" s="17"/>
    </row>
    <row r="772" spans="5:68" x14ac:dyDescent="0.2">
      <c r="E772" s="4"/>
      <c r="F772" s="45"/>
      <c r="G772" s="4"/>
      <c r="H772" s="47"/>
      <c r="Z772" s="6"/>
      <c r="BI772" s="15"/>
      <c r="BL772" s="15"/>
      <c r="BN772" s="19"/>
      <c r="BP772" s="17"/>
    </row>
    <row r="773" spans="5:68" x14ac:dyDescent="0.2">
      <c r="E773" s="4"/>
      <c r="F773" s="45"/>
      <c r="G773" s="4"/>
      <c r="H773" s="47"/>
      <c r="Z773" s="6"/>
      <c r="BI773" s="15"/>
      <c r="BL773" s="15"/>
      <c r="BN773" s="19"/>
      <c r="BP773" s="17"/>
    </row>
    <row r="774" spans="5:68" x14ac:dyDescent="0.2">
      <c r="E774" s="4"/>
      <c r="F774" s="45"/>
      <c r="G774" s="4"/>
      <c r="H774" s="47"/>
      <c r="Z774" s="6"/>
      <c r="BI774" s="15"/>
      <c r="BL774" s="15"/>
      <c r="BN774" s="19"/>
      <c r="BP774" s="17"/>
    </row>
    <row r="775" spans="5:68" x14ac:dyDescent="0.2">
      <c r="E775" s="4"/>
      <c r="F775" s="45"/>
      <c r="G775" s="4"/>
      <c r="H775" s="47"/>
      <c r="Z775" s="6"/>
      <c r="BI775" s="15"/>
      <c r="BL775" s="15"/>
      <c r="BN775" s="19"/>
      <c r="BP775" s="17"/>
    </row>
    <row r="776" spans="5:68" x14ac:dyDescent="0.2">
      <c r="E776" s="4"/>
      <c r="F776" s="45"/>
      <c r="G776" s="4"/>
      <c r="H776" s="47"/>
      <c r="Z776" s="6"/>
      <c r="BI776" s="15"/>
      <c r="BL776" s="15"/>
      <c r="BN776" s="19"/>
      <c r="BP776" s="17"/>
    </row>
    <row r="777" spans="5:68" x14ac:dyDescent="0.2">
      <c r="E777" s="4"/>
      <c r="F777" s="45"/>
      <c r="G777" s="4"/>
      <c r="H777" s="47"/>
      <c r="Z777" s="6"/>
      <c r="BI777" s="15"/>
      <c r="BL777" s="15"/>
      <c r="BN777" s="19"/>
      <c r="BP777" s="17"/>
    </row>
    <row r="778" spans="5:68" x14ac:dyDescent="0.2">
      <c r="E778" s="4"/>
      <c r="F778" s="45"/>
      <c r="G778" s="4"/>
      <c r="H778" s="47"/>
      <c r="Z778" s="6"/>
      <c r="BI778" s="15"/>
      <c r="BL778" s="15"/>
      <c r="BN778" s="19"/>
      <c r="BP778" s="17"/>
    </row>
    <row r="779" spans="5:68" x14ac:dyDescent="0.2">
      <c r="E779" s="4"/>
      <c r="F779" s="45"/>
      <c r="G779" s="4"/>
      <c r="H779" s="47"/>
      <c r="Z779" s="6"/>
      <c r="BI779" s="15"/>
      <c r="BL779" s="15"/>
      <c r="BN779" s="19"/>
      <c r="BP779" s="17"/>
    </row>
    <row r="780" spans="5:68" x14ac:dyDescent="0.2">
      <c r="E780" s="4"/>
      <c r="F780" s="45"/>
      <c r="G780" s="4"/>
      <c r="H780" s="47"/>
      <c r="Z780" s="6"/>
      <c r="BI780" s="15"/>
      <c r="BL780" s="15"/>
      <c r="BN780" s="19"/>
      <c r="BP780" s="17"/>
    </row>
    <row r="781" spans="5:68" x14ac:dyDescent="0.2">
      <c r="E781" s="4"/>
      <c r="F781" s="45"/>
      <c r="G781" s="4"/>
      <c r="H781" s="47"/>
      <c r="Z781" s="6"/>
      <c r="BI781" s="15"/>
      <c r="BL781" s="15"/>
      <c r="BN781" s="19"/>
      <c r="BP781" s="17"/>
    </row>
    <row r="782" spans="5:68" x14ac:dyDescent="0.2">
      <c r="E782" s="4"/>
      <c r="F782" s="45"/>
      <c r="G782" s="4"/>
      <c r="H782" s="47"/>
      <c r="Z782" s="6"/>
      <c r="BI782" s="15"/>
      <c r="BL782" s="15"/>
      <c r="BN782" s="19"/>
      <c r="BP782" s="17"/>
    </row>
    <row r="783" spans="5:68" x14ac:dyDescent="0.2">
      <c r="E783" s="4"/>
      <c r="F783" s="45"/>
      <c r="G783" s="4"/>
      <c r="H783" s="47"/>
      <c r="Z783" s="6"/>
      <c r="BI783" s="15"/>
      <c r="BL783" s="15"/>
      <c r="BN783" s="19"/>
      <c r="BP783" s="17"/>
    </row>
    <row r="784" spans="5:68" x14ac:dyDescent="0.2">
      <c r="E784" s="4"/>
      <c r="F784" s="45"/>
      <c r="G784" s="4"/>
      <c r="H784" s="47"/>
      <c r="Z784" s="6"/>
      <c r="BI784" s="15"/>
      <c r="BL784" s="15"/>
      <c r="BN784" s="19"/>
      <c r="BP784" s="17"/>
    </row>
    <row r="785" spans="5:68" x14ac:dyDescent="0.2">
      <c r="E785" s="4"/>
      <c r="F785" s="45"/>
      <c r="G785" s="4"/>
      <c r="H785" s="47"/>
      <c r="Z785" s="6"/>
      <c r="BI785" s="15"/>
      <c r="BL785" s="15"/>
      <c r="BN785" s="19"/>
      <c r="BP785" s="17"/>
    </row>
    <row r="786" spans="5:68" x14ac:dyDescent="0.2">
      <c r="E786" s="4"/>
      <c r="F786" s="45"/>
      <c r="G786" s="4"/>
      <c r="H786" s="47"/>
      <c r="Z786" s="6"/>
      <c r="BI786" s="15"/>
      <c r="BL786" s="15"/>
      <c r="BN786" s="19"/>
      <c r="BP786" s="17"/>
    </row>
    <row r="787" spans="5:68" x14ac:dyDescent="0.2">
      <c r="E787" s="4"/>
      <c r="F787" s="45"/>
      <c r="G787" s="4"/>
      <c r="H787" s="47"/>
      <c r="Z787" s="6"/>
      <c r="BI787" s="15"/>
      <c r="BL787" s="15"/>
      <c r="BN787" s="19"/>
      <c r="BP787" s="17"/>
    </row>
    <row r="788" spans="5:68" x14ac:dyDescent="0.2">
      <c r="E788" s="4"/>
      <c r="F788" s="45"/>
      <c r="G788" s="4"/>
      <c r="H788" s="47"/>
      <c r="Z788" s="6"/>
      <c r="BI788" s="15"/>
      <c r="BL788" s="15"/>
      <c r="BN788" s="19"/>
      <c r="BP788" s="17"/>
    </row>
    <row r="789" spans="5:68" x14ac:dyDescent="0.2">
      <c r="E789" s="4"/>
      <c r="F789" s="45"/>
      <c r="G789" s="4"/>
      <c r="H789" s="47"/>
      <c r="Z789" s="6"/>
      <c r="BI789" s="15"/>
      <c r="BL789" s="15"/>
      <c r="BN789" s="19"/>
      <c r="BP789" s="17"/>
    </row>
    <row r="790" spans="5:68" x14ac:dyDescent="0.2">
      <c r="E790" s="4"/>
      <c r="F790" s="45"/>
      <c r="G790" s="4"/>
      <c r="H790" s="47"/>
      <c r="Z790" s="6"/>
      <c r="BI790" s="15"/>
      <c r="BL790" s="15"/>
      <c r="BN790" s="19"/>
      <c r="BP790" s="17"/>
    </row>
    <row r="791" spans="5:68" x14ac:dyDescent="0.2">
      <c r="E791" s="4"/>
      <c r="F791" s="45"/>
      <c r="G791" s="4"/>
      <c r="H791" s="47"/>
      <c r="Z791" s="6"/>
      <c r="BI791" s="15"/>
      <c r="BL791" s="15"/>
      <c r="BN791" s="19"/>
      <c r="BP791" s="17"/>
    </row>
    <row r="792" spans="5:68" x14ac:dyDescent="0.2">
      <c r="E792" s="4"/>
      <c r="F792" s="45"/>
      <c r="G792" s="4"/>
      <c r="H792" s="47"/>
      <c r="Z792" s="6"/>
      <c r="BI792" s="15"/>
      <c r="BL792" s="15"/>
      <c r="BN792" s="19"/>
      <c r="BP792" s="17"/>
    </row>
    <row r="793" spans="5:68" x14ac:dyDescent="0.2">
      <c r="E793" s="4"/>
      <c r="F793" s="45"/>
      <c r="G793" s="4"/>
      <c r="H793" s="47"/>
      <c r="Z793" s="6"/>
      <c r="BI793" s="15"/>
      <c r="BL793" s="15"/>
      <c r="BN793" s="19"/>
      <c r="BP793" s="17"/>
    </row>
    <row r="794" spans="5:68" x14ac:dyDescent="0.2">
      <c r="E794" s="4"/>
      <c r="F794" s="45"/>
      <c r="G794" s="4"/>
      <c r="H794" s="47"/>
      <c r="Z794" s="6"/>
      <c r="BI794" s="15"/>
      <c r="BL794" s="15"/>
      <c r="BN794" s="19"/>
      <c r="BP794" s="17"/>
    </row>
    <row r="795" spans="5:68" x14ac:dyDescent="0.2">
      <c r="E795" s="4"/>
      <c r="F795" s="45"/>
      <c r="G795" s="4"/>
      <c r="H795" s="47"/>
      <c r="Z795" s="6"/>
      <c r="BI795" s="15"/>
      <c r="BL795" s="15"/>
      <c r="BN795" s="19"/>
      <c r="BP795" s="17"/>
    </row>
    <row r="796" spans="5:68" x14ac:dyDescent="0.2">
      <c r="E796" s="4"/>
      <c r="F796" s="45"/>
      <c r="G796" s="4"/>
      <c r="H796" s="47"/>
      <c r="Z796" s="6"/>
      <c r="BI796" s="15"/>
      <c r="BL796" s="15"/>
      <c r="BN796" s="19"/>
      <c r="BP796" s="17"/>
    </row>
    <row r="797" spans="5:68" x14ac:dyDescent="0.2">
      <c r="E797" s="4"/>
      <c r="F797" s="45"/>
      <c r="G797" s="4"/>
      <c r="H797" s="47"/>
      <c r="Z797" s="6"/>
      <c r="BI797" s="15"/>
      <c r="BL797" s="15"/>
      <c r="BN797" s="19"/>
      <c r="BP797" s="17"/>
    </row>
    <row r="798" spans="5:68" x14ac:dyDescent="0.2">
      <c r="E798" s="4"/>
      <c r="F798" s="45"/>
      <c r="G798" s="4"/>
      <c r="H798" s="47"/>
      <c r="Z798" s="6"/>
      <c r="BI798" s="15"/>
      <c r="BL798" s="15"/>
      <c r="BN798" s="19"/>
      <c r="BP798" s="17"/>
    </row>
    <row r="799" spans="5:68" x14ac:dyDescent="0.2">
      <c r="E799" s="4"/>
      <c r="F799" s="45"/>
      <c r="G799" s="4"/>
      <c r="H799" s="47"/>
      <c r="Z799" s="6"/>
      <c r="BI799" s="15"/>
      <c r="BL799" s="15"/>
      <c r="BN799" s="19"/>
      <c r="BP799" s="17"/>
    </row>
    <row r="800" spans="5:68" x14ac:dyDescent="0.2">
      <c r="E800" s="4"/>
      <c r="F800" s="45"/>
      <c r="G800" s="4"/>
      <c r="H800" s="47"/>
      <c r="Z800" s="6"/>
      <c r="BI800" s="15"/>
      <c r="BL800" s="15"/>
      <c r="BN800" s="19"/>
      <c r="BP800" s="17"/>
    </row>
    <row r="801" spans="5:68" x14ac:dyDescent="0.2">
      <c r="E801" s="4"/>
      <c r="F801" s="45"/>
      <c r="G801" s="4"/>
      <c r="H801" s="47"/>
      <c r="Z801" s="6"/>
      <c r="BI801" s="15"/>
      <c r="BL801" s="15"/>
      <c r="BN801" s="19"/>
      <c r="BP801" s="17"/>
    </row>
    <row r="802" spans="5:68" x14ac:dyDescent="0.2">
      <c r="E802" s="4"/>
      <c r="F802" s="45"/>
      <c r="G802" s="4"/>
      <c r="H802" s="47"/>
      <c r="Z802" s="6"/>
      <c r="BI802" s="15"/>
      <c r="BL802" s="15"/>
      <c r="BN802" s="19"/>
      <c r="BP802" s="17"/>
    </row>
    <row r="803" spans="5:68" x14ac:dyDescent="0.2">
      <c r="E803" s="4"/>
      <c r="F803" s="45"/>
      <c r="G803" s="4"/>
      <c r="H803" s="47"/>
      <c r="Z803" s="6"/>
      <c r="BI803" s="15"/>
      <c r="BL803" s="15"/>
      <c r="BN803" s="19"/>
      <c r="BP803" s="17"/>
    </row>
    <row r="804" spans="5:68" x14ac:dyDescent="0.2">
      <c r="E804" s="4"/>
      <c r="F804" s="45"/>
      <c r="G804" s="4"/>
      <c r="H804" s="47"/>
      <c r="Z804" s="6"/>
      <c r="BI804" s="15"/>
      <c r="BL804" s="15"/>
      <c r="BN804" s="19"/>
      <c r="BP804" s="17"/>
    </row>
    <row r="805" spans="5:68" x14ac:dyDescent="0.2">
      <c r="E805" s="4"/>
      <c r="F805" s="45"/>
      <c r="G805" s="4"/>
      <c r="H805" s="47"/>
      <c r="Z805" s="6"/>
      <c r="BI805" s="15"/>
      <c r="BL805" s="15"/>
      <c r="BN805" s="19"/>
      <c r="BP805" s="17"/>
    </row>
    <row r="806" spans="5:68" x14ac:dyDescent="0.2">
      <c r="E806" s="4"/>
      <c r="F806" s="45"/>
      <c r="G806" s="4"/>
      <c r="H806" s="47"/>
      <c r="Z806" s="6"/>
      <c r="BI806" s="15"/>
      <c r="BL806" s="15"/>
      <c r="BN806" s="19"/>
      <c r="BP806" s="17"/>
    </row>
    <row r="807" spans="5:68" x14ac:dyDescent="0.2">
      <c r="E807" s="4"/>
      <c r="F807" s="45"/>
      <c r="G807" s="4"/>
      <c r="H807" s="47"/>
      <c r="Z807" s="6"/>
      <c r="BI807" s="15"/>
      <c r="BL807" s="15"/>
      <c r="BN807" s="19"/>
      <c r="BP807" s="17"/>
    </row>
    <row r="808" spans="5:68" x14ac:dyDescent="0.2">
      <c r="E808" s="4"/>
      <c r="F808" s="45"/>
      <c r="G808" s="4"/>
      <c r="H808" s="47"/>
      <c r="Z808" s="6"/>
      <c r="BI808" s="15"/>
      <c r="BL808" s="15"/>
      <c r="BN808" s="19"/>
      <c r="BP808" s="17"/>
    </row>
    <row r="809" spans="5:68" x14ac:dyDescent="0.2">
      <c r="E809" s="4"/>
      <c r="F809" s="45"/>
      <c r="G809" s="4"/>
      <c r="H809" s="47"/>
      <c r="Z809" s="6"/>
      <c r="BI809" s="15"/>
      <c r="BL809" s="15"/>
      <c r="BN809" s="19"/>
      <c r="BP809" s="17"/>
    </row>
    <row r="810" spans="5:68" x14ac:dyDescent="0.2">
      <c r="E810" s="4"/>
      <c r="F810" s="45"/>
      <c r="G810" s="4"/>
      <c r="H810" s="47"/>
      <c r="Z810" s="6"/>
      <c r="BI810" s="15"/>
      <c r="BL810" s="15"/>
      <c r="BN810" s="19"/>
      <c r="BP810" s="17"/>
    </row>
    <row r="811" spans="5:68" x14ac:dyDescent="0.2">
      <c r="E811" s="4"/>
      <c r="F811" s="45"/>
      <c r="G811" s="4"/>
      <c r="H811" s="47"/>
      <c r="Z811" s="6"/>
      <c r="BI811" s="15"/>
      <c r="BL811" s="15"/>
      <c r="BN811" s="19"/>
      <c r="BP811" s="17"/>
    </row>
    <row r="812" spans="5:68" x14ac:dyDescent="0.2">
      <c r="E812" s="4"/>
      <c r="F812" s="45"/>
      <c r="G812" s="4"/>
      <c r="H812" s="47"/>
      <c r="Z812" s="6"/>
      <c r="BI812" s="15"/>
      <c r="BL812" s="15"/>
      <c r="BN812" s="19"/>
      <c r="BP812" s="17"/>
    </row>
    <row r="813" spans="5:68" x14ac:dyDescent="0.2">
      <c r="E813" s="4"/>
      <c r="F813" s="45"/>
      <c r="G813" s="4"/>
      <c r="H813" s="47"/>
      <c r="Z813" s="6"/>
      <c r="BI813" s="15"/>
      <c r="BL813" s="15"/>
      <c r="BN813" s="19"/>
      <c r="BP813" s="17"/>
    </row>
    <row r="814" spans="5:68" x14ac:dyDescent="0.2">
      <c r="E814" s="4"/>
      <c r="F814" s="45"/>
      <c r="G814" s="4"/>
      <c r="H814" s="47"/>
      <c r="Z814" s="6"/>
      <c r="BI814" s="15"/>
      <c r="BL814" s="15"/>
      <c r="BN814" s="19"/>
      <c r="BP814" s="17"/>
    </row>
    <row r="815" spans="5:68" x14ac:dyDescent="0.2">
      <c r="E815" s="4"/>
      <c r="F815" s="45"/>
      <c r="G815" s="4"/>
      <c r="H815" s="47"/>
      <c r="Z815" s="6"/>
      <c r="BI815" s="15"/>
      <c r="BL815" s="15"/>
      <c r="BN815" s="19"/>
      <c r="BP815" s="17"/>
    </row>
    <row r="816" spans="5:68" x14ac:dyDescent="0.2">
      <c r="E816" s="4"/>
      <c r="F816" s="45"/>
      <c r="G816" s="4"/>
      <c r="H816" s="47"/>
      <c r="Z816" s="6"/>
      <c r="BI816" s="15"/>
      <c r="BL816" s="15"/>
      <c r="BN816" s="19"/>
      <c r="BP816" s="17"/>
    </row>
    <row r="817" spans="5:68" x14ac:dyDescent="0.2">
      <c r="E817" s="4"/>
      <c r="F817" s="45"/>
      <c r="G817" s="4"/>
      <c r="H817" s="47"/>
      <c r="Z817" s="6"/>
      <c r="BI817" s="15"/>
      <c r="BL817" s="15"/>
      <c r="BN817" s="19"/>
      <c r="BP817" s="17"/>
    </row>
    <row r="818" spans="5:68" x14ac:dyDescent="0.2">
      <c r="E818" s="4"/>
      <c r="F818" s="45"/>
      <c r="G818" s="4"/>
      <c r="H818" s="47"/>
      <c r="Z818" s="6"/>
      <c r="BI818" s="15"/>
      <c r="BL818" s="15"/>
      <c r="BN818" s="19"/>
      <c r="BP818" s="17"/>
    </row>
    <row r="819" spans="5:68" x14ac:dyDescent="0.2">
      <c r="E819" s="4"/>
      <c r="F819" s="45"/>
      <c r="G819" s="4"/>
      <c r="H819" s="47"/>
      <c r="Z819" s="6"/>
      <c r="BI819" s="15"/>
      <c r="BL819" s="15"/>
      <c r="BN819" s="19"/>
      <c r="BP819" s="17"/>
    </row>
    <row r="820" spans="5:68" x14ac:dyDescent="0.2">
      <c r="E820" s="4"/>
      <c r="F820" s="45"/>
      <c r="G820" s="4"/>
      <c r="H820" s="47"/>
      <c r="Z820" s="6"/>
      <c r="BI820" s="15"/>
      <c r="BL820" s="15"/>
      <c r="BN820" s="19"/>
      <c r="BP820" s="17"/>
    </row>
    <row r="821" spans="5:68" x14ac:dyDescent="0.2">
      <c r="E821" s="4"/>
      <c r="F821" s="45"/>
      <c r="G821" s="4"/>
      <c r="H821" s="47"/>
      <c r="Z821" s="6"/>
      <c r="BI821" s="15"/>
      <c r="BL821" s="15"/>
      <c r="BN821" s="19"/>
      <c r="BP821" s="17"/>
    </row>
    <row r="822" spans="5:68" x14ac:dyDescent="0.2">
      <c r="E822" s="4"/>
      <c r="F822" s="45"/>
      <c r="G822" s="4"/>
      <c r="H822" s="47"/>
      <c r="Z822" s="6"/>
      <c r="BI822" s="15"/>
      <c r="BL822" s="15"/>
      <c r="BN822" s="19"/>
      <c r="BP822" s="17"/>
    </row>
    <row r="823" spans="5:68" x14ac:dyDescent="0.2">
      <c r="E823" s="4"/>
      <c r="F823" s="45"/>
      <c r="G823" s="4"/>
      <c r="H823" s="47"/>
      <c r="Z823" s="6"/>
      <c r="BI823" s="15"/>
      <c r="BL823" s="15"/>
      <c r="BN823" s="19"/>
      <c r="BP823" s="17"/>
    </row>
    <row r="824" spans="5:68" x14ac:dyDescent="0.2">
      <c r="E824" s="4"/>
      <c r="F824" s="45"/>
      <c r="G824" s="4"/>
      <c r="H824" s="47"/>
      <c r="Z824" s="6"/>
      <c r="BI824" s="15"/>
      <c r="BL824" s="15"/>
      <c r="BN824" s="19"/>
      <c r="BP824" s="17"/>
    </row>
    <row r="825" spans="5:68" x14ac:dyDescent="0.2">
      <c r="E825" s="4"/>
      <c r="F825" s="45"/>
      <c r="G825" s="4"/>
      <c r="H825" s="47"/>
      <c r="Z825" s="6"/>
      <c r="BI825" s="15"/>
      <c r="BL825" s="15"/>
      <c r="BN825" s="19"/>
      <c r="BP825" s="17"/>
    </row>
    <row r="826" spans="5:68" x14ac:dyDescent="0.2">
      <c r="E826" s="4"/>
      <c r="F826" s="45"/>
      <c r="G826" s="4"/>
      <c r="H826" s="47"/>
      <c r="Z826" s="6"/>
      <c r="BI826" s="15"/>
      <c r="BL826" s="15"/>
      <c r="BN826" s="19"/>
      <c r="BP826" s="17"/>
    </row>
    <row r="827" spans="5:68" x14ac:dyDescent="0.2">
      <c r="E827" s="4"/>
      <c r="F827" s="45"/>
      <c r="G827" s="4"/>
      <c r="H827" s="47"/>
      <c r="Z827" s="6"/>
      <c r="BI827" s="15"/>
      <c r="BL827" s="15"/>
      <c r="BN827" s="19"/>
      <c r="BP827" s="17"/>
    </row>
    <row r="828" spans="5:68" x14ac:dyDescent="0.2">
      <c r="E828" s="4"/>
      <c r="F828" s="45"/>
      <c r="G828" s="4"/>
      <c r="H828" s="47"/>
      <c r="Z828" s="6"/>
      <c r="BI828" s="15"/>
      <c r="BL828" s="15"/>
      <c r="BN828" s="19"/>
      <c r="BP828" s="17"/>
    </row>
    <row r="829" spans="5:68" x14ac:dyDescent="0.2">
      <c r="E829" s="4"/>
      <c r="F829" s="45"/>
      <c r="G829" s="4"/>
      <c r="H829" s="47"/>
      <c r="Z829" s="6"/>
      <c r="BI829" s="15"/>
      <c r="BL829" s="15"/>
      <c r="BN829" s="19"/>
      <c r="BP829" s="17"/>
    </row>
    <row r="830" spans="5:68" x14ac:dyDescent="0.2">
      <c r="E830" s="4"/>
      <c r="F830" s="45"/>
      <c r="G830" s="4"/>
      <c r="H830" s="47"/>
      <c r="Z830" s="6"/>
      <c r="BI830" s="15"/>
      <c r="BL830" s="15"/>
      <c r="BN830" s="19"/>
      <c r="BP830" s="17"/>
    </row>
    <row r="831" spans="5:68" x14ac:dyDescent="0.2">
      <c r="E831" s="4"/>
      <c r="F831" s="45"/>
      <c r="G831" s="4"/>
      <c r="H831" s="47"/>
      <c r="Z831" s="6"/>
      <c r="BI831" s="15"/>
      <c r="BL831" s="15"/>
      <c r="BN831" s="19"/>
      <c r="BP831" s="17"/>
    </row>
    <row r="832" spans="5:68" x14ac:dyDescent="0.2">
      <c r="E832" s="4"/>
      <c r="F832" s="45"/>
      <c r="G832" s="4"/>
      <c r="H832" s="47"/>
      <c r="Z832" s="6"/>
      <c r="BI832" s="15"/>
      <c r="BL832" s="15"/>
      <c r="BN832" s="19"/>
      <c r="BP832" s="17"/>
    </row>
    <row r="833" spans="5:68" x14ac:dyDescent="0.2">
      <c r="E833" s="4"/>
      <c r="F833" s="45"/>
      <c r="G833" s="4"/>
      <c r="H833" s="47"/>
      <c r="Z833" s="6"/>
      <c r="BI833" s="15"/>
      <c r="BL833" s="15"/>
      <c r="BN833" s="19"/>
      <c r="BP833" s="17"/>
    </row>
    <row r="834" spans="5:68" x14ac:dyDescent="0.2">
      <c r="E834" s="4"/>
      <c r="F834" s="45"/>
      <c r="G834" s="4"/>
      <c r="H834" s="47"/>
      <c r="Z834" s="6"/>
      <c r="BI834" s="15"/>
      <c r="BL834" s="15"/>
      <c r="BN834" s="19"/>
      <c r="BP834" s="17"/>
    </row>
    <row r="835" spans="5:68" x14ac:dyDescent="0.2">
      <c r="E835" s="4"/>
      <c r="F835" s="45"/>
      <c r="G835" s="4"/>
      <c r="H835" s="47"/>
      <c r="Z835" s="6"/>
      <c r="BI835" s="15"/>
      <c r="BL835" s="15"/>
      <c r="BN835" s="19"/>
      <c r="BP835" s="17"/>
    </row>
    <row r="836" spans="5:68" x14ac:dyDescent="0.2">
      <c r="E836" s="4"/>
      <c r="F836" s="45"/>
      <c r="G836" s="4"/>
      <c r="H836" s="47"/>
      <c r="Z836" s="6"/>
      <c r="BI836" s="15"/>
      <c r="BL836" s="15"/>
      <c r="BN836" s="19"/>
      <c r="BP836" s="17"/>
    </row>
    <row r="837" spans="5:68" x14ac:dyDescent="0.2">
      <c r="E837" s="4"/>
      <c r="F837" s="45"/>
      <c r="G837" s="4"/>
      <c r="H837" s="47"/>
      <c r="Z837" s="6"/>
      <c r="BI837" s="15"/>
      <c r="BL837" s="15"/>
      <c r="BN837" s="19"/>
      <c r="BP837" s="17"/>
    </row>
    <row r="838" spans="5:68" x14ac:dyDescent="0.2">
      <c r="E838" s="4"/>
      <c r="F838" s="45"/>
      <c r="G838" s="4"/>
      <c r="H838" s="47"/>
      <c r="Z838" s="6"/>
      <c r="BI838" s="15"/>
      <c r="BL838" s="15"/>
      <c r="BN838" s="19"/>
      <c r="BP838" s="17"/>
    </row>
    <row r="839" spans="5:68" x14ac:dyDescent="0.2">
      <c r="E839" s="4"/>
      <c r="F839" s="45"/>
      <c r="G839" s="4"/>
      <c r="H839" s="47"/>
      <c r="Z839" s="6"/>
      <c r="BI839" s="15"/>
      <c r="BL839" s="15"/>
      <c r="BN839" s="19"/>
      <c r="BP839" s="17"/>
    </row>
    <row r="840" spans="5:68" x14ac:dyDescent="0.2">
      <c r="E840" s="4"/>
      <c r="F840" s="45"/>
      <c r="G840" s="4"/>
      <c r="H840" s="47"/>
      <c r="Z840" s="6"/>
      <c r="BI840" s="15"/>
      <c r="BL840" s="15"/>
      <c r="BN840" s="19"/>
      <c r="BP840" s="17"/>
    </row>
    <row r="841" spans="5:68" x14ac:dyDescent="0.2">
      <c r="E841" s="4"/>
      <c r="F841" s="45"/>
      <c r="G841" s="4"/>
      <c r="H841" s="47"/>
      <c r="Z841" s="6"/>
      <c r="BI841" s="15"/>
      <c r="BL841" s="15"/>
      <c r="BN841" s="19"/>
      <c r="BP841" s="17"/>
    </row>
    <row r="842" spans="5:68" x14ac:dyDescent="0.2">
      <c r="E842" s="4"/>
      <c r="F842" s="45"/>
      <c r="G842" s="4"/>
      <c r="H842" s="47"/>
      <c r="Z842" s="6"/>
      <c r="BI842" s="15"/>
      <c r="BL842" s="15"/>
      <c r="BN842" s="19"/>
      <c r="BP842" s="17"/>
    </row>
    <row r="843" spans="5:68" x14ac:dyDescent="0.2">
      <c r="E843" s="4"/>
      <c r="F843" s="45"/>
      <c r="G843" s="4"/>
      <c r="H843" s="47"/>
      <c r="Z843" s="6"/>
      <c r="BI843" s="15"/>
      <c r="BL843" s="15"/>
      <c r="BN843" s="19"/>
      <c r="BP843" s="17"/>
    </row>
    <row r="844" spans="5:68" x14ac:dyDescent="0.2">
      <c r="E844" s="4"/>
      <c r="F844" s="45"/>
      <c r="G844" s="4"/>
      <c r="H844" s="47"/>
      <c r="Z844" s="6"/>
      <c r="BI844" s="15"/>
      <c r="BL844" s="15"/>
      <c r="BN844" s="19"/>
      <c r="BP844" s="17"/>
    </row>
    <row r="845" spans="5:68" x14ac:dyDescent="0.2">
      <c r="E845" s="4"/>
      <c r="F845" s="45"/>
      <c r="G845" s="4"/>
      <c r="H845" s="47"/>
      <c r="Z845" s="6"/>
      <c r="BI845" s="15"/>
      <c r="BL845" s="15"/>
      <c r="BN845" s="19"/>
      <c r="BP845" s="17"/>
    </row>
    <row r="846" spans="5:68" x14ac:dyDescent="0.2">
      <c r="E846" s="4"/>
      <c r="F846" s="45"/>
      <c r="G846" s="4"/>
      <c r="H846" s="47"/>
      <c r="Z846" s="6"/>
      <c r="BI846" s="15"/>
      <c r="BL846" s="15"/>
      <c r="BN846" s="19"/>
      <c r="BP846" s="17"/>
    </row>
    <row r="847" spans="5:68" x14ac:dyDescent="0.2">
      <c r="E847" s="4"/>
      <c r="F847" s="45"/>
      <c r="G847" s="4"/>
      <c r="H847" s="47"/>
      <c r="Z847" s="6"/>
      <c r="BI847" s="15"/>
      <c r="BL847" s="15"/>
      <c r="BN847" s="19"/>
      <c r="BP847" s="17"/>
    </row>
    <row r="848" spans="5:68" x14ac:dyDescent="0.2">
      <c r="E848" s="4"/>
      <c r="F848" s="45"/>
      <c r="G848" s="4"/>
      <c r="H848" s="47"/>
      <c r="Z848" s="6"/>
      <c r="BI848" s="15"/>
      <c r="BL848" s="15"/>
      <c r="BN848" s="19"/>
      <c r="BP848" s="17"/>
    </row>
    <row r="849" spans="5:68" x14ac:dyDescent="0.2">
      <c r="E849" s="4"/>
      <c r="F849" s="45"/>
      <c r="G849" s="4"/>
      <c r="H849" s="47"/>
      <c r="Z849" s="6"/>
      <c r="BI849" s="15"/>
      <c r="BL849" s="15"/>
      <c r="BN849" s="19"/>
      <c r="BP849" s="17"/>
    </row>
    <row r="850" spans="5:68" x14ac:dyDescent="0.2">
      <c r="E850" s="4"/>
      <c r="F850" s="45"/>
      <c r="G850" s="4"/>
      <c r="H850" s="47"/>
      <c r="Z850" s="6"/>
      <c r="BI850" s="15"/>
      <c r="BL850" s="15"/>
      <c r="BN850" s="19"/>
      <c r="BP850" s="17"/>
    </row>
    <row r="851" spans="5:68" x14ac:dyDescent="0.2">
      <c r="E851" s="4"/>
      <c r="F851" s="45"/>
      <c r="G851" s="4"/>
      <c r="H851" s="47"/>
      <c r="Z851" s="6"/>
      <c r="BI851" s="15"/>
      <c r="BL851" s="15"/>
      <c r="BN851" s="19"/>
      <c r="BP851" s="17"/>
    </row>
    <row r="852" spans="5:68" x14ac:dyDescent="0.2">
      <c r="E852" s="4"/>
      <c r="F852" s="45"/>
      <c r="G852" s="4"/>
      <c r="H852" s="47"/>
      <c r="Z852" s="6"/>
      <c r="BI852" s="15"/>
      <c r="BL852" s="15"/>
      <c r="BN852" s="19"/>
      <c r="BP852" s="17"/>
    </row>
    <row r="853" spans="5:68" x14ac:dyDescent="0.2">
      <c r="E853" s="4"/>
      <c r="F853" s="45"/>
      <c r="G853" s="4"/>
      <c r="H853" s="47"/>
      <c r="Z853" s="6"/>
      <c r="BI853" s="15"/>
      <c r="BL853" s="15"/>
      <c r="BN853" s="19"/>
      <c r="BP853" s="17"/>
    </row>
    <row r="854" spans="5:68" x14ac:dyDescent="0.2">
      <c r="E854" s="4"/>
      <c r="F854" s="45"/>
      <c r="G854" s="4"/>
      <c r="H854" s="47"/>
      <c r="Z854" s="6"/>
      <c r="BI854" s="15"/>
      <c r="BL854" s="15"/>
      <c r="BN854" s="19"/>
      <c r="BP854" s="17"/>
    </row>
    <row r="855" spans="5:68" x14ac:dyDescent="0.2">
      <c r="E855" s="4"/>
      <c r="F855" s="45"/>
      <c r="G855" s="4"/>
      <c r="H855" s="47"/>
      <c r="Z855" s="6"/>
      <c r="BI855" s="15"/>
      <c r="BL855" s="15"/>
      <c r="BN855" s="19"/>
      <c r="BP855" s="17"/>
    </row>
    <row r="856" spans="5:68" x14ac:dyDescent="0.2">
      <c r="E856" s="4"/>
      <c r="F856" s="45"/>
      <c r="G856" s="4"/>
      <c r="H856" s="47"/>
      <c r="Z856" s="6"/>
      <c r="BI856" s="15"/>
      <c r="BL856" s="15"/>
      <c r="BN856" s="19"/>
      <c r="BP856" s="17"/>
    </row>
    <row r="857" spans="5:68" x14ac:dyDescent="0.2">
      <c r="E857" s="4"/>
      <c r="F857" s="45"/>
      <c r="G857" s="4"/>
      <c r="H857" s="47"/>
      <c r="Z857" s="6"/>
      <c r="BI857" s="15"/>
      <c r="BL857" s="15"/>
      <c r="BN857" s="19"/>
      <c r="BP857" s="17"/>
    </row>
    <row r="858" spans="5:68" x14ac:dyDescent="0.2">
      <c r="E858" s="4"/>
      <c r="F858" s="45"/>
      <c r="G858" s="4"/>
      <c r="H858" s="47"/>
      <c r="Z858" s="6"/>
      <c r="BI858" s="15"/>
      <c r="BL858" s="15"/>
      <c r="BN858" s="19"/>
      <c r="BP858" s="17"/>
    </row>
    <row r="859" spans="5:68" x14ac:dyDescent="0.2">
      <c r="E859" s="4"/>
      <c r="F859" s="45"/>
      <c r="G859" s="4"/>
      <c r="H859" s="47"/>
      <c r="Z859" s="6"/>
      <c r="BI859" s="15"/>
      <c r="BL859" s="15"/>
      <c r="BN859" s="19"/>
      <c r="BP859" s="17"/>
    </row>
    <row r="860" spans="5:68" x14ac:dyDescent="0.2">
      <c r="E860" s="4"/>
      <c r="F860" s="45"/>
      <c r="G860" s="4"/>
      <c r="H860" s="47"/>
      <c r="Z860" s="6"/>
      <c r="BI860" s="15"/>
      <c r="BL860" s="15"/>
      <c r="BN860" s="19"/>
      <c r="BP860" s="17"/>
    </row>
    <row r="861" spans="5:68" x14ac:dyDescent="0.2">
      <c r="E861" s="4"/>
      <c r="F861" s="45"/>
      <c r="G861" s="4"/>
      <c r="H861" s="47"/>
      <c r="Z861" s="6"/>
    </row>
    <row r="862" spans="5:68" x14ac:dyDescent="0.2">
      <c r="E862" s="4"/>
      <c r="F862" s="45"/>
      <c r="G862" s="4"/>
      <c r="H862" s="47"/>
      <c r="Z862" s="6"/>
    </row>
    <row r="863" spans="5:68" x14ac:dyDescent="0.2">
      <c r="E863" s="4"/>
      <c r="F863" s="45"/>
      <c r="G863" s="4"/>
      <c r="H863" s="47"/>
      <c r="Z863" s="6"/>
    </row>
    <row r="864" spans="5:68" x14ac:dyDescent="0.2">
      <c r="E864" s="4"/>
      <c r="F864" s="45"/>
      <c r="G864" s="4"/>
      <c r="H864" s="47"/>
      <c r="Z864" s="6"/>
    </row>
    <row r="865" spans="5:26" x14ac:dyDescent="0.2">
      <c r="E865" s="4"/>
      <c r="F865" s="45"/>
      <c r="G865" s="4"/>
      <c r="H865" s="47"/>
      <c r="Z865" s="6"/>
    </row>
    <row r="866" spans="5:26" x14ac:dyDescent="0.2">
      <c r="E866" s="4"/>
      <c r="F866" s="45"/>
      <c r="G866" s="4"/>
      <c r="H866" s="47"/>
      <c r="Z866" s="6"/>
    </row>
    <row r="867" spans="5:26" x14ac:dyDescent="0.2">
      <c r="E867" s="4"/>
      <c r="F867" s="45"/>
      <c r="G867" s="4"/>
      <c r="H867" s="47"/>
      <c r="Z867" s="6"/>
    </row>
    <row r="868" spans="5:26" x14ac:dyDescent="0.2">
      <c r="E868" s="4"/>
      <c r="F868" s="45"/>
      <c r="G868" s="4"/>
      <c r="H868" s="47"/>
      <c r="Z868" s="6"/>
    </row>
    <row r="869" spans="5:26" x14ac:dyDescent="0.2">
      <c r="E869" s="4"/>
      <c r="F869" s="45"/>
      <c r="G869" s="4"/>
      <c r="H869" s="47"/>
      <c r="Z869" s="6"/>
    </row>
    <row r="870" spans="5:26" x14ac:dyDescent="0.2">
      <c r="E870" s="4"/>
      <c r="F870" s="45"/>
      <c r="G870" s="4"/>
      <c r="H870" s="47"/>
      <c r="Z870" s="6"/>
    </row>
    <row r="871" spans="5:26" x14ac:dyDescent="0.2">
      <c r="E871" s="4"/>
      <c r="F871" s="45"/>
      <c r="G871" s="4"/>
      <c r="H871" s="47"/>
      <c r="Z871" s="6"/>
    </row>
    <row r="872" spans="5:26" x14ac:dyDescent="0.2">
      <c r="E872" s="4"/>
      <c r="F872" s="45"/>
      <c r="G872" s="4"/>
      <c r="H872" s="47"/>
      <c r="Z872" s="6"/>
    </row>
    <row r="873" spans="5:26" x14ac:dyDescent="0.2">
      <c r="E873" s="4"/>
      <c r="F873" s="45"/>
      <c r="G873" s="4"/>
      <c r="H873" s="47"/>
      <c r="Z873" s="6"/>
    </row>
    <row r="874" spans="5:26" x14ac:dyDescent="0.2">
      <c r="E874" s="4"/>
      <c r="F874" s="45"/>
      <c r="G874" s="4"/>
      <c r="H874" s="47"/>
      <c r="Z874" s="6"/>
    </row>
    <row r="875" spans="5:26" x14ac:dyDescent="0.2">
      <c r="E875" s="4"/>
      <c r="F875" s="45"/>
      <c r="G875" s="4"/>
      <c r="H875" s="47"/>
      <c r="Z875" s="6"/>
    </row>
    <row r="876" spans="5:26" x14ac:dyDescent="0.2">
      <c r="E876" s="4"/>
      <c r="F876" s="45"/>
      <c r="G876" s="4"/>
      <c r="H876" s="47"/>
      <c r="Z876" s="6"/>
    </row>
    <row r="877" spans="5:26" x14ac:dyDescent="0.2">
      <c r="E877" s="4"/>
      <c r="F877" s="45"/>
      <c r="G877" s="4"/>
      <c r="H877" s="47"/>
      <c r="Z877" s="6"/>
    </row>
    <row r="878" spans="5:26" x14ac:dyDescent="0.2">
      <c r="E878" s="4"/>
      <c r="F878" s="45"/>
      <c r="G878" s="4"/>
      <c r="H878" s="47"/>
      <c r="Z878" s="6"/>
    </row>
    <row r="879" spans="5:26" x14ac:dyDescent="0.2">
      <c r="E879" s="4"/>
      <c r="F879" s="45"/>
      <c r="G879" s="4"/>
      <c r="H879" s="47"/>
      <c r="Z879" s="6"/>
    </row>
    <row r="880" spans="5:26" x14ac:dyDescent="0.2">
      <c r="E880" s="4"/>
      <c r="F880" s="45"/>
      <c r="G880" s="4"/>
      <c r="H880" s="47"/>
      <c r="Z880" s="6"/>
    </row>
    <row r="881" spans="5:26" x14ac:dyDescent="0.2">
      <c r="E881" s="4"/>
      <c r="F881" s="45"/>
      <c r="G881" s="4"/>
      <c r="H881" s="47"/>
      <c r="Z881" s="6"/>
    </row>
    <row r="882" spans="5:26" x14ac:dyDescent="0.2">
      <c r="E882" s="4"/>
      <c r="F882" s="45"/>
      <c r="G882" s="4"/>
      <c r="H882" s="47"/>
      <c r="Z882" s="6"/>
    </row>
    <row r="883" spans="5:26" x14ac:dyDescent="0.2">
      <c r="E883" s="4"/>
      <c r="F883" s="45"/>
      <c r="G883" s="4"/>
      <c r="H883" s="47"/>
      <c r="Z883" s="6"/>
    </row>
    <row r="884" spans="5:26" x14ac:dyDescent="0.2">
      <c r="E884" s="4"/>
      <c r="F884" s="45"/>
      <c r="G884" s="4"/>
      <c r="H884" s="47"/>
      <c r="Z884" s="6"/>
    </row>
    <row r="885" spans="5:26" x14ac:dyDescent="0.2">
      <c r="E885" s="4"/>
      <c r="F885" s="45"/>
      <c r="G885" s="4"/>
      <c r="H885" s="47"/>
      <c r="Z885" s="6"/>
    </row>
    <row r="886" spans="5:26" x14ac:dyDescent="0.2">
      <c r="E886" s="4"/>
      <c r="F886" s="45"/>
      <c r="G886" s="4"/>
      <c r="H886" s="47"/>
      <c r="Z886" s="6"/>
    </row>
    <row r="887" spans="5:26" x14ac:dyDescent="0.2">
      <c r="E887" s="4"/>
      <c r="F887" s="45"/>
      <c r="G887" s="4"/>
      <c r="H887" s="47"/>
      <c r="Z887" s="6"/>
    </row>
    <row r="888" spans="5:26" x14ac:dyDescent="0.2">
      <c r="E888" s="4"/>
      <c r="F888" s="45"/>
      <c r="G888" s="4"/>
      <c r="H888" s="47"/>
      <c r="Z888" s="6"/>
    </row>
    <row r="889" spans="5:26" x14ac:dyDescent="0.2">
      <c r="E889" s="4"/>
      <c r="F889" s="45"/>
      <c r="G889" s="4"/>
      <c r="H889" s="47"/>
      <c r="Z889" s="6"/>
    </row>
    <row r="890" spans="5:26" x14ac:dyDescent="0.2">
      <c r="E890" s="4"/>
      <c r="F890" s="45"/>
      <c r="G890" s="4"/>
      <c r="H890" s="47"/>
      <c r="Z890" s="6"/>
    </row>
    <row r="891" spans="5:26" x14ac:dyDescent="0.2">
      <c r="E891" s="4"/>
      <c r="F891" s="45"/>
      <c r="G891" s="4"/>
      <c r="H891" s="47"/>
      <c r="Z891" s="6"/>
    </row>
    <row r="892" spans="5:26" x14ac:dyDescent="0.2">
      <c r="E892" s="4"/>
      <c r="F892" s="45"/>
      <c r="G892" s="4"/>
      <c r="H892" s="47"/>
      <c r="Z892" s="6"/>
    </row>
    <row r="893" spans="5:26" x14ac:dyDescent="0.2">
      <c r="E893" s="4"/>
      <c r="F893" s="45"/>
      <c r="G893" s="4"/>
      <c r="H893" s="47"/>
      <c r="Z893" s="6"/>
    </row>
    <row r="894" spans="5:26" x14ac:dyDescent="0.2">
      <c r="E894" s="4"/>
      <c r="F894" s="45"/>
      <c r="G894" s="4"/>
      <c r="H894" s="47"/>
      <c r="Z894" s="6"/>
    </row>
    <row r="895" spans="5:26" x14ac:dyDescent="0.2">
      <c r="E895" s="4"/>
      <c r="F895" s="45"/>
      <c r="G895" s="4"/>
      <c r="H895" s="47"/>
      <c r="Z895" s="6"/>
    </row>
    <row r="896" spans="5:26" x14ac:dyDescent="0.2">
      <c r="E896" s="4"/>
      <c r="F896" s="45"/>
      <c r="G896" s="4"/>
      <c r="H896" s="47"/>
      <c r="Z896" s="6"/>
    </row>
    <row r="897" spans="5:26" x14ac:dyDescent="0.2">
      <c r="E897" s="4"/>
      <c r="F897" s="45"/>
      <c r="G897" s="4"/>
      <c r="H897" s="47"/>
      <c r="Z897" s="6"/>
    </row>
    <row r="898" spans="5:26" x14ac:dyDescent="0.2">
      <c r="E898" s="4"/>
      <c r="F898" s="45"/>
      <c r="G898" s="4"/>
      <c r="H898" s="47"/>
      <c r="Z898" s="6"/>
    </row>
    <row r="899" spans="5:26" x14ac:dyDescent="0.2">
      <c r="E899" s="4"/>
      <c r="F899" s="45"/>
      <c r="G899" s="4"/>
      <c r="H899" s="47"/>
      <c r="Z899" s="6"/>
    </row>
    <row r="900" spans="5:26" x14ac:dyDescent="0.2">
      <c r="E900" s="4"/>
      <c r="F900" s="45"/>
      <c r="G900" s="4"/>
      <c r="H900" s="47"/>
      <c r="Z900" s="6"/>
    </row>
    <row r="901" spans="5:26" x14ac:dyDescent="0.2">
      <c r="E901" s="4"/>
      <c r="F901" s="45"/>
      <c r="G901" s="4"/>
      <c r="H901" s="47"/>
      <c r="Z901" s="6"/>
    </row>
    <row r="902" spans="5:26" x14ac:dyDescent="0.2">
      <c r="E902" s="4"/>
      <c r="F902" s="45"/>
      <c r="G902" s="4"/>
      <c r="H902" s="47"/>
      <c r="Z902" s="6"/>
    </row>
    <row r="903" spans="5:26" x14ac:dyDescent="0.2">
      <c r="E903" s="4"/>
      <c r="F903" s="45"/>
      <c r="G903" s="4"/>
      <c r="H903" s="47"/>
      <c r="Z903" s="6"/>
    </row>
    <row r="904" spans="5:26" x14ac:dyDescent="0.2">
      <c r="E904" s="4"/>
      <c r="F904" s="45"/>
      <c r="G904" s="4"/>
      <c r="H904" s="47"/>
      <c r="Z904" s="6"/>
    </row>
    <row r="905" spans="5:26" x14ac:dyDescent="0.2">
      <c r="E905" s="4"/>
      <c r="F905" s="45"/>
      <c r="G905" s="4"/>
      <c r="H905" s="47"/>
      <c r="Z905" s="6"/>
    </row>
    <row r="906" spans="5:26" x14ac:dyDescent="0.2">
      <c r="E906" s="4"/>
      <c r="F906" s="45"/>
      <c r="G906" s="4"/>
      <c r="H906" s="47"/>
      <c r="Z906" s="6"/>
    </row>
    <row r="907" spans="5:26" x14ac:dyDescent="0.2">
      <c r="E907" s="4"/>
      <c r="F907" s="45"/>
      <c r="G907" s="4"/>
      <c r="H907" s="47"/>
      <c r="Z907" s="6"/>
    </row>
    <row r="908" spans="5:26" x14ac:dyDescent="0.2">
      <c r="E908" s="4"/>
      <c r="F908" s="45"/>
      <c r="G908" s="4"/>
      <c r="H908" s="47"/>
      <c r="Z908" s="6"/>
    </row>
    <row r="909" spans="5:26" x14ac:dyDescent="0.2">
      <c r="E909" s="4"/>
      <c r="F909" s="45"/>
      <c r="G909" s="4"/>
      <c r="H909" s="47"/>
      <c r="Z909" s="6"/>
    </row>
    <row r="910" spans="5:26" x14ac:dyDescent="0.2">
      <c r="E910" s="4"/>
      <c r="F910" s="45"/>
      <c r="G910" s="4"/>
      <c r="H910" s="47"/>
      <c r="Z910" s="6"/>
    </row>
    <row r="911" spans="5:26" x14ac:dyDescent="0.2">
      <c r="E911" s="4"/>
      <c r="F911" s="45"/>
      <c r="G911" s="4"/>
      <c r="H911" s="47"/>
      <c r="Z911" s="6"/>
    </row>
    <row r="912" spans="5:26" x14ac:dyDescent="0.2">
      <c r="E912" s="4"/>
      <c r="F912" s="45"/>
      <c r="G912" s="4"/>
      <c r="H912" s="47"/>
      <c r="Z912" s="6"/>
    </row>
    <row r="913" spans="5:26" x14ac:dyDescent="0.2">
      <c r="E913" s="4"/>
      <c r="F913" s="45"/>
      <c r="G913" s="4"/>
      <c r="H913" s="47"/>
      <c r="Z913" s="6"/>
    </row>
    <row r="914" spans="5:26" x14ac:dyDescent="0.2">
      <c r="E914" s="4"/>
      <c r="F914" s="45"/>
      <c r="G914" s="4"/>
      <c r="H914" s="47"/>
      <c r="Z914" s="6"/>
    </row>
    <row r="915" spans="5:26" x14ac:dyDescent="0.2">
      <c r="E915" s="4"/>
      <c r="F915" s="45"/>
      <c r="G915" s="4"/>
      <c r="H915" s="47"/>
      <c r="Z915" s="6"/>
    </row>
    <row r="916" spans="5:26" x14ac:dyDescent="0.2">
      <c r="E916" s="4"/>
      <c r="F916" s="45"/>
      <c r="G916" s="4"/>
      <c r="H916" s="47"/>
      <c r="Z916" s="6"/>
    </row>
    <row r="917" spans="5:26" x14ac:dyDescent="0.2">
      <c r="E917" s="4"/>
      <c r="F917" s="45"/>
      <c r="G917" s="4"/>
      <c r="H917" s="47"/>
      <c r="Z917" s="6"/>
    </row>
    <row r="918" spans="5:26" x14ac:dyDescent="0.2">
      <c r="E918" s="4"/>
      <c r="F918" s="45"/>
      <c r="G918" s="4"/>
      <c r="H918" s="47"/>
      <c r="Z918" s="6"/>
    </row>
    <row r="919" spans="5:26" x14ac:dyDescent="0.2">
      <c r="E919" s="4"/>
      <c r="F919" s="45"/>
      <c r="G919" s="4"/>
      <c r="H919" s="47"/>
      <c r="Z919" s="6"/>
    </row>
    <row r="920" spans="5:26" x14ac:dyDescent="0.2">
      <c r="E920" s="4"/>
      <c r="F920" s="45"/>
      <c r="G920" s="4"/>
      <c r="H920" s="47"/>
      <c r="Z920" s="6"/>
    </row>
    <row r="921" spans="5:26" x14ac:dyDescent="0.2">
      <c r="E921" s="4"/>
      <c r="F921" s="45"/>
      <c r="G921" s="4"/>
      <c r="H921" s="47"/>
      <c r="Z921" s="6"/>
    </row>
    <row r="922" spans="5:26" x14ac:dyDescent="0.2">
      <c r="E922" s="4"/>
      <c r="F922" s="45"/>
      <c r="G922" s="4"/>
      <c r="H922" s="47"/>
      <c r="Z922" s="6"/>
    </row>
    <row r="923" spans="5:26" x14ac:dyDescent="0.2">
      <c r="E923" s="4"/>
      <c r="F923" s="45"/>
      <c r="G923" s="4"/>
      <c r="H923" s="47"/>
      <c r="Z923" s="6"/>
    </row>
    <row r="924" spans="5:26" x14ac:dyDescent="0.2">
      <c r="E924" s="4"/>
      <c r="F924" s="45"/>
      <c r="G924" s="4"/>
      <c r="H924" s="47"/>
      <c r="Z924" s="6"/>
    </row>
    <row r="925" spans="5:26" x14ac:dyDescent="0.2">
      <c r="E925" s="4"/>
      <c r="F925" s="45"/>
      <c r="G925" s="4"/>
      <c r="H925" s="47"/>
      <c r="Z925" s="6"/>
    </row>
    <row r="926" spans="5:26" x14ac:dyDescent="0.2">
      <c r="E926" s="4"/>
      <c r="F926" s="45"/>
      <c r="G926" s="4"/>
      <c r="H926" s="47"/>
      <c r="Z926" s="6"/>
    </row>
    <row r="927" spans="5:26" x14ac:dyDescent="0.2">
      <c r="E927" s="4"/>
      <c r="F927" s="45"/>
      <c r="G927" s="4"/>
      <c r="H927" s="47"/>
      <c r="Z927" s="6"/>
    </row>
    <row r="928" spans="5:26" x14ac:dyDescent="0.2">
      <c r="E928" s="4"/>
      <c r="F928" s="45"/>
      <c r="G928" s="4"/>
      <c r="H928" s="47"/>
      <c r="Z928" s="6"/>
    </row>
    <row r="929" spans="5:26" x14ac:dyDescent="0.2">
      <c r="E929" s="4"/>
      <c r="F929" s="45"/>
      <c r="G929" s="4"/>
      <c r="H929" s="47"/>
      <c r="Z929" s="6"/>
    </row>
    <row r="930" spans="5:26" x14ac:dyDescent="0.2">
      <c r="E930" s="4"/>
      <c r="F930" s="45"/>
      <c r="G930" s="4"/>
      <c r="H930" s="47"/>
      <c r="Z930" s="6"/>
    </row>
    <row r="931" spans="5:26" x14ac:dyDescent="0.2">
      <c r="E931" s="4"/>
      <c r="F931" s="45"/>
      <c r="G931" s="4"/>
      <c r="H931" s="47"/>
      <c r="Z931" s="6"/>
    </row>
    <row r="932" spans="5:26" x14ac:dyDescent="0.2">
      <c r="E932" s="4"/>
      <c r="F932" s="45"/>
      <c r="G932" s="4"/>
      <c r="H932" s="47"/>
      <c r="Z932" s="6"/>
    </row>
    <row r="933" spans="5:26" x14ac:dyDescent="0.2">
      <c r="E933" s="4"/>
      <c r="F933" s="45"/>
      <c r="G933" s="4"/>
      <c r="H933" s="47"/>
      <c r="Z933" s="6"/>
    </row>
    <row r="934" spans="5:26" x14ac:dyDescent="0.2">
      <c r="E934" s="4"/>
      <c r="F934" s="45"/>
      <c r="G934" s="4"/>
      <c r="H934" s="47"/>
      <c r="Z934" s="6"/>
    </row>
    <row r="935" spans="5:26" x14ac:dyDescent="0.2">
      <c r="E935" s="4"/>
      <c r="F935" s="45"/>
      <c r="G935" s="4"/>
      <c r="H935" s="47"/>
      <c r="Z935" s="6"/>
    </row>
    <row r="936" spans="5:26" x14ac:dyDescent="0.2">
      <c r="E936" s="4"/>
      <c r="F936" s="45"/>
      <c r="G936" s="4"/>
      <c r="H936" s="47"/>
      <c r="Z936" s="6"/>
    </row>
    <row r="937" spans="5:26" x14ac:dyDescent="0.2">
      <c r="E937" s="4"/>
      <c r="F937" s="45"/>
      <c r="G937" s="4"/>
      <c r="H937" s="47"/>
      <c r="Z937" s="6"/>
    </row>
    <row r="938" spans="5:26" x14ac:dyDescent="0.2">
      <c r="E938" s="4"/>
      <c r="F938" s="45"/>
      <c r="G938" s="4"/>
      <c r="H938" s="47"/>
      <c r="Z938" s="6"/>
    </row>
    <row r="939" spans="5:26" x14ac:dyDescent="0.2">
      <c r="E939" s="4"/>
      <c r="F939" s="45"/>
      <c r="G939" s="4"/>
      <c r="H939" s="47"/>
      <c r="Z939" s="6"/>
    </row>
    <row r="940" spans="5:26" x14ac:dyDescent="0.2">
      <c r="E940" s="4"/>
      <c r="F940" s="45"/>
      <c r="G940" s="4"/>
      <c r="H940" s="47"/>
      <c r="Z940" s="6"/>
    </row>
    <row r="941" spans="5:26" x14ac:dyDescent="0.2">
      <c r="E941" s="4"/>
      <c r="F941" s="45"/>
      <c r="G941" s="4"/>
      <c r="H941" s="47"/>
      <c r="Z941" s="6"/>
    </row>
    <row r="942" spans="5:26" x14ac:dyDescent="0.2">
      <c r="E942" s="4"/>
      <c r="F942" s="45"/>
      <c r="G942" s="4"/>
      <c r="H942" s="47"/>
      <c r="Z942" s="6"/>
    </row>
    <row r="943" spans="5:26" x14ac:dyDescent="0.2">
      <c r="E943" s="4"/>
      <c r="F943" s="45"/>
      <c r="G943" s="4"/>
      <c r="H943" s="47"/>
      <c r="Z943" s="6"/>
    </row>
    <row r="944" spans="5:26" x14ac:dyDescent="0.2">
      <c r="E944" s="4"/>
      <c r="F944" s="45"/>
      <c r="G944" s="4"/>
      <c r="H944" s="47"/>
      <c r="Z944" s="6"/>
    </row>
    <row r="945" spans="5:26" x14ac:dyDescent="0.2">
      <c r="E945" s="4"/>
      <c r="F945" s="45"/>
      <c r="G945" s="4"/>
      <c r="H945" s="47"/>
      <c r="Z945" s="6"/>
    </row>
    <row r="946" spans="5:26" x14ac:dyDescent="0.2">
      <c r="E946" s="4"/>
      <c r="F946" s="45"/>
      <c r="G946" s="4"/>
      <c r="H946" s="47"/>
      <c r="Z946" s="6"/>
    </row>
    <row r="947" spans="5:26" x14ac:dyDescent="0.2">
      <c r="E947" s="4"/>
      <c r="F947" s="45"/>
      <c r="G947" s="4"/>
      <c r="H947" s="47"/>
      <c r="Z947" s="6"/>
    </row>
    <row r="948" spans="5:26" x14ac:dyDescent="0.2">
      <c r="E948" s="4"/>
      <c r="F948" s="45"/>
      <c r="G948" s="4"/>
      <c r="H948" s="47"/>
      <c r="Z948" s="6"/>
    </row>
    <row r="949" spans="5:26" x14ac:dyDescent="0.2">
      <c r="E949" s="4"/>
      <c r="F949" s="45"/>
      <c r="G949" s="4"/>
      <c r="H949" s="47"/>
      <c r="Z949" s="6"/>
    </row>
    <row r="950" spans="5:26" x14ac:dyDescent="0.2">
      <c r="E950" s="4"/>
      <c r="F950" s="45"/>
      <c r="G950" s="4"/>
      <c r="H950" s="47"/>
      <c r="Z950" s="6"/>
    </row>
    <row r="951" spans="5:26" x14ac:dyDescent="0.2">
      <c r="E951" s="4"/>
      <c r="F951" s="45"/>
      <c r="G951" s="4"/>
      <c r="H951" s="47"/>
      <c r="Z951" s="6"/>
    </row>
    <row r="952" spans="5:26" x14ac:dyDescent="0.2">
      <c r="E952" s="4"/>
      <c r="F952" s="45"/>
      <c r="G952" s="4"/>
      <c r="H952" s="47"/>
      <c r="Z952" s="6"/>
    </row>
    <row r="953" spans="5:26" x14ac:dyDescent="0.2">
      <c r="E953" s="4"/>
      <c r="F953" s="45"/>
      <c r="G953" s="4"/>
      <c r="H953" s="47"/>
      <c r="Z953" s="6"/>
    </row>
    <row r="954" spans="5:26" x14ac:dyDescent="0.2">
      <c r="E954" s="4"/>
      <c r="F954" s="45"/>
      <c r="G954" s="4"/>
      <c r="H954" s="47"/>
      <c r="Z954" s="6"/>
    </row>
    <row r="955" spans="5:26" x14ac:dyDescent="0.2">
      <c r="E955" s="4"/>
      <c r="F955" s="45"/>
      <c r="G955" s="4"/>
      <c r="H955" s="47"/>
      <c r="Z955" s="6"/>
    </row>
    <row r="956" spans="5:26" x14ac:dyDescent="0.2">
      <c r="E956" s="4"/>
      <c r="F956" s="45"/>
      <c r="G956" s="4"/>
      <c r="H956" s="47"/>
      <c r="Z956" s="6"/>
    </row>
    <row r="957" spans="5:26" x14ac:dyDescent="0.2">
      <c r="E957" s="4"/>
      <c r="F957" s="45"/>
      <c r="G957" s="4"/>
      <c r="H957" s="47"/>
      <c r="Z957" s="6"/>
    </row>
    <row r="958" spans="5:26" x14ac:dyDescent="0.2">
      <c r="E958" s="4"/>
      <c r="F958" s="45"/>
      <c r="G958" s="4"/>
      <c r="H958" s="47"/>
      <c r="Z958" s="6"/>
    </row>
    <row r="959" spans="5:26" x14ac:dyDescent="0.2">
      <c r="E959" s="4"/>
      <c r="F959" s="45"/>
      <c r="G959" s="4"/>
      <c r="H959" s="47"/>
      <c r="Z959" s="6"/>
    </row>
    <row r="960" spans="5:26" x14ac:dyDescent="0.2">
      <c r="E960" s="4"/>
      <c r="F960" s="45"/>
      <c r="G960" s="4"/>
      <c r="H960" s="47"/>
      <c r="Z960" s="6"/>
    </row>
    <row r="961" spans="5:26" x14ac:dyDescent="0.2">
      <c r="E961" s="4"/>
      <c r="F961" s="45"/>
      <c r="G961" s="4"/>
      <c r="H961" s="47"/>
      <c r="Z961" s="6"/>
    </row>
    <row r="962" spans="5:26" x14ac:dyDescent="0.2">
      <c r="E962" s="4"/>
      <c r="F962" s="45"/>
      <c r="G962" s="4"/>
      <c r="H962" s="47"/>
      <c r="Z962" s="6"/>
    </row>
    <row r="963" spans="5:26" x14ac:dyDescent="0.2">
      <c r="E963" s="4"/>
      <c r="F963" s="45"/>
      <c r="G963" s="4"/>
      <c r="H963" s="47"/>
      <c r="Z963" s="6"/>
    </row>
    <row r="964" spans="5:26" x14ac:dyDescent="0.2">
      <c r="E964" s="4"/>
      <c r="F964" s="45"/>
      <c r="G964" s="4"/>
      <c r="H964" s="47"/>
      <c r="Z964" s="6"/>
    </row>
    <row r="965" spans="5:26" x14ac:dyDescent="0.2">
      <c r="E965" s="4"/>
      <c r="F965" s="45"/>
      <c r="G965" s="4"/>
      <c r="H965" s="47"/>
      <c r="Z965" s="6"/>
    </row>
    <row r="966" spans="5:26" x14ac:dyDescent="0.2">
      <c r="E966" s="4"/>
      <c r="F966" s="45"/>
      <c r="G966" s="4"/>
      <c r="H966" s="47"/>
      <c r="Z966" s="6"/>
    </row>
    <row r="967" spans="5:26" x14ac:dyDescent="0.2">
      <c r="E967" s="4"/>
      <c r="F967" s="45"/>
      <c r="G967" s="4"/>
      <c r="H967" s="47"/>
      <c r="Z967" s="6"/>
    </row>
    <row r="968" spans="5:26" x14ac:dyDescent="0.2">
      <c r="E968" s="4"/>
      <c r="F968" s="45"/>
      <c r="G968" s="4"/>
      <c r="H968" s="47"/>
      <c r="Z968" s="6"/>
    </row>
    <row r="969" spans="5:26" x14ac:dyDescent="0.2">
      <c r="E969" s="4"/>
      <c r="F969" s="45"/>
      <c r="G969" s="4"/>
      <c r="H969" s="47"/>
      <c r="Z969" s="6"/>
    </row>
    <row r="970" spans="5:26" x14ac:dyDescent="0.2">
      <c r="E970" s="4"/>
      <c r="F970" s="45"/>
      <c r="G970" s="4"/>
      <c r="H970" s="47"/>
      <c r="Z970" s="6"/>
    </row>
    <row r="971" spans="5:26" x14ac:dyDescent="0.2">
      <c r="E971" s="4"/>
      <c r="F971" s="45"/>
      <c r="G971" s="4"/>
      <c r="H971" s="47"/>
      <c r="Z971" s="6"/>
    </row>
    <row r="972" spans="5:26" x14ac:dyDescent="0.2">
      <c r="E972" s="4"/>
      <c r="F972" s="45"/>
      <c r="G972" s="4"/>
      <c r="H972" s="47"/>
      <c r="Z972" s="6"/>
    </row>
    <row r="973" spans="5:26" x14ac:dyDescent="0.2">
      <c r="E973" s="4"/>
      <c r="F973" s="45"/>
      <c r="G973" s="4"/>
      <c r="H973" s="47"/>
      <c r="Z973" s="6"/>
    </row>
    <row r="974" spans="5:26" x14ac:dyDescent="0.2">
      <c r="E974" s="4"/>
      <c r="F974" s="45"/>
      <c r="G974" s="4"/>
      <c r="H974" s="47"/>
      <c r="Z974" s="6"/>
    </row>
    <row r="975" spans="5:26" x14ac:dyDescent="0.2">
      <c r="E975" s="4"/>
      <c r="F975" s="45"/>
      <c r="G975" s="4"/>
      <c r="H975" s="47"/>
      <c r="Z975" s="6"/>
    </row>
    <row r="976" spans="5:26" x14ac:dyDescent="0.2">
      <c r="E976" s="4"/>
      <c r="F976" s="45"/>
      <c r="G976" s="4"/>
      <c r="H976" s="47"/>
      <c r="Z976" s="6"/>
    </row>
    <row r="977" spans="5:26" x14ac:dyDescent="0.2">
      <c r="E977" s="4"/>
      <c r="F977" s="45"/>
      <c r="G977" s="4"/>
      <c r="H977" s="47"/>
      <c r="Z977" s="6"/>
    </row>
    <row r="978" spans="5:26" x14ac:dyDescent="0.2">
      <c r="E978" s="4"/>
      <c r="F978" s="45"/>
      <c r="G978" s="4"/>
      <c r="H978" s="47"/>
      <c r="Z978" s="6"/>
    </row>
    <row r="979" spans="5:26" x14ac:dyDescent="0.2">
      <c r="E979" s="4"/>
      <c r="F979" s="45"/>
      <c r="G979" s="4"/>
      <c r="H979" s="47"/>
      <c r="Z979" s="6"/>
    </row>
    <row r="980" spans="5:26" x14ac:dyDescent="0.2">
      <c r="E980" s="4"/>
      <c r="F980" s="45"/>
      <c r="G980" s="4"/>
      <c r="H980" s="47"/>
      <c r="Z980" s="6"/>
    </row>
    <row r="981" spans="5:26" x14ac:dyDescent="0.2">
      <c r="E981" s="4"/>
      <c r="F981" s="45"/>
      <c r="G981" s="4"/>
      <c r="H981" s="47"/>
      <c r="Z981" s="6"/>
    </row>
    <row r="982" spans="5:26" x14ac:dyDescent="0.2">
      <c r="E982" s="4"/>
      <c r="F982" s="45"/>
      <c r="G982" s="4"/>
      <c r="H982" s="47"/>
      <c r="Z982" s="6"/>
    </row>
    <row r="983" spans="5:26" x14ac:dyDescent="0.2">
      <c r="E983" s="4"/>
      <c r="F983" s="45"/>
      <c r="G983" s="4"/>
      <c r="H983" s="47"/>
      <c r="Z983" s="6"/>
    </row>
    <row r="984" spans="5:26" x14ac:dyDescent="0.2">
      <c r="E984" s="4"/>
      <c r="F984" s="45"/>
      <c r="G984" s="4"/>
      <c r="H984" s="47"/>
      <c r="Z984" s="6"/>
    </row>
    <row r="985" spans="5:26" x14ac:dyDescent="0.2">
      <c r="E985" s="4"/>
      <c r="F985" s="45"/>
      <c r="G985" s="4"/>
      <c r="H985" s="47"/>
      <c r="Z985" s="6"/>
    </row>
    <row r="986" spans="5:26" x14ac:dyDescent="0.2">
      <c r="E986" s="4"/>
      <c r="F986" s="45"/>
      <c r="G986" s="4"/>
      <c r="H986" s="47"/>
      <c r="Z986" s="6"/>
    </row>
    <row r="987" spans="5:26" x14ac:dyDescent="0.2">
      <c r="E987" s="4"/>
      <c r="F987" s="45"/>
      <c r="G987" s="4"/>
      <c r="H987" s="47"/>
      <c r="Z987" s="6"/>
    </row>
    <row r="988" spans="5:26" x14ac:dyDescent="0.2">
      <c r="E988" s="4"/>
      <c r="F988" s="45"/>
      <c r="G988" s="4"/>
      <c r="H988" s="47"/>
      <c r="Z988" s="6"/>
    </row>
    <row r="989" spans="5:26" x14ac:dyDescent="0.2">
      <c r="E989" s="4"/>
      <c r="F989" s="45"/>
      <c r="G989" s="4"/>
      <c r="H989" s="47"/>
      <c r="Z989" s="6"/>
    </row>
    <row r="990" spans="5:26" x14ac:dyDescent="0.2">
      <c r="E990" s="4"/>
      <c r="F990" s="45"/>
      <c r="G990" s="4"/>
      <c r="H990" s="47"/>
      <c r="Z990" s="6"/>
    </row>
    <row r="991" spans="5:26" x14ac:dyDescent="0.2">
      <c r="E991" s="4"/>
      <c r="F991" s="45"/>
      <c r="G991" s="4"/>
      <c r="H991" s="47"/>
      <c r="Z991" s="6"/>
    </row>
    <row r="992" spans="5:26" x14ac:dyDescent="0.2">
      <c r="E992" s="4"/>
      <c r="F992" s="45"/>
      <c r="G992" s="4"/>
      <c r="H992" s="47"/>
      <c r="Z992" s="6"/>
    </row>
    <row r="993" spans="5:26" x14ac:dyDescent="0.2">
      <c r="E993" s="4"/>
      <c r="F993" s="45"/>
      <c r="G993" s="4"/>
      <c r="H993" s="47"/>
      <c r="Z993" s="6"/>
    </row>
    <row r="994" spans="5:26" x14ac:dyDescent="0.2">
      <c r="E994" s="4"/>
      <c r="F994" s="45"/>
      <c r="G994" s="4"/>
      <c r="H994" s="47"/>
      <c r="Z994" s="6"/>
    </row>
    <row r="995" spans="5:26" x14ac:dyDescent="0.2">
      <c r="E995" s="4"/>
      <c r="F995" s="45"/>
      <c r="G995" s="4"/>
      <c r="H995" s="47"/>
      <c r="Z995" s="6"/>
    </row>
    <row r="996" spans="5:26" x14ac:dyDescent="0.2">
      <c r="E996" s="4"/>
      <c r="F996" s="45"/>
      <c r="G996" s="4"/>
      <c r="H996" s="47"/>
      <c r="Z996" s="6"/>
    </row>
    <row r="997" spans="5:26" x14ac:dyDescent="0.2">
      <c r="E997" s="4"/>
      <c r="F997" s="45"/>
      <c r="G997" s="4"/>
      <c r="H997" s="47"/>
      <c r="Z997" s="6"/>
    </row>
    <row r="998" spans="5:26" x14ac:dyDescent="0.2">
      <c r="E998" s="4"/>
      <c r="F998" s="45"/>
      <c r="G998" s="4"/>
      <c r="H998" s="47"/>
      <c r="Z998" s="6"/>
    </row>
    <row r="999" spans="5:26" x14ac:dyDescent="0.2">
      <c r="E999" s="4"/>
      <c r="F999" s="45"/>
      <c r="G999" s="4"/>
      <c r="H999" s="47"/>
      <c r="Z999" s="6"/>
    </row>
    <row r="1000" spans="5:26" x14ac:dyDescent="0.2">
      <c r="E1000" s="4"/>
      <c r="F1000" s="45"/>
      <c r="G1000" s="4"/>
      <c r="H1000" s="47"/>
      <c r="Z1000" s="6"/>
    </row>
    <row r="1001" spans="5:26" x14ac:dyDescent="0.2">
      <c r="E1001" s="4"/>
      <c r="F1001" s="45"/>
      <c r="G1001" s="4"/>
      <c r="H1001" s="47"/>
      <c r="Z1001" s="6"/>
    </row>
    <row r="1002" spans="5:26" x14ac:dyDescent="0.2">
      <c r="E1002" s="4"/>
      <c r="F1002" s="45"/>
      <c r="G1002" s="4"/>
      <c r="H1002" s="47"/>
      <c r="Z1002" s="6"/>
    </row>
    <row r="1003" spans="5:26" x14ac:dyDescent="0.2">
      <c r="E1003" s="4"/>
      <c r="F1003" s="45"/>
      <c r="G1003" s="4"/>
      <c r="H1003" s="47"/>
      <c r="Z1003" s="6"/>
    </row>
    <row r="1004" spans="5:26" x14ac:dyDescent="0.2">
      <c r="E1004" s="4"/>
      <c r="F1004" s="45"/>
      <c r="G1004" s="4"/>
      <c r="H1004" s="47"/>
      <c r="Z1004" s="6"/>
    </row>
    <row r="1005" spans="5:26" x14ac:dyDescent="0.2">
      <c r="E1005" s="4"/>
      <c r="F1005" s="45"/>
      <c r="G1005" s="4"/>
      <c r="H1005" s="47"/>
      <c r="Z1005" s="6"/>
    </row>
    <row r="1006" spans="5:26" x14ac:dyDescent="0.2">
      <c r="E1006" s="4"/>
      <c r="F1006" s="45"/>
      <c r="G1006" s="4"/>
      <c r="H1006" s="47"/>
      <c r="Z1006" s="6"/>
    </row>
    <row r="1007" spans="5:26" x14ac:dyDescent="0.2">
      <c r="E1007" s="4"/>
      <c r="F1007" s="45"/>
      <c r="G1007" s="4"/>
      <c r="H1007" s="47"/>
      <c r="Z1007" s="6"/>
    </row>
    <row r="1008" spans="5:26" x14ac:dyDescent="0.2">
      <c r="E1008" s="4"/>
      <c r="F1008" s="45"/>
      <c r="G1008" s="4"/>
      <c r="H1008" s="47"/>
      <c r="Z1008" s="6"/>
    </row>
    <row r="1009" spans="5:26" x14ac:dyDescent="0.2">
      <c r="E1009" s="4"/>
      <c r="F1009" s="45"/>
      <c r="G1009" s="4"/>
      <c r="H1009" s="47"/>
      <c r="Z1009" s="6"/>
    </row>
    <row r="1010" spans="5:26" x14ac:dyDescent="0.2">
      <c r="E1010" s="4"/>
      <c r="F1010" s="45"/>
      <c r="G1010" s="4"/>
      <c r="H1010" s="47"/>
      <c r="Z1010" s="6"/>
    </row>
    <row r="1011" spans="5:26" x14ac:dyDescent="0.2">
      <c r="E1011" s="4"/>
      <c r="F1011" s="45"/>
      <c r="G1011" s="4"/>
      <c r="H1011" s="47"/>
      <c r="Z1011" s="6"/>
    </row>
    <row r="1012" spans="5:26" x14ac:dyDescent="0.2">
      <c r="E1012" s="4"/>
      <c r="F1012" s="45"/>
      <c r="G1012" s="4"/>
      <c r="H1012" s="47"/>
      <c r="Z1012" s="6"/>
    </row>
    <row r="1013" spans="5:26" x14ac:dyDescent="0.2">
      <c r="E1013" s="4"/>
      <c r="F1013" s="45"/>
      <c r="G1013" s="4"/>
      <c r="H1013" s="47"/>
      <c r="Z1013" s="6"/>
    </row>
    <row r="1014" spans="5:26" x14ac:dyDescent="0.2">
      <c r="E1014" s="4"/>
      <c r="F1014" s="45"/>
      <c r="G1014" s="4"/>
      <c r="H1014" s="47"/>
      <c r="Z1014" s="6"/>
    </row>
    <row r="1015" spans="5:26" x14ac:dyDescent="0.2">
      <c r="E1015" s="4"/>
      <c r="F1015" s="45"/>
      <c r="G1015" s="4"/>
      <c r="H1015" s="47"/>
      <c r="Z1015" s="6"/>
    </row>
    <row r="1016" spans="5:26" x14ac:dyDescent="0.2">
      <c r="E1016" s="4"/>
      <c r="F1016" s="45"/>
      <c r="G1016" s="4"/>
      <c r="H1016" s="47"/>
      <c r="Z1016" s="6"/>
    </row>
    <row r="1017" spans="5:26" x14ac:dyDescent="0.2">
      <c r="E1017" s="4"/>
      <c r="F1017" s="45"/>
      <c r="G1017" s="4"/>
      <c r="H1017" s="47"/>
      <c r="Z1017" s="6"/>
    </row>
    <row r="1018" spans="5:26" x14ac:dyDescent="0.2">
      <c r="E1018" s="4"/>
      <c r="F1018" s="45"/>
      <c r="G1018" s="4"/>
      <c r="H1018" s="47"/>
      <c r="Z1018" s="6"/>
    </row>
    <row r="1019" spans="5:26" x14ac:dyDescent="0.2">
      <c r="E1019" s="4"/>
      <c r="F1019" s="45"/>
      <c r="G1019" s="4"/>
      <c r="H1019" s="47"/>
      <c r="Z1019" s="6"/>
    </row>
    <row r="1020" spans="5:26" x14ac:dyDescent="0.2">
      <c r="E1020" s="4"/>
      <c r="F1020" s="45"/>
      <c r="G1020" s="4"/>
      <c r="H1020" s="47"/>
      <c r="Z1020" s="6"/>
    </row>
    <row r="1021" spans="5:26" x14ac:dyDescent="0.2">
      <c r="E1021" s="4"/>
      <c r="F1021" s="45"/>
      <c r="G1021" s="4"/>
      <c r="H1021" s="47"/>
      <c r="Z1021" s="6"/>
    </row>
    <row r="1022" spans="5:26" x14ac:dyDescent="0.2">
      <c r="E1022" s="4"/>
      <c r="F1022" s="45"/>
      <c r="G1022" s="4"/>
      <c r="H1022" s="47"/>
      <c r="Z1022" s="6"/>
    </row>
    <row r="1023" spans="5:26" x14ac:dyDescent="0.2">
      <c r="E1023" s="4"/>
      <c r="F1023" s="45"/>
      <c r="G1023" s="4"/>
      <c r="H1023" s="47"/>
      <c r="Z1023" s="6"/>
    </row>
    <row r="1024" spans="5:26" x14ac:dyDescent="0.2">
      <c r="E1024" s="4"/>
      <c r="F1024" s="45"/>
      <c r="G1024" s="4"/>
      <c r="H1024" s="47"/>
      <c r="Z1024" s="6"/>
    </row>
    <row r="1025" spans="5:26" x14ac:dyDescent="0.2">
      <c r="E1025" s="4"/>
      <c r="F1025" s="45"/>
      <c r="G1025" s="4"/>
      <c r="H1025" s="47"/>
      <c r="Z1025" s="6"/>
    </row>
    <row r="1026" spans="5:26" x14ac:dyDescent="0.2">
      <c r="E1026" s="4"/>
      <c r="F1026" s="45"/>
      <c r="G1026" s="4"/>
      <c r="H1026" s="47"/>
      <c r="Z1026" s="6"/>
    </row>
    <row r="1027" spans="5:26" x14ac:dyDescent="0.2">
      <c r="E1027" s="4"/>
      <c r="F1027" s="45"/>
      <c r="G1027" s="4"/>
      <c r="H1027" s="47"/>
      <c r="Z1027" s="6"/>
    </row>
    <row r="1028" spans="5:26" x14ac:dyDescent="0.2">
      <c r="E1028" s="4"/>
      <c r="F1028" s="45"/>
      <c r="G1028" s="4"/>
      <c r="H1028" s="47"/>
      <c r="Z1028" s="6"/>
    </row>
    <row r="1029" spans="5:26" x14ac:dyDescent="0.2">
      <c r="E1029" s="4"/>
      <c r="F1029" s="45"/>
      <c r="G1029" s="4"/>
      <c r="H1029" s="47"/>
      <c r="Z1029" s="6"/>
    </row>
    <row r="1030" spans="5:26" x14ac:dyDescent="0.2">
      <c r="E1030" s="4"/>
      <c r="F1030" s="45"/>
      <c r="G1030" s="4"/>
      <c r="H1030" s="47"/>
      <c r="Z1030" s="6"/>
    </row>
    <row r="1031" spans="5:26" x14ac:dyDescent="0.2">
      <c r="E1031" s="4"/>
      <c r="F1031" s="45"/>
      <c r="G1031" s="4"/>
      <c r="H1031" s="47"/>
      <c r="Z1031" s="6"/>
    </row>
    <row r="1032" spans="5:26" x14ac:dyDescent="0.2">
      <c r="E1032" s="4"/>
      <c r="F1032" s="45"/>
      <c r="G1032" s="4"/>
      <c r="H1032" s="47"/>
      <c r="Z1032" s="6"/>
    </row>
    <row r="1033" spans="5:26" x14ac:dyDescent="0.2">
      <c r="E1033" s="4"/>
      <c r="F1033" s="45"/>
      <c r="G1033" s="4"/>
      <c r="H1033" s="47"/>
      <c r="Z1033" s="6"/>
    </row>
    <row r="1034" spans="5:26" x14ac:dyDescent="0.2">
      <c r="E1034" s="4"/>
      <c r="F1034" s="45"/>
      <c r="G1034" s="4"/>
      <c r="H1034" s="47"/>
      <c r="Z1034" s="6"/>
    </row>
    <row r="1035" spans="5:26" x14ac:dyDescent="0.2">
      <c r="E1035" s="4"/>
      <c r="F1035" s="45"/>
      <c r="G1035" s="4"/>
      <c r="H1035" s="47"/>
      <c r="Z1035" s="6"/>
    </row>
    <row r="1036" spans="5:26" x14ac:dyDescent="0.2">
      <c r="E1036" s="4"/>
      <c r="F1036" s="45"/>
      <c r="G1036" s="4"/>
      <c r="H1036" s="47"/>
      <c r="Z1036" s="6"/>
    </row>
    <row r="1037" spans="5:26" x14ac:dyDescent="0.2">
      <c r="E1037" s="4"/>
      <c r="F1037" s="45"/>
      <c r="G1037" s="4"/>
      <c r="H1037" s="47"/>
      <c r="Z1037" s="6"/>
    </row>
    <row r="1038" spans="5:26" x14ac:dyDescent="0.2">
      <c r="E1038" s="4"/>
      <c r="F1038" s="45"/>
      <c r="G1038" s="4"/>
      <c r="H1038" s="47"/>
      <c r="Z1038" s="6"/>
    </row>
    <row r="1039" spans="5:26" x14ac:dyDescent="0.2">
      <c r="E1039" s="4"/>
      <c r="F1039" s="45"/>
      <c r="G1039" s="4"/>
      <c r="H1039" s="47"/>
      <c r="Z1039" s="6"/>
    </row>
    <row r="1040" spans="5:26" x14ac:dyDescent="0.2">
      <c r="E1040" s="4"/>
      <c r="F1040" s="45"/>
      <c r="G1040" s="4"/>
      <c r="H1040" s="47"/>
      <c r="Z1040" s="6"/>
    </row>
    <row r="1041" spans="5:26" x14ac:dyDescent="0.2">
      <c r="E1041" s="4"/>
      <c r="F1041" s="45"/>
      <c r="G1041" s="4"/>
      <c r="H1041" s="47"/>
      <c r="Z1041" s="6"/>
    </row>
    <row r="1042" spans="5:26" x14ac:dyDescent="0.2">
      <c r="E1042" s="4"/>
      <c r="F1042" s="45"/>
      <c r="G1042" s="4"/>
      <c r="H1042" s="47"/>
      <c r="Z1042" s="6"/>
    </row>
    <row r="1043" spans="5:26" x14ac:dyDescent="0.2">
      <c r="E1043" s="4"/>
      <c r="F1043" s="45"/>
      <c r="G1043" s="4"/>
      <c r="H1043" s="47"/>
      <c r="Z1043" s="6"/>
    </row>
    <row r="1044" spans="5:26" x14ac:dyDescent="0.2">
      <c r="E1044" s="4"/>
      <c r="F1044" s="45"/>
      <c r="G1044" s="4"/>
      <c r="H1044" s="47"/>
      <c r="Z1044" s="6"/>
    </row>
    <row r="1045" spans="5:26" x14ac:dyDescent="0.2">
      <c r="E1045" s="4"/>
      <c r="F1045" s="45"/>
      <c r="G1045" s="4"/>
      <c r="H1045" s="47"/>
      <c r="Z1045" s="6"/>
    </row>
    <row r="1046" spans="5:26" x14ac:dyDescent="0.2">
      <c r="E1046" s="4"/>
      <c r="F1046" s="45"/>
      <c r="G1046" s="4"/>
      <c r="H1046" s="47"/>
      <c r="Z1046" s="6"/>
    </row>
    <row r="1047" spans="5:26" x14ac:dyDescent="0.2">
      <c r="E1047" s="4"/>
      <c r="F1047" s="45"/>
      <c r="G1047" s="4"/>
      <c r="H1047" s="47"/>
      <c r="Z1047" s="6"/>
    </row>
    <row r="1048" spans="5:26" x14ac:dyDescent="0.2">
      <c r="E1048" s="4"/>
      <c r="F1048" s="45"/>
      <c r="G1048" s="4"/>
      <c r="H1048" s="47"/>
      <c r="Z1048" s="6"/>
    </row>
    <row r="1049" spans="5:26" x14ac:dyDescent="0.2">
      <c r="E1049" s="4"/>
      <c r="F1049" s="45"/>
      <c r="G1049" s="4"/>
      <c r="H1049" s="47"/>
      <c r="Z1049" s="6"/>
    </row>
    <row r="1050" spans="5:26" x14ac:dyDescent="0.2">
      <c r="E1050" s="4"/>
      <c r="F1050" s="45"/>
      <c r="G1050" s="4"/>
      <c r="H1050" s="47"/>
      <c r="Z1050" s="6"/>
    </row>
    <row r="1051" spans="5:26" x14ac:dyDescent="0.2">
      <c r="E1051" s="4"/>
      <c r="F1051" s="45"/>
      <c r="G1051" s="4"/>
      <c r="H1051" s="47"/>
      <c r="Z1051" s="6"/>
    </row>
    <row r="1052" spans="5:26" x14ac:dyDescent="0.2">
      <c r="E1052" s="4"/>
      <c r="F1052" s="45"/>
      <c r="G1052" s="4"/>
      <c r="H1052" s="47"/>
      <c r="Z1052" s="6"/>
    </row>
    <row r="1053" spans="5:26" x14ac:dyDescent="0.2">
      <c r="E1053" s="4"/>
      <c r="F1053" s="45"/>
      <c r="G1053" s="4"/>
      <c r="H1053" s="47"/>
      <c r="Z1053" s="6"/>
    </row>
    <row r="1054" spans="5:26" x14ac:dyDescent="0.2">
      <c r="E1054" s="4"/>
      <c r="F1054" s="45"/>
      <c r="G1054" s="4"/>
      <c r="H1054" s="47"/>
      <c r="Z1054" s="6"/>
    </row>
    <row r="1055" spans="5:26" x14ac:dyDescent="0.2">
      <c r="E1055" s="4"/>
      <c r="F1055" s="45"/>
      <c r="G1055" s="4"/>
      <c r="H1055" s="47"/>
      <c r="Z1055" s="6"/>
    </row>
    <row r="1056" spans="5:26" x14ac:dyDescent="0.2">
      <c r="E1056" s="4"/>
      <c r="F1056" s="45"/>
      <c r="G1056" s="4"/>
      <c r="H1056" s="47"/>
      <c r="Z1056" s="6"/>
    </row>
    <row r="1057" spans="5:26" x14ac:dyDescent="0.2">
      <c r="E1057" s="4"/>
      <c r="F1057" s="45"/>
      <c r="G1057" s="4"/>
      <c r="H1057" s="47"/>
      <c r="Z1057" s="6"/>
    </row>
    <row r="1058" spans="5:26" x14ac:dyDescent="0.2">
      <c r="E1058" s="4"/>
      <c r="F1058" s="45"/>
      <c r="G1058" s="4"/>
      <c r="H1058" s="47"/>
      <c r="Z1058" s="6"/>
    </row>
    <row r="1059" spans="5:26" x14ac:dyDescent="0.2">
      <c r="E1059" s="4"/>
      <c r="F1059" s="45"/>
      <c r="G1059" s="4"/>
      <c r="H1059" s="47"/>
      <c r="Z1059" s="6"/>
    </row>
    <row r="1060" spans="5:26" x14ac:dyDescent="0.2">
      <c r="E1060" s="4"/>
      <c r="F1060" s="45"/>
      <c r="G1060" s="4"/>
      <c r="H1060" s="47"/>
      <c r="Z1060" s="6"/>
    </row>
    <row r="1061" spans="5:26" x14ac:dyDescent="0.2">
      <c r="E1061" s="4"/>
      <c r="F1061" s="45"/>
      <c r="G1061" s="4"/>
      <c r="H1061" s="47"/>
      <c r="Z1061" s="6"/>
    </row>
    <row r="1062" spans="5:26" x14ac:dyDescent="0.2">
      <c r="E1062" s="4"/>
      <c r="F1062" s="45"/>
      <c r="G1062" s="4"/>
      <c r="H1062" s="47"/>
      <c r="Z1062" s="6"/>
    </row>
    <row r="1063" spans="5:26" x14ac:dyDescent="0.2">
      <c r="E1063" s="4"/>
      <c r="F1063" s="45"/>
      <c r="G1063" s="4"/>
      <c r="H1063" s="47"/>
      <c r="Z1063" s="6"/>
    </row>
    <row r="1064" spans="5:26" x14ac:dyDescent="0.2">
      <c r="E1064" s="4"/>
      <c r="F1064" s="45"/>
      <c r="G1064" s="4"/>
      <c r="H1064" s="47"/>
      <c r="Z1064" s="6"/>
    </row>
    <row r="1065" spans="5:26" x14ac:dyDescent="0.2">
      <c r="E1065" s="4"/>
      <c r="F1065" s="45"/>
      <c r="G1065" s="4"/>
      <c r="H1065" s="47"/>
      <c r="Z1065" s="6"/>
    </row>
    <row r="1066" spans="5:26" x14ac:dyDescent="0.2">
      <c r="E1066" s="4"/>
      <c r="F1066" s="45"/>
      <c r="G1066" s="4"/>
      <c r="H1066" s="47"/>
      <c r="Z1066" s="6"/>
    </row>
    <row r="1067" spans="5:26" x14ac:dyDescent="0.2">
      <c r="E1067" s="4"/>
      <c r="F1067" s="45"/>
      <c r="G1067" s="4"/>
      <c r="H1067" s="47"/>
      <c r="Z1067" s="6"/>
    </row>
    <row r="1068" spans="5:26" x14ac:dyDescent="0.2">
      <c r="E1068" s="4"/>
      <c r="F1068" s="45"/>
      <c r="G1068" s="4"/>
      <c r="H1068" s="47"/>
      <c r="Z1068" s="6"/>
    </row>
    <row r="1069" spans="5:26" x14ac:dyDescent="0.2">
      <c r="E1069" s="4"/>
      <c r="F1069" s="45"/>
      <c r="G1069" s="4"/>
      <c r="H1069" s="47"/>
      <c r="Z1069" s="6"/>
    </row>
    <row r="1070" spans="5:26" x14ac:dyDescent="0.2">
      <c r="E1070" s="4"/>
      <c r="F1070" s="45"/>
      <c r="G1070" s="4"/>
      <c r="H1070" s="47"/>
      <c r="Z1070" s="6"/>
    </row>
    <row r="1071" spans="5:26" x14ac:dyDescent="0.2">
      <c r="E1071" s="4"/>
      <c r="F1071" s="45"/>
      <c r="G1071" s="4"/>
      <c r="H1071" s="47"/>
      <c r="Z1071" s="6"/>
    </row>
    <row r="1072" spans="5:26" x14ac:dyDescent="0.2">
      <c r="E1072" s="4"/>
      <c r="F1072" s="45"/>
      <c r="G1072" s="4"/>
      <c r="H1072" s="47"/>
      <c r="Z1072" s="6"/>
    </row>
    <row r="1073" spans="5:26" x14ac:dyDescent="0.2">
      <c r="E1073" s="4"/>
      <c r="F1073" s="45"/>
      <c r="G1073" s="4"/>
      <c r="H1073" s="47"/>
      <c r="Z1073" s="6"/>
    </row>
    <row r="1074" spans="5:26" x14ac:dyDescent="0.2">
      <c r="E1074" s="4"/>
      <c r="F1074" s="45"/>
      <c r="G1074" s="4"/>
      <c r="H1074" s="47"/>
      <c r="Z1074" s="6"/>
    </row>
    <row r="1075" spans="5:26" x14ac:dyDescent="0.2">
      <c r="E1075" s="4"/>
      <c r="F1075" s="45"/>
      <c r="G1075" s="4"/>
      <c r="H1075" s="47"/>
      <c r="Z1075" s="6"/>
    </row>
    <row r="1076" spans="5:26" x14ac:dyDescent="0.2">
      <c r="E1076" s="4"/>
      <c r="F1076" s="45"/>
      <c r="G1076" s="4"/>
      <c r="H1076" s="47"/>
      <c r="Z1076" s="6"/>
    </row>
    <row r="1077" spans="5:26" x14ac:dyDescent="0.2">
      <c r="E1077" s="4"/>
      <c r="F1077" s="45"/>
      <c r="G1077" s="4"/>
      <c r="H1077" s="47"/>
      <c r="Z1077" s="6"/>
    </row>
    <row r="1078" spans="5:26" x14ac:dyDescent="0.2">
      <c r="E1078" s="4"/>
      <c r="F1078" s="45"/>
      <c r="G1078" s="4"/>
      <c r="H1078" s="47"/>
      <c r="Z1078" s="6"/>
    </row>
    <row r="1079" spans="5:26" x14ac:dyDescent="0.2">
      <c r="E1079" s="4"/>
      <c r="F1079" s="45"/>
      <c r="G1079" s="4"/>
      <c r="H1079" s="47"/>
      <c r="Z1079" s="6"/>
    </row>
    <row r="1080" spans="5:26" x14ac:dyDescent="0.2">
      <c r="E1080" s="4"/>
      <c r="F1080" s="45"/>
      <c r="G1080" s="4"/>
      <c r="H1080" s="47"/>
      <c r="Z1080" s="6"/>
    </row>
    <row r="1081" spans="5:26" x14ac:dyDescent="0.2">
      <c r="E1081" s="4"/>
      <c r="F1081" s="45"/>
      <c r="G1081" s="4"/>
      <c r="H1081" s="47"/>
      <c r="Z1081" s="6"/>
    </row>
    <row r="1082" spans="5:26" x14ac:dyDescent="0.2">
      <c r="E1082" s="4"/>
      <c r="F1082" s="45"/>
      <c r="G1082" s="4"/>
      <c r="H1082" s="47"/>
      <c r="Z1082" s="6"/>
    </row>
    <row r="1083" spans="5:26" x14ac:dyDescent="0.2">
      <c r="E1083" s="4"/>
      <c r="F1083" s="45"/>
      <c r="G1083" s="4"/>
      <c r="H1083" s="47"/>
      <c r="Z1083" s="6"/>
    </row>
    <row r="1084" spans="5:26" x14ac:dyDescent="0.2">
      <c r="E1084" s="4"/>
      <c r="F1084" s="45"/>
      <c r="G1084" s="4"/>
      <c r="H1084" s="47"/>
      <c r="Z1084" s="6"/>
    </row>
    <row r="1085" spans="5:26" x14ac:dyDescent="0.2">
      <c r="E1085" s="4"/>
      <c r="F1085" s="45"/>
      <c r="G1085" s="4"/>
      <c r="H1085" s="47"/>
      <c r="Z1085" s="6"/>
    </row>
    <row r="1086" spans="5:26" x14ac:dyDescent="0.2">
      <c r="E1086" s="4"/>
      <c r="F1086" s="45"/>
      <c r="G1086" s="4"/>
      <c r="H1086" s="47"/>
      <c r="Z1086" s="6"/>
    </row>
    <row r="1087" spans="5:26" x14ac:dyDescent="0.2">
      <c r="E1087" s="4"/>
      <c r="F1087" s="45"/>
      <c r="G1087" s="4"/>
      <c r="H1087" s="47"/>
      <c r="Z1087" s="6"/>
    </row>
    <row r="1088" spans="5:26" x14ac:dyDescent="0.2">
      <c r="E1088" s="4"/>
      <c r="F1088" s="45"/>
      <c r="G1088" s="4"/>
      <c r="H1088" s="47"/>
      <c r="Z1088" s="6"/>
    </row>
    <row r="1089" spans="5:26" x14ac:dyDescent="0.2">
      <c r="E1089" s="4"/>
      <c r="F1089" s="45"/>
      <c r="G1089" s="4"/>
      <c r="H1089" s="47"/>
      <c r="Z1089" s="6"/>
    </row>
    <row r="1090" spans="5:26" x14ac:dyDescent="0.2">
      <c r="E1090" s="4"/>
      <c r="F1090" s="45"/>
      <c r="G1090" s="4"/>
      <c r="H1090" s="47"/>
      <c r="Z1090" s="6"/>
    </row>
    <row r="1091" spans="5:26" x14ac:dyDescent="0.2">
      <c r="E1091" s="4"/>
      <c r="F1091" s="45"/>
      <c r="G1091" s="4"/>
      <c r="H1091" s="47"/>
      <c r="Z1091" s="6"/>
    </row>
    <row r="1092" spans="5:26" x14ac:dyDescent="0.2">
      <c r="E1092" s="4"/>
      <c r="F1092" s="45"/>
      <c r="G1092" s="4"/>
      <c r="H1092" s="47"/>
      <c r="Z1092" s="6"/>
    </row>
    <row r="1093" spans="5:26" x14ac:dyDescent="0.2">
      <c r="E1093" s="4"/>
      <c r="F1093" s="45"/>
      <c r="G1093" s="4"/>
      <c r="H1093" s="47"/>
      <c r="Z1093" s="6"/>
    </row>
    <row r="1094" spans="5:26" x14ac:dyDescent="0.2">
      <c r="E1094" s="4"/>
      <c r="F1094" s="45"/>
      <c r="G1094" s="4"/>
      <c r="H1094" s="47"/>
      <c r="Z1094" s="6"/>
    </row>
    <row r="1095" spans="5:26" x14ac:dyDescent="0.2">
      <c r="E1095" s="4"/>
      <c r="F1095" s="45"/>
      <c r="G1095" s="4"/>
      <c r="H1095" s="47"/>
      <c r="Z1095" s="6"/>
    </row>
    <row r="1096" spans="5:26" x14ac:dyDescent="0.2">
      <c r="E1096" s="4"/>
      <c r="F1096" s="45"/>
      <c r="G1096" s="4"/>
      <c r="H1096" s="47"/>
      <c r="Z1096" s="6"/>
    </row>
    <row r="1097" spans="5:26" x14ac:dyDescent="0.2">
      <c r="E1097" s="4"/>
      <c r="F1097" s="45"/>
      <c r="G1097" s="4"/>
      <c r="H1097" s="47"/>
      <c r="Z1097" s="6"/>
    </row>
    <row r="1098" spans="5:26" x14ac:dyDescent="0.2">
      <c r="E1098" s="4"/>
      <c r="F1098" s="45"/>
      <c r="G1098" s="4"/>
      <c r="H1098" s="47"/>
      <c r="Z1098" s="6"/>
    </row>
    <row r="1099" spans="5:26" x14ac:dyDescent="0.2">
      <c r="E1099" s="4"/>
      <c r="F1099" s="45"/>
      <c r="G1099" s="4"/>
      <c r="H1099" s="47"/>
      <c r="Z1099" s="6"/>
    </row>
    <row r="1100" spans="5:26" x14ac:dyDescent="0.2">
      <c r="E1100" s="4"/>
      <c r="F1100" s="45"/>
      <c r="G1100" s="4"/>
      <c r="H1100" s="47"/>
      <c r="Z1100" s="6"/>
    </row>
    <row r="1101" spans="5:26" x14ac:dyDescent="0.2">
      <c r="E1101" s="4"/>
      <c r="F1101" s="45"/>
      <c r="G1101" s="4"/>
      <c r="H1101" s="47"/>
      <c r="Z1101" s="6"/>
    </row>
    <row r="1102" spans="5:26" x14ac:dyDescent="0.2">
      <c r="E1102" s="4"/>
      <c r="F1102" s="45"/>
      <c r="G1102" s="4"/>
      <c r="H1102" s="47"/>
      <c r="Z1102" s="6"/>
    </row>
    <row r="1103" spans="5:26" x14ac:dyDescent="0.2">
      <c r="E1103" s="4"/>
      <c r="F1103" s="45"/>
      <c r="G1103" s="4"/>
      <c r="H1103" s="47"/>
      <c r="Z1103" s="6"/>
    </row>
    <row r="1104" spans="5:26" x14ac:dyDescent="0.2">
      <c r="E1104" s="4"/>
      <c r="F1104" s="45"/>
      <c r="G1104" s="4"/>
      <c r="H1104" s="47"/>
      <c r="Z1104" s="6"/>
    </row>
    <row r="1105" spans="5:26" x14ac:dyDescent="0.2">
      <c r="E1105" s="4"/>
      <c r="F1105" s="45"/>
      <c r="G1105" s="4"/>
      <c r="H1105" s="47"/>
      <c r="Z1105" s="6"/>
    </row>
    <row r="1106" spans="5:26" x14ac:dyDescent="0.2">
      <c r="E1106" s="4"/>
      <c r="F1106" s="45"/>
      <c r="G1106" s="4"/>
      <c r="H1106" s="47"/>
      <c r="Z1106" s="6"/>
    </row>
    <row r="1107" spans="5:26" x14ac:dyDescent="0.2">
      <c r="E1107" s="4"/>
      <c r="F1107" s="45"/>
      <c r="G1107" s="4"/>
      <c r="H1107" s="47"/>
      <c r="Z1107" s="6"/>
    </row>
    <row r="1108" spans="5:26" x14ac:dyDescent="0.2">
      <c r="E1108" s="4"/>
      <c r="F1108" s="45"/>
      <c r="G1108" s="4"/>
      <c r="H1108" s="47"/>
      <c r="Z1108" s="6"/>
    </row>
    <row r="1109" spans="5:26" x14ac:dyDescent="0.2">
      <c r="E1109" s="4"/>
      <c r="F1109" s="45"/>
      <c r="G1109" s="4"/>
      <c r="H1109" s="47"/>
      <c r="Z1109" s="6"/>
    </row>
    <row r="1110" spans="5:26" x14ac:dyDescent="0.2">
      <c r="E1110" s="4"/>
      <c r="F1110" s="45"/>
      <c r="G1110" s="4"/>
      <c r="H1110" s="47"/>
      <c r="Z1110" s="6"/>
    </row>
    <row r="1111" spans="5:26" x14ac:dyDescent="0.2">
      <c r="E1111" s="4"/>
      <c r="F1111" s="45"/>
      <c r="G1111" s="4"/>
      <c r="H1111" s="47"/>
      <c r="Z1111" s="6"/>
    </row>
    <row r="1112" spans="5:26" x14ac:dyDescent="0.2">
      <c r="E1112" s="4"/>
      <c r="F1112" s="45"/>
      <c r="G1112" s="4"/>
      <c r="H1112" s="47"/>
      <c r="Z1112" s="6"/>
    </row>
    <row r="1113" spans="5:26" x14ac:dyDescent="0.2">
      <c r="E1113" s="4"/>
      <c r="F1113" s="45"/>
      <c r="G1113" s="4"/>
      <c r="H1113" s="47"/>
      <c r="Z1113" s="6"/>
    </row>
    <row r="1114" spans="5:26" x14ac:dyDescent="0.2">
      <c r="E1114" s="4"/>
      <c r="F1114" s="45"/>
      <c r="G1114" s="4"/>
      <c r="H1114" s="47"/>
      <c r="Z1114" s="6"/>
    </row>
    <row r="1115" spans="5:26" x14ac:dyDescent="0.2">
      <c r="E1115" s="4"/>
      <c r="F1115" s="45"/>
      <c r="G1115" s="4"/>
      <c r="H1115" s="47"/>
      <c r="Z1115" s="6"/>
    </row>
    <row r="1116" spans="5:26" x14ac:dyDescent="0.2">
      <c r="E1116" s="4"/>
      <c r="F1116" s="45"/>
      <c r="G1116" s="4"/>
      <c r="H1116" s="47"/>
      <c r="Z1116" s="6"/>
    </row>
    <row r="1117" spans="5:26" x14ac:dyDescent="0.2">
      <c r="E1117" s="4"/>
      <c r="F1117" s="45"/>
      <c r="G1117" s="4"/>
      <c r="H1117" s="47"/>
      <c r="Z1117" s="6"/>
    </row>
    <row r="1118" spans="5:26" x14ac:dyDescent="0.2">
      <c r="E1118" s="4"/>
      <c r="F1118" s="45"/>
      <c r="G1118" s="4"/>
      <c r="H1118" s="47"/>
      <c r="Z1118" s="6"/>
    </row>
    <row r="1119" spans="5:26" x14ac:dyDescent="0.2">
      <c r="E1119" s="4"/>
      <c r="F1119" s="45"/>
      <c r="G1119" s="4"/>
      <c r="H1119" s="47"/>
      <c r="Z1119" s="6"/>
    </row>
    <row r="1120" spans="5:26" x14ac:dyDescent="0.2">
      <c r="E1120" s="4"/>
      <c r="F1120" s="45"/>
      <c r="G1120" s="4"/>
      <c r="H1120" s="47"/>
      <c r="Z1120" s="6"/>
    </row>
    <row r="1121" spans="5:26" x14ac:dyDescent="0.2">
      <c r="E1121" s="4"/>
      <c r="F1121" s="45"/>
      <c r="G1121" s="4"/>
      <c r="H1121" s="47"/>
      <c r="Z1121" s="6"/>
    </row>
    <row r="1122" spans="5:26" x14ac:dyDescent="0.2">
      <c r="E1122" s="4"/>
      <c r="F1122" s="45"/>
      <c r="G1122" s="4"/>
      <c r="H1122" s="47"/>
      <c r="Z1122" s="6"/>
    </row>
    <row r="1123" spans="5:26" x14ac:dyDescent="0.2">
      <c r="E1123" s="4"/>
      <c r="F1123" s="45"/>
      <c r="G1123" s="4"/>
      <c r="H1123" s="47"/>
      <c r="Z1123" s="6"/>
    </row>
    <row r="1124" spans="5:26" x14ac:dyDescent="0.2">
      <c r="E1124" s="4"/>
      <c r="F1124" s="45"/>
      <c r="G1124" s="4"/>
      <c r="H1124" s="47"/>
      <c r="Z1124" s="6"/>
    </row>
    <row r="1125" spans="5:26" x14ac:dyDescent="0.2">
      <c r="E1125" s="4"/>
      <c r="F1125" s="45"/>
      <c r="G1125" s="4"/>
      <c r="H1125" s="47"/>
      <c r="Z1125" s="6"/>
    </row>
    <row r="1126" spans="5:26" x14ac:dyDescent="0.2">
      <c r="E1126" s="4"/>
      <c r="F1126" s="45"/>
      <c r="G1126" s="4"/>
      <c r="H1126" s="47"/>
      <c r="Z1126" s="6"/>
    </row>
    <row r="1127" spans="5:26" x14ac:dyDescent="0.2">
      <c r="E1127" s="4"/>
      <c r="F1127" s="45"/>
      <c r="G1127" s="4"/>
      <c r="H1127" s="47"/>
      <c r="Z1127" s="6"/>
    </row>
    <row r="1128" spans="5:26" x14ac:dyDescent="0.2">
      <c r="E1128" s="4"/>
      <c r="F1128" s="45"/>
      <c r="G1128" s="4"/>
      <c r="H1128" s="47"/>
      <c r="Z1128" s="6"/>
    </row>
    <row r="1129" spans="5:26" x14ac:dyDescent="0.2">
      <c r="E1129" s="4"/>
      <c r="F1129" s="45"/>
      <c r="G1129" s="4"/>
      <c r="H1129" s="47"/>
      <c r="Z1129" s="6"/>
    </row>
    <row r="1130" spans="5:26" x14ac:dyDescent="0.2">
      <c r="E1130" s="4"/>
      <c r="F1130" s="45"/>
      <c r="G1130" s="4"/>
      <c r="H1130" s="47"/>
      <c r="Z1130" s="6"/>
    </row>
    <row r="1131" spans="5:26" x14ac:dyDescent="0.2">
      <c r="E1131" s="4"/>
      <c r="F1131" s="45"/>
      <c r="G1131" s="4"/>
      <c r="H1131" s="47"/>
      <c r="Z1131" s="6"/>
    </row>
    <row r="1132" spans="5:26" x14ac:dyDescent="0.2">
      <c r="E1132" s="4"/>
      <c r="F1132" s="45"/>
      <c r="G1132" s="4"/>
      <c r="H1132" s="47"/>
      <c r="Z1132" s="6"/>
    </row>
    <row r="1133" spans="5:26" x14ac:dyDescent="0.2">
      <c r="E1133" s="4"/>
      <c r="F1133" s="45"/>
      <c r="G1133" s="4"/>
      <c r="H1133" s="47"/>
      <c r="Z1133" s="6"/>
    </row>
    <row r="1134" spans="5:26" x14ac:dyDescent="0.2">
      <c r="E1134" s="4"/>
      <c r="F1134" s="45"/>
      <c r="G1134" s="4"/>
      <c r="H1134" s="47"/>
      <c r="Z1134" s="6"/>
    </row>
    <row r="1135" spans="5:26" x14ac:dyDescent="0.2">
      <c r="E1135" s="4"/>
      <c r="F1135" s="45"/>
      <c r="G1135" s="4"/>
      <c r="H1135" s="47"/>
      <c r="Z1135" s="6"/>
    </row>
    <row r="1136" spans="5:26" x14ac:dyDescent="0.2">
      <c r="E1136" s="4"/>
      <c r="F1136" s="45"/>
      <c r="G1136" s="4"/>
      <c r="H1136" s="47"/>
      <c r="Z1136" s="6"/>
    </row>
    <row r="1137" spans="5:26" x14ac:dyDescent="0.2">
      <c r="E1137" s="4"/>
      <c r="F1137" s="45"/>
      <c r="G1137" s="4"/>
      <c r="H1137" s="47"/>
      <c r="Z1137" s="6"/>
    </row>
    <row r="1138" spans="5:26" x14ac:dyDescent="0.2">
      <c r="E1138" s="4"/>
      <c r="F1138" s="45"/>
      <c r="G1138" s="4"/>
      <c r="H1138" s="47"/>
      <c r="Z1138" s="6"/>
    </row>
    <row r="1139" spans="5:26" x14ac:dyDescent="0.2">
      <c r="E1139" s="4"/>
      <c r="F1139" s="45"/>
      <c r="G1139" s="4"/>
      <c r="H1139" s="47"/>
      <c r="Z1139" s="6"/>
    </row>
    <row r="1140" spans="5:26" x14ac:dyDescent="0.2">
      <c r="E1140" s="4"/>
      <c r="F1140" s="45"/>
      <c r="G1140" s="4"/>
      <c r="H1140" s="47"/>
      <c r="Z1140" s="6"/>
    </row>
    <row r="1141" spans="5:26" x14ac:dyDescent="0.2">
      <c r="E1141" s="4"/>
      <c r="F1141" s="45"/>
      <c r="G1141" s="4"/>
      <c r="H1141" s="47"/>
      <c r="Z1141" s="6"/>
    </row>
    <row r="1142" spans="5:26" x14ac:dyDescent="0.2">
      <c r="E1142" s="4"/>
      <c r="F1142" s="45"/>
      <c r="G1142" s="4"/>
      <c r="H1142" s="47"/>
      <c r="Z1142" s="6"/>
    </row>
    <row r="1143" spans="5:26" x14ac:dyDescent="0.2">
      <c r="E1143" s="4"/>
      <c r="F1143" s="45"/>
      <c r="G1143" s="4"/>
      <c r="H1143" s="47"/>
      <c r="Z1143" s="6"/>
    </row>
    <row r="1144" spans="5:26" x14ac:dyDescent="0.2">
      <c r="E1144" s="4"/>
      <c r="F1144" s="45"/>
      <c r="G1144" s="4"/>
      <c r="H1144" s="47"/>
      <c r="Z1144" s="6"/>
    </row>
    <row r="1145" spans="5:26" x14ac:dyDescent="0.2">
      <c r="E1145" s="4"/>
      <c r="F1145" s="45"/>
      <c r="G1145" s="4"/>
      <c r="H1145" s="47"/>
      <c r="Z1145" s="6"/>
    </row>
    <row r="1146" spans="5:26" x14ac:dyDescent="0.2">
      <c r="E1146" s="4"/>
      <c r="F1146" s="45"/>
      <c r="G1146" s="4"/>
      <c r="H1146" s="47"/>
      <c r="Z1146" s="6"/>
    </row>
    <row r="1147" spans="5:26" x14ac:dyDescent="0.2">
      <c r="E1147" s="4"/>
      <c r="F1147" s="45"/>
      <c r="G1147" s="4"/>
      <c r="H1147" s="47"/>
      <c r="Z1147" s="6"/>
    </row>
    <row r="1148" spans="5:26" x14ac:dyDescent="0.2">
      <c r="E1148" s="4"/>
      <c r="F1148" s="45"/>
      <c r="G1148" s="4"/>
      <c r="H1148" s="47"/>
      <c r="Z1148" s="6"/>
    </row>
    <row r="1149" spans="5:26" x14ac:dyDescent="0.2">
      <c r="E1149" s="4"/>
      <c r="F1149" s="45"/>
      <c r="G1149" s="4"/>
      <c r="H1149" s="47"/>
      <c r="Z1149" s="6"/>
    </row>
    <row r="1150" spans="5:26" x14ac:dyDescent="0.2">
      <c r="E1150" s="4"/>
      <c r="F1150" s="45"/>
      <c r="G1150" s="4"/>
      <c r="H1150" s="47"/>
      <c r="Z1150" s="6"/>
    </row>
    <row r="1151" spans="5:26" x14ac:dyDescent="0.2">
      <c r="E1151" s="4"/>
      <c r="F1151" s="45"/>
      <c r="G1151" s="4"/>
      <c r="H1151" s="47"/>
      <c r="Z1151" s="6"/>
    </row>
    <row r="1152" spans="5:26" x14ac:dyDescent="0.2">
      <c r="E1152" s="4"/>
      <c r="F1152" s="45"/>
      <c r="G1152" s="4"/>
      <c r="H1152" s="47"/>
      <c r="Z1152" s="6"/>
    </row>
    <row r="1153" spans="5:26" x14ac:dyDescent="0.2">
      <c r="E1153" s="4"/>
      <c r="F1153" s="45"/>
      <c r="G1153" s="4"/>
      <c r="H1153" s="47"/>
      <c r="Z1153" s="6"/>
    </row>
    <row r="1154" spans="5:26" x14ac:dyDescent="0.2">
      <c r="E1154" s="4"/>
      <c r="F1154" s="45"/>
      <c r="G1154" s="4"/>
      <c r="H1154" s="47"/>
      <c r="Z1154" s="6"/>
    </row>
    <row r="1155" spans="5:26" x14ac:dyDescent="0.2">
      <c r="E1155" s="4"/>
      <c r="F1155" s="45"/>
      <c r="G1155" s="4"/>
      <c r="H1155" s="47"/>
      <c r="Z1155" s="6"/>
    </row>
    <row r="1156" spans="5:26" x14ac:dyDescent="0.2">
      <c r="E1156" s="4"/>
      <c r="F1156" s="45"/>
      <c r="G1156" s="4"/>
      <c r="H1156" s="47"/>
      <c r="Z1156" s="6"/>
    </row>
    <row r="1157" spans="5:26" x14ac:dyDescent="0.2">
      <c r="E1157" s="4"/>
      <c r="F1157" s="45"/>
      <c r="G1157" s="4"/>
      <c r="H1157" s="47"/>
      <c r="Z1157" s="6"/>
    </row>
    <row r="1158" spans="5:26" x14ac:dyDescent="0.2">
      <c r="E1158" s="4"/>
      <c r="F1158" s="45"/>
      <c r="G1158" s="4"/>
      <c r="H1158" s="47"/>
      <c r="Z1158" s="6"/>
    </row>
    <row r="1159" spans="5:26" x14ac:dyDescent="0.2">
      <c r="E1159" s="4"/>
      <c r="F1159" s="45"/>
      <c r="G1159" s="4"/>
      <c r="H1159" s="47"/>
      <c r="Z1159" s="6"/>
    </row>
    <row r="1160" spans="5:26" x14ac:dyDescent="0.2">
      <c r="E1160" s="4"/>
      <c r="F1160" s="45"/>
      <c r="G1160" s="4"/>
      <c r="H1160" s="47"/>
      <c r="Z1160" s="6"/>
    </row>
    <row r="1161" spans="5:26" x14ac:dyDescent="0.2">
      <c r="E1161" s="4"/>
      <c r="F1161" s="45"/>
      <c r="G1161" s="4"/>
      <c r="H1161" s="47"/>
      <c r="Z1161" s="6"/>
    </row>
    <row r="1162" spans="5:26" x14ac:dyDescent="0.2">
      <c r="E1162" s="4"/>
      <c r="F1162" s="45"/>
      <c r="G1162" s="4"/>
      <c r="H1162" s="47"/>
      <c r="Z1162" s="6"/>
    </row>
    <row r="1163" spans="5:26" x14ac:dyDescent="0.2">
      <c r="E1163" s="4"/>
      <c r="F1163" s="45"/>
      <c r="G1163" s="4"/>
      <c r="H1163" s="47"/>
      <c r="Z1163" s="6"/>
    </row>
    <row r="1164" spans="5:26" x14ac:dyDescent="0.2">
      <c r="E1164" s="4"/>
      <c r="F1164" s="45"/>
      <c r="G1164" s="4"/>
      <c r="H1164" s="47"/>
      <c r="Z1164" s="6"/>
    </row>
    <row r="1165" spans="5:26" x14ac:dyDescent="0.2">
      <c r="E1165" s="4"/>
      <c r="F1165" s="45"/>
      <c r="G1165" s="4"/>
      <c r="H1165" s="47"/>
      <c r="Z1165" s="6"/>
    </row>
    <row r="1166" spans="5:26" x14ac:dyDescent="0.2">
      <c r="E1166" s="4"/>
      <c r="F1166" s="45"/>
      <c r="G1166" s="4"/>
      <c r="H1166" s="47"/>
      <c r="Z1166" s="6"/>
    </row>
    <row r="1167" spans="5:26" x14ac:dyDescent="0.2">
      <c r="E1167" s="4"/>
      <c r="F1167" s="45"/>
      <c r="G1167" s="4"/>
      <c r="H1167" s="47"/>
      <c r="Z1167" s="6"/>
    </row>
    <row r="1168" spans="5:26" x14ac:dyDescent="0.2">
      <c r="E1168" s="4"/>
      <c r="F1168" s="45"/>
      <c r="G1168" s="4"/>
      <c r="H1168" s="47"/>
      <c r="Z1168" s="6"/>
    </row>
    <row r="1169" spans="5:26" x14ac:dyDescent="0.2">
      <c r="E1169" s="4"/>
      <c r="F1169" s="45"/>
      <c r="G1169" s="4"/>
      <c r="H1169" s="47"/>
      <c r="Z1169" s="6"/>
    </row>
    <row r="1170" spans="5:26" x14ac:dyDescent="0.2">
      <c r="E1170" s="4"/>
      <c r="F1170" s="45"/>
      <c r="G1170" s="4"/>
      <c r="H1170" s="47"/>
      <c r="Z1170" s="6"/>
    </row>
    <row r="1171" spans="5:26" x14ac:dyDescent="0.2">
      <c r="E1171" s="4"/>
      <c r="F1171" s="45"/>
      <c r="G1171" s="4"/>
      <c r="H1171" s="47"/>
      <c r="Z1171" s="6"/>
    </row>
    <row r="1172" spans="5:26" x14ac:dyDescent="0.2">
      <c r="E1172" s="4"/>
      <c r="F1172" s="45"/>
      <c r="G1172" s="4"/>
      <c r="H1172" s="47"/>
      <c r="Z1172" s="6"/>
    </row>
    <row r="1173" spans="5:26" x14ac:dyDescent="0.2">
      <c r="E1173" s="4"/>
      <c r="F1173" s="45"/>
      <c r="G1173" s="4"/>
      <c r="H1173" s="47"/>
      <c r="Z1173" s="6"/>
    </row>
    <row r="1174" spans="5:26" x14ac:dyDescent="0.2">
      <c r="E1174" s="4"/>
      <c r="F1174" s="45"/>
      <c r="G1174" s="4"/>
      <c r="H1174" s="47"/>
      <c r="Z1174" s="6"/>
    </row>
    <row r="1175" spans="5:26" x14ac:dyDescent="0.2">
      <c r="E1175" s="4"/>
      <c r="F1175" s="45"/>
      <c r="G1175" s="4"/>
      <c r="H1175" s="47"/>
      <c r="Z1175" s="6"/>
    </row>
    <row r="1176" spans="5:26" x14ac:dyDescent="0.2">
      <c r="E1176" s="4"/>
      <c r="F1176" s="45"/>
      <c r="G1176" s="4"/>
      <c r="H1176" s="47"/>
      <c r="Z1176" s="6"/>
    </row>
    <row r="1177" spans="5:26" x14ac:dyDescent="0.2">
      <c r="E1177" s="4"/>
      <c r="F1177" s="45"/>
      <c r="G1177" s="4"/>
      <c r="H1177" s="47"/>
      <c r="Z1177" s="6"/>
    </row>
    <row r="1178" spans="5:26" x14ac:dyDescent="0.2">
      <c r="E1178" s="4"/>
      <c r="F1178" s="45"/>
      <c r="G1178" s="4"/>
      <c r="H1178" s="47"/>
      <c r="Z1178" s="6"/>
    </row>
    <row r="1179" spans="5:26" x14ac:dyDescent="0.2">
      <c r="E1179" s="4"/>
      <c r="F1179" s="45"/>
      <c r="G1179" s="4"/>
      <c r="H1179" s="47"/>
      <c r="Z1179" s="6"/>
    </row>
    <row r="1180" spans="5:26" x14ac:dyDescent="0.2">
      <c r="E1180" s="4"/>
      <c r="F1180" s="45"/>
      <c r="G1180" s="4"/>
      <c r="H1180" s="47"/>
      <c r="Z1180" s="6"/>
    </row>
    <row r="1181" spans="5:26" x14ac:dyDescent="0.2">
      <c r="E1181" s="4"/>
      <c r="F1181" s="45"/>
      <c r="G1181" s="4"/>
      <c r="H1181" s="47"/>
      <c r="Z1181" s="6"/>
    </row>
    <row r="1182" spans="5:26" x14ac:dyDescent="0.2">
      <c r="E1182" s="4"/>
      <c r="F1182" s="45"/>
      <c r="G1182" s="4"/>
      <c r="H1182" s="47"/>
      <c r="Z1182" s="6"/>
    </row>
    <row r="1183" spans="5:26" x14ac:dyDescent="0.2">
      <c r="E1183" s="4"/>
      <c r="F1183" s="45"/>
      <c r="G1183" s="4"/>
      <c r="H1183" s="47"/>
      <c r="Z1183" s="6"/>
    </row>
    <row r="1184" spans="5:26" x14ac:dyDescent="0.2">
      <c r="E1184" s="4"/>
      <c r="F1184" s="45"/>
      <c r="G1184" s="4"/>
      <c r="H1184" s="47"/>
      <c r="Z1184" s="6"/>
    </row>
    <row r="1185" spans="5:26" x14ac:dyDescent="0.2">
      <c r="E1185" s="4"/>
      <c r="F1185" s="45"/>
      <c r="G1185" s="4"/>
      <c r="H1185" s="47"/>
      <c r="Z1185" s="6"/>
    </row>
    <row r="1186" spans="5:26" x14ac:dyDescent="0.2">
      <c r="E1186" s="4"/>
      <c r="F1186" s="45"/>
      <c r="G1186" s="4"/>
      <c r="H1186" s="47"/>
      <c r="Z1186" s="6"/>
    </row>
    <row r="1187" spans="5:26" x14ac:dyDescent="0.2">
      <c r="E1187" s="4"/>
      <c r="F1187" s="45"/>
      <c r="G1187" s="4"/>
      <c r="H1187" s="47"/>
      <c r="Z1187" s="6"/>
    </row>
    <row r="1188" spans="5:26" x14ac:dyDescent="0.2">
      <c r="E1188" s="4"/>
      <c r="F1188" s="45"/>
      <c r="G1188" s="4"/>
      <c r="H1188" s="47"/>
      <c r="Z1188" s="6"/>
    </row>
    <row r="1189" spans="5:26" x14ac:dyDescent="0.2">
      <c r="E1189" s="4"/>
      <c r="F1189" s="45"/>
      <c r="G1189" s="4"/>
      <c r="H1189" s="47"/>
      <c r="Z1189" s="6"/>
    </row>
    <row r="1190" spans="5:26" x14ac:dyDescent="0.2">
      <c r="E1190" s="4"/>
      <c r="F1190" s="45"/>
      <c r="G1190" s="4"/>
      <c r="H1190" s="47"/>
      <c r="Z1190" s="6"/>
    </row>
    <row r="1191" spans="5:26" x14ac:dyDescent="0.2">
      <c r="E1191" s="4"/>
      <c r="F1191" s="45"/>
      <c r="G1191" s="4"/>
      <c r="H1191" s="47"/>
      <c r="Z1191" s="6"/>
    </row>
    <row r="1192" spans="5:26" x14ac:dyDescent="0.2">
      <c r="E1192" s="4"/>
      <c r="F1192" s="45"/>
      <c r="G1192" s="4"/>
      <c r="H1192" s="47"/>
      <c r="Z1192" s="6"/>
    </row>
    <row r="1193" spans="5:26" x14ac:dyDescent="0.2">
      <c r="E1193" s="4"/>
      <c r="F1193" s="45"/>
      <c r="G1193" s="4"/>
      <c r="H1193" s="47"/>
      <c r="Z1193" s="6"/>
    </row>
    <row r="1194" spans="5:26" x14ac:dyDescent="0.2">
      <c r="E1194" s="4"/>
      <c r="F1194" s="45"/>
      <c r="G1194" s="4"/>
      <c r="H1194" s="47"/>
      <c r="Z1194" s="6"/>
    </row>
    <row r="1195" spans="5:26" x14ac:dyDescent="0.2">
      <c r="E1195" s="4"/>
      <c r="F1195" s="45"/>
      <c r="G1195" s="4"/>
      <c r="H1195" s="47"/>
      <c r="Z1195" s="6"/>
    </row>
    <row r="1196" spans="5:26" x14ac:dyDescent="0.2">
      <c r="E1196" s="4"/>
      <c r="F1196" s="45"/>
      <c r="G1196" s="4"/>
      <c r="H1196" s="47"/>
      <c r="Z1196" s="6"/>
    </row>
    <row r="1197" spans="5:26" x14ac:dyDescent="0.2">
      <c r="E1197" s="4"/>
      <c r="F1197" s="45"/>
      <c r="G1197" s="4"/>
      <c r="H1197" s="47"/>
      <c r="Z1197" s="6"/>
    </row>
    <row r="1198" spans="5:26" x14ac:dyDescent="0.2">
      <c r="E1198" s="4"/>
      <c r="F1198" s="45"/>
      <c r="G1198" s="4"/>
      <c r="H1198" s="47"/>
      <c r="Z1198" s="6"/>
    </row>
    <row r="1199" spans="5:26" x14ac:dyDescent="0.2">
      <c r="E1199" s="4"/>
      <c r="F1199" s="45"/>
      <c r="G1199" s="4"/>
      <c r="H1199" s="47"/>
      <c r="Z1199" s="6"/>
    </row>
    <row r="1200" spans="5:26" x14ac:dyDescent="0.2">
      <c r="E1200" s="4"/>
      <c r="F1200" s="45"/>
      <c r="G1200" s="4"/>
      <c r="H1200" s="47"/>
      <c r="Z1200" s="6"/>
    </row>
    <row r="1201" spans="5:26" x14ac:dyDescent="0.2">
      <c r="E1201" s="4"/>
      <c r="F1201" s="45"/>
      <c r="G1201" s="4"/>
      <c r="H1201" s="47"/>
      <c r="Z1201" s="6"/>
    </row>
    <row r="1202" spans="5:26" x14ac:dyDescent="0.2">
      <c r="E1202" s="4"/>
      <c r="F1202" s="45"/>
      <c r="G1202" s="4"/>
      <c r="H1202" s="47"/>
      <c r="Z1202" s="6"/>
    </row>
    <row r="1203" spans="5:26" x14ac:dyDescent="0.2">
      <c r="E1203" s="4"/>
      <c r="F1203" s="45"/>
      <c r="G1203" s="4"/>
      <c r="H1203" s="47"/>
      <c r="Z1203" s="6"/>
    </row>
    <row r="1204" spans="5:26" x14ac:dyDescent="0.2">
      <c r="E1204" s="4"/>
      <c r="F1204" s="45"/>
      <c r="G1204" s="4"/>
      <c r="H1204" s="47"/>
      <c r="Z1204" s="6"/>
    </row>
    <row r="1205" spans="5:26" x14ac:dyDescent="0.2">
      <c r="E1205" s="4"/>
      <c r="F1205" s="45"/>
      <c r="G1205" s="4"/>
      <c r="H1205" s="47"/>
      <c r="Z1205" s="6"/>
    </row>
    <row r="1206" spans="5:26" x14ac:dyDescent="0.2">
      <c r="E1206" s="4"/>
      <c r="F1206" s="45"/>
      <c r="G1206" s="4"/>
      <c r="H1206" s="47"/>
      <c r="Z1206" s="6"/>
    </row>
    <row r="1207" spans="5:26" x14ac:dyDescent="0.2">
      <c r="E1207" s="4"/>
      <c r="F1207" s="45"/>
      <c r="G1207" s="4"/>
      <c r="H1207" s="47"/>
      <c r="Z1207" s="6"/>
    </row>
    <row r="1208" spans="5:26" x14ac:dyDescent="0.2">
      <c r="E1208" s="4"/>
      <c r="F1208" s="45"/>
      <c r="G1208" s="4"/>
      <c r="H1208" s="47"/>
      <c r="Z1208" s="6"/>
    </row>
    <row r="1209" spans="5:26" x14ac:dyDescent="0.2">
      <c r="E1209" s="4"/>
      <c r="F1209" s="45"/>
      <c r="G1209" s="4"/>
      <c r="H1209" s="47"/>
      <c r="Z1209" s="6"/>
    </row>
    <row r="1210" spans="5:26" x14ac:dyDescent="0.2">
      <c r="E1210" s="4"/>
      <c r="F1210" s="45"/>
      <c r="G1210" s="4"/>
      <c r="H1210" s="47"/>
      <c r="Z1210" s="6"/>
    </row>
    <row r="1211" spans="5:26" x14ac:dyDescent="0.2">
      <c r="E1211" s="4"/>
      <c r="F1211" s="45"/>
      <c r="G1211" s="4"/>
      <c r="H1211" s="47"/>
      <c r="Z1211" s="6"/>
    </row>
    <row r="1212" spans="5:26" x14ac:dyDescent="0.2">
      <c r="E1212" s="4"/>
      <c r="F1212" s="45"/>
      <c r="G1212" s="4"/>
      <c r="H1212" s="47"/>
      <c r="Z1212" s="6"/>
    </row>
    <row r="1213" spans="5:26" x14ac:dyDescent="0.2">
      <c r="E1213" s="4"/>
      <c r="F1213" s="45"/>
      <c r="G1213" s="4"/>
      <c r="H1213" s="47"/>
      <c r="Z1213" s="6"/>
    </row>
    <row r="1214" spans="5:26" x14ac:dyDescent="0.2">
      <c r="E1214" s="4"/>
      <c r="F1214" s="45"/>
      <c r="G1214" s="4"/>
      <c r="H1214" s="47"/>
      <c r="Z1214" s="6"/>
    </row>
    <row r="1215" spans="5:26" x14ac:dyDescent="0.2">
      <c r="E1215" s="4"/>
      <c r="F1215" s="45"/>
      <c r="G1215" s="4"/>
      <c r="H1215" s="47"/>
      <c r="Z1215" s="6"/>
    </row>
    <row r="1216" spans="5:26" x14ac:dyDescent="0.2">
      <c r="E1216" s="4"/>
      <c r="F1216" s="45"/>
      <c r="G1216" s="4"/>
      <c r="H1216" s="47"/>
      <c r="Z1216" s="6"/>
    </row>
    <row r="1217" spans="5:26" x14ac:dyDescent="0.2">
      <c r="E1217" s="4"/>
      <c r="F1217" s="45"/>
      <c r="G1217" s="4"/>
      <c r="H1217" s="47"/>
      <c r="Z1217" s="6"/>
    </row>
    <row r="1218" spans="5:26" x14ac:dyDescent="0.2">
      <c r="E1218" s="4"/>
      <c r="F1218" s="45"/>
      <c r="G1218" s="4"/>
      <c r="H1218" s="47"/>
      <c r="Z1218" s="6"/>
    </row>
    <row r="1219" spans="5:26" x14ac:dyDescent="0.2">
      <c r="E1219" s="4"/>
      <c r="F1219" s="45"/>
      <c r="G1219" s="4"/>
      <c r="H1219" s="47"/>
      <c r="Z1219" s="6"/>
    </row>
    <row r="1220" spans="5:26" x14ac:dyDescent="0.2">
      <c r="E1220" s="4"/>
      <c r="F1220" s="45"/>
      <c r="G1220" s="4"/>
      <c r="H1220" s="47"/>
      <c r="Z1220" s="6"/>
    </row>
    <row r="1221" spans="5:26" x14ac:dyDescent="0.2">
      <c r="E1221" s="4"/>
      <c r="F1221" s="45"/>
      <c r="G1221" s="4"/>
      <c r="H1221" s="47"/>
      <c r="Z1221" s="6"/>
    </row>
    <row r="1222" spans="5:26" x14ac:dyDescent="0.2">
      <c r="E1222" s="4"/>
      <c r="F1222" s="45"/>
      <c r="G1222" s="4"/>
      <c r="H1222" s="47"/>
      <c r="Z1222" s="6"/>
    </row>
    <row r="1223" spans="5:26" x14ac:dyDescent="0.2">
      <c r="E1223" s="4"/>
      <c r="F1223" s="45"/>
      <c r="G1223" s="4"/>
      <c r="H1223" s="47"/>
      <c r="Z1223" s="6"/>
    </row>
    <row r="1224" spans="5:26" x14ac:dyDescent="0.2">
      <c r="E1224" s="4"/>
      <c r="F1224" s="45"/>
      <c r="G1224" s="4"/>
      <c r="H1224" s="47"/>
      <c r="Z1224" s="6"/>
    </row>
    <row r="1225" spans="5:26" x14ac:dyDescent="0.2">
      <c r="E1225" s="4"/>
      <c r="F1225" s="45"/>
      <c r="G1225" s="4"/>
      <c r="H1225" s="47"/>
      <c r="Z1225" s="6"/>
    </row>
    <row r="1226" spans="5:26" x14ac:dyDescent="0.2">
      <c r="E1226" s="4"/>
      <c r="F1226" s="45"/>
      <c r="G1226" s="4"/>
      <c r="H1226" s="47"/>
      <c r="Z1226" s="6"/>
    </row>
    <row r="1227" spans="5:26" x14ac:dyDescent="0.2">
      <c r="E1227" s="4"/>
      <c r="F1227" s="45"/>
      <c r="G1227" s="4"/>
      <c r="H1227" s="47"/>
      <c r="Z1227" s="6"/>
    </row>
    <row r="1228" spans="5:26" x14ac:dyDescent="0.2">
      <c r="E1228" s="4"/>
      <c r="F1228" s="45"/>
      <c r="G1228" s="4"/>
      <c r="H1228" s="47"/>
      <c r="Z1228" s="6"/>
    </row>
    <row r="1229" spans="5:26" x14ac:dyDescent="0.2">
      <c r="E1229" s="4"/>
      <c r="F1229" s="45"/>
      <c r="G1229" s="4"/>
      <c r="H1229" s="47"/>
      <c r="Z1229" s="6"/>
    </row>
    <row r="1230" spans="5:26" x14ac:dyDescent="0.2">
      <c r="E1230" s="4"/>
      <c r="F1230" s="45"/>
      <c r="G1230" s="4"/>
      <c r="H1230" s="47"/>
      <c r="Z1230" s="6"/>
    </row>
    <row r="1231" spans="5:26" x14ac:dyDescent="0.2">
      <c r="E1231" s="4"/>
      <c r="F1231" s="45"/>
      <c r="G1231" s="4"/>
      <c r="H1231" s="47"/>
      <c r="Z1231" s="6"/>
    </row>
    <row r="1232" spans="5:26" x14ac:dyDescent="0.2">
      <c r="E1232" s="4"/>
      <c r="F1232" s="45"/>
      <c r="G1232" s="4"/>
      <c r="H1232" s="47"/>
      <c r="Z1232" s="6"/>
    </row>
    <row r="1233" spans="5:26" x14ac:dyDescent="0.2">
      <c r="E1233" s="4"/>
      <c r="F1233" s="45"/>
      <c r="G1233" s="4"/>
      <c r="H1233" s="47"/>
      <c r="Z1233" s="6"/>
    </row>
    <row r="1234" spans="5:26" x14ac:dyDescent="0.2">
      <c r="E1234" s="4"/>
      <c r="F1234" s="45"/>
      <c r="G1234" s="4"/>
      <c r="H1234" s="47"/>
      <c r="Z1234" s="6"/>
    </row>
    <row r="1235" spans="5:26" x14ac:dyDescent="0.2">
      <c r="E1235" s="4"/>
      <c r="F1235" s="45"/>
      <c r="G1235" s="4"/>
      <c r="H1235" s="47"/>
      <c r="Z1235" s="6"/>
    </row>
    <row r="1236" spans="5:26" x14ac:dyDescent="0.2">
      <c r="E1236" s="4"/>
      <c r="F1236" s="45"/>
      <c r="G1236" s="4"/>
      <c r="H1236" s="47"/>
      <c r="Z1236" s="6"/>
    </row>
    <row r="1237" spans="5:26" x14ac:dyDescent="0.2">
      <c r="E1237" s="4"/>
      <c r="F1237" s="45"/>
      <c r="G1237" s="4"/>
      <c r="H1237" s="47"/>
      <c r="Z1237" s="6"/>
    </row>
    <row r="1238" spans="5:26" x14ac:dyDescent="0.2">
      <c r="E1238" s="4"/>
      <c r="F1238" s="45"/>
      <c r="G1238" s="4"/>
      <c r="H1238" s="47"/>
      <c r="Z1238" s="6"/>
    </row>
    <row r="1239" spans="5:26" x14ac:dyDescent="0.2">
      <c r="E1239" s="4"/>
      <c r="F1239" s="45"/>
      <c r="G1239" s="4"/>
      <c r="H1239" s="47"/>
      <c r="Z1239" s="6"/>
    </row>
    <row r="1240" spans="5:26" x14ac:dyDescent="0.2">
      <c r="E1240" s="4"/>
      <c r="F1240" s="45"/>
      <c r="G1240" s="4"/>
      <c r="H1240" s="47"/>
      <c r="Z1240" s="6"/>
    </row>
    <row r="1241" spans="5:26" x14ac:dyDescent="0.2">
      <c r="E1241" s="4"/>
      <c r="F1241" s="45"/>
      <c r="G1241" s="4"/>
      <c r="H1241" s="47"/>
      <c r="Z1241" s="6"/>
    </row>
    <row r="1242" spans="5:26" x14ac:dyDescent="0.2">
      <c r="E1242" s="4"/>
      <c r="F1242" s="45"/>
      <c r="G1242" s="4"/>
      <c r="H1242" s="47"/>
      <c r="Z1242" s="6"/>
    </row>
    <row r="1243" spans="5:26" x14ac:dyDescent="0.2">
      <c r="E1243" s="4"/>
      <c r="F1243" s="45"/>
      <c r="G1243" s="4"/>
      <c r="H1243" s="47"/>
      <c r="Z1243" s="6"/>
    </row>
    <row r="1244" spans="5:26" x14ac:dyDescent="0.2">
      <c r="E1244" s="4"/>
      <c r="F1244" s="45"/>
      <c r="G1244" s="4"/>
      <c r="H1244" s="47"/>
      <c r="Z1244" s="6"/>
    </row>
    <row r="1245" spans="5:26" x14ac:dyDescent="0.2">
      <c r="E1245" s="4"/>
      <c r="F1245" s="45"/>
      <c r="G1245" s="4"/>
      <c r="H1245" s="47"/>
      <c r="Z1245" s="6"/>
    </row>
    <row r="1246" spans="5:26" x14ac:dyDescent="0.2">
      <c r="E1246" s="4"/>
      <c r="F1246" s="45"/>
      <c r="G1246" s="4"/>
      <c r="H1246" s="47"/>
      <c r="Z1246" s="6"/>
    </row>
    <row r="1247" spans="5:26" x14ac:dyDescent="0.2">
      <c r="E1247" s="4"/>
      <c r="F1247" s="45"/>
      <c r="G1247" s="4"/>
      <c r="H1247" s="47"/>
      <c r="Z1247" s="6"/>
    </row>
    <row r="1248" spans="5:26" x14ac:dyDescent="0.2">
      <c r="E1248" s="4"/>
      <c r="F1248" s="45"/>
      <c r="G1248" s="4"/>
      <c r="H1248" s="47"/>
      <c r="Z1248" s="6"/>
    </row>
    <row r="1249" spans="5:26" x14ac:dyDescent="0.2">
      <c r="E1249" s="4"/>
      <c r="F1249" s="45"/>
      <c r="G1249" s="4"/>
      <c r="H1249" s="47"/>
      <c r="Z1249" s="6"/>
    </row>
    <row r="1250" spans="5:26" x14ac:dyDescent="0.2">
      <c r="E1250" s="4"/>
      <c r="F1250" s="45"/>
      <c r="G1250" s="4"/>
      <c r="H1250" s="47"/>
      <c r="Z1250" s="6"/>
    </row>
    <row r="1251" spans="5:26" x14ac:dyDescent="0.2">
      <c r="E1251" s="4"/>
      <c r="F1251" s="45"/>
      <c r="G1251" s="4"/>
      <c r="H1251" s="47"/>
      <c r="Z1251" s="6"/>
    </row>
    <row r="1252" spans="5:26" x14ac:dyDescent="0.2">
      <c r="E1252" s="4"/>
      <c r="F1252" s="45"/>
      <c r="G1252" s="4"/>
      <c r="H1252" s="47"/>
      <c r="Z1252" s="6"/>
    </row>
    <row r="1253" spans="5:26" x14ac:dyDescent="0.2">
      <c r="E1253" s="4"/>
      <c r="F1253" s="45"/>
      <c r="G1253" s="4"/>
      <c r="H1253" s="47"/>
      <c r="Z1253" s="6"/>
    </row>
    <row r="1254" spans="5:26" x14ac:dyDescent="0.2">
      <c r="E1254" s="4"/>
      <c r="F1254" s="45"/>
      <c r="G1254" s="4"/>
      <c r="H1254" s="47"/>
      <c r="Z1254" s="6"/>
    </row>
    <row r="1255" spans="5:26" x14ac:dyDescent="0.2">
      <c r="E1255" s="4"/>
      <c r="F1255" s="45"/>
      <c r="G1255" s="4"/>
      <c r="H1255" s="47"/>
      <c r="Z1255" s="6"/>
    </row>
    <row r="1256" spans="5:26" x14ac:dyDescent="0.2">
      <c r="E1256" s="4"/>
      <c r="F1256" s="45"/>
      <c r="G1256" s="4"/>
      <c r="H1256" s="47"/>
      <c r="Z1256" s="6"/>
    </row>
    <row r="1257" spans="5:26" x14ac:dyDescent="0.2">
      <c r="E1257" s="4"/>
      <c r="F1257" s="45"/>
      <c r="G1257" s="4"/>
      <c r="H1257" s="47"/>
      <c r="Z1257" s="6"/>
    </row>
    <row r="1258" spans="5:26" x14ac:dyDescent="0.2">
      <c r="E1258" s="4"/>
      <c r="F1258" s="45"/>
      <c r="G1258" s="4"/>
      <c r="H1258" s="47"/>
      <c r="Z1258" s="6"/>
    </row>
    <row r="1259" spans="5:26" x14ac:dyDescent="0.2">
      <c r="E1259" s="4"/>
      <c r="F1259" s="45"/>
      <c r="G1259" s="4"/>
      <c r="H1259" s="47"/>
      <c r="Z1259" s="6"/>
    </row>
    <row r="1260" spans="5:26" x14ac:dyDescent="0.2">
      <c r="E1260" s="4"/>
      <c r="F1260" s="45"/>
      <c r="G1260" s="4"/>
      <c r="H1260" s="47"/>
      <c r="Z1260" s="6"/>
    </row>
    <row r="1261" spans="5:26" x14ac:dyDescent="0.2">
      <c r="E1261" s="4"/>
      <c r="F1261" s="45"/>
      <c r="G1261" s="4"/>
      <c r="H1261" s="47"/>
      <c r="Z1261" s="6"/>
    </row>
    <row r="1262" spans="5:26" x14ac:dyDescent="0.2">
      <c r="E1262" s="4"/>
      <c r="F1262" s="45"/>
      <c r="G1262" s="4"/>
      <c r="H1262" s="47"/>
      <c r="Z1262" s="6"/>
    </row>
    <row r="1263" spans="5:26" x14ac:dyDescent="0.2">
      <c r="E1263" s="4"/>
      <c r="F1263" s="45"/>
      <c r="G1263" s="4"/>
      <c r="H1263" s="47"/>
      <c r="Z1263" s="6"/>
    </row>
    <row r="1264" spans="5:26" x14ac:dyDescent="0.2">
      <c r="E1264" s="4"/>
      <c r="F1264" s="45"/>
      <c r="G1264" s="4"/>
      <c r="H1264" s="47"/>
      <c r="Z1264" s="6"/>
    </row>
    <row r="1265" spans="5:26" x14ac:dyDescent="0.2">
      <c r="E1265" s="4"/>
      <c r="F1265" s="45"/>
      <c r="G1265" s="4"/>
      <c r="H1265" s="47"/>
      <c r="Z1265" s="6"/>
    </row>
    <row r="1266" spans="5:26" x14ac:dyDescent="0.2">
      <c r="E1266" s="4"/>
      <c r="F1266" s="45"/>
      <c r="G1266" s="4"/>
      <c r="H1266" s="47"/>
      <c r="Z1266" s="6"/>
    </row>
    <row r="1267" spans="5:26" x14ac:dyDescent="0.2">
      <c r="E1267" s="4"/>
      <c r="F1267" s="45"/>
      <c r="G1267" s="4"/>
      <c r="H1267" s="47"/>
      <c r="Z1267" s="6"/>
    </row>
    <row r="1268" spans="5:26" x14ac:dyDescent="0.2">
      <c r="E1268" s="4"/>
      <c r="F1268" s="45"/>
      <c r="G1268" s="4"/>
      <c r="H1268" s="47"/>
      <c r="Z1268" s="6"/>
    </row>
    <row r="1269" spans="5:26" x14ac:dyDescent="0.2">
      <c r="E1269" s="4"/>
      <c r="F1269" s="45"/>
      <c r="G1269" s="4"/>
      <c r="H1269" s="47"/>
      <c r="Z1269" s="6"/>
    </row>
    <row r="1270" spans="5:26" x14ac:dyDescent="0.2">
      <c r="E1270" s="4"/>
      <c r="F1270" s="45"/>
      <c r="G1270" s="4"/>
      <c r="H1270" s="47"/>
      <c r="Z1270" s="6"/>
    </row>
    <row r="1271" spans="5:26" x14ac:dyDescent="0.2">
      <c r="E1271" s="4"/>
      <c r="F1271" s="45"/>
      <c r="G1271" s="4"/>
      <c r="H1271" s="47"/>
      <c r="Z1271" s="6"/>
    </row>
    <row r="1272" spans="5:26" x14ac:dyDescent="0.2">
      <c r="E1272" s="4"/>
      <c r="F1272" s="45"/>
      <c r="G1272" s="4"/>
      <c r="H1272" s="47"/>
      <c r="Z1272" s="6"/>
    </row>
    <row r="1273" spans="5:26" x14ac:dyDescent="0.2">
      <c r="E1273" s="4"/>
      <c r="F1273" s="45"/>
      <c r="G1273" s="4"/>
      <c r="H1273" s="47"/>
      <c r="Z1273" s="6"/>
    </row>
    <row r="1274" spans="5:26" x14ac:dyDescent="0.2">
      <c r="E1274" s="4"/>
      <c r="F1274" s="45"/>
      <c r="G1274" s="4"/>
      <c r="H1274" s="47"/>
      <c r="Z1274" s="6"/>
    </row>
    <row r="1275" spans="5:26" x14ac:dyDescent="0.2">
      <c r="E1275" s="4"/>
      <c r="F1275" s="45"/>
      <c r="G1275" s="4"/>
      <c r="H1275" s="47"/>
      <c r="Z1275" s="6"/>
    </row>
    <row r="1276" spans="5:26" x14ac:dyDescent="0.2">
      <c r="E1276" s="4"/>
      <c r="F1276" s="45"/>
      <c r="G1276" s="4"/>
      <c r="H1276" s="47"/>
      <c r="Z1276" s="6"/>
    </row>
    <row r="1277" spans="5:26" x14ac:dyDescent="0.2">
      <c r="E1277" s="4"/>
      <c r="F1277" s="45"/>
      <c r="G1277" s="4"/>
      <c r="H1277" s="47"/>
      <c r="Z1277" s="6"/>
    </row>
    <row r="1278" spans="5:26" x14ac:dyDescent="0.2">
      <c r="E1278" s="4"/>
      <c r="F1278" s="45"/>
      <c r="G1278" s="4"/>
      <c r="H1278" s="47"/>
      <c r="Z1278" s="6"/>
    </row>
    <row r="1279" spans="5:26" x14ac:dyDescent="0.2">
      <c r="E1279" s="4"/>
      <c r="F1279" s="45"/>
      <c r="G1279" s="4"/>
      <c r="H1279" s="47"/>
      <c r="Z1279" s="6"/>
    </row>
    <row r="1280" spans="5:26" x14ac:dyDescent="0.2">
      <c r="E1280" s="4"/>
      <c r="F1280" s="45"/>
      <c r="G1280" s="4"/>
      <c r="H1280" s="47"/>
      <c r="Z1280" s="6"/>
    </row>
    <row r="1281" spans="5:26" x14ac:dyDescent="0.2">
      <c r="E1281" s="4"/>
      <c r="F1281" s="45"/>
      <c r="G1281" s="4"/>
      <c r="H1281" s="47"/>
      <c r="Z1281" s="6"/>
    </row>
    <row r="1282" spans="5:26" x14ac:dyDescent="0.2">
      <c r="E1282" s="4"/>
      <c r="F1282" s="45"/>
      <c r="G1282" s="4"/>
      <c r="H1282" s="47"/>
      <c r="Z1282" s="6"/>
    </row>
    <row r="1283" spans="5:26" x14ac:dyDescent="0.2">
      <c r="E1283" s="4"/>
      <c r="F1283" s="45"/>
      <c r="G1283" s="4"/>
      <c r="H1283" s="47"/>
      <c r="Z1283" s="6"/>
    </row>
    <row r="1284" spans="5:26" x14ac:dyDescent="0.2">
      <c r="E1284" s="4"/>
      <c r="F1284" s="45"/>
      <c r="G1284" s="4"/>
      <c r="H1284" s="47"/>
      <c r="Z1284" s="6"/>
    </row>
    <row r="1285" spans="5:26" x14ac:dyDescent="0.2">
      <c r="E1285" s="4"/>
      <c r="F1285" s="45"/>
      <c r="G1285" s="4"/>
      <c r="H1285" s="47"/>
      <c r="Z1285" s="6"/>
    </row>
    <row r="1286" spans="5:26" x14ac:dyDescent="0.2">
      <c r="E1286" s="4"/>
      <c r="F1286" s="45"/>
      <c r="G1286" s="4"/>
      <c r="H1286" s="47"/>
      <c r="Z1286" s="6"/>
    </row>
    <row r="1287" spans="5:26" x14ac:dyDescent="0.2">
      <c r="E1287" s="4"/>
      <c r="F1287" s="45"/>
      <c r="G1287" s="4"/>
      <c r="H1287" s="47"/>
      <c r="Z1287" s="6"/>
    </row>
    <row r="1288" spans="5:26" x14ac:dyDescent="0.2">
      <c r="E1288" s="4"/>
      <c r="F1288" s="45"/>
      <c r="G1288" s="4"/>
      <c r="H1288" s="47"/>
      <c r="Z1288" s="6"/>
    </row>
    <row r="1289" spans="5:26" x14ac:dyDescent="0.2">
      <c r="E1289" s="4"/>
      <c r="F1289" s="45"/>
      <c r="G1289" s="4"/>
      <c r="H1289" s="47"/>
      <c r="Z1289" s="6"/>
    </row>
    <row r="1290" spans="5:26" x14ac:dyDescent="0.2">
      <c r="E1290" s="4"/>
      <c r="F1290" s="45"/>
      <c r="G1290" s="4"/>
      <c r="H1290" s="47"/>
      <c r="Z1290" s="6"/>
    </row>
    <row r="1291" spans="5:26" x14ac:dyDescent="0.2">
      <c r="E1291" s="4"/>
      <c r="F1291" s="45"/>
      <c r="G1291" s="4"/>
      <c r="H1291" s="47"/>
      <c r="Z1291" s="6"/>
    </row>
    <row r="1292" spans="5:26" x14ac:dyDescent="0.2">
      <c r="E1292" s="4"/>
      <c r="F1292" s="45"/>
      <c r="G1292" s="4"/>
      <c r="H1292" s="47"/>
      <c r="Z1292" s="6"/>
    </row>
    <row r="1293" spans="5:26" x14ac:dyDescent="0.2">
      <c r="E1293" s="4"/>
      <c r="F1293" s="45"/>
      <c r="G1293" s="4"/>
      <c r="H1293" s="47"/>
      <c r="Z1293" s="6"/>
    </row>
    <row r="1294" spans="5:26" x14ac:dyDescent="0.2">
      <c r="E1294" s="4"/>
      <c r="F1294" s="45"/>
      <c r="G1294" s="4"/>
      <c r="H1294" s="47"/>
      <c r="Z1294" s="6"/>
    </row>
    <row r="1295" spans="5:26" x14ac:dyDescent="0.2">
      <c r="E1295" s="4"/>
      <c r="F1295" s="45"/>
      <c r="G1295" s="4"/>
      <c r="H1295" s="47"/>
      <c r="Z1295" s="6"/>
    </row>
    <row r="1296" spans="5:26" x14ac:dyDescent="0.2">
      <c r="E1296" s="4"/>
      <c r="F1296" s="45"/>
      <c r="G1296" s="4"/>
      <c r="H1296" s="47"/>
      <c r="Z1296" s="6"/>
    </row>
    <row r="1297" spans="5:26" x14ac:dyDescent="0.2">
      <c r="E1297" s="4"/>
      <c r="F1297" s="45"/>
      <c r="G1297" s="4"/>
      <c r="H1297" s="47"/>
      <c r="Z1297" s="6"/>
    </row>
    <row r="1298" spans="5:26" x14ac:dyDescent="0.2">
      <c r="E1298" s="4"/>
      <c r="F1298" s="45"/>
      <c r="G1298" s="4"/>
      <c r="H1298" s="47"/>
      <c r="Z1298" s="6"/>
    </row>
    <row r="1299" spans="5:26" x14ac:dyDescent="0.2">
      <c r="E1299" s="4"/>
      <c r="F1299" s="45"/>
      <c r="G1299" s="4"/>
      <c r="H1299" s="47"/>
      <c r="Z1299" s="6"/>
    </row>
    <row r="1300" spans="5:26" x14ac:dyDescent="0.2">
      <c r="E1300" s="4"/>
      <c r="F1300" s="45"/>
      <c r="G1300" s="4"/>
      <c r="H1300" s="47"/>
      <c r="Z1300" s="6"/>
    </row>
    <row r="1301" spans="5:26" x14ac:dyDescent="0.2">
      <c r="E1301" s="4"/>
      <c r="F1301" s="45"/>
      <c r="G1301" s="4"/>
      <c r="H1301" s="47"/>
      <c r="Z1301" s="6"/>
    </row>
    <row r="1302" spans="5:26" x14ac:dyDescent="0.2">
      <c r="E1302" s="4"/>
      <c r="F1302" s="45"/>
      <c r="G1302" s="4"/>
      <c r="H1302" s="47"/>
      <c r="Z1302" s="6"/>
    </row>
    <row r="1303" spans="5:26" x14ac:dyDescent="0.2">
      <c r="E1303" s="4"/>
      <c r="F1303" s="45"/>
      <c r="G1303" s="4"/>
      <c r="H1303" s="47"/>
      <c r="Z1303" s="6"/>
    </row>
    <row r="1304" spans="5:26" x14ac:dyDescent="0.2">
      <c r="E1304" s="4"/>
      <c r="F1304" s="45"/>
      <c r="G1304" s="4"/>
      <c r="H1304" s="47"/>
      <c r="Z1304" s="6"/>
    </row>
    <row r="1305" spans="5:26" x14ac:dyDescent="0.2">
      <c r="E1305" s="4"/>
      <c r="F1305" s="45"/>
      <c r="G1305" s="4"/>
      <c r="H1305" s="47"/>
      <c r="Z1305" s="6"/>
    </row>
    <row r="1306" spans="5:26" x14ac:dyDescent="0.2">
      <c r="E1306" s="4"/>
      <c r="F1306" s="45"/>
      <c r="G1306" s="4"/>
      <c r="H1306" s="47"/>
      <c r="Z1306" s="6"/>
    </row>
    <row r="1307" spans="5:26" x14ac:dyDescent="0.2">
      <c r="E1307" s="4"/>
      <c r="F1307" s="45"/>
      <c r="G1307" s="4"/>
      <c r="H1307" s="47"/>
      <c r="Z1307" s="6"/>
    </row>
    <row r="1308" spans="5:26" x14ac:dyDescent="0.2">
      <c r="E1308" s="4"/>
      <c r="F1308" s="45"/>
      <c r="G1308" s="4"/>
      <c r="H1308" s="47"/>
      <c r="Z1308" s="6"/>
    </row>
    <row r="1309" spans="5:26" x14ac:dyDescent="0.2">
      <c r="E1309" s="4"/>
      <c r="F1309" s="45"/>
      <c r="G1309" s="4"/>
      <c r="H1309" s="47"/>
      <c r="Z1309" s="6"/>
    </row>
    <row r="1310" spans="5:26" x14ac:dyDescent="0.2">
      <c r="E1310" s="4"/>
      <c r="F1310" s="45"/>
      <c r="G1310" s="4"/>
      <c r="H1310" s="47"/>
      <c r="Z1310" s="6"/>
    </row>
    <row r="1311" spans="5:26" x14ac:dyDescent="0.2">
      <c r="E1311" s="4"/>
      <c r="F1311" s="45"/>
      <c r="G1311" s="4"/>
      <c r="H1311" s="47"/>
      <c r="Z1311" s="6"/>
    </row>
    <row r="1312" spans="5:26" x14ac:dyDescent="0.2">
      <c r="E1312" s="4"/>
      <c r="F1312" s="45"/>
      <c r="G1312" s="4"/>
      <c r="H1312" s="47"/>
      <c r="Z1312" s="6"/>
    </row>
    <row r="1313" spans="5:26" x14ac:dyDescent="0.2">
      <c r="E1313" s="4"/>
      <c r="F1313" s="45"/>
      <c r="G1313" s="4"/>
      <c r="H1313" s="47"/>
      <c r="Z1313" s="6"/>
    </row>
    <row r="1314" spans="5:26" x14ac:dyDescent="0.2">
      <c r="E1314" s="4"/>
      <c r="F1314" s="45"/>
      <c r="G1314" s="4"/>
      <c r="H1314" s="47"/>
      <c r="Z1314" s="6"/>
    </row>
    <row r="1315" spans="5:26" x14ac:dyDescent="0.2">
      <c r="E1315" s="4"/>
      <c r="F1315" s="45"/>
      <c r="G1315" s="4"/>
      <c r="H1315" s="47"/>
      <c r="Z1315" s="6"/>
    </row>
    <row r="1316" spans="5:26" x14ac:dyDescent="0.2">
      <c r="E1316" s="4"/>
      <c r="F1316" s="45"/>
      <c r="G1316" s="4"/>
      <c r="H1316" s="47"/>
      <c r="Z1316" s="6"/>
    </row>
    <row r="1317" spans="5:26" x14ac:dyDescent="0.2">
      <c r="E1317" s="4"/>
      <c r="F1317" s="45"/>
      <c r="G1317" s="4"/>
      <c r="H1317" s="47"/>
      <c r="Z1317" s="6"/>
    </row>
    <row r="1318" spans="5:26" x14ac:dyDescent="0.2">
      <c r="E1318" s="4"/>
      <c r="F1318" s="45"/>
      <c r="G1318" s="4"/>
      <c r="H1318" s="47"/>
      <c r="Z1318" s="6"/>
    </row>
    <row r="1319" spans="5:26" x14ac:dyDescent="0.2">
      <c r="E1319" s="4"/>
      <c r="F1319" s="45"/>
      <c r="G1319" s="4"/>
      <c r="H1319" s="47"/>
      <c r="Z1319" s="6"/>
    </row>
    <row r="1320" spans="5:26" x14ac:dyDescent="0.2">
      <c r="E1320" s="4"/>
      <c r="F1320" s="45"/>
      <c r="G1320" s="4"/>
      <c r="H1320" s="47"/>
      <c r="Z1320" s="6"/>
    </row>
    <row r="1321" spans="5:26" x14ac:dyDescent="0.2">
      <c r="E1321" s="4"/>
      <c r="F1321" s="45"/>
      <c r="G1321" s="4"/>
      <c r="H1321" s="47"/>
      <c r="Z1321" s="6"/>
    </row>
    <row r="1322" spans="5:26" x14ac:dyDescent="0.2">
      <c r="E1322" s="4"/>
      <c r="F1322" s="45"/>
      <c r="G1322" s="4"/>
      <c r="H1322" s="47"/>
      <c r="Z1322" s="6"/>
    </row>
    <row r="1323" spans="5:26" x14ac:dyDescent="0.2">
      <c r="E1323" s="4"/>
      <c r="F1323" s="45"/>
      <c r="G1323" s="4"/>
      <c r="H1323" s="47"/>
      <c r="Z1323" s="6"/>
    </row>
    <row r="1324" spans="5:26" x14ac:dyDescent="0.2">
      <c r="E1324" s="4"/>
      <c r="F1324" s="45"/>
      <c r="G1324" s="4"/>
      <c r="H1324" s="47"/>
      <c r="Z1324" s="6"/>
    </row>
    <row r="1325" spans="5:26" x14ac:dyDescent="0.2">
      <c r="E1325" s="4"/>
      <c r="F1325" s="45"/>
      <c r="G1325" s="4"/>
      <c r="H1325" s="47"/>
      <c r="Z1325" s="6"/>
    </row>
    <row r="1326" spans="5:26" x14ac:dyDescent="0.2">
      <c r="E1326" s="4"/>
      <c r="F1326" s="45"/>
      <c r="G1326" s="4"/>
      <c r="H1326" s="47"/>
      <c r="Z1326" s="6"/>
    </row>
    <row r="1327" spans="5:26" x14ac:dyDescent="0.2">
      <c r="E1327" s="4"/>
      <c r="F1327" s="45"/>
      <c r="G1327" s="4"/>
      <c r="H1327" s="47"/>
      <c r="Z1327" s="6"/>
    </row>
    <row r="1328" spans="5:26" x14ac:dyDescent="0.2">
      <c r="E1328" s="4"/>
      <c r="F1328" s="45"/>
      <c r="G1328" s="4"/>
      <c r="H1328" s="47"/>
      <c r="Z1328" s="6"/>
    </row>
    <row r="1329" spans="5:26" x14ac:dyDescent="0.2">
      <c r="E1329" s="4"/>
      <c r="F1329" s="45"/>
      <c r="G1329" s="4"/>
      <c r="H1329" s="47"/>
      <c r="Z1329" s="6"/>
    </row>
    <row r="1330" spans="5:26" x14ac:dyDescent="0.2">
      <c r="E1330" s="4"/>
      <c r="F1330" s="45"/>
      <c r="G1330" s="4"/>
      <c r="H1330" s="47"/>
      <c r="Z1330" s="6"/>
    </row>
    <row r="1331" spans="5:26" x14ac:dyDescent="0.2">
      <c r="E1331" s="4"/>
      <c r="F1331" s="45"/>
      <c r="G1331" s="4"/>
      <c r="H1331" s="47"/>
      <c r="Z1331" s="6"/>
    </row>
    <row r="1332" spans="5:26" x14ac:dyDescent="0.2">
      <c r="E1332" s="4"/>
      <c r="F1332" s="45"/>
      <c r="G1332" s="4"/>
      <c r="H1332" s="47"/>
      <c r="Z1332" s="6"/>
    </row>
    <row r="1333" spans="5:26" x14ac:dyDescent="0.2">
      <c r="E1333" s="4"/>
      <c r="F1333" s="45"/>
      <c r="G1333" s="4"/>
      <c r="H1333" s="47"/>
      <c r="Z1333" s="6"/>
    </row>
    <row r="1334" spans="5:26" x14ac:dyDescent="0.2">
      <c r="E1334" s="4"/>
      <c r="F1334" s="45"/>
      <c r="G1334" s="4"/>
      <c r="H1334" s="47"/>
      <c r="Z1334" s="6"/>
    </row>
    <row r="1335" spans="5:26" x14ac:dyDescent="0.2">
      <c r="E1335" s="4"/>
      <c r="F1335" s="45"/>
      <c r="G1335" s="4"/>
      <c r="H1335" s="47"/>
      <c r="Z1335" s="6"/>
    </row>
    <row r="1336" spans="5:26" x14ac:dyDescent="0.2">
      <c r="E1336" s="4"/>
      <c r="F1336" s="45"/>
      <c r="G1336" s="4"/>
      <c r="H1336" s="47"/>
      <c r="Z1336" s="6"/>
    </row>
    <row r="1337" spans="5:26" x14ac:dyDescent="0.2">
      <c r="E1337" s="4"/>
      <c r="F1337" s="45"/>
      <c r="G1337" s="4"/>
      <c r="H1337" s="47"/>
      <c r="Z1337" s="6"/>
    </row>
    <row r="1338" spans="5:26" x14ac:dyDescent="0.2">
      <c r="E1338" s="4"/>
      <c r="F1338" s="45"/>
      <c r="G1338" s="4"/>
      <c r="H1338" s="47"/>
      <c r="Z1338" s="6"/>
    </row>
    <row r="1339" spans="5:26" x14ac:dyDescent="0.2">
      <c r="E1339" s="4"/>
      <c r="F1339" s="45"/>
      <c r="G1339" s="4"/>
      <c r="H1339" s="47"/>
      <c r="Z1339" s="6"/>
    </row>
    <row r="1340" spans="5:26" x14ac:dyDescent="0.2">
      <c r="E1340" s="4"/>
      <c r="F1340" s="45"/>
      <c r="G1340" s="4"/>
      <c r="H1340" s="47"/>
      <c r="Z1340" s="6"/>
    </row>
    <row r="1341" spans="5:26" x14ac:dyDescent="0.2">
      <c r="E1341" s="4"/>
      <c r="F1341" s="45"/>
      <c r="G1341" s="4"/>
      <c r="H1341" s="47"/>
      <c r="Z1341" s="6"/>
    </row>
    <row r="1342" spans="5:26" x14ac:dyDescent="0.2">
      <c r="E1342" s="4"/>
      <c r="F1342" s="45"/>
      <c r="G1342" s="4"/>
      <c r="H1342" s="47"/>
      <c r="Z1342" s="6"/>
    </row>
    <row r="1343" spans="5:26" x14ac:dyDescent="0.2">
      <c r="E1343" s="4"/>
      <c r="F1343" s="45"/>
      <c r="G1343" s="4"/>
      <c r="H1343" s="47"/>
      <c r="Z1343" s="6"/>
    </row>
    <row r="1344" spans="5:26" x14ac:dyDescent="0.2">
      <c r="E1344" s="4"/>
      <c r="F1344" s="45"/>
      <c r="G1344" s="4"/>
      <c r="H1344" s="47"/>
      <c r="Z1344" s="6"/>
    </row>
    <row r="1345" spans="5:26" x14ac:dyDescent="0.2">
      <c r="E1345" s="4"/>
      <c r="F1345" s="45"/>
      <c r="G1345" s="4"/>
      <c r="H1345" s="47"/>
      <c r="Z1345" s="6"/>
    </row>
    <row r="1346" spans="5:26" x14ac:dyDescent="0.2">
      <c r="E1346" s="4"/>
      <c r="F1346" s="45"/>
      <c r="G1346" s="4"/>
      <c r="H1346" s="47"/>
      <c r="Z1346" s="6"/>
    </row>
    <row r="1347" spans="5:26" x14ac:dyDescent="0.2">
      <c r="E1347" s="4"/>
      <c r="F1347" s="45"/>
      <c r="G1347" s="4"/>
      <c r="H1347" s="47"/>
      <c r="Z1347" s="6"/>
    </row>
    <row r="1348" spans="5:26" x14ac:dyDescent="0.2">
      <c r="E1348" s="4"/>
      <c r="F1348" s="45"/>
      <c r="G1348" s="4"/>
      <c r="H1348" s="47"/>
      <c r="Z1348" s="6"/>
    </row>
    <row r="1349" spans="5:26" x14ac:dyDescent="0.2">
      <c r="E1349" s="4"/>
      <c r="F1349" s="45"/>
      <c r="G1349" s="4"/>
      <c r="H1349" s="47"/>
      <c r="Z1349" s="6"/>
    </row>
    <row r="1350" spans="5:26" x14ac:dyDescent="0.2">
      <c r="E1350" s="4"/>
      <c r="F1350" s="45"/>
      <c r="G1350" s="4"/>
      <c r="H1350" s="47"/>
      <c r="Z1350" s="6"/>
    </row>
    <row r="1351" spans="5:26" x14ac:dyDescent="0.2">
      <c r="E1351" s="4"/>
      <c r="F1351" s="45"/>
      <c r="G1351" s="4"/>
      <c r="H1351" s="47"/>
      <c r="Z1351" s="6"/>
    </row>
    <row r="1352" spans="5:26" x14ac:dyDescent="0.2">
      <c r="E1352" s="4"/>
      <c r="F1352" s="45"/>
      <c r="G1352" s="4"/>
      <c r="H1352" s="47"/>
      <c r="Z1352" s="6"/>
    </row>
    <row r="1353" spans="5:26" x14ac:dyDescent="0.2">
      <c r="E1353" s="4"/>
      <c r="F1353" s="45"/>
      <c r="G1353" s="4"/>
      <c r="H1353" s="47"/>
      <c r="Z1353" s="6"/>
    </row>
    <row r="1354" spans="5:26" x14ac:dyDescent="0.2">
      <c r="E1354" s="4"/>
      <c r="F1354" s="45"/>
      <c r="G1354" s="4"/>
      <c r="H1354" s="47"/>
      <c r="Z1354" s="6"/>
    </row>
    <row r="1355" spans="5:26" x14ac:dyDescent="0.2">
      <c r="E1355" s="4"/>
      <c r="F1355" s="45"/>
      <c r="G1355" s="4"/>
      <c r="H1355" s="47"/>
      <c r="Z1355" s="6"/>
    </row>
    <row r="1356" spans="5:26" x14ac:dyDescent="0.2">
      <c r="E1356" s="4"/>
      <c r="F1356" s="45"/>
      <c r="G1356" s="4"/>
      <c r="H1356" s="47"/>
      <c r="Z1356" s="6"/>
    </row>
    <row r="1357" spans="5:26" x14ac:dyDescent="0.2">
      <c r="E1357" s="4"/>
      <c r="F1357" s="45"/>
      <c r="G1357" s="4"/>
      <c r="H1357" s="47"/>
      <c r="Z1357" s="6"/>
    </row>
    <row r="1358" spans="5:26" x14ac:dyDescent="0.2">
      <c r="E1358" s="4"/>
      <c r="F1358" s="45"/>
      <c r="G1358" s="4"/>
      <c r="H1358" s="47"/>
      <c r="Z1358" s="6"/>
    </row>
    <row r="1359" spans="5:26" x14ac:dyDescent="0.2">
      <c r="E1359" s="4"/>
      <c r="F1359" s="45"/>
      <c r="G1359" s="4"/>
      <c r="H1359" s="47"/>
      <c r="Z1359" s="6"/>
    </row>
    <row r="1360" spans="5:26" x14ac:dyDescent="0.2">
      <c r="E1360" s="4"/>
      <c r="F1360" s="45"/>
      <c r="G1360" s="4"/>
      <c r="H1360" s="47"/>
      <c r="Z1360" s="6"/>
    </row>
    <row r="1361" spans="5:26" x14ac:dyDescent="0.2">
      <c r="E1361" s="4"/>
      <c r="F1361" s="45"/>
      <c r="G1361" s="4"/>
      <c r="H1361" s="47"/>
      <c r="Z1361" s="6"/>
    </row>
    <row r="1362" spans="5:26" x14ac:dyDescent="0.2">
      <c r="E1362" s="4"/>
      <c r="F1362" s="45"/>
      <c r="G1362" s="4"/>
      <c r="H1362" s="47"/>
      <c r="Z1362" s="6"/>
    </row>
    <row r="1363" spans="5:26" x14ac:dyDescent="0.2">
      <c r="E1363" s="4"/>
      <c r="F1363" s="45"/>
      <c r="G1363" s="4"/>
      <c r="H1363" s="47"/>
      <c r="Z1363" s="6"/>
    </row>
    <row r="1364" spans="5:26" x14ac:dyDescent="0.2">
      <c r="E1364" s="4"/>
      <c r="F1364" s="45"/>
      <c r="G1364" s="4"/>
      <c r="H1364" s="47"/>
      <c r="Z1364" s="6"/>
    </row>
    <row r="1365" spans="5:26" x14ac:dyDescent="0.2">
      <c r="E1365" s="4"/>
      <c r="F1365" s="45"/>
      <c r="G1365" s="4"/>
      <c r="H1365" s="47"/>
      <c r="Z1365" s="6"/>
    </row>
    <row r="1366" spans="5:26" x14ac:dyDescent="0.2">
      <c r="E1366" s="4"/>
      <c r="F1366" s="45"/>
      <c r="G1366" s="4"/>
      <c r="H1366" s="47"/>
      <c r="Z1366" s="6"/>
    </row>
    <row r="1367" spans="5:26" x14ac:dyDescent="0.2">
      <c r="E1367" s="4"/>
      <c r="F1367" s="45"/>
      <c r="G1367" s="4"/>
      <c r="H1367" s="47"/>
      <c r="Z1367" s="6"/>
    </row>
    <row r="1368" spans="5:26" x14ac:dyDescent="0.2">
      <c r="E1368" s="4"/>
      <c r="F1368" s="45"/>
      <c r="G1368" s="4"/>
      <c r="H1368" s="47"/>
      <c r="Z1368" s="6"/>
    </row>
    <row r="1369" spans="5:26" x14ac:dyDescent="0.2">
      <c r="E1369" s="4"/>
      <c r="F1369" s="45"/>
      <c r="G1369" s="4"/>
      <c r="H1369" s="47"/>
      <c r="Z1369" s="6"/>
    </row>
    <row r="1370" spans="5:26" x14ac:dyDescent="0.2">
      <c r="E1370" s="4"/>
      <c r="F1370" s="45"/>
      <c r="G1370" s="4"/>
      <c r="H1370" s="47"/>
      <c r="Z1370" s="6"/>
    </row>
    <row r="1371" spans="5:26" x14ac:dyDescent="0.2">
      <c r="E1371" s="4"/>
      <c r="F1371" s="45"/>
      <c r="G1371" s="4"/>
      <c r="H1371" s="47"/>
      <c r="Z1371" s="6"/>
    </row>
    <row r="1372" spans="5:26" x14ac:dyDescent="0.2">
      <c r="E1372" s="4"/>
      <c r="F1372" s="45"/>
      <c r="G1372" s="4"/>
      <c r="H1372" s="47"/>
      <c r="Z1372" s="6"/>
    </row>
    <row r="1373" spans="5:26" x14ac:dyDescent="0.2">
      <c r="E1373" s="4"/>
      <c r="F1373" s="45"/>
      <c r="G1373" s="4"/>
      <c r="H1373" s="47"/>
      <c r="Z1373" s="6"/>
    </row>
    <row r="1374" spans="5:26" x14ac:dyDescent="0.2">
      <c r="E1374" s="4"/>
      <c r="F1374" s="45"/>
      <c r="G1374" s="4"/>
      <c r="H1374" s="47"/>
      <c r="Z1374" s="6"/>
    </row>
    <row r="1375" spans="5:26" x14ac:dyDescent="0.2">
      <c r="E1375" s="4"/>
      <c r="F1375" s="45"/>
      <c r="G1375" s="4"/>
      <c r="H1375" s="47"/>
      <c r="Z1375" s="6"/>
    </row>
    <row r="1376" spans="5:26" x14ac:dyDescent="0.2">
      <c r="E1376" s="4"/>
      <c r="F1376" s="45"/>
      <c r="G1376" s="4"/>
      <c r="H1376" s="47"/>
      <c r="Z1376" s="6"/>
    </row>
    <row r="1377" spans="5:26" x14ac:dyDescent="0.2">
      <c r="E1377" s="4"/>
      <c r="F1377" s="45"/>
      <c r="G1377" s="4"/>
      <c r="H1377" s="47"/>
      <c r="Z1377" s="6"/>
    </row>
    <row r="1378" spans="5:26" x14ac:dyDescent="0.2">
      <c r="E1378" s="4"/>
      <c r="F1378" s="45"/>
      <c r="G1378" s="4"/>
      <c r="H1378" s="47"/>
      <c r="Z1378" s="6"/>
    </row>
    <row r="1379" spans="5:26" x14ac:dyDescent="0.2">
      <c r="E1379" s="4"/>
      <c r="F1379" s="45"/>
      <c r="G1379" s="4"/>
      <c r="H1379" s="47"/>
      <c r="Z1379" s="6"/>
    </row>
    <row r="1380" spans="5:26" x14ac:dyDescent="0.2">
      <c r="E1380" s="4"/>
      <c r="F1380" s="45"/>
      <c r="G1380" s="4"/>
      <c r="H1380" s="47"/>
      <c r="Z1380" s="6"/>
    </row>
    <row r="1381" spans="5:26" x14ac:dyDescent="0.2">
      <c r="E1381" s="4"/>
      <c r="F1381" s="45"/>
      <c r="G1381" s="4"/>
      <c r="H1381" s="47"/>
      <c r="Z1381" s="6"/>
    </row>
    <row r="1382" spans="5:26" x14ac:dyDescent="0.2">
      <c r="E1382" s="4"/>
      <c r="F1382" s="45"/>
      <c r="G1382" s="4"/>
      <c r="H1382" s="47"/>
      <c r="Z1382" s="6"/>
    </row>
    <row r="1383" spans="5:26" x14ac:dyDescent="0.2">
      <c r="E1383" s="4"/>
      <c r="F1383" s="45"/>
      <c r="G1383" s="4"/>
      <c r="H1383" s="47"/>
      <c r="Z1383" s="6"/>
    </row>
    <row r="1384" spans="5:26" x14ac:dyDescent="0.2">
      <c r="E1384" s="4"/>
      <c r="F1384" s="45"/>
      <c r="G1384" s="4"/>
      <c r="H1384" s="47"/>
      <c r="Z1384" s="6"/>
    </row>
    <row r="1385" spans="5:26" x14ac:dyDescent="0.2">
      <c r="E1385" s="4"/>
      <c r="F1385" s="45"/>
      <c r="G1385" s="4"/>
      <c r="H1385" s="47"/>
      <c r="Z1385" s="6"/>
    </row>
    <row r="1386" spans="5:26" x14ac:dyDescent="0.2">
      <c r="E1386" s="4"/>
      <c r="F1386" s="45"/>
      <c r="G1386" s="4"/>
      <c r="H1386" s="47"/>
      <c r="Z1386" s="6"/>
    </row>
    <row r="1387" spans="5:26" x14ac:dyDescent="0.2">
      <c r="E1387" s="4"/>
      <c r="F1387" s="45"/>
      <c r="G1387" s="4"/>
      <c r="H1387" s="47"/>
      <c r="Z1387" s="6"/>
    </row>
    <row r="1388" spans="5:26" x14ac:dyDescent="0.2">
      <c r="E1388" s="4"/>
      <c r="F1388" s="45"/>
      <c r="G1388" s="4"/>
      <c r="H1388" s="47"/>
      <c r="Z1388" s="6"/>
    </row>
    <row r="1389" spans="5:26" x14ac:dyDescent="0.2">
      <c r="E1389" s="4"/>
      <c r="F1389" s="45"/>
      <c r="G1389" s="4"/>
      <c r="H1389" s="47"/>
      <c r="Z1389" s="6"/>
    </row>
    <row r="1390" spans="5:26" x14ac:dyDescent="0.2">
      <c r="E1390" s="4"/>
      <c r="F1390" s="45"/>
      <c r="G1390" s="4"/>
      <c r="H1390" s="47"/>
      <c r="Z1390" s="6"/>
    </row>
    <row r="1391" spans="5:26" x14ac:dyDescent="0.2">
      <c r="E1391" s="4"/>
      <c r="F1391" s="45"/>
      <c r="G1391" s="4"/>
      <c r="H1391" s="47"/>
      <c r="Z1391" s="6"/>
    </row>
    <row r="1392" spans="5:26" x14ac:dyDescent="0.2">
      <c r="E1392" s="4"/>
      <c r="F1392" s="45"/>
      <c r="G1392" s="4"/>
      <c r="H1392" s="47"/>
      <c r="Z1392" s="6"/>
    </row>
    <row r="1393" spans="5:26" x14ac:dyDescent="0.2">
      <c r="E1393" s="4"/>
      <c r="F1393" s="45"/>
      <c r="G1393" s="4"/>
      <c r="H1393" s="47"/>
      <c r="Z1393" s="6"/>
    </row>
    <row r="1394" spans="5:26" x14ac:dyDescent="0.2">
      <c r="E1394" s="4"/>
      <c r="F1394" s="45"/>
      <c r="G1394" s="4"/>
      <c r="H1394" s="47"/>
      <c r="Z1394" s="6"/>
    </row>
    <row r="1395" spans="5:26" x14ac:dyDescent="0.2">
      <c r="E1395" s="4"/>
      <c r="F1395" s="45"/>
      <c r="G1395" s="4"/>
      <c r="H1395" s="47"/>
      <c r="Z1395" s="6"/>
    </row>
    <row r="1396" spans="5:26" x14ac:dyDescent="0.2">
      <c r="E1396" s="4"/>
      <c r="F1396" s="45"/>
      <c r="G1396" s="4"/>
      <c r="H1396" s="47"/>
      <c r="Z1396" s="6"/>
    </row>
    <row r="1397" spans="5:26" x14ac:dyDescent="0.2">
      <c r="E1397" s="4"/>
      <c r="F1397" s="45"/>
      <c r="G1397" s="4"/>
      <c r="H1397" s="47"/>
      <c r="Z1397" s="6"/>
    </row>
    <row r="1398" spans="5:26" x14ac:dyDescent="0.2">
      <c r="E1398" s="4"/>
      <c r="F1398" s="45"/>
      <c r="G1398" s="4"/>
      <c r="H1398" s="47"/>
      <c r="Z1398" s="6"/>
    </row>
    <row r="1399" spans="5:26" x14ac:dyDescent="0.2">
      <c r="E1399" s="4"/>
      <c r="F1399" s="45"/>
      <c r="G1399" s="4"/>
      <c r="H1399" s="47"/>
      <c r="Z1399" s="6"/>
    </row>
    <row r="1400" spans="5:26" x14ac:dyDescent="0.2">
      <c r="E1400" s="4"/>
      <c r="F1400" s="45"/>
      <c r="G1400" s="4"/>
      <c r="H1400" s="47"/>
      <c r="Z1400" s="6"/>
    </row>
    <row r="1401" spans="5:26" x14ac:dyDescent="0.2">
      <c r="E1401" s="4"/>
      <c r="F1401" s="45"/>
      <c r="G1401" s="4"/>
      <c r="H1401" s="47"/>
      <c r="Z1401" s="6"/>
    </row>
    <row r="1402" spans="5:26" x14ac:dyDescent="0.2">
      <c r="E1402" s="4"/>
      <c r="F1402" s="45"/>
      <c r="G1402" s="4"/>
      <c r="H1402" s="47"/>
      <c r="Z1402" s="6"/>
    </row>
    <row r="1403" spans="5:26" x14ac:dyDescent="0.2">
      <c r="E1403" s="4"/>
      <c r="F1403" s="45"/>
      <c r="G1403" s="4"/>
      <c r="H1403" s="47"/>
      <c r="Z1403" s="6"/>
    </row>
    <row r="1404" spans="5:26" x14ac:dyDescent="0.2">
      <c r="E1404" s="4"/>
      <c r="F1404" s="45"/>
      <c r="G1404" s="4"/>
      <c r="H1404" s="47"/>
      <c r="Z1404" s="6"/>
    </row>
    <row r="1405" spans="5:26" x14ac:dyDescent="0.2">
      <c r="E1405" s="4"/>
      <c r="F1405" s="45"/>
      <c r="G1405" s="4"/>
      <c r="H1405" s="47"/>
      <c r="Z1405" s="6"/>
    </row>
    <row r="1406" spans="5:26" x14ac:dyDescent="0.2">
      <c r="E1406" s="4"/>
      <c r="F1406" s="45"/>
      <c r="G1406" s="4"/>
      <c r="H1406" s="47"/>
      <c r="Z1406" s="6"/>
    </row>
    <row r="1407" spans="5:26" x14ac:dyDescent="0.2">
      <c r="E1407" s="4"/>
      <c r="F1407" s="45"/>
      <c r="G1407" s="4"/>
      <c r="H1407" s="47"/>
      <c r="Z1407" s="6"/>
    </row>
    <row r="1408" spans="5:26" x14ac:dyDescent="0.2">
      <c r="E1408" s="4"/>
      <c r="F1408" s="45"/>
      <c r="G1408" s="4"/>
      <c r="H1408" s="47"/>
      <c r="Z1408" s="6"/>
    </row>
    <row r="1409" spans="5:26" x14ac:dyDescent="0.2">
      <c r="E1409" s="4"/>
      <c r="F1409" s="45"/>
      <c r="G1409" s="4"/>
      <c r="H1409" s="47"/>
      <c r="Z1409" s="6"/>
    </row>
    <row r="1410" spans="5:26" x14ac:dyDescent="0.2">
      <c r="E1410" s="4"/>
      <c r="F1410" s="45"/>
      <c r="G1410" s="4"/>
      <c r="H1410" s="47"/>
      <c r="Z1410" s="6"/>
    </row>
    <row r="1411" spans="5:26" x14ac:dyDescent="0.2">
      <c r="E1411" s="4"/>
      <c r="F1411" s="45"/>
      <c r="G1411" s="4"/>
      <c r="H1411" s="47"/>
      <c r="Z1411" s="6"/>
    </row>
    <row r="1412" spans="5:26" x14ac:dyDescent="0.2">
      <c r="E1412" s="4"/>
      <c r="F1412" s="45"/>
      <c r="G1412" s="4"/>
      <c r="H1412" s="47"/>
      <c r="Z1412" s="6"/>
    </row>
    <row r="1413" spans="5:26" x14ac:dyDescent="0.2">
      <c r="E1413" s="4"/>
      <c r="F1413" s="45"/>
      <c r="G1413" s="4"/>
      <c r="H1413" s="47"/>
      <c r="Z1413" s="6"/>
    </row>
    <row r="1414" spans="5:26" x14ac:dyDescent="0.2">
      <c r="E1414" s="4"/>
      <c r="F1414" s="45"/>
      <c r="G1414" s="4"/>
      <c r="H1414" s="47"/>
      <c r="Z1414" s="6"/>
    </row>
    <row r="1415" spans="5:26" x14ac:dyDescent="0.2">
      <c r="E1415" s="4"/>
      <c r="F1415" s="45"/>
      <c r="G1415" s="4"/>
      <c r="H1415" s="47"/>
      <c r="Z1415" s="6"/>
    </row>
    <row r="1416" spans="5:26" x14ac:dyDescent="0.2">
      <c r="E1416" s="4"/>
      <c r="F1416" s="45"/>
      <c r="G1416" s="4"/>
      <c r="H1416" s="47"/>
      <c r="Z1416" s="6"/>
    </row>
    <row r="1417" spans="5:26" x14ac:dyDescent="0.2">
      <c r="E1417" s="4"/>
      <c r="F1417" s="45"/>
      <c r="G1417" s="4"/>
      <c r="H1417" s="47"/>
      <c r="Z1417" s="6"/>
    </row>
    <row r="1418" spans="5:26" x14ac:dyDescent="0.2">
      <c r="E1418" s="4"/>
      <c r="F1418" s="45"/>
      <c r="G1418" s="4"/>
      <c r="H1418" s="47"/>
      <c r="Z1418" s="6"/>
    </row>
    <row r="1419" spans="5:26" x14ac:dyDescent="0.2">
      <c r="E1419" s="4"/>
      <c r="F1419" s="45"/>
      <c r="G1419" s="4"/>
      <c r="H1419" s="47"/>
      <c r="Z1419" s="6"/>
    </row>
    <row r="1420" spans="5:26" x14ac:dyDescent="0.2">
      <c r="E1420" s="4"/>
      <c r="F1420" s="45"/>
      <c r="G1420" s="4"/>
      <c r="H1420" s="47"/>
      <c r="Z1420" s="6"/>
    </row>
    <row r="1421" spans="5:26" x14ac:dyDescent="0.2">
      <c r="E1421" s="4"/>
      <c r="F1421" s="45"/>
      <c r="G1421" s="4"/>
      <c r="H1421" s="47"/>
      <c r="Z1421" s="6"/>
    </row>
    <row r="1422" spans="5:26" x14ac:dyDescent="0.2">
      <c r="E1422" s="4"/>
      <c r="F1422" s="45"/>
      <c r="G1422" s="4"/>
      <c r="H1422" s="47"/>
      <c r="Z1422" s="6"/>
    </row>
    <row r="1423" spans="5:26" x14ac:dyDescent="0.2">
      <c r="E1423" s="4"/>
      <c r="F1423" s="45"/>
      <c r="G1423" s="4"/>
      <c r="H1423" s="47"/>
      <c r="Z1423" s="6"/>
    </row>
    <row r="1424" spans="5:26" x14ac:dyDescent="0.2">
      <c r="E1424" s="4"/>
      <c r="F1424" s="45"/>
      <c r="G1424" s="4"/>
      <c r="H1424" s="47"/>
      <c r="Z1424" s="6"/>
    </row>
    <row r="1425" spans="5:26" x14ac:dyDescent="0.2">
      <c r="E1425" s="4"/>
      <c r="F1425" s="45"/>
      <c r="G1425" s="4"/>
      <c r="H1425" s="47"/>
      <c r="Z1425" s="6"/>
    </row>
    <row r="1426" spans="5:26" x14ac:dyDescent="0.2">
      <c r="E1426" s="4"/>
      <c r="F1426" s="45"/>
      <c r="G1426" s="4"/>
      <c r="H1426" s="47"/>
      <c r="Z1426" s="6"/>
    </row>
    <row r="1427" spans="5:26" x14ac:dyDescent="0.2">
      <c r="E1427" s="4"/>
      <c r="F1427" s="45"/>
      <c r="G1427" s="4"/>
      <c r="H1427" s="47"/>
      <c r="Z1427" s="6"/>
    </row>
    <row r="1428" spans="5:26" x14ac:dyDescent="0.2">
      <c r="E1428" s="4"/>
      <c r="F1428" s="45"/>
      <c r="G1428" s="4"/>
      <c r="H1428" s="47"/>
      <c r="Z1428" s="6"/>
    </row>
    <row r="1429" spans="5:26" x14ac:dyDescent="0.2">
      <c r="E1429" s="4"/>
      <c r="F1429" s="45"/>
      <c r="G1429" s="4"/>
      <c r="H1429" s="47"/>
      <c r="Z1429" s="6"/>
    </row>
    <row r="1430" spans="5:26" x14ac:dyDescent="0.2">
      <c r="E1430" s="4"/>
      <c r="F1430" s="45"/>
      <c r="G1430" s="4"/>
      <c r="H1430" s="47"/>
      <c r="Z1430" s="6"/>
    </row>
    <row r="1431" spans="5:26" x14ac:dyDescent="0.2">
      <c r="E1431" s="4"/>
      <c r="F1431" s="45"/>
      <c r="G1431" s="4"/>
      <c r="H1431" s="47"/>
      <c r="Z1431" s="6"/>
    </row>
    <row r="1432" spans="5:26" x14ac:dyDescent="0.2">
      <c r="E1432" s="4"/>
      <c r="F1432" s="45"/>
      <c r="G1432" s="4"/>
      <c r="H1432" s="47"/>
      <c r="Z1432" s="6"/>
    </row>
    <row r="1433" spans="5:26" x14ac:dyDescent="0.2">
      <c r="E1433" s="4"/>
      <c r="F1433" s="45"/>
      <c r="G1433" s="4"/>
      <c r="H1433" s="47"/>
      <c r="Z1433" s="6"/>
    </row>
    <row r="1434" spans="5:26" x14ac:dyDescent="0.2">
      <c r="E1434" s="4"/>
      <c r="F1434" s="45"/>
      <c r="G1434" s="4"/>
      <c r="H1434" s="47"/>
      <c r="Z1434" s="6"/>
    </row>
    <row r="1435" spans="5:26" x14ac:dyDescent="0.2">
      <c r="E1435" s="4"/>
      <c r="F1435" s="45"/>
      <c r="G1435" s="4"/>
      <c r="H1435" s="47"/>
      <c r="Z1435" s="6"/>
    </row>
    <row r="1436" spans="5:26" x14ac:dyDescent="0.2">
      <c r="E1436" s="4"/>
      <c r="F1436" s="45"/>
      <c r="G1436" s="4"/>
      <c r="H1436" s="47"/>
      <c r="Z1436" s="6"/>
    </row>
    <row r="1437" spans="5:26" x14ac:dyDescent="0.2">
      <c r="E1437" s="4"/>
      <c r="F1437" s="45"/>
      <c r="G1437" s="4"/>
      <c r="H1437" s="47"/>
      <c r="Z1437" s="6"/>
    </row>
    <row r="1438" spans="5:26" x14ac:dyDescent="0.2">
      <c r="E1438" s="4"/>
      <c r="F1438" s="45"/>
      <c r="G1438" s="4"/>
      <c r="H1438" s="47"/>
      <c r="Z1438" s="6"/>
    </row>
    <row r="1439" spans="5:26" x14ac:dyDescent="0.2">
      <c r="E1439" s="4"/>
      <c r="F1439" s="45"/>
      <c r="G1439" s="4"/>
      <c r="H1439" s="47"/>
      <c r="Z1439" s="6"/>
    </row>
    <row r="1440" spans="5:26" x14ac:dyDescent="0.2">
      <c r="E1440" s="4"/>
      <c r="F1440" s="45"/>
      <c r="G1440" s="4"/>
      <c r="H1440" s="47"/>
      <c r="Z1440" s="6"/>
    </row>
    <row r="1441" spans="5:26" x14ac:dyDescent="0.2">
      <c r="E1441" s="4"/>
      <c r="F1441" s="45"/>
      <c r="G1441" s="4"/>
      <c r="H1441" s="47"/>
      <c r="Z1441" s="6"/>
    </row>
    <row r="1442" spans="5:26" x14ac:dyDescent="0.2">
      <c r="E1442" s="4"/>
      <c r="F1442" s="45"/>
      <c r="G1442" s="4"/>
      <c r="H1442" s="47"/>
      <c r="Z1442" s="6"/>
    </row>
    <row r="1443" spans="5:26" x14ac:dyDescent="0.2">
      <c r="E1443" s="4"/>
      <c r="F1443" s="45"/>
      <c r="G1443" s="4"/>
      <c r="H1443" s="47"/>
      <c r="Z1443" s="6"/>
    </row>
    <row r="1444" spans="5:26" x14ac:dyDescent="0.2">
      <c r="E1444" s="4"/>
      <c r="F1444" s="45"/>
      <c r="G1444" s="4"/>
      <c r="H1444" s="47"/>
      <c r="Z1444" s="6"/>
    </row>
    <row r="1445" spans="5:26" x14ac:dyDescent="0.2">
      <c r="E1445" s="4"/>
      <c r="F1445" s="45"/>
      <c r="G1445" s="4"/>
      <c r="H1445" s="47"/>
      <c r="Z1445" s="6"/>
    </row>
    <row r="1446" spans="5:26" x14ac:dyDescent="0.2">
      <c r="E1446" s="4"/>
      <c r="F1446" s="45"/>
      <c r="G1446" s="4"/>
      <c r="H1446" s="47"/>
      <c r="Z1446" s="6"/>
    </row>
    <row r="1447" spans="5:26" x14ac:dyDescent="0.2">
      <c r="E1447" s="4"/>
      <c r="F1447" s="45"/>
      <c r="G1447" s="4"/>
      <c r="H1447" s="47"/>
      <c r="Z1447" s="6"/>
    </row>
    <row r="1448" spans="5:26" x14ac:dyDescent="0.2">
      <c r="E1448" s="4"/>
      <c r="F1448" s="45"/>
      <c r="G1448" s="4"/>
      <c r="H1448" s="47"/>
      <c r="Z1448" s="6"/>
    </row>
    <row r="1449" spans="5:26" x14ac:dyDescent="0.2">
      <c r="E1449" s="4"/>
      <c r="F1449" s="45"/>
      <c r="G1449" s="4"/>
      <c r="H1449" s="47"/>
      <c r="Z1449" s="6"/>
    </row>
    <row r="1450" spans="5:26" x14ac:dyDescent="0.2">
      <c r="E1450" s="4"/>
      <c r="F1450" s="45"/>
      <c r="G1450" s="4"/>
      <c r="H1450" s="47"/>
      <c r="Z1450" s="6"/>
    </row>
    <row r="1451" spans="5:26" x14ac:dyDescent="0.2">
      <c r="E1451" s="4"/>
      <c r="F1451" s="45"/>
      <c r="G1451" s="4"/>
      <c r="H1451" s="47"/>
      <c r="Z1451" s="6"/>
    </row>
    <row r="1452" spans="5:26" x14ac:dyDescent="0.2">
      <c r="E1452" s="4"/>
      <c r="F1452" s="45"/>
      <c r="G1452" s="4"/>
      <c r="H1452" s="47"/>
      <c r="Z1452" s="6"/>
    </row>
    <row r="1453" spans="5:26" x14ac:dyDescent="0.2">
      <c r="E1453" s="4"/>
      <c r="F1453" s="45"/>
      <c r="G1453" s="4"/>
      <c r="H1453" s="47"/>
      <c r="Z1453" s="6"/>
    </row>
    <row r="1454" spans="5:26" x14ac:dyDescent="0.2">
      <c r="E1454" s="4"/>
      <c r="F1454" s="45"/>
      <c r="G1454" s="4"/>
      <c r="H1454" s="47"/>
      <c r="Z1454" s="6"/>
    </row>
    <row r="1455" spans="5:26" x14ac:dyDescent="0.2">
      <c r="E1455" s="4"/>
      <c r="F1455" s="45"/>
      <c r="G1455" s="4"/>
      <c r="H1455" s="47"/>
      <c r="Z1455" s="6"/>
    </row>
    <row r="1456" spans="5:26" x14ac:dyDescent="0.2">
      <c r="E1456" s="4"/>
      <c r="F1456" s="45"/>
      <c r="G1456" s="4"/>
      <c r="H1456" s="47"/>
      <c r="Z1456" s="6"/>
    </row>
    <row r="1457" spans="5:26" x14ac:dyDescent="0.2">
      <c r="E1457" s="4"/>
      <c r="F1457" s="45"/>
      <c r="G1457" s="4"/>
      <c r="H1457" s="47"/>
      <c r="Z1457" s="6"/>
    </row>
    <row r="1458" spans="5:26" x14ac:dyDescent="0.2">
      <c r="E1458" s="4"/>
      <c r="F1458" s="45"/>
      <c r="G1458" s="4"/>
      <c r="H1458" s="47"/>
      <c r="Z1458" s="6"/>
    </row>
    <row r="1459" spans="5:26" x14ac:dyDescent="0.2">
      <c r="E1459" s="4"/>
      <c r="F1459" s="45"/>
      <c r="G1459" s="4"/>
      <c r="H1459" s="47"/>
      <c r="Z1459" s="6"/>
    </row>
    <row r="1460" spans="5:26" x14ac:dyDescent="0.2">
      <c r="E1460" s="4"/>
      <c r="F1460" s="45"/>
      <c r="G1460" s="4"/>
      <c r="H1460" s="47"/>
      <c r="Z1460" s="6"/>
    </row>
    <row r="1461" spans="5:26" x14ac:dyDescent="0.2">
      <c r="E1461" s="4"/>
      <c r="F1461" s="45"/>
      <c r="G1461" s="4"/>
      <c r="H1461" s="47"/>
      <c r="Z1461" s="6"/>
    </row>
    <row r="1462" spans="5:26" x14ac:dyDescent="0.2">
      <c r="E1462" s="4"/>
      <c r="F1462" s="45"/>
      <c r="G1462" s="4"/>
      <c r="H1462" s="47"/>
      <c r="Z1462" s="6"/>
    </row>
    <row r="1463" spans="5:26" x14ac:dyDescent="0.2">
      <c r="E1463" s="4"/>
      <c r="F1463" s="45"/>
      <c r="G1463" s="4"/>
      <c r="H1463" s="47"/>
      <c r="Z1463" s="6"/>
    </row>
    <row r="1464" spans="5:26" x14ac:dyDescent="0.2">
      <c r="E1464" s="4"/>
      <c r="F1464" s="45"/>
      <c r="G1464" s="4"/>
      <c r="H1464" s="47"/>
      <c r="Z1464" s="6"/>
    </row>
    <row r="1465" spans="5:26" x14ac:dyDescent="0.2">
      <c r="E1465" s="4"/>
      <c r="F1465" s="45"/>
      <c r="G1465" s="4"/>
      <c r="H1465" s="47"/>
      <c r="Z1465" s="6"/>
    </row>
    <row r="1466" spans="5:26" x14ac:dyDescent="0.2">
      <c r="E1466" s="4"/>
      <c r="F1466" s="45"/>
      <c r="G1466" s="4"/>
      <c r="H1466" s="47"/>
      <c r="Z1466" s="6"/>
    </row>
    <row r="1467" spans="5:26" x14ac:dyDescent="0.2">
      <c r="E1467" s="4"/>
      <c r="F1467" s="45"/>
      <c r="G1467" s="4"/>
      <c r="H1467" s="47"/>
      <c r="Z1467" s="6"/>
    </row>
    <row r="1468" spans="5:26" x14ac:dyDescent="0.2">
      <c r="E1468" s="4"/>
      <c r="F1468" s="45"/>
      <c r="G1468" s="4"/>
      <c r="H1468" s="47"/>
      <c r="Z1468" s="6"/>
    </row>
    <row r="1469" spans="5:26" x14ac:dyDescent="0.2">
      <c r="E1469" s="4"/>
      <c r="F1469" s="45"/>
      <c r="G1469" s="4"/>
      <c r="H1469" s="47"/>
      <c r="Z1469" s="6"/>
    </row>
    <row r="1470" spans="5:26" x14ac:dyDescent="0.2">
      <c r="E1470" s="4"/>
      <c r="F1470" s="45"/>
      <c r="G1470" s="4"/>
      <c r="H1470" s="47"/>
      <c r="Z1470" s="6"/>
    </row>
    <row r="1471" spans="5:26" x14ac:dyDescent="0.2">
      <c r="E1471" s="4"/>
      <c r="F1471" s="45"/>
      <c r="G1471" s="4"/>
      <c r="H1471" s="47"/>
      <c r="Z1471" s="6"/>
    </row>
    <row r="1472" spans="5:26" x14ac:dyDescent="0.2">
      <c r="E1472" s="4"/>
      <c r="F1472" s="45"/>
      <c r="G1472" s="4"/>
      <c r="H1472" s="47"/>
      <c r="Z1472" s="6"/>
    </row>
    <row r="1473" spans="5:26" x14ac:dyDescent="0.2">
      <c r="E1473" s="4"/>
      <c r="F1473" s="45"/>
      <c r="G1473" s="4"/>
      <c r="H1473" s="47"/>
      <c r="Z1473" s="6"/>
    </row>
    <row r="1474" spans="5:26" x14ac:dyDescent="0.2">
      <c r="E1474" s="4"/>
      <c r="F1474" s="45"/>
      <c r="G1474" s="4"/>
      <c r="H1474" s="47"/>
      <c r="Z1474" s="6"/>
    </row>
    <row r="1475" spans="5:26" x14ac:dyDescent="0.2">
      <c r="E1475" s="4"/>
      <c r="F1475" s="45"/>
      <c r="G1475" s="4"/>
      <c r="H1475" s="47"/>
      <c r="Z1475" s="6"/>
    </row>
    <row r="1476" spans="5:26" x14ac:dyDescent="0.2">
      <c r="E1476" s="4"/>
      <c r="F1476" s="45"/>
      <c r="G1476" s="4"/>
      <c r="H1476" s="47"/>
      <c r="Z1476" s="6"/>
    </row>
    <row r="1477" spans="5:26" x14ac:dyDescent="0.2">
      <c r="E1477" s="4"/>
      <c r="F1477" s="45"/>
      <c r="G1477" s="4"/>
      <c r="H1477" s="47"/>
      <c r="Z1477" s="6"/>
    </row>
    <row r="1478" spans="5:26" x14ac:dyDescent="0.2">
      <c r="E1478" s="4"/>
      <c r="F1478" s="45"/>
      <c r="G1478" s="4"/>
      <c r="H1478" s="47"/>
      <c r="Z1478" s="6"/>
    </row>
    <row r="1479" spans="5:26" x14ac:dyDescent="0.2">
      <c r="E1479" s="4"/>
      <c r="F1479" s="45"/>
      <c r="G1479" s="4"/>
      <c r="H1479" s="47"/>
      <c r="Z1479" s="6"/>
    </row>
    <row r="1480" spans="5:26" x14ac:dyDescent="0.2">
      <c r="E1480" s="4"/>
      <c r="F1480" s="45"/>
      <c r="G1480" s="4"/>
      <c r="H1480" s="47"/>
      <c r="Z1480" s="6"/>
    </row>
    <row r="1481" spans="5:26" x14ac:dyDescent="0.2">
      <c r="E1481" s="4"/>
      <c r="F1481" s="45"/>
      <c r="G1481" s="4"/>
      <c r="H1481" s="47"/>
      <c r="Z1481" s="6"/>
    </row>
    <row r="1482" spans="5:26" x14ac:dyDescent="0.2">
      <c r="E1482" s="4"/>
      <c r="F1482" s="45"/>
      <c r="G1482" s="4"/>
      <c r="H1482" s="47"/>
      <c r="Z1482" s="6"/>
    </row>
    <row r="1483" spans="5:26" x14ac:dyDescent="0.2">
      <c r="E1483" s="4"/>
      <c r="F1483" s="45"/>
      <c r="G1483" s="4"/>
      <c r="H1483" s="47"/>
      <c r="Z1483" s="6"/>
    </row>
    <row r="1484" spans="5:26" x14ac:dyDescent="0.2">
      <c r="E1484" s="4"/>
      <c r="F1484" s="45"/>
      <c r="G1484" s="4"/>
      <c r="H1484" s="47"/>
      <c r="Z1484" s="6"/>
    </row>
    <row r="1485" spans="5:26" x14ac:dyDescent="0.2">
      <c r="E1485" s="4"/>
      <c r="F1485" s="45"/>
      <c r="G1485" s="4"/>
      <c r="H1485" s="47"/>
      <c r="Z1485" s="6"/>
    </row>
    <row r="1486" spans="5:26" x14ac:dyDescent="0.2">
      <c r="E1486" s="4"/>
      <c r="F1486" s="45"/>
      <c r="G1486" s="4"/>
      <c r="H1486" s="47"/>
      <c r="Z1486" s="6"/>
    </row>
    <row r="1487" spans="5:26" x14ac:dyDescent="0.2">
      <c r="E1487" s="4"/>
      <c r="F1487" s="45"/>
      <c r="G1487" s="4"/>
      <c r="H1487" s="47"/>
      <c r="Z1487" s="6"/>
    </row>
    <row r="1488" spans="5:26" x14ac:dyDescent="0.2">
      <c r="E1488" s="4"/>
      <c r="F1488" s="45"/>
      <c r="G1488" s="4"/>
      <c r="H1488" s="47"/>
      <c r="Z1488" s="6"/>
    </row>
    <row r="1489" spans="5:26" x14ac:dyDescent="0.2">
      <c r="E1489" s="4"/>
      <c r="F1489" s="45"/>
      <c r="G1489" s="4"/>
      <c r="H1489" s="47"/>
      <c r="Z1489" s="6"/>
    </row>
    <row r="1490" spans="5:26" x14ac:dyDescent="0.2">
      <c r="E1490" s="4"/>
      <c r="F1490" s="45"/>
      <c r="G1490" s="4"/>
      <c r="H1490" s="47"/>
      <c r="Z1490" s="6"/>
    </row>
    <row r="1491" spans="5:26" x14ac:dyDescent="0.2">
      <c r="E1491" s="4"/>
      <c r="F1491" s="45"/>
      <c r="G1491" s="4"/>
      <c r="H1491" s="47"/>
      <c r="Z1491" s="6"/>
    </row>
    <row r="1492" spans="5:26" x14ac:dyDescent="0.2">
      <c r="E1492" s="4"/>
      <c r="F1492" s="45"/>
      <c r="G1492" s="4"/>
      <c r="H1492" s="47"/>
      <c r="Z1492" s="6"/>
    </row>
    <row r="1493" spans="5:26" x14ac:dyDescent="0.2">
      <c r="E1493" s="4"/>
      <c r="F1493" s="45"/>
      <c r="G1493" s="4"/>
      <c r="H1493" s="47"/>
      <c r="Z1493" s="6"/>
    </row>
    <row r="1494" spans="5:26" x14ac:dyDescent="0.2">
      <c r="E1494" s="4"/>
      <c r="F1494" s="45"/>
      <c r="G1494" s="4"/>
      <c r="H1494" s="47"/>
      <c r="Z1494" s="6"/>
    </row>
    <row r="1495" spans="5:26" x14ac:dyDescent="0.2">
      <c r="E1495" s="4"/>
      <c r="F1495" s="45"/>
      <c r="G1495" s="4"/>
      <c r="H1495" s="47"/>
      <c r="Z1495" s="6"/>
    </row>
    <row r="1496" spans="5:26" x14ac:dyDescent="0.2">
      <c r="E1496" s="4"/>
      <c r="F1496" s="45"/>
      <c r="G1496" s="4"/>
      <c r="H1496" s="47"/>
      <c r="Z1496" s="6"/>
    </row>
    <row r="1497" spans="5:26" x14ac:dyDescent="0.2">
      <c r="E1497" s="4"/>
      <c r="F1497" s="45"/>
      <c r="G1497" s="4"/>
      <c r="H1497" s="47"/>
      <c r="Z1497" s="6"/>
    </row>
    <row r="1498" spans="5:26" x14ac:dyDescent="0.2">
      <c r="E1498" s="4"/>
      <c r="F1498" s="45"/>
      <c r="G1498" s="4"/>
      <c r="H1498" s="47"/>
      <c r="Z1498" s="6"/>
    </row>
    <row r="1499" spans="5:26" x14ac:dyDescent="0.2">
      <c r="E1499" s="4"/>
      <c r="F1499" s="45"/>
      <c r="G1499" s="4"/>
      <c r="H1499" s="47"/>
      <c r="Z1499" s="6"/>
    </row>
    <row r="1500" spans="5:26" x14ac:dyDescent="0.2">
      <c r="E1500" s="4"/>
      <c r="F1500" s="45"/>
      <c r="G1500" s="4"/>
      <c r="H1500" s="47"/>
      <c r="Z1500" s="6"/>
    </row>
    <row r="1501" spans="5:26" x14ac:dyDescent="0.2">
      <c r="E1501" s="4"/>
      <c r="F1501" s="45"/>
      <c r="G1501" s="4"/>
      <c r="H1501" s="47"/>
      <c r="Z1501" s="6"/>
    </row>
    <row r="1502" spans="5:26" x14ac:dyDescent="0.2">
      <c r="E1502" s="4"/>
      <c r="F1502" s="45"/>
      <c r="G1502" s="4"/>
      <c r="H1502" s="47"/>
      <c r="Z1502" s="6"/>
    </row>
    <row r="1503" spans="5:26" x14ac:dyDescent="0.2">
      <c r="E1503" s="4"/>
      <c r="F1503" s="45"/>
      <c r="G1503" s="4"/>
      <c r="H1503" s="47"/>
      <c r="Z1503" s="6"/>
    </row>
    <row r="1504" spans="5:26" x14ac:dyDescent="0.2">
      <c r="E1504" s="4"/>
      <c r="F1504" s="45"/>
      <c r="G1504" s="4"/>
      <c r="H1504" s="47"/>
      <c r="Z1504" s="6"/>
    </row>
    <row r="1505" spans="5:26" x14ac:dyDescent="0.2">
      <c r="E1505" s="4"/>
      <c r="F1505" s="45"/>
      <c r="G1505" s="4"/>
      <c r="H1505" s="47"/>
      <c r="Z1505" s="6"/>
    </row>
    <row r="1506" spans="5:26" x14ac:dyDescent="0.2">
      <c r="E1506" s="4"/>
      <c r="F1506" s="45"/>
      <c r="G1506" s="4"/>
      <c r="H1506" s="47"/>
      <c r="Z1506" s="6"/>
    </row>
    <row r="1507" spans="5:26" x14ac:dyDescent="0.2">
      <c r="E1507" s="4"/>
      <c r="F1507" s="45"/>
      <c r="G1507" s="4"/>
      <c r="H1507" s="47"/>
      <c r="Z1507" s="6"/>
    </row>
    <row r="1508" spans="5:26" x14ac:dyDescent="0.2">
      <c r="E1508" s="4"/>
      <c r="F1508" s="45"/>
      <c r="G1508" s="4"/>
      <c r="H1508" s="47"/>
      <c r="Z1508" s="6"/>
    </row>
    <row r="1509" spans="5:26" x14ac:dyDescent="0.2">
      <c r="E1509" s="4"/>
      <c r="F1509" s="45"/>
      <c r="G1509" s="4"/>
      <c r="H1509" s="47"/>
      <c r="Z1509" s="6"/>
    </row>
    <row r="1510" spans="5:26" x14ac:dyDescent="0.2">
      <c r="E1510" s="4"/>
      <c r="F1510" s="45"/>
      <c r="G1510" s="4"/>
      <c r="H1510" s="47"/>
      <c r="Z1510" s="6"/>
    </row>
    <row r="1511" spans="5:26" x14ac:dyDescent="0.2">
      <c r="E1511" s="4"/>
      <c r="F1511" s="45"/>
      <c r="G1511" s="4"/>
      <c r="H1511" s="47"/>
      <c r="Z1511" s="6"/>
    </row>
    <row r="1512" spans="5:26" x14ac:dyDescent="0.2">
      <c r="E1512" s="4"/>
      <c r="F1512" s="45"/>
      <c r="G1512" s="4"/>
      <c r="H1512" s="47"/>
      <c r="Z1512" s="6"/>
    </row>
    <row r="1513" spans="5:26" x14ac:dyDescent="0.2">
      <c r="E1513" s="4"/>
      <c r="F1513" s="45"/>
      <c r="G1513" s="4"/>
      <c r="H1513" s="47"/>
      <c r="Z1513" s="6"/>
    </row>
    <row r="1514" spans="5:26" x14ac:dyDescent="0.2">
      <c r="E1514" s="4"/>
      <c r="F1514" s="45"/>
      <c r="G1514" s="4"/>
      <c r="H1514" s="47"/>
      <c r="Z1514" s="6"/>
    </row>
    <row r="1515" spans="5:26" x14ac:dyDescent="0.2">
      <c r="E1515" s="4"/>
      <c r="F1515" s="45"/>
      <c r="G1515" s="4"/>
      <c r="H1515" s="47"/>
      <c r="Z1515" s="6"/>
    </row>
    <row r="1516" spans="5:26" x14ac:dyDescent="0.2">
      <c r="E1516" s="4"/>
      <c r="F1516" s="45"/>
      <c r="G1516" s="4"/>
      <c r="H1516" s="47"/>
      <c r="Z1516" s="6"/>
    </row>
    <row r="1517" spans="5:26" x14ac:dyDescent="0.2">
      <c r="E1517" s="4"/>
      <c r="F1517" s="45"/>
      <c r="G1517" s="4"/>
      <c r="H1517" s="47"/>
      <c r="Z1517" s="6"/>
    </row>
    <row r="1518" spans="5:26" x14ac:dyDescent="0.2">
      <c r="E1518" s="4"/>
      <c r="F1518" s="45"/>
      <c r="G1518" s="4"/>
      <c r="H1518" s="47"/>
      <c r="Z1518" s="6"/>
    </row>
    <row r="1519" spans="5:26" x14ac:dyDescent="0.2">
      <c r="E1519" s="4"/>
      <c r="F1519" s="45"/>
      <c r="G1519" s="4"/>
      <c r="H1519" s="47"/>
      <c r="Z1519" s="6"/>
    </row>
    <row r="1520" spans="5:26" x14ac:dyDescent="0.2">
      <c r="E1520" s="4"/>
      <c r="F1520" s="45"/>
      <c r="G1520" s="4"/>
      <c r="H1520" s="47"/>
      <c r="Z1520" s="6"/>
    </row>
    <row r="1521" spans="5:26" x14ac:dyDescent="0.2">
      <c r="E1521" s="4"/>
      <c r="F1521" s="45"/>
      <c r="G1521" s="4"/>
      <c r="H1521" s="47"/>
      <c r="Z1521" s="6"/>
    </row>
    <row r="1522" spans="5:26" x14ac:dyDescent="0.2">
      <c r="E1522" s="4"/>
      <c r="F1522" s="45"/>
      <c r="G1522" s="4"/>
      <c r="H1522" s="47"/>
      <c r="Z1522" s="6"/>
    </row>
    <row r="1523" spans="5:26" x14ac:dyDescent="0.2">
      <c r="E1523" s="4"/>
      <c r="F1523" s="45"/>
      <c r="G1523" s="4"/>
      <c r="H1523" s="47"/>
      <c r="Z1523" s="6"/>
    </row>
    <row r="1524" spans="5:26" x14ac:dyDescent="0.2">
      <c r="E1524" s="4"/>
      <c r="F1524" s="45"/>
      <c r="G1524" s="4"/>
      <c r="H1524" s="47"/>
      <c r="Z1524" s="6"/>
    </row>
    <row r="1525" spans="5:26" x14ac:dyDescent="0.2">
      <c r="E1525" s="4"/>
      <c r="F1525" s="45"/>
      <c r="G1525" s="4"/>
      <c r="H1525" s="47"/>
      <c r="Z1525" s="6"/>
    </row>
    <row r="1526" spans="5:26" x14ac:dyDescent="0.2">
      <c r="E1526" s="4"/>
      <c r="F1526" s="45"/>
      <c r="G1526" s="4"/>
      <c r="H1526" s="47"/>
      <c r="Z1526" s="6"/>
    </row>
    <row r="1527" spans="5:26" x14ac:dyDescent="0.2">
      <c r="E1527" s="4"/>
      <c r="F1527" s="45"/>
      <c r="G1527" s="4"/>
      <c r="H1527" s="47"/>
      <c r="Z1527" s="6"/>
    </row>
    <row r="1528" spans="5:26" x14ac:dyDescent="0.2">
      <c r="E1528" s="4"/>
      <c r="F1528" s="45"/>
      <c r="G1528" s="4"/>
      <c r="H1528" s="47"/>
      <c r="Z1528" s="6"/>
    </row>
    <row r="1529" spans="5:26" x14ac:dyDescent="0.2">
      <c r="E1529" s="4"/>
      <c r="F1529" s="45"/>
      <c r="G1529" s="4"/>
      <c r="H1529" s="47"/>
      <c r="Z1529" s="6"/>
    </row>
    <row r="1530" spans="5:26" x14ac:dyDescent="0.2">
      <c r="E1530" s="4"/>
      <c r="F1530" s="45"/>
      <c r="G1530" s="4"/>
      <c r="H1530" s="47"/>
      <c r="Z1530" s="6"/>
    </row>
    <row r="1531" spans="5:26" x14ac:dyDescent="0.2">
      <c r="E1531" s="4"/>
      <c r="F1531" s="45"/>
      <c r="G1531" s="4"/>
      <c r="H1531" s="47"/>
      <c r="Z1531" s="6"/>
    </row>
    <row r="1532" spans="5:26" x14ac:dyDescent="0.2">
      <c r="E1532" s="4"/>
      <c r="F1532" s="45"/>
      <c r="G1532" s="4"/>
      <c r="H1532" s="47"/>
      <c r="Z1532" s="6"/>
    </row>
    <row r="1533" spans="5:26" x14ac:dyDescent="0.2">
      <c r="E1533" s="4"/>
      <c r="F1533" s="45"/>
      <c r="G1533" s="4"/>
      <c r="H1533" s="47"/>
      <c r="Z1533" s="6"/>
    </row>
    <row r="1534" spans="5:26" x14ac:dyDescent="0.2">
      <c r="E1534" s="4"/>
      <c r="F1534" s="45"/>
      <c r="G1534" s="4"/>
      <c r="H1534" s="47"/>
      <c r="Z1534" s="6"/>
    </row>
    <row r="1535" spans="5:26" x14ac:dyDescent="0.2">
      <c r="E1535" s="4"/>
      <c r="F1535" s="45"/>
      <c r="G1535" s="4"/>
      <c r="H1535" s="47"/>
      <c r="Z1535" s="6"/>
    </row>
    <row r="1536" spans="5:26" x14ac:dyDescent="0.2">
      <c r="E1536" s="4"/>
      <c r="F1536" s="45"/>
      <c r="G1536" s="4"/>
      <c r="H1536" s="47"/>
      <c r="Z1536" s="6"/>
    </row>
    <row r="1537" spans="5:26" x14ac:dyDescent="0.2">
      <c r="E1537" s="4"/>
      <c r="F1537" s="45"/>
      <c r="G1537" s="4"/>
      <c r="H1537" s="47"/>
      <c r="Z1537" s="6"/>
    </row>
    <row r="1538" spans="5:26" x14ac:dyDescent="0.2">
      <c r="E1538" s="4"/>
      <c r="F1538" s="45"/>
      <c r="G1538" s="4"/>
      <c r="H1538" s="47"/>
      <c r="Z1538" s="6"/>
    </row>
    <row r="1539" spans="5:26" x14ac:dyDescent="0.2">
      <c r="E1539" s="4"/>
      <c r="F1539" s="45"/>
      <c r="G1539" s="4"/>
      <c r="H1539" s="47"/>
      <c r="Z1539" s="6"/>
    </row>
    <row r="1540" spans="5:26" x14ac:dyDescent="0.2">
      <c r="E1540" s="4"/>
      <c r="F1540" s="45"/>
      <c r="G1540" s="4"/>
      <c r="H1540" s="47"/>
      <c r="Z1540" s="6"/>
    </row>
    <row r="1541" spans="5:26" x14ac:dyDescent="0.2">
      <c r="E1541" s="4"/>
      <c r="F1541" s="45"/>
      <c r="G1541" s="4"/>
      <c r="H1541" s="47"/>
      <c r="Z1541" s="6"/>
    </row>
    <row r="1542" spans="5:26" x14ac:dyDescent="0.2">
      <c r="E1542" s="4"/>
      <c r="F1542" s="45"/>
      <c r="G1542" s="4"/>
      <c r="H1542" s="47"/>
      <c r="Z1542" s="6"/>
    </row>
    <row r="1543" spans="5:26" x14ac:dyDescent="0.2">
      <c r="E1543" s="4"/>
      <c r="F1543" s="45"/>
      <c r="G1543" s="4"/>
      <c r="H1543" s="47"/>
      <c r="Z1543" s="6"/>
    </row>
    <row r="1544" spans="5:26" x14ac:dyDescent="0.2">
      <c r="E1544" s="4"/>
      <c r="F1544" s="45"/>
      <c r="G1544" s="4"/>
      <c r="H1544" s="47"/>
      <c r="Z1544" s="6"/>
    </row>
    <row r="1545" spans="5:26" x14ac:dyDescent="0.2">
      <c r="E1545" s="4"/>
      <c r="F1545" s="45"/>
      <c r="G1545" s="4"/>
      <c r="H1545" s="47"/>
      <c r="Z1545" s="6"/>
    </row>
    <row r="1546" spans="5:26" x14ac:dyDescent="0.2">
      <c r="E1546" s="4"/>
      <c r="F1546" s="45"/>
      <c r="G1546" s="4"/>
      <c r="H1546" s="47"/>
      <c r="Z1546" s="6"/>
    </row>
    <row r="1547" spans="5:26" x14ac:dyDescent="0.2">
      <c r="E1547" s="4"/>
      <c r="F1547" s="45"/>
      <c r="G1547" s="4"/>
      <c r="H1547" s="47"/>
      <c r="Z1547" s="6"/>
    </row>
    <row r="1548" spans="5:26" x14ac:dyDescent="0.2">
      <c r="E1548" s="4"/>
      <c r="F1548" s="45"/>
      <c r="G1548" s="4"/>
      <c r="H1548" s="47"/>
      <c r="Z1548" s="6"/>
    </row>
    <row r="1549" spans="5:26" x14ac:dyDescent="0.2">
      <c r="E1549" s="4"/>
      <c r="F1549" s="45"/>
      <c r="G1549" s="4"/>
      <c r="H1549" s="47"/>
      <c r="Z1549" s="6"/>
    </row>
    <row r="1550" spans="5:26" x14ac:dyDescent="0.2">
      <c r="E1550" s="4"/>
      <c r="F1550" s="45"/>
      <c r="G1550" s="4"/>
      <c r="H1550" s="47"/>
      <c r="Z1550" s="6"/>
    </row>
    <row r="1551" spans="5:26" x14ac:dyDescent="0.2">
      <c r="E1551" s="4"/>
      <c r="F1551" s="45"/>
      <c r="G1551" s="4"/>
      <c r="H1551" s="47"/>
      <c r="Z1551" s="6"/>
    </row>
    <row r="1552" spans="5:26" x14ac:dyDescent="0.2">
      <c r="E1552" s="4"/>
      <c r="F1552" s="45"/>
      <c r="G1552" s="4"/>
      <c r="H1552" s="47"/>
      <c r="Z1552" s="6"/>
    </row>
    <row r="1553" spans="5:26" x14ac:dyDescent="0.2">
      <c r="E1553" s="4"/>
      <c r="F1553" s="45"/>
      <c r="G1553" s="4"/>
      <c r="H1553" s="47"/>
      <c r="Z1553" s="6"/>
    </row>
    <row r="1554" spans="5:26" x14ac:dyDescent="0.2">
      <c r="E1554" s="4"/>
      <c r="F1554" s="45"/>
      <c r="G1554" s="4"/>
      <c r="H1554" s="47"/>
      <c r="Z1554" s="6"/>
    </row>
    <row r="1555" spans="5:26" x14ac:dyDescent="0.2">
      <c r="E1555" s="4"/>
      <c r="F1555" s="45"/>
      <c r="G1555" s="4"/>
      <c r="H1555" s="47"/>
      <c r="Z1555" s="6"/>
    </row>
    <row r="1556" spans="5:26" x14ac:dyDescent="0.2">
      <c r="E1556" s="4"/>
      <c r="F1556" s="45"/>
      <c r="G1556" s="4"/>
      <c r="H1556" s="47"/>
      <c r="Z1556" s="6"/>
    </row>
    <row r="1557" spans="5:26" x14ac:dyDescent="0.2">
      <c r="E1557" s="4"/>
      <c r="F1557" s="45"/>
      <c r="G1557" s="4"/>
      <c r="H1557" s="47"/>
      <c r="Z1557" s="6"/>
    </row>
    <row r="1558" spans="5:26" x14ac:dyDescent="0.2">
      <c r="E1558" s="4"/>
      <c r="F1558" s="45"/>
      <c r="G1558" s="4"/>
      <c r="H1558" s="47"/>
      <c r="Z1558" s="6"/>
    </row>
    <row r="1559" spans="5:26" x14ac:dyDescent="0.2">
      <c r="E1559" s="4"/>
      <c r="F1559" s="45"/>
      <c r="G1559" s="4"/>
      <c r="H1559" s="47"/>
      <c r="Z1559" s="6"/>
    </row>
    <row r="1560" spans="5:26" x14ac:dyDescent="0.2">
      <c r="E1560" s="4"/>
      <c r="F1560" s="45"/>
      <c r="G1560" s="4"/>
      <c r="H1560" s="47"/>
      <c r="Z1560" s="6"/>
    </row>
    <row r="1561" spans="5:26" x14ac:dyDescent="0.2">
      <c r="E1561" s="4"/>
      <c r="F1561" s="45"/>
      <c r="G1561" s="4"/>
      <c r="H1561" s="47"/>
      <c r="Z1561" s="6"/>
    </row>
    <row r="1562" spans="5:26" x14ac:dyDescent="0.2">
      <c r="E1562" s="4"/>
      <c r="F1562" s="45"/>
      <c r="G1562" s="4"/>
      <c r="H1562" s="47"/>
      <c r="Z1562" s="6"/>
    </row>
    <row r="1563" spans="5:26" x14ac:dyDescent="0.2">
      <c r="E1563" s="4"/>
      <c r="F1563" s="45"/>
      <c r="G1563" s="4"/>
      <c r="H1563" s="47"/>
      <c r="Z1563" s="6"/>
    </row>
    <row r="1564" spans="5:26" x14ac:dyDescent="0.2">
      <c r="E1564" s="4"/>
      <c r="F1564" s="45"/>
      <c r="G1564" s="4"/>
      <c r="H1564" s="47"/>
      <c r="Z1564" s="6"/>
    </row>
    <row r="1565" spans="5:26" x14ac:dyDescent="0.2">
      <c r="E1565" s="4"/>
      <c r="F1565" s="45"/>
      <c r="G1565" s="4"/>
      <c r="H1565" s="47"/>
      <c r="Z1565" s="6"/>
    </row>
    <row r="1566" spans="5:26" x14ac:dyDescent="0.2">
      <c r="E1566" s="4"/>
      <c r="F1566" s="45"/>
      <c r="G1566" s="4"/>
      <c r="H1566" s="47"/>
      <c r="Z1566" s="6"/>
    </row>
    <row r="1567" spans="5:26" x14ac:dyDescent="0.2">
      <c r="E1567" s="4"/>
      <c r="F1567" s="45"/>
      <c r="G1567" s="4"/>
      <c r="H1567" s="47"/>
      <c r="Z1567" s="6"/>
    </row>
    <row r="1568" spans="5:26" x14ac:dyDescent="0.2">
      <c r="E1568" s="4"/>
      <c r="F1568" s="45"/>
      <c r="G1568" s="4"/>
      <c r="H1568" s="47"/>
      <c r="Z1568" s="6"/>
    </row>
    <row r="1569" spans="5:26" x14ac:dyDescent="0.2">
      <c r="E1569" s="4"/>
      <c r="F1569" s="45"/>
      <c r="G1569" s="4"/>
      <c r="H1569" s="47"/>
      <c r="Z1569" s="6"/>
    </row>
    <row r="1570" spans="5:26" x14ac:dyDescent="0.2">
      <c r="E1570" s="4"/>
      <c r="F1570" s="45"/>
      <c r="G1570" s="4"/>
      <c r="H1570" s="47"/>
      <c r="Z1570" s="6"/>
    </row>
    <row r="1571" spans="5:26" x14ac:dyDescent="0.2">
      <c r="E1571" s="4"/>
      <c r="F1571" s="45"/>
      <c r="G1571" s="4"/>
      <c r="H1571" s="47"/>
      <c r="Z1571" s="6"/>
    </row>
    <row r="1572" spans="5:26" x14ac:dyDescent="0.2">
      <c r="E1572" s="4"/>
      <c r="F1572" s="45"/>
      <c r="G1572" s="4"/>
      <c r="H1572" s="47"/>
      <c r="Z1572" s="6"/>
    </row>
    <row r="1573" spans="5:26" x14ac:dyDescent="0.2">
      <c r="E1573" s="4"/>
      <c r="F1573" s="45"/>
      <c r="G1573" s="4"/>
      <c r="H1573" s="47"/>
      <c r="Z1573" s="6"/>
    </row>
    <row r="1574" spans="5:26" x14ac:dyDescent="0.2">
      <c r="E1574" s="4"/>
      <c r="F1574" s="45"/>
      <c r="G1574" s="4"/>
      <c r="H1574" s="47"/>
      <c r="Z1574" s="6"/>
    </row>
    <row r="1575" spans="5:26" x14ac:dyDescent="0.2">
      <c r="E1575" s="4"/>
      <c r="F1575" s="45"/>
      <c r="G1575" s="4"/>
      <c r="H1575" s="47"/>
      <c r="Z1575" s="6"/>
    </row>
    <row r="1576" spans="5:26" x14ac:dyDescent="0.2">
      <c r="E1576" s="4"/>
      <c r="F1576" s="45"/>
      <c r="G1576" s="4"/>
      <c r="H1576" s="47"/>
      <c r="Z1576" s="6"/>
    </row>
    <row r="1577" spans="5:26" x14ac:dyDescent="0.2">
      <c r="E1577" s="4"/>
      <c r="F1577" s="45"/>
      <c r="G1577" s="4"/>
      <c r="H1577" s="47"/>
      <c r="Z1577" s="6"/>
    </row>
    <row r="1578" spans="5:26" x14ac:dyDescent="0.2">
      <c r="E1578" s="4"/>
      <c r="F1578" s="45"/>
      <c r="G1578" s="4"/>
      <c r="H1578" s="47"/>
      <c r="Z1578" s="6"/>
    </row>
    <row r="1579" spans="5:26" x14ac:dyDescent="0.2">
      <c r="E1579" s="4"/>
      <c r="F1579" s="45"/>
      <c r="G1579" s="4"/>
      <c r="H1579" s="47"/>
      <c r="Z1579" s="6"/>
    </row>
    <row r="1580" spans="5:26" x14ac:dyDescent="0.2">
      <c r="E1580" s="4"/>
      <c r="F1580" s="45"/>
      <c r="G1580" s="4"/>
      <c r="H1580" s="47"/>
      <c r="Z1580" s="6"/>
    </row>
    <row r="1581" spans="5:26" x14ac:dyDescent="0.2">
      <c r="E1581" s="4"/>
      <c r="F1581" s="45"/>
      <c r="G1581" s="4"/>
      <c r="H1581" s="47"/>
      <c r="Z1581" s="6"/>
    </row>
    <row r="1582" spans="5:26" x14ac:dyDescent="0.2">
      <c r="E1582" s="4"/>
      <c r="F1582" s="45"/>
      <c r="G1582" s="4"/>
      <c r="H1582" s="47"/>
      <c r="Z1582" s="6"/>
    </row>
    <row r="1583" spans="5:26" x14ac:dyDescent="0.2">
      <c r="E1583" s="4"/>
      <c r="F1583" s="45"/>
      <c r="G1583" s="4"/>
      <c r="H1583" s="47"/>
      <c r="Z1583" s="6"/>
    </row>
    <row r="1584" spans="5:26" x14ac:dyDescent="0.2">
      <c r="E1584" s="4"/>
      <c r="F1584" s="45"/>
      <c r="G1584" s="4"/>
      <c r="H1584" s="47"/>
      <c r="Z1584" s="6"/>
    </row>
    <row r="1585" spans="5:26" x14ac:dyDescent="0.2">
      <c r="E1585" s="4"/>
      <c r="F1585" s="45"/>
      <c r="G1585" s="4"/>
      <c r="H1585" s="47"/>
      <c r="Z1585" s="6"/>
    </row>
    <row r="1586" spans="5:26" x14ac:dyDescent="0.2">
      <c r="E1586" s="4"/>
      <c r="F1586" s="45"/>
      <c r="G1586" s="4"/>
      <c r="H1586" s="47"/>
      <c r="Z1586" s="6"/>
    </row>
    <row r="1587" spans="5:26" x14ac:dyDescent="0.2">
      <c r="E1587" s="4"/>
      <c r="F1587" s="45"/>
      <c r="G1587" s="4"/>
      <c r="H1587" s="47"/>
      <c r="Z1587" s="6"/>
    </row>
    <row r="1588" spans="5:26" x14ac:dyDescent="0.2">
      <c r="E1588" s="4"/>
      <c r="F1588" s="45"/>
      <c r="G1588" s="4"/>
      <c r="H1588" s="47"/>
      <c r="Z1588" s="6"/>
    </row>
    <row r="1589" spans="5:26" x14ac:dyDescent="0.2">
      <c r="E1589" s="4"/>
      <c r="F1589" s="45"/>
      <c r="G1589" s="4"/>
      <c r="H1589" s="47"/>
      <c r="Z1589" s="6"/>
    </row>
    <row r="1590" spans="5:26" x14ac:dyDescent="0.2">
      <c r="E1590" s="4"/>
      <c r="F1590" s="45"/>
      <c r="G1590" s="4"/>
      <c r="H1590" s="47"/>
      <c r="Z1590" s="6"/>
    </row>
    <row r="1591" spans="5:26" x14ac:dyDescent="0.2">
      <c r="E1591" s="4"/>
      <c r="F1591" s="45"/>
      <c r="G1591" s="4"/>
      <c r="H1591" s="47"/>
      <c r="Z1591" s="6"/>
    </row>
    <row r="1592" spans="5:26" x14ac:dyDescent="0.2">
      <c r="E1592" s="4"/>
      <c r="F1592" s="45"/>
      <c r="G1592" s="4"/>
      <c r="H1592" s="47"/>
      <c r="Z1592" s="6"/>
    </row>
    <row r="1593" spans="5:26" x14ac:dyDescent="0.2">
      <c r="E1593" s="4"/>
      <c r="F1593" s="45"/>
      <c r="G1593" s="4"/>
      <c r="H1593" s="47"/>
      <c r="Z1593" s="6"/>
    </row>
    <row r="1594" spans="5:26" x14ac:dyDescent="0.2">
      <c r="E1594" s="4"/>
      <c r="F1594" s="45"/>
      <c r="G1594" s="4"/>
      <c r="H1594" s="47"/>
      <c r="Z1594" s="6"/>
    </row>
    <row r="1595" spans="5:26" x14ac:dyDescent="0.2">
      <c r="E1595" s="4"/>
      <c r="F1595" s="45"/>
      <c r="G1595" s="4"/>
      <c r="H1595" s="47"/>
      <c r="Z1595" s="6"/>
    </row>
    <row r="1596" spans="5:26" x14ac:dyDescent="0.2">
      <c r="E1596" s="4"/>
      <c r="F1596" s="45"/>
      <c r="G1596" s="4"/>
      <c r="H1596" s="47"/>
      <c r="Z1596" s="6"/>
    </row>
    <row r="1597" spans="5:26" x14ac:dyDescent="0.2">
      <c r="E1597" s="4"/>
      <c r="F1597" s="45"/>
      <c r="G1597" s="4"/>
      <c r="H1597" s="47"/>
      <c r="Z1597" s="6"/>
    </row>
    <row r="1598" spans="5:26" x14ac:dyDescent="0.2">
      <c r="E1598" s="4"/>
      <c r="F1598" s="45"/>
      <c r="G1598" s="4"/>
      <c r="H1598" s="47"/>
      <c r="Z1598" s="6"/>
    </row>
    <row r="1599" spans="5:26" x14ac:dyDescent="0.2">
      <c r="E1599" s="4"/>
      <c r="F1599" s="45"/>
      <c r="G1599" s="4"/>
      <c r="H1599" s="47"/>
      <c r="Z1599" s="6"/>
    </row>
    <row r="1600" spans="5:26" x14ac:dyDescent="0.2">
      <c r="E1600" s="4"/>
      <c r="F1600" s="45"/>
      <c r="G1600" s="4"/>
      <c r="H1600" s="47"/>
      <c r="Z1600" s="6"/>
    </row>
    <row r="1601" spans="5:26" x14ac:dyDescent="0.2">
      <c r="E1601" s="4"/>
      <c r="F1601" s="45"/>
      <c r="G1601" s="4"/>
      <c r="H1601" s="47"/>
      <c r="Z1601" s="6"/>
    </row>
    <row r="1602" spans="5:26" x14ac:dyDescent="0.2">
      <c r="E1602" s="4"/>
      <c r="F1602" s="45"/>
      <c r="G1602" s="4"/>
      <c r="H1602" s="47"/>
      <c r="Z1602" s="6"/>
    </row>
    <row r="1603" spans="5:26" x14ac:dyDescent="0.2">
      <c r="E1603" s="4"/>
      <c r="F1603" s="45"/>
      <c r="G1603" s="4"/>
      <c r="H1603" s="47"/>
      <c r="Z1603" s="6"/>
    </row>
    <row r="1604" spans="5:26" x14ac:dyDescent="0.2">
      <c r="E1604" s="4"/>
      <c r="F1604" s="45"/>
      <c r="G1604" s="4"/>
      <c r="H1604" s="47"/>
      <c r="Z1604" s="6"/>
    </row>
    <row r="1605" spans="5:26" x14ac:dyDescent="0.2">
      <c r="E1605" s="4"/>
      <c r="F1605" s="45"/>
      <c r="G1605" s="4"/>
      <c r="H1605" s="47"/>
      <c r="Z1605" s="6"/>
    </row>
    <row r="1606" spans="5:26" x14ac:dyDescent="0.2">
      <c r="E1606" s="4"/>
      <c r="F1606" s="45"/>
      <c r="G1606" s="4"/>
      <c r="H1606" s="47"/>
      <c r="Z1606" s="6"/>
    </row>
    <row r="1607" spans="5:26" x14ac:dyDescent="0.2">
      <c r="E1607" s="4"/>
      <c r="F1607" s="45"/>
      <c r="G1607" s="4"/>
      <c r="H1607" s="47"/>
      <c r="Z1607" s="6"/>
    </row>
    <row r="1608" spans="5:26" x14ac:dyDescent="0.2">
      <c r="E1608" s="4"/>
      <c r="F1608" s="45"/>
      <c r="G1608" s="4"/>
      <c r="H1608" s="47"/>
      <c r="Z1608" s="6"/>
    </row>
    <row r="1609" spans="5:26" x14ac:dyDescent="0.2">
      <c r="E1609" s="4"/>
      <c r="F1609" s="45"/>
      <c r="G1609" s="4"/>
      <c r="H1609" s="47"/>
      <c r="Z1609" s="6"/>
    </row>
    <row r="1610" spans="5:26" x14ac:dyDescent="0.2">
      <c r="E1610" s="4"/>
      <c r="F1610" s="45"/>
      <c r="G1610" s="4"/>
      <c r="H1610" s="47"/>
      <c r="Z1610" s="6"/>
    </row>
    <row r="1611" spans="5:26" x14ac:dyDescent="0.2">
      <c r="E1611" s="4"/>
      <c r="F1611" s="45"/>
      <c r="G1611" s="4"/>
      <c r="H1611" s="47"/>
      <c r="Z1611" s="6"/>
    </row>
    <row r="1612" spans="5:26" x14ac:dyDescent="0.2">
      <c r="E1612" s="4"/>
      <c r="F1612" s="45"/>
      <c r="G1612" s="4"/>
      <c r="H1612" s="47"/>
      <c r="Z1612" s="6"/>
    </row>
    <row r="1613" spans="5:26" x14ac:dyDescent="0.2">
      <c r="E1613" s="4"/>
      <c r="F1613" s="45"/>
      <c r="G1613" s="4"/>
      <c r="H1613" s="47"/>
      <c r="Z1613" s="6"/>
    </row>
    <row r="1614" spans="5:26" x14ac:dyDescent="0.2">
      <c r="E1614" s="4"/>
      <c r="F1614" s="45"/>
      <c r="G1614" s="4"/>
      <c r="H1614" s="47"/>
      <c r="Z1614" s="6"/>
    </row>
    <row r="1615" spans="5:26" x14ac:dyDescent="0.2">
      <c r="E1615" s="4"/>
      <c r="F1615" s="45"/>
      <c r="G1615" s="4"/>
      <c r="H1615" s="47"/>
      <c r="Z1615" s="6"/>
    </row>
    <row r="1616" spans="5:26" x14ac:dyDescent="0.2">
      <c r="E1616" s="4"/>
      <c r="F1616" s="45"/>
      <c r="G1616" s="4"/>
      <c r="H1616" s="47"/>
      <c r="Z1616" s="6"/>
    </row>
    <row r="1617" spans="5:26" x14ac:dyDescent="0.2">
      <c r="E1617" s="4"/>
      <c r="F1617" s="45"/>
      <c r="G1617" s="4"/>
      <c r="H1617" s="47"/>
      <c r="Z1617" s="6"/>
    </row>
    <row r="1618" spans="5:26" x14ac:dyDescent="0.2">
      <c r="E1618" s="4"/>
      <c r="F1618" s="45"/>
      <c r="G1618" s="4"/>
      <c r="H1618" s="47"/>
      <c r="Z1618" s="6"/>
    </row>
    <row r="1619" spans="5:26" x14ac:dyDescent="0.2">
      <c r="E1619" s="4"/>
      <c r="F1619" s="45"/>
      <c r="G1619" s="4"/>
      <c r="H1619" s="47"/>
      <c r="Z1619" s="6"/>
    </row>
    <row r="1620" spans="5:26" x14ac:dyDescent="0.2">
      <c r="E1620" s="4"/>
      <c r="F1620" s="45"/>
      <c r="G1620" s="4"/>
      <c r="H1620" s="47"/>
      <c r="Z1620" s="6"/>
    </row>
    <row r="1621" spans="5:26" x14ac:dyDescent="0.2">
      <c r="E1621" s="4"/>
      <c r="F1621" s="45"/>
      <c r="G1621" s="4"/>
      <c r="H1621" s="47"/>
      <c r="Z1621" s="6"/>
    </row>
    <row r="1622" spans="5:26" x14ac:dyDescent="0.2">
      <c r="E1622" s="4"/>
      <c r="F1622" s="45"/>
      <c r="G1622" s="4"/>
      <c r="H1622" s="47"/>
      <c r="Z1622" s="6"/>
    </row>
    <row r="1623" spans="5:26" x14ac:dyDescent="0.2">
      <c r="E1623" s="4"/>
      <c r="F1623" s="45"/>
      <c r="G1623" s="4"/>
      <c r="H1623" s="47"/>
      <c r="Z1623" s="6"/>
    </row>
    <row r="1624" spans="5:26" x14ac:dyDescent="0.2">
      <c r="E1624" s="4"/>
      <c r="F1624" s="45"/>
      <c r="G1624" s="4"/>
      <c r="H1624" s="47"/>
      <c r="Z1624" s="6"/>
    </row>
    <row r="1625" spans="5:26" x14ac:dyDescent="0.2">
      <c r="E1625" s="4"/>
      <c r="F1625" s="45"/>
      <c r="G1625" s="4"/>
      <c r="H1625" s="47"/>
      <c r="Z1625" s="6"/>
    </row>
    <row r="1626" spans="5:26" x14ac:dyDescent="0.2">
      <c r="E1626" s="4"/>
      <c r="F1626" s="45"/>
      <c r="G1626" s="4"/>
      <c r="H1626" s="47"/>
      <c r="Z1626" s="6"/>
    </row>
    <row r="1627" spans="5:26" x14ac:dyDescent="0.2">
      <c r="E1627" s="4"/>
      <c r="F1627" s="45"/>
      <c r="G1627" s="4"/>
      <c r="H1627" s="47"/>
      <c r="Z1627" s="6"/>
    </row>
    <row r="1628" spans="5:26" x14ac:dyDescent="0.2">
      <c r="E1628" s="4"/>
      <c r="F1628" s="45"/>
      <c r="G1628" s="4"/>
      <c r="H1628" s="47"/>
      <c r="Z1628" s="6"/>
    </row>
    <row r="1629" spans="5:26" x14ac:dyDescent="0.2">
      <c r="E1629" s="4"/>
      <c r="F1629" s="45"/>
      <c r="G1629" s="4"/>
      <c r="H1629" s="47"/>
      <c r="Z1629" s="6"/>
    </row>
    <row r="1630" spans="5:26" x14ac:dyDescent="0.2">
      <c r="E1630" s="4"/>
      <c r="F1630" s="45"/>
      <c r="G1630" s="4"/>
      <c r="H1630" s="47"/>
      <c r="Z1630" s="6"/>
    </row>
    <row r="1631" spans="5:26" x14ac:dyDescent="0.2">
      <c r="E1631" s="4"/>
      <c r="F1631" s="45"/>
      <c r="G1631" s="4"/>
      <c r="H1631" s="47"/>
      <c r="Z1631" s="6"/>
    </row>
    <row r="1632" spans="5:26" x14ac:dyDescent="0.2">
      <c r="E1632" s="4"/>
      <c r="F1632" s="45"/>
      <c r="G1632" s="4"/>
      <c r="H1632" s="47"/>
      <c r="Z1632" s="6"/>
    </row>
    <row r="1633" spans="5:26" x14ac:dyDescent="0.2">
      <c r="E1633" s="4"/>
      <c r="F1633" s="45"/>
      <c r="G1633" s="4"/>
      <c r="H1633" s="47"/>
      <c r="Z1633" s="6"/>
    </row>
    <row r="1634" spans="5:26" x14ac:dyDescent="0.2">
      <c r="E1634" s="4"/>
      <c r="F1634" s="45"/>
      <c r="G1634" s="4"/>
      <c r="H1634" s="47"/>
      <c r="Z1634" s="6"/>
    </row>
    <row r="1635" spans="5:26" x14ac:dyDescent="0.2">
      <c r="E1635" s="4"/>
      <c r="F1635" s="45"/>
      <c r="G1635" s="4"/>
      <c r="H1635" s="47"/>
      <c r="Z1635" s="6"/>
    </row>
    <row r="1636" spans="5:26" x14ac:dyDescent="0.2">
      <c r="E1636" s="4"/>
      <c r="F1636" s="45"/>
      <c r="G1636" s="4"/>
      <c r="H1636" s="47"/>
      <c r="Z1636" s="6"/>
    </row>
    <row r="1637" spans="5:26" x14ac:dyDescent="0.2">
      <c r="E1637" s="4"/>
      <c r="F1637" s="45"/>
      <c r="G1637" s="4"/>
      <c r="H1637" s="47"/>
      <c r="Z1637" s="6"/>
    </row>
    <row r="1638" spans="5:26" x14ac:dyDescent="0.2">
      <c r="E1638" s="4"/>
      <c r="F1638" s="45"/>
      <c r="G1638" s="4"/>
      <c r="H1638" s="47"/>
      <c r="Z1638" s="6"/>
    </row>
    <row r="1639" spans="5:26" x14ac:dyDescent="0.2">
      <c r="E1639" s="4"/>
      <c r="F1639" s="45"/>
      <c r="G1639" s="4"/>
      <c r="H1639" s="47"/>
      <c r="Z1639" s="6"/>
    </row>
    <row r="1640" spans="5:26" x14ac:dyDescent="0.2">
      <c r="E1640" s="4"/>
      <c r="F1640" s="45"/>
      <c r="G1640" s="4"/>
      <c r="H1640" s="47"/>
      <c r="Z1640" s="6"/>
    </row>
    <row r="1641" spans="5:26" x14ac:dyDescent="0.2">
      <c r="E1641" s="4"/>
      <c r="F1641" s="45"/>
      <c r="G1641" s="4"/>
      <c r="H1641" s="47"/>
      <c r="Z1641" s="6"/>
    </row>
    <row r="1642" spans="5:26" x14ac:dyDescent="0.2">
      <c r="E1642" s="4"/>
      <c r="F1642" s="45"/>
      <c r="G1642" s="4"/>
      <c r="H1642" s="47"/>
      <c r="Z1642" s="6"/>
    </row>
    <row r="1643" spans="5:26" x14ac:dyDescent="0.2">
      <c r="E1643" s="4"/>
      <c r="F1643" s="45"/>
      <c r="G1643" s="4"/>
      <c r="H1643" s="47"/>
      <c r="Z1643" s="6"/>
    </row>
    <row r="1644" spans="5:26" x14ac:dyDescent="0.2">
      <c r="E1644" s="4"/>
      <c r="F1644" s="45"/>
      <c r="G1644" s="4"/>
      <c r="H1644" s="47"/>
      <c r="Z1644" s="6"/>
    </row>
    <row r="1645" spans="5:26" x14ac:dyDescent="0.2">
      <c r="E1645" s="4"/>
      <c r="F1645" s="45"/>
      <c r="G1645" s="4"/>
      <c r="H1645" s="47"/>
      <c r="Z1645" s="6"/>
    </row>
    <row r="1646" spans="5:26" x14ac:dyDescent="0.2">
      <c r="E1646" s="4"/>
      <c r="F1646" s="45"/>
      <c r="G1646" s="4"/>
      <c r="H1646" s="47"/>
      <c r="Z1646" s="6"/>
    </row>
    <row r="1647" spans="5:26" x14ac:dyDescent="0.2">
      <c r="E1647" s="4"/>
      <c r="F1647" s="45"/>
      <c r="G1647" s="4"/>
      <c r="H1647" s="47"/>
      <c r="Z1647" s="6"/>
    </row>
    <row r="1648" spans="5:26" x14ac:dyDescent="0.2">
      <c r="E1648" s="4"/>
      <c r="F1648" s="45"/>
      <c r="G1648" s="4"/>
      <c r="H1648" s="47"/>
      <c r="Z1648" s="6"/>
    </row>
    <row r="1649" spans="5:26" x14ac:dyDescent="0.2">
      <c r="E1649" s="4"/>
      <c r="F1649" s="45"/>
      <c r="G1649" s="4"/>
      <c r="H1649" s="47"/>
      <c r="Z1649" s="6"/>
    </row>
    <row r="1650" spans="5:26" x14ac:dyDescent="0.2">
      <c r="E1650" s="4"/>
      <c r="F1650" s="45"/>
      <c r="G1650" s="4"/>
      <c r="H1650" s="47"/>
      <c r="Z1650" s="6"/>
    </row>
    <row r="1651" spans="5:26" x14ac:dyDescent="0.2">
      <c r="E1651" s="4"/>
      <c r="F1651" s="45"/>
      <c r="G1651" s="4"/>
      <c r="H1651" s="47"/>
      <c r="Z1651" s="6"/>
    </row>
    <row r="1652" spans="5:26" x14ac:dyDescent="0.2">
      <c r="E1652" s="4"/>
      <c r="F1652" s="45"/>
      <c r="G1652" s="4"/>
      <c r="H1652" s="47"/>
      <c r="Z1652" s="6"/>
    </row>
    <row r="1653" spans="5:26" x14ac:dyDescent="0.2">
      <c r="E1653" s="4"/>
      <c r="F1653" s="45"/>
      <c r="G1653" s="4"/>
      <c r="H1653" s="47"/>
      <c r="Z1653" s="6"/>
    </row>
    <row r="1654" spans="5:26" x14ac:dyDescent="0.2">
      <c r="E1654" s="4"/>
      <c r="F1654" s="45"/>
      <c r="G1654" s="4"/>
      <c r="H1654" s="47"/>
      <c r="Z1654" s="6"/>
    </row>
    <row r="1655" spans="5:26" x14ac:dyDescent="0.2">
      <c r="E1655" s="4"/>
      <c r="F1655" s="45"/>
      <c r="G1655" s="4"/>
      <c r="H1655" s="47"/>
      <c r="Z1655" s="6"/>
    </row>
    <row r="1656" spans="5:26" x14ac:dyDescent="0.2">
      <c r="E1656" s="4"/>
      <c r="F1656" s="45"/>
      <c r="G1656" s="4"/>
      <c r="H1656" s="47"/>
      <c r="Z1656" s="6"/>
    </row>
    <row r="1657" spans="5:26" x14ac:dyDescent="0.2">
      <c r="E1657" s="4"/>
      <c r="F1657" s="45"/>
      <c r="G1657" s="4"/>
      <c r="H1657" s="47"/>
      <c r="Z1657" s="6"/>
    </row>
    <row r="1658" spans="5:26" x14ac:dyDescent="0.2">
      <c r="E1658" s="4"/>
      <c r="F1658" s="45"/>
      <c r="G1658" s="4"/>
      <c r="H1658" s="47"/>
      <c r="Z1658" s="6"/>
    </row>
    <row r="1659" spans="5:26" x14ac:dyDescent="0.2">
      <c r="E1659" s="4"/>
      <c r="F1659" s="45"/>
      <c r="G1659" s="4"/>
      <c r="H1659" s="47"/>
      <c r="Z1659" s="6"/>
    </row>
    <row r="1660" spans="5:26" x14ac:dyDescent="0.2">
      <c r="E1660" s="4"/>
      <c r="F1660" s="45"/>
      <c r="G1660" s="4"/>
      <c r="H1660" s="47"/>
      <c r="Z1660" s="6"/>
    </row>
    <row r="1661" spans="5:26" x14ac:dyDescent="0.2">
      <c r="E1661" s="4"/>
      <c r="F1661" s="45"/>
      <c r="G1661" s="4"/>
      <c r="H1661" s="47"/>
      <c r="Z1661" s="6"/>
    </row>
    <row r="1662" spans="5:26" x14ac:dyDescent="0.2">
      <c r="E1662" s="4"/>
      <c r="F1662" s="45"/>
      <c r="G1662" s="4"/>
      <c r="H1662" s="47"/>
      <c r="Z1662" s="6"/>
    </row>
    <row r="1663" spans="5:26" x14ac:dyDescent="0.2">
      <c r="E1663" s="4"/>
      <c r="F1663" s="45"/>
      <c r="G1663" s="4"/>
      <c r="H1663" s="47"/>
      <c r="Z1663" s="6"/>
    </row>
    <row r="1664" spans="5:26" x14ac:dyDescent="0.2">
      <c r="E1664" s="4"/>
      <c r="F1664" s="45"/>
      <c r="G1664" s="4"/>
      <c r="H1664" s="47"/>
      <c r="Z1664" s="6"/>
    </row>
    <row r="1665" spans="5:26" x14ac:dyDescent="0.2">
      <c r="E1665" s="4"/>
      <c r="F1665" s="45"/>
      <c r="G1665" s="4"/>
      <c r="H1665" s="47"/>
      <c r="Z1665" s="6"/>
    </row>
    <row r="1666" spans="5:26" x14ac:dyDescent="0.2">
      <c r="E1666" s="4"/>
      <c r="F1666" s="45"/>
      <c r="G1666" s="4"/>
      <c r="H1666" s="47"/>
      <c r="Z1666" s="6"/>
    </row>
    <row r="1667" spans="5:26" x14ac:dyDescent="0.2">
      <c r="E1667" s="4"/>
      <c r="F1667" s="45"/>
      <c r="G1667" s="4"/>
      <c r="H1667" s="47"/>
      <c r="Z1667" s="6"/>
    </row>
    <row r="1668" spans="5:26" x14ac:dyDescent="0.2">
      <c r="E1668" s="4"/>
      <c r="F1668" s="45"/>
      <c r="G1668" s="4"/>
      <c r="H1668" s="47"/>
      <c r="Z1668" s="6"/>
    </row>
    <row r="1669" spans="5:26" x14ac:dyDescent="0.2">
      <c r="E1669" s="4"/>
      <c r="F1669" s="45"/>
      <c r="G1669" s="4"/>
      <c r="H1669" s="47"/>
      <c r="Z1669" s="6"/>
    </row>
    <row r="1670" spans="5:26" x14ac:dyDescent="0.2">
      <c r="E1670" s="4"/>
      <c r="F1670" s="45"/>
      <c r="G1670" s="4"/>
      <c r="H1670" s="47"/>
      <c r="Z1670" s="6"/>
    </row>
    <row r="1671" spans="5:26" x14ac:dyDescent="0.2">
      <c r="E1671" s="4"/>
      <c r="F1671" s="45"/>
      <c r="G1671" s="4"/>
      <c r="H1671" s="47"/>
      <c r="Z1671" s="6"/>
    </row>
    <row r="1672" spans="5:26" x14ac:dyDescent="0.2">
      <c r="E1672" s="4"/>
      <c r="F1672" s="45"/>
      <c r="G1672" s="4"/>
      <c r="H1672" s="47"/>
      <c r="Z1672" s="6"/>
    </row>
    <row r="1673" spans="5:26" x14ac:dyDescent="0.2">
      <c r="E1673" s="4"/>
      <c r="F1673" s="45"/>
      <c r="G1673" s="4"/>
      <c r="H1673" s="47"/>
      <c r="Z1673" s="6"/>
    </row>
    <row r="1674" spans="5:26" x14ac:dyDescent="0.2">
      <c r="E1674" s="4"/>
      <c r="F1674" s="45"/>
      <c r="G1674" s="4"/>
      <c r="H1674" s="47"/>
      <c r="Z1674" s="6"/>
    </row>
    <row r="1675" spans="5:26" x14ac:dyDescent="0.2">
      <c r="E1675" s="4"/>
      <c r="F1675" s="45"/>
      <c r="G1675" s="4"/>
      <c r="H1675" s="47"/>
      <c r="Z1675" s="6"/>
    </row>
    <row r="1676" spans="5:26" x14ac:dyDescent="0.2">
      <c r="E1676" s="4"/>
      <c r="F1676" s="45"/>
      <c r="G1676" s="4"/>
      <c r="H1676" s="47"/>
      <c r="Z1676" s="6"/>
    </row>
    <row r="1677" spans="5:26" x14ac:dyDescent="0.2">
      <c r="E1677" s="4"/>
      <c r="F1677" s="45"/>
      <c r="G1677" s="4"/>
      <c r="H1677" s="47"/>
      <c r="Z1677" s="6"/>
    </row>
    <row r="1678" spans="5:26" x14ac:dyDescent="0.2">
      <c r="E1678" s="4"/>
      <c r="F1678" s="45"/>
      <c r="G1678" s="4"/>
      <c r="H1678" s="47"/>
      <c r="Z1678" s="6"/>
    </row>
    <row r="1679" spans="5:26" x14ac:dyDescent="0.2">
      <c r="E1679" s="4"/>
      <c r="F1679" s="45"/>
      <c r="G1679" s="4"/>
      <c r="H1679" s="47"/>
      <c r="Z1679" s="6"/>
    </row>
    <row r="1680" spans="5:26" x14ac:dyDescent="0.2">
      <c r="E1680" s="4"/>
      <c r="F1680" s="45"/>
      <c r="G1680" s="4"/>
      <c r="H1680" s="47"/>
      <c r="Z1680" s="6"/>
    </row>
    <row r="1681" spans="5:26" x14ac:dyDescent="0.2">
      <c r="E1681" s="4"/>
      <c r="F1681" s="45"/>
      <c r="G1681" s="4"/>
      <c r="H1681" s="47"/>
      <c r="Z1681" s="6"/>
    </row>
    <row r="1682" spans="5:26" x14ac:dyDescent="0.2">
      <c r="E1682" s="4"/>
      <c r="F1682" s="45"/>
      <c r="G1682" s="4"/>
      <c r="H1682" s="47"/>
      <c r="Z1682" s="6"/>
    </row>
    <row r="1683" spans="5:26" x14ac:dyDescent="0.2">
      <c r="E1683" s="4"/>
      <c r="F1683" s="45"/>
      <c r="G1683" s="4"/>
      <c r="H1683" s="47"/>
      <c r="Z1683" s="6"/>
    </row>
    <row r="1684" spans="5:26" x14ac:dyDescent="0.2">
      <c r="E1684" s="4"/>
      <c r="F1684" s="45"/>
      <c r="G1684" s="4"/>
      <c r="H1684" s="47"/>
      <c r="Z1684" s="6"/>
    </row>
    <row r="1685" spans="5:26" x14ac:dyDescent="0.2">
      <c r="E1685" s="4"/>
      <c r="F1685" s="45"/>
      <c r="G1685" s="4"/>
      <c r="H1685" s="47"/>
      <c r="Z1685" s="6"/>
    </row>
    <row r="1686" spans="5:26" x14ac:dyDescent="0.2">
      <c r="E1686" s="4"/>
      <c r="F1686" s="45"/>
      <c r="G1686" s="4"/>
      <c r="H1686" s="47"/>
      <c r="Z1686" s="6"/>
    </row>
    <row r="1687" spans="5:26" x14ac:dyDescent="0.2">
      <c r="E1687" s="4"/>
      <c r="F1687" s="45"/>
      <c r="G1687" s="4"/>
      <c r="H1687" s="47"/>
      <c r="Z1687" s="6"/>
    </row>
    <row r="1688" spans="5:26" x14ac:dyDescent="0.2">
      <c r="E1688" s="4"/>
      <c r="F1688" s="45"/>
      <c r="G1688" s="4"/>
      <c r="H1688" s="47"/>
      <c r="Z1688" s="6"/>
    </row>
    <row r="1689" spans="5:26" x14ac:dyDescent="0.2">
      <c r="E1689" s="4"/>
      <c r="F1689" s="45"/>
      <c r="G1689" s="4"/>
      <c r="H1689" s="47"/>
      <c r="Z1689" s="6"/>
    </row>
    <row r="1690" spans="5:26" x14ac:dyDescent="0.2">
      <c r="E1690" s="4"/>
      <c r="F1690" s="45"/>
      <c r="G1690" s="4"/>
      <c r="H1690" s="47"/>
      <c r="Z1690" s="6"/>
    </row>
    <row r="1691" spans="5:26" x14ac:dyDescent="0.2">
      <c r="E1691" s="4"/>
      <c r="F1691" s="45"/>
      <c r="G1691" s="4"/>
      <c r="H1691" s="47"/>
      <c r="Z1691" s="6"/>
    </row>
    <row r="1692" spans="5:26" x14ac:dyDescent="0.2">
      <c r="E1692" s="4"/>
      <c r="F1692" s="45"/>
      <c r="G1692" s="4"/>
      <c r="H1692" s="47"/>
      <c r="Z1692" s="6"/>
    </row>
    <row r="1693" spans="5:26" x14ac:dyDescent="0.2">
      <c r="E1693" s="4"/>
      <c r="F1693" s="45"/>
      <c r="G1693" s="4"/>
      <c r="H1693" s="47"/>
      <c r="Z1693" s="6"/>
    </row>
    <row r="1694" spans="5:26" x14ac:dyDescent="0.2">
      <c r="E1694" s="4"/>
      <c r="F1694" s="45"/>
      <c r="G1694" s="4"/>
      <c r="H1694" s="47"/>
      <c r="Z1694" s="6"/>
    </row>
    <row r="1695" spans="5:26" x14ac:dyDescent="0.2">
      <c r="E1695" s="4"/>
      <c r="F1695" s="45"/>
      <c r="G1695" s="4"/>
      <c r="H1695" s="47"/>
      <c r="Z1695" s="6"/>
    </row>
    <row r="1696" spans="5:26" x14ac:dyDescent="0.2">
      <c r="E1696" s="4"/>
      <c r="F1696" s="45"/>
      <c r="G1696" s="4"/>
      <c r="H1696" s="47"/>
      <c r="Z1696" s="6"/>
    </row>
    <row r="1697" spans="5:26" x14ac:dyDescent="0.2">
      <c r="E1697" s="4"/>
      <c r="F1697" s="45"/>
      <c r="G1697" s="4"/>
      <c r="H1697" s="47"/>
      <c r="Z1697" s="6"/>
    </row>
    <row r="1698" spans="5:26" x14ac:dyDescent="0.2">
      <c r="E1698" s="4"/>
      <c r="F1698" s="45"/>
      <c r="G1698" s="4"/>
      <c r="H1698" s="47"/>
      <c r="Z1698" s="6"/>
    </row>
    <row r="1699" spans="5:26" x14ac:dyDescent="0.2">
      <c r="E1699" s="4"/>
      <c r="F1699" s="45"/>
      <c r="G1699" s="4"/>
      <c r="H1699" s="47"/>
      <c r="Z1699" s="6"/>
    </row>
    <row r="1700" spans="5:26" x14ac:dyDescent="0.2">
      <c r="E1700" s="4"/>
      <c r="F1700" s="45"/>
      <c r="G1700" s="4"/>
      <c r="H1700" s="47"/>
      <c r="Z1700" s="6"/>
    </row>
    <row r="1701" spans="5:26" x14ac:dyDescent="0.2">
      <c r="E1701" s="4"/>
      <c r="F1701" s="45"/>
      <c r="G1701" s="4"/>
      <c r="H1701" s="47"/>
      <c r="Z1701" s="6"/>
    </row>
    <row r="1702" spans="5:26" x14ac:dyDescent="0.2">
      <c r="E1702" s="4"/>
      <c r="F1702" s="45"/>
      <c r="G1702" s="4"/>
      <c r="H1702" s="47"/>
      <c r="Z1702" s="6"/>
    </row>
    <row r="1703" spans="5:26" x14ac:dyDescent="0.2">
      <c r="E1703" s="4"/>
      <c r="F1703" s="45"/>
      <c r="G1703" s="4"/>
      <c r="H1703" s="47"/>
      <c r="Z1703" s="6"/>
    </row>
    <row r="1704" spans="5:26" x14ac:dyDescent="0.2">
      <c r="E1704" s="4"/>
      <c r="F1704" s="45"/>
      <c r="G1704" s="4"/>
      <c r="H1704" s="47"/>
      <c r="Z1704" s="6"/>
    </row>
    <row r="1705" spans="5:26" x14ac:dyDescent="0.2">
      <c r="E1705" s="4"/>
      <c r="F1705" s="45"/>
      <c r="G1705" s="4"/>
      <c r="H1705" s="47"/>
      <c r="Z1705" s="6"/>
    </row>
    <row r="1706" spans="5:26" x14ac:dyDescent="0.2">
      <c r="E1706" s="4"/>
      <c r="F1706" s="45"/>
      <c r="G1706" s="4"/>
      <c r="H1706" s="47"/>
      <c r="Z1706" s="6"/>
    </row>
    <row r="1707" spans="5:26" x14ac:dyDescent="0.2">
      <c r="E1707" s="4"/>
      <c r="F1707" s="45"/>
      <c r="G1707" s="4"/>
      <c r="H1707" s="47"/>
      <c r="Z1707" s="6"/>
    </row>
    <row r="1708" spans="5:26" x14ac:dyDescent="0.2">
      <c r="E1708" s="4"/>
      <c r="F1708" s="45"/>
      <c r="G1708" s="4"/>
      <c r="H1708" s="47"/>
      <c r="Z1708" s="6"/>
    </row>
    <row r="1709" spans="5:26" x14ac:dyDescent="0.2">
      <c r="E1709" s="4"/>
      <c r="F1709" s="45"/>
      <c r="G1709" s="4"/>
      <c r="H1709" s="47"/>
      <c r="Z1709" s="6"/>
    </row>
    <row r="1710" spans="5:26" x14ac:dyDescent="0.2">
      <c r="E1710" s="4"/>
      <c r="F1710" s="45"/>
      <c r="G1710" s="4"/>
      <c r="H1710" s="47"/>
      <c r="Z1710" s="6"/>
    </row>
    <row r="1711" spans="5:26" x14ac:dyDescent="0.2">
      <c r="E1711" s="4"/>
      <c r="F1711" s="45"/>
      <c r="G1711" s="4"/>
      <c r="H1711" s="47"/>
      <c r="Z1711" s="6"/>
    </row>
    <row r="1712" spans="5:26" x14ac:dyDescent="0.2">
      <c r="E1712" s="4"/>
      <c r="F1712" s="45"/>
      <c r="G1712" s="4"/>
      <c r="H1712" s="47"/>
      <c r="Z1712" s="6"/>
    </row>
    <row r="1713" spans="5:26" x14ac:dyDescent="0.2">
      <c r="E1713" s="4"/>
      <c r="F1713" s="45"/>
      <c r="G1713" s="4"/>
      <c r="H1713" s="47"/>
      <c r="Z1713" s="6"/>
    </row>
    <row r="1714" spans="5:26" x14ac:dyDescent="0.2">
      <c r="E1714" s="4"/>
      <c r="F1714" s="45"/>
      <c r="G1714" s="4"/>
      <c r="H1714" s="47"/>
      <c r="Z1714" s="6"/>
    </row>
    <row r="1715" spans="5:26" x14ac:dyDescent="0.2">
      <c r="E1715" s="4"/>
      <c r="F1715" s="45"/>
      <c r="G1715" s="4"/>
      <c r="H1715" s="47"/>
      <c r="Z1715" s="6"/>
    </row>
    <row r="1716" spans="5:26" x14ac:dyDescent="0.2">
      <c r="E1716" s="4"/>
      <c r="F1716" s="45"/>
      <c r="G1716" s="4"/>
      <c r="H1716" s="47"/>
      <c r="Z1716" s="6"/>
    </row>
    <row r="1717" spans="5:26" x14ac:dyDescent="0.2">
      <c r="E1717" s="4"/>
      <c r="F1717" s="45"/>
      <c r="G1717" s="4"/>
      <c r="H1717" s="47"/>
      <c r="Z1717" s="6"/>
    </row>
    <row r="1718" spans="5:26" x14ac:dyDescent="0.2">
      <c r="E1718" s="4"/>
      <c r="F1718" s="45"/>
      <c r="G1718" s="4"/>
      <c r="H1718" s="47"/>
      <c r="Z1718" s="6"/>
    </row>
    <row r="1719" spans="5:26" x14ac:dyDescent="0.2">
      <c r="E1719" s="4"/>
      <c r="F1719" s="45"/>
      <c r="G1719" s="4"/>
      <c r="H1719" s="47"/>
      <c r="Z1719" s="6"/>
    </row>
    <row r="1720" spans="5:26" x14ac:dyDescent="0.2">
      <c r="E1720" s="4"/>
      <c r="F1720" s="45"/>
      <c r="G1720" s="4"/>
      <c r="H1720" s="47"/>
      <c r="Z1720" s="6"/>
    </row>
    <row r="1721" spans="5:26" x14ac:dyDescent="0.2">
      <c r="E1721" s="4"/>
      <c r="F1721" s="45"/>
      <c r="G1721" s="4"/>
      <c r="H1721" s="47"/>
      <c r="Z1721" s="6"/>
    </row>
    <row r="1722" spans="5:26" x14ac:dyDescent="0.2">
      <c r="E1722" s="4"/>
      <c r="F1722" s="45"/>
      <c r="G1722" s="4"/>
      <c r="H1722" s="47"/>
      <c r="Z1722" s="6"/>
    </row>
    <row r="1723" spans="5:26" x14ac:dyDescent="0.2">
      <c r="E1723" s="4"/>
      <c r="F1723" s="45"/>
      <c r="G1723" s="4"/>
      <c r="H1723" s="47"/>
      <c r="Z1723" s="6"/>
    </row>
    <row r="1724" spans="5:26" x14ac:dyDescent="0.2">
      <c r="E1724" s="4"/>
      <c r="F1724" s="45"/>
      <c r="G1724" s="4"/>
      <c r="H1724" s="47"/>
      <c r="Z1724" s="6"/>
    </row>
    <row r="1725" spans="5:26" x14ac:dyDescent="0.2">
      <c r="E1725" s="4"/>
      <c r="F1725" s="45"/>
      <c r="G1725" s="4"/>
      <c r="H1725" s="47"/>
      <c r="Z1725" s="6"/>
    </row>
    <row r="1726" spans="5:26" x14ac:dyDescent="0.2">
      <c r="E1726" s="4"/>
      <c r="F1726" s="45"/>
      <c r="G1726" s="4"/>
      <c r="H1726" s="47"/>
      <c r="Z1726" s="6"/>
    </row>
    <row r="1727" spans="5:26" x14ac:dyDescent="0.2">
      <c r="E1727" s="4"/>
      <c r="F1727" s="45"/>
      <c r="G1727" s="4"/>
      <c r="H1727" s="47"/>
      <c r="Z1727" s="6"/>
    </row>
    <row r="1728" spans="5:26" x14ac:dyDescent="0.2">
      <c r="E1728" s="4"/>
      <c r="F1728" s="45"/>
      <c r="G1728" s="4"/>
      <c r="H1728" s="47"/>
      <c r="Z1728" s="6"/>
    </row>
    <row r="1729" spans="5:26" x14ac:dyDescent="0.2">
      <c r="E1729" s="4"/>
      <c r="F1729" s="45"/>
      <c r="G1729" s="4"/>
      <c r="H1729" s="47"/>
      <c r="Z1729" s="6"/>
    </row>
    <row r="1730" spans="5:26" x14ac:dyDescent="0.2">
      <c r="E1730" s="4"/>
      <c r="F1730" s="45"/>
      <c r="G1730" s="4"/>
      <c r="H1730" s="47"/>
      <c r="Z1730" s="6"/>
    </row>
    <row r="1731" spans="5:26" x14ac:dyDescent="0.2">
      <c r="E1731" s="4"/>
      <c r="F1731" s="45"/>
      <c r="G1731" s="4"/>
      <c r="H1731" s="47"/>
      <c r="Z1731" s="6"/>
    </row>
    <row r="1732" spans="5:26" x14ac:dyDescent="0.2">
      <c r="E1732" s="4"/>
      <c r="F1732" s="45"/>
      <c r="G1732" s="4"/>
      <c r="H1732" s="47"/>
      <c r="Z1732" s="6"/>
    </row>
    <row r="1733" spans="5:26" x14ac:dyDescent="0.2">
      <c r="E1733" s="4"/>
      <c r="F1733" s="45"/>
      <c r="G1733" s="4"/>
      <c r="H1733" s="47"/>
      <c r="Z1733" s="6"/>
    </row>
    <row r="1734" spans="5:26" x14ac:dyDescent="0.2">
      <c r="E1734" s="4"/>
      <c r="F1734" s="45"/>
      <c r="G1734" s="4"/>
      <c r="H1734" s="47"/>
      <c r="Z1734" s="6"/>
    </row>
    <row r="1735" spans="5:26" x14ac:dyDescent="0.2">
      <c r="E1735" s="4"/>
      <c r="F1735" s="45"/>
      <c r="G1735" s="4"/>
      <c r="H1735" s="47"/>
      <c r="Z1735" s="6"/>
    </row>
    <row r="1736" spans="5:26" x14ac:dyDescent="0.2">
      <c r="E1736" s="4"/>
      <c r="F1736" s="45"/>
      <c r="G1736" s="4"/>
      <c r="H1736" s="47"/>
      <c r="Z1736" s="6"/>
    </row>
    <row r="1737" spans="5:26" x14ac:dyDescent="0.2">
      <c r="E1737" s="4"/>
      <c r="F1737" s="45"/>
      <c r="G1737" s="4"/>
      <c r="H1737" s="47"/>
      <c r="Z1737" s="6"/>
    </row>
    <row r="1738" spans="5:26" x14ac:dyDescent="0.2">
      <c r="E1738" s="4"/>
      <c r="F1738" s="45"/>
      <c r="G1738" s="4"/>
      <c r="H1738" s="47"/>
      <c r="Z1738" s="6"/>
    </row>
    <row r="1739" spans="5:26" x14ac:dyDescent="0.2">
      <c r="E1739" s="4"/>
      <c r="F1739" s="45"/>
      <c r="G1739" s="4"/>
      <c r="H1739" s="47"/>
      <c r="Z1739" s="6"/>
    </row>
    <row r="1740" spans="5:26" x14ac:dyDescent="0.2">
      <c r="E1740" s="4"/>
      <c r="F1740" s="45"/>
      <c r="G1740" s="4"/>
      <c r="H1740" s="47"/>
      <c r="Z1740" s="6"/>
    </row>
    <row r="1741" spans="5:26" x14ac:dyDescent="0.2">
      <c r="E1741" s="4"/>
      <c r="F1741" s="45"/>
      <c r="G1741" s="4"/>
      <c r="H1741" s="47"/>
      <c r="Z1741" s="6"/>
    </row>
    <row r="1742" spans="5:26" x14ac:dyDescent="0.2">
      <c r="E1742" s="4"/>
      <c r="F1742" s="45"/>
      <c r="G1742" s="4"/>
      <c r="H1742" s="47"/>
      <c r="Z1742" s="6"/>
    </row>
    <row r="1743" spans="5:26" x14ac:dyDescent="0.2">
      <c r="E1743" s="4"/>
      <c r="F1743" s="45"/>
      <c r="G1743" s="4"/>
      <c r="H1743" s="47"/>
      <c r="Z1743" s="6"/>
    </row>
    <row r="1744" spans="5:26" x14ac:dyDescent="0.2">
      <c r="E1744" s="4"/>
      <c r="F1744" s="45"/>
      <c r="G1744" s="4"/>
      <c r="H1744" s="47"/>
      <c r="Z1744" s="6"/>
    </row>
    <row r="1745" spans="5:26" x14ac:dyDescent="0.2">
      <c r="E1745" s="4"/>
      <c r="F1745" s="45"/>
      <c r="G1745" s="4"/>
      <c r="H1745" s="47"/>
      <c r="Z1745" s="6"/>
    </row>
    <row r="1746" spans="5:26" x14ac:dyDescent="0.2">
      <c r="E1746" s="4"/>
      <c r="F1746" s="45"/>
      <c r="G1746" s="4"/>
      <c r="H1746" s="47"/>
      <c r="Z1746" s="6"/>
    </row>
    <row r="1747" spans="5:26" x14ac:dyDescent="0.2">
      <c r="E1747" s="4"/>
      <c r="F1747" s="45"/>
      <c r="G1747" s="4"/>
      <c r="H1747" s="47"/>
      <c r="Z1747" s="6"/>
    </row>
    <row r="1748" spans="5:26" x14ac:dyDescent="0.2">
      <c r="E1748" s="4"/>
      <c r="F1748" s="45"/>
      <c r="G1748" s="4"/>
      <c r="H1748" s="47"/>
      <c r="Z1748" s="6"/>
    </row>
    <row r="1749" spans="5:26" x14ac:dyDescent="0.2">
      <c r="E1749" s="4"/>
      <c r="F1749" s="45"/>
      <c r="G1749" s="4"/>
      <c r="H1749" s="47"/>
      <c r="Z1749" s="6"/>
    </row>
    <row r="1750" spans="5:26" x14ac:dyDescent="0.2">
      <c r="E1750" s="4"/>
      <c r="F1750" s="45"/>
      <c r="G1750" s="4"/>
      <c r="H1750" s="47"/>
      <c r="Z1750" s="6"/>
    </row>
    <row r="1751" spans="5:26" x14ac:dyDescent="0.2">
      <c r="E1751" s="4"/>
      <c r="F1751" s="45"/>
      <c r="G1751" s="4"/>
      <c r="H1751" s="47"/>
      <c r="Z1751" s="6"/>
    </row>
    <row r="1752" spans="5:26" x14ac:dyDescent="0.2">
      <c r="E1752" s="4"/>
      <c r="F1752" s="45"/>
      <c r="G1752" s="4"/>
      <c r="H1752" s="47"/>
      <c r="Z1752" s="6"/>
    </row>
    <row r="1753" spans="5:26" x14ac:dyDescent="0.2">
      <c r="E1753" s="4"/>
      <c r="F1753" s="45"/>
      <c r="G1753" s="4"/>
      <c r="H1753" s="47"/>
      <c r="Z1753" s="6"/>
    </row>
    <row r="1754" spans="5:26" x14ac:dyDescent="0.2">
      <c r="E1754" s="4"/>
      <c r="F1754" s="45"/>
      <c r="G1754" s="4"/>
      <c r="H1754" s="47"/>
      <c r="Z1754" s="6"/>
    </row>
    <row r="1755" spans="5:26" x14ac:dyDescent="0.2">
      <c r="E1755" s="4"/>
      <c r="F1755" s="45"/>
      <c r="G1755" s="4"/>
      <c r="H1755" s="47"/>
      <c r="Z1755" s="6"/>
    </row>
    <row r="1756" spans="5:26" x14ac:dyDescent="0.2">
      <c r="E1756" s="4"/>
      <c r="F1756" s="45"/>
      <c r="G1756" s="4"/>
      <c r="H1756" s="47"/>
      <c r="Z1756" s="6"/>
    </row>
    <row r="1757" spans="5:26" x14ac:dyDescent="0.2">
      <c r="E1757" s="4"/>
      <c r="F1757" s="45"/>
      <c r="G1757" s="4"/>
      <c r="H1757" s="47"/>
      <c r="Z1757" s="6"/>
    </row>
    <row r="1758" spans="5:26" x14ac:dyDescent="0.2">
      <c r="E1758" s="4"/>
      <c r="F1758" s="45"/>
      <c r="G1758" s="4"/>
      <c r="H1758" s="47"/>
      <c r="Z1758" s="6"/>
    </row>
    <row r="1759" spans="5:26" x14ac:dyDescent="0.2">
      <c r="E1759" s="4"/>
      <c r="F1759" s="45"/>
      <c r="G1759" s="4"/>
      <c r="H1759" s="47"/>
      <c r="Z1759" s="6"/>
    </row>
    <row r="1760" spans="5:26" x14ac:dyDescent="0.2">
      <c r="E1760" s="4"/>
      <c r="F1760" s="45"/>
      <c r="G1760" s="4"/>
      <c r="H1760" s="47"/>
      <c r="Z1760" s="6"/>
    </row>
    <row r="1761" spans="5:26" x14ac:dyDescent="0.2">
      <c r="E1761" s="4"/>
      <c r="F1761" s="45"/>
      <c r="G1761" s="4"/>
      <c r="H1761" s="47"/>
      <c r="Z1761" s="6"/>
    </row>
    <row r="1762" spans="5:26" x14ac:dyDescent="0.2">
      <c r="E1762" s="4"/>
      <c r="F1762" s="45"/>
      <c r="G1762" s="4"/>
      <c r="H1762" s="47"/>
      <c r="Z1762" s="6"/>
    </row>
    <row r="1763" spans="5:26" x14ac:dyDescent="0.2">
      <c r="E1763" s="4"/>
      <c r="F1763" s="45"/>
      <c r="G1763" s="4"/>
      <c r="H1763" s="47"/>
      <c r="Z1763" s="6"/>
    </row>
    <row r="1764" spans="5:26" x14ac:dyDescent="0.2">
      <c r="E1764" s="4"/>
      <c r="F1764" s="45"/>
      <c r="G1764" s="4"/>
      <c r="H1764" s="47"/>
      <c r="Z1764" s="6"/>
    </row>
    <row r="1765" spans="5:26" x14ac:dyDescent="0.2">
      <c r="E1765" s="4"/>
      <c r="F1765" s="45"/>
      <c r="G1765" s="4"/>
      <c r="H1765" s="47"/>
      <c r="Z1765" s="6"/>
    </row>
    <row r="1766" spans="5:26" x14ac:dyDescent="0.2">
      <c r="E1766" s="4"/>
      <c r="F1766" s="45"/>
      <c r="G1766" s="4"/>
      <c r="H1766" s="47"/>
      <c r="Z1766" s="6"/>
    </row>
    <row r="1767" spans="5:26" x14ac:dyDescent="0.2">
      <c r="E1767" s="4"/>
      <c r="F1767" s="45"/>
      <c r="G1767" s="4"/>
      <c r="H1767" s="47"/>
      <c r="Z1767" s="6"/>
    </row>
    <row r="1768" spans="5:26" x14ac:dyDescent="0.2">
      <c r="E1768" s="4"/>
      <c r="F1768" s="45"/>
      <c r="G1768" s="4"/>
      <c r="H1768" s="47"/>
      <c r="Z1768" s="6"/>
    </row>
    <row r="1769" spans="5:26" x14ac:dyDescent="0.2">
      <c r="E1769" s="4"/>
      <c r="F1769" s="45"/>
      <c r="G1769" s="4"/>
      <c r="H1769" s="47"/>
      <c r="Z1769" s="6"/>
    </row>
    <row r="1770" spans="5:26" x14ac:dyDescent="0.2">
      <c r="E1770" s="4"/>
      <c r="F1770" s="45"/>
      <c r="G1770" s="4"/>
      <c r="H1770" s="47"/>
      <c r="Z1770" s="6"/>
    </row>
    <row r="1771" spans="5:26" x14ac:dyDescent="0.2">
      <c r="E1771" s="4"/>
      <c r="F1771" s="45"/>
      <c r="G1771" s="4"/>
      <c r="H1771" s="47"/>
      <c r="Z1771" s="6"/>
    </row>
    <row r="1772" spans="5:26" x14ac:dyDescent="0.2">
      <c r="E1772" s="4"/>
      <c r="F1772" s="45"/>
      <c r="G1772" s="4"/>
      <c r="H1772" s="47"/>
      <c r="Z1772" s="6"/>
    </row>
    <row r="1773" spans="5:26" x14ac:dyDescent="0.2">
      <c r="E1773" s="4"/>
      <c r="F1773" s="45"/>
      <c r="G1773" s="4"/>
      <c r="H1773" s="47"/>
      <c r="Z1773" s="6"/>
    </row>
    <row r="1774" spans="5:26" x14ac:dyDescent="0.2">
      <c r="E1774" s="4"/>
      <c r="F1774" s="45"/>
      <c r="G1774" s="4"/>
      <c r="H1774" s="47"/>
      <c r="Z1774" s="6"/>
    </row>
    <row r="1775" spans="5:26" x14ac:dyDescent="0.2">
      <c r="E1775" s="4"/>
      <c r="F1775" s="45"/>
      <c r="G1775" s="4"/>
      <c r="H1775" s="47"/>
      <c r="Z1775" s="6"/>
    </row>
    <row r="1776" spans="5:26" x14ac:dyDescent="0.2">
      <c r="E1776" s="4"/>
      <c r="F1776" s="45"/>
      <c r="G1776" s="4"/>
      <c r="H1776" s="47"/>
      <c r="Z1776" s="6"/>
    </row>
    <row r="1777" spans="5:26" x14ac:dyDescent="0.2">
      <c r="E1777" s="4"/>
      <c r="F1777" s="45"/>
      <c r="G1777" s="4"/>
      <c r="H1777" s="47"/>
      <c r="Z1777" s="6"/>
    </row>
    <row r="1778" spans="5:26" x14ac:dyDescent="0.2">
      <c r="E1778" s="4"/>
      <c r="F1778" s="45"/>
      <c r="G1778" s="4"/>
      <c r="H1778" s="47"/>
      <c r="Z1778" s="6"/>
    </row>
    <row r="1779" spans="5:26" x14ac:dyDescent="0.2">
      <c r="E1779" s="4"/>
      <c r="F1779" s="45"/>
      <c r="G1779" s="4"/>
      <c r="H1779" s="47"/>
      <c r="Z1779" s="6"/>
    </row>
    <row r="1780" spans="5:26" x14ac:dyDescent="0.2">
      <c r="E1780" s="4"/>
      <c r="F1780" s="45"/>
      <c r="G1780" s="4"/>
      <c r="H1780" s="47"/>
      <c r="Z1780" s="6"/>
    </row>
    <row r="1781" spans="5:26" x14ac:dyDescent="0.2">
      <c r="E1781" s="4"/>
      <c r="F1781" s="45"/>
      <c r="G1781" s="4"/>
      <c r="H1781" s="47"/>
      <c r="Z1781" s="6"/>
    </row>
    <row r="1782" spans="5:26" x14ac:dyDescent="0.2">
      <c r="E1782" s="4"/>
      <c r="F1782" s="45"/>
      <c r="G1782" s="4"/>
      <c r="H1782" s="47"/>
      <c r="Z1782" s="6"/>
    </row>
    <row r="1783" spans="5:26" x14ac:dyDescent="0.2">
      <c r="E1783" s="4"/>
      <c r="F1783" s="45"/>
      <c r="G1783" s="4"/>
      <c r="H1783" s="47"/>
      <c r="Z1783" s="6"/>
    </row>
    <row r="1784" spans="5:26" x14ac:dyDescent="0.2">
      <c r="E1784" s="4"/>
      <c r="F1784" s="45"/>
      <c r="G1784" s="4"/>
      <c r="H1784" s="47"/>
      <c r="Z1784" s="6"/>
    </row>
    <row r="1785" spans="5:26" x14ac:dyDescent="0.2">
      <c r="E1785" s="4"/>
      <c r="F1785" s="45"/>
      <c r="G1785" s="4"/>
      <c r="H1785" s="47"/>
      <c r="Z1785" s="6"/>
    </row>
    <row r="1786" spans="5:26" x14ac:dyDescent="0.2">
      <c r="E1786" s="4"/>
      <c r="F1786" s="45"/>
      <c r="G1786" s="4"/>
      <c r="H1786" s="47"/>
      <c r="Z1786" s="6"/>
    </row>
    <row r="1787" spans="5:26" x14ac:dyDescent="0.2">
      <c r="E1787" s="4"/>
      <c r="F1787" s="45"/>
      <c r="G1787" s="4"/>
      <c r="H1787" s="47"/>
      <c r="Z1787" s="6"/>
    </row>
    <row r="1788" spans="5:26" x14ac:dyDescent="0.2">
      <c r="E1788" s="4"/>
      <c r="F1788" s="45"/>
      <c r="G1788" s="4"/>
      <c r="H1788" s="47"/>
      <c r="Z1788" s="6"/>
    </row>
    <row r="1789" spans="5:26" x14ac:dyDescent="0.2">
      <c r="E1789" s="4"/>
      <c r="F1789" s="45"/>
      <c r="G1789" s="4"/>
      <c r="H1789" s="47"/>
      <c r="Z1789" s="6"/>
    </row>
    <row r="1790" spans="5:26" x14ac:dyDescent="0.2">
      <c r="E1790" s="4"/>
      <c r="F1790" s="45"/>
      <c r="G1790" s="4"/>
      <c r="H1790" s="47"/>
      <c r="Z1790" s="6"/>
    </row>
    <row r="1791" spans="5:26" x14ac:dyDescent="0.2">
      <c r="E1791" s="4"/>
      <c r="F1791" s="45"/>
      <c r="G1791" s="4"/>
      <c r="H1791" s="47"/>
      <c r="Z1791" s="6"/>
    </row>
    <row r="1792" spans="5:26" x14ac:dyDescent="0.2">
      <c r="E1792" s="4"/>
      <c r="F1792" s="45"/>
      <c r="G1792" s="4"/>
      <c r="H1792" s="47"/>
      <c r="Z1792" s="6"/>
    </row>
    <row r="1793" spans="5:26" x14ac:dyDescent="0.2">
      <c r="E1793" s="4"/>
      <c r="F1793" s="45"/>
      <c r="G1793" s="4"/>
      <c r="H1793" s="47"/>
      <c r="Z1793" s="6"/>
    </row>
    <row r="1794" spans="5:26" x14ac:dyDescent="0.2">
      <c r="E1794" s="4"/>
      <c r="F1794" s="45"/>
      <c r="G1794" s="4"/>
      <c r="H1794" s="47"/>
      <c r="Z1794" s="6"/>
    </row>
    <row r="1795" spans="5:26" x14ac:dyDescent="0.2">
      <c r="E1795" s="4"/>
      <c r="F1795" s="45"/>
      <c r="G1795" s="4"/>
      <c r="H1795" s="47"/>
      <c r="Z1795" s="6"/>
    </row>
    <row r="1796" spans="5:26" x14ac:dyDescent="0.2">
      <c r="E1796" s="4"/>
      <c r="F1796" s="45"/>
      <c r="G1796" s="4"/>
      <c r="H1796" s="47"/>
      <c r="Z1796" s="6"/>
    </row>
    <row r="1797" spans="5:26" x14ac:dyDescent="0.2">
      <c r="E1797" s="4"/>
      <c r="F1797" s="45"/>
      <c r="G1797" s="4"/>
      <c r="H1797" s="47"/>
      <c r="Z1797" s="6"/>
    </row>
    <row r="1798" spans="5:26" x14ac:dyDescent="0.2">
      <c r="E1798" s="4"/>
      <c r="F1798" s="45"/>
      <c r="G1798" s="4"/>
      <c r="H1798" s="47"/>
      <c r="Z1798" s="6"/>
    </row>
    <row r="1799" spans="5:26" x14ac:dyDescent="0.2">
      <c r="E1799" s="4"/>
      <c r="F1799" s="45"/>
      <c r="G1799" s="4"/>
      <c r="H1799" s="47"/>
      <c r="Z1799" s="6"/>
    </row>
    <row r="1800" spans="5:26" x14ac:dyDescent="0.2">
      <c r="E1800" s="4"/>
      <c r="F1800" s="45"/>
      <c r="G1800" s="4"/>
      <c r="H1800" s="47"/>
      <c r="Z1800" s="6"/>
    </row>
    <row r="1801" spans="5:26" x14ac:dyDescent="0.2">
      <c r="E1801" s="4"/>
      <c r="F1801" s="45"/>
      <c r="G1801" s="4"/>
      <c r="H1801" s="47"/>
      <c r="Z1801" s="6"/>
    </row>
    <row r="1802" spans="5:26" x14ac:dyDescent="0.2">
      <c r="E1802" s="4"/>
      <c r="F1802" s="45"/>
      <c r="G1802" s="4"/>
      <c r="H1802" s="47"/>
      <c r="Z1802" s="6"/>
    </row>
    <row r="1803" spans="5:26" x14ac:dyDescent="0.2">
      <c r="E1803" s="4"/>
      <c r="F1803" s="45"/>
      <c r="G1803" s="4"/>
      <c r="H1803" s="47"/>
      <c r="Z1803" s="6"/>
    </row>
    <row r="1804" spans="5:26" x14ac:dyDescent="0.2">
      <c r="E1804" s="4"/>
      <c r="F1804" s="45"/>
      <c r="G1804" s="4"/>
      <c r="H1804" s="47"/>
      <c r="Z1804" s="6"/>
    </row>
    <row r="1805" spans="5:26" x14ac:dyDescent="0.2">
      <c r="E1805" s="4"/>
      <c r="F1805" s="45"/>
      <c r="G1805" s="4"/>
      <c r="H1805" s="47"/>
      <c r="Z1805" s="6"/>
    </row>
    <row r="1806" spans="5:26" x14ac:dyDescent="0.2">
      <c r="E1806" s="4"/>
      <c r="F1806" s="45"/>
      <c r="G1806" s="4"/>
      <c r="H1806" s="47"/>
      <c r="Z1806" s="6"/>
    </row>
    <row r="1807" spans="5:26" x14ac:dyDescent="0.2">
      <c r="E1807" s="4"/>
      <c r="F1807" s="45"/>
      <c r="G1807" s="4"/>
      <c r="H1807" s="47"/>
      <c r="Z1807" s="6"/>
    </row>
    <row r="1808" spans="5:26" x14ac:dyDescent="0.2">
      <c r="E1808" s="4"/>
      <c r="F1808" s="45"/>
      <c r="G1808" s="4"/>
      <c r="H1808" s="47"/>
      <c r="Z1808" s="6"/>
    </row>
    <row r="1809" spans="5:26" x14ac:dyDescent="0.2">
      <c r="E1809" s="4"/>
      <c r="F1809" s="45"/>
      <c r="G1809" s="4"/>
      <c r="H1809" s="47"/>
      <c r="Z1809" s="6"/>
    </row>
    <row r="1810" spans="5:26" x14ac:dyDescent="0.2">
      <c r="E1810" s="4"/>
      <c r="F1810" s="45"/>
      <c r="G1810" s="4"/>
      <c r="H1810" s="47"/>
      <c r="Z1810" s="6"/>
    </row>
    <row r="1811" spans="5:26" x14ac:dyDescent="0.2">
      <c r="E1811" s="4"/>
      <c r="F1811" s="45"/>
      <c r="G1811" s="4"/>
      <c r="H1811" s="47"/>
      <c r="Z1811" s="6"/>
    </row>
    <row r="1812" spans="5:26" x14ac:dyDescent="0.2">
      <c r="E1812" s="4"/>
      <c r="F1812" s="45"/>
      <c r="G1812" s="4"/>
      <c r="H1812" s="47"/>
      <c r="Z1812" s="6"/>
    </row>
    <row r="1813" spans="5:26" x14ac:dyDescent="0.2">
      <c r="E1813" s="4"/>
      <c r="F1813" s="45"/>
      <c r="G1813" s="4"/>
      <c r="H1813" s="47"/>
      <c r="Z1813" s="6"/>
    </row>
    <row r="1814" spans="5:26" x14ac:dyDescent="0.2">
      <c r="E1814" s="4"/>
      <c r="F1814" s="45"/>
      <c r="G1814" s="4"/>
      <c r="H1814" s="47"/>
      <c r="Z1814" s="6"/>
    </row>
    <row r="1815" spans="5:26" x14ac:dyDescent="0.2">
      <c r="E1815" s="4"/>
      <c r="F1815" s="45"/>
      <c r="G1815" s="4"/>
      <c r="H1815" s="47"/>
      <c r="Z1815" s="6"/>
    </row>
    <row r="1816" spans="5:26" x14ac:dyDescent="0.2">
      <c r="E1816" s="4"/>
      <c r="F1816" s="45"/>
      <c r="G1816" s="4"/>
      <c r="H1816" s="47"/>
      <c r="Z1816" s="6"/>
    </row>
    <row r="1817" spans="5:26" x14ac:dyDescent="0.2">
      <c r="E1817" s="4"/>
      <c r="F1817" s="45"/>
      <c r="G1817" s="4"/>
      <c r="H1817" s="47"/>
      <c r="Z1817" s="6"/>
    </row>
    <row r="1818" spans="5:26" x14ac:dyDescent="0.2">
      <c r="E1818" s="4"/>
      <c r="F1818" s="45"/>
      <c r="G1818" s="4"/>
      <c r="H1818" s="47"/>
      <c r="Z1818" s="6"/>
    </row>
    <row r="1819" spans="5:26" x14ac:dyDescent="0.2">
      <c r="E1819" s="4"/>
      <c r="F1819" s="45"/>
      <c r="G1819" s="4"/>
      <c r="H1819" s="47"/>
      <c r="Z1819" s="6"/>
    </row>
    <row r="1820" spans="5:26" x14ac:dyDescent="0.2">
      <c r="E1820" s="4"/>
      <c r="F1820" s="45"/>
      <c r="G1820" s="4"/>
      <c r="H1820" s="47"/>
      <c r="Z1820" s="6"/>
    </row>
    <row r="1821" spans="5:26" x14ac:dyDescent="0.2">
      <c r="E1821" s="4"/>
      <c r="F1821" s="45"/>
      <c r="G1821" s="4"/>
      <c r="H1821" s="47"/>
      <c r="Z1821" s="6"/>
    </row>
    <row r="1822" spans="5:26" x14ac:dyDescent="0.2">
      <c r="E1822" s="4"/>
      <c r="F1822" s="45"/>
      <c r="G1822" s="4"/>
      <c r="H1822" s="47"/>
      <c r="Z1822" s="6"/>
    </row>
    <row r="1823" spans="5:26" x14ac:dyDescent="0.2">
      <c r="E1823" s="4"/>
      <c r="F1823" s="45"/>
      <c r="G1823" s="4"/>
      <c r="H1823" s="47"/>
      <c r="Z1823" s="6"/>
    </row>
    <row r="1824" spans="5:26" x14ac:dyDescent="0.2">
      <c r="E1824" s="4"/>
      <c r="F1824" s="45"/>
      <c r="G1824" s="4"/>
      <c r="H1824" s="47"/>
      <c r="Z1824" s="6"/>
    </row>
    <row r="1825" spans="5:26" x14ac:dyDescent="0.2">
      <c r="E1825" s="4"/>
      <c r="F1825" s="45"/>
      <c r="G1825" s="4"/>
      <c r="H1825" s="47"/>
      <c r="Z1825" s="6"/>
    </row>
    <row r="1826" spans="5:26" x14ac:dyDescent="0.2">
      <c r="E1826" s="4"/>
      <c r="F1826" s="45"/>
      <c r="G1826" s="4"/>
      <c r="H1826" s="47"/>
      <c r="Z1826" s="6"/>
    </row>
    <row r="1827" spans="5:26" x14ac:dyDescent="0.2">
      <c r="E1827" s="4"/>
      <c r="F1827" s="45"/>
      <c r="G1827" s="4"/>
      <c r="H1827" s="47"/>
      <c r="Z1827" s="6"/>
    </row>
    <row r="1828" spans="5:26" x14ac:dyDescent="0.2">
      <c r="E1828" s="4"/>
      <c r="F1828" s="45"/>
      <c r="G1828" s="4"/>
      <c r="H1828" s="47"/>
      <c r="Z1828" s="6"/>
    </row>
    <row r="1829" spans="5:26" x14ac:dyDescent="0.2">
      <c r="E1829" s="4"/>
      <c r="F1829" s="45"/>
      <c r="G1829" s="4"/>
      <c r="H1829" s="47"/>
      <c r="Z1829" s="6"/>
    </row>
    <row r="1830" spans="5:26" x14ac:dyDescent="0.2">
      <c r="E1830" s="4"/>
      <c r="F1830" s="45"/>
      <c r="G1830" s="4"/>
      <c r="H1830" s="47"/>
      <c r="Z1830" s="6"/>
    </row>
    <row r="1831" spans="5:26" x14ac:dyDescent="0.2">
      <c r="E1831" s="4"/>
      <c r="F1831" s="45"/>
      <c r="G1831" s="4"/>
      <c r="H1831" s="47"/>
      <c r="Z1831" s="6"/>
    </row>
    <row r="1832" spans="5:26" x14ac:dyDescent="0.2">
      <c r="E1832" s="4"/>
      <c r="F1832" s="45"/>
      <c r="G1832" s="4"/>
      <c r="H1832" s="47"/>
      <c r="Z1832" s="6"/>
    </row>
    <row r="1833" spans="5:26" x14ac:dyDescent="0.2">
      <c r="E1833" s="4"/>
      <c r="F1833" s="45"/>
      <c r="G1833" s="4"/>
      <c r="H1833" s="47"/>
      <c r="Z1833" s="6"/>
    </row>
    <row r="1834" spans="5:26" x14ac:dyDescent="0.2">
      <c r="E1834" s="4"/>
      <c r="F1834" s="45"/>
      <c r="G1834" s="4"/>
      <c r="H1834" s="47"/>
      <c r="Z1834" s="6"/>
    </row>
    <row r="1835" spans="5:26" x14ac:dyDescent="0.2">
      <c r="E1835" s="4"/>
      <c r="F1835" s="45"/>
      <c r="G1835" s="4"/>
      <c r="H1835" s="47"/>
      <c r="Z1835" s="6"/>
    </row>
    <row r="1836" spans="5:26" x14ac:dyDescent="0.2">
      <c r="E1836" s="4"/>
      <c r="F1836" s="45"/>
      <c r="G1836" s="4"/>
      <c r="H1836" s="47"/>
      <c r="Z1836" s="6"/>
    </row>
    <row r="1837" spans="5:26" x14ac:dyDescent="0.2">
      <c r="E1837" s="4"/>
      <c r="F1837" s="45"/>
      <c r="G1837" s="4"/>
      <c r="H1837" s="47"/>
      <c r="Z1837" s="6"/>
    </row>
    <row r="1838" spans="5:26" x14ac:dyDescent="0.2">
      <c r="E1838" s="4"/>
      <c r="F1838" s="45"/>
      <c r="G1838" s="4"/>
      <c r="H1838" s="47"/>
      <c r="Z1838" s="6"/>
    </row>
    <row r="1839" spans="5:26" x14ac:dyDescent="0.2">
      <c r="E1839" s="4"/>
      <c r="F1839" s="45"/>
      <c r="G1839" s="4"/>
      <c r="H1839" s="47"/>
      <c r="Z1839" s="6"/>
    </row>
    <row r="1840" spans="5:26" x14ac:dyDescent="0.2">
      <c r="E1840" s="4"/>
      <c r="F1840" s="45"/>
      <c r="G1840" s="4"/>
      <c r="H1840" s="47"/>
      <c r="Z1840" s="6"/>
    </row>
    <row r="1841" spans="5:26" x14ac:dyDescent="0.2">
      <c r="E1841" s="4"/>
      <c r="F1841" s="45"/>
      <c r="G1841" s="4"/>
      <c r="H1841" s="47"/>
      <c r="Z1841" s="6"/>
    </row>
    <row r="1842" spans="5:26" x14ac:dyDescent="0.2">
      <c r="E1842" s="4"/>
      <c r="F1842" s="45"/>
      <c r="G1842" s="4"/>
      <c r="H1842" s="47"/>
      <c r="Z1842" s="6"/>
    </row>
    <row r="1843" spans="5:26" x14ac:dyDescent="0.2">
      <c r="E1843" s="4"/>
      <c r="F1843" s="45"/>
      <c r="G1843" s="4"/>
      <c r="H1843" s="47"/>
      <c r="Z1843" s="6"/>
    </row>
    <row r="1844" spans="5:26" x14ac:dyDescent="0.2">
      <c r="E1844" s="4"/>
      <c r="F1844" s="45"/>
      <c r="G1844" s="4"/>
      <c r="H1844" s="47"/>
      <c r="Z1844" s="6"/>
    </row>
    <row r="1845" spans="5:26" x14ac:dyDescent="0.2">
      <c r="E1845" s="4"/>
      <c r="F1845" s="45"/>
      <c r="G1845" s="4"/>
      <c r="H1845" s="47"/>
      <c r="Z1845" s="6"/>
    </row>
    <row r="1846" spans="5:26" x14ac:dyDescent="0.2">
      <c r="E1846" s="4"/>
      <c r="F1846" s="45"/>
      <c r="G1846" s="4"/>
      <c r="H1846" s="47"/>
      <c r="Z1846" s="6"/>
    </row>
    <row r="1847" spans="5:26" x14ac:dyDescent="0.2">
      <c r="E1847" s="4"/>
      <c r="F1847" s="45"/>
      <c r="G1847" s="4"/>
      <c r="H1847" s="47"/>
      <c r="Z1847" s="6"/>
    </row>
    <row r="1848" spans="5:26" x14ac:dyDescent="0.2">
      <c r="E1848" s="4"/>
      <c r="F1848" s="45"/>
      <c r="G1848" s="4"/>
      <c r="H1848" s="47"/>
      <c r="Z1848" s="6"/>
    </row>
    <row r="1849" spans="5:26" x14ac:dyDescent="0.2">
      <c r="E1849" s="4"/>
      <c r="F1849" s="45"/>
      <c r="G1849" s="4"/>
      <c r="H1849" s="47"/>
      <c r="Z1849" s="6"/>
    </row>
    <row r="1850" spans="5:26" x14ac:dyDescent="0.2">
      <c r="E1850" s="4"/>
      <c r="F1850" s="45"/>
      <c r="G1850" s="4"/>
      <c r="H1850" s="47"/>
      <c r="Z1850" s="6"/>
    </row>
    <row r="1851" spans="5:26" x14ac:dyDescent="0.2">
      <c r="E1851" s="4"/>
      <c r="F1851" s="45"/>
      <c r="G1851" s="4"/>
      <c r="H1851" s="47"/>
      <c r="Z1851" s="6"/>
    </row>
    <row r="1852" spans="5:26" x14ac:dyDescent="0.2">
      <c r="E1852" s="4"/>
      <c r="F1852" s="45"/>
      <c r="G1852" s="4"/>
      <c r="H1852" s="47"/>
      <c r="Z1852" s="6"/>
    </row>
    <row r="1853" spans="5:26" x14ac:dyDescent="0.2">
      <c r="E1853" s="4"/>
      <c r="F1853" s="45"/>
      <c r="G1853" s="4"/>
      <c r="H1853" s="47"/>
      <c r="Z1853" s="6"/>
    </row>
    <row r="1854" spans="5:26" x14ac:dyDescent="0.2">
      <c r="E1854" s="4"/>
      <c r="F1854" s="45"/>
      <c r="G1854" s="4"/>
      <c r="H1854" s="47"/>
      <c r="Z1854" s="6"/>
    </row>
    <row r="1855" spans="5:26" x14ac:dyDescent="0.2">
      <c r="E1855" s="4"/>
      <c r="F1855" s="45"/>
      <c r="G1855" s="4"/>
      <c r="H1855" s="47"/>
      <c r="Z1855" s="6"/>
    </row>
    <row r="1856" spans="5:26" x14ac:dyDescent="0.2">
      <c r="E1856" s="4"/>
      <c r="F1856" s="45"/>
      <c r="G1856" s="4"/>
      <c r="H1856" s="47"/>
      <c r="Z1856" s="6"/>
    </row>
    <row r="1857" spans="5:26" x14ac:dyDescent="0.2">
      <c r="E1857" s="4"/>
      <c r="F1857" s="45"/>
      <c r="G1857" s="4"/>
      <c r="H1857" s="47"/>
      <c r="Z1857" s="6"/>
    </row>
    <row r="1858" spans="5:26" x14ac:dyDescent="0.2">
      <c r="E1858" s="4"/>
      <c r="F1858" s="45"/>
      <c r="G1858" s="4"/>
      <c r="H1858" s="47"/>
      <c r="Z1858" s="6"/>
    </row>
    <row r="1859" spans="5:26" x14ac:dyDescent="0.2">
      <c r="E1859" s="4"/>
      <c r="F1859" s="45"/>
      <c r="G1859" s="4"/>
      <c r="H1859" s="47"/>
      <c r="Z1859" s="6"/>
    </row>
    <row r="1860" spans="5:26" x14ac:dyDescent="0.2">
      <c r="E1860" s="4"/>
      <c r="F1860" s="45"/>
      <c r="G1860" s="4"/>
      <c r="H1860" s="47"/>
      <c r="Z1860" s="6"/>
    </row>
    <row r="1861" spans="5:26" x14ac:dyDescent="0.2">
      <c r="E1861" s="4"/>
      <c r="F1861" s="45"/>
      <c r="G1861" s="4"/>
      <c r="H1861" s="47"/>
      <c r="Z1861" s="6"/>
    </row>
    <row r="1862" spans="5:26" x14ac:dyDescent="0.2">
      <c r="E1862" s="4"/>
      <c r="F1862" s="45"/>
      <c r="G1862" s="4"/>
      <c r="H1862" s="47"/>
      <c r="Z1862" s="6"/>
    </row>
    <row r="1863" spans="5:26" x14ac:dyDescent="0.2">
      <c r="E1863" s="4"/>
      <c r="F1863" s="45"/>
      <c r="G1863" s="4"/>
      <c r="H1863" s="47"/>
      <c r="Z1863" s="6"/>
    </row>
    <row r="1864" spans="5:26" x14ac:dyDescent="0.2">
      <c r="E1864" s="4"/>
      <c r="F1864" s="45"/>
      <c r="G1864" s="4"/>
      <c r="H1864" s="47"/>
      <c r="Z1864" s="6"/>
    </row>
    <row r="1865" spans="5:26" x14ac:dyDescent="0.2">
      <c r="E1865" s="4"/>
      <c r="F1865" s="45"/>
      <c r="G1865" s="4"/>
      <c r="H1865" s="47"/>
      <c r="Z1865" s="6"/>
    </row>
    <row r="1866" spans="5:26" x14ac:dyDescent="0.2">
      <c r="E1866" s="4"/>
      <c r="F1866" s="45"/>
      <c r="G1866" s="4"/>
      <c r="H1866" s="47"/>
      <c r="Z1866" s="6"/>
    </row>
    <row r="1867" spans="5:26" x14ac:dyDescent="0.2">
      <c r="E1867" s="4"/>
      <c r="F1867" s="45"/>
      <c r="G1867" s="4"/>
      <c r="H1867" s="47"/>
      <c r="Z1867" s="6"/>
    </row>
    <row r="1868" spans="5:26" x14ac:dyDescent="0.2">
      <c r="E1868" s="4"/>
      <c r="F1868" s="45"/>
      <c r="G1868" s="4"/>
      <c r="H1868" s="47"/>
      <c r="Z1868" s="6"/>
    </row>
    <row r="1869" spans="5:26" x14ac:dyDescent="0.2">
      <c r="E1869" s="4"/>
      <c r="F1869" s="45"/>
      <c r="G1869" s="4"/>
      <c r="H1869" s="47"/>
      <c r="Z1869" s="6"/>
    </row>
    <row r="1870" spans="5:26" x14ac:dyDescent="0.2">
      <c r="E1870" s="4"/>
      <c r="F1870" s="45"/>
      <c r="G1870" s="4"/>
      <c r="H1870" s="47"/>
      <c r="Z1870" s="6"/>
    </row>
    <row r="1871" spans="5:26" x14ac:dyDescent="0.2">
      <c r="E1871" s="4"/>
      <c r="F1871" s="45"/>
      <c r="G1871" s="4"/>
      <c r="H1871" s="47"/>
      <c r="Z1871" s="6"/>
    </row>
    <row r="1872" spans="5:26" x14ac:dyDescent="0.2">
      <c r="E1872" s="4"/>
      <c r="F1872" s="45"/>
      <c r="G1872" s="4"/>
      <c r="H1872" s="47"/>
      <c r="Z1872" s="6"/>
    </row>
    <row r="1873" spans="5:26" x14ac:dyDescent="0.2">
      <c r="E1873" s="4"/>
      <c r="F1873" s="45"/>
      <c r="G1873" s="4"/>
      <c r="H1873" s="47"/>
      <c r="Z1873" s="6"/>
    </row>
    <row r="1874" spans="5:26" x14ac:dyDescent="0.2">
      <c r="E1874" s="4"/>
      <c r="F1874" s="45"/>
      <c r="G1874" s="4"/>
      <c r="H1874" s="47"/>
      <c r="Z1874" s="6"/>
    </row>
    <row r="1875" spans="5:26" x14ac:dyDescent="0.2">
      <c r="E1875" s="4"/>
      <c r="F1875" s="45"/>
      <c r="G1875" s="4"/>
      <c r="H1875" s="47"/>
      <c r="Z1875" s="6"/>
    </row>
    <row r="1876" spans="5:26" x14ac:dyDescent="0.2">
      <c r="E1876" s="4"/>
      <c r="F1876" s="45"/>
      <c r="G1876" s="4"/>
      <c r="H1876" s="47"/>
      <c r="Z1876" s="6"/>
    </row>
    <row r="1877" spans="5:26" x14ac:dyDescent="0.2">
      <c r="E1877" s="4"/>
      <c r="F1877" s="45"/>
      <c r="G1877" s="4"/>
      <c r="H1877" s="47"/>
      <c r="Z1877" s="6"/>
    </row>
    <row r="1878" spans="5:26" x14ac:dyDescent="0.2">
      <c r="E1878" s="4"/>
      <c r="F1878" s="45"/>
      <c r="G1878" s="4"/>
      <c r="H1878" s="47"/>
      <c r="Z1878" s="6"/>
    </row>
    <row r="1879" spans="5:26" x14ac:dyDescent="0.2">
      <c r="E1879" s="4"/>
      <c r="F1879" s="45"/>
      <c r="G1879" s="4"/>
      <c r="H1879" s="47"/>
      <c r="Z1879" s="6"/>
    </row>
    <row r="1880" spans="5:26" x14ac:dyDescent="0.2">
      <c r="E1880" s="4"/>
      <c r="F1880" s="45"/>
      <c r="G1880" s="4"/>
      <c r="H1880" s="47"/>
      <c r="Z1880" s="6"/>
    </row>
    <row r="1881" spans="5:26" x14ac:dyDescent="0.2">
      <c r="E1881" s="4"/>
      <c r="F1881" s="45"/>
      <c r="G1881" s="4"/>
      <c r="H1881" s="47"/>
      <c r="Z1881" s="6"/>
    </row>
    <row r="1882" spans="5:26" x14ac:dyDescent="0.2">
      <c r="E1882" s="4"/>
      <c r="F1882" s="45"/>
      <c r="G1882" s="4"/>
      <c r="H1882" s="47"/>
      <c r="Z1882" s="6"/>
    </row>
    <row r="1883" spans="5:26" x14ac:dyDescent="0.2">
      <c r="E1883" s="4"/>
      <c r="F1883" s="45"/>
      <c r="G1883" s="4"/>
      <c r="H1883" s="47"/>
      <c r="Z1883" s="6"/>
    </row>
    <row r="1884" spans="5:26" x14ac:dyDescent="0.2">
      <c r="E1884" s="4"/>
      <c r="F1884" s="45"/>
      <c r="G1884" s="4"/>
      <c r="H1884" s="47"/>
      <c r="Z1884" s="6"/>
    </row>
    <row r="1885" spans="5:26" x14ac:dyDescent="0.2">
      <c r="E1885" s="4"/>
      <c r="F1885" s="45"/>
      <c r="G1885" s="4"/>
      <c r="H1885" s="47"/>
      <c r="Z1885" s="6"/>
    </row>
    <row r="1886" spans="5:26" x14ac:dyDescent="0.2">
      <c r="E1886" s="4"/>
      <c r="F1886" s="45"/>
      <c r="G1886" s="4"/>
      <c r="H1886" s="47"/>
      <c r="Z1886" s="6"/>
    </row>
    <row r="1887" spans="5:26" x14ac:dyDescent="0.2">
      <c r="E1887" s="4"/>
      <c r="F1887" s="45"/>
      <c r="G1887" s="4"/>
      <c r="H1887" s="47"/>
      <c r="Z1887" s="6"/>
    </row>
    <row r="1888" spans="5:26" x14ac:dyDescent="0.2">
      <c r="E1888" s="4"/>
      <c r="F1888" s="45"/>
      <c r="G1888" s="4"/>
      <c r="H1888" s="47"/>
      <c r="Z1888" s="6"/>
    </row>
    <row r="1889" spans="5:26" x14ac:dyDescent="0.2">
      <c r="E1889" s="4"/>
      <c r="F1889" s="45"/>
      <c r="G1889" s="4"/>
      <c r="H1889" s="47"/>
      <c r="Z1889" s="6"/>
    </row>
    <row r="1890" spans="5:26" x14ac:dyDescent="0.2">
      <c r="E1890" s="4"/>
      <c r="F1890" s="45"/>
      <c r="G1890" s="4"/>
      <c r="H1890" s="47"/>
      <c r="Z1890" s="6"/>
    </row>
    <row r="1891" spans="5:26" x14ac:dyDescent="0.2">
      <c r="E1891" s="4"/>
      <c r="F1891" s="45"/>
      <c r="G1891" s="4"/>
      <c r="H1891" s="47"/>
      <c r="Z1891" s="6"/>
    </row>
    <row r="1892" spans="5:26" x14ac:dyDescent="0.2">
      <c r="E1892" s="4"/>
      <c r="F1892" s="45"/>
      <c r="G1892" s="4"/>
      <c r="H1892" s="47"/>
      <c r="Z1892" s="6"/>
    </row>
    <row r="1893" spans="5:26" x14ac:dyDescent="0.2">
      <c r="E1893" s="4"/>
      <c r="F1893" s="45"/>
      <c r="G1893" s="4"/>
      <c r="H1893" s="47"/>
      <c r="Z1893" s="6"/>
    </row>
    <row r="1894" spans="5:26" x14ac:dyDescent="0.2">
      <c r="E1894" s="4"/>
      <c r="F1894" s="45"/>
      <c r="G1894" s="4"/>
      <c r="H1894" s="47"/>
      <c r="Z1894" s="6"/>
    </row>
    <row r="1895" spans="5:26" x14ac:dyDescent="0.2">
      <c r="E1895" s="4"/>
      <c r="F1895" s="45"/>
      <c r="G1895" s="4"/>
      <c r="H1895" s="47"/>
      <c r="Z1895" s="6"/>
    </row>
    <row r="1896" spans="5:26" x14ac:dyDescent="0.2">
      <c r="E1896" s="4"/>
      <c r="F1896" s="45"/>
      <c r="G1896" s="4"/>
      <c r="H1896" s="47"/>
      <c r="Z1896" s="6"/>
    </row>
    <row r="1897" spans="5:26" x14ac:dyDescent="0.2">
      <c r="E1897" s="4"/>
      <c r="F1897" s="45"/>
      <c r="G1897" s="4"/>
      <c r="H1897" s="47"/>
      <c r="Z1897" s="6"/>
    </row>
    <row r="1898" spans="5:26" x14ac:dyDescent="0.2">
      <c r="E1898" s="4"/>
      <c r="F1898" s="45"/>
      <c r="G1898" s="4"/>
      <c r="H1898" s="47"/>
      <c r="Z1898" s="6"/>
    </row>
    <row r="1899" spans="5:26" x14ac:dyDescent="0.2">
      <c r="E1899" s="4"/>
      <c r="F1899" s="45"/>
      <c r="G1899" s="4"/>
      <c r="H1899" s="47"/>
      <c r="Z1899" s="6"/>
    </row>
    <row r="1900" spans="5:26" x14ac:dyDescent="0.2">
      <c r="E1900" s="4"/>
      <c r="F1900" s="45"/>
      <c r="G1900" s="4"/>
      <c r="H1900" s="47"/>
      <c r="Z1900" s="6"/>
    </row>
    <row r="1901" spans="5:26" x14ac:dyDescent="0.2">
      <c r="E1901" s="4"/>
      <c r="F1901" s="45"/>
      <c r="G1901" s="4"/>
      <c r="H1901" s="47"/>
      <c r="Z1901" s="6"/>
    </row>
    <row r="1902" spans="5:26" x14ac:dyDescent="0.2">
      <c r="E1902" s="4"/>
      <c r="F1902" s="45"/>
      <c r="G1902" s="4"/>
      <c r="H1902" s="47"/>
      <c r="Z1902" s="6"/>
    </row>
    <row r="1903" spans="5:26" x14ac:dyDescent="0.2">
      <c r="E1903" s="4"/>
      <c r="F1903" s="45"/>
      <c r="G1903" s="4"/>
      <c r="H1903" s="47"/>
      <c r="Z1903" s="6"/>
    </row>
    <row r="1904" spans="5:26" x14ac:dyDescent="0.2">
      <c r="E1904" s="4"/>
      <c r="F1904" s="45"/>
      <c r="G1904" s="4"/>
      <c r="H1904" s="47"/>
      <c r="Z1904" s="6"/>
    </row>
    <row r="1905" spans="5:26" x14ac:dyDescent="0.2">
      <c r="E1905" s="4"/>
      <c r="F1905" s="45"/>
      <c r="G1905" s="4"/>
      <c r="H1905" s="47"/>
      <c r="Z1905" s="6"/>
    </row>
    <row r="1906" spans="5:26" x14ac:dyDescent="0.2">
      <c r="E1906" s="4"/>
      <c r="F1906" s="45"/>
      <c r="G1906" s="4"/>
      <c r="H1906" s="47"/>
      <c r="Z1906" s="6"/>
    </row>
    <row r="1907" spans="5:26" x14ac:dyDescent="0.2">
      <c r="E1907" s="4"/>
      <c r="F1907" s="45"/>
      <c r="G1907" s="4"/>
      <c r="H1907" s="47"/>
      <c r="Z1907" s="6"/>
    </row>
    <row r="1908" spans="5:26" x14ac:dyDescent="0.2">
      <c r="E1908" s="4"/>
      <c r="F1908" s="45"/>
      <c r="G1908" s="4"/>
      <c r="H1908" s="47"/>
      <c r="Z1908" s="6"/>
    </row>
    <row r="1909" spans="5:26" x14ac:dyDescent="0.2">
      <c r="E1909" s="4"/>
      <c r="F1909" s="45"/>
      <c r="G1909" s="4"/>
      <c r="H1909" s="47"/>
      <c r="Z1909" s="6"/>
    </row>
    <row r="1910" spans="5:26" x14ac:dyDescent="0.2">
      <c r="E1910" s="4"/>
      <c r="F1910" s="45"/>
      <c r="G1910" s="4"/>
      <c r="H1910" s="47"/>
      <c r="Z1910" s="6"/>
    </row>
    <row r="1911" spans="5:26" x14ac:dyDescent="0.2">
      <c r="E1911" s="4"/>
      <c r="F1911" s="45"/>
      <c r="G1911" s="4"/>
      <c r="H1911" s="47"/>
      <c r="Z1911" s="6"/>
    </row>
    <row r="1912" spans="5:26" x14ac:dyDescent="0.2">
      <c r="E1912" s="4"/>
      <c r="F1912" s="45"/>
      <c r="G1912" s="4"/>
      <c r="H1912" s="47"/>
      <c r="Z1912" s="6"/>
    </row>
    <row r="1913" spans="5:26" x14ac:dyDescent="0.2">
      <c r="E1913" s="4"/>
      <c r="F1913" s="45"/>
      <c r="G1913" s="4"/>
      <c r="H1913" s="47"/>
      <c r="Z1913" s="6"/>
    </row>
    <row r="1914" spans="5:26" x14ac:dyDescent="0.2">
      <c r="E1914" s="4"/>
      <c r="F1914" s="45"/>
      <c r="G1914" s="4"/>
      <c r="H1914" s="47"/>
      <c r="Z1914" s="6"/>
    </row>
    <row r="1915" spans="5:26" x14ac:dyDescent="0.2">
      <c r="E1915" s="4"/>
      <c r="F1915" s="45"/>
      <c r="G1915" s="4"/>
      <c r="H1915" s="47"/>
      <c r="Z1915" s="6"/>
    </row>
    <row r="1916" spans="5:26" x14ac:dyDescent="0.2">
      <c r="E1916" s="4"/>
      <c r="F1916" s="45"/>
      <c r="G1916" s="4"/>
      <c r="H1916" s="47"/>
      <c r="Z1916" s="6"/>
    </row>
    <row r="1917" spans="5:26" x14ac:dyDescent="0.2">
      <c r="E1917" s="4"/>
      <c r="F1917" s="45"/>
      <c r="G1917" s="4"/>
      <c r="H1917" s="47"/>
      <c r="Z1917" s="6"/>
    </row>
    <row r="1918" spans="5:26" x14ac:dyDescent="0.2">
      <c r="E1918" s="4"/>
      <c r="F1918" s="45"/>
      <c r="G1918" s="4"/>
      <c r="H1918" s="47"/>
      <c r="Z1918" s="6"/>
    </row>
    <row r="1919" spans="5:26" x14ac:dyDescent="0.2">
      <c r="E1919" s="4"/>
      <c r="F1919" s="45"/>
      <c r="G1919" s="4"/>
      <c r="H1919" s="47"/>
      <c r="Z1919" s="6"/>
    </row>
    <row r="1920" spans="5:26" x14ac:dyDescent="0.2">
      <c r="E1920" s="4"/>
      <c r="F1920" s="45"/>
      <c r="G1920" s="4"/>
      <c r="H1920" s="47"/>
      <c r="Z1920" s="6"/>
    </row>
    <row r="1921" spans="5:26" x14ac:dyDescent="0.2">
      <c r="E1921" s="4"/>
      <c r="F1921" s="45"/>
      <c r="G1921" s="4"/>
      <c r="H1921" s="47"/>
      <c r="Z1921" s="6"/>
    </row>
    <row r="1922" spans="5:26" x14ac:dyDescent="0.2">
      <c r="E1922" s="4"/>
      <c r="F1922" s="45"/>
      <c r="G1922" s="4"/>
      <c r="H1922" s="47"/>
      <c r="Z1922" s="6"/>
    </row>
    <row r="1923" spans="5:26" x14ac:dyDescent="0.2">
      <c r="E1923" s="4"/>
      <c r="F1923" s="45"/>
      <c r="G1923" s="4"/>
      <c r="H1923" s="47"/>
      <c r="Z1923" s="6"/>
    </row>
    <row r="1924" spans="5:26" x14ac:dyDescent="0.2">
      <c r="E1924" s="4"/>
      <c r="F1924" s="45"/>
      <c r="G1924" s="4"/>
      <c r="H1924" s="47"/>
      <c r="Z1924" s="6"/>
    </row>
    <row r="1925" spans="5:26" x14ac:dyDescent="0.2">
      <c r="E1925" s="4"/>
      <c r="F1925" s="45"/>
      <c r="G1925" s="4"/>
      <c r="H1925" s="47"/>
      <c r="Z1925" s="6"/>
    </row>
    <row r="1926" spans="5:26" x14ac:dyDescent="0.2">
      <c r="E1926" s="4"/>
      <c r="F1926" s="45"/>
      <c r="G1926" s="4"/>
      <c r="H1926" s="47"/>
      <c r="Z1926" s="6"/>
    </row>
    <row r="1927" spans="5:26" x14ac:dyDescent="0.2">
      <c r="E1927" s="4"/>
      <c r="F1927" s="45"/>
      <c r="G1927" s="4"/>
      <c r="H1927" s="47"/>
      <c r="Z1927" s="6"/>
    </row>
    <row r="1928" spans="5:26" x14ac:dyDescent="0.2">
      <c r="E1928" s="4"/>
      <c r="F1928" s="45"/>
      <c r="G1928" s="4"/>
      <c r="H1928" s="47"/>
      <c r="Z1928" s="6"/>
    </row>
    <row r="1929" spans="5:26" x14ac:dyDescent="0.2">
      <c r="E1929" s="4"/>
      <c r="F1929" s="45"/>
      <c r="G1929" s="4"/>
      <c r="H1929" s="47"/>
      <c r="Z1929" s="6"/>
    </row>
    <row r="1930" spans="5:26" x14ac:dyDescent="0.2">
      <c r="E1930" s="4"/>
      <c r="F1930" s="45"/>
      <c r="G1930" s="4"/>
      <c r="H1930" s="47"/>
      <c r="Z1930" s="6"/>
    </row>
    <row r="1931" spans="5:26" x14ac:dyDescent="0.2">
      <c r="E1931" s="4"/>
      <c r="F1931" s="45"/>
      <c r="G1931" s="4"/>
      <c r="H1931" s="47"/>
      <c r="Z1931" s="6"/>
    </row>
    <row r="1932" spans="5:26" x14ac:dyDescent="0.2">
      <c r="E1932" s="4"/>
      <c r="F1932" s="45"/>
      <c r="G1932" s="4"/>
      <c r="H1932" s="47"/>
      <c r="Z1932" s="6"/>
    </row>
    <row r="1933" spans="5:26" x14ac:dyDescent="0.2">
      <c r="E1933" s="4"/>
      <c r="F1933" s="45"/>
      <c r="G1933" s="4"/>
      <c r="H1933" s="47"/>
      <c r="Z1933" s="6"/>
    </row>
    <row r="1934" spans="5:26" x14ac:dyDescent="0.2">
      <c r="E1934" s="4"/>
      <c r="F1934" s="45"/>
      <c r="G1934" s="4"/>
      <c r="H1934" s="47"/>
      <c r="Z1934" s="6"/>
    </row>
    <row r="1935" spans="5:26" x14ac:dyDescent="0.2">
      <c r="E1935" s="4"/>
      <c r="F1935" s="45"/>
      <c r="G1935" s="4"/>
      <c r="H1935" s="47"/>
      <c r="Z1935" s="6"/>
    </row>
    <row r="1936" spans="5:26" x14ac:dyDescent="0.2">
      <c r="E1936" s="4"/>
      <c r="F1936" s="45"/>
      <c r="G1936" s="4"/>
      <c r="H1936" s="47"/>
      <c r="Z1936" s="6"/>
    </row>
    <row r="1937" spans="5:26" x14ac:dyDescent="0.2">
      <c r="E1937" s="4"/>
      <c r="F1937" s="45"/>
      <c r="G1937" s="4"/>
      <c r="H1937" s="47"/>
      <c r="Z1937" s="6"/>
    </row>
    <row r="1938" spans="5:26" x14ac:dyDescent="0.2">
      <c r="E1938" s="4"/>
      <c r="F1938" s="45"/>
      <c r="G1938" s="4"/>
      <c r="H1938" s="47"/>
      <c r="Z1938" s="6"/>
    </row>
    <row r="1939" spans="5:26" x14ac:dyDescent="0.2">
      <c r="E1939" s="4"/>
      <c r="F1939" s="45"/>
      <c r="G1939" s="4"/>
      <c r="H1939" s="47"/>
      <c r="Z1939" s="6"/>
    </row>
    <row r="1940" spans="5:26" x14ac:dyDescent="0.2">
      <c r="E1940" s="4"/>
      <c r="F1940" s="45"/>
      <c r="G1940" s="4"/>
      <c r="H1940" s="47"/>
      <c r="Z1940" s="6"/>
    </row>
    <row r="1941" spans="5:26" x14ac:dyDescent="0.2">
      <c r="E1941" s="4"/>
      <c r="F1941" s="45"/>
      <c r="G1941" s="4"/>
      <c r="H1941" s="47"/>
      <c r="Z1941" s="6"/>
    </row>
    <row r="1942" spans="5:26" x14ac:dyDescent="0.2">
      <c r="E1942" s="4"/>
      <c r="F1942" s="45"/>
      <c r="G1942" s="4"/>
      <c r="H1942" s="47"/>
      <c r="Z1942" s="6"/>
    </row>
    <row r="1943" spans="5:26" x14ac:dyDescent="0.2">
      <c r="E1943" s="4"/>
      <c r="F1943" s="45"/>
      <c r="G1943" s="4"/>
      <c r="H1943" s="47"/>
      <c r="Z1943" s="6"/>
    </row>
    <row r="1944" spans="5:26" x14ac:dyDescent="0.2">
      <c r="E1944" s="4"/>
      <c r="F1944" s="45"/>
      <c r="G1944" s="4"/>
      <c r="H1944" s="47"/>
      <c r="Z1944" s="6"/>
    </row>
    <row r="1945" spans="5:26" x14ac:dyDescent="0.2">
      <c r="E1945" s="4"/>
      <c r="F1945" s="45"/>
      <c r="G1945" s="4"/>
      <c r="H1945" s="47"/>
      <c r="Z1945" s="6"/>
    </row>
    <row r="1946" spans="5:26" x14ac:dyDescent="0.2">
      <c r="E1946" s="4"/>
      <c r="F1946" s="45"/>
      <c r="G1946" s="4"/>
      <c r="H1946" s="47"/>
      <c r="Z1946" s="6"/>
    </row>
    <row r="1947" spans="5:26" x14ac:dyDescent="0.2">
      <c r="E1947" s="4"/>
      <c r="F1947" s="45"/>
      <c r="G1947" s="4"/>
      <c r="H1947" s="47"/>
      <c r="Z1947" s="6"/>
    </row>
    <row r="1948" spans="5:26" x14ac:dyDescent="0.2">
      <c r="E1948" s="4"/>
      <c r="F1948" s="45"/>
      <c r="G1948" s="4"/>
      <c r="H1948" s="47"/>
      <c r="Z1948" s="6"/>
    </row>
    <row r="1949" spans="5:26" x14ac:dyDescent="0.2">
      <c r="E1949" s="4"/>
      <c r="F1949" s="45"/>
      <c r="G1949" s="4"/>
      <c r="H1949" s="47"/>
      <c r="Z1949" s="6"/>
    </row>
    <row r="1950" spans="5:26" x14ac:dyDescent="0.2">
      <c r="E1950" s="4"/>
      <c r="F1950" s="45"/>
      <c r="G1950" s="4"/>
      <c r="H1950" s="47"/>
      <c r="Z1950" s="6"/>
    </row>
    <row r="1951" spans="5:26" x14ac:dyDescent="0.2">
      <c r="E1951" s="4"/>
      <c r="F1951" s="45"/>
      <c r="G1951" s="4"/>
      <c r="H1951" s="47"/>
      <c r="Z1951" s="6"/>
    </row>
    <row r="1952" spans="5:26" x14ac:dyDescent="0.2">
      <c r="E1952" s="4"/>
      <c r="F1952" s="45"/>
      <c r="G1952" s="4"/>
      <c r="H1952" s="47"/>
      <c r="Z1952" s="6"/>
    </row>
    <row r="1953" spans="5:26" x14ac:dyDescent="0.2">
      <c r="E1953" s="4"/>
      <c r="F1953" s="45"/>
      <c r="G1953" s="4"/>
      <c r="H1953" s="47"/>
      <c r="Z1953" s="6"/>
    </row>
    <row r="1954" spans="5:26" x14ac:dyDescent="0.2">
      <c r="E1954" s="4"/>
      <c r="F1954" s="45"/>
      <c r="G1954" s="4"/>
      <c r="H1954" s="47"/>
      <c r="Z1954" s="6"/>
    </row>
    <row r="1955" spans="5:26" x14ac:dyDescent="0.2">
      <c r="E1955" s="4"/>
      <c r="F1955" s="45"/>
      <c r="G1955" s="4"/>
      <c r="H1955" s="47"/>
      <c r="Z1955" s="6"/>
    </row>
    <row r="1956" spans="5:26" x14ac:dyDescent="0.2">
      <c r="E1956" s="4"/>
      <c r="F1956" s="45"/>
      <c r="G1956" s="4"/>
      <c r="H1956" s="47"/>
      <c r="Z1956" s="6"/>
    </row>
    <row r="1957" spans="5:26" x14ac:dyDescent="0.2">
      <c r="E1957" s="4"/>
      <c r="F1957" s="45"/>
      <c r="G1957" s="4"/>
      <c r="H1957" s="47"/>
      <c r="Z1957" s="6"/>
    </row>
    <row r="1958" spans="5:26" x14ac:dyDescent="0.2">
      <c r="E1958" s="4"/>
      <c r="F1958" s="45"/>
      <c r="G1958" s="4"/>
      <c r="H1958" s="47"/>
      <c r="Z1958" s="6"/>
    </row>
    <row r="1959" spans="5:26" x14ac:dyDescent="0.2">
      <c r="E1959" s="4"/>
      <c r="F1959" s="45"/>
      <c r="G1959" s="4"/>
      <c r="H1959" s="47"/>
      <c r="Z1959" s="6"/>
    </row>
    <row r="1960" spans="5:26" x14ac:dyDescent="0.2">
      <c r="E1960" s="4"/>
      <c r="F1960" s="45"/>
      <c r="G1960" s="4"/>
      <c r="H1960" s="47"/>
      <c r="Z1960" s="6"/>
    </row>
    <row r="1961" spans="5:26" x14ac:dyDescent="0.2">
      <c r="E1961" s="4"/>
      <c r="F1961" s="45"/>
      <c r="G1961" s="4"/>
      <c r="H1961" s="47"/>
      <c r="Z1961" s="6"/>
    </row>
    <row r="1962" spans="5:26" x14ac:dyDescent="0.2">
      <c r="E1962" s="4"/>
      <c r="F1962" s="45"/>
      <c r="G1962" s="4"/>
      <c r="H1962" s="47"/>
      <c r="Z1962" s="6"/>
    </row>
    <row r="1963" spans="5:26" x14ac:dyDescent="0.2">
      <c r="E1963" s="4"/>
      <c r="F1963" s="45"/>
      <c r="G1963" s="4"/>
      <c r="H1963" s="47"/>
      <c r="Z1963" s="6"/>
    </row>
    <row r="1964" spans="5:26" x14ac:dyDescent="0.2">
      <c r="E1964" s="4"/>
      <c r="F1964" s="45"/>
      <c r="G1964" s="4"/>
      <c r="H1964" s="47"/>
      <c r="Z1964" s="6"/>
    </row>
    <row r="1965" spans="5:26" x14ac:dyDescent="0.2">
      <c r="E1965" s="4"/>
      <c r="F1965" s="45"/>
      <c r="G1965" s="4"/>
      <c r="H1965" s="47"/>
      <c r="Z1965" s="6"/>
    </row>
    <row r="1966" spans="5:26" x14ac:dyDescent="0.2">
      <c r="E1966" s="4"/>
      <c r="F1966" s="45"/>
      <c r="G1966" s="4"/>
      <c r="H1966" s="47"/>
      <c r="Z1966" s="6"/>
    </row>
    <row r="1967" spans="5:26" x14ac:dyDescent="0.2">
      <c r="E1967" s="4"/>
      <c r="F1967" s="45"/>
      <c r="G1967" s="4"/>
      <c r="H1967" s="47"/>
      <c r="Z1967" s="6"/>
    </row>
    <row r="1968" spans="5:26" x14ac:dyDescent="0.2">
      <c r="E1968" s="4"/>
      <c r="F1968" s="45"/>
      <c r="G1968" s="4"/>
      <c r="H1968" s="47"/>
      <c r="Z1968" s="6"/>
    </row>
    <row r="1969" spans="5:26" x14ac:dyDescent="0.2">
      <c r="E1969" s="4"/>
      <c r="F1969" s="45"/>
      <c r="G1969" s="4"/>
      <c r="H1969" s="47"/>
      <c r="Z1969" s="6"/>
    </row>
    <row r="1970" spans="5:26" x14ac:dyDescent="0.2">
      <c r="E1970" s="4"/>
      <c r="F1970" s="45"/>
      <c r="G1970" s="4"/>
      <c r="H1970" s="47"/>
      <c r="Z1970" s="6"/>
    </row>
    <row r="1971" spans="5:26" x14ac:dyDescent="0.2">
      <c r="E1971" s="4"/>
      <c r="F1971" s="45"/>
      <c r="G1971" s="4"/>
      <c r="H1971" s="47"/>
      <c r="Z1971" s="6"/>
    </row>
    <row r="1972" spans="5:26" x14ac:dyDescent="0.2">
      <c r="E1972" s="4"/>
      <c r="F1972" s="45"/>
      <c r="G1972" s="4"/>
      <c r="H1972" s="47"/>
      <c r="Z1972" s="6"/>
    </row>
    <row r="1973" spans="5:26" x14ac:dyDescent="0.2">
      <c r="E1973" s="4"/>
      <c r="F1973" s="45"/>
      <c r="G1973" s="4"/>
      <c r="H1973" s="47"/>
      <c r="Z1973" s="6"/>
    </row>
    <row r="1974" spans="5:26" x14ac:dyDescent="0.2">
      <c r="E1974" s="4"/>
      <c r="F1974" s="45"/>
      <c r="G1974" s="4"/>
      <c r="H1974" s="47"/>
      <c r="Z1974" s="6"/>
    </row>
    <row r="1975" spans="5:26" x14ac:dyDescent="0.2">
      <c r="E1975" s="4"/>
      <c r="F1975" s="45"/>
      <c r="G1975" s="4"/>
      <c r="H1975" s="47"/>
      <c r="Z1975" s="6"/>
    </row>
    <row r="1976" spans="5:26" x14ac:dyDescent="0.2">
      <c r="E1976" s="4"/>
      <c r="F1976" s="45"/>
      <c r="G1976" s="4"/>
      <c r="H1976" s="47"/>
      <c r="Z1976" s="6"/>
    </row>
    <row r="1977" spans="5:26" x14ac:dyDescent="0.2">
      <c r="E1977" s="4"/>
      <c r="F1977" s="45"/>
      <c r="G1977" s="4"/>
      <c r="H1977" s="47"/>
      <c r="Z1977" s="6"/>
    </row>
    <row r="1978" spans="5:26" x14ac:dyDescent="0.2">
      <c r="E1978" s="4"/>
      <c r="F1978" s="45"/>
      <c r="G1978" s="4"/>
      <c r="H1978" s="47"/>
      <c r="Z1978" s="6"/>
    </row>
    <row r="1979" spans="5:26" x14ac:dyDescent="0.2">
      <c r="E1979" s="4"/>
      <c r="F1979" s="45"/>
      <c r="G1979" s="4"/>
      <c r="H1979" s="47"/>
      <c r="Z1979" s="6"/>
    </row>
    <row r="1980" spans="5:26" x14ac:dyDescent="0.2">
      <c r="E1980" s="4"/>
      <c r="F1980" s="45"/>
      <c r="G1980" s="4"/>
      <c r="H1980" s="47"/>
      <c r="Z1980" s="6"/>
    </row>
    <row r="1981" spans="5:26" x14ac:dyDescent="0.2">
      <c r="E1981" s="4"/>
      <c r="F1981" s="45"/>
      <c r="G1981" s="4"/>
      <c r="H1981" s="47"/>
      <c r="Z1981" s="6"/>
    </row>
    <row r="1982" spans="5:26" x14ac:dyDescent="0.2">
      <c r="E1982" s="4"/>
      <c r="F1982" s="45"/>
      <c r="G1982" s="4"/>
      <c r="H1982" s="47"/>
      <c r="Z1982" s="6"/>
    </row>
    <row r="1983" spans="5:26" x14ac:dyDescent="0.2">
      <c r="E1983" s="4"/>
      <c r="F1983" s="45"/>
      <c r="G1983" s="4"/>
      <c r="H1983" s="47"/>
      <c r="Z1983" s="6"/>
    </row>
    <row r="1984" spans="5:26" x14ac:dyDescent="0.2">
      <c r="E1984" s="4"/>
      <c r="F1984" s="45"/>
      <c r="G1984" s="4"/>
      <c r="H1984" s="47"/>
      <c r="Z1984" s="6"/>
    </row>
    <row r="1985" spans="5:26" x14ac:dyDescent="0.2">
      <c r="E1985" s="4"/>
      <c r="F1985" s="45"/>
      <c r="G1985" s="4"/>
      <c r="H1985" s="47"/>
      <c r="Z1985" s="6"/>
    </row>
    <row r="1986" spans="5:26" x14ac:dyDescent="0.2">
      <c r="E1986" s="4"/>
      <c r="F1986" s="45"/>
      <c r="G1986" s="4"/>
      <c r="H1986" s="47"/>
      <c r="Z1986" s="6"/>
    </row>
    <row r="1987" spans="5:26" x14ac:dyDescent="0.2">
      <c r="E1987" s="4"/>
      <c r="F1987" s="45"/>
      <c r="G1987" s="4"/>
      <c r="H1987" s="47"/>
      <c r="Z1987" s="6"/>
    </row>
    <row r="1988" spans="5:26" x14ac:dyDescent="0.2">
      <c r="E1988" s="4"/>
      <c r="F1988" s="45"/>
      <c r="G1988" s="4"/>
      <c r="H1988" s="47"/>
      <c r="Z1988" s="6"/>
    </row>
    <row r="1989" spans="5:26" x14ac:dyDescent="0.2">
      <c r="E1989" s="4"/>
      <c r="F1989" s="45"/>
      <c r="G1989" s="4"/>
      <c r="H1989" s="47"/>
      <c r="Z1989" s="6"/>
    </row>
    <row r="1990" spans="5:26" x14ac:dyDescent="0.2">
      <c r="E1990" s="4"/>
      <c r="F1990" s="45"/>
      <c r="G1990" s="4"/>
      <c r="H1990" s="47"/>
      <c r="Z1990" s="6"/>
    </row>
    <row r="1991" spans="5:26" x14ac:dyDescent="0.2">
      <c r="E1991" s="4"/>
      <c r="F1991" s="45"/>
      <c r="G1991" s="4"/>
      <c r="H1991" s="47"/>
      <c r="Z1991" s="6"/>
    </row>
    <row r="1992" spans="5:26" x14ac:dyDescent="0.2">
      <c r="E1992" s="4"/>
      <c r="F1992" s="45"/>
      <c r="G1992" s="4"/>
      <c r="H1992" s="47"/>
      <c r="Z1992" s="6"/>
    </row>
    <row r="1993" spans="5:26" x14ac:dyDescent="0.2">
      <c r="E1993" s="4"/>
      <c r="F1993" s="45"/>
      <c r="G1993" s="4"/>
      <c r="H1993" s="47"/>
      <c r="Z1993" s="6"/>
    </row>
    <row r="1994" spans="5:26" x14ac:dyDescent="0.2">
      <c r="E1994" s="4"/>
      <c r="F1994" s="45"/>
      <c r="G1994" s="4"/>
      <c r="H1994" s="47"/>
      <c r="Z1994" s="6"/>
    </row>
    <row r="1995" spans="5:26" x14ac:dyDescent="0.2">
      <c r="E1995" s="4"/>
      <c r="F1995" s="45"/>
      <c r="G1995" s="4"/>
      <c r="H1995" s="47"/>
      <c r="Z1995" s="6"/>
    </row>
    <row r="1996" spans="5:26" x14ac:dyDescent="0.2">
      <c r="E1996" s="4"/>
      <c r="F1996" s="45"/>
      <c r="G1996" s="4"/>
      <c r="H1996" s="47"/>
      <c r="Z1996" s="6"/>
    </row>
    <row r="1997" spans="5:26" x14ac:dyDescent="0.2">
      <c r="E1997" s="4"/>
      <c r="F1997" s="45"/>
      <c r="G1997" s="4"/>
      <c r="H1997" s="47"/>
      <c r="Z1997" s="6"/>
    </row>
    <row r="1998" spans="5:26" x14ac:dyDescent="0.2">
      <c r="E1998" s="4"/>
      <c r="F1998" s="45"/>
      <c r="G1998" s="4"/>
      <c r="H1998" s="47"/>
      <c r="Z1998" s="6"/>
    </row>
    <row r="1999" spans="5:26" x14ac:dyDescent="0.2">
      <c r="E1999" s="4"/>
      <c r="F1999" s="45"/>
      <c r="G1999" s="4"/>
      <c r="H1999" s="47"/>
      <c r="Z1999" s="6"/>
    </row>
    <row r="2000" spans="5:26" x14ac:dyDescent="0.2">
      <c r="E2000" s="4"/>
      <c r="F2000" s="45"/>
      <c r="G2000" s="4"/>
      <c r="H2000" s="47"/>
      <c r="Z2000" s="6"/>
    </row>
    <row r="2001" spans="5:26" x14ac:dyDescent="0.2">
      <c r="E2001" s="4"/>
      <c r="F2001" s="45"/>
      <c r="G2001" s="4"/>
      <c r="H2001" s="47"/>
      <c r="Z2001" s="6"/>
    </row>
    <row r="2002" spans="5:26" x14ac:dyDescent="0.2">
      <c r="E2002" s="4"/>
      <c r="F2002" s="45"/>
      <c r="G2002" s="4"/>
      <c r="H2002" s="47"/>
      <c r="Z2002" s="6"/>
    </row>
    <row r="2003" spans="5:26" x14ac:dyDescent="0.2">
      <c r="E2003" s="4"/>
      <c r="F2003" s="45"/>
      <c r="G2003" s="4"/>
      <c r="H2003" s="47"/>
      <c r="Z2003" s="6"/>
    </row>
    <row r="2004" spans="5:26" x14ac:dyDescent="0.2">
      <c r="E2004" s="4"/>
      <c r="F2004" s="45"/>
      <c r="G2004" s="4"/>
      <c r="H2004" s="47"/>
      <c r="Z2004" s="6"/>
    </row>
    <row r="2005" spans="5:26" x14ac:dyDescent="0.2">
      <c r="E2005" s="4"/>
      <c r="F2005" s="45"/>
      <c r="G2005" s="4"/>
      <c r="H2005" s="47"/>
      <c r="Z2005" s="6"/>
    </row>
    <row r="2006" spans="5:26" x14ac:dyDescent="0.2">
      <c r="E2006" s="4"/>
      <c r="F2006" s="45"/>
      <c r="G2006" s="4"/>
      <c r="H2006" s="47"/>
      <c r="Z2006" s="6"/>
    </row>
    <row r="2007" spans="5:26" x14ac:dyDescent="0.2">
      <c r="E2007" s="4"/>
      <c r="F2007" s="45"/>
      <c r="G2007" s="4"/>
      <c r="H2007" s="47"/>
      <c r="Z2007" s="6"/>
    </row>
    <row r="2008" spans="5:26" x14ac:dyDescent="0.2">
      <c r="E2008" s="4"/>
      <c r="F2008" s="45"/>
      <c r="G2008" s="4"/>
      <c r="H2008" s="47"/>
      <c r="Z2008" s="6"/>
    </row>
    <row r="2009" spans="5:26" x14ac:dyDescent="0.2">
      <c r="E2009" s="4"/>
      <c r="F2009" s="45"/>
      <c r="G2009" s="4"/>
      <c r="H2009" s="47"/>
      <c r="Z2009" s="6"/>
    </row>
    <row r="2010" spans="5:26" x14ac:dyDescent="0.2">
      <c r="E2010" s="4"/>
      <c r="F2010" s="45"/>
      <c r="G2010" s="4"/>
      <c r="H2010" s="47"/>
      <c r="Z2010" s="6"/>
    </row>
    <row r="2011" spans="5:26" x14ac:dyDescent="0.2">
      <c r="E2011" s="4"/>
      <c r="F2011" s="45"/>
      <c r="G2011" s="4"/>
      <c r="H2011" s="47"/>
      <c r="Z2011" s="6"/>
    </row>
    <row r="2012" spans="5:26" x14ac:dyDescent="0.2">
      <c r="E2012" s="4"/>
      <c r="F2012" s="45"/>
      <c r="G2012" s="4"/>
      <c r="H2012" s="47"/>
      <c r="Z2012" s="6"/>
    </row>
    <row r="2013" spans="5:26" x14ac:dyDescent="0.2">
      <c r="E2013" s="4"/>
      <c r="F2013" s="45"/>
      <c r="G2013" s="4"/>
      <c r="H2013" s="47"/>
      <c r="Z2013" s="6"/>
    </row>
    <row r="2014" spans="5:26" x14ac:dyDescent="0.2">
      <c r="E2014" s="4"/>
      <c r="F2014" s="45"/>
      <c r="G2014" s="4"/>
      <c r="H2014" s="47"/>
      <c r="Z2014" s="6"/>
    </row>
    <row r="2015" spans="5:26" x14ac:dyDescent="0.2">
      <c r="E2015" s="4"/>
      <c r="F2015" s="45"/>
      <c r="G2015" s="4"/>
      <c r="H2015" s="47"/>
      <c r="Z2015" s="6"/>
    </row>
    <row r="2016" spans="5:26" x14ac:dyDescent="0.2">
      <c r="E2016" s="4"/>
      <c r="F2016" s="45"/>
      <c r="G2016" s="4"/>
      <c r="H2016" s="47"/>
      <c r="Z2016" s="6"/>
    </row>
    <row r="2017" spans="5:26" x14ac:dyDescent="0.2">
      <c r="E2017" s="4"/>
      <c r="F2017" s="45"/>
      <c r="G2017" s="4"/>
      <c r="H2017" s="47"/>
      <c r="Z2017" s="6"/>
    </row>
    <row r="2018" spans="5:26" x14ac:dyDescent="0.2">
      <c r="E2018" s="4"/>
      <c r="F2018" s="45"/>
      <c r="G2018" s="4"/>
      <c r="H2018" s="47"/>
      <c r="Z2018" s="6"/>
    </row>
    <row r="2019" spans="5:26" x14ac:dyDescent="0.2">
      <c r="E2019" s="4"/>
      <c r="F2019" s="45"/>
      <c r="G2019" s="4"/>
      <c r="H2019" s="47"/>
      <c r="Z2019" s="6"/>
    </row>
    <row r="2020" spans="5:26" x14ac:dyDescent="0.2">
      <c r="E2020" s="4"/>
      <c r="F2020" s="45"/>
      <c r="G2020" s="4"/>
      <c r="H2020" s="47"/>
      <c r="Z2020" s="6"/>
    </row>
    <row r="2021" spans="5:26" x14ac:dyDescent="0.2">
      <c r="E2021" s="4"/>
      <c r="F2021" s="45"/>
      <c r="G2021" s="4"/>
      <c r="H2021" s="47"/>
      <c r="Z2021" s="6"/>
    </row>
    <row r="2022" spans="5:26" x14ac:dyDescent="0.2">
      <c r="E2022" s="4"/>
      <c r="F2022" s="45"/>
      <c r="G2022" s="4"/>
      <c r="H2022" s="47"/>
      <c r="Z2022" s="6"/>
    </row>
    <row r="2023" spans="5:26" x14ac:dyDescent="0.2">
      <c r="E2023" s="4"/>
      <c r="F2023" s="45"/>
      <c r="G2023" s="4"/>
      <c r="H2023" s="47"/>
      <c r="Z2023" s="6"/>
    </row>
    <row r="2024" spans="5:26" x14ac:dyDescent="0.2">
      <c r="E2024" s="4"/>
      <c r="F2024" s="45"/>
      <c r="G2024" s="4"/>
      <c r="H2024" s="47"/>
      <c r="Z2024" s="6"/>
    </row>
    <row r="2025" spans="5:26" x14ac:dyDescent="0.2">
      <c r="E2025" s="4"/>
      <c r="F2025" s="45"/>
      <c r="G2025" s="4"/>
      <c r="H2025" s="47"/>
      <c r="Z2025" s="6"/>
    </row>
    <row r="2026" spans="5:26" x14ac:dyDescent="0.2">
      <c r="E2026" s="4"/>
      <c r="F2026" s="45"/>
      <c r="G2026" s="4"/>
      <c r="H2026" s="47"/>
      <c r="Z2026" s="6"/>
    </row>
    <row r="2027" spans="5:26" x14ac:dyDescent="0.2">
      <c r="E2027" s="4"/>
      <c r="F2027" s="45"/>
      <c r="G2027" s="4"/>
      <c r="H2027" s="47"/>
      <c r="Z2027" s="6"/>
    </row>
    <row r="2028" spans="5:26" x14ac:dyDescent="0.2">
      <c r="E2028" s="4"/>
      <c r="F2028" s="45"/>
      <c r="G2028" s="4"/>
      <c r="H2028" s="47"/>
      <c r="Z2028" s="6"/>
    </row>
    <row r="2029" spans="5:26" x14ac:dyDescent="0.2">
      <c r="E2029" s="4"/>
      <c r="F2029" s="45"/>
      <c r="G2029" s="4"/>
      <c r="H2029" s="47"/>
      <c r="Z2029" s="6"/>
    </row>
    <row r="2030" spans="5:26" x14ac:dyDescent="0.2">
      <c r="E2030" s="4"/>
      <c r="F2030" s="45"/>
      <c r="G2030" s="4"/>
      <c r="H2030" s="47"/>
      <c r="Z2030" s="6"/>
    </row>
    <row r="2031" spans="5:26" x14ac:dyDescent="0.2">
      <c r="E2031" s="4"/>
      <c r="F2031" s="45"/>
      <c r="G2031" s="4"/>
      <c r="H2031" s="47"/>
      <c r="Z2031" s="6"/>
    </row>
    <row r="2032" spans="5:26" x14ac:dyDescent="0.2">
      <c r="E2032" s="4"/>
      <c r="F2032" s="45"/>
      <c r="G2032" s="4"/>
      <c r="H2032" s="47"/>
      <c r="Z2032" s="6"/>
    </row>
    <row r="2033" spans="5:26" x14ac:dyDescent="0.2">
      <c r="E2033" s="4"/>
      <c r="F2033" s="45"/>
      <c r="G2033" s="4"/>
      <c r="H2033" s="47"/>
      <c r="Z2033" s="6"/>
    </row>
    <row r="2034" spans="5:26" x14ac:dyDescent="0.2">
      <c r="E2034" s="4"/>
      <c r="F2034" s="45"/>
      <c r="G2034" s="4"/>
      <c r="H2034" s="47"/>
      <c r="Z2034" s="6"/>
    </row>
    <row r="2035" spans="5:26" x14ac:dyDescent="0.2">
      <c r="E2035" s="4"/>
      <c r="F2035" s="45"/>
      <c r="G2035" s="4"/>
      <c r="H2035" s="47"/>
      <c r="Z2035" s="6"/>
    </row>
    <row r="2036" spans="5:26" x14ac:dyDescent="0.2">
      <c r="E2036" s="4"/>
      <c r="F2036" s="45"/>
      <c r="G2036" s="4"/>
      <c r="H2036" s="47"/>
      <c r="Z2036" s="6"/>
    </row>
    <row r="2037" spans="5:26" x14ac:dyDescent="0.2">
      <c r="E2037" s="4"/>
      <c r="F2037" s="45"/>
      <c r="G2037" s="4"/>
      <c r="H2037" s="47"/>
      <c r="Z2037" s="6"/>
    </row>
    <row r="2038" spans="5:26" x14ac:dyDescent="0.2">
      <c r="E2038" s="4"/>
      <c r="F2038" s="45"/>
      <c r="G2038" s="4"/>
      <c r="H2038" s="47"/>
      <c r="Z2038" s="6"/>
    </row>
    <row r="2039" spans="5:26" x14ac:dyDescent="0.2">
      <c r="E2039" s="4"/>
      <c r="F2039" s="45"/>
      <c r="G2039" s="4"/>
      <c r="H2039" s="47"/>
      <c r="Z2039" s="6"/>
    </row>
    <row r="2040" spans="5:26" x14ac:dyDescent="0.2">
      <c r="E2040" s="4"/>
      <c r="F2040" s="45"/>
      <c r="G2040" s="4"/>
      <c r="H2040" s="47"/>
      <c r="Z2040" s="6"/>
    </row>
    <row r="2041" spans="5:26" x14ac:dyDescent="0.2">
      <c r="E2041" s="4"/>
      <c r="F2041" s="45"/>
      <c r="G2041" s="4"/>
      <c r="H2041" s="47"/>
      <c r="Z2041" s="6"/>
    </row>
    <row r="2042" spans="5:26" x14ac:dyDescent="0.2">
      <c r="E2042" s="4"/>
      <c r="F2042" s="45"/>
      <c r="G2042" s="4"/>
      <c r="H2042" s="47"/>
      <c r="Z2042" s="6"/>
    </row>
    <row r="2043" spans="5:26" x14ac:dyDescent="0.2">
      <c r="E2043" s="4"/>
      <c r="F2043" s="45"/>
      <c r="G2043" s="4"/>
      <c r="H2043" s="47"/>
      <c r="Z2043" s="6"/>
    </row>
    <row r="2044" spans="5:26" x14ac:dyDescent="0.2">
      <c r="E2044" s="4"/>
      <c r="F2044" s="45"/>
      <c r="G2044" s="4"/>
      <c r="H2044" s="47"/>
      <c r="Z2044" s="6"/>
    </row>
    <row r="2045" spans="5:26" x14ac:dyDescent="0.2">
      <c r="E2045" s="4"/>
      <c r="F2045" s="45"/>
      <c r="G2045" s="4"/>
      <c r="H2045" s="47"/>
      <c r="Z2045" s="6"/>
    </row>
    <row r="2046" spans="5:26" x14ac:dyDescent="0.2">
      <c r="E2046" s="4"/>
      <c r="F2046" s="45"/>
      <c r="G2046" s="4"/>
      <c r="H2046" s="47"/>
      <c r="Z2046" s="6"/>
    </row>
    <row r="2047" spans="5:26" x14ac:dyDescent="0.2">
      <c r="E2047" s="4"/>
      <c r="F2047" s="45"/>
      <c r="G2047" s="4"/>
      <c r="H2047" s="47"/>
      <c r="Z2047" s="6"/>
    </row>
    <row r="2048" spans="5:26" x14ac:dyDescent="0.2">
      <c r="E2048" s="4"/>
      <c r="F2048" s="45"/>
      <c r="G2048" s="4"/>
      <c r="H2048" s="47"/>
      <c r="Z2048" s="6"/>
    </row>
    <row r="2049" spans="5:26" x14ac:dyDescent="0.2">
      <c r="E2049" s="4"/>
      <c r="F2049" s="45"/>
      <c r="G2049" s="4"/>
      <c r="H2049" s="47"/>
      <c r="Z2049" s="6"/>
    </row>
    <row r="2050" spans="5:26" x14ac:dyDescent="0.2">
      <c r="E2050" s="4"/>
      <c r="F2050" s="45"/>
      <c r="G2050" s="4"/>
      <c r="H2050" s="47"/>
      <c r="Z2050" s="6"/>
    </row>
    <row r="2051" spans="5:26" x14ac:dyDescent="0.2">
      <c r="E2051" s="4"/>
      <c r="F2051" s="45"/>
      <c r="G2051" s="4"/>
      <c r="H2051" s="47"/>
      <c r="Z2051" s="6"/>
    </row>
    <row r="2052" spans="5:26" x14ac:dyDescent="0.2">
      <c r="E2052" s="4"/>
      <c r="F2052" s="45"/>
      <c r="G2052" s="4"/>
      <c r="H2052" s="47"/>
      <c r="Z2052" s="6"/>
    </row>
    <row r="2053" spans="5:26" x14ac:dyDescent="0.2">
      <c r="E2053" s="4"/>
      <c r="F2053" s="45"/>
      <c r="G2053" s="4"/>
      <c r="H2053" s="47"/>
      <c r="Z2053" s="6"/>
    </row>
    <row r="2054" spans="5:26" x14ac:dyDescent="0.2">
      <c r="E2054" s="4"/>
      <c r="F2054" s="45"/>
      <c r="G2054" s="4"/>
      <c r="H2054" s="47"/>
      <c r="Z2054" s="6"/>
    </row>
    <row r="2055" spans="5:26" x14ac:dyDescent="0.2">
      <c r="E2055" s="4"/>
      <c r="F2055" s="45"/>
      <c r="G2055" s="4"/>
      <c r="H2055" s="47"/>
      <c r="Z2055" s="6"/>
    </row>
    <row r="2056" spans="5:26" x14ac:dyDescent="0.2">
      <c r="E2056" s="4"/>
      <c r="F2056" s="45"/>
      <c r="G2056" s="4"/>
      <c r="H2056" s="47"/>
      <c r="Z2056" s="6"/>
    </row>
    <row r="2057" spans="5:26" x14ac:dyDescent="0.2">
      <c r="E2057" s="4"/>
      <c r="F2057" s="45"/>
      <c r="G2057" s="4"/>
      <c r="H2057" s="47"/>
      <c r="Z2057" s="6"/>
    </row>
    <row r="2058" spans="5:26" x14ac:dyDescent="0.2">
      <c r="E2058" s="4"/>
      <c r="F2058" s="45"/>
      <c r="G2058" s="4"/>
      <c r="H2058" s="47"/>
      <c r="Z2058" s="6"/>
    </row>
    <row r="2059" spans="5:26" x14ac:dyDescent="0.2">
      <c r="E2059" s="4"/>
      <c r="F2059" s="45"/>
      <c r="G2059" s="4"/>
      <c r="H2059" s="47"/>
      <c r="Z2059" s="6"/>
    </row>
    <row r="2060" spans="5:26" x14ac:dyDescent="0.2">
      <c r="E2060" s="4"/>
      <c r="F2060" s="45"/>
      <c r="G2060" s="4"/>
      <c r="H2060" s="47"/>
      <c r="Z2060" s="6"/>
    </row>
    <row r="2061" spans="5:26" x14ac:dyDescent="0.2">
      <c r="E2061" s="4"/>
      <c r="F2061" s="45"/>
      <c r="G2061" s="4"/>
      <c r="H2061" s="47"/>
      <c r="Z2061" s="6"/>
    </row>
    <row r="2062" spans="5:26" x14ac:dyDescent="0.2">
      <c r="E2062" s="4"/>
      <c r="F2062" s="45"/>
      <c r="G2062" s="4"/>
      <c r="H2062" s="47"/>
      <c r="Z2062" s="6"/>
    </row>
    <row r="2063" spans="5:26" x14ac:dyDescent="0.2">
      <c r="E2063" s="4"/>
      <c r="F2063" s="45"/>
      <c r="G2063" s="4"/>
      <c r="H2063" s="47"/>
      <c r="Z2063" s="6"/>
    </row>
    <row r="2064" spans="5:26" x14ac:dyDescent="0.2">
      <c r="E2064" s="4"/>
      <c r="F2064" s="45"/>
      <c r="G2064" s="4"/>
      <c r="H2064" s="47"/>
      <c r="Z2064" s="6"/>
    </row>
    <row r="2065" spans="5:26" x14ac:dyDescent="0.2">
      <c r="E2065" s="4"/>
      <c r="F2065" s="45"/>
      <c r="G2065" s="4"/>
      <c r="H2065" s="47"/>
      <c r="Z2065" s="6"/>
    </row>
    <row r="2066" spans="5:26" x14ac:dyDescent="0.2">
      <c r="E2066" s="4"/>
      <c r="F2066" s="45"/>
      <c r="G2066" s="4"/>
      <c r="H2066" s="47"/>
      <c r="Z2066" s="6"/>
    </row>
    <row r="2067" spans="5:26" x14ac:dyDescent="0.2">
      <c r="E2067" s="4"/>
      <c r="F2067" s="45"/>
      <c r="G2067" s="4"/>
      <c r="H2067" s="47"/>
      <c r="Z2067" s="6"/>
    </row>
    <row r="2068" spans="5:26" x14ac:dyDescent="0.2">
      <c r="E2068" s="4"/>
      <c r="F2068" s="45"/>
      <c r="G2068" s="4"/>
      <c r="H2068" s="47"/>
      <c r="Z2068" s="6"/>
    </row>
    <row r="2069" spans="5:26" x14ac:dyDescent="0.2">
      <c r="E2069" s="4"/>
      <c r="F2069" s="45"/>
      <c r="G2069" s="4"/>
      <c r="H2069" s="47"/>
      <c r="Z2069" s="6"/>
    </row>
    <row r="2070" spans="5:26" x14ac:dyDescent="0.2">
      <c r="E2070" s="4"/>
      <c r="F2070" s="45"/>
      <c r="G2070" s="4"/>
      <c r="H2070" s="47"/>
      <c r="Z2070" s="6"/>
    </row>
    <row r="2071" spans="5:26" x14ac:dyDescent="0.2">
      <c r="E2071" s="4"/>
      <c r="F2071" s="45"/>
      <c r="G2071" s="4"/>
      <c r="H2071" s="47"/>
      <c r="Z2071" s="6"/>
    </row>
    <row r="2072" spans="5:26" x14ac:dyDescent="0.2">
      <c r="E2072" s="4"/>
      <c r="F2072" s="45"/>
      <c r="G2072" s="4"/>
      <c r="H2072" s="47"/>
      <c r="Z2072" s="6"/>
    </row>
    <row r="2073" spans="5:26" x14ac:dyDescent="0.2">
      <c r="E2073" s="4"/>
      <c r="F2073" s="45"/>
      <c r="G2073" s="4"/>
      <c r="H2073" s="47"/>
      <c r="Z2073" s="6"/>
    </row>
    <row r="2074" spans="5:26" x14ac:dyDescent="0.2">
      <c r="E2074" s="4"/>
      <c r="F2074" s="45"/>
      <c r="G2074" s="4"/>
      <c r="H2074" s="47"/>
      <c r="Z2074" s="6"/>
    </row>
    <row r="2075" spans="5:26" x14ac:dyDescent="0.2">
      <c r="E2075" s="4"/>
      <c r="F2075" s="45"/>
      <c r="G2075" s="4"/>
      <c r="H2075" s="47"/>
      <c r="Z2075" s="6"/>
    </row>
    <row r="2076" spans="5:26" x14ac:dyDescent="0.2">
      <c r="E2076" s="4"/>
      <c r="F2076" s="45"/>
      <c r="G2076" s="4"/>
      <c r="H2076" s="47"/>
      <c r="Z2076" s="6"/>
    </row>
    <row r="2077" spans="5:26" x14ac:dyDescent="0.2">
      <c r="E2077" s="4"/>
      <c r="F2077" s="45"/>
      <c r="G2077" s="4"/>
      <c r="H2077" s="47"/>
      <c r="Z2077" s="6"/>
    </row>
    <row r="2078" spans="5:26" x14ac:dyDescent="0.2">
      <c r="E2078" s="4"/>
      <c r="F2078" s="45"/>
      <c r="G2078" s="4"/>
      <c r="H2078" s="47"/>
      <c r="Z2078" s="6"/>
    </row>
    <row r="2079" spans="5:26" x14ac:dyDescent="0.2">
      <c r="E2079" s="4"/>
      <c r="F2079" s="45"/>
      <c r="G2079" s="4"/>
      <c r="H2079" s="47"/>
      <c r="Z2079" s="6"/>
    </row>
    <row r="2080" spans="5:26" x14ac:dyDescent="0.2">
      <c r="E2080" s="4"/>
      <c r="F2080" s="45"/>
      <c r="G2080" s="4"/>
      <c r="H2080" s="47"/>
      <c r="Z2080" s="6"/>
    </row>
    <row r="2081" spans="5:26" x14ac:dyDescent="0.2">
      <c r="E2081" s="4"/>
      <c r="F2081" s="45"/>
      <c r="G2081" s="4"/>
      <c r="H2081" s="47"/>
      <c r="Z2081" s="6"/>
    </row>
    <row r="2082" spans="5:26" x14ac:dyDescent="0.2">
      <c r="E2082" s="4"/>
      <c r="F2082" s="45"/>
      <c r="G2082" s="4"/>
      <c r="H2082" s="47"/>
      <c r="Z2082" s="6"/>
    </row>
    <row r="2083" spans="5:26" x14ac:dyDescent="0.2">
      <c r="E2083" s="4"/>
      <c r="F2083" s="45"/>
      <c r="G2083" s="4"/>
      <c r="H2083" s="47"/>
      <c r="Z2083" s="6"/>
    </row>
    <row r="2084" spans="5:26" x14ac:dyDescent="0.2">
      <c r="E2084" s="4"/>
      <c r="F2084" s="45"/>
      <c r="G2084" s="4"/>
      <c r="H2084" s="47"/>
      <c r="Z2084" s="6"/>
    </row>
    <row r="2085" spans="5:26" x14ac:dyDescent="0.2">
      <c r="E2085" s="4"/>
      <c r="F2085" s="45"/>
      <c r="G2085" s="4"/>
      <c r="H2085" s="47"/>
      <c r="Z2085" s="6"/>
    </row>
    <row r="2086" spans="5:26" x14ac:dyDescent="0.2">
      <c r="E2086" s="4"/>
      <c r="F2086" s="45"/>
      <c r="G2086" s="4"/>
      <c r="H2086" s="47"/>
      <c r="Z2086" s="6"/>
    </row>
    <row r="2087" spans="5:26" x14ac:dyDescent="0.2">
      <c r="E2087" s="4"/>
      <c r="F2087" s="45"/>
      <c r="G2087" s="4"/>
      <c r="H2087" s="47"/>
      <c r="Z2087" s="6"/>
    </row>
    <row r="2088" spans="5:26" x14ac:dyDescent="0.2">
      <c r="E2088" s="4"/>
      <c r="F2088" s="45"/>
      <c r="G2088" s="4"/>
      <c r="H2088" s="47"/>
      <c r="Z2088" s="6"/>
    </row>
    <row r="2089" spans="5:26" x14ac:dyDescent="0.2">
      <c r="E2089" s="4"/>
      <c r="F2089" s="45"/>
      <c r="G2089" s="4"/>
      <c r="H2089" s="47"/>
      <c r="Z2089" s="6"/>
    </row>
    <row r="2090" spans="5:26" x14ac:dyDescent="0.2">
      <c r="E2090" s="4"/>
      <c r="F2090" s="45"/>
      <c r="G2090" s="4"/>
      <c r="H2090" s="47"/>
      <c r="Z2090" s="6"/>
    </row>
    <row r="2091" spans="5:26" x14ac:dyDescent="0.2">
      <c r="E2091" s="4"/>
      <c r="F2091" s="45"/>
      <c r="G2091" s="4"/>
      <c r="H2091" s="47"/>
      <c r="Z2091" s="6"/>
    </row>
    <row r="2092" spans="5:26" x14ac:dyDescent="0.2">
      <c r="E2092" s="4"/>
      <c r="F2092" s="45"/>
      <c r="G2092" s="4"/>
      <c r="H2092" s="47"/>
      <c r="Z2092" s="6"/>
    </row>
    <row r="2093" spans="5:26" x14ac:dyDescent="0.2">
      <c r="E2093" s="4"/>
      <c r="F2093" s="45"/>
      <c r="G2093" s="4"/>
      <c r="H2093" s="47"/>
      <c r="Z2093" s="6"/>
    </row>
    <row r="2094" spans="5:26" x14ac:dyDescent="0.2">
      <c r="E2094" s="4"/>
      <c r="F2094" s="45"/>
      <c r="G2094" s="4"/>
      <c r="H2094" s="47"/>
      <c r="Z2094" s="6"/>
    </row>
    <row r="2095" spans="5:26" x14ac:dyDescent="0.2">
      <c r="E2095" s="4"/>
      <c r="F2095" s="45"/>
      <c r="G2095" s="4"/>
      <c r="H2095" s="47"/>
      <c r="Z2095" s="6"/>
    </row>
    <row r="2096" spans="5:26" x14ac:dyDescent="0.2">
      <c r="E2096" s="4"/>
      <c r="F2096" s="45"/>
      <c r="G2096" s="4"/>
      <c r="H2096" s="47"/>
      <c r="Z2096" s="6"/>
    </row>
    <row r="2097" spans="5:26" x14ac:dyDescent="0.2">
      <c r="E2097" s="4"/>
      <c r="F2097" s="45"/>
      <c r="G2097" s="4"/>
      <c r="H2097" s="47"/>
      <c r="Z2097" s="6"/>
    </row>
    <row r="2098" spans="5:26" x14ac:dyDescent="0.2">
      <c r="E2098" s="4"/>
      <c r="F2098" s="45"/>
      <c r="G2098" s="4"/>
      <c r="H2098" s="47"/>
      <c r="Z2098" s="6"/>
    </row>
    <row r="2099" spans="5:26" x14ac:dyDescent="0.2">
      <c r="E2099" s="4"/>
      <c r="F2099" s="45"/>
      <c r="G2099" s="4"/>
      <c r="H2099" s="47"/>
      <c r="Z2099" s="6"/>
    </row>
    <row r="2100" spans="5:26" x14ac:dyDescent="0.2">
      <c r="E2100" s="4"/>
      <c r="F2100" s="45"/>
      <c r="G2100" s="4"/>
      <c r="H2100" s="47"/>
      <c r="Z2100" s="6"/>
    </row>
    <row r="2101" spans="5:26" x14ac:dyDescent="0.2">
      <c r="E2101" s="4"/>
      <c r="F2101" s="45"/>
      <c r="G2101" s="4"/>
      <c r="H2101" s="47"/>
      <c r="Z2101" s="6"/>
    </row>
    <row r="2102" spans="5:26" x14ac:dyDescent="0.2">
      <c r="E2102" s="4"/>
      <c r="F2102" s="45"/>
      <c r="G2102" s="4"/>
      <c r="H2102" s="47"/>
      <c r="Z2102" s="6"/>
    </row>
    <row r="2103" spans="5:26" x14ac:dyDescent="0.2">
      <c r="E2103" s="4"/>
      <c r="F2103" s="45"/>
      <c r="G2103" s="4"/>
      <c r="H2103" s="47"/>
      <c r="Z2103" s="6"/>
    </row>
    <row r="2104" spans="5:26" x14ac:dyDescent="0.2">
      <c r="E2104" s="4"/>
      <c r="F2104" s="45"/>
      <c r="G2104" s="4"/>
      <c r="H2104" s="47"/>
      <c r="Z2104" s="6"/>
    </row>
    <row r="2105" spans="5:26" x14ac:dyDescent="0.2">
      <c r="E2105" s="4"/>
      <c r="F2105" s="45"/>
      <c r="G2105" s="4"/>
      <c r="H2105" s="47"/>
      <c r="Z2105" s="6"/>
    </row>
    <row r="2106" spans="5:26" x14ac:dyDescent="0.2">
      <c r="E2106" s="4"/>
      <c r="F2106" s="45"/>
      <c r="G2106" s="4"/>
      <c r="H2106" s="47"/>
      <c r="Z2106" s="6"/>
    </row>
    <row r="2107" spans="5:26" x14ac:dyDescent="0.2">
      <c r="E2107" s="4"/>
      <c r="F2107" s="45"/>
      <c r="G2107" s="4"/>
      <c r="H2107" s="47"/>
      <c r="Z2107" s="6"/>
    </row>
    <row r="2108" spans="5:26" x14ac:dyDescent="0.2">
      <c r="E2108" s="4"/>
      <c r="F2108" s="45"/>
      <c r="G2108" s="4"/>
      <c r="H2108" s="47"/>
      <c r="Z2108" s="6"/>
    </row>
    <row r="2109" spans="5:26" x14ac:dyDescent="0.2">
      <c r="E2109" s="4"/>
      <c r="F2109" s="45"/>
      <c r="G2109" s="4"/>
      <c r="H2109" s="47"/>
      <c r="Z2109" s="6"/>
    </row>
    <row r="2110" spans="5:26" x14ac:dyDescent="0.2">
      <c r="E2110" s="4"/>
      <c r="F2110" s="45"/>
      <c r="G2110" s="4"/>
      <c r="H2110" s="47"/>
      <c r="Z2110" s="6"/>
    </row>
    <row r="2111" spans="5:26" x14ac:dyDescent="0.2">
      <c r="E2111" s="4"/>
      <c r="F2111" s="45"/>
      <c r="G2111" s="4"/>
      <c r="H2111" s="47"/>
      <c r="Z2111" s="6"/>
    </row>
    <row r="2112" spans="5:26" x14ac:dyDescent="0.2">
      <c r="E2112" s="4"/>
      <c r="F2112" s="45"/>
      <c r="G2112" s="4"/>
      <c r="H2112" s="47"/>
      <c r="Z2112" s="6"/>
    </row>
    <row r="2113" spans="5:26" x14ac:dyDescent="0.2">
      <c r="E2113" s="4"/>
      <c r="F2113" s="45"/>
      <c r="G2113" s="4"/>
      <c r="H2113" s="47"/>
      <c r="Z2113" s="6"/>
    </row>
    <row r="2114" spans="5:26" x14ac:dyDescent="0.2">
      <c r="E2114" s="4"/>
      <c r="F2114" s="45"/>
      <c r="G2114" s="4"/>
      <c r="H2114" s="47"/>
      <c r="Z2114" s="6"/>
    </row>
    <row r="2115" spans="5:26" x14ac:dyDescent="0.2">
      <c r="E2115" s="4"/>
      <c r="F2115" s="45"/>
      <c r="G2115" s="4"/>
      <c r="H2115" s="47"/>
      <c r="Z2115" s="6"/>
    </row>
    <row r="2116" spans="5:26" x14ac:dyDescent="0.2">
      <c r="E2116" s="4"/>
      <c r="F2116" s="45"/>
      <c r="G2116" s="4"/>
      <c r="H2116" s="47"/>
      <c r="Z2116" s="6"/>
    </row>
    <row r="2117" spans="5:26" x14ac:dyDescent="0.2">
      <c r="E2117" s="4"/>
      <c r="F2117" s="45"/>
      <c r="G2117" s="4"/>
      <c r="H2117" s="47"/>
      <c r="Z2117" s="6"/>
    </row>
    <row r="2118" spans="5:26" x14ac:dyDescent="0.2">
      <c r="E2118" s="4"/>
      <c r="F2118" s="45"/>
      <c r="G2118" s="4"/>
      <c r="H2118" s="47"/>
      <c r="Z2118" s="6"/>
    </row>
    <row r="2119" spans="5:26" x14ac:dyDescent="0.2">
      <c r="E2119" s="4"/>
      <c r="F2119" s="45"/>
      <c r="G2119" s="4"/>
      <c r="H2119" s="47"/>
      <c r="Z2119" s="6"/>
    </row>
    <row r="2120" spans="5:26" x14ac:dyDescent="0.2">
      <c r="E2120" s="4"/>
      <c r="F2120" s="45"/>
      <c r="G2120" s="4"/>
      <c r="H2120" s="47"/>
      <c r="Z2120" s="6"/>
    </row>
    <row r="2121" spans="5:26" x14ac:dyDescent="0.2">
      <c r="E2121" s="4"/>
      <c r="F2121" s="45"/>
      <c r="G2121" s="4"/>
      <c r="H2121" s="47"/>
      <c r="Z2121" s="6"/>
    </row>
    <row r="2122" spans="5:26" x14ac:dyDescent="0.2">
      <c r="E2122" s="4"/>
      <c r="F2122" s="45"/>
      <c r="G2122" s="4"/>
      <c r="H2122" s="47"/>
      <c r="Z2122" s="6"/>
    </row>
    <row r="2123" spans="5:26" x14ac:dyDescent="0.2">
      <c r="E2123" s="4"/>
      <c r="F2123" s="45"/>
      <c r="G2123" s="4"/>
      <c r="H2123" s="47"/>
      <c r="Z2123" s="6"/>
    </row>
    <row r="2124" spans="5:26" x14ac:dyDescent="0.2">
      <c r="E2124" s="4"/>
      <c r="F2124" s="45"/>
      <c r="G2124" s="4"/>
      <c r="H2124" s="47"/>
      <c r="Z2124" s="6"/>
    </row>
    <row r="2125" spans="5:26" x14ac:dyDescent="0.2">
      <c r="E2125" s="4"/>
      <c r="F2125" s="45"/>
      <c r="G2125" s="4"/>
      <c r="H2125" s="47"/>
      <c r="Z2125" s="6"/>
    </row>
    <row r="2126" spans="5:26" x14ac:dyDescent="0.2">
      <c r="E2126" s="4"/>
      <c r="F2126" s="45"/>
      <c r="G2126" s="4"/>
      <c r="H2126" s="47"/>
      <c r="Z2126" s="6"/>
    </row>
    <row r="2127" spans="5:26" x14ac:dyDescent="0.2">
      <c r="E2127" s="4"/>
      <c r="F2127" s="45"/>
      <c r="G2127" s="4"/>
      <c r="H2127" s="47"/>
      <c r="Z2127" s="6"/>
    </row>
    <row r="2128" spans="5:26" x14ac:dyDescent="0.2">
      <c r="E2128" s="4"/>
      <c r="F2128" s="45"/>
      <c r="G2128" s="4"/>
      <c r="H2128" s="47"/>
      <c r="Z2128" s="6"/>
    </row>
    <row r="2129" spans="5:26" x14ac:dyDescent="0.2">
      <c r="E2129" s="4"/>
      <c r="F2129" s="45"/>
      <c r="G2129" s="4"/>
      <c r="H2129" s="47"/>
      <c r="Z2129" s="6"/>
    </row>
    <row r="2130" spans="5:26" x14ac:dyDescent="0.2">
      <c r="E2130" s="4"/>
      <c r="F2130" s="45"/>
      <c r="G2130" s="4"/>
      <c r="H2130" s="47"/>
      <c r="Z2130" s="6"/>
    </row>
    <row r="2131" spans="5:26" x14ac:dyDescent="0.2">
      <c r="E2131" s="4"/>
      <c r="F2131" s="45"/>
      <c r="G2131" s="4"/>
      <c r="H2131" s="47"/>
      <c r="Z2131" s="6"/>
    </row>
    <row r="2132" spans="5:26" x14ac:dyDescent="0.2">
      <c r="E2132" s="4"/>
      <c r="F2132" s="45"/>
      <c r="G2132" s="4"/>
      <c r="H2132" s="47"/>
      <c r="Z2132" s="6"/>
    </row>
    <row r="2133" spans="5:26" x14ac:dyDescent="0.2">
      <c r="E2133" s="4"/>
      <c r="F2133" s="45"/>
      <c r="G2133" s="4"/>
      <c r="H2133" s="47"/>
      <c r="Z2133" s="6"/>
    </row>
    <row r="2134" spans="5:26" x14ac:dyDescent="0.2">
      <c r="E2134" s="4"/>
      <c r="F2134" s="45"/>
      <c r="G2134" s="4"/>
      <c r="H2134" s="47"/>
      <c r="Z2134" s="6"/>
    </row>
    <row r="2135" spans="5:26" x14ac:dyDescent="0.2">
      <c r="E2135" s="4"/>
      <c r="F2135" s="45"/>
      <c r="G2135" s="4"/>
      <c r="H2135" s="47"/>
      <c r="Z2135" s="6"/>
    </row>
    <row r="2136" spans="5:26" x14ac:dyDescent="0.2">
      <c r="E2136" s="4"/>
      <c r="F2136" s="45"/>
      <c r="G2136" s="4"/>
      <c r="H2136" s="47"/>
      <c r="Z2136" s="6"/>
    </row>
    <row r="2137" spans="5:26" x14ac:dyDescent="0.2">
      <c r="E2137" s="4"/>
      <c r="F2137" s="45"/>
      <c r="G2137" s="4"/>
      <c r="H2137" s="47"/>
      <c r="Z2137" s="6"/>
    </row>
    <row r="2138" spans="5:26" x14ac:dyDescent="0.2">
      <c r="E2138" s="4"/>
      <c r="F2138" s="45"/>
      <c r="G2138" s="4"/>
      <c r="H2138" s="47"/>
      <c r="Z2138" s="6"/>
    </row>
    <row r="2139" spans="5:26" x14ac:dyDescent="0.2">
      <c r="E2139" s="4"/>
      <c r="F2139" s="45"/>
      <c r="G2139" s="4"/>
      <c r="H2139" s="47"/>
      <c r="Z2139" s="6"/>
    </row>
    <row r="2140" spans="5:26" x14ac:dyDescent="0.2">
      <c r="E2140" s="4"/>
      <c r="F2140" s="45"/>
      <c r="G2140" s="4"/>
      <c r="H2140" s="47"/>
      <c r="Z2140" s="6"/>
    </row>
    <row r="2141" spans="5:26" x14ac:dyDescent="0.2">
      <c r="E2141" s="4"/>
      <c r="F2141" s="45"/>
      <c r="G2141" s="4"/>
      <c r="H2141" s="47"/>
      <c r="Z2141" s="6"/>
    </row>
    <row r="2142" spans="5:26" x14ac:dyDescent="0.2">
      <c r="E2142" s="4"/>
      <c r="F2142" s="45"/>
      <c r="G2142" s="4"/>
      <c r="H2142" s="47"/>
      <c r="Z2142" s="6"/>
    </row>
    <row r="2143" spans="5:26" x14ac:dyDescent="0.2">
      <c r="E2143" s="4"/>
      <c r="F2143" s="45"/>
      <c r="G2143" s="4"/>
      <c r="H2143" s="47"/>
      <c r="Z2143" s="6"/>
    </row>
    <row r="2144" spans="5:26" x14ac:dyDescent="0.2">
      <c r="E2144" s="4"/>
      <c r="F2144" s="45"/>
      <c r="G2144" s="4"/>
      <c r="H2144" s="47"/>
      <c r="Z2144" s="6"/>
    </row>
    <row r="2145" spans="5:26" x14ac:dyDescent="0.2">
      <c r="E2145" s="4"/>
      <c r="F2145" s="45"/>
      <c r="G2145" s="4"/>
      <c r="H2145" s="47"/>
      <c r="Z2145" s="6"/>
    </row>
    <row r="2146" spans="5:26" x14ac:dyDescent="0.2">
      <c r="E2146" s="4"/>
      <c r="F2146" s="45"/>
      <c r="G2146" s="4"/>
      <c r="H2146" s="47"/>
      <c r="Z2146" s="6"/>
    </row>
    <row r="2147" spans="5:26" x14ac:dyDescent="0.2">
      <c r="E2147" s="4"/>
      <c r="F2147" s="45"/>
      <c r="G2147" s="4"/>
      <c r="H2147" s="47"/>
      <c r="Z2147" s="6"/>
    </row>
    <row r="2148" spans="5:26" x14ac:dyDescent="0.2">
      <c r="E2148" s="4"/>
      <c r="F2148" s="45"/>
      <c r="G2148" s="4"/>
      <c r="H2148" s="47"/>
      <c r="Z2148" s="6"/>
    </row>
    <row r="2149" spans="5:26" x14ac:dyDescent="0.2">
      <c r="E2149" s="4"/>
      <c r="F2149" s="45"/>
      <c r="G2149" s="4"/>
      <c r="H2149" s="47"/>
      <c r="Z2149" s="6"/>
    </row>
    <row r="2150" spans="5:26" x14ac:dyDescent="0.2">
      <c r="E2150" s="4"/>
      <c r="F2150" s="45"/>
      <c r="G2150" s="4"/>
      <c r="H2150" s="47"/>
      <c r="Z2150" s="6"/>
    </row>
    <row r="2151" spans="5:26" x14ac:dyDescent="0.2">
      <c r="E2151" s="4"/>
      <c r="F2151" s="45"/>
      <c r="G2151" s="4"/>
      <c r="H2151" s="47"/>
      <c r="Z2151" s="6"/>
    </row>
    <row r="2152" spans="5:26" x14ac:dyDescent="0.2">
      <c r="E2152" s="4"/>
      <c r="F2152" s="45"/>
      <c r="G2152" s="4"/>
      <c r="H2152" s="47"/>
      <c r="Z2152" s="6"/>
    </row>
    <row r="2153" spans="5:26" x14ac:dyDescent="0.2">
      <c r="E2153" s="4"/>
      <c r="F2153" s="45"/>
      <c r="G2153" s="4"/>
      <c r="H2153" s="47"/>
      <c r="Z2153" s="6"/>
    </row>
    <row r="2154" spans="5:26" x14ac:dyDescent="0.2">
      <c r="E2154" s="4"/>
      <c r="F2154" s="45"/>
      <c r="G2154" s="4"/>
      <c r="H2154" s="47"/>
      <c r="Z2154" s="6"/>
    </row>
    <row r="2155" spans="5:26" x14ac:dyDescent="0.2">
      <c r="E2155" s="4"/>
      <c r="F2155" s="45"/>
      <c r="G2155" s="4"/>
      <c r="H2155" s="47"/>
      <c r="Z2155" s="6"/>
    </row>
    <row r="2156" spans="5:26" x14ac:dyDescent="0.2">
      <c r="E2156" s="4"/>
      <c r="F2156" s="45"/>
      <c r="G2156" s="4"/>
      <c r="H2156" s="47"/>
      <c r="Z2156" s="6"/>
    </row>
    <row r="2157" spans="5:26" x14ac:dyDescent="0.2">
      <c r="E2157" s="4"/>
      <c r="F2157" s="45"/>
      <c r="G2157" s="4"/>
      <c r="H2157" s="47"/>
      <c r="Z2157" s="6"/>
    </row>
    <row r="2158" spans="5:26" x14ac:dyDescent="0.2">
      <c r="E2158" s="4"/>
      <c r="F2158" s="45"/>
      <c r="G2158" s="4"/>
      <c r="H2158" s="47"/>
      <c r="Z2158" s="6"/>
    </row>
    <row r="2159" spans="5:26" x14ac:dyDescent="0.2">
      <c r="E2159" s="4"/>
      <c r="F2159" s="45"/>
      <c r="G2159" s="4"/>
      <c r="H2159" s="47"/>
      <c r="Z2159" s="6"/>
    </row>
    <row r="2160" spans="5:26" x14ac:dyDescent="0.2">
      <c r="E2160" s="4"/>
      <c r="F2160" s="45"/>
      <c r="G2160" s="4"/>
      <c r="H2160" s="47"/>
      <c r="Z2160" s="6"/>
    </row>
    <row r="2161" spans="5:26" x14ac:dyDescent="0.2">
      <c r="E2161" s="4"/>
      <c r="F2161" s="45"/>
      <c r="G2161" s="4"/>
      <c r="H2161" s="47"/>
      <c r="Z2161" s="6"/>
    </row>
    <row r="2162" spans="5:26" x14ac:dyDescent="0.2">
      <c r="E2162" s="4"/>
      <c r="F2162" s="45"/>
      <c r="G2162" s="4"/>
      <c r="H2162" s="47"/>
      <c r="Z2162" s="6"/>
    </row>
    <row r="2163" spans="5:26" x14ac:dyDescent="0.2">
      <c r="E2163" s="4"/>
      <c r="F2163" s="45"/>
      <c r="G2163" s="4"/>
      <c r="H2163" s="47"/>
      <c r="Z2163" s="6"/>
    </row>
    <row r="2164" spans="5:26" x14ac:dyDescent="0.2">
      <c r="E2164" s="4"/>
      <c r="F2164" s="45"/>
      <c r="G2164" s="4"/>
      <c r="H2164" s="47"/>
      <c r="Z2164" s="6"/>
    </row>
    <row r="2165" spans="5:26" x14ac:dyDescent="0.2">
      <c r="E2165" s="4"/>
      <c r="F2165" s="45"/>
      <c r="G2165" s="4"/>
      <c r="H2165" s="47"/>
      <c r="Z2165" s="6"/>
    </row>
    <row r="2166" spans="5:26" x14ac:dyDescent="0.2">
      <c r="E2166" s="4"/>
      <c r="F2166" s="45"/>
      <c r="G2166" s="4"/>
      <c r="H2166" s="47"/>
      <c r="Z2166" s="6"/>
    </row>
    <row r="2167" spans="5:26" x14ac:dyDescent="0.2">
      <c r="E2167" s="4"/>
      <c r="F2167" s="45"/>
      <c r="G2167" s="4"/>
      <c r="H2167" s="47"/>
      <c r="Z2167" s="6"/>
    </row>
    <row r="2168" spans="5:26" x14ac:dyDescent="0.2">
      <c r="E2168" s="4"/>
      <c r="F2168" s="45"/>
      <c r="G2168" s="4"/>
      <c r="H2168" s="47"/>
      <c r="Z2168" s="6"/>
    </row>
    <row r="2169" spans="5:26" x14ac:dyDescent="0.2">
      <c r="E2169" s="4"/>
      <c r="F2169" s="45"/>
      <c r="G2169" s="4"/>
      <c r="H2169" s="47"/>
      <c r="Z2169" s="6"/>
    </row>
    <row r="2170" spans="5:26" x14ac:dyDescent="0.2">
      <c r="E2170" s="4"/>
      <c r="F2170" s="45"/>
      <c r="G2170" s="4"/>
      <c r="H2170" s="47"/>
      <c r="Z2170" s="6"/>
    </row>
    <row r="2171" spans="5:26" x14ac:dyDescent="0.2">
      <c r="E2171" s="4"/>
      <c r="F2171" s="45"/>
      <c r="G2171" s="4"/>
      <c r="H2171" s="47"/>
      <c r="Z2171" s="6"/>
    </row>
    <row r="2172" spans="5:26" x14ac:dyDescent="0.2">
      <c r="E2172" s="4"/>
      <c r="F2172" s="45"/>
      <c r="G2172" s="4"/>
      <c r="H2172" s="47"/>
      <c r="Z2172" s="6"/>
    </row>
    <row r="2173" spans="5:26" x14ac:dyDescent="0.2">
      <c r="E2173" s="4"/>
      <c r="F2173" s="45"/>
      <c r="G2173" s="4"/>
      <c r="H2173" s="47"/>
      <c r="Z2173" s="6"/>
    </row>
    <row r="2174" spans="5:26" x14ac:dyDescent="0.2">
      <c r="E2174" s="4"/>
      <c r="F2174" s="45"/>
      <c r="G2174" s="4"/>
      <c r="H2174" s="47"/>
      <c r="Z2174" s="6"/>
    </row>
    <row r="2175" spans="5:26" x14ac:dyDescent="0.2">
      <c r="E2175" s="4"/>
      <c r="F2175" s="45"/>
      <c r="G2175" s="4"/>
      <c r="H2175" s="47"/>
      <c r="Z2175" s="6"/>
    </row>
    <row r="2176" spans="5:26" x14ac:dyDescent="0.2">
      <c r="E2176" s="4"/>
      <c r="F2176" s="45"/>
      <c r="G2176" s="4"/>
      <c r="H2176" s="47"/>
      <c r="Z2176" s="6"/>
    </row>
    <row r="2177" spans="5:26" x14ac:dyDescent="0.2">
      <c r="E2177" s="4"/>
      <c r="F2177" s="45"/>
      <c r="G2177" s="4"/>
      <c r="H2177" s="47"/>
      <c r="Z2177" s="6"/>
    </row>
    <row r="2178" spans="5:26" x14ac:dyDescent="0.2">
      <c r="E2178" s="4"/>
      <c r="F2178" s="45"/>
      <c r="G2178" s="4"/>
      <c r="H2178" s="47"/>
      <c r="Z2178" s="6"/>
    </row>
    <row r="2179" spans="5:26" x14ac:dyDescent="0.2">
      <c r="E2179" s="4"/>
      <c r="F2179" s="45"/>
      <c r="G2179" s="4"/>
      <c r="H2179" s="47"/>
      <c r="Z2179" s="6"/>
    </row>
    <row r="2180" spans="5:26" x14ac:dyDescent="0.2">
      <c r="E2180" s="4"/>
      <c r="F2180" s="45"/>
      <c r="G2180" s="4"/>
      <c r="H2180" s="47"/>
      <c r="Z2180" s="6"/>
    </row>
    <row r="2181" spans="5:26" x14ac:dyDescent="0.2">
      <c r="E2181" s="4"/>
      <c r="F2181" s="45"/>
      <c r="G2181" s="4"/>
      <c r="H2181" s="47"/>
      <c r="Z2181" s="6"/>
    </row>
    <row r="2182" spans="5:26" x14ac:dyDescent="0.2">
      <c r="E2182" s="4"/>
      <c r="F2182" s="45"/>
      <c r="G2182" s="4"/>
      <c r="H2182" s="47"/>
      <c r="Z2182" s="6"/>
    </row>
    <row r="2183" spans="5:26" x14ac:dyDescent="0.2">
      <c r="E2183" s="4"/>
      <c r="F2183" s="45"/>
      <c r="G2183" s="4"/>
      <c r="H2183" s="47"/>
      <c r="Z2183" s="6"/>
    </row>
    <row r="2184" spans="5:26" x14ac:dyDescent="0.2">
      <c r="E2184" s="4"/>
      <c r="F2184" s="45"/>
      <c r="G2184" s="4"/>
      <c r="H2184" s="47"/>
      <c r="Z2184" s="6"/>
    </row>
    <row r="2185" spans="5:26" x14ac:dyDescent="0.2">
      <c r="E2185" s="4"/>
      <c r="F2185" s="45"/>
      <c r="G2185" s="4"/>
      <c r="H2185" s="47"/>
      <c r="Z2185" s="6"/>
    </row>
    <row r="2186" spans="5:26" x14ac:dyDescent="0.2">
      <c r="E2186" s="4"/>
      <c r="F2186" s="45"/>
      <c r="G2186" s="4"/>
      <c r="H2186" s="47"/>
      <c r="Z2186" s="6"/>
    </row>
    <row r="2187" spans="5:26" x14ac:dyDescent="0.2">
      <c r="E2187" s="4"/>
      <c r="F2187" s="45"/>
      <c r="G2187" s="4"/>
      <c r="H2187" s="47"/>
      <c r="Z2187" s="6"/>
    </row>
    <row r="2188" spans="5:26" x14ac:dyDescent="0.2">
      <c r="E2188" s="4"/>
      <c r="F2188" s="45"/>
      <c r="G2188" s="4"/>
      <c r="H2188" s="47"/>
      <c r="Z2188" s="6"/>
    </row>
    <row r="2189" spans="5:26" x14ac:dyDescent="0.2">
      <c r="E2189" s="4"/>
      <c r="F2189" s="45"/>
      <c r="G2189" s="4"/>
      <c r="H2189" s="47"/>
      <c r="Z2189" s="6"/>
    </row>
    <row r="2190" spans="5:26" x14ac:dyDescent="0.2">
      <c r="E2190" s="4"/>
      <c r="F2190" s="45"/>
      <c r="G2190" s="4"/>
      <c r="H2190" s="47"/>
      <c r="Z2190" s="6"/>
    </row>
    <row r="2191" spans="5:26" x14ac:dyDescent="0.2">
      <c r="E2191" s="4"/>
      <c r="F2191" s="45"/>
      <c r="G2191" s="4"/>
      <c r="H2191" s="47"/>
      <c r="Z2191" s="6"/>
    </row>
    <row r="2192" spans="5:26" x14ac:dyDescent="0.2">
      <c r="E2192" s="4"/>
      <c r="F2192" s="45"/>
      <c r="G2192" s="4"/>
      <c r="H2192" s="47"/>
      <c r="Z2192" s="6"/>
    </row>
    <row r="2193" spans="5:26" x14ac:dyDescent="0.2">
      <c r="E2193" s="4"/>
      <c r="F2193" s="45"/>
      <c r="G2193" s="4"/>
      <c r="H2193" s="47"/>
      <c r="Z2193" s="6"/>
    </row>
    <row r="2194" spans="5:26" x14ac:dyDescent="0.2">
      <c r="E2194" s="4"/>
      <c r="F2194" s="45"/>
      <c r="G2194" s="4"/>
      <c r="H2194" s="47"/>
      <c r="Z2194" s="6"/>
    </row>
    <row r="2195" spans="5:26" x14ac:dyDescent="0.2">
      <c r="E2195" s="4"/>
      <c r="F2195" s="45"/>
      <c r="G2195" s="4"/>
      <c r="H2195" s="47"/>
      <c r="Z2195" s="6"/>
    </row>
    <row r="2196" spans="5:26" x14ac:dyDescent="0.2">
      <c r="E2196" s="4"/>
      <c r="F2196" s="45"/>
      <c r="G2196" s="4"/>
      <c r="H2196" s="47"/>
      <c r="Z2196" s="6"/>
    </row>
    <row r="2197" spans="5:26" x14ac:dyDescent="0.2">
      <c r="E2197" s="4"/>
      <c r="F2197" s="45"/>
      <c r="G2197" s="4"/>
      <c r="H2197" s="47"/>
      <c r="Z2197" s="6"/>
    </row>
    <row r="2198" spans="5:26" x14ac:dyDescent="0.2">
      <c r="E2198" s="4"/>
      <c r="F2198" s="45"/>
      <c r="G2198" s="4"/>
      <c r="H2198" s="47"/>
      <c r="Z2198" s="6"/>
    </row>
    <row r="2199" spans="5:26" x14ac:dyDescent="0.2">
      <c r="E2199" s="4"/>
      <c r="F2199" s="45"/>
      <c r="G2199" s="4"/>
      <c r="H2199" s="47"/>
      <c r="Z2199" s="6"/>
    </row>
    <row r="2200" spans="5:26" x14ac:dyDescent="0.2">
      <c r="E2200" s="4"/>
      <c r="F2200" s="45"/>
      <c r="G2200" s="4"/>
      <c r="H2200" s="47"/>
      <c r="Z2200" s="6"/>
    </row>
    <row r="2201" spans="5:26" x14ac:dyDescent="0.2">
      <c r="E2201" s="4"/>
      <c r="F2201" s="45"/>
      <c r="G2201" s="4"/>
      <c r="H2201" s="47"/>
      <c r="Z2201" s="6"/>
    </row>
    <row r="2202" spans="5:26" x14ac:dyDescent="0.2">
      <c r="E2202" s="4"/>
      <c r="F2202" s="45"/>
      <c r="G2202" s="4"/>
      <c r="H2202" s="47"/>
      <c r="Z2202" s="6"/>
    </row>
    <row r="2203" spans="5:26" x14ac:dyDescent="0.2">
      <c r="E2203" s="4"/>
      <c r="F2203" s="45"/>
      <c r="G2203" s="4"/>
      <c r="H2203" s="47"/>
      <c r="Z2203" s="6"/>
    </row>
    <row r="2204" spans="5:26" x14ac:dyDescent="0.2">
      <c r="E2204" s="4"/>
      <c r="F2204" s="45"/>
      <c r="G2204" s="4"/>
      <c r="H2204" s="47"/>
      <c r="Z2204" s="6"/>
    </row>
    <row r="2205" spans="5:26" x14ac:dyDescent="0.2">
      <c r="E2205" s="4"/>
      <c r="F2205" s="45"/>
      <c r="G2205" s="4"/>
      <c r="H2205" s="47"/>
      <c r="Z2205" s="6"/>
    </row>
    <row r="2206" spans="5:26" x14ac:dyDescent="0.2">
      <c r="E2206" s="4"/>
      <c r="F2206" s="45"/>
      <c r="G2206" s="4"/>
      <c r="H2206" s="47"/>
      <c r="Z2206" s="6"/>
    </row>
    <row r="2207" spans="5:26" x14ac:dyDescent="0.2">
      <c r="E2207" s="4"/>
      <c r="F2207" s="45"/>
      <c r="G2207" s="4"/>
      <c r="H2207" s="47"/>
      <c r="Z2207" s="6"/>
    </row>
    <row r="2208" spans="5:26" x14ac:dyDescent="0.2">
      <c r="E2208" s="4"/>
      <c r="F2208" s="45"/>
      <c r="G2208" s="4"/>
      <c r="H2208" s="47"/>
      <c r="Z2208" s="6"/>
    </row>
    <row r="2209" spans="5:26" x14ac:dyDescent="0.2">
      <c r="E2209" s="4"/>
      <c r="F2209" s="45"/>
      <c r="G2209" s="4"/>
      <c r="H2209" s="47"/>
      <c r="Z2209" s="6"/>
    </row>
    <row r="2210" spans="5:26" x14ac:dyDescent="0.2">
      <c r="E2210" s="4"/>
      <c r="F2210" s="45"/>
      <c r="G2210" s="4"/>
      <c r="H2210" s="47"/>
      <c r="Z2210" s="6"/>
    </row>
    <row r="2211" spans="5:26" x14ac:dyDescent="0.2">
      <c r="E2211" s="4"/>
      <c r="F2211" s="45"/>
      <c r="G2211" s="4"/>
      <c r="H2211" s="47"/>
      <c r="Z2211" s="6"/>
    </row>
    <row r="2212" spans="5:26" x14ac:dyDescent="0.2">
      <c r="E2212" s="4"/>
      <c r="F2212" s="45"/>
      <c r="G2212" s="4"/>
      <c r="H2212" s="47"/>
      <c r="Z2212" s="6"/>
    </row>
    <row r="2213" spans="5:26" x14ac:dyDescent="0.2">
      <c r="E2213" s="4"/>
      <c r="F2213" s="45"/>
      <c r="G2213" s="4"/>
      <c r="H2213" s="47"/>
      <c r="Z2213" s="6"/>
    </row>
    <row r="2214" spans="5:26" x14ac:dyDescent="0.2">
      <c r="E2214" s="4"/>
      <c r="F2214" s="45"/>
      <c r="G2214" s="4"/>
      <c r="H2214" s="47"/>
      <c r="Z2214" s="6"/>
    </row>
    <row r="2215" spans="5:26" x14ac:dyDescent="0.2">
      <c r="E2215" s="4"/>
      <c r="F2215" s="45"/>
      <c r="G2215" s="4"/>
      <c r="H2215" s="47"/>
      <c r="Z2215" s="6"/>
    </row>
    <row r="2216" spans="5:26" x14ac:dyDescent="0.2">
      <c r="E2216" s="4"/>
      <c r="F2216" s="45"/>
      <c r="G2216" s="4"/>
      <c r="H2216" s="47"/>
      <c r="Z2216" s="6"/>
    </row>
    <row r="2217" spans="5:26" x14ac:dyDescent="0.2">
      <c r="E2217" s="4"/>
      <c r="F2217" s="45"/>
      <c r="G2217" s="4"/>
      <c r="H2217" s="47"/>
      <c r="Z2217" s="6"/>
    </row>
    <row r="2218" spans="5:26" x14ac:dyDescent="0.2">
      <c r="E2218" s="4"/>
      <c r="F2218" s="45"/>
      <c r="G2218" s="4"/>
      <c r="H2218" s="47"/>
      <c r="Z2218" s="6"/>
    </row>
    <row r="2219" spans="5:26" x14ac:dyDescent="0.2">
      <c r="E2219" s="4"/>
      <c r="F2219" s="45"/>
      <c r="G2219" s="4"/>
      <c r="H2219" s="47"/>
      <c r="Z2219" s="6"/>
    </row>
    <row r="2220" spans="5:26" x14ac:dyDescent="0.2">
      <c r="E2220" s="4"/>
      <c r="F2220" s="45"/>
      <c r="G2220" s="4"/>
      <c r="H2220" s="47"/>
      <c r="Z2220" s="6"/>
    </row>
    <row r="2221" spans="5:26" x14ac:dyDescent="0.2">
      <c r="E2221" s="4"/>
      <c r="F2221" s="45"/>
      <c r="G2221" s="4"/>
      <c r="H2221" s="47"/>
      <c r="Z2221" s="6"/>
    </row>
    <row r="2222" spans="5:26" x14ac:dyDescent="0.2">
      <c r="E2222" s="4"/>
      <c r="F2222" s="45"/>
      <c r="G2222" s="4"/>
      <c r="H2222" s="47"/>
      <c r="Z2222" s="6"/>
    </row>
    <row r="2223" spans="5:26" x14ac:dyDescent="0.2">
      <c r="E2223" s="4"/>
      <c r="F2223" s="45"/>
      <c r="G2223" s="4"/>
      <c r="H2223" s="47"/>
      <c r="Z2223" s="6"/>
    </row>
    <row r="2224" spans="5:26" x14ac:dyDescent="0.2">
      <c r="E2224" s="4"/>
      <c r="F2224" s="45"/>
      <c r="G2224" s="4"/>
      <c r="H2224" s="47"/>
      <c r="Z2224" s="6"/>
    </row>
    <row r="2225" spans="5:26" x14ac:dyDescent="0.2">
      <c r="E2225" s="4"/>
      <c r="F2225" s="45"/>
      <c r="G2225" s="4"/>
      <c r="H2225" s="47"/>
      <c r="Z2225" s="6"/>
    </row>
    <row r="2226" spans="5:26" x14ac:dyDescent="0.2">
      <c r="E2226" s="4"/>
      <c r="F2226" s="45"/>
      <c r="G2226" s="4"/>
      <c r="H2226" s="47"/>
      <c r="Z2226" s="6"/>
    </row>
    <row r="2227" spans="5:26" x14ac:dyDescent="0.2">
      <c r="E2227" s="4"/>
      <c r="F2227" s="45"/>
      <c r="G2227" s="4"/>
      <c r="H2227" s="47"/>
      <c r="Z2227" s="6"/>
    </row>
    <row r="2228" spans="5:26" x14ac:dyDescent="0.2">
      <c r="E2228" s="4"/>
      <c r="F2228" s="45"/>
      <c r="G2228" s="4"/>
      <c r="H2228" s="47"/>
      <c r="Z2228" s="6"/>
    </row>
    <row r="2229" spans="5:26" x14ac:dyDescent="0.2">
      <c r="E2229" s="4"/>
      <c r="F2229" s="45"/>
      <c r="G2229" s="4"/>
      <c r="H2229" s="47"/>
      <c r="Z2229" s="6"/>
    </row>
    <row r="2230" spans="5:26" x14ac:dyDescent="0.2">
      <c r="E2230" s="4"/>
      <c r="F2230" s="45"/>
      <c r="G2230" s="4"/>
      <c r="H2230" s="47"/>
      <c r="Z2230" s="6"/>
    </row>
    <row r="2231" spans="5:26" x14ac:dyDescent="0.2">
      <c r="E2231" s="4"/>
      <c r="F2231" s="45"/>
      <c r="G2231" s="4"/>
      <c r="H2231" s="47"/>
      <c r="Z2231" s="6"/>
    </row>
    <row r="2232" spans="5:26" x14ac:dyDescent="0.2">
      <c r="E2232" s="4"/>
      <c r="F2232" s="45"/>
      <c r="G2232" s="4"/>
      <c r="H2232" s="47"/>
      <c r="Z2232" s="6"/>
    </row>
    <row r="2233" spans="5:26" x14ac:dyDescent="0.2">
      <c r="E2233" s="4"/>
      <c r="F2233" s="45"/>
      <c r="G2233" s="4"/>
      <c r="H2233" s="47"/>
      <c r="Z2233" s="6"/>
    </row>
    <row r="2234" spans="5:26" x14ac:dyDescent="0.2">
      <c r="E2234" s="4"/>
      <c r="F2234" s="45"/>
      <c r="G2234" s="4"/>
      <c r="H2234" s="47"/>
      <c r="Z2234" s="6"/>
    </row>
    <row r="2235" spans="5:26" x14ac:dyDescent="0.2">
      <c r="E2235" s="4"/>
      <c r="F2235" s="45"/>
      <c r="G2235" s="4"/>
      <c r="H2235" s="47"/>
      <c r="Z2235" s="6"/>
    </row>
    <row r="2236" spans="5:26" x14ac:dyDescent="0.2">
      <c r="E2236" s="4"/>
      <c r="F2236" s="45"/>
      <c r="G2236" s="4"/>
      <c r="H2236" s="47"/>
      <c r="Z2236" s="6"/>
    </row>
    <row r="2237" spans="5:26" x14ac:dyDescent="0.2">
      <c r="E2237" s="4"/>
      <c r="F2237" s="45"/>
      <c r="G2237" s="4"/>
      <c r="H2237" s="47"/>
      <c r="Z2237" s="6"/>
    </row>
    <row r="2238" spans="5:26" x14ac:dyDescent="0.2">
      <c r="E2238" s="4"/>
      <c r="F2238" s="45"/>
      <c r="G2238" s="4"/>
      <c r="H2238" s="47"/>
      <c r="Z2238" s="6"/>
    </row>
    <row r="2239" spans="5:26" x14ac:dyDescent="0.2">
      <c r="E2239" s="4"/>
      <c r="F2239" s="45"/>
      <c r="G2239" s="4"/>
      <c r="H2239" s="47"/>
      <c r="Z2239" s="6"/>
    </row>
    <row r="2240" spans="5:26" x14ac:dyDescent="0.2">
      <c r="E2240" s="4"/>
      <c r="F2240" s="45"/>
      <c r="G2240" s="4"/>
      <c r="H2240" s="47"/>
      <c r="Z2240" s="6"/>
    </row>
    <row r="2241" spans="5:26" x14ac:dyDescent="0.2">
      <c r="E2241" s="4"/>
      <c r="F2241" s="45"/>
      <c r="G2241" s="4"/>
      <c r="H2241" s="47"/>
      <c r="Z2241" s="6"/>
    </row>
    <row r="2242" spans="5:26" x14ac:dyDescent="0.2">
      <c r="E2242" s="4"/>
      <c r="F2242" s="45"/>
      <c r="G2242" s="4"/>
      <c r="H2242" s="47"/>
      <c r="Z2242" s="6"/>
    </row>
    <row r="2243" spans="5:26" x14ac:dyDescent="0.2">
      <c r="E2243" s="4"/>
      <c r="F2243" s="45"/>
      <c r="G2243" s="4"/>
      <c r="H2243" s="47"/>
      <c r="Z2243" s="6"/>
    </row>
    <row r="2244" spans="5:26" x14ac:dyDescent="0.2">
      <c r="E2244" s="4"/>
      <c r="F2244" s="45"/>
      <c r="G2244" s="4"/>
      <c r="H2244" s="47"/>
      <c r="Z2244" s="6"/>
    </row>
    <row r="2245" spans="5:26" x14ac:dyDescent="0.2">
      <c r="E2245" s="4"/>
      <c r="F2245" s="45"/>
      <c r="G2245" s="4"/>
      <c r="H2245" s="47"/>
      <c r="Z2245" s="6"/>
    </row>
    <row r="2246" spans="5:26" x14ac:dyDescent="0.2">
      <c r="E2246" s="4"/>
      <c r="F2246" s="45"/>
      <c r="G2246" s="4"/>
      <c r="H2246" s="47"/>
      <c r="Z2246" s="6"/>
    </row>
    <row r="2247" spans="5:26" x14ac:dyDescent="0.2">
      <c r="E2247" s="4"/>
      <c r="F2247" s="45"/>
      <c r="G2247" s="4"/>
      <c r="H2247" s="47"/>
      <c r="Z2247" s="6"/>
    </row>
    <row r="2248" spans="5:26" x14ac:dyDescent="0.2">
      <c r="E2248" s="4"/>
      <c r="F2248" s="45"/>
      <c r="G2248" s="4"/>
      <c r="H2248" s="47"/>
      <c r="Z2248" s="6"/>
    </row>
    <row r="2249" spans="5:26" x14ac:dyDescent="0.2">
      <c r="E2249" s="4"/>
      <c r="F2249" s="45"/>
      <c r="G2249" s="4"/>
      <c r="H2249" s="47"/>
      <c r="Z2249" s="6"/>
    </row>
    <row r="2250" spans="5:26" x14ac:dyDescent="0.2">
      <c r="E2250" s="4"/>
      <c r="F2250" s="45"/>
      <c r="G2250" s="4"/>
      <c r="H2250" s="47"/>
      <c r="Z2250" s="6"/>
    </row>
    <row r="2251" spans="5:26" x14ac:dyDescent="0.2">
      <c r="E2251" s="4"/>
      <c r="F2251" s="45"/>
      <c r="G2251" s="4"/>
      <c r="H2251" s="47"/>
      <c r="Z2251" s="6"/>
    </row>
    <row r="2252" spans="5:26" x14ac:dyDescent="0.2">
      <c r="E2252" s="4"/>
      <c r="F2252" s="45"/>
      <c r="G2252" s="4"/>
      <c r="H2252" s="47"/>
      <c r="Z2252" s="6"/>
    </row>
    <row r="2253" spans="5:26" x14ac:dyDescent="0.2">
      <c r="E2253" s="4"/>
      <c r="F2253" s="45"/>
      <c r="G2253" s="4"/>
      <c r="H2253" s="47"/>
      <c r="Z2253" s="6"/>
    </row>
    <row r="2254" spans="5:26" x14ac:dyDescent="0.2">
      <c r="E2254" s="4"/>
      <c r="F2254" s="45"/>
      <c r="G2254" s="4"/>
      <c r="H2254" s="47"/>
      <c r="Z2254" s="6"/>
    </row>
    <row r="2255" spans="5:26" x14ac:dyDescent="0.2">
      <c r="E2255" s="4"/>
      <c r="F2255" s="45"/>
      <c r="G2255" s="4"/>
      <c r="H2255" s="47"/>
      <c r="Z2255" s="6"/>
    </row>
    <row r="2256" spans="5:26" x14ac:dyDescent="0.2">
      <c r="E2256" s="4"/>
      <c r="F2256" s="45"/>
      <c r="G2256" s="4"/>
      <c r="H2256" s="47"/>
      <c r="Z2256" s="6"/>
    </row>
    <row r="2257" spans="5:26" x14ac:dyDescent="0.2">
      <c r="E2257" s="4"/>
      <c r="F2257" s="45"/>
      <c r="G2257" s="4"/>
      <c r="H2257" s="47"/>
      <c r="Z2257" s="6"/>
    </row>
    <row r="2258" spans="5:26" x14ac:dyDescent="0.2">
      <c r="E2258" s="4"/>
      <c r="F2258" s="45"/>
      <c r="G2258" s="4"/>
      <c r="H2258" s="47"/>
      <c r="Z2258" s="6"/>
    </row>
    <row r="2259" spans="5:26" x14ac:dyDescent="0.2">
      <c r="E2259" s="4"/>
      <c r="F2259" s="45"/>
      <c r="G2259" s="4"/>
      <c r="H2259" s="47"/>
      <c r="Z2259" s="6"/>
    </row>
    <row r="2260" spans="5:26" x14ac:dyDescent="0.2">
      <c r="E2260" s="4"/>
      <c r="F2260" s="45"/>
      <c r="G2260" s="4"/>
      <c r="H2260" s="47"/>
      <c r="Z2260" s="6"/>
    </row>
    <row r="2261" spans="5:26" x14ac:dyDescent="0.2">
      <c r="E2261" s="4"/>
      <c r="F2261" s="45"/>
      <c r="G2261" s="4"/>
      <c r="H2261" s="47"/>
      <c r="Z2261" s="6"/>
    </row>
    <row r="2262" spans="5:26" x14ac:dyDescent="0.2">
      <c r="E2262" s="4"/>
      <c r="F2262" s="45"/>
      <c r="G2262" s="4"/>
      <c r="H2262" s="47"/>
      <c r="Z2262" s="6"/>
    </row>
    <row r="2263" spans="5:26" x14ac:dyDescent="0.2">
      <c r="E2263" s="4"/>
      <c r="F2263" s="45"/>
      <c r="G2263" s="4"/>
      <c r="H2263" s="47"/>
      <c r="Z2263" s="6"/>
    </row>
    <row r="2264" spans="5:26" x14ac:dyDescent="0.2">
      <c r="E2264" s="4"/>
      <c r="F2264" s="45"/>
      <c r="G2264" s="4"/>
      <c r="H2264" s="47"/>
      <c r="Z2264" s="6"/>
    </row>
    <row r="2265" spans="5:26" x14ac:dyDescent="0.2">
      <c r="E2265" s="4"/>
      <c r="F2265" s="45"/>
      <c r="G2265" s="4"/>
      <c r="H2265" s="47"/>
      <c r="Z2265" s="6"/>
    </row>
    <row r="2266" spans="5:26" x14ac:dyDescent="0.2">
      <c r="E2266" s="4"/>
      <c r="F2266" s="45"/>
      <c r="G2266" s="4"/>
      <c r="H2266" s="47"/>
      <c r="Z2266" s="6"/>
    </row>
    <row r="2267" spans="5:26" x14ac:dyDescent="0.2">
      <c r="E2267" s="4"/>
      <c r="F2267" s="45"/>
      <c r="G2267" s="4"/>
      <c r="H2267" s="47"/>
      <c r="Z2267" s="6"/>
    </row>
    <row r="2268" spans="5:26" x14ac:dyDescent="0.2">
      <c r="E2268" s="4"/>
      <c r="F2268" s="45"/>
      <c r="G2268" s="4"/>
      <c r="H2268" s="47"/>
      <c r="Z2268" s="6"/>
    </row>
    <row r="2269" spans="5:26" x14ac:dyDescent="0.2">
      <c r="E2269" s="4"/>
      <c r="F2269" s="45"/>
      <c r="G2269" s="4"/>
      <c r="H2269" s="47"/>
      <c r="Z2269" s="6"/>
    </row>
    <row r="2270" spans="5:26" x14ac:dyDescent="0.2">
      <c r="E2270" s="4"/>
      <c r="F2270" s="45"/>
      <c r="G2270" s="4"/>
      <c r="H2270" s="47"/>
      <c r="Z2270" s="6"/>
    </row>
    <row r="2271" spans="5:26" x14ac:dyDescent="0.2">
      <c r="E2271" s="4"/>
      <c r="F2271" s="45"/>
      <c r="G2271" s="4"/>
      <c r="H2271" s="47"/>
      <c r="Z2271" s="6"/>
    </row>
    <row r="2272" spans="5:26" x14ac:dyDescent="0.2">
      <c r="E2272" s="4"/>
      <c r="F2272" s="45"/>
      <c r="G2272" s="4"/>
      <c r="H2272" s="47"/>
      <c r="Z2272" s="6"/>
    </row>
    <row r="2273" spans="5:26" x14ac:dyDescent="0.2">
      <c r="E2273" s="4"/>
      <c r="F2273" s="45"/>
      <c r="G2273" s="4"/>
      <c r="H2273" s="47"/>
      <c r="Z2273" s="6"/>
    </row>
    <row r="2274" spans="5:26" x14ac:dyDescent="0.2">
      <c r="E2274" s="4"/>
      <c r="F2274" s="45"/>
      <c r="G2274" s="4"/>
      <c r="H2274" s="47"/>
      <c r="Z2274" s="6"/>
    </row>
    <row r="2275" spans="5:26" x14ac:dyDescent="0.2">
      <c r="E2275" s="4"/>
      <c r="F2275" s="45"/>
      <c r="G2275" s="4"/>
      <c r="H2275" s="47"/>
      <c r="Z2275" s="6"/>
    </row>
    <row r="2276" spans="5:26" x14ac:dyDescent="0.2">
      <c r="E2276" s="4"/>
      <c r="F2276" s="45"/>
      <c r="G2276" s="4"/>
      <c r="H2276" s="47"/>
      <c r="Z2276" s="6"/>
    </row>
    <row r="2277" spans="5:26" x14ac:dyDescent="0.2">
      <c r="E2277" s="4"/>
      <c r="F2277" s="45"/>
      <c r="G2277" s="4"/>
      <c r="H2277" s="47"/>
      <c r="Z2277" s="6"/>
    </row>
    <row r="2278" spans="5:26" x14ac:dyDescent="0.2">
      <c r="E2278" s="4"/>
      <c r="F2278" s="45"/>
      <c r="G2278" s="4"/>
      <c r="H2278" s="47"/>
      <c r="Z2278" s="6"/>
    </row>
    <row r="2279" spans="5:26" x14ac:dyDescent="0.2">
      <c r="E2279" s="4"/>
      <c r="F2279" s="45"/>
      <c r="G2279" s="4"/>
      <c r="H2279" s="47"/>
      <c r="Z2279" s="6"/>
    </row>
    <row r="2280" spans="5:26" x14ac:dyDescent="0.2">
      <c r="E2280" s="4"/>
      <c r="F2280" s="45"/>
      <c r="G2280" s="4"/>
      <c r="H2280" s="47"/>
      <c r="Z2280" s="6"/>
    </row>
    <row r="2281" spans="5:26" x14ac:dyDescent="0.2">
      <c r="E2281" s="4"/>
      <c r="F2281" s="45"/>
      <c r="G2281" s="4"/>
      <c r="H2281" s="47"/>
      <c r="Z2281" s="6"/>
    </row>
    <row r="2282" spans="5:26" x14ac:dyDescent="0.2">
      <c r="E2282" s="4"/>
      <c r="F2282" s="45"/>
      <c r="G2282" s="4"/>
      <c r="H2282" s="47"/>
      <c r="Z2282" s="6"/>
    </row>
    <row r="2283" spans="5:26" x14ac:dyDescent="0.2">
      <c r="E2283" s="4"/>
      <c r="F2283" s="45"/>
      <c r="G2283" s="4"/>
      <c r="H2283" s="47"/>
      <c r="Z2283" s="6"/>
    </row>
    <row r="2284" spans="5:26" x14ac:dyDescent="0.2">
      <c r="E2284" s="4"/>
      <c r="F2284" s="45"/>
      <c r="G2284" s="4"/>
      <c r="H2284" s="47"/>
      <c r="Z2284" s="6"/>
    </row>
    <row r="2285" spans="5:26" x14ac:dyDescent="0.2">
      <c r="E2285" s="4"/>
      <c r="F2285" s="45"/>
      <c r="G2285" s="4"/>
      <c r="H2285" s="47"/>
      <c r="Z2285" s="6"/>
    </row>
    <row r="2286" spans="5:26" x14ac:dyDescent="0.2">
      <c r="E2286" s="4"/>
      <c r="F2286" s="45"/>
      <c r="G2286" s="4"/>
      <c r="H2286" s="47"/>
      <c r="Z2286" s="6"/>
    </row>
    <row r="2287" spans="5:26" x14ac:dyDescent="0.2">
      <c r="E2287" s="4"/>
      <c r="F2287" s="45"/>
      <c r="G2287" s="4"/>
      <c r="H2287" s="47"/>
      <c r="Z2287" s="6"/>
    </row>
    <row r="2288" spans="5:26" x14ac:dyDescent="0.2">
      <c r="E2288" s="4"/>
      <c r="F2288" s="45"/>
      <c r="G2288" s="4"/>
      <c r="H2288" s="47"/>
      <c r="Z2288" s="6"/>
    </row>
    <row r="2289" spans="5:26" x14ac:dyDescent="0.2">
      <c r="E2289" s="4"/>
      <c r="F2289" s="45"/>
      <c r="G2289" s="4"/>
      <c r="H2289" s="47"/>
      <c r="Z2289" s="6"/>
    </row>
    <row r="2290" spans="5:26" x14ac:dyDescent="0.2">
      <c r="E2290" s="4"/>
      <c r="F2290" s="45"/>
      <c r="G2290" s="4"/>
      <c r="H2290" s="47"/>
      <c r="Z2290" s="6"/>
    </row>
    <row r="2291" spans="5:26" x14ac:dyDescent="0.2">
      <c r="E2291" s="4"/>
      <c r="F2291" s="45"/>
      <c r="G2291" s="4"/>
      <c r="H2291" s="47"/>
      <c r="Z2291" s="6"/>
    </row>
    <row r="2292" spans="5:26" x14ac:dyDescent="0.2">
      <c r="E2292" s="4"/>
      <c r="F2292" s="45"/>
      <c r="G2292" s="4"/>
      <c r="H2292" s="47"/>
      <c r="Z2292" s="6"/>
    </row>
    <row r="2293" spans="5:26" x14ac:dyDescent="0.2">
      <c r="E2293" s="4"/>
      <c r="F2293" s="45"/>
      <c r="G2293" s="4"/>
      <c r="H2293" s="47"/>
      <c r="Z2293" s="6"/>
    </row>
    <row r="2294" spans="5:26" x14ac:dyDescent="0.2">
      <c r="E2294" s="4"/>
      <c r="F2294" s="45"/>
      <c r="G2294" s="4"/>
      <c r="H2294" s="47"/>
      <c r="Z2294" s="6"/>
    </row>
    <row r="2295" spans="5:26" x14ac:dyDescent="0.2">
      <c r="E2295" s="4"/>
      <c r="F2295" s="45"/>
      <c r="G2295" s="4"/>
      <c r="H2295" s="47"/>
      <c r="Z2295" s="6"/>
    </row>
    <row r="2296" spans="5:26" x14ac:dyDescent="0.2">
      <c r="E2296" s="4"/>
      <c r="F2296" s="45"/>
      <c r="G2296" s="4"/>
      <c r="H2296" s="47"/>
      <c r="Z2296" s="6"/>
    </row>
    <row r="2297" spans="5:26" x14ac:dyDescent="0.2">
      <c r="E2297" s="4"/>
      <c r="F2297" s="45"/>
      <c r="G2297" s="4"/>
      <c r="H2297" s="47"/>
      <c r="Z2297" s="6"/>
    </row>
    <row r="2298" spans="5:26" x14ac:dyDescent="0.2">
      <c r="E2298" s="4"/>
      <c r="F2298" s="45"/>
      <c r="G2298" s="4"/>
      <c r="H2298" s="47"/>
      <c r="Z2298" s="6"/>
    </row>
    <row r="2299" spans="5:26" x14ac:dyDescent="0.2">
      <c r="E2299" s="4"/>
      <c r="F2299" s="45"/>
      <c r="G2299" s="4"/>
      <c r="H2299" s="47"/>
      <c r="Z2299" s="6"/>
    </row>
    <row r="2300" spans="5:26" x14ac:dyDescent="0.2">
      <c r="E2300" s="4"/>
      <c r="F2300" s="45"/>
      <c r="G2300" s="4"/>
      <c r="H2300" s="47"/>
      <c r="Z2300" s="6"/>
    </row>
    <row r="2301" spans="5:26" x14ac:dyDescent="0.2">
      <c r="E2301" s="4"/>
      <c r="F2301" s="45"/>
      <c r="G2301" s="4"/>
      <c r="H2301" s="47"/>
      <c r="Z2301" s="6"/>
    </row>
    <row r="2302" spans="5:26" x14ac:dyDescent="0.2">
      <c r="E2302" s="4"/>
      <c r="F2302" s="45"/>
      <c r="G2302" s="4"/>
      <c r="H2302" s="47"/>
      <c r="Z2302" s="6"/>
    </row>
    <row r="2303" spans="5:26" x14ac:dyDescent="0.2">
      <c r="E2303" s="4"/>
      <c r="F2303" s="45"/>
      <c r="G2303" s="4"/>
      <c r="H2303" s="47"/>
      <c r="Z2303" s="6"/>
    </row>
    <row r="2304" spans="5:26" x14ac:dyDescent="0.2">
      <c r="E2304" s="4"/>
      <c r="F2304" s="45"/>
      <c r="G2304" s="4"/>
      <c r="H2304" s="47"/>
      <c r="Z2304" s="6"/>
    </row>
    <row r="2305" spans="5:26" x14ac:dyDescent="0.2">
      <c r="E2305" s="4"/>
      <c r="F2305" s="45"/>
      <c r="G2305" s="4"/>
      <c r="H2305" s="47"/>
      <c r="Z2305" s="6"/>
    </row>
    <row r="2306" spans="5:26" x14ac:dyDescent="0.2">
      <c r="E2306" s="4"/>
      <c r="F2306" s="45"/>
      <c r="G2306" s="4"/>
      <c r="H2306" s="47"/>
      <c r="Z2306" s="6"/>
    </row>
    <row r="2307" spans="5:26" x14ac:dyDescent="0.2">
      <c r="E2307" s="4"/>
      <c r="F2307" s="45"/>
      <c r="G2307" s="4"/>
      <c r="H2307" s="47"/>
      <c r="Z2307" s="6"/>
    </row>
    <row r="2308" spans="5:26" x14ac:dyDescent="0.2">
      <c r="E2308" s="4"/>
      <c r="F2308" s="45"/>
      <c r="G2308" s="4"/>
      <c r="H2308" s="47"/>
      <c r="Z2308" s="6"/>
    </row>
    <row r="2309" spans="5:26" x14ac:dyDescent="0.2">
      <c r="E2309" s="4"/>
      <c r="F2309" s="45"/>
      <c r="G2309" s="4"/>
      <c r="H2309" s="47"/>
      <c r="Z2309" s="6"/>
    </row>
    <row r="2310" spans="5:26" x14ac:dyDescent="0.2">
      <c r="E2310" s="4"/>
      <c r="F2310" s="45"/>
      <c r="G2310" s="4"/>
      <c r="H2310" s="47"/>
      <c r="Z2310" s="6"/>
    </row>
    <row r="2311" spans="5:26" x14ac:dyDescent="0.2">
      <c r="E2311" s="4"/>
      <c r="F2311" s="45"/>
      <c r="G2311" s="4"/>
      <c r="H2311" s="47"/>
      <c r="Z2311" s="6"/>
    </row>
    <row r="2312" spans="5:26" x14ac:dyDescent="0.2">
      <c r="E2312" s="4"/>
      <c r="F2312" s="45"/>
      <c r="G2312" s="4"/>
      <c r="H2312" s="47"/>
      <c r="Z2312" s="6"/>
    </row>
    <row r="2313" spans="5:26" x14ac:dyDescent="0.2">
      <c r="E2313" s="4"/>
      <c r="F2313" s="45"/>
      <c r="G2313" s="4"/>
      <c r="H2313" s="47"/>
      <c r="Z2313" s="6"/>
    </row>
    <row r="2314" spans="5:26" x14ac:dyDescent="0.2">
      <c r="E2314" s="4"/>
      <c r="F2314" s="45"/>
      <c r="G2314" s="4"/>
      <c r="H2314" s="47"/>
      <c r="Z2314" s="6"/>
    </row>
    <row r="2315" spans="5:26" x14ac:dyDescent="0.2">
      <c r="E2315" s="4"/>
      <c r="F2315" s="45"/>
      <c r="G2315" s="4"/>
      <c r="H2315" s="47"/>
      <c r="Z2315" s="6"/>
    </row>
    <row r="2316" spans="5:26" x14ac:dyDescent="0.2">
      <c r="E2316" s="4"/>
      <c r="F2316" s="45"/>
      <c r="G2316" s="4"/>
      <c r="H2316" s="47"/>
      <c r="Z2316" s="6"/>
    </row>
    <row r="2317" spans="5:26" x14ac:dyDescent="0.2">
      <c r="E2317" s="4"/>
      <c r="F2317" s="45"/>
      <c r="G2317" s="4"/>
      <c r="H2317" s="47"/>
      <c r="Z2317" s="6"/>
    </row>
    <row r="2318" spans="5:26" x14ac:dyDescent="0.2">
      <c r="E2318" s="4"/>
      <c r="F2318" s="45"/>
      <c r="G2318" s="4"/>
      <c r="H2318" s="47"/>
      <c r="Z2318" s="6"/>
    </row>
    <row r="2319" spans="5:26" x14ac:dyDescent="0.2">
      <c r="E2319" s="4"/>
      <c r="F2319" s="45"/>
      <c r="G2319" s="4"/>
      <c r="H2319" s="47"/>
      <c r="Z2319" s="6"/>
    </row>
    <row r="2320" spans="5:26" x14ac:dyDescent="0.2">
      <c r="E2320" s="4"/>
      <c r="F2320" s="45"/>
      <c r="G2320" s="4"/>
      <c r="H2320" s="47"/>
      <c r="Z2320" s="6"/>
    </row>
    <row r="2321" spans="5:26" x14ac:dyDescent="0.2">
      <c r="E2321" s="4"/>
      <c r="F2321" s="45"/>
      <c r="G2321" s="4"/>
      <c r="H2321" s="47"/>
      <c r="Z2321" s="6"/>
    </row>
    <row r="2322" spans="5:26" x14ac:dyDescent="0.2">
      <c r="E2322" s="4"/>
      <c r="F2322" s="45"/>
      <c r="G2322" s="4"/>
      <c r="H2322" s="47"/>
      <c r="Z2322" s="6"/>
    </row>
    <row r="2323" spans="5:26" x14ac:dyDescent="0.2">
      <c r="E2323" s="4"/>
      <c r="F2323" s="45"/>
      <c r="G2323" s="4"/>
      <c r="H2323" s="47"/>
      <c r="Z2323" s="6"/>
    </row>
    <row r="2324" spans="5:26" x14ac:dyDescent="0.2">
      <c r="E2324" s="4"/>
      <c r="F2324" s="45"/>
      <c r="G2324" s="4"/>
      <c r="H2324" s="47"/>
      <c r="Z2324" s="6"/>
    </row>
    <row r="2325" spans="5:26" x14ac:dyDescent="0.2">
      <c r="E2325" s="4"/>
      <c r="F2325" s="45"/>
      <c r="G2325" s="4"/>
      <c r="H2325" s="47"/>
      <c r="Z2325" s="6"/>
    </row>
    <row r="2326" spans="5:26" x14ac:dyDescent="0.2">
      <c r="E2326" s="4"/>
      <c r="F2326" s="45"/>
      <c r="G2326" s="4"/>
      <c r="H2326" s="47"/>
      <c r="Z2326" s="6"/>
    </row>
    <row r="2327" spans="5:26" x14ac:dyDescent="0.2">
      <c r="E2327" s="4"/>
      <c r="F2327" s="45"/>
      <c r="G2327" s="4"/>
      <c r="H2327" s="47"/>
      <c r="Z2327" s="6"/>
    </row>
    <row r="2328" spans="5:26" x14ac:dyDescent="0.2">
      <c r="E2328" s="4"/>
      <c r="F2328" s="45"/>
      <c r="G2328" s="4"/>
      <c r="H2328" s="47"/>
      <c r="Z2328" s="6"/>
    </row>
    <row r="2329" spans="5:26" x14ac:dyDescent="0.2">
      <c r="E2329" s="4"/>
      <c r="F2329" s="45"/>
      <c r="G2329" s="4"/>
      <c r="H2329" s="47"/>
      <c r="Z2329" s="6"/>
    </row>
    <row r="2330" spans="5:26" x14ac:dyDescent="0.2">
      <c r="E2330" s="4"/>
      <c r="F2330" s="45"/>
      <c r="G2330" s="4"/>
      <c r="H2330" s="47"/>
      <c r="Z2330" s="6"/>
    </row>
    <row r="2331" spans="5:26" x14ac:dyDescent="0.2">
      <c r="E2331" s="4"/>
      <c r="F2331" s="45"/>
      <c r="G2331" s="4"/>
      <c r="H2331" s="47"/>
      <c r="Z2331" s="6"/>
    </row>
    <row r="2332" spans="5:26" x14ac:dyDescent="0.2">
      <c r="E2332" s="4"/>
      <c r="F2332" s="45"/>
      <c r="G2332" s="4"/>
      <c r="H2332" s="47"/>
      <c r="Z2332" s="6"/>
    </row>
    <row r="2333" spans="5:26" x14ac:dyDescent="0.2">
      <c r="E2333" s="4"/>
      <c r="F2333" s="45"/>
      <c r="G2333" s="4"/>
      <c r="H2333" s="47"/>
      <c r="Z2333" s="6"/>
    </row>
    <row r="2334" spans="5:26" x14ac:dyDescent="0.2">
      <c r="E2334" s="4"/>
      <c r="F2334" s="45"/>
      <c r="G2334" s="4"/>
      <c r="H2334" s="47"/>
      <c r="Z2334" s="6"/>
    </row>
    <row r="2335" spans="5:26" x14ac:dyDescent="0.2">
      <c r="E2335" s="4"/>
      <c r="F2335" s="45"/>
      <c r="G2335" s="4"/>
      <c r="H2335" s="47"/>
      <c r="Z2335" s="6"/>
    </row>
    <row r="2336" spans="5:26" x14ac:dyDescent="0.2">
      <c r="E2336" s="4"/>
      <c r="F2336" s="45"/>
      <c r="G2336" s="4"/>
      <c r="H2336" s="47"/>
      <c r="Z2336" s="6"/>
    </row>
    <row r="2337" spans="5:26" x14ac:dyDescent="0.2">
      <c r="E2337" s="4"/>
      <c r="F2337" s="45"/>
      <c r="G2337" s="4"/>
      <c r="H2337" s="47"/>
      <c r="Z2337" s="6"/>
    </row>
    <row r="2338" spans="5:26" x14ac:dyDescent="0.2">
      <c r="E2338" s="4"/>
      <c r="F2338" s="45"/>
      <c r="G2338" s="4"/>
      <c r="H2338" s="47"/>
      <c r="Z2338" s="6"/>
    </row>
    <row r="2339" spans="5:26" x14ac:dyDescent="0.2">
      <c r="E2339" s="4"/>
      <c r="F2339" s="45"/>
      <c r="G2339" s="4"/>
      <c r="H2339" s="47"/>
      <c r="Z2339" s="6"/>
    </row>
    <row r="2340" spans="5:26" x14ac:dyDescent="0.2">
      <c r="E2340" s="4"/>
      <c r="F2340" s="45"/>
      <c r="G2340" s="4"/>
      <c r="H2340" s="47"/>
      <c r="Z2340" s="6"/>
    </row>
    <row r="2341" spans="5:26" x14ac:dyDescent="0.2">
      <c r="E2341" s="4"/>
      <c r="F2341" s="45"/>
      <c r="G2341" s="4"/>
      <c r="H2341" s="47"/>
      <c r="Z2341" s="6"/>
    </row>
    <row r="2342" spans="5:26" x14ac:dyDescent="0.2">
      <c r="E2342" s="4"/>
      <c r="F2342" s="45"/>
      <c r="G2342" s="4"/>
      <c r="H2342" s="47"/>
      <c r="Z2342" s="6"/>
    </row>
    <row r="2343" spans="5:26" x14ac:dyDescent="0.2">
      <c r="E2343" s="4"/>
      <c r="F2343" s="45"/>
      <c r="G2343" s="4"/>
      <c r="H2343" s="47"/>
      <c r="Z2343" s="6"/>
    </row>
    <row r="2344" spans="5:26" x14ac:dyDescent="0.2">
      <c r="E2344" s="4"/>
      <c r="F2344" s="45"/>
      <c r="G2344" s="4"/>
      <c r="H2344" s="47"/>
      <c r="Z2344" s="6"/>
    </row>
    <row r="2345" spans="5:26" x14ac:dyDescent="0.2">
      <c r="E2345" s="4"/>
      <c r="F2345" s="45"/>
      <c r="G2345" s="4"/>
      <c r="H2345" s="47"/>
      <c r="Z2345" s="6"/>
    </row>
    <row r="2346" spans="5:26" x14ac:dyDescent="0.2">
      <c r="E2346" s="4"/>
      <c r="F2346" s="45"/>
      <c r="G2346" s="4"/>
      <c r="H2346" s="47"/>
      <c r="Z2346" s="6"/>
    </row>
    <row r="2347" spans="5:26" x14ac:dyDescent="0.2">
      <c r="E2347" s="4"/>
      <c r="F2347" s="45"/>
      <c r="G2347" s="4"/>
      <c r="H2347" s="47"/>
      <c r="Z2347" s="6"/>
    </row>
    <row r="2348" spans="5:26" x14ac:dyDescent="0.2">
      <c r="E2348" s="4"/>
      <c r="F2348" s="45"/>
      <c r="G2348" s="4"/>
      <c r="H2348" s="47"/>
      <c r="Z2348" s="6"/>
    </row>
    <row r="2349" spans="5:26" x14ac:dyDescent="0.2">
      <c r="E2349" s="4"/>
      <c r="F2349" s="45"/>
      <c r="G2349" s="4"/>
      <c r="H2349" s="47"/>
      <c r="Z2349" s="6"/>
    </row>
    <row r="2350" spans="5:26" x14ac:dyDescent="0.2">
      <c r="E2350" s="4"/>
      <c r="F2350" s="45"/>
      <c r="G2350" s="4"/>
      <c r="H2350" s="47"/>
      <c r="Z2350" s="6"/>
    </row>
    <row r="2351" spans="5:26" x14ac:dyDescent="0.2">
      <c r="E2351" s="4"/>
      <c r="F2351" s="45"/>
      <c r="G2351" s="4"/>
      <c r="H2351" s="47"/>
      <c r="Z2351" s="6"/>
    </row>
    <row r="2352" spans="5:26" x14ac:dyDescent="0.2">
      <c r="E2352" s="4"/>
      <c r="F2352" s="45"/>
      <c r="G2352" s="4"/>
      <c r="H2352" s="47"/>
      <c r="Z2352" s="6"/>
    </row>
    <row r="2353" spans="5:26" x14ac:dyDescent="0.2">
      <c r="E2353" s="4"/>
      <c r="F2353" s="45"/>
      <c r="G2353" s="4"/>
      <c r="H2353" s="47"/>
      <c r="Z2353" s="6"/>
    </row>
    <row r="2354" spans="5:26" x14ac:dyDescent="0.2">
      <c r="E2354" s="4"/>
      <c r="F2354" s="45"/>
      <c r="G2354" s="4"/>
      <c r="H2354" s="47"/>
      <c r="Z2354" s="6"/>
    </row>
    <row r="2355" spans="5:26" x14ac:dyDescent="0.2">
      <c r="E2355" s="4"/>
      <c r="F2355" s="45"/>
      <c r="G2355" s="4"/>
      <c r="H2355" s="47"/>
      <c r="Z2355" s="6"/>
    </row>
    <row r="2356" spans="5:26" x14ac:dyDescent="0.2">
      <c r="E2356" s="4"/>
      <c r="F2356" s="45"/>
      <c r="G2356" s="4"/>
      <c r="H2356" s="47"/>
      <c r="Z2356" s="6"/>
    </row>
    <row r="2357" spans="5:26" x14ac:dyDescent="0.2">
      <c r="E2357" s="4"/>
      <c r="F2357" s="45"/>
      <c r="G2357" s="4"/>
      <c r="H2357" s="47"/>
      <c r="Z2357" s="6"/>
    </row>
    <row r="2358" spans="5:26" x14ac:dyDescent="0.2">
      <c r="E2358" s="4"/>
      <c r="F2358" s="45"/>
      <c r="G2358" s="4"/>
      <c r="H2358" s="47"/>
      <c r="Z2358" s="6"/>
    </row>
    <row r="2359" spans="5:26" x14ac:dyDescent="0.2">
      <c r="E2359" s="4"/>
      <c r="F2359" s="45"/>
      <c r="G2359" s="4"/>
      <c r="H2359" s="47"/>
      <c r="Z2359" s="6"/>
    </row>
    <row r="2360" spans="5:26" x14ac:dyDescent="0.2">
      <c r="E2360" s="4"/>
      <c r="F2360" s="45"/>
      <c r="G2360" s="4"/>
      <c r="H2360" s="47"/>
      <c r="Z2360" s="6"/>
    </row>
    <row r="2361" spans="5:26" x14ac:dyDescent="0.2">
      <c r="E2361" s="4"/>
      <c r="F2361" s="45"/>
      <c r="G2361" s="4"/>
      <c r="H2361" s="47"/>
      <c r="Z2361" s="6"/>
    </row>
    <row r="2362" spans="5:26" x14ac:dyDescent="0.2">
      <c r="E2362" s="4"/>
      <c r="F2362" s="45"/>
      <c r="G2362" s="4"/>
      <c r="H2362" s="47"/>
      <c r="Z2362" s="6"/>
    </row>
    <row r="2363" spans="5:26" x14ac:dyDescent="0.2">
      <c r="E2363" s="4"/>
      <c r="F2363" s="45"/>
      <c r="G2363" s="4"/>
      <c r="H2363" s="47"/>
      <c r="Z2363" s="6"/>
    </row>
    <row r="2364" spans="5:26" x14ac:dyDescent="0.2">
      <c r="E2364" s="4"/>
      <c r="F2364" s="45"/>
      <c r="G2364" s="4"/>
      <c r="H2364" s="47"/>
      <c r="Z2364" s="6"/>
    </row>
    <row r="2365" spans="5:26" x14ac:dyDescent="0.2">
      <c r="E2365" s="4"/>
      <c r="F2365" s="45"/>
      <c r="G2365" s="4"/>
      <c r="H2365" s="47"/>
      <c r="Z2365" s="6"/>
    </row>
    <row r="2366" spans="5:26" x14ac:dyDescent="0.2">
      <c r="E2366" s="4"/>
      <c r="F2366" s="45"/>
      <c r="G2366" s="4"/>
      <c r="H2366" s="47"/>
      <c r="Z2366" s="6"/>
    </row>
    <row r="2367" spans="5:26" x14ac:dyDescent="0.2">
      <c r="E2367" s="4"/>
      <c r="F2367" s="45"/>
      <c r="G2367" s="4"/>
      <c r="H2367" s="47"/>
      <c r="Z2367" s="6"/>
    </row>
    <row r="2368" spans="5:26" x14ac:dyDescent="0.2">
      <c r="E2368" s="4"/>
      <c r="F2368" s="45"/>
      <c r="G2368" s="4"/>
      <c r="H2368" s="47"/>
      <c r="Z2368" s="6"/>
    </row>
    <row r="2369" spans="5:26" x14ac:dyDescent="0.2">
      <c r="E2369" s="4"/>
      <c r="F2369" s="45"/>
      <c r="G2369" s="4"/>
      <c r="H2369" s="47"/>
      <c r="Z2369" s="6"/>
    </row>
    <row r="2370" spans="5:26" x14ac:dyDescent="0.2">
      <c r="E2370" s="4"/>
      <c r="F2370" s="45"/>
      <c r="G2370" s="4"/>
      <c r="H2370" s="47"/>
      <c r="Z2370" s="6"/>
    </row>
    <row r="2371" spans="5:26" x14ac:dyDescent="0.2">
      <c r="E2371" s="4"/>
      <c r="F2371" s="45"/>
      <c r="G2371" s="4"/>
      <c r="H2371" s="47"/>
      <c r="Z2371" s="6"/>
    </row>
    <row r="2372" spans="5:26" x14ac:dyDescent="0.2">
      <c r="E2372" s="4"/>
      <c r="F2372" s="45"/>
      <c r="G2372" s="4"/>
      <c r="H2372" s="47"/>
      <c r="Z2372" s="6"/>
    </row>
    <row r="2373" spans="5:26" x14ac:dyDescent="0.2">
      <c r="E2373" s="4"/>
      <c r="F2373" s="45"/>
      <c r="G2373" s="4"/>
      <c r="H2373" s="47"/>
      <c r="Z2373" s="6"/>
    </row>
    <row r="2374" spans="5:26" x14ac:dyDescent="0.2">
      <c r="E2374" s="4"/>
      <c r="F2374" s="45"/>
      <c r="G2374" s="4"/>
      <c r="H2374" s="47"/>
      <c r="Z2374" s="6"/>
    </row>
    <row r="2375" spans="5:26" x14ac:dyDescent="0.2">
      <c r="E2375" s="4"/>
      <c r="F2375" s="45"/>
      <c r="G2375" s="4"/>
      <c r="H2375" s="47"/>
      <c r="Z2375" s="6"/>
    </row>
    <row r="2376" spans="5:26" x14ac:dyDescent="0.2">
      <c r="E2376" s="4"/>
      <c r="F2376" s="45"/>
      <c r="G2376" s="4"/>
      <c r="H2376" s="47"/>
      <c r="Z2376" s="6"/>
    </row>
    <row r="2377" spans="5:26" x14ac:dyDescent="0.2">
      <c r="E2377" s="4"/>
      <c r="F2377" s="45"/>
      <c r="G2377" s="4"/>
      <c r="H2377" s="47"/>
      <c r="Z2377" s="6"/>
    </row>
    <row r="2378" spans="5:26" x14ac:dyDescent="0.2">
      <c r="E2378" s="4"/>
      <c r="F2378" s="45"/>
      <c r="G2378" s="4"/>
      <c r="H2378" s="47"/>
      <c r="Z2378" s="6"/>
    </row>
    <row r="2379" spans="5:26" x14ac:dyDescent="0.2">
      <c r="E2379" s="4"/>
      <c r="F2379" s="45"/>
      <c r="G2379" s="4"/>
      <c r="H2379" s="47"/>
      <c r="Z2379" s="6"/>
    </row>
    <row r="2380" spans="5:26" x14ac:dyDescent="0.2">
      <c r="E2380" s="4"/>
      <c r="F2380" s="45"/>
      <c r="G2380" s="4"/>
      <c r="H2380" s="47"/>
      <c r="Z2380" s="6"/>
    </row>
    <row r="2381" spans="5:26" x14ac:dyDescent="0.2">
      <c r="E2381" s="4"/>
      <c r="F2381" s="45"/>
      <c r="G2381" s="4"/>
      <c r="H2381" s="47"/>
      <c r="Z2381" s="6"/>
    </row>
    <row r="2382" spans="5:26" x14ac:dyDescent="0.2">
      <c r="E2382" s="4"/>
      <c r="F2382" s="45"/>
      <c r="G2382" s="4"/>
      <c r="H2382" s="47"/>
      <c r="Z2382" s="6"/>
    </row>
    <row r="2383" spans="5:26" x14ac:dyDescent="0.2">
      <c r="E2383" s="4"/>
      <c r="F2383" s="45"/>
      <c r="G2383" s="4"/>
      <c r="H2383" s="47"/>
      <c r="Z2383" s="6"/>
    </row>
    <row r="2384" spans="5:26" x14ac:dyDescent="0.2">
      <c r="E2384" s="4"/>
      <c r="F2384" s="45"/>
      <c r="G2384" s="4"/>
      <c r="H2384" s="47"/>
      <c r="Z2384" s="6"/>
    </row>
    <row r="2385" spans="5:26" x14ac:dyDescent="0.2">
      <c r="E2385" s="4"/>
      <c r="F2385" s="45"/>
      <c r="G2385" s="4"/>
      <c r="H2385" s="47"/>
      <c r="Z2385" s="6"/>
    </row>
    <row r="2386" spans="5:26" x14ac:dyDescent="0.2">
      <c r="E2386" s="4"/>
      <c r="F2386" s="45"/>
      <c r="G2386" s="4"/>
      <c r="H2386" s="47"/>
      <c r="Z2386" s="6"/>
    </row>
    <row r="2387" spans="5:26" x14ac:dyDescent="0.2">
      <c r="E2387" s="4"/>
      <c r="F2387" s="45"/>
      <c r="G2387" s="4"/>
      <c r="H2387" s="47"/>
      <c r="Z2387" s="6"/>
    </row>
    <row r="2388" spans="5:26" x14ac:dyDescent="0.2">
      <c r="E2388" s="4"/>
      <c r="F2388" s="45"/>
      <c r="G2388" s="4"/>
      <c r="H2388" s="47"/>
      <c r="Z2388" s="6"/>
    </row>
    <row r="2389" spans="5:26" x14ac:dyDescent="0.2">
      <c r="E2389" s="4"/>
      <c r="F2389" s="45"/>
      <c r="G2389" s="4"/>
      <c r="H2389" s="47"/>
      <c r="Z2389" s="6"/>
    </row>
    <row r="2390" spans="5:26" x14ac:dyDescent="0.2">
      <c r="E2390" s="4"/>
      <c r="F2390" s="45"/>
      <c r="G2390" s="4"/>
      <c r="H2390" s="47"/>
      <c r="Z2390" s="6"/>
    </row>
    <row r="2391" spans="5:26" x14ac:dyDescent="0.2">
      <c r="E2391" s="4"/>
      <c r="F2391" s="45"/>
      <c r="G2391" s="4"/>
      <c r="H2391" s="47"/>
      <c r="Z2391" s="6"/>
    </row>
    <row r="2392" spans="5:26" x14ac:dyDescent="0.2">
      <c r="E2392" s="4"/>
      <c r="F2392" s="45"/>
      <c r="G2392" s="4"/>
      <c r="H2392" s="47"/>
      <c r="Z2392" s="6"/>
    </row>
    <row r="2393" spans="5:26" x14ac:dyDescent="0.2">
      <c r="E2393" s="4"/>
      <c r="F2393" s="45"/>
      <c r="G2393" s="4"/>
      <c r="H2393" s="47"/>
      <c r="Z2393" s="6"/>
    </row>
    <row r="2394" spans="5:26" x14ac:dyDescent="0.2">
      <c r="E2394" s="4"/>
      <c r="F2394" s="45"/>
      <c r="G2394" s="4"/>
      <c r="H2394" s="47"/>
      <c r="Z2394" s="6"/>
    </row>
    <row r="2395" spans="5:26" x14ac:dyDescent="0.2">
      <c r="E2395" s="4"/>
      <c r="F2395" s="45"/>
      <c r="G2395" s="4"/>
      <c r="H2395" s="47"/>
      <c r="Z2395" s="6"/>
    </row>
    <row r="2396" spans="5:26" x14ac:dyDescent="0.2">
      <c r="E2396" s="4"/>
      <c r="F2396" s="45"/>
      <c r="G2396" s="4"/>
      <c r="H2396" s="47"/>
      <c r="Z2396" s="6"/>
    </row>
    <row r="2397" spans="5:26" x14ac:dyDescent="0.2">
      <c r="E2397" s="4"/>
      <c r="F2397" s="45"/>
      <c r="G2397" s="4"/>
      <c r="H2397" s="47"/>
      <c r="Z2397" s="6"/>
    </row>
    <row r="2398" spans="5:26" x14ac:dyDescent="0.2">
      <c r="E2398" s="4"/>
      <c r="F2398" s="45"/>
      <c r="G2398" s="4"/>
      <c r="H2398" s="47"/>
      <c r="Z2398" s="6"/>
    </row>
    <row r="2399" spans="5:26" x14ac:dyDescent="0.2">
      <c r="E2399" s="4"/>
      <c r="F2399" s="45"/>
      <c r="G2399" s="4"/>
      <c r="H2399" s="47"/>
      <c r="Z2399" s="6"/>
    </row>
    <row r="2400" spans="5:26" x14ac:dyDescent="0.2">
      <c r="E2400" s="4"/>
      <c r="F2400" s="45"/>
      <c r="G2400" s="4"/>
      <c r="H2400" s="47"/>
      <c r="Z2400" s="6"/>
    </row>
    <row r="2401" spans="5:26" x14ac:dyDescent="0.2">
      <c r="E2401" s="4"/>
      <c r="F2401" s="45"/>
      <c r="G2401" s="4"/>
      <c r="H2401" s="47"/>
      <c r="Z2401" s="6"/>
    </row>
    <row r="2402" spans="5:26" x14ac:dyDescent="0.2">
      <c r="E2402" s="4"/>
      <c r="F2402" s="45"/>
      <c r="G2402" s="4"/>
      <c r="H2402" s="47"/>
      <c r="Z2402" s="6"/>
    </row>
    <row r="2403" spans="5:26" x14ac:dyDescent="0.2">
      <c r="E2403" s="4"/>
      <c r="F2403" s="45"/>
      <c r="G2403" s="4"/>
      <c r="H2403" s="47"/>
      <c r="Z2403" s="6"/>
    </row>
    <row r="2404" spans="5:26" x14ac:dyDescent="0.2">
      <c r="E2404" s="4"/>
      <c r="F2404" s="45"/>
      <c r="G2404" s="4"/>
      <c r="H2404" s="47"/>
      <c r="Z2404" s="6"/>
    </row>
    <row r="2405" spans="5:26" x14ac:dyDescent="0.2">
      <c r="E2405" s="4"/>
      <c r="F2405" s="45"/>
      <c r="G2405" s="4"/>
      <c r="H2405" s="47"/>
      <c r="Z2405" s="6"/>
    </row>
    <row r="2406" spans="5:26" x14ac:dyDescent="0.2">
      <c r="E2406" s="4"/>
      <c r="F2406" s="45"/>
      <c r="G2406" s="4"/>
      <c r="H2406" s="47"/>
      <c r="Z2406" s="6"/>
    </row>
    <row r="2407" spans="5:26" x14ac:dyDescent="0.2">
      <c r="E2407" s="4"/>
      <c r="F2407" s="45"/>
      <c r="G2407" s="4"/>
      <c r="H2407" s="47"/>
      <c r="Z2407" s="6"/>
    </row>
    <row r="2408" spans="5:26" x14ac:dyDescent="0.2">
      <c r="E2408" s="4"/>
      <c r="F2408" s="45"/>
      <c r="G2408" s="4"/>
      <c r="H2408" s="47"/>
      <c r="Z2408" s="6"/>
    </row>
    <row r="2409" spans="5:26" x14ac:dyDescent="0.2">
      <c r="E2409" s="4"/>
      <c r="F2409" s="45"/>
      <c r="G2409" s="4"/>
      <c r="H2409" s="47"/>
      <c r="Z2409" s="6"/>
    </row>
    <row r="2410" spans="5:26" x14ac:dyDescent="0.2">
      <c r="E2410" s="4"/>
      <c r="F2410" s="45"/>
      <c r="G2410" s="4"/>
      <c r="H2410" s="47"/>
      <c r="Z2410" s="6"/>
    </row>
    <row r="2411" spans="5:26" x14ac:dyDescent="0.2">
      <c r="E2411" s="4"/>
      <c r="F2411" s="45"/>
      <c r="G2411" s="4"/>
      <c r="H2411" s="47"/>
      <c r="Z2411" s="6"/>
    </row>
    <row r="2412" spans="5:26" x14ac:dyDescent="0.2">
      <c r="E2412" s="4"/>
      <c r="F2412" s="45"/>
      <c r="G2412" s="4"/>
      <c r="H2412" s="47"/>
      <c r="Z2412" s="6"/>
    </row>
    <row r="2413" spans="5:26" x14ac:dyDescent="0.2">
      <c r="E2413" s="4"/>
      <c r="F2413" s="45"/>
      <c r="G2413" s="4"/>
      <c r="H2413" s="47"/>
      <c r="Z2413" s="6"/>
    </row>
    <row r="2414" spans="5:26" x14ac:dyDescent="0.2">
      <c r="E2414" s="4"/>
      <c r="F2414" s="45"/>
      <c r="G2414" s="4"/>
      <c r="H2414" s="47"/>
      <c r="Z2414" s="6"/>
    </row>
    <row r="2415" spans="5:26" x14ac:dyDescent="0.2">
      <c r="E2415" s="4"/>
      <c r="F2415" s="45"/>
      <c r="G2415" s="4"/>
      <c r="H2415" s="47"/>
      <c r="Z2415" s="6"/>
    </row>
    <row r="2416" spans="5:26" x14ac:dyDescent="0.2">
      <c r="E2416" s="4"/>
      <c r="F2416" s="45"/>
      <c r="G2416" s="4"/>
      <c r="H2416" s="47"/>
      <c r="Z2416" s="6"/>
    </row>
    <row r="2417" spans="5:26" x14ac:dyDescent="0.2">
      <c r="E2417" s="4"/>
      <c r="F2417" s="45"/>
      <c r="G2417" s="4"/>
      <c r="H2417" s="47"/>
      <c r="Z2417" s="6"/>
    </row>
    <row r="2418" spans="5:26" x14ac:dyDescent="0.2">
      <c r="E2418" s="4"/>
      <c r="F2418" s="45"/>
      <c r="G2418" s="4"/>
      <c r="H2418" s="47"/>
      <c r="Z2418" s="6"/>
    </row>
    <row r="2419" spans="5:26" x14ac:dyDescent="0.2">
      <c r="E2419" s="4"/>
      <c r="F2419" s="45"/>
      <c r="G2419" s="4"/>
      <c r="H2419" s="47"/>
      <c r="Z2419" s="6"/>
    </row>
    <row r="2420" spans="5:26" x14ac:dyDescent="0.2">
      <c r="E2420" s="4"/>
      <c r="F2420" s="45"/>
      <c r="G2420" s="4"/>
      <c r="H2420" s="47"/>
      <c r="Z2420" s="6"/>
    </row>
    <row r="2421" spans="5:26" x14ac:dyDescent="0.2">
      <c r="E2421" s="4"/>
      <c r="F2421" s="45"/>
      <c r="G2421" s="4"/>
      <c r="H2421" s="47"/>
      <c r="Z2421" s="6"/>
    </row>
    <row r="2422" spans="5:26" x14ac:dyDescent="0.2">
      <c r="E2422" s="4"/>
      <c r="F2422" s="45"/>
      <c r="G2422" s="4"/>
      <c r="H2422" s="47"/>
      <c r="Z2422" s="6"/>
    </row>
    <row r="2423" spans="5:26" x14ac:dyDescent="0.2">
      <c r="E2423" s="4"/>
      <c r="F2423" s="45"/>
      <c r="G2423" s="4"/>
      <c r="H2423" s="47"/>
      <c r="Z2423" s="6"/>
    </row>
    <row r="2424" spans="5:26" x14ac:dyDescent="0.2">
      <c r="E2424" s="4"/>
      <c r="F2424" s="45"/>
      <c r="G2424" s="4"/>
      <c r="H2424" s="47"/>
      <c r="Z2424" s="6"/>
    </row>
    <row r="2425" spans="5:26" x14ac:dyDescent="0.2">
      <c r="E2425" s="4"/>
      <c r="F2425" s="45"/>
      <c r="G2425" s="4"/>
      <c r="H2425" s="47"/>
      <c r="Z2425" s="6"/>
    </row>
    <row r="2426" spans="5:26" x14ac:dyDescent="0.2">
      <c r="E2426" s="4"/>
      <c r="F2426" s="45"/>
      <c r="G2426" s="4"/>
      <c r="H2426" s="47"/>
      <c r="Z2426" s="6"/>
    </row>
    <row r="2427" spans="5:26" x14ac:dyDescent="0.2">
      <c r="E2427" s="4"/>
      <c r="F2427" s="45"/>
      <c r="G2427" s="4"/>
      <c r="H2427" s="47"/>
      <c r="Z2427" s="6"/>
    </row>
    <row r="2428" spans="5:26" x14ac:dyDescent="0.2">
      <c r="E2428" s="4"/>
      <c r="F2428" s="45"/>
      <c r="G2428" s="4"/>
      <c r="H2428" s="47"/>
      <c r="Z2428" s="6"/>
    </row>
    <row r="2429" spans="5:26" x14ac:dyDescent="0.2">
      <c r="E2429" s="4"/>
      <c r="F2429" s="45"/>
      <c r="G2429" s="4"/>
      <c r="H2429" s="47"/>
      <c r="Z2429" s="6"/>
    </row>
    <row r="2430" spans="5:26" x14ac:dyDescent="0.2">
      <c r="E2430" s="4"/>
      <c r="F2430" s="45"/>
      <c r="G2430" s="4"/>
      <c r="H2430" s="47"/>
      <c r="Z2430" s="6"/>
    </row>
    <row r="2431" spans="5:26" x14ac:dyDescent="0.2">
      <c r="E2431" s="4"/>
      <c r="F2431" s="45"/>
      <c r="G2431" s="4"/>
      <c r="H2431" s="47"/>
      <c r="Z2431" s="6"/>
    </row>
    <row r="2432" spans="5:26" x14ac:dyDescent="0.2">
      <c r="E2432" s="4"/>
      <c r="F2432" s="45"/>
      <c r="G2432" s="4"/>
      <c r="H2432" s="47"/>
      <c r="Z2432" s="6"/>
    </row>
    <row r="2433" spans="5:26" x14ac:dyDescent="0.2">
      <c r="E2433" s="4"/>
      <c r="F2433" s="45"/>
      <c r="G2433" s="4"/>
      <c r="H2433" s="47"/>
      <c r="Z2433" s="6"/>
    </row>
    <row r="2434" spans="5:26" x14ac:dyDescent="0.2">
      <c r="E2434" s="4"/>
      <c r="F2434" s="45"/>
      <c r="G2434" s="4"/>
      <c r="H2434" s="47"/>
      <c r="Z2434" s="6"/>
    </row>
    <row r="2435" spans="5:26" x14ac:dyDescent="0.2">
      <c r="E2435" s="4"/>
      <c r="F2435" s="45"/>
      <c r="G2435" s="4"/>
      <c r="H2435" s="47"/>
      <c r="Z2435" s="6"/>
    </row>
    <row r="2436" spans="5:26" x14ac:dyDescent="0.2">
      <c r="E2436" s="4"/>
      <c r="F2436" s="45"/>
      <c r="G2436" s="4"/>
      <c r="H2436" s="47"/>
      <c r="Z2436" s="6"/>
    </row>
    <row r="2437" spans="5:26" x14ac:dyDescent="0.2">
      <c r="E2437" s="4"/>
      <c r="F2437" s="45"/>
      <c r="G2437" s="4"/>
      <c r="H2437" s="47"/>
      <c r="Z2437" s="6"/>
    </row>
    <row r="2438" spans="5:26" x14ac:dyDescent="0.2">
      <c r="E2438" s="4"/>
      <c r="F2438" s="45"/>
      <c r="G2438" s="4"/>
      <c r="H2438" s="47"/>
      <c r="Z2438" s="6"/>
    </row>
    <row r="2439" spans="5:26" x14ac:dyDescent="0.2">
      <c r="E2439" s="4"/>
      <c r="F2439" s="45"/>
      <c r="G2439" s="4"/>
      <c r="H2439" s="47"/>
      <c r="Z2439" s="6"/>
    </row>
    <row r="2440" spans="5:26" x14ac:dyDescent="0.2">
      <c r="E2440" s="4"/>
      <c r="F2440" s="45"/>
      <c r="G2440" s="4"/>
      <c r="H2440" s="47"/>
      <c r="Z2440" s="6"/>
    </row>
    <row r="2441" spans="5:26" x14ac:dyDescent="0.2">
      <c r="E2441" s="4"/>
      <c r="F2441" s="45"/>
      <c r="G2441" s="4"/>
      <c r="H2441" s="47"/>
      <c r="Z2441" s="6"/>
    </row>
    <row r="2442" spans="5:26" x14ac:dyDescent="0.2">
      <c r="E2442" s="4"/>
      <c r="F2442" s="45"/>
      <c r="G2442" s="4"/>
      <c r="H2442" s="47"/>
      <c r="Z2442" s="6"/>
    </row>
    <row r="2443" spans="5:26" x14ac:dyDescent="0.2">
      <c r="E2443" s="4"/>
      <c r="F2443" s="45"/>
      <c r="G2443" s="4"/>
      <c r="H2443" s="47"/>
      <c r="Z2443" s="6"/>
    </row>
    <row r="2444" spans="5:26" x14ac:dyDescent="0.2">
      <c r="E2444" s="4"/>
      <c r="F2444" s="45"/>
      <c r="G2444" s="4"/>
      <c r="H2444" s="47"/>
      <c r="Z2444" s="6"/>
    </row>
    <row r="2445" spans="5:26" x14ac:dyDescent="0.2">
      <c r="E2445" s="4"/>
      <c r="F2445" s="45"/>
      <c r="G2445" s="4"/>
      <c r="H2445" s="47"/>
      <c r="Z2445" s="6"/>
    </row>
    <row r="2446" spans="5:26" x14ac:dyDescent="0.2">
      <c r="E2446" s="4"/>
      <c r="F2446" s="45"/>
      <c r="G2446" s="4"/>
      <c r="H2446" s="47"/>
      <c r="Z2446" s="6"/>
    </row>
    <row r="2447" spans="5:26" x14ac:dyDescent="0.2">
      <c r="E2447" s="4"/>
      <c r="F2447" s="45"/>
      <c r="G2447" s="4"/>
      <c r="H2447" s="47"/>
      <c r="Z2447" s="6"/>
    </row>
    <row r="2448" spans="5:26" x14ac:dyDescent="0.2">
      <c r="E2448" s="4"/>
      <c r="F2448" s="45"/>
      <c r="G2448" s="4"/>
      <c r="H2448" s="47"/>
      <c r="Z2448" s="6"/>
    </row>
    <row r="2449" spans="5:26" x14ac:dyDescent="0.2">
      <c r="E2449" s="4"/>
      <c r="F2449" s="45"/>
      <c r="G2449" s="4"/>
      <c r="H2449" s="47"/>
      <c r="Z2449" s="6"/>
    </row>
    <row r="2450" spans="5:26" x14ac:dyDescent="0.2">
      <c r="E2450" s="4"/>
      <c r="F2450" s="45"/>
      <c r="G2450" s="4"/>
      <c r="H2450" s="47"/>
      <c r="Z2450" s="6"/>
    </row>
    <row r="2451" spans="5:26" x14ac:dyDescent="0.2">
      <c r="E2451" s="4"/>
      <c r="F2451" s="45"/>
      <c r="G2451" s="4"/>
      <c r="H2451" s="47"/>
      <c r="Z2451" s="6"/>
    </row>
    <row r="2452" spans="5:26" x14ac:dyDescent="0.2">
      <c r="E2452" s="4"/>
      <c r="F2452" s="45"/>
      <c r="G2452" s="4"/>
      <c r="H2452" s="47"/>
      <c r="Z2452" s="6"/>
    </row>
    <row r="2453" spans="5:26" x14ac:dyDescent="0.2">
      <c r="E2453" s="4"/>
      <c r="F2453" s="45"/>
      <c r="G2453" s="4"/>
      <c r="H2453" s="47"/>
      <c r="Z2453" s="6"/>
    </row>
    <row r="2454" spans="5:26" x14ac:dyDescent="0.2">
      <c r="E2454" s="4"/>
      <c r="F2454" s="45"/>
      <c r="G2454" s="4"/>
      <c r="H2454" s="47"/>
      <c r="Z2454" s="6"/>
    </row>
    <row r="2455" spans="5:26" x14ac:dyDescent="0.2">
      <c r="E2455" s="4"/>
      <c r="F2455" s="45"/>
      <c r="G2455" s="4"/>
      <c r="H2455" s="47"/>
      <c r="Z2455" s="6"/>
    </row>
    <row r="2456" spans="5:26" x14ac:dyDescent="0.2">
      <c r="E2456" s="4"/>
      <c r="F2456" s="45"/>
      <c r="G2456" s="4"/>
      <c r="H2456" s="47"/>
      <c r="Z2456" s="6"/>
    </row>
    <row r="2457" spans="5:26" x14ac:dyDescent="0.2">
      <c r="E2457" s="4"/>
      <c r="F2457" s="45"/>
      <c r="G2457" s="4"/>
      <c r="H2457" s="47"/>
      <c r="Z2457" s="6"/>
    </row>
    <row r="2458" spans="5:26" x14ac:dyDescent="0.2">
      <c r="E2458" s="4"/>
      <c r="F2458" s="45"/>
      <c r="G2458" s="4"/>
      <c r="H2458" s="47"/>
      <c r="Z2458" s="6"/>
    </row>
    <row r="2459" spans="5:26" x14ac:dyDescent="0.2">
      <c r="E2459" s="4"/>
      <c r="F2459" s="45"/>
      <c r="G2459" s="4"/>
      <c r="H2459" s="47"/>
      <c r="Z2459" s="6"/>
    </row>
    <row r="2460" spans="5:26" x14ac:dyDescent="0.2">
      <c r="E2460" s="4"/>
      <c r="F2460" s="45"/>
      <c r="G2460" s="4"/>
      <c r="H2460" s="47"/>
      <c r="Z2460" s="6"/>
    </row>
    <row r="2461" spans="5:26" x14ac:dyDescent="0.2">
      <c r="E2461" s="4"/>
      <c r="F2461" s="45"/>
      <c r="G2461" s="4"/>
      <c r="H2461" s="47"/>
      <c r="Z2461" s="6"/>
    </row>
    <row r="2462" spans="5:26" x14ac:dyDescent="0.2">
      <c r="E2462" s="4"/>
      <c r="F2462" s="45"/>
      <c r="G2462" s="4"/>
      <c r="H2462" s="47"/>
      <c r="Z2462" s="6"/>
    </row>
    <row r="2463" spans="5:26" x14ac:dyDescent="0.2">
      <c r="E2463" s="4"/>
      <c r="F2463" s="45"/>
      <c r="G2463" s="4"/>
      <c r="H2463" s="47"/>
      <c r="Z2463" s="6"/>
    </row>
    <row r="2464" spans="5:26" x14ac:dyDescent="0.2">
      <c r="E2464" s="4"/>
      <c r="F2464" s="45"/>
      <c r="G2464" s="4"/>
      <c r="H2464" s="47"/>
      <c r="Z2464" s="6"/>
    </row>
    <row r="2465" spans="5:26" x14ac:dyDescent="0.2">
      <c r="E2465" s="4"/>
      <c r="F2465" s="45"/>
      <c r="G2465" s="4"/>
      <c r="H2465" s="47"/>
      <c r="Z2465" s="6"/>
    </row>
    <row r="2466" spans="5:26" x14ac:dyDescent="0.2">
      <c r="E2466" s="4"/>
      <c r="F2466" s="45"/>
      <c r="G2466" s="4"/>
      <c r="H2466" s="47"/>
      <c r="Z2466" s="6"/>
    </row>
    <row r="2467" spans="5:26" x14ac:dyDescent="0.2">
      <c r="E2467" s="4"/>
      <c r="F2467" s="45"/>
      <c r="G2467" s="4"/>
      <c r="H2467" s="47"/>
      <c r="Z2467" s="6"/>
    </row>
    <row r="2468" spans="5:26" x14ac:dyDescent="0.2">
      <c r="E2468" s="4"/>
      <c r="F2468" s="45"/>
      <c r="G2468" s="4"/>
      <c r="H2468" s="47"/>
      <c r="Z2468" s="6"/>
    </row>
    <row r="2469" spans="5:26" x14ac:dyDescent="0.2">
      <c r="E2469" s="4"/>
      <c r="F2469" s="45"/>
      <c r="G2469" s="4"/>
      <c r="H2469" s="47"/>
      <c r="Z2469" s="6"/>
    </row>
    <row r="2470" spans="5:26" x14ac:dyDescent="0.2">
      <c r="E2470" s="4"/>
      <c r="F2470" s="45"/>
      <c r="G2470" s="4"/>
      <c r="H2470" s="47"/>
      <c r="Z2470" s="6"/>
    </row>
    <row r="2471" spans="5:26" x14ac:dyDescent="0.2">
      <c r="E2471" s="4"/>
      <c r="F2471" s="45"/>
      <c r="G2471" s="4"/>
      <c r="H2471" s="47"/>
      <c r="Z2471" s="6"/>
    </row>
    <row r="2472" spans="5:26" x14ac:dyDescent="0.2">
      <c r="E2472" s="4"/>
      <c r="F2472" s="45"/>
      <c r="G2472" s="4"/>
      <c r="H2472" s="47"/>
      <c r="Z2472" s="6"/>
    </row>
    <row r="2473" spans="5:26" x14ac:dyDescent="0.2">
      <c r="E2473" s="4"/>
      <c r="F2473" s="45"/>
      <c r="G2473" s="4"/>
      <c r="H2473" s="47"/>
      <c r="Z2473" s="6"/>
    </row>
    <row r="2474" spans="5:26" x14ac:dyDescent="0.2">
      <c r="E2474" s="4"/>
      <c r="F2474" s="45"/>
      <c r="G2474" s="4"/>
      <c r="H2474" s="47"/>
      <c r="Z2474" s="6"/>
    </row>
    <row r="2475" spans="5:26" x14ac:dyDescent="0.2">
      <c r="E2475" s="4"/>
      <c r="F2475" s="45"/>
      <c r="G2475" s="4"/>
      <c r="H2475" s="47"/>
      <c r="Z2475" s="6"/>
    </row>
    <row r="2476" spans="5:26" x14ac:dyDescent="0.2">
      <c r="E2476" s="4"/>
      <c r="F2476" s="45"/>
      <c r="G2476" s="4"/>
      <c r="H2476" s="47"/>
      <c r="Z2476" s="6"/>
    </row>
    <row r="2477" spans="5:26" x14ac:dyDescent="0.2">
      <c r="E2477" s="4"/>
      <c r="F2477" s="45"/>
      <c r="G2477" s="4"/>
      <c r="H2477" s="47"/>
      <c r="Z2477" s="6"/>
    </row>
    <row r="2478" spans="5:26" x14ac:dyDescent="0.2">
      <c r="E2478" s="4"/>
      <c r="F2478" s="45"/>
      <c r="G2478" s="4"/>
      <c r="H2478" s="47"/>
      <c r="Z2478" s="6"/>
    </row>
    <row r="2479" spans="5:26" x14ac:dyDescent="0.2">
      <c r="E2479" s="4"/>
      <c r="F2479" s="45"/>
      <c r="G2479" s="4"/>
      <c r="H2479" s="47"/>
      <c r="Z2479" s="6"/>
    </row>
    <row r="2480" spans="5:26" x14ac:dyDescent="0.2">
      <c r="E2480" s="4"/>
      <c r="F2480" s="45"/>
      <c r="G2480" s="4"/>
      <c r="H2480" s="47"/>
      <c r="Z2480" s="6"/>
    </row>
    <row r="2481" spans="5:26" x14ac:dyDescent="0.2">
      <c r="E2481" s="4"/>
      <c r="F2481" s="45"/>
      <c r="G2481" s="4"/>
      <c r="H2481" s="47"/>
      <c r="Z2481" s="6"/>
    </row>
    <row r="2482" spans="5:26" x14ac:dyDescent="0.2">
      <c r="E2482" s="4"/>
      <c r="F2482" s="45"/>
      <c r="G2482" s="4"/>
      <c r="H2482" s="47"/>
      <c r="Z2482" s="6"/>
    </row>
    <row r="2483" spans="5:26" x14ac:dyDescent="0.2">
      <c r="E2483" s="4"/>
      <c r="F2483" s="45"/>
      <c r="G2483" s="4"/>
      <c r="H2483" s="47"/>
      <c r="Z2483" s="6"/>
    </row>
    <row r="2484" spans="5:26" x14ac:dyDescent="0.2">
      <c r="E2484" s="4"/>
      <c r="F2484" s="45"/>
      <c r="G2484" s="4"/>
      <c r="H2484" s="47"/>
      <c r="Z2484" s="6"/>
    </row>
    <row r="2485" spans="5:26" x14ac:dyDescent="0.2">
      <c r="E2485" s="4"/>
      <c r="F2485" s="45"/>
      <c r="G2485" s="4"/>
      <c r="H2485" s="47"/>
      <c r="Z2485" s="6"/>
    </row>
    <row r="2486" spans="5:26" x14ac:dyDescent="0.2">
      <c r="E2486" s="4"/>
      <c r="F2486" s="45"/>
      <c r="G2486" s="4"/>
      <c r="H2486" s="47"/>
      <c r="Z2486" s="6"/>
    </row>
    <row r="2487" spans="5:26" x14ac:dyDescent="0.2">
      <c r="E2487" s="4"/>
      <c r="F2487" s="45"/>
      <c r="G2487" s="4"/>
      <c r="H2487" s="47"/>
      <c r="Z2487" s="6"/>
    </row>
    <row r="2488" spans="5:26" x14ac:dyDescent="0.2">
      <c r="E2488" s="4"/>
      <c r="F2488" s="45"/>
      <c r="G2488" s="4"/>
      <c r="H2488" s="47"/>
      <c r="Z2488" s="6"/>
    </row>
    <row r="2489" spans="5:26" x14ac:dyDescent="0.2">
      <c r="E2489" s="4"/>
      <c r="F2489" s="45"/>
      <c r="G2489" s="4"/>
      <c r="H2489" s="47"/>
      <c r="Z2489" s="6"/>
    </row>
    <row r="2490" spans="5:26" x14ac:dyDescent="0.2">
      <c r="E2490" s="4"/>
      <c r="F2490" s="45"/>
      <c r="G2490" s="4"/>
      <c r="H2490" s="47"/>
      <c r="Z2490" s="6"/>
    </row>
    <row r="2491" spans="5:26" x14ac:dyDescent="0.2">
      <c r="E2491" s="4"/>
      <c r="F2491" s="45"/>
      <c r="G2491" s="4"/>
      <c r="H2491" s="47"/>
      <c r="Z2491" s="6"/>
    </row>
    <row r="2492" spans="5:26" x14ac:dyDescent="0.2">
      <c r="E2492" s="4"/>
      <c r="F2492" s="45"/>
      <c r="G2492" s="4"/>
      <c r="H2492" s="47"/>
      <c r="Z2492" s="6"/>
    </row>
    <row r="2493" spans="5:26" x14ac:dyDescent="0.2">
      <c r="E2493" s="4"/>
      <c r="F2493" s="45"/>
      <c r="G2493" s="4"/>
      <c r="H2493" s="47"/>
      <c r="Z2493" s="6"/>
    </row>
    <row r="2494" spans="5:26" x14ac:dyDescent="0.2">
      <c r="E2494" s="4"/>
      <c r="F2494" s="45"/>
      <c r="G2494" s="4"/>
      <c r="H2494" s="47"/>
      <c r="Z2494" s="6"/>
    </row>
    <row r="2495" spans="5:26" x14ac:dyDescent="0.2">
      <c r="E2495" s="4"/>
      <c r="F2495" s="45"/>
      <c r="G2495" s="4"/>
      <c r="H2495" s="47"/>
      <c r="Z2495" s="6"/>
    </row>
    <row r="2496" spans="5:26" x14ac:dyDescent="0.2">
      <c r="E2496" s="4"/>
      <c r="F2496" s="45"/>
      <c r="G2496" s="4"/>
      <c r="H2496" s="47"/>
      <c r="Z2496" s="6"/>
    </row>
    <row r="2497" spans="5:26" x14ac:dyDescent="0.2">
      <c r="E2497" s="4"/>
      <c r="F2497" s="45"/>
      <c r="G2497" s="4"/>
      <c r="H2497" s="47"/>
      <c r="Z2497" s="6"/>
    </row>
    <row r="2498" spans="5:26" x14ac:dyDescent="0.2">
      <c r="E2498" s="4"/>
      <c r="F2498" s="45"/>
      <c r="G2498" s="4"/>
      <c r="H2498" s="47"/>
      <c r="Z2498" s="6"/>
    </row>
    <row r="2499" spans="5:26" x14ac:dyDescent="0.2">
      <c r="E2499" s="4"/>
      <c r="F2499" s="45"/>
      <c r="G2499" s="4"/>
      <c r="H2499" s="47"/>
      <c r="Z2499" s="6"/>
    </row>
    <row r="2500" spans="5:26" x14ac:dyDescent="0.2">
      <c r="E2500" s="4"/>
      <c r="F2500" s="45"/>
      <c r="G2500" s="4"/>
      <c r="H2500" s="47"/>
      <c r="Z2500" s="6"/>
    </row>
    <row r="2501" spans="5:26" x14ac:dyDescent="0.2">
      <c r="E2501" s="4"/>
      <c r="F2501" s="45"/>
      <c r="G2501" s="4"/>
      <c r="H2501" s="47"/>
      <c r="Z2501" s="6"/>
    </row>
    <row r="2502" spans="5:26" x14ac:dyDescent="0.2">
      <c r="E2502" s="4"/>
      <c r="F2502" s="45"/>
      <c r="G2502" s="4"/>
      <c r="H2502" s="47"/>
      <c r="Z2502" s="6"/>
    </row>
    <row r="2503" spans="5:26" x14ac:dyDescent="0.2">
      <c r="E2503" s="4"/>
      <c r="F2503" s="45"/>
      <c r="G2503" s="4"/>
      <c r="H2503" s="47"/>
      <c r="Z2503" s="6"/>
    </row>
    <row r="2504" spans="5:26" x14ac:dyDescent="0.2">
      <c r="E2504" s="4"/>
      <c r="F2504" s="45"/>
      <c r="G2504" s="4"/>
      <c r="H2504" s="47"/>
      <c r="Z2504" s="6"/>
    </row>
    <row r="2505" spans="5:26" x14ac:dyDescent="0.2">
      <c r="E2505" s="4"/>
      <c r="F2505" s="45"/>
      <c r="G2505" s="4"/>
      <c r="H2505" s="47"/>
      <c r="Z2505" s="6"/>
    </row>
    <row r="2506" spans="5:26" x14ac:dyDescent="0.2">
      <c r="E2506" s="4"/>
      <c r="F2506" s="45"/>
      <c r="G2506" s="4"/>
      <c r="H2506" s="47"/>
      <c r="Z2506" s="6"/>
    </row>
    <row r="2507" spans="5:26" x14ac:dyDescent="0.2">
      <c r="E2507" s="4"/>
      <c r="F2507" s="45"/>
      <c r="G2507" s="4"/>
      <c r="H2507" s="47"/>
      <c r="Z2507" s="6"/>
    </row>
    <row r="2508" spans="5:26" x14ac:dyDescent="0.2">
      <c r="E2508" s="4"/>
      <c r="F2508" s="45"/>
      <c r="G2508" s="4"/>
      <c r="H2508" s="47"/>
      <c r="Z2508" s="6"/>
    </row>
    <row r="2509" spans="5:26" x14ac:dyDescent="0.2">
      <c r="E2509" s="4"/>
      <c r="F2509" s="45"/>
      <c r="G2509" s="4"/>
      <c r="H2509" s="47"/>
      <c r="Z2509" s="6"/>
    </row>
    <row r="2510" spans="5:26" x14ac:dyDescent="0.2">
      <c r="E2510" s="4"/>
      <c r="F2510" s="45"/>
      <c r="G2510" s="4"/>
      <c r="H2510" s="47"/>
      <c r="Z2510" s="6"/>
    </row>
    <row r="2511" spans="5:26" x14ac:dyDescent="0.2">
      <c r="E2511" s="4"/>
      <c r="F2511" s="45"/>
      <c r="G2511" s="4"/>
      <c r="H2511" s="47"/>
      <c r="Z2511" s="6"/>
    </row>
    <row r="2512" spans="5:26" x14ac:dyDescent="0.2">
      <c r="E2512" s="4"/>
      <c r="F2512" s="45"/>
      <c r="G2512" s="4"/>
      <c r="H2512" s="47"/>
      <c r="Z2512" s="6"/>
    </row>
    <row r="2513" spans="5:26" x14ac:dyDescent="0.2">
      <c r="E2513" s="4"/>
      <c r="F2513" s="45"/>
      <c r="G2513" s="4"/>
      <c r="H2513" s="47"/>
      <c r="Z2513" s="6"/>
    </row>
    <row r="2514" spans="5:26" x14ac:dyDescent="0.2">
      <c r="E2514" s="4"/>
      <c r="F2514" s="45"/>
      <c r="G2514" s="4"/>
      <c r="H2514" s="47"/>
      <c r="Z2514" s="6"/>
    </row>
    <row r="2515" spans="5:26" x14ac:dyDescent="0.2">
      <c r="E2515" s="4"/>
      <c r="F2515" s="45"/>
      <c r="G2515" s="4"/>
      <c r="H2515" s="47"/>
      <c r="Z2515" s="6"/>
    </row>
    <row r="2516" spans="5:26" x14ac:dyDescent="0.2">
      <c r="E2516" s="4"/>
      <c r="F2516" s="45"/>
      <c r="G2516" s="4"/>
      <c r="H2516" s="47"/>
      <c r="Z2516" s="6"/>
    </row>
    <row r="2517" spans="5:26" x14ac:dyDescent="0.2">
      <c r="E2517" s="4"/>
      <c r="F2517" s="45"/>
      <c r="G2517" s="4"/>
      <c r="H2517" s="47"/>
      <c r="Z2517" s="6"/>
    </row>
    <row r="2518" spans="5:26" x14ac:dyDescent="0.2">
      <c r="E2518" s="4"/>
      <c r="F2518" s="45"/>
      <c r="G2518" s="4"/>
      <c r="H2518" s="47"/>
      <c r="Z2518" s="6"/>
    </row>
    <row r="2519" spans="5:26" x14ac:dyDescent="0.2">
      <c r="E2519" s="4"/>
      <c r="F2519" s="45"/>
      <c r="G2519" s="4"/>
      <c r="H2519" s="47"/>
      <c r="Z2519" s="6"/>
    </row>
    <row r="2520" spans="5:26" x14ac:dyDescent="0.2">
      <c r="E2520" s="4"/>
      <c r="F2520" s="45"/>
      <c r="G2520" s="4"/>
      <c r="H2520" s="47"/>
      <c r="Z2520" s="6"/>
    </row>
    <row r="2521" spans="5:26" x14ac:dyDescent="0.2">
      <c r="E2521" s="4"/>
      <c r="F2521" s="45"/>
      <c r="G2521" s="4"/>
      <c r="H2521" s="47"/>
      <c r="Z2521" s="6"/>
    </row>
    <row r="2522" spans="5:26" x14ac:dyDescent="0.2">
      <c r="E2522" s="4"/>
      <c r="F2522" s="45"/>
      <c r="G2522" s="4"/>
      <c r="H2522" s="47"/>
      <c r="Z2522" s="6"/>
    </row>
    <row r="2523" spans="5:26" x14ac:dyDescent="0.2">
      <c r="E2523" s="4"/>
      <c r="F2523" s="45"/>
      <c r="G2523" s="4"/>
      <c r="H2523" s="47"/>
      <c r="Z2523" s="6"/>
    </row>
    <row r="2524" spans="5:26" x14ac:dyDescent="0.2">
      <c r="E2524" s="4"/>
      <c r="F2524" s="45"/>
      <c r="G2524" s="4"/>
      <c r="H2524" s="47"/>
      <c r="Z2524" s="6"/>
    </row>
    <row r="2525" spans="5:26" x14ac:dyDescent="0.2">
      <c r="E2525" s="4"/>
      <c r="F2525" s="45"/>
      <c r="G2525" s="4"/>
      <c r="H2525" s="47"/>
      <c r="Z2525" s="6"/>
    </row>
    <row r="2526" spans="5:26" x14ac:dyDescent="0.2">
      <c r="E2526" s="4"/>
      <c r="F2526" s="45"/>
      <c r="G2526" s="4"/>
      <c r="H2526" s="47"/>
      <c r="Z2526" s="6"/>
    </row>
    <row r="2527" spans="5:26" x14ac:dyDescent="0.2">
      <c r="E2527" s="4"/>
      <c r="F2527" s="45"/>
      <c r="G2527" s="4"/>
      <c r="H2527" s="47"/>
      <c r="Z2527" s="6"/>
    </row>
    <row r="2528" spans="5:26" x14ac:dyDescent="0.2">
      <c r="E2528" s="4"/>
      <c r="F2528" s="45"/>
      <c r="G2528" s="4"/>
      <c r="H2528" s="47"/>
      <c r="Z2528" s="6"/>
    </row>
    <row r="2529" spans="5:26" x14ac:dyDescent="0.2">
      <c r="E2529" s="4"/>
      <c r="F2529" s="45"/>
      <c r="G2529" s="4"/>
      <c r="H2529" s="47"/>
      <c r="Z2529" s="6"/>
    </row>
    <row r="2530" spans="5:26" x14ac:dyDescent="0.2">
      <c r="E2530" s="4"/>
      <c r="F2530" s="45"/>
      <c r="G2530" s="4"/>
      <c r="H2530" s="47"/>
      <c r="Z2530" s="6"/>
    </row>
    <row r="2531" spans="5:26" x14ac:dyDescent="0.2">
      <c r="E2531" s="4"/>
      <c r="F2531" s="45"/>
      <c r="G2531" s="4"/>
      <c r="H2531" s="47"/>
      <c r="Z2531" s="6"/>
    </row>
    <row r="2532" spans="5:26" x14ac:dyDescent="0.2">
      <c r="E2532" s="4"/>
      <c r="F2532" s="45"/>
      <c r="G2532" s="4"/>
      <c r="H2532" s="47"/>
      <c r="Z2532" s="6"/>
    </row>
    <row r="2533" spans="5:26" x14ac:dyDescent="0.2">
      <c r="E2533" s="4"/>
      <c r="F2533" s="45"/>
      <c r="G2533" s="4"/>
      <c r="H2533" s="47"/>
      <c r="Z2533" s="6"/>
    </row>
    <row r="2534" spans="5:26" x14ac:dyDescent="0.2">
      <c r="E2534" s="4"/>
      <c r="F2534" s="45"/>
      <c r="G2534" s="4"/>
      <c r="H2534" s="47"/>
      <c r="Z2534" s="6"/>
    </row>
    <row r="2535" spans="5:26" x14ac:dyDescent="0.2">
      <c r="E2535" s="4"/>
      <c r="F2535" s="45"/>
      <c r="G2535" s="4"/>
      <c r="H2535" s="47"/>
      <c r="Z2535" s="6"/>
    </row>
    <row r="2536" spans="5:26" x14ac:dyDescent="0.2">
      <c r="E2536" s="4"/>
      <c r="F2536" s="45"/>
      <c r="G2536" s="4"/>
      <c r="H2536" s="47"/>
      <c r="Z2536" s="6"/>
    </row>
    <row r="2537" spans="5:26" x14ac:dyDescent="0.2">
      <c r="E2537" s="4"/>
      <c r="F2537" s="45"/>
      <c r="G2537" s="4"/>
      <c r="H2537" s="47"/>
      <c r="Z2537" s="6"/>
    </row>
    <row r="2538" spans="5:26" x14ac:dyDescent="0.2">
      <c r="E2538" s="4"/>
      <c r="F2538" s="45"/>
      <c r="G2538" s="4"/>
      <c r="H2538" s="47"/>
      <c r="Z2538" s="6"/>
    </row>
    <row r="2539" spans="5:26" x14ac:dyDescent="0.2">
      <c r="E2539" s="4"/>
      <c r="F2539" s="45"/>
      <c r="G2539" s="4"/>
      <c r="H2539" s="47"/>
      <c r="Z2539" s="6"/>
    </row>
    <row r="2540" spans="5:26" x14ac:dyDescent="0.2">
      <c r="E2540" s="4"/>
      <c r="F2540" s="45"/>
      <c r="G2540" s="4"/>
      <c r="H2540" s="47"/>
      <c r="Z2540" s="6"/>
    </row>
    <row r="2541" spans="5:26" x14ac:dyDescent="0.2">
      <c r="E2541" s="4"/>
      <c r="F2541" s="45"/>
      <c r="G2541" s="4"/>
      <c r="H2541" s="47"/>
      <c r="Z2541" s="6"/>
    </row>
    <row r="2542" spans="5:26" x14ac:dyDescent="0.2">
      <c r="E2542" s="4"/>
      <c r="F2542" s="45"/>
      <c r="G2542" s="4"/>
      <c r="H2542" s="47"/>
      <c r="Z2542" s="6"/>
    </row>
    <row r="2543" spans="5:26" x14ac:dyDescent="0.2">
      <c r="E2543" s="4"/>
      <c r="F2543" s="45"/>
      <c r="G2543" s="4"/>
      <c r="H2543" s="47"/>
      <c r="Z2543" s="6"/>
    </row>
    <row r="2544" spans="5:26" x14ac:dyDescent="0.2">
      <c r="E2544" s="4"/>
      <c r="F2544" s="45"/>
      <c r="G2544" s="4"/>
      <c r="H2544" s="47"/>
      <c r="Z2544" s="6"/>
    </row>
    <row r="2545" spans="5:26" x14ac:dyDescent="0.2">
      <c r="E2545" s="4"/>
      <c r="F2545" s="45"/>
      <c r="G2545" s="4"/>
      <c r="H2545" s="47"/>
      <c r="Z2545" s="6"/>
    </row>
    <row r="2546" spans="5:26" x14ac:dyDescent="0.2">
      <c r="E2546" s="4"/>
      <c r="F2546" s="45"/>
      <c r="G2546" s="4"/>
      <c r="H2546" s="47"/>
      <c r="Z2546" s="6"/>
    </row>
    <row r="2547" spans="5:26" x14ac:dyDescent="0.2">
      <c r="E2547" s="4"/>
      <c r="F2547" s="45"/>
      <c r="G2547" s="4"/>
      <c r="H2547" s="47"/>
      <c r="Z2547" s="6"/>
    </row>
    <row r="2548" spans="5:26" x14ac:dyDescent="0.2">
      <c r="E2548" s="4"/>
      <c r="F2548" s="45"/>
      <c r="G2548" s="4"/>
      <c r="H2548" s="47"/>
      <c r="Z2548" s="6"/>
    </row>
    <row r="2549" spans="5:26" x14ac:dyDescent="0.2">
      <c r="E2549" s="4"/>
      <c r="F2549" s="45"/>
      <c r="G2549" s="4"/>
      <c r="H2549" s="47"/>
      <c r="Z2549" s="6"/>
    </row>
    <row r="2550" spans="5:26" x14ac:dyDescent="0.2">
      <c r="E2550" s="4"/>
      <c r="F2550" s="45"/>
      <c r="G2550" s="4"/>
      <c r="H2550" s="47"/>
      <c r="Z2550" s="6"/>
    </row>
    <row r="2551" spans="5:26" x14ac:dyDescent="0.2">
      <c r="E2551" s="4"/>
      <c r="F2551" s="45"/>
      <c r="G2551" s="4"/>
      <c r="H2551" s="47"/>
      <c r="Z2551" s="6"/>
    </row>
    <row r="2552" spans="5:26" x14ac:dyDescent="0.2">
      <c r="E2552" s="4"/>
      <c r="F2552" s="45"/>
      <c r="G2552" s="4"/>
      <c r="H2552" s="47"/>
      <c r="Z2552" s="6"/>
    </row>
    <row r="2553" spans="5:26" x14ac:dyDescent="0.2">
      <c r="E2553" s="4"/>
      <c r="F2553" s="45"/>
      <c r="G2553" s="4"/>
      <c r="H2553" s="47"/>
      <c r="Z2553" s="6"/>
    </row>
    <row r="2554" spans="5:26" x14ac:dyDescent="0.2">
      <c r="E2554" s="4"/>
      <c r="F2554" s="45"/>
      <c r="G2554" s="4"/>
      <c r="H2554" s="47"/>
      <c r="Z2554" s="6"/>
    </row>
    <row r="2555" spans="5:26" x14ac:dyDescent="0.2">
      <c r="E2555" s="4"/>
      <c r="F2555" s="45"/>
      <c r="G2555" s="4"/>
      <c r="H2555" s="47"/>
      <c r="Z2555" s="6"/>
    </row>
    <row r="2556" spans="5:26" x14ac:dyDescent="0.2">
      <c r="E2556" s="4"/>
      <c r="F2556" s="45"/>
      <c r="G2556" s="4"/>
      <c r="H2556" s="47"/>
      <c r="Z2556" s="6"/>
    </row>
    <row r="2557" spans="5:26" x14ac:dyDescent="0.2">
      <c r="E2557" s="4"/>
      <c r="F2557" s="45"/>
      <c r="G2557" s="4"/>
      <c r="H2557" s="47"/>
      <c r="Z2557" s="6"/>
    </row>
    <row r="2558" spans="5:26" x14ac:dyDescent="0.2">
      <c r="E2558" s="4"/>
      <c r="F2558" s="45"/>
      <c r="G2558" s="4"/>
      <c r="H2558" s="47"/>
      <c r="Z2558" s="6"/>
    </row>
    <row r="2559" spans="5:26" x14ac:dyDescent="0.2">
      <c r="E2559" s="4"/>
      <c r="F2559" s="45"/>
      <c r="G2559" s="4"/>
      <c r="H2559" s="47"/>
      <c r="Z2559" s="6"/>
    </row>
    <row r="2560" spans="5:26" x14ac:dyDescent="0.2">
      <c r="E2560" s="4"/>
      <c r="F2560" s="45"/>
      <c r="G2560" s="4"/>
      <c r="H2560" s="47"/>
      <c r="Z2560" s="6"/>
    </row>
    <row r="2561" spans="5:26" x14ac:dyDescent="0.2">
      <c r="E2561" s="4"/>
      <c r="F2561" s="45"/>
      <c r="G2561" s="4"/>
      <c r="H2561" s="47"/>
      <c r="Z2561" s="6"/>
    </row>
    <row r="2562" spans="5:26" x14ac:dyDescent="0.2">
      <c r="E2562" s="4"/>
      <c r="F2562" s="45"/>
      <c r="G2562" s="4"/>
      <c r="H2562" s="47"/>
      <c r="Z2562" s="6"/>
    </row>
    <row r="2563" spans="5:26" x14ac:dyDescent="0.2">
      <c r="E2563" s="4"/>
      <c r="F2563" s="45"/>
      <c r="G2563" s="4"/>
      <c r="H2563" s="47"/>
      <c r="Z2563" s="6"/>
    </row>
    <row r="2564" spans="5:26" x14ac:dyDescent="0.2">
      <c r="E2564" s="4"/>
      <c r="F2564" s="45"/>
      <c r="G2564" s="4"/>
      <c r="H2564" s="47"/>
      <c r="Z2564" s="6"/>
    </row>
    <row r="2565" spans="5:26" x14ac:dyDescent="0.2">
      <c r="E2565" s="4"/>
      <c r="F2565" s="45"/>
      <c r="G2565" s="4"/>
      <c r="H2565" s="47"/>
      <c r="Z2565" s="6"/>
    </row>
    <row r="2566" spans="5:26" x14ac:dyDescent="0.2">
      <c r="E2566" s="4"/>
      <c r="F2566" s="45"/>
      <c r="G2566" s="4"/>
      <c r="H2566" s="47"/>
      <c r="Z2566" s="6"/>
    </row>
    <row r="2567" spans="5:26" x14ac:dyDescent="0.2">
      <c r="E2567" s="4"/>
      <c r="F2567" s="45"/>
      <c r="G2567" s="4"/>
      <c r="H2567" s="47"/>
      <c r="Z2567" s="6"/>
    </row>
    <row r="2568" spans="5:26" x14ac:dyDescent="0.2">
      <c r="E2568" s="4"/>
      <c r="F2568" s="45"/>
      <c r="G2568" s="4"/>
      <c r="H2568" s="47"/>
      <c r="Z2568" s="6"/>
    </row>
    <row r="2569" spans="5:26" x14ac:dyDescent="0.2">
      <c r="E2569" s="4"/>
      <c r="F2569" s="45"/>
      <c r="G2569" s="4"/>
      <c r="H2569" s="47"/>
      <c r="Z2569" s="6"/>
    </row>
    <row r="2570" spans="5:26" x14ac:dyDescent="0.2">
      <c r="E2570" s="4"/>
      <c r="F2570" s="45"/>
      <c r="G2570" s="4"/>
      <c r="H2570" s="47"/>
      <c r="Z2570" s="6"/>
    </row>
    <row r="2571" spans="5:26" x14ac:dyDescent="0.2">
      <c r="E2571" s="4"/>
      <c r="F2571" s="45"/>
      <c r="G2571" s="4"/>
      <c r="H2571" s="47"/>
      <c r="Z2571" s="6"/>
    </row>
    <row r="2572" spans="5:26" x14ac:dyDescent="0.2">
      <c r="E2572" s="4"/>
      <c r="F2572" s="45"/>
      <c r="G2572" s="4"/>
      <c r="H2572" s="47"/>
      <c r="Z2572" s="6"/>
    </row>
    <row r="2573" spans="5:26" x14ac:dyDescent="0.2">
      <c r="E2573" s="4"/>
      <c r="F2573" s="45"/>
      <c r="G2573" s="4"/>
      <c r="H2573" s="47"/>
      <c r="Z2573" s="6"/>
    </row>
    <row r="2574" spans="5:26" x14ac:dyDescent="0.2">
      <c r="E2574" s="4"/>
      <c r="F2574" s="45"/>
      <c r="G2574" s="4"/>
      <c r="H2574" s="47"/>
      <c r="Z2574" s="6"/>
    </row>
    <row r="2575" spans="5:26" x14ac:dyDescent="0.2">
      <c r="E2575" s="4"/>
      <c r="F2575" s="45"/>
      <c r="G2575" s="4"/>
      <c r="H2575" s="47"/>
      <c r="Z2575" s="6"/>
    </row>
    <row r="2576" spans="5:26" x14ac:dyDescent="0.2">
      <c r="E2576" s="4"/>
      <c r="F2576" s="45"/>
      <c r="G2576" s="4"/>
      <c r="H2576" s="47"/>
      <c r="Z2576" s="6"/>
    </row>
    <row r="2577" spans="5:26" x14ac:dyDescent="0.2">
      <c r="E2577" s="4"/>
      <c r="F2577" s="45"/>
      <c r="G2577" s="4"/>
      <c r="H2577" s="47"/>
      <c r="Z2577" s="6"/>
    </row>
    <row r="2578" spans="5:26" x14ac:dyDescent="0.2">
      <c r="E2578" s="4"/>
      <c r="F2578" s="45"/>
      <c r="G2578" s="4"/>
      <c r="H2578" s="47"/>
      <c r="Z2578" s="6"/>
    </row>
    <row r="2579" spans="5:26" x14ac:dyDescent="0.2">
      <c r="E2579" s="4"/>
      <c r="F2579" s="45"/>
      <c r="G2579" s="4"/>
      <c r="H2579" s="47"/>
      <c r="Z2579" s="6"/>
    </row>
    <row r="2580" spans="5:26" x14ac:dyDescent="0.2">
      <c r="E2580" s="4"/>
      <c r="F2580" s="45"/>
      <c r="G2580" s="4"/>
      <c r="H2580" s="47"/>
      <c r="Z2580" s="6"/>
    </row>
    <row r="2581" spans="5:26" x14ac:dyDescent="0.2">
      <c r="E2581" s="4"/>
      <c r="F2581" s="45"/>
      <c r="G2581" s="4"/>
      <c r="H2581" s="47"/>
      <c r="Z2581" s="6"/>
    </row>
    <row r="2582" spans="5:26" x14ac:dyDescent="0.2">
      <c r="E2582" s="4"/>
      <c r="F2582" s="45"/>
      <c r="G2582" s="4"/>
      <c r="H2582" s="47"/>
      <c r="Z2582" s="6"/>
    </row>
    <row r="2583" spans="5:26" x14ac:dyDescent="0.2">
      <c r="E2583" s="4"/>
      <c r="F2583" s="45"/>
      <c r="G2583" s="4"/>
      <c r="H2583" s="47"/>
      <c r="Z2583" s="6"/>
    </row>
    <row r="2584" spans="5:26" x14ac:dyDescent="0.2">
      <c r="E2584" s="4"/>
      <c r="F2584" s="45"/>
      <c r="G2584" s="4"/>
      <c r="H2584" s="47"/>
      <c r="Z2584" s="6"/>
    </row>
    <row r="2585" spans="5:26" x14ac:dyDescent="0.2">
      <c r="E2585" s="4"/>
      <c r="F2585" s="45"/>
      <c r="G2585" s="4"/>
      <c r="H2585" s="47"/>
      <c r="Z2585" s="6"/>
    </row>
    <row r="2586" spans="5:26" x14ac:dyDescent="0.2">
      <c r="E2586" s="4"/>
      <c r="F2586" s="45"/>
      <c r="G2586" s="4"/>
      <c r="H2586" s="47"/>
      <c r="Z2586" s="6"/>
    </row>
    <row r="2587" spans="5:26" x14ac:dyDescent="0.2">
      <c r="E2587" s="4"/>
      <c r="F2587" s="45"/>
      <c r="G2587" s="4"/>
      <c r="H2587" s="47"/>
      <c r="Z2587" s="6"/>
    </row>
    <row r="2588" spans="5:26" x14ac:dyDescent="0.2">
      <c r="E2588" s="4"/>
      <c r="F2588" s="45"/>
      <c r="G2588" s="4"/>
      <c r="H2588" s="47"/>
      <c r="Z2588" s="6"/>
    </row>
    <row r="2589" spans="5:26" x14ac:dyDescent="0.2">
      <c r="E2589" s="4"/>
      <c r="F2589" s="45"/>
      <c r="G2589" s="4"/>
      <c r="H2589" s="47"/>
      <c r="Z2589" s="6"/>
    </row>
    <row r="2590" spans="5:26" x14ac:dyDescent="0.2">
      <c r="E2590" s="4"/>
      <c r="F2590" s="45"/>
      <c r="G2590" s="4"/>
      <c r="H2590" s="47"/>
      <c r="Z2590" s="6"/>
    </row>
    <row r="2591" spans="5:26" x14ac:dyDescent="0.2">
      <c r="E2591" s="4"/>
      <c r="F2591" s="45"/>
      <c r="G2591" s="4"/>
      <c r="H2591" s="47"/>
      <c r="Z2591" s="6"/>
    </row>
    <row r="2592" spans="5:26" x14ac:dyDescent="0.2">
      <c r="E2592" s="4"/>
      <c r="F2592" s="45"/>
      <c r="G2592" s="4"/>
      <c r="H2592" s="47"/>
      <c r="Z2592" s="6"/>
    </row>
    <row r="2593" spans="5:26" x14ac:dyDescent="0.2">
      <c r="E2593" s="4"/>
      <c r="F2593" s="45"/>
      <c r="G2593" s="4"/>
      <c r="H2593" s="47"/>
      <c r="Z2593" s="6"/>
    </row>
    <row r="2594" spans="5:26" x14ac:dyDescent="0.2">
      <c r="E2594" s="4"/>
      <c r="F2594" s="45"/>
      <c r="G2594" s="4"/>
      <c r="H2594" s="47"/>
      <c r="Z2594" s="6"/>
    </row>
    <row r="2595" spans="5:26" x14ac:dyDescent="0.2">
      <c r="E2595" s="4"/>
      <c r="F2595" s="45"/>
      <c r="G2595" s="4"/>
      <c r="H2595" s="47"/>
      <c r="Z2595" s="6"/>
    </row>
    <row r="2596" spans="5:26" x14ac:dyDescent="0.2">
      <c r="E2596" s="4"/>
      <c r="F2596" s="45"/>
      <c r="G2596" s="4"/>
      <c r="H2596" s="47"/>
      <c r="Z2596" s="6"/>
    </row>
    <row r="2597" spans="5:26" x14ac:dyDescent="0.2">
      <c r="E2597" s="4"/>
      <c r="F2597" s="45"/>
      <c r="G2597" s="4"/>
      <c r="H2597" s="47"/>
      <c r="Z2597" s="6"/>
    </row>
    <row r="2598" spans="5:26" x14ac:dyDescent="0.2">
      <c r="E2598" s="4"/>
      <c r="F2598" s="45"/>
      <c r="G2598" s="4"/>
      <c r="H2598" s="47"/>
      <c r="Z2598" s="6"/>
    </row>
    <row r="2599" spans="5:26" x14ac:dyDescent="0.2">
      <c r="E2599" s="4"/>
      <c r="F2599" s="45"/>
      <c r="G2599" s="4"/>
      <c r="H2599" s="47"/>
      <c r="Z2599" s="6"/>
    </row>
    <row r="2600" spans="5:26" x14ac:dyDescent="0.2">
      <c r="E2600" s="4"/>
      <c r="F2600" s="45"/>
      <c r="G2600" s="4"/>
      <c r="H2600" s="47"/>
      <c r="Z2600" s="6"/>
    </row>
    <row r="2601" spans="5:26" x14ac:dyDescent="0.2">
      <c r="E2601" s="4"/>
      <c r="F2601" s="45"/>
      <c r="G2601" s="4"/>
      <c r="H2601" s="47"/>
      <c r="Z2601" s="6"/>
    </row>
    <row r="2602" spans="5:26" x14ac:dyDescent="0.2">
      <c r="E2602" s="4"/>
      <c r="F2602" s="45"/>
      <c r="G2602" s="4"/>
      <c r="H2602" s="47"/>
      <c r="Z2602" s="6"/>
    </row>
    <row r="2603" spans="5:26" x14ac:dyDescent="0.2">
      <c r="E2603" s="4"/>
      <c r="F2603" s="45"/>
      <c r="G2603" s="4"/>
      <c r="H2603" s="47"/>
      <c r="Z2603" s="6"/>
    </row>
    <row r="2604" spans="5:26" x14ac:dyDescent="0.2">
      <c r="E2604" s="4"/>
      <c r="F2604" s="45"/>
      <c r="G2604" s="4"/>
      <c r="H2604" s="47"/>
      <c r="Z2604" s="6"/>
    </row>
    <row r="2605" spans="5:26" x14ac:dyDescent="0.2">
      <c r="E2605" s="4"/>
      <c r="F2605" s="45"/>
      <c r="G2605" s="4"/>
      <c r="H2605" s="47"/>
      <c r="Z2605" s="6"/>
    </row>
    <row r="2606" spans="5:26" x14ac:dyDescent="0.2">
      <c r="E2606" s="4"/>
      <c r="F2606" s="45"/>
      <c r="G2606" s="4"/>
      <c r="H2606" s="47"/>
      <c r="Z2606" s="6"/>
    </row>
    <row r="2607" spans="5:26" x14ac:dyDescent="0.2">
      <c r="E2607" s="4"/>
      <c r="F2607" s="45"/>
      <c r="G2607" s="4"/>
      <c r="H2607" s="47"/>
      <c r="Z2607" s="6"/>
    </row>
    <row r="2608" spans="5:26" x14ac:dyDescent="0.2">
      <c r="E2608" s="4"/>
      <c r="F2608" s="45"/>
      <c r="G2608" s="4"/>
      <c r="H2608" s="47"/>
      <c r="Z2608" s="6"/>
    </row>
    <row r="2609" spans="5:26" x14ac:dyDescent="0.2">
      <c r="E2609" s="4"/>
      <c r="F2609" s="45"/>
      <c r="G2609" s="4"/>
      <c r="H2609" s="47"/>
      <c r="Z2609" s="6"/>
    </row>
    <row r="2610" spans="5:26" x14ac:dyDescent="0.2">
      <c r="E2610" s="4"/>
      <c r="F2610" s="45"/>
      <c r="G2610" s="4"/>
      <c r="H2610" s="47"/>
      <c r="Z2610" s="6"/>
    </row>
    <row r="2611" spans="5:26" x14ac:dyDescent="0.2">
      <c r="E2611" s="4"/>
      <c r="F2611" s="45"/>
      <c r="G2611" s="4"/>
      <c r="H2611" s="47"/>
      <c r="Z2611" s="6"/>
    </row>
    <row r="2612" spans="5:26" x14ac:dyDescent="0.2">
      <c r="E2612" s="4"/>
      <c r="F2612" s="45"/>
      <c r="G2612" s="4"/>
      <c r="H2612" s="47"/>
      <c r="Z2612" s="6"/>
    </row>
    <row r="2613" spans="5:26" x14ac:dyDescent="0.2">
      <c r="E2613" s="4"/>
      <c r="F2613" s="45"/>
      <c r="G2613" s="4"/>
      <c r="H2613" s="47"/>
      <c r="Z2613" s="6"/>
    </row>
    <row r="2614" spans="5:26" x14ac:dyDescent="0.2">
      <c r="E2614" s="4"/>
      <c r="F2614" s="45"/>
      <c r="G2614" s="4"/>
      <c r="H2614" s="47"/>
      <c r="Z2614" s="6"/>
    </row>
    <row r="2615" spans="5:26" x14ac:dyDescent="0.2">
      <c r="E2615" s="4"/>
      <c r="F2615" s="45"/>
      <c r="G2615" s="4"/>
      <c r="H2615" s="47"/>
      <c r="Z2615" s="6"/>
    </row>
    <row r="2616" spans="5:26" x14ac:dyDescent="0.2">
      <c r="E2616" s="4"/>
      <c r="F2616" s="45"/>
      <c r="G2616" s="4"/>
      <c r="H2616" s="47"/>
      <c r="Z2616" s="6"/>
    </row>
    <row r="2617" spans="5:26" x14ac:dyDescent="0.2">
      <c r="E2617" s="4"/>
      <c r="F2617" s="45"/>
      <c r="G2617" s="4"/>
      <c r="H2617" s="47"/>
      <c r="Z2617" s="6"/>
    </row>
    <row r="2618" spans="5:26" x14ac:dyDescent="0.2">
      <c r="E2618" s="4"/>
      <c r="F2618" s="45"/>
      <c r="G2618" s="4"/>
      <c r="H2618" s="47"/>
      <c r="Z2618" s="6"/>
    </row>
    <row r="2619" spans="5:26" x14ac:dyDescent="0.2">
      <c r="E2619" s="4"/>
      <c r="F2619" s="45"/>
      <c r="G2619" s="4"/>
      <c r="H2619" s="47"/>
      <c r="Z2619" s="6"/>
    </row>
    <row r="2620" spans="5:26" x14ac:dyDescent="0.2">
      <c r="E2620" s="4"/>
      <c r="F2620" s="45"/>
      <c r="G2620" s="4"/>
      <c r="H2620" s="47"/>
      <c r="Z2620" s="6"/>
    </row>
    <row r="2621" spans="5:26" x14ac:dyDescent="0.2">
      <c r="E2621" s="4"/>
      <c r="F2621" s="45"/>
      <c r="G2621" s="4"/>
      <c r="H2621" s="47"/>
      <c r="Z2621" s="6"/>
    </row>
    <row r="2622" spans="5:26" x14ac:dyDescent="0.2">
      <c r="E2622" s="4"/>
      <c r="F2622" s="45"/>
      <c r="G2622" s="4"/>
      <c r="H2622" s="47"/>
      <c r="Z2622" s="6"/>
    </row>
    <row r="2623" spans="5:26" x14ac:dyDescent="0.2">
      <c r="E2623" s="4"/>
      <c r="F2623" s="45"/>
      <c r="G2623" s="4"/>
      <c r="H2623" s="47"/>
      <c r="Z2623" s="6"/>
    </row>
    <row r="2624" spans="5:26" x14ac:dyDescent="0.2">
      <c r="E2624" s="4"/>
      <c r="F2624" s="45"/>
      <c r="G2624" s="4"/>
      <c r="H2624" s="47"/>
      <c r="Z2624" s="6"/>
    </row>
    <row r="2625" spans="5:26" x14ac:dyDescent="0.2">
      <c r="E2625" s="4"/>
      <c r="F2625" s="45"/>
      <c r="G2625" s="4"/>
      <c r="H2625" s="47"/>
      <c r="Z2625" s="6"/>
    </row>
    <row r="2626" spans="5:26" x14ac:dyDescent="0.2">
      <c r="E2626" s="4"/>
      <c r="F2626" s="45"/>
      <c r="G2626" s="4"/>
      <c r="H2626" s="47"/>
      <c r="Z2626" s="6"/>
    </row>
    <row r="2627" spans="5:26" x14ac:dyDescent="0.2">
      <c r="E2627" s="4"/>
      <c r="F2627" s="45"/>
      <c r="G2627" s="4"/>
      <c r="H2627" s="47"/>
      <c r="Z2627" s="6"/>
    </row>
    <row r="2628" spans="5:26" x14ac:dyDescent="0.2">
      <c r="E2628" s="4"/>
      <c r="F2628" s="45"/>
      <c r="G2628" s="4"/>
      <c r="H2628" s="47"/>
      <c r="Z2628" s="6"/>
    </row>
    <row r="2629" spans="5:26" x14ac:dyDescent="0.2">
      <c r="E2629" s="4"/>
      <c r="F2629" s="45"/>
      <c r="G2629" s="4"/>
      <c r="H2629" s="47"/>
      <c r="Z2629" s="6"/>
    </row>
    <row r="2630" spans="5:26" x14ac:dyDescent="0.2">
      <c r="E2630" s="4"/>
      <c r="F2630" s="45"/>
      <c r="G2630" s="4"/>
      <c r="H2630" s="47"/>
      <c r="Z2630" s="6"/>
    </row>
    <row r="2631" spans="5:26" x14ac:dyDescent="0.2">
      <c r="E2631" s="4"/>
      <c r="F2631" s="45"/>
      <c r="G2631" s="4"/>
      <c r="H2631" s="47"/>
      <c r="Z2631" s="6"/>
    </row>
    <row r="2632" spans="5:26" x14ac:dyDescent="0.2">
      <c r="E2632" s="4"/>
      <c r="F2632" s="45"/>
      <c r="G2632" s="4"/>
      <c r="H2632" s="47"/>
      <c r="Z2632" s="6"/>
    </row>
    <row r="2633" spans="5:26" x14ac:dyDescent="0.2">
      <c r="E2633" s="4"/>
      <c r="F2633" s="45"/>
      <c r="G2633" s="4"/>
      <c r="H2633" s="47"/>
      <c r="Z2633" s="6"/>
    </row>
    <row r="2634" spans="5:26" x14ac:dyDescent="0.2">
      <c r="E2634" s="4"/>
      <c r="F2634" s="45"/>
      <c r="G2634" s="4"/>
      <c r="H2634" s="47"/>
      <c r="Z2634" s="6"/>
    </row>
    <row r="2635" spans="5:26" x14ac:dyDescent="0.2">
      <c r="E2635" s="4"/>
      <c r="F2635" s="45"/>
      <c r="G2635" s="4"/>
      <c r="H2635" s="47"/>
      <c r="Z2635" s="6"/>
    </row>
    <row r="2636" spans="5:26" x14ac:dyDescent="0.2">
      <c r="E2636" s="4"/>
      <c r="F2636" s="45"/>
      <c r="G2636" s="4"/>
      <c r="H2636" s="47"/>
      <c r="Z2636" s="6"/>
    </row>
    <row r="2637" spans="5:26" x14ac:dyDescent="0.2">
      <c r="E2637" s="4"/>
      <c r="F2637" s="45"/>
      <c r="G2637" s="4"/>
      <c r="H2637" s="47"/>
      <c r="Z2637" s="6"/>
    </row>
    <row r="2638" spans="5:26" x14ac:dyDescent="0.2">
      <c r="E2638" s="4"/>
      <c r="F2638" s="45"/>
      <c r="G2638" s="4"/>
      <c r="H2638" s="47"/>
      <c r="Z2638" s="6"/>
    </row>
    <row r="2639" spans="5:26" x14ac:dyDescent="0.2">
      <c r="E2639" s="4"/>
      <c r="F2639" s="45"/>
      <c r="G2639" s="4"/>
      <c r="H2639" s="47"/>
      <c r="Z2639" s="6"/>
    </row>
    <row r="2640" spans="5:26" x14ac:dyDescent="0.2">
      <c r="E2640" s="4"/>
      <c r="F2640" s="45"/>
      <c r="G2640" s="4"/>
      <c r="H2640" s="47"/>
      <c r="Z2640" s="6"/>
    </row>
    <row r="2641" spans="5:26" x14ac:dyDescent="0.2">
      <c r="E2641" s="4"/>
      <c r="F2641" s="45"/>
      <c r="G2641" s="4"/>
      <c r="H2641" s="47"/>
      <c r="Z2641" s="6"/>
    </row>
    <row r="2642" spans="5:26" x14ac:dyDescent="0.2">
      <c r="E2642" s="4"/>
      <c r="F2642" s="45"/>
      <c r="G2642" s="4"/>
      <c r="H2642" s="47"/>
      <c r="Z2642" s="6"/>
    </row>
    <row r="2643" spans="5:26" x14ac:dyDescent="0.2">
      <c r="E2643" s="4"/>
      <c r="F2643" s="45"/>
      <c r="G2643" s="4"/>
      <c r="H2643" s="47"/>
      <c r="Z2643" s="6"/>
    </row>
    <row r="2644" spans="5:26" x14ac:dyDescent="0.2">
      <c r="E2644" s="4"/>
      <c r="F2644" s="45"/>
      <c r="G2644" s="4"/>
      <c r="H2644" s="47"/>
      <c r="Z2644" s="6"/>
    </row>
    <row r="2645" spans="5:26" x14ac:dyDescent="0.2">
      <c r="E2645" s="4"/>
      <c r="F2645" s="45"/>
      <c r="G2645" s="4"/>
      <c r="H2645" s="47"/>
      <c r="Z2645" s="6"/>
    </row>
    <row r="2646" spans="5:26" x14ac:dyDescent="0.2">
      <c r="E2646" s="4"/>
      <c r="F2646" s="45"/>
      <c r="G2646" s="4"/>
      <c r="H2646" s="47"/>
      <c r="Z2646" s="6"/>
    </row>
    <row r="2647" spans="5:26" x14ac:dyDescent="0.2">
      <c r="E2647" s="4"/>
      <c r="F2647" s="45"/>
      <c r="G2647" s="4"/>
      <c r="H2647" s="47"/>
      <c r="Z2647" s="6"/>
    </row>
    <row r="2648" spans="5:26" x14ac:dyDescent="0.2">
      <c r="E2648" s="4"/>
      <c r="F2648" s="45"/>
      <c r="G2648" s="4"/>
      <c r="H2648" s="47"/>
      <c r="Z2648" s="6"/>
    </row>
    <row r="2649" spans="5:26" x14ac:dyDescent="0.2">
      <c r="E2649" s="4"/>
      <c r="F2649" s="45"/>
      <c r="G2649" s="4"/>
      <c r="H2649" s="47"/>
      <c r="Z2649" s="6"/>
    </row>
    <row r="2650" spans="5:26" x14ac:dyDescent="0.2">
      <c r="E2650" s="4"/>
      <c r="F2650" s="45"/>
      <c r="G2650" s="4"/>
      <c r="H2650" s="47"/>
      <c r="Z2650" s="6"/>
    </row>
    <row r="2651" spans="5:26" x14ac:dyDescent="0.2">
      <c r="E2651" s="4"/>
      <c r="F2651" s="45"/>
      <c r="G2651" s="4"/>
      <c r="H2651" s="47"/>
      <c r="Z2651" s="6"/>
    </row>
    <row r="2652" spans="5:26" x14ac:dyDescent="0.2">
      <c r="E2652" s="4"/>
      <c r="F2652" s="45"/>
      <c r="G2652" s="4"/>
      <c r="H2652" s="47"/>
      <c r="Z2652" s="6"/>
    </row>
    <row r="2653" spans="5:26" x14ac:dyDescent="0.2">
      <c r="E2653" s="4"/>
      <c r="F2653" s="45"/>
      <c r="G2653" s="4"/>
      <c r="H2653" s="47"/>
      <c r="Z2653" s="6"/>
    </row>
    <row r="2654" spans="5:26" x14ac:dyDescent="0.2">
      <c r="E2654" s="4"/>
      <c r="F2654" s="45"/>
      <c r="G2654" s="4"/>
      <c r="H2654" s="47"/>
      <c r="Z2654" s="6"/>
    </row>
    <row r="2655" spans="5:26" x14ac:dyDescent="0.2">
      <c r="E2655" s="4"/>
      <c r="F2655" s="45"/>
      <c r="G2655" s="4"/>
      <c r="H2655" s="47"/>
      <c r="Z2655" s="6"/>
    </row>
    <row r="2656" spans="5:26" x14ac:dyDescent="0.2">
      <c r="E2656" s="4"/>
      <c r="F2656" s="45"/>
      <c r="G2656" s="4"/>
      <c r="H2656" s="47"/>
      <c r="Z2656" s="6"/>
    </row>
    <row r="2657" spans="5:26" x14ac:dyDescent="0.2">
      <c r="E2657" s="4"/>
      <c r="F2657" s="45"/>
      <c r="G2657" s="4"/>
      <c r="H2657" s="47"/>
      <c r="Z2657" s="6"/>
    </row>
    <row r="2658" spans="5:26" x14ac:dyDescent="0.2">
      <c r="E2658" s="4"/>
      <c r="F2658" s="45"/>
      <c r="G2658" s="4"/>
      <c r="H2658" s="47"/>
      <c r="Z2658" s="6"/>
    </row>
    <row r="2659" spans="5:26" x14ac:dyDescent="0.2">
      <c r="E2659" s="4"/>
      <c r="F2659" s="45"/>
      <c r="G2659" s="4"/>
      <c r="H2659" s="47"/>
      <c r="Z2659" s="6"/>
    </row>
    <row r="2660" spans="5:26" x14ac:dyDescent="0.2">
      <c r="E2660" s="4"/>
      <c r="F2660" s="45"/>
      <c r="G2660" s="4"/>
      <c r="H2660" s="47"/>
      <c r="Z2660" s="6"/>
    </row>
    <row r="2661" spans="5:26" x14ac:dyDescent="0.2">
      <c r="E2661" s="4"/>
      <c r="F2661" s="45"/>
      <c r="G2661" s="4"/>
      <c r="H2661" s="47"/>
      <c r="Z2661" s="6"/>
    </row>
    <row r="2662" spans="5:26" x14ac:dyDescent="0.2">
      <c r="E2662" s="4"/>
      <c r="F2662" s="45"/>
      <c r="G2662" s="4"/>
      <c r="H2662" s="47"/>
      <c r="Z2662" s="6"/>
    </row>
    <row r="2663" spans="5:26" x14ac:dyDescent="0.2">
      <c r="E2663" s="4"/>
      <c r="F2663" s="45"/>
      <c r="G2663" s="4"/>
      <c r="H2663" s="47"/>
      <c r="Z2663" s="6"/>
    </row>
    <row r="2664" spans="5:26" x14ac:dyDescent="0.2">
      <c r="E2664" s="4"/>
      <c r="F2664" s="45"/>
      <c r="G2664" s="4"/>
      <c r="H2664" s="47"/>
      <c r="Z2664" s="6"/>
    </row>
    <row r="2665" spans="5:26" x14ac:dyDescent="0.2">
      <c r="E2665" s="4"/>
      <c r="F2665" s="45"/>
      <c r="G2665" s="4"/>
      <c r="H2665" s="47"/>
      <c r="Z2665" s="6"/>
    </row>
    <row r="2666" spans="5:26" x14ac:dyDescent="0.2">
      <c r="E2666" s="4"/>
      <c r="F2666" s="45"/>
      <c r="G2666" s="4"/>
      <c r="H2666" s="47"/>
      <c r="Z2666" s="6"/>
    </row>
    <row r="2667" spans="5:26" x14ac:dyDescent="0.2">
      <c r="E2667" s="4"/>
      <c r="F2667" s="45"/>
      <c r="G2667" s="4"/>
      <c r="H2667" s="47"/>
      <c r="Z2667" s="6"/>
    </row>
    <row r="2668" spans="5:26" x14ac:dyDescent="0.2">
      <c r="E2668" s="4"/>
      <c r="F2668" s="45"/>
      <c r="G2668" s="4"/>
      <c r="H2668" s="47"/>
      <c r="Z2668" s="6"/>
    </row>
    <row r="2669" spans="5:26" x14ac:dyDescent="0.2">
      <c r="E2669" s="4"/>
      <c r="F2669" s="45"/>
      <c r="G2669" s="4"/>
      <c r="H2669" s="47"/>
      <c r="Z2669" s="6"/>
    </row>
    <row r="2670" spans="5:26" x14ac:dyDescent="0.2">
      <c r="E2670" s="4"/>
      <c r="F2670" s="45"/>
      <c r="G2670" s="4"/>
      <c r="H2670" s="47"/>
      <c r="Z2670" s="6"/>
    </row>
    <row r="2671" spans="5:26" x14ac:dyDescent="0.2">
      <c r="E2671" s="4"/>
      <c r="F2671" s="45"/>
      <c r="G2671" s="4"/>
      <c r="H2671" s="47"/>
      <c r="Z2671" s="6"/>
    </row>
    <row r="2672" spans="5:26" x14ac:dyDescent="0.2">
      <c r="E2672" s="4"/>
      <c r="F2672" s="45"/>
      <c r="G2672" s="4"/>
      <c r="H2672" s="47"/>
      <c r="Z2672" s="6"/>
    </row>
    <row r="2673" spans="5:26" x14ac:dyDescent="0.2">
      <c r="E2673" s="4"/>
      <c r="F2673" s="45"/>
      <c r="G2673" s="4"/>
      <c r="H2673" s="47"/>
      <c r="Z2673" s="6"/>
    </row>
    <row r="2674" spans="5:26" x14ac:dyDescent="0.2">
      <c r="E2674" s="4"/>
      <c r="F2674" s="45"/>
      <c r="G2674" s="4"/>
      <c r="H2674" s="47"/>
      <c r="Z2674" s="6"/>
    </row>
    <row r="2675" spans="5:26" x14ac:dyDescent="0.2">
      <c r="E2675" s="4"/>
      <c r="F2675" s="45"/>
      <c r="G2675" s="4"/>
      <c r="H2675" s="47"/>
      <c r="Z2675" s="6"/>
    </row>
    <row r="2676" spans="5:26" x14ac:dyDescent="0.2">
      <c r="E2676" s="4"/>
      <c r="F2676" s="45"/>
      <c r="G2676" s="4"/>
      <c r="H2676" s="47"/>
      <c r="Z2676" s="6"/>
    </row>
    <row r="2677" spans="5:26" x14ac:dyDescent="0.2">
      <c r="E2677" s="4"/>
      <c r="F2677" s="45"/>
      <c r="G2677" s="4"/>
      <c r="H2677" s="47"/>
      <c r="Z2677" s="6"/>
    </row>
    <row r="2678" spans="5:26" x14ac:dyDescent="0.2">
      <c r="E2678" s="4"/>
      <c r="F2678" s="45"/>
      <c r="G2678" s="4"/>
      <c r="H2678" s="47"/>
      <c r="Z2678" s="6"/>
    </row>
    <row r="2679" spans="5:26" x14ac:dyDescent="0.2">
      <c r="E2679" s="4"/>
      <c r="F2679" s="45"/>
      <c r="G2679" s="4"/>
      <c r="H2679" s="47"/>
      <c r="Z2679" s="6"/>
    </row>
    <row r="2680" spans="5:26" x14ac:dyDescent="0.2">
      <c r="E2680" s="4"/>
      <c r="F2680" s="45"/>
      <c r="G2680" s="4"/>
      <c r="H2680" s="47"/>
      <c r="Z2680" s="6"/>
    </row>
    <row r="2681" spans="5:26" x14ac:dyDescent="0.2">
      <c r="E2681" s="4"/>
      <c r="F2681" s="45"/>
      <c r="G2681" s="4"/>
      <c r="H2681" s="47"/>
      <c r="Z2681" s="6"/>
    </row>
    <row r="2682" spans="5:26" x14ac:dyDescent="0.2">
      <c r="E2682" s="4"/>
      <c r="F2682" s="45"/>
      <c r="G2682" s="4"/>
      <c r="H2682" s="47"/>
      <c r="Z2682" s="6"/>
    </row>
    <row r="2683" spans="5:26" x14ac:dyDescent="0.2">
      <c r="E2683" s="4"/>
      <c r="F2683" s="45"/>
      <c r="G2683" s="4"/>
      <c r="H2683" s="47"/>
      <c r="Z2683" s="6"/>
    </row>
    <row r="2684" spans="5:26" x14ac:dyDescent="0.2">
      <c r="E2684" s="4"/>
      <c r="F2684" s="45"/>
      <c r="G2684" s="4"/>
      <c r="H2684" s="47"/>
      <c r="Z2684" s="6"/>
    </row>
    <row r="2685" spans="5:26" x14ac:dyDescent="0.2">
      <c r="E2685" s="4"/>
      <c r="F2685" s="45"/>
      <c r="G2685" s="4"/>
      <c r="H2685" s="47"/>
      <c r="Z2685" s="6"/>
    </row>
    <row r="2686" spans="5:26" x14ac:dyDescent="0.2">
      <c r="E2686" s="4"/>
      <c r="F2686" s="45"/>
      <c r="G2686" s="4"/>
      <c r="H2686" s="47"/>
      <c r="Z2686" s="6"/>
    </row>
    <row r="2687" spans="5:26" x14ac:dyDescent="0.2">
      <c r="E2687" s="4"/>
      <c r="F2687" s="45"/>
      <c r="G2687" s="4"/>
      <c r="H2687" s="47"/>
      <c r="Z2687" s="6"/>
    </row>
    <row r="2688" spans="5:26" x14ac:dyDescent="0.2">
      <c r="E2688" s="4"/>
      <c r="F2688" s="45"/>
      <c r="G2688" s="4"/>
      <c r="H2688" s="47"/>
      <c r="Z2688" s="6"/>
    </row>
    <row r="2689" spans="5:26" x14ac:dyDescent="0.2">
      <c r="E2689" s="4"/>
      <c r="F2689" s="45"/>
      <c r="G2689" s="4"/>
      <c r="H2689" s="47"/>
      <c r="Z2689" s="6"/>
    </row>
    <row r="2690" spans="5:26" x14ac:dyDescent="0.2">
      <c r="E2690" s="4"/>
      <c r="F2690" s="45"/>
      <c r="G2690" s="4"/>
      <c r="H2690" s="47"/>
      <c r="Z2690" s="6"/>
    </row>
    <row r="2691" spans="5:26" x14ac:dyDescent="0.2">
      <c r="E2691" s="4"/>
      <c r="F2691" s="45"/>
      <c r="G2691" s="4"/>
      <c r="H2691" s="47"/>
      <c r="Z2691" s="6"/>
    </row>
    <row r="2692" spans="5:26" x14ac:dyDescent="0.2">
      <c r="E2692" s="4"/>
      <c r="F2692" s="45"/>
      <c r="G2692" s="4"/>
      <c r="H2692" s="47"/>
      <c r="Z2692" s="6"/>
    </row>
    <row r="2693" spans="5:26" x14ac:dyDescent="0.2">
      <c r="E2693" s="4"/>
      <c r="F2693" s="45"/>
      <c r="G2693" s="4"/>
      <c r="H2693" s="47"/>
      <c r="Z2693" s="6"/>
    </row>
    <row r="2694" spans="5:26" x14ac:dyDescent="0.2">
      <c r="E2694" s="4"/>
      <c r="F2694" s="45"/>
      <c r="G2694" s="4"/>
      <c r="H2694" s="47"/>
      <c r="Z2694" s="6"/>
    </row>
    <row r="2695" spans="5:26" x14ac:dyDescent="0.2">
      <c r="E2695" s="4"/>
      <c r="F2695" s="45"/>
      <c r="G2695" s="4"/>
      <c r="H2695" s="47"/>
      <c r="Z2695" s="6"/>
    </row>
    <row r="2696" spans="5:26" x14ac:dyDescent="0.2">
      <c r="E2696" s="4"/>
      <c r="F2696" s="45"/>
      <c r="G2696" s="4"/>
      <c r="H2696" s="47"/>
      <c r="Z2696" s="6"/>
    </row>
    <row r="2697" spans="5:26" x14ac:dyDescent="0.2">
      <c r="E2697" s="4"/>
      <c r="F2697" s="45"/>
      <c r="G2697" s="4"/>
      <c r="H2697" s="47"/>
      <c r="Z2697" s="6"/>
    </row>
    <row r="2698" spans="5:26" x14ac:dyDescent="0.2">
      <c r="E2698" s="4"/>
      <c r="F2698" s="45"/>
      <c r="G2698" s="4"/>
      <c r="H2698" s="47"/>
      <c r="Z2698" s="6"/>
    </row>
    <row r="2699" spans="5:26" x14ac:dyDescent="0.2">
      <c r="E2699" s="4"/>
      <c r="F2699" s="45"/>
      <c r="G2699" s="4"/>
      <c r="H2699" s="47"/>
      <c r="Z2699" s="6"/>
    </row>
    <row r="2700" spans="5:26" x14ac:dyDescent="0.2">
      <c r="E2700" s="4"/>
      <c r="F2700" s="45"/>
      <c r="G2700" s="4"/>
      <c r="H2700" s="47"/>
      <c r="Z2700" s="6"/>
    </row>
    <row r="2701" spans="5:26" x14ac:dyDescent="0.2">
      <c r="E2701" s="4"/>
      <c r="F2701" s="45"/>
      <c r="G2701" s="4"/>
      <c r="H2701" s="47"/>
      <c r="Z2701" s="6"/>
    </row>
    <row r="2702" spans="5:26" x14ac:dyDescent="0.2">
      <c r="E2702" s="4"/>
      <c r="F2702" s="45"/>
      <c r="G2702" s="4"/>
      <c r="H2702" s="47"/>
      <c r="Z2702" s="6"/>
    </row>
    <row r="2703" spans="5:26" x14ac:dyDescent="0.2">
      <c r="E2703" s="4"/>
      <c r="F2703" s="45"/>
      <c r="G2703" s="4"/>
      <c r="H2703" s="47"/>
      <c r="Z2703" s="6"/>
    </row>
    <row r="2704" spans="5:26" x14ac:dyDescent="0.2">
      <c r="E2704" s="4"/>
      <c r="F2704" s="45"/>
      <c r="G2704" s="4"/>
      <c r="H2704" s="47"/>
      <c r="Z2704" s="6"/>
    </row>
    <row r="2705" spans="5:26" x14ac:dyDescent="0.2">
      <c r="E2705" s="4"/>
      <c r="F2705" s="45"/>
      <c r="G2705" s="4"/>
      <c r="H2705" s="47"/>
      <c r="Z2705" s="6"/>
    </row>
    <row r="2706" spans="5:26" x14ac:dyDescent="0.2">
      <c r="E2706" s="4"/>
      <c r="F2706" s="45"/>
      <c r="G2706" s="4"/>
      <c r="H2706" s="47"/>
      <c r="Z2706" s="6"/>
    </row>
    <row r="2707" spans="5:26" x14ac:dyDescent="0.2">
      <c r="E2707" s="4"/>
      <c r="F2707" s="45"/>
      <c r="G2707" s="4"/>
      <c r="H2707" s="47"/>
      <c r="Z2707" s="6"/>
    </row>
    <row r="2708" spans="5:26" x14ac:dyDescent="0.2">
      <c r="E2708" s="4"/>
      <c r="F2708" s="45"/>
      <c r="G2708" s="4"/>
      <c r="H2708" s="47"/>
      <c r="Z2708" s="6"/>
    </row>
    <row r="2709" spans="5:26" x14ac:dyDescent="0.2">
      <c r="E2709" s="4"/>
      <c r="F2709" s="45"/>
      <c r="G2709" s="4"/>
      <c r="H2709" s="47"/>
      <c r="Z2709" s="6"/>
    </row>
    <row r="2710" spans="5:26" x14ac:dyDescent="0.2">
      <c r="E2710" s="4"/>
      <c r="F2710" s="45"/>
      <c r="G2710" s="4"/>
      <c r="H2710" s="47"/>
      <c r="Z2710" s="6"/>
    </row>
    <row r="2711" spans="5:26" x14ac:dyDescent="0.2">
      <c r="E2711" s="4"/>
      <c r="F2711" s="45"/>
      <c r="G2711" s="4"/>
      <c r="H2711" s="47"/>
      <c r="Z2711" s="6"/>
    </row>
    <row r="2712" spans="5:26" x14ac:dyDescent="0.2">
      <c r="E2712" s="4"/>
      <c r="F2712" s="45"/>
      <c r="G2712" s="4"/>
      <c r="H2712" s="47"/>
      <c r="Z2712" s="6"/>
    </row>
    <row r="2713" spans="5:26" x14ac:dyDescent="0.2">
      <c r="E2713" s="4"/>
      <c r="F2713" s="45"/>
      <c r="G2713" s="4"/>
      <c r="H2713" s="47"/>
      <c r="Z2713" s="6"/>
    </row>
    <row r="2714" spans="5:26" x14ac:dyDescent="0.2">
      <c r="E2714" s="4"/>
      <c r="F2714" s="45"/>
      <c r="G2714" s="4"/>
      <c r="H2714" s="47"/>
      <c r="Z2714" s="6"/>
    </row>
    <row r="2715" spans="5:26" x14ac:dyDescent="0.2">
      <c r="E2715" s="4"/>
      <c r="F2715" s="45"/>
      <c r="G2715" s="4"/>
      <c r="H2715" s="47"/>
      <c r="Z2715" s="6"/>
    </row>
    <row r="2716" spans="5:26" x14ac:dyDescent="0.2">
      <c r="E2716" s="4"/>
      <c r="F2716" s="45"/>
      <c r="G2716" s="4"/>
      <c r="H2716" s="47"/>
      <c r="Z2716" s="6"/>
    </row>
    <row r="2717" spans="5:26" x14ac:dyDescent="0.2">
      <c r="E2717" s="4"/>
      <c r="F2717" s="45"/>
      <c r="G2717" s="4"/>
      <c r="H2717" s="47"/>
      <c r="Z2717" s="6"/>
    </row>
    <row r="2718" spans="5:26" x14ac:dyDescent="0.2">
      <c r="E2718" s="4"/>
      <c r="F2718" s="45"/>
      <c r="G2718" s="4"/>
      <c r="H2718" s="47"/>
      <c r="Z2718" s="6"/>
    </row>
    <row r="2719" spans="5:26" x14ac:dyDescent="0.2">
      <c r="E2719" s="4"/>
      <c r="F2719" s="45"/>
      <c r="G2719" s="4"/>
      <c r="H2719" s="47"/>
      <c r="Z2719" s="6"/>
    </row>
    <row r="2720" spans="5:26" x14ac:dyDescent="0.2">
      <c r="E2720" s="4"/>
      <c r="F2720" s="45"/>
      <c r="G2720" s="4"/>
      <c r="H2720" s="47"/>
      <c r="Z2720" s="6"/>
    </row>
    <row r="2721" spans="5:26" x14ac:dyDescent="0.2">
      <c r="E2721" s="4"/>
      <c r="F2721" s="45"/>
      <c r="G2721" s="4"/>
      <c r="H2721" s="47"/>
      <c r="Z2721" s="6"/>
    </row>
    <row r="2722" spans="5:26" x14ac:dyDescent="0.2">
      <c r="E2722" s="4"/>
      <c r="F2722" s="45"/>
      <c r="G2722" s="4"/>
      <c r="H2722" s="47"/>
      <c r="Z2722" s="6"/>
    </row>
    <row r="2723" spans="5:26" x14ac:dyDescent="0.2">
      <c r="E2723" s="4"/>
      <c r="F2723" s="45"/>
      <c r="G2723" s="4"/>
      <c r="H2723" s="47"/>
      <c r="Z2723" s="6"/>
    </row>
    <row r="2724" spans="5:26" x14ac:dyDescent="0.2">
      <c r="E2724" s="4"/>
      <c r="F2724" s="45"/>
      <c r="G2724" s="4"/>
      <c r="H2724" s="47"/>
      <c r="Z2724" s="6"/>
    </row>
    <row r="2725" spans="5:26" x14ac:dyDescent="0.2">
      <c r="E2725" s="4"/>
      <c r="F2725" s="45"/>
      <c r="G2725" s="4"/>
      <c r="H2725" s="47"/>
      <c r="Z2725" s="6"/>
    </row>
    <row r="2726" spans="5:26" x14ac:dyDescent="0.2">
      <c r="E2726" s="4"/>
      <c r="F2726" s="45"/>
      <c r="G2726" s="4"/>
      <c r="H2726" s="47"/>
      <c r="Z2726" s="6"/>
    </row>
    <row r="2727" spans="5:26" x14ac:dyDescent="0.2">
      <c r="E2727" s="4"/>
      <c r="F2727" s="45"/>
      <c r="G2727" s="4"/>
      <c r="H2727" s="47"/>
      <c r="Z2727" s="6"/>
    </row>
    <row r="2728" spans="5:26" x14ac:dyDescent="0.2">
      <c r="E2728" s="4"/>
      <c r="F2728" s="45"/>
      <c r="G2728" s="4"/>
      <c r="H2728" s="47"/>
      <c r="Z2728" s="6"/>
    </row>
    <row r="2729" spans="5:26" x14ac:dyDescent="0.2">
      <c r="E2729" s="4"/>
      <c r="F2729" s="45"/>
      <c r="G2729" s="4"/>
      <c r="H2729" s="47"/>
      <c r="Z2729" s="6"/>
    </row>
    <row r="2730" spans="5:26" x14ac:dyDescent="0.2">
      <c r="E2730" s="4"/>
      <c r="F2730" s="45"/>
      <c r="G2730" s="4"/>
      <c r="H2730" s="47"/>
      <c r="Z2730" s="6"/>
    </row>
    <row r="2731" spans="5:26" x14ac:dyDescent="0.2">
      <c r="E2731" s="4"/>
      <c r="F2731" s="45"/>
      <c r="G2731" s="4"/>
      <c r="H2731" s="47"/>
      <c r="Z2731" s="6"/>
    </row>
    <row r="2732" spans="5:26" x14ac:dyDescent="0.2">
      <c r="E2732" s="4"/>
      <c r="F2732" s="45"/>
      <c r="G2732" s="4"/>
      <c r="H2732" s="47"/>
      <c r="Z2732" s="6"/>
    </row>
    <row r="2733" spans="5:26" x14ac:dyDescent="0.2">
      <c r="E2733" s="4"/>
      <c r="F2733" s="45"/>
      <c r="G2733" s="4"/>
      <c r="H2733" s="47"/>
      <c r="Z2733" s="6"/>
    </row>
    <row r="2734" spans="5:26" x14ac:dyDescent="0.2">
      <c r="E2734" s="4"/>
      <c r="F2734" s="45"/>
      <c r="G2734" s="4"/>
      <c r="H2734" s="47"/>
      <c r="Z2734" s="6"/>
    </row>
    <row r="2735" spans="5:26" x14ac:dyDescent="0.2">
      <c r="E2735" s="4"/>
      <c r="F2735" s="45"/>
      <c r="G2735" s="4"/>
      <c r="H2735" s="47"/>
      <c r="Z2735" s="6"/>
    </row>
    <row r="2736" spans="5:26" x14ac:dyDescent="0.2">
      <c r="E2736" s="4"/>
      <c r="F2736" s="45"/>
      <c r="G2736" s="4"/>
      <c r="H2736" s="47"/>
      <c r="Z2736" s="6"/>
    </row>
    <row r="2737" spans="5:26" x14ac:dyDescent="0.2">
      <c r="E2737" s="4"/>
      <c r="F2737" s="45"/>
      <c r="G2737" s="4"/>
      <c r="H2737" s="47"/>
      <c r="Z2737" s="6"/>
    </row>
    <row r="2738" spans="5:26" x14ac:dyDescent="0.2">
      <c r="E2738" s="4"/>
      <c r="F2738" s="45"/>
      <c r="G2738" s="4"/>
      <c r="H2738" s="47"/>
      <c r="Z2738" s="6"/>
    </row>
    <row r="2739" spans="5:26" x14ac:dyDescent="0.2">
      <c r="E2739" s="4"/>
      <c r="F2739" s="45"/>
      <c r="G2739" s="4"/>
      <c r="H2739" s="47"/>
      <c r="Z2739" s="6"/>
    </row>
    <row r="2740" spans="5:26" x14ac:dyDescent="0.2">
      <c r="E2740" s="4"/>
      <c r="F2740" s="45"/>
      <c r="G2740" s="4"/>
      <c r="H2740" s="47"/>
      <c r="Z2740" s="6"/>
    </row>
    <row r="2741" spans="5:26" x14ac:dyDescent="0.2">
      <c r="E2741" s="4"/>
      <c r="F2741" s="45"/>
      <c r="G2741" s="4"/>
      <c r="H2741" s="47"/>
      <c r="Z2741" s="6"/>
    </row>
    <row r="2742" spans="5:26" x14ac:dyDescent="0.2">
      <c r="E2742" s="4"/>
      <c r="F2742" s="45"/>
      <c r="G2742" s="4"/>
      <c r="H2742" s="47"/>
      <c r="Z2742" s="6"/>
    </row>
    <row r="2743" spans="5:26" x14ac:dyDescent="0.2">
      <c r="E2743" s="4"/>
      <c r="F2743" s="45"/>
      <c r="G2743" s="4"/>
      <c r="H2743" s="47"/>
      <c r="Z2743" s="6"/>
    </row>
    <row r="2744" spans="5:26" x14ac:dyDescent="0.2">
      <c r="E2744" s="4"/>
      <c r="F2744" s="45"/>
      <c r="G2744" s="4"/>
      <c r="H2744" s="47"/>
      <c r="Z2744" s="6"/>
    </row>
    <row r="2745" spans="5:26" x14ac:dyDescent="0.2">
      <c r="E2745" s="4"/>
      <c r="F2745" s="45"/>
      <c r="G2745" s="4"/>
      <c r="H2745" s="47"/>
      <c r="Z2745" s="6"/>
    </row>
    <row r="2746" spans="5:26" x14ac:dyDescent="0.2">
      <c r="E2746" s="4"/>
      <c r="F2746" s="45"/>
      <c r="G2746" s="4"/>
      <c r="H2746" s="47"/>
      <c r="Z2746" s="6"/>
    </row>
    <row r="2747" spans="5:26" x14ac:dyDescent="0.2">
      <c r="E2747" s="4"/>
      <c r="F2747" s="45"/>
      <c r="G2747" s="4"/>
      <c r="H2747" s="47"/>
      <c r="Z2747" s="6"/>
    </row>
    <row r="2748" spans="5:26" x14ac:dyDescent="0.2">
      <c r="E2748" s="4"/>
      <c r="F2748" s="45"/>
      <c r="G2748" s="4"/>
      <c r="H2748" s="47"/>
      <c r="Z2748" s="6"/>
    </row>
    <row r="2749" spans="5:26" x14ac:dyDescent="0.2">
      <c r="E2749" s="4"/>
      <c r="F2749" s="45"/>
      <c r="G2749" s="4"/>
      <c r="H2749" s="47"/>
      <c r="Z2749" s="6"/>
    </row>
    <row r="2750" spans="5:26" x14ac:dyDescent="0.2">
      <c r="E2750" s="4"/>
      <c r="F2750" s="45"/>
      <c r="G2750" s="4"/>
      <c r="H2750" s="47"/>
      <c r="Z2750" s="6"/>
    </row>
    <row r="2751" spans="5:26" x14ac:dyDescent="0.2">
      <c r="E2751" s="4"/>
      <c r="F2751" s="45"/>
      <c r="G2751" s="4"/>
      <c r="H2751" s="47"/>
      <c r="Z2751" s="6"/>
    </row>
    <row r="2752" spans="5:26" x14ac:dyDescent="0.2">
      <c r="E2752" s="4"/>
      <c r="F2752" s="45"/>
      <c r="G2752" s="4"/>
      <c r="H2752" s="47"/>
      <c r="Z2752" s="6"/>
    </row>
    <row r="2753" spans="5:26" x14ac:dyDescent="0.2">
      <c r="E2753" s="4"/>
      <c r="F2753" s="45"/>
      <c r="G2753" s="4"/>
      <c r="H2753" s="47"/>
      <c r="Z2753" s="6"/>
    </row>
    <row r="2754" spans="5:26" x14ac:dyDescent="0.2">
      <c r="E2754" s="4"/>
      <c r="F2754" s="45"/>
      <c r="G2754" s="4"/>
      <c r="H2754" s="47"/>
      <c r="Z2754" s="6"/>
    </row>
    <row r="2755" spans="5:26" x14ac:dyDescent="0.2">
      <c r="E2755" s="4"/>
      <c r="F2755" s="45"/>
      <c r="G2755" s="4"/>
      <c r="H2755" s="47"/>
      <c r="Z2755" s="6"/>
    </row>
    <row r="2756" spans="5:26" x14ac:dyDescent="0.2">
      <c r="E2756" s="4"/>
      <c r="F2756" s="45"/>
      <c r="G2756" s="4"/>
      <c r="H2756" s="47"/>
      <c r="Z2756" s="6"/>
    </row>
    <row r="2757" spans="5:26" x14ac:dyDescent="0.2">
      <c r="E2757" s="4"/>
      <c r="F2757" s="45"/>
      <c r="G2757" s="4"/>
      <c r="H2757" s="47"/>
      <c r="Z2757" s="6"/>
    </row>
    <row r="2758" spans="5:26" x14ac:dyDescent="0.2">
      <c r="E2758" s="4"/>
      <c r="F2758" s="45"/>
      <c r="G2758" s="4"/>
      <c r="H2758" s="47"/>
      <c r="Z2758" s="6"/>
    </row>
    <row r="2759" spans="5:26" x14ac:dyDescent="0.2">
      <c r="E2759" s="4"/>
      <c r="F2759" s="45"/>
      <c r="G2759" s="4"/>
      <c r="H2759" s="47"/>
      <c r="Z2759" s="6"/>
    </row>
    <row r="2760" spans="5:26" x14ac:dyDescent="0.2">
      <c r="E2760" s="4"/>
      <c r="F2760" s="45"/>
      <c r="G2760" s="4"/>
      <c r="H2760" s="47"/>
      <c r="Z2760" s="6"/>
    </row>
    <row r="2761" spans="5:26" x14ac:dyDescent="0.2">
      <c r="E2761" s="4"/>
      <c r="F2761" s="45"/>
      <c r="G2761" s="4"/>
      <c r="H2761" s="47"/>
      <c r="Z2761" s="6"/>
    </row>
    <row r="2762" spans="5:26" x14ac:dyDescent="0.2">
      <c r="E2762" s="4"/>
      <c r="F2762" s="45"/>
      <c r="G2762" s="4"/>
      <c r="H2762" s="47"/>
      <c r="Z2762" s="6"/>
    </row>
    <row r="2763" spans="5:26" x14ac:dyDescent="0.2">
      <c r="E2763" s="4"/>
      <c r="F2763" s="45"/>
      <c r="G2763" s="4"/>
      <c r="H2763" s="47"/>
      <c r="Z2763" s="6"/>
    </row>
    <row r="2764" spans="5:26" x14ac:dyDescent="0.2">
      <c r="E2764" s="4"/>
      <c r="F2764" s="45"/>
      <c r="G2764" s="4"/>
      <c r="H2764" s="47"/>
      <c r="Z2764" s="6"/>
    </row>
    <row r="2765" spans="5:26" x14ac:dyDescent="0.2">
      <c r="E2765" s="4"/>
      <c r="F2765" s="45"/>
      <c r="G2765" s="4"/>
      <c r="H2765" s="47"/>
      <c r="Z2765" s="6"/>
    </row>
    <row r="2766" spans="5:26" x14ac:dyDescent="0.2">
      <c r="E2766" s="4"/>
      <c r="F2766" s="45"/>
      <c r="G2766" s="4"/>
      <c r="H2766" s="47"/>
      <c r="Z2766" s="6"/>
    </row>
    <row r="2767" spans="5:26" x14ac:dyDescent="0.2">
      <c r="E2767" s="4"/>
      <c r="F2767" s="45"/>
      <c r="G2767" s="4"/>
      <c r="H2767" s="47"/>
      <c r="Z2767" s="6"/>
    </row>
    <row r="2768" spans="5:26" x14ac:dyDescent="0.2">
      <c r="E2768" s="4"/>
      <c r="F2768" s="45"/>
      <c r="G2768" s="4"/>
      <c r="H2768" s="47"/>
      <c r="Z2768" s="6"/>
    </row>
    <row r="2769" spans="5:26" x14ac:dyDescent="0.2">
      <c r="E2769" s="4"/>
      <c r="F2769" s="45"/>
      <c r="G2769" s="4"/>
      <c r="H2769" s="47"/>
      <c r="Z2769" s="6"/>
    </row>
    <row r="2770" spans="5:26" x14ac:dyDescent="0.2">
      <c r="E2770" s="4"/>
      <c r="F2770" s="45"/>
      <c r="G2770" s="4"/>
      <c r="H2770" s="47"/>
      <c r="Z2770" s="6"/>
    </row>
    <row r="2771" spans="5:26" x14ac:dyDescent="0.2">
      <c r="E2771" s="4"/>
      <c r="F2771" s="45"/>
      <c r="G2771" s="4"/>
      <c r="H2771" s="47"/>
      <c r="Z2771" s="6"/>
    </row>
    <row r="2772" spans="5:26" x14ac:dyDescent="0.2">
      <c r="E2772" s="4"/>
      <c r="F2772" s="45"/>
      <c r="G2772" s="4"/>
      <c r="H2772" s="47"/>
      <c r="Z2772" s="6"/>
    </row>
    <row r="2773" spans="5:26" x14ac:dyDescent="0.2">
      <c r="E2773" s="4"/>
      <c r="F2773" s="45"/>
      <c r="G2773" s="4"/>
      <c r="H2773" s="47"/>
      <c r="Z2773" s="6"/>
    </row>
    <row r="2774" spans="5:26" x14ac:dyDescent="0.2">
      <c r="E2774" s="4"/>
      <c r="F2774" s="45"/>
      <c r="G2774" s="4"/>
      <c r="H2774" s="47"/>
      <c r="Z2774" s="6"/>
    </row>
    <row r="2775" spans="5:26" x14ac:dyDescent="0.2">
      <c r="E2775" s="4"/>
      <c r="F2775" s="45"/>
      <c r="G2775" s="4"/>
      <c r="H2775" s="47"/>
      <c r="Z2775" s="6"/>
    </row>
    <row r="2776" spans="5:26" x14ac:dyDescent="0.2">
      <c r="E2776" s="4"/>
      <c r="F2776" s="45"/>
      <c r="G2776" s="4"/>
      <c r="H2776" s="47"/>
      <c r="Z2776" s="6"/>
    </row>
    <row r="2777" spans="5:26" x14ac:dyDescent="0.2">
      <c r="E2777" s="4"/>
      <c r="F2777" s="45"/>
      <c r="G2777" s="4"/>
      <c r="H2777" s="47"/>
      <c r="Z2777" s="6"/>
    </row>
    <row r="2778" spans="5:26" x14ac:dyDescent="0.2">
      <c r="E2778" s="4"/>
      <c r="F2778" s="45"/>
      <c r="G2778" s="4"/>
      <c r="H2778" s="47"/>
      <c r="Z2778" s="6"/>
    </row>
    <row r="2779" spans="5:26" x14ac:dyDescent="0.2">
      <c r="E2779" s="4"/>
      <c r="F2779" s="45"/>
      <c r="G2779" s="4"/>
      <c r="H2779" s="47"/>
      <c r="Z2779" s="6"/>
    </row>
    <row r="2780" spans="5:26" x14ac:dyDescent="0.2">
      <c r="E2780" s="4"/>
      <c r="F2780" s="45"/>
      <c r="G2780" s="4"/>
      <c r="H2780" s="47"/>
      <c r="Z2780" s="6"/>
    </row>
    <row r="2781" spans="5:26" x14ac:dyDescent="0.2">
      <c r="E2781" s="4"/>
      <c r="F2781" s="45"/>
      <c r="G2781" s="4"/>
      <c r="H2781" s="47"/>
      <c r="Z2781" s="6"/>
    </row>
    <row r="2782" spans="5:26" x14ac:dyDescent="0.2">
      <c r="E2782" s="4"/>
      <c r="F2782" s="45"/>
      <c r="G2782" s="4"/>
      <c r="H2782" s="47"/>
      <c r="Z2782" s="6"/>
    </row>
    <row r="2783" spans="5:26" x14ac:dyDescent="0.2">
      <c r="E2783" s="4"/>
      <c r="F2783" s="45"/>
      <c r="G2783" s="4"/>
      <c r="H2783" s="47"/>
      <c r="Z2783" s="6"/>
    </row>
    <row r="2784" spans="5:26" x14ac:dyDescent="0.2">
      <c r="E2784" s="4"/>
      <c r="F2784" s="45"/>
      <c r="G2784" s="4"/>
      <c r="H2784" s="47"/>
      <c r="Z2784" s="6"/>
    </row>
    <row r="2785" spans="5:26" x14ac:dyDescent="0.2">
      <c r="E2785" s="4"/>
      <c r="F2785" s="45"/>
      <c r="G2785" s="4"/>
      <c r="H2785" s="47"/>
      <c r="Z2785" s="6"/>
    </row>
    <row r="2786" spans="5:26" x14ac:dyDescent="0.2">
      <c r="E2786" s="4"/>
      <c r="F2786" s="45"/>
      <c r="G2786" s="4"/>
      <c r="H2786" s="47"/>
      <c r="Z2786" s="6"/>
    </row>
    <row r="2787" spans="5:26" x14ac:dyDescent="0.2">
      <c r="E2787" s="4"/>
      <c r="F2787" s="45"/>
      <c r="G2787" s="4"/>
      <c r="H2787" s="47"/>
      <c r="Z2787" s="6"/>
    </row>
    <row r="2788" spans="5:26" x14ac:dyDescent="0.2">
      <c r="E2788" s="4"/>
      <c r="F2788" s="45"/>
      <c r="G2788" s="4"/>
      <c r="H2788" s="47"/>
      <c r="Z2788" s="6"/>
    </row>
    <row r="2789" spans="5:26" x14ac:dyDescent="0.2">
      <c r="E2789" s="4"/>
      <c r="F2789" s="45"/>
      <c r="G2789" s="4"/>
      <c r="H2789" s="47"/>
      <c r="Z2789" s="6"/>
    </row>
    <row r="2790" spans="5:26" x14ac:dyDescent="0.2">
      <c r="E2790" s="4"/>
      <c r="F2790" s="45"/>
      <c r="G2790" s="4"/>
      <c r="H2790" s="47"/>
      <c r="Z2790" s="6"/>
    </row>
    <row r="2791" spans="5:26" x14ac:dyDescent="0.2">
      <c r="E2791" s="4"/>
      <c r="F2791" s="45"/>
      <c r="G2791" s="4"/>
      <c r="H2791" s="47"/>
      <c r="Z2791" s="6"/>
    </row>
    <row r="2792" spans="5:26" x14ac:dyDescent="0.2">
      <c r="E2792" s="4"/>
      <c r="F2792" s="45"/>
      <c r="G2792" s="4"/>
      <c r="H2792" s="47"/>
      <c r="Z2792" s="6"/>
    </row>
    <row r="2793" spans="5:26" x14ac:dyDescent="0.2">
      <c r="E2793" s="4"/>
      <c r="F2793" s="45"/>
      <c r="G2793" s="4"/>
      <c r="H2793" s="47"/>
      <c r="Z2793" s="6"/>
    </row>
    <row r="2794" spans="5:26" x14ac:dyDescent="0.2">
      <c r="E2794" s="4"/>
      <c r="F2794" s="45"/>
      <c r="G2794" s="4"/>
      <c r="H2794" s="47"/>
      <c r="Z2794" s="6"/>
    </row>
    <row r="2795" spans="5:26" x14ac:dyDescent="0.2">
      <c r="E2795" s="4"/>
      <c r="F2795" s="45"/>
      <c r="G2795" s="4"/>
      <c r="H2795" s="47"/>
      <c r="Z2795" s="6"/>
    </row>
    <row r="2796" spans="5:26" x14ac:dyDescent="0.2">
      <c r="E2796" s="4"/>
      <c r="F2796" s="45"/>
      <c r="G2796" s="4"/>
      <c r="H2796" s="47"/>
      <c r="Z2796" s="6"/>
    </row>
    <row r="2797" spans="5:26" x14ac:dyDescent="0.2">
      <c r="E2797" s="4"/>
      <c r="F2797" s="45"/>
      <c r="G2797" s="4"/>
      <c r="H2797" s="47"/>
      <c r="Z2797" s="6"/>
    </row>
    <row r="2798" spans="5:26" x14ac:dyDescent="0.2">
      <c r="E2798" s="4"/>
      <c r="F2798" s="45"/>
      <c r="G2798" s="4"/>
      <c r="H2798" s="47"/>
      <c r="Z2798" s="6"/>
    </row>
    <row r="2799" spans="5:26" x14ac:dyDescent="0.2">
      <c r="E2799" s="4"/>
      <c r="F2799" s="45"/>
      <c r="G2799" s="4"/>
      <c r="H2799" s="47"/>
      <c r="Z2799" s="6"/>
    </row>
    <row r="2800" spans="5:26" x14ac:dyDescent="0.2">
      <c r="E2800" s="4"/>
      <c r="F2800" s="45"/>
      <c r="G2800" s="4"/>
      <c r="H2800" s="47"/>
      <c r="Z2800" s="6"/>
    </row>
    <row r="2801" spans="5:26" x14ac:dyDescent="0.2">
      <c r="E2801" s="4"/>
      <c r="F2801" s="45"/>
      <c r="G2801" s="4"/>
      <c r="H2801" s="47"/>
      <c r="Z2801" s="6"/>
    </row>
    <row r="2802" spans="5:26" x14ac:dyDescent="0.2">
      <c r="E2802" s="4"/>
      <c r="F2802" s="45"/>
      <c r="G2802" s="4"/>
      <c r="H2802" s="47"/>
      <c r="Z2802" s="6"/>
    </row>
    <row r="2803" spans="5:26" x14ac:dyDescent="0.2">
      <c r="E2803" s="4"/>
      <c r="F2803" s="45"/>
      <c r="G2803" s="4"/>
      <c r="H2803" s="47"/>
      <c r="Z2803" s="6"/>
    </row>
    <row r="2804" spans="5:26" x14ac:dyDescent="0.2">
      <c r="E2804" s="4"/>
      <c r="F2804" s="45"/>
      <c r="G2804" s="4"/>
      <c r="H2804" s="47"/>
      <c r="Z2804" s="6"/>
    </row>
    <row r="2805" spans="5:26" x14ac:dyDescent="0.2">
      <c r="E2805" s="4"/>
      <c r="F2805" s="45"/>
      <c r="G2805" s="4"/>
      <c r="H2805" s="47"/>
      <c r="Z2805" s="6"/>
    </row>
    <row r="2806" spans="5:26" x14ac:dyDescent="0.2">
      <c r="E2806" s="4"/>
      <c r="F2806" s="45"/>
      <c r="G2806" s="4"/>
      <c r="H2806" s="47"/>
      <c r="Z2806" s="6"/>
    </row>
    <row r="2807" spans="5:26" x14ac:dyDescent="0.2">
      <c r="E2807" s="4"/>
      <c r="F2807" s="45"/>
      <c r="G2807" s="4"/>
      <c r="H2807" s="47"/>
      <c r="Z2807" s="6"/>
    </row>
    <row r="2808" spans="5:26" x14ac:dyDescent="0.2">
      <c r="E2808" s="4"/>
      <c r="F2808" s="45"/>
      <c r="G2808" s="4"/>
      <c r="H2808" s="47"/>
      <c r="Z2808" s="6"/>
    </row>
    <row r="2809" spans="5:26" x14ac:dyDescent="0.2">
      <c r="E2809" s="4"/>
      <c r="F2809" s="45"/>
      <c r="G2809" s="4"/>
      <c r="H2809" s="47"/>
      <c r="Z2809" s="6"/>
    </row>
    <row r="2810" spans="5:26" x14ac:dyDescent="0.2">
      <c r="E2810" s="4"/>
      <c r="F2810" s="45"/>
      <c r="G2810" s="4"/>
      <c r="H2810" s="47"/>
      <c r="Z2810" s="6"/>
    </row>
    <row r="2811" spans="5:26" x14ac:dyDescent="0.2">
      <c r="E2811" s="4"/>
      <c r="F2811" s="45"/>
      <c r="G2811" s="4"/>
      <c r="H2811" s="47"/>
      <c r="Z2811" s="6"/>
    </row>
    <row r="2812" spans="5:26" x14ac:dyDescent="0.2">
      <c r="E2812" s="4"/>
      <c r="F2812" s="45"/>
      <c r="G2812" s="4"/>
      <c r="H2812" s="47"/>
      <c r="Z2812" s="6"/>
    </row>
    <row r="2813" spans="5:26" x14ac:dyDescent="0.2">
      <c r="E2813" s="4"/>
      <c r="F2813" s="45"/>
      <c r="G2813" s="4"/>
      <c r="H2813" s="47"/>
      <c r="Z2813" s="6"/>
    </row>
    <row r="2814" spans="5:26" x14ac:dyDescent="0.2">
      <c r="E2814" s="4"/>
      <c r="F2814" s="45"/>
      <c r="G2814" s="4"/>
      <c r="H2814" s="47"/>
      <c r="Z2814" s="6"/>
    </row>
    <row r="2815" spans="5:26" x14ac:dyDescent="0.2">
      <c r="E2815" s="4"/>
      <c r="F2815" s="45"/>
      <c r="G2815" s="4"/>
      <c r="H2815" s="47"/>
      <c r="Z2815" s="6"/>
    </row>
    <row r="2816" spans="5:26" x14ac:dyDescent="0.2">
      <c r="E2816" s="4"/>
      <c r="F2816" s="45"/>
      <c r="G2816" s="4"/>
      <c r="H2816" s="47"/>
      <c r="Z2816" s="6"/>
    </row>
    <row r="2817" spans="5:26" x14ac:dyDescent="0.2">
      <c r="E2817" s="4"/>
      <c r="F2817" s="45"/>
      <c r="G2817" s="4"/>
      <c r="H2817" s="47"/>
      <c r="Z2817" s="6"/>
    </row>
    <row r="2818" spans="5:26" x14ac:dyDescent="0.2">
      <c r="E2818" s="4"/>
      <c r="F2818" s="45"/>
      <c r="G2818" s="4"/>
      <c r="H2818" s="47"/>
      <c r="Z2818" s="6"/>
    </row>
    <row r="2819" spans="5:26" x14ac:dyDescent="0.2">
      <c r="E2819" s="4"/>
      <c r="F2819" s="45"/>
      <c r="G2819" s="4"/>
      <c r="H2819" s="47"/>
      <c r="Z2819" s="6"/>
    </row>
    <row r="2820" spans="5:26" x14ac:dyDescent="0.2">
      <c r="E2820" s="4"/>
      <c r="F2820" s="45"/>
      <c r="G2820" s="4"/>
      <c r="H2820" s="47"/>
      <c r="Z2820" s="6"/>
    </row>
    <row r="2821" spans="5:26" x14ac:dyDescent="0.2">
      <c r="E2821" s="4"/>
      <c r="F2821" s="45"/>
      <c r="G2821" s="4"/>
      <c r="H2821" s="47"/>
      <c r="Z2821" s="6"/>
    </row>
    <row r="2822" spans="5:26" x14ac:dyDescent="0.2">
      <c r="E2822" s="4"/>
      <c r="F2822" s="45"/>
      <c r="G2822" s="4"/>
      <c r="H2822" s="47"/>
      <c r="Z2822" s="6"/>
    </row>
    <row r="2823" spans="5:26" x14ac:dyDescent="0.2">
      <c r="E2823" s="4"/>
      <c r="F2823" s="45"/>
      <c r="G2823" s="4"/>
      <c r="H2823" s="47"/>
      <c r="Z2823" s="6"/>
    </row>
    <row r="2824" spans="5:26" x14ac:dyDescent="0.2">
      <c r="E2824" s="4"/>
      <c r="F2824" s="45"/>
      <c r="G2824" s="4"/>
      <c r="H2824" s="47"/>
      <c r="Z2824" s="6"/>
    </row>
    <row r="2825" spans="5:26" x14ac:dyDescent="0.2">
      <c r="E2825" s="4"/>
      <c r="F2825" s="45"/>
      <c r="G2825" s="4"/>
      <c r="H2825" s="47"/>
      <c r="Z2825" s="6"/>
    </row>
    <row r="2826" spans="5:26" x14ac:dyDescent="0.2">
      <c r="E2826" s="4"/>
      <c r="F2826" s="45"/>
      <c r="G2826" s="4"/>
      <c r="H2826" s="47"/>
      <c r="Z2826" s="6"/>
    </row>
    <row r="2827" spans="5:26" x14ac:dyDescent="0.2">
      <c r="E2827" s="4"/>
      <c r="F2827" s="45"/>
      <c r="G2827" s="4"/>
      <c r="H2827" s="47"/>
      <c r="Z2827" s="6"/>
    </row>
    <row r="2828" spans="5:26" x14ac:dyDescent="0.2">
      <c r="E2828" s="4"/>
      <c r="F2828" s="45"/>
      <c r="G2828" s="4"/>
      <c r="H2828" s="47"/>
      <c r="Z2828" s="6"/>
    </row>
    <row r="2829" spans="5:26" x14ac:dyDescent="0.2">
      <c r="E2829" s="4"/>
      <c r="F2829" s="45"/>
      <c r="G2829" s="4"/>
      <c r="H2829" s="47"/>
      <c r="Z2829" s="6"/>
    </row>
    <row r="2830" spans="5:26" x14ac:dyDescent="0.2">
      <c r="E2830" s="4"/>
      <c r="F2830" s="45"/>
      <c r="G2830" s="4"/>
      <c r="H2830" s="47"/>
      <c r="Z2830" s="6"/>
    </row>
    <row r="2831" spans="5:26" x14ac:dyDescent="0.2">
      <c r="E2831" s="4"/>
      <c r="F2831" s="45"/>
      <c r="G2831" s="4"/>
      <c r="H2831" s="47"/>
      <c r="Z2831" s="6"/>
    </row>
    <row r="2832" spans="5:26" x14ac:dyDescent="0.2">
      <c r="E2832" s="4"/>
      <c r="F2832" s="45"/>
      <c r="G2832" s="4"/>
      <c r="H2832" s="47"/>
      <c r="Z2832" s="6"/>
    </row>
    <row r="2833" spans="5:26" x14ac:dyDescent="0.2">
      <c r="E2833" s="4"/>
      <c r="F2833" s="45"/>
      <c r="G2833" s="4"/>
      <c r="H2833" s="47"/>
      <c r="Z2833" s="6"/>
    </row>
    <row r="2834" spans="5:26" x14ac:dyDescent="0.2">
      <c r="E2834" s="4"/>
      <c r="F2834" s="45"/>
      <c r="G2834" s="4"/>
      <c r="H2834" s="47"/>
      <c r="Z2834" s="6"/>
    </row>
    <row r="2835" spans="5:26" x14ac:dyDescent="0.2">
      <c r="E2835" s="4"/>
      <c r="F2835" s="45"/>
      <c r="G2835" s="4"/>
      <c r="H2835" s="47"/>
      <c r="Z2835" s="6"/>
    </row>
    <row r="2836" spans="5:26" x14ac:dyDescent="0.2">
      <c r="E2836" s="4"/>
      <c r="F2836" s="45"/>
      <c r="G2836" s="4"/>
      <c r="H2836" s="47"/>
      <c r="Z2836" s="6"/>
    </row>
    <row r="2837" spans="5:26" x14ac:dyDescent="0.2">
      <c r="E2837" s="4"/>
      <c r="F2837" s="45"/>
      <c r="G2837" s="4"/>
      <c r="H2837" s="47"/>
      <c r="Z2837" s="6"/>
    </row>
    <row r="2838" spans="5:26" x14ac:dyDescent="0.2">
      <c r="E2838" s="4"/>
      <c r="F2838" s="45"/>
      <c r="G2838" s="4"/>
      <c r="H2838" s="47"/>
      <c r="Z2838" s="6"/>
    </row>
    <row r="2839" spans="5:26" x14ac:dyDescent="0.2">
      <c r="E2839" s="4"/>
      <c r="F2839" s="45"/>
      <c r="G2839" s="4"/>
      <c r="H2839" s="47"/>
      <c r="Z2839" s="6"/>
    </row>
    <row r="2840" spans="5:26" x14ac:dyDescent="0.2">
      <c r="E2840" s="4"/>
      <c r="F2840" s="45"/>
      <c r="G2840" s="4"/>
      <c r="H2840" s="47"/>
      <c r="Z2840" s="6"/>
    </row>
    <row r="2841" spans="5:26" x14ac:dyDescent="0.2">
      <c r="E2841" s="4"/>
      <c r="F2841" s="45"/>
      <c r="G2841" s="4"/>
      <c r="H2841" s="47"/>
      <c r="Z2841" s="6"/>
    </row>
    <row r="2842" spans="5:26" x14ac:dyDescent="0.2">
      <c r="E2842" s="4"/>
      <c r="F2842" s="45"/>
      <c r="G2842" s="4"/>
      <c r="H2842" s="47"/>
      <c r="Z2842" s="6"/>
    </row>
    <row r="2843" spans="5:26" x14ac:dyDescent="0.2">
      <c r="E2843" s="4"/>
      <c r="F2843" s="45"/>
      <c r="G2843" s="4"/>
      <c r="H2843" s="47"/>
      <c r="Z2843" s="6"/>
    </row>
    <row r="2844" spans="5:26" x14ac:dyDescent="0.2">
      <c r="E2844" s="4"/>
      <c r="F2844" s="45"/>
      <c r="G2844" s="4"/>
      <c r="H2844" s="47"/>
      <c r="Z2844" s="6"/>
    </row>
    <row r="2845" spans="5:26" x14ac:dyDescent="0.2">
      <c r="E2845" s="4"/>
      <c r="F2845" s="45"/>
      <c r="G2845" s="4"/>
      <c r="H2845" s="47"/>
      <c r="Z2845" s="6"/>
    </row>
    <row r="2846" spans="5:26" x14ac:dyDescent="0.2">
      <c r="E2846" s="4"/>
      <c r="F2846" s="45"/>
      <c r="G2846" s="4"/>
      <c r="H2846" s="47"/>
      <c r="Z2846" s="6"/>
    </row>
    <row r="2847" spans="5:26" x14ac:dyDescent="0.2">
      <c r="E2847" s="4"/>
      <c r="F2847" s="45"/>
      <c r="G2847" s="4"/>
      <c r="H2847" s="47"/>
      <c r="Z2847" s="6"/>
    </row>
    <row r="2848" spans="5:26" x14ac:dyDescent="0.2">
      <c r="E2848" s="4"/>
      <c r="F2848" s="45"/>
      <c r="G2848" s="4"/>
      <c r="H2848" s="47"/>
      <c r="Z2848" s="6"/>
    </row>
    <row r="2849" spans="5:26" x14ac:dyDescent="0.2">
      <c r="E2849" s="4"/>
      <c r="F2849" s="45"/>
      <c r="G2849" s="4"/>
      <c r="H2849" s="47"/>
      <c r="Z2849" s="6"/>
    </row>
    <row r="2850" spans="5:26" x14ac:dyDescent="0.2">
      <c r="E2850" s="4"/>
      <c r="F2850" s="45"/>
      <c r="G2850" s="4"/>
      <c r="H2850" s="47"/>
      <c r="Z2850" s="6"/>
    </row>
    <row r="2851" spans="5:26" x14ac:dyDescent="0.2">
      <c r="E2851" s="4"/>
      <c r="F2851" s="45"/>
      <c r="G2851" s="4"/>
      <c r="H2851" s="47"/>
      <c r="Z2851" s="6"/>
    </row>
    <row r="2852" spans="5:26" x14ac:dyDescent="0.2">
      <c r="E2852" s="4"/>
      <c r="F2852" s="45"/>
      <c r="G2852" s="4"/>
      <c r="H2852" s="47"/>
      <c r="Z2852" s="6"/>
    </row>
    <row r="2853" spans="5:26" x14ac:dyDescent="0.2">
      <c r="E2853" s="4"/>
      <c r="F2853" s="45"/>
      <c r="G2853" s="4"/>
      <c r="H2853" s="47"/>
      <c r="Z2853" s="6"/>
    </row>
    <row r="2854" spans="5:26" x14ac:dyDescent="0.2">
      <c r="E2854" s="4"/>
      <c r="F2854" s="45"/>
      <c r="G2854" s="4"/>
      <c r="H2854" s="47"/>
      <c r="Z2854" s="6"/>
    </row>
    <row r="2855" spans="5:26" x14ac:dyDescent="0.2">
      <c r="E2855" s="4"/>
      <c r="F2855" s="45"/>
      <c r="G2855" s="4"/>
      <c r="H2855" s="47"/>
      <c r="Z2855" s="6"/>
    </row>
    <row r="2856" spans="5:26" x14ac:dyDescent="0.2">
      <c r="E2856" s="4"/>
      <c r="F2856" s="45"/>
      <c r="G2856" s="4"/>
      <c r="H2856" s="47"/>
      <c r="Z2856" s="6"/>
    </row>
    <row r="2857" spans="5:26" x14ac:dyDescent="0.2">
      <c r="E2857" s="4"/>
      <c r="F2857" s="45"/>
      <c r="G2857" s="4"/>
      <c r="H2857" s="47"/>
      <c r="Z2857" s="6"/>
    </row>
    <row r="2858" spans="5:26" x14ac:dyDescent="0.2">
      <c r="E2858" s="4"/>
      <c r="F2858" s="45"/>
      <c r="G2858" s="4"/>
      <c r="H2858" s="47"/>
      <c r="Z2858" s="6"/>
    </row>
    <row r="2859" spans="5:26" x14ac:dyDescent="0.2">
      <c r="E2859" s="4"/>
      <c r="F2859" s="45"/>
      <c r="G2859" s="4"/>
      <c r="H2859" s="47"/>
      <c r="Z2859" s="6"/>
    </row>
    <row r="2860" spans="5:26" x14ac:dyDescent="0.2">
      <c r="E2860" s="4"/>
      <c r="F2860" s="45"/>
      <c r="G2860" s="4"/>
      <c r="H2860" s="47"/>
      <c r="Z2860" s="6"/>
    </row>
    <row r="2861" spans="5:26" x14ac:dyDescent="0.2">
      <c r="E2861" s="4"/>
      <c r="F2861" s="45"/>
      <c r="G2861" s="4"/>
      <c r="H2861" s="47"/>
      <c r="Z2861" s="6"/>
    </row>
    <row r="2862" spans="5:26" x14ac:dyDescent="0.2">
      <c r="E2862" s="4"/>
      <c r="F2862" s="45"/>
      <c r="G2862" s="4"/>
      <c r="H2862" s="47"/>
      <c r="Z2862" s="6"/>
    </row>
    <row r="2863" spans="5:26" x14ac:dyDescent="0.2">
      <c r="E2863" s="4"/>
      <c r="F2863" s="45"/>
      <c r="G2863" s="4"/>
      <c r="H2863" s="47"/>
      <c r="Z2863" s="6"/>
    </row>
    <row r="2864" spans="5:26" x14ac:dyDescent="0.2">
      <c r="E2864" s="4"/>
      <c r="F2864" s="45"/>
      <c r="G2864" s="4"/>
      <c r="H2864" s="47"/>
      <c r="Z2864" s="6"/>
    </row>
    <row r="2865" spans="5:26" x14ac:dyDescent="0.2">
      <c r="E2865" s="4"/>
      <c r="F2865" s="45"/>
      <c r="G2865" s="4"/>
      <c r="H2865" s="47"/>
      <c r="Z2865" s="6"/>
    </row>
    <row r="2866" spans="5:26" x14ac:dyDescent="0.2">
      <c r="E2866" s="4"/>
      <c r="F2866" s="45"/>
      <c r="G2866" s="4"/>
      <c r="H2866" s="47"/>
      <c r="Z2866" s="6"/>
    </row>
    <row r="2867" spans="5:26" x14ac:dyDescent="0.2">
      <c r="E2867" s="4"/>
      <c r="F2867" s="45"/>
      <c r="G2867" s="4"/>
      <c r="H2867" s="47"/>
      <c r="Z2867" s="6"/>
    </row>
    <row r="2868" spans="5:26" x14ac:dyDescent="0.2">
      <c r="E2868" s="4"/>
      <c r="F2868" s="45"/>
      <c r="G2868" s="4"/>
      <c r="H2868" s="47"/>
      <c r="Z2868" s="6"/>
    </row>
    <row r="2869" spans="5:26" x14ac:dyDescent="0.2">
      <c r="E2869" s="4"/>
      <c r="F2869" s="45"/>
      <c r="G2869" s="4"/>
      <c r="H2869" s="47"/>
      <c r="Z2869" s="6"/>
    </row>
    <row r="2870" spans="5:26" x14ac:dyDescent="0.2">
      <c r="E2870" s="4"/>
      <c r="F2870" s="45"/>
      <c r="G2870" s="4"/>
      <c r="H2870" s="47"/>
      <c r="Z2870" s="6"/>
    </row>
    <row r="2871" spans="5:26" x14ac:dyDescent="0.2">
      <c r="E2871" s="4"/>
      <c r="F2871" s="45"/>
      <c r="G2871" s="4"/>
      <c r="H2871" s="47"/>
      <c r="Z2871" s="6"/>
    </row>
    <row r="2872" spans="5:26" x14ac:dyDescent="0.2">
      <c r="E2872" s="4"/>
      <c r="F2872" s="45"/>
      <c r="G2872" s="4"/>
      <c r="H2872" s="47"/>
      <c r="Z2872" s="6"/>
    </row>
    <row r="2873" spans="5:26" x14ac:dyDescent="0.2">
      <c r="E2873" s="4"/>
      <c r="F2873" s="45"/>
      <c r="G2873" s="4"/>
      <c r="H2873" s="47"/>
      <c r="Z2873" s="6"/>
    </row>
    <row r="2874" spans="5:26" x14ac:dyDescent="0.2">
      <c r="E2874" s="4"/>
      <c r="F2874" s="45"/>
      <c r="G2874" s="4"/>
      <c r="H2874" s="47"/>
      <c r="Z2874" s="6"/>
    </row>
    <row r="2875" spans="5:26" x14ac:dyDescent="0.2">
      <c r="E2875" s="4"/>
      <c r="F2875" s="45"/>
      <c r="G2875" s="4"/>
      <c r="H2875" s="47"/>
      <c r="Z2875" s="6"/>
    </row>
    <row r="2876" spans="5:26" x14ac:dyDescent="0.2">
      <c r="E2876" s="4"/>
      <c r="F2876" s="45"/>
      <c r="G2876" s="4"/>
      <c r="H2876" s="47"/>
      <c r="Z2876" s="6"/>
    </row>
    <row r="2877" spans="5:26" x14ac:dyDescent="0.2">
      <c r="E2877" s="4"/>
      <c r="F2877" s="45"/>
      <c r="G2877" s="4"/>
      <c r="H2877" s="47"/>
      <c r="Z2877" s="6"/>
    </row>
    <row r="2878" spans="5:26" x14ac:dyDescent="0.2">
      <c r="E2878" s="4"/>
      <c r="F2878" s="45"/>
      <c r="G2878" s="4"/>
      <c r="H2878" s="47"/>
      <c r="Z2878" s="6"/>
    </row>
    <row r="2879" spans="5:26" x14ac:dyDescent="0.2">
      <c r="E2879" s="4"/>
      <c r="F2879" s="45"/>
      <c r="G2879" s="4"/>
      <c r="H2879" s="47"/>
      <c r="Z2879" s="6"/>
    </row>
    <row r="2880" spans="5:26" x14ac:dyDescent="0.2">
      <c r="E2880" s="4"/>
      <c r="F2880" s="45"/>
      <c r="G2880" s="4"/>
      <c r="H2880" s="47"/>
      <c r="Z2880" s="6"/>
    </row>
    <row r="2881" spans="5:26" x14ac:dyDescent="0.2">
      <c r="E2881" s="4"/>
      <c r="F2881" s="45"/>
      <c r="G2881" s="4"/>
      <c r="H2881" s="47"/>
      <c r="Z2881" s="6"/>
    </row>
    <row r="2882" spans="5:26" x14ac:dyDescent="0.2">
      <c r="E2882" s="4"/>
      <c r="F2882" s="45"/>
      <c r="G2882" s="4"/>
      <c r="H2882" s="47"/>
      <c r="Z2882" s="6"/>
    </row>
    <row r="2883" spans="5:26" x14ac:dyDescent="0.2">
      <c r="E2883" s="4"/>
      <c r="F2883" s="45"/>
      <c r="G2883" s="4"/>
      <c r="H2883" s="47"/>
      <c r="Z2883" s="6"/>
    </row>
    <row r="2884" spans="5:26" x14ac:dyDescent="0.2">
      <c r="E2884" s="4"/>
      <c r="F2884" s="45"/>
      <c r="G2884" s="4"/>
      <c r="H2884" s="47"/>
      <c r="Z2884" s="6"/>
    </row>
    <row r="2885" spans="5:26" x14ac:dyDescent="0.2">
      <c r="E2885" s="4"/>
      <c r="F2885" s="45"/>
      <c r="G2885" s="4"/>
      <c r="H2885" s="47"/>
      <c r="Z2885" s="6"/>
    </row>
    <row r="2886" spans="5:26" x14ac:dyDescent="0.2">
      <c r="E2886" s="4"/>
      <c r="F2886" s="45"/>
      <c r="G2886" s="4"/>
      <c r="H2886" s="47"/>
      <c r="Z2886" s="6"/>
    </row>
    <row r="2887" spans="5:26" x14ac:dyDescent="0.2">
      <c r="E2887" s="4"/>
      <c r="F2887" s="45"/>
      <c r="G2887" s="4"/>
      <c r="H2887" s="47"/>
      <c r="Z2887" s="6"/>
    </row>
    <row r="2888" spans="5:26" x14ac:dyDescent="0.2">
      <c r="E2888" s="4"/>
      <c r="F2888" s="45"/>
      <c r="G2888" s="4"/>
      <c r="H2888" s="47"/>
      <c r="Z2888" s="6"/>
    </row>
    <row r="2889" spans="5:26" x14ac:dyDescent="0.2">
      <c r="E2889" s="4"/>
      <c r="F2889" s="45"/>
      <c r="G2889" s="4"/>
      <c r="H2889" s="47"/>
      <c r="Z2889" s="6"/>
    </row>
    <row r="2890" spans="5:26" x14ac:dyDescent="0.2">
      <c r="E2890" s="4"/>
      <c r="F2890" s="45"/>
      <c r="G2890" s="4"/>
      <c r="H2890" s="47"/>
      <c r="Z2890" s="6"/>
    </row>
    <row r="2891" spans="5:26" x14ac:dyDescent="0.2">
      <c r="E2891" s="4"/>
      <c r="F2891" s="45"/>
      <c r="G2891" s="4"/>
      <c r="H2891" s="47"/>
      <c r="Z2891" s="6"/>
    </row>
    <row r="2892" spans="5:26" x14ac:dyDescent="0.2">
      <c r="E2892" s="4"/>
      <c r="F2892" s="45"/>
      <c r="G2892" s="4"/>
      <c r="H2892" s="47"/>
      <c r="Z2892" s="6"/>
    </row>
    <row r="2893" spans="5:26" x14ac:dyDescent="0.2">
      <c r="E2893" s="4"/>
      <c r="F2893" s="45"/>
      <c r="G2893" s="4"/>
      <c r="H2893" s="47"/>
      <c r="Z2893" s="6"/>
    </row>
    <row r="2894" spans="5:26" x14ac:dyDescent="0.2">
      <c r="E2894" s="4"/>
      <c r="F2894" s="45"/>
      <c r="G2894" s="4"/>
      <c r="H2894" s="47"/>
      <c r="Z2894" s="6"/>
    </row>
    <row r="2895" spans="5:26" x14ac:dyDescent="0.2">
      <c r="E2895" s="4"/>
      <c r="F2895" s="45"/>
      <c r="G2895" s="4"/>
      <c r="H2895" s="47"/>
      <c r="Z2895" s="6"/>
    </row>
    <row r="2896" spans="5:26" x14ac:dyDescent="0.2">
      <c r="E2896" s="4"/>
      <c r="F2896" s="45"/>
      <c r="G2896" s="4"/>
      <c r="H2896" s="47"/>
      <c r="Z2896" s="6"/>
    </row>
    <row r="2897" spans="5:26" x14ac:dyDescent="0.2">
      <c r="E2897" s="4"/>
      <c r="F2897" s="45"/>
      <c r="G2897" s="4"/>
      <c r="H2897" s="47"/>
      <c r="Z2897" s="6"/>
    </row>
    <row r="2898" spans="5:26" x14ac:dyDescent="0.2">
      <c r="E2898" s="4"/>
      <c r="F2898" s="45"/>
      <c r="G2898" s="4"/>
      <c r="H2898" s="47"/>
      <c r="Z2898" s="6"/>
    </row>
    <row r="2899" spans="5:26" x14ac:dyDescent="0.2">
      <c r="E2899" s="4"/>
      <c r="F2899" s="45"/>
      <c r="G2899" s="4"/>
      <c r="H2899" s="47"/>
      <c r="Z2899" s="6"/>
    </row>
    <row r="2900" spans="5:26" x14ac:dyDescent="0.2">
      <c r="E2900" s="4"/>
      <c r="F2900" s="45"/>
      <c r="G2900" s="4"/>
      <c r="H2900" s="47"/>
      <c r="Z2900" s="6"/>
    </row>
    <row r="2901" spans="5:26" x14ac:dyDescent="0.2">
      <c r="E2901" s="4"/>
      <c r="F2901" s="45"/>
      <c r="G2901" s="4"/>
      <c r="H2901" s="47"/>
      <c r="Z2901" s="6"/>
    </row>
    <row r="2902" spans="5:26" x14ac:dyDescent="0.2">
      <c r="E2902" s="4"/>
      <c r="F2902" s="45"/>
      <c r="G2902" s="4"/>
      <c r="H2902" s="47"/>
      <c r="Z2902" s="6"/>
    </row>
    <row r="2903" spans="5:26" x14ac:dyDescent="0.2">
      <c r="E2903" s="4"/>
      <c r="F2903" s="45"/>
      <c r="G2903" s="4"/>
      <c r="H2903" s="47"/>
      <c r="Z2903" s="6"/>
    </row>
    <row r="2904" spans="5:26" x14ac:dyDescent="0.2">
      <c r="E2904" s="4"/>
      <c r="F2904" s="45"/>
      <c r="G2904" s="4"/>
      <c r="H2904" s="47"/>
      <c r="Z2904" s="6"/>
    </row>
    <row r="2905" spans="5:26" x14ac:dyDescent="0.2">
      <c r="E2905" s="4"/>
      <c r="F2905" s="45"/>
      <c r="G2905" s="4"/>
      <c r="H2905" s="47"/>
      <c r="Z2905" s="6"/>
    </row>
    <row r="2906" spans="5:26" x14ac:dyDescent="0.2">
      <c r="E2906" s="4"/>
      <c r="F2906" s="45"/>
      <c r="G2906" s="4"/>
      <c r="H2906" s="47"/>
      <c r="Z2906" s="6"/>
    </row>
    <row r="2907" spans="5:26" x14ac:dyDescent="0.2">
      <c r="E2907" s="4"/>
      <c r="F2907" s="45"/>
      <c r="G2907" s="4"/>
      <c r="H2907" s="47"/>
      <c r="Z2907" s="6"/>
    </row>
    <row r="2908" spans="5:26" x14ac:dyDescent="0.2">
      <c r="E2908" s="4"/>
      <c r="F2908" s="45"/>
      <c r="G2908" s="4"/>
      <c r="H2908" s="47"/>
      <c r="Z2908" s="6"/>
    </row>
    <row r="2909" spans="5:26" x14ac:dyDescent="0.2">
      <c r="E2909" s="4"/>
      <c r="F2909" s="45"/>
      <c r="G2909" s="4"/>
      <c r="H2909" s="47"/>
      <c r="Z2909" s="6"/>
    </row>
    <row r="2910" spans="5:26" x14ac:dyDescent="0.2">
      <c r="E2910" s="4"/>
      <c r="F2910" s="45"/>
      <c r="G2910" s="4"/>
      <c r="H2910" s="47"/>
      <c r="Z2910" s="6"/>
    </row>
    <row r="2911" spans="5:26" x14ac:dyDescent="0.2">
      <c r="E2911" s="4"/>
      <c r="F2911" s="45"/>
      <c r="G2911" s="4"/>
      <c r="H2911" s="47"/>
      <c r="Z2911" s="6"/>
    </row>
    <row r="2912" spans="5:26" x14ac:dyDescent="0.2">
      <c r="E2912" s="4"/>
      <c r="F2912" s="45"/>
      <c r="G2912" s="4"/>
      <c r="H2912" s="47"/>
      <c r="Z2912" s="6"/>
    </row>
    <row r="2913" spans="5:26" x14ac:dyDescent="0.2">
      <c r="E2913" s="4"/>
      <c r="F2913" s="45"/>
      <c r="G2913" s="4"/>
      <c r="H2913" s="47"/>
      <c r="Z2913" s="6"/>
    </row>
    <row r="2914" spans="5:26" x14ac:dyDescent="0.2">
      <c r="E2914" s="4"/>
      <c r="F2914" s="45"/>
      <c r="G2914" s="4"/>
      <c r="H2914" s="47"/>
      <c r="Z2914" s="6"/>
    </row>
    <row r="2915" spans="5:26" x14ac:dyDescent="0.2">
      <c r="E2915" s="4"/>
      <c r="F2915" s="45"/>
      <c r="G2915" s="4"/>
      <c r="H2915" s="47"/>
      <c r="Z2915" s="6"/>
    </row>
    <row r="2916" spans="5:26" x14ac:dyDescent="0.2">
      <c r="E2916" s="4"/>
      <c r="F2916" s="45"/>
      <c r="G2916" s="4"/>
      <c r="H2916" s="47"/>
      <c r="Z2916" s="6"/>
    </row>
    <row r="2917" spans="5:26" x14ac:dyDescent="0.2">
      <c r="E2917" s="4"/>
      <c r="F2917" s="45"/>
      <c r="G2917" s="4"/>
      <c r="H2917" s="47"/>
      <c r="Z2917" s="6"/>
    </row>
    <row r="2918" spans="5:26" x14ac:dyDescent="0.2">
      <c r="E2918" s="4"/>
      <c r="F2918" s="45"/>
      <c r="G2918" s="4"/>
      <c r="H2918" s="47"/>
      <c r="Z2918" s="6"/>
    </row>
    <row r="2919" spans="5:26" x14ac:dyDescent="0.2">
      <c r="E2919" s="4"/>
      <c r="F2919" s="45"/>
      <c r="G2919" s="4"/>
      <c r="H2919" s="47"/>
      <c r="Z2919" s="6"/>
    </row>
    <row r="2920" spans="5:26" x14ac:dyDescent="0.2">
      <c r="E2920" s="4"/>
      <c r="F2920" s="45"/>
      <c r="G2920" s="4"/>
      <c r="H2920" s="47"/>
      <c r="Z2920" s="6"/>
    </row>
    <row r="2921" spans="5:26" x14ac:dyDescent="0.2">
      <c r="E2921" s="4"/>
      <c r="F2921" s="45"/>
      <c r="G2921" s="4"/>
      <c r="H2921" s="47"/>
      <c r="Z2921" s="6"/>
    </row>
    <row r="2922" spans="5:26" x14ac:dyDescent="0.2">
      <c r="E2922" s="4"/>
      <c r="F2922" s="45"/>
      <c r="G2922" s="4"/>
      <c r="H2922" s="47"/>
      <c r="Z2922" s="6"/>
    </row>
    <row r="2923" spans="5:26" x14ac:dyDescent="0.2">
      <c r="E2923" s="4"/>
      <c r="F2923" s="45"/>
      <c r="G2923" s="4"/>
      <c r="H2923" s="47"/>
      <c r="Z2923" s="6"/>
    </row>
    <row r="2924" spans="5:26" x14ac:dyDescent="0.2">
      <c r="E2924" s="4"/>
      <c r="F2924" s="45"/>
      <c r="G2924" s="4"/>
      <c r="H2924" s="47"/>
      <c r="Z2924" s="6"/>
    </row>
    <row r="2925" spans="5:26" x14ac:dyDescent="0.2">
      <c r="E2925" s="4"/>
      <c r="F2925" s="45"/>
      <c r="G2925" s="4"/>
      <c r="H2925" s="47"/>
      <c r="Z2925" s="6"/>
    </row>
    <row r="2926" spans="5:26" x14ac:dyDescent="0.2">
      <c r="E2926" s="4"/>
      <c r="F2926" s="45"/>
      <c r="G2926" s="4"/>
      <c r="H2926" s="47"/>
      <c r="Z2926" s="6"/>
    </row>
    <row r="2927" spans="5:26" x14ac:dyDescent="0.2">
      <c r="E2927" s="4"/>
      <c r="F2927" s="45"/>
      <c r="G2927" s="4"/>
      <c r="H2927" s="47"/>
      <c r="Z2927" s="6"/>
    </row>
    <row r="2928" spans="5:26" x14ac:dyDescent="0.2">
      <c r="E2928" s="4"/>
      <c r="F2928" s="45"/>
      <c r="G2928" s="4"/>
      <c r="H2928" s="47"/>
      <c r="Z2928" s="6"/>
    </row>
    <row r="2929" spans="5:26" x14ac:dyDescent="0.2">
      <c r="E2929" s="4"/>
      <c r="F2929" s="45"/>
      <c r="G2929" s="4"/>
      <c r="H2929" s="47"/>
      <c r="Z2929" s="6"/>
    </row>
    <row r="2930" spans="5:26" x14ac:dyDescent="0.2">
      <c r="E2930" s="4"/>
      <c r="F2930" s="45"/>
      <c r="G2930" s="4"/>
      <c r="H2930" s="47"/>
      <c r="Z2930" s="6"/>
    </row>
    <row r="2931" spans="5:26" x14ac:dyDescent="0.2">
      <c r="E2931" s="4"/>
      <c r="F2931" s="45"/>
      <c r="G2931" s="4"/>
      <c r="H2931" s="47"/>
      <c r="Z2931" s="6"/>
    </row>
    <row r="2932" spans="5:26" x14ac:dyDescent="0.2">
      <c r="E2932" s="4"/>
      <c r="F2932" s="45"/>
      <c r="G2932" s="4"/>
      <c r="H2932" s="47"/>
      <c r="Z2932" s="6"/>
    </row>
    <row r="2933" spans="5:26" x14ac:dyDescent="0.2">
      <c r="E2933" s="4"/>
      <c r="F2933" s="45"/>
      <c r="G2933" s="4"/>
      <c r="H2933" s="47"/>
      <c r="Z2933" s="6"/>
    </row>
    <row r="2934" spans="5:26" x14ac:dyDescent="0.2">
      <c r="E2934" s="4"/>
      <c r="F2934" s="45"/>
      <c r="G2934" s="4"/>
      <c r="H2934" s="47"/>
      <c r="Z2934" s="6"/>
    </row>
    <row r="2935" spans="5:26" x14ac:dyDescent="0.2">
      <c r="E2935" s="4"/>
      <c r="F2935" s="45"/>
      <c r="G2935" s="4"/>
      <c r="H2935" s="47"/>
      <c r="Z2935" s="6"/>
    </row>
    <row r="2936" spans="5:26" x14ac:dyDescent="0.2">
      <c r="E2936" s="4"/>
      <c r="F2936" s="45"/>
      <c r="G2936" s="4"/>
      <c r="H2936" s="47"/>
      <c r="Z2936" s="6"/>
    </row>
    <row r="2937" spans="5:26" x14ac:dyDescent="0.2">
      <c r="E2937" s="4"/>
      <c r="F2937" s="45"/>
      <c r="G2937" s="4"/>
      <c r="H2937" s="47"/>
      <c r="Z2937" s="6"/>
    </row>
    <row r="2938" spans="5:26" x14ac:dyDescent="0.2">
      <c r="E2938" s="4"/>
      <c r="F2938" s="45"/>
      <c r="G2938" s="4"/>
      <c r="H2938" s="47"/>
      <c r="Z2938" s="6"/>
    </row>
    <row r="2939" spans="5:26" x14ac:dyDescent="0.2">
      <c r="E2939" s="4"/>
      <c r="F2939" s="45"/>
      <c r="G2939" s="4"/>
      <c r="H2939" s="47"/>
      <c r="Z2939" s="6"/>
    </row>
    <row r="2940" spans="5:26" x14ac:dyDescent="0.2">
      <c r="E2940" s="4"/>
      <c r="F2940" s="45"/>
      <c r="G2940" s="4"/>
      <c r="H2940" s="47"/>
      <c r="Z2940" s="6"/>
    </row>
    <row r="2941" spans="5:26" x14ac:dyDescent="0.2">
      <c r="E2941" s="4"/>
      <c r="F2941" s="45"/>
      <c r="G2941" s="4"/>
      <c r="H2941" s="47"/>
      <c r="Z2941" s="6"/>
    </row>
    <row r="2942" spans="5:26" x14ac:dyDescent="0.2">
      <c r="E2942" s="4"/>
      <c r="F2942" s="45"/>
      <c r="G2942" s="4"/>
      <c r="H2942" s="47"/>
      <c r="Z2942" s="6"/>
    </row>
    <row r="2943" spans="5:26" x14ac:dyDescent="0.2">
      <c r="E2943" s="4"/>
      <c r="F2943" s="45"/>
      <c r="G2943" s="4"/>
      <c r="H2943" s="47"/>
      <c r="Z2943" s="6"/>
    </row>
    <row r="2944" spans="5:26" x14ac:dyDescent="0.2">
      <c r="E2944" s="4"/>
      <c r="F2944" s="45"/>
      <c r="G2944" s="4"/>
      <c r="H2944" s="47"/>
      <c r="Z2944" s="6"/>
    </row>
    <row r="2945" spans="5:26" x14ac:dyDescent="0.2">
      <c r="E2945" s="4"/>
      <c r="F2945" s="45"/>
      <c r="G2945" s="4"/>
      <c r="H2945" s="47"/>
      <c r="Z2945" s="6"/>
    </row>
    <row r="2946" spans="5:26" x14ac:dyDescent="0.2">
      <c r="E2946" s="4"/>
      <c r="F2946" s="45"/>
      <c r="G2946" s="4"/>
      <c r="H2946" s="47"/>
      <c r="Z2946" s="6"/>
    </row>
    <row r="2947" spans="5:26" x14ac:dyDescent="0.2">
      <c r="E2947" s="4"/>
      <c r="F2947" s="45"/>
      <c r="G2947" s="4"/>
      <c r="H2947" s="47"/>
      <c r="Z2947" s="6"/>
    </row>
    <row r="2948" spans="5:26" x14ac:dyDescent="0.2">
      <c r="E2948" s="4"/>
      <c r="F2948" s="45"/>
      <c r="G2948" s="4"/>
      <c r="H2948" s="47"/>
      <c r="Z2948" s="6"/>
    </row>
    <row r="2949" spans="5:26" x14ac:dyDescent="0.2">
      <c r="E2949" s="4"/>
      <c r="F2949" s="45"/>
      <c r="G2949" s="4"/>
      <c r="H2949" s="47"/>
      <c r="Z2949" s="6"/>
    </row>
    <row r="2950" spans="5:26" x14ac:dyDescent="0.2">
      <c r="E2950" s="4"/>
      <c r="F2950" s="45"/>
      <c r="G2950" s="4"/>
      <c r="H2950" s="47"/>
      <c r="Z2950" s="6"/>
    </row>
    <row r="2951" spans="5:26" x14ac:dyDescent="0.2">
      <c r="E2951" s="4"/>
      <c r="F2951" s="45"/>
      <c r="G2951" s="4"/>
      <c r="H2951" s="47"/>
      <c r="Z2951" s="6"/>
    </row>
    <row r="2952" spans="5:26" x14ac:dyDescent="0.2">
      <c r="E2952" s="4"/>
      <c r="F2952" s="45"/>
      <c r="G2952" s="4"/>
      <c r="H2952" s="47"/>
      <c r="Z2952" s="6"/>
    </row>
    <row r="2953" spans="5:26" x14ac:dyDescent="0.2">
      <c r="E2953" s="4"/>
      <c r="F2953" s="45"/>
      <c r="G2953" s="4"/>
      <c r="H2953" s="47"/>
      <c r="Z2953" s="6"/>
    </row>
    <row r="2954" spans="5:26" x14ac:dyDescent="0.2">
      <c r="E2954" s="4"/>
      <c r="F2954" s="45"/>
      <c r="G2954" s="4"/>
      <c r="H2954" s="47"/>
      <c r="Z2954" s="6"/>
    </row>
    <row r="2955" spans="5:26" x14ac:dyDescent="0.2">
      <c r="E2955" s="4"/>
      <c r="F2955" s="45"/>
      <c r="G2955" s="4"/>
      <c r="H2955" s="47"/>
      <c r="Z2955" s="6"/>
    </row>
    <row r="2956" spans="5:26" x14ac:dyDescent="0.2">
      <c r="E2956" s="4"/>
      <c r="F2956" s="45"/>
      <c r="G2956" s="4"/>
      <c r="H2956" s="47"/>
      <c r="Z2956" s="6"/>
    </row>
    <row r="2957" spans="5:26" x14ac:dyDescent="0.2">
      <c r="E2957" s="4"/>
      <c r="F2957" s="45"/>
      <c r="G2957" s="4"/>
      <c r="H2957" s="47"/>
      <c r="Z2957" s="6"/>
    </row>
    <row r="2958" spans="5:26" x14ac:dyDescent="0.2">
      <c r="E2958" s="4"/>
      <c r="F2958" s="45"/>
      <c r="G2958" s="4"/>
      <c r="H2958" s="47"/>
      <c r="Z2958" s="6"/>
    </row>
    <row r="2959" spans="5:26" x14ac:dyDescent="0.2">
      <c r="E2959" s="4"/>
      <c r="F2959" s="45"/>
      <c r="G2959" s="4"/>
      <c r="H2959" s="47"/>
      <c r="Z2959" s="6"/>
    </row>
    <row r="2960" spans="5:26" x14ac:dyDescent="0.2">
      <c r="E2960" s="4"/>
      <c r="F2960" s="45"/>
      <c r="G2960" s="4"/>
      <c r="H2960" s="47"/>
      <c r="Z2960" s="6"/>
    </row>
    <row r="2961" spans="5:26" x14ac:dyDescent="0.2">
      <c r="E2961" s="4"/>
      <c r="F2961" s="45"/>
      <c r="G2961" s="4"/>
      <c r="H2961" s="47"/>
      <c r="Z2961" s="6"/>
    </row>
    <row r="2962" spans="5:26" x14ac:dyDescent="0.2">
      <c r="E2962" s="4"/>
      <c r="F2962" s="45"/>
      <c r="G2962" s="4"/>
      <c r="H2962" s="47"/>
      <c r="Z2962" s="6"/>
    </row>
    <row r="2963" spans="5:26" x14ac:dyDescent="0.2">
      <c r="E2963" s="4"/>
      <c r="F2963" s="45"/>
      <c r="G2963" s="4"/>
      <c r="H2963" s="47"/>
      <c r="Z2963" s="6"/>
    </row>
    <row r="2964" spans="5:26" x14ac:dyDescent="0.2">
      <c r="E2964" s="4"/>
      <c r="F2964" s="45"/>
      <c r="G2964" s="4"/>
      <c r="H2964" s="47"/>
      <c r="Z2964" s="6"/>
    </row>
    <row r="2965" spans="5:26" x14ac:dyDescent="0.2">
      <c r="E2965" s="4"/>
      <c r="F2965" s="45"/>
      <c r="G2965" s="4"/>
      <c r="H2965" s="47"/>
      <c r="Z2965" s="6"/>
    </row>
    <row r="2966" spans="5:26" x14ac:dyDescent="0.2">
      <c r="E2966" s="4"/>
      <c r="F2966" s="45"/>
      <c r="G2966" s="4"/>
      <c r="H2966" s="47"/>
      <c r="Z2966" s="6"/>
    </row>
    <row r="2967" spans="5:26" x14ac:dyDescent="0.2">
      <c r="E2967" s="4"/>
      <c r="F2967" s="45"/>
      <c r="G2967" s="4"/>
      <c r="H2967" s="47"/>
      <c r="Z2967" s="6"/>
    </row>
    <row r="2968" spans="5:26" x14ac:dyDescent="0.2">
      <c r="E2968" s="4"/>
      <c r="F2968" s="45"/>
      <c r="G2968" s="4"/>
      <c r="H2968" s="47"/>
      <c r="Z2968" s="6"/>
    </row>
    <row r="2969" spans="5:26" x14ac:dyDescent="0.2">
      <c r="E2969" s="4"/>
      <c r="F2969" s="45"/>
      <c r="G2969" s="4"/>
      <c r="H2969" s="47"/>
      <c r="Z2969" s="6"/>
    </row>
    <row r="2970" spans="5:26" x14ac:dyDescent="0.2">
      <c r="E2970" s="4"/>
      <c r="F2970" s="45"/>
      <c r="G2970" s="4"/>
      <c r="H2970" s="47"/>
      <c r="Z2970" s="6"/>
    </row>
    <row r="2971" spans="5:26" x14ac:dyDescent="0.2">
      <c r="E2971" s="4"/>
      <c r="F2971" s="45"/>
      <c r="G2971" s="4"/>
      <c r="H2971" s="47"/>
      <c r="Z2971" s="6"/>
    </row>
    <row r="2972" spans="5:26" x14ac:dyDescent="0.2">
      <c r="E2972" s="4"/>
      <c r="F2972" s="45"/>
      <c r="G2972" s="4"/>
      <c r="H2972" s="47"/>
      <c r="Z2972" s="6"/>
    </row>
    <row r="2973" spans="5:26" x14ac:dyDescent="0.2">
      <c r="E2973" s="4"/>
      <c r="F2973" s="45"/>
      <c r="G2973" s="4"/>
      <c r="H2973" s="47"/>
      <c r="Z2973" s="6"/>
    </row>
    <row r="2974" spans="5:26" x14ac:dyDescent="0.2">
      <c r="E2974" s="4"/>
      <c r="F2974" s="45"/>
      <c r="G2974" s="4"/>
      <c r="H2974" s="47"/>
      <c r="Z2974" s="6"/>
    </row>
    <row r="2975" spans="5:26" x14ac:dyDescent="0.2">
      <c r="E2975" s="4"/>
      <c r="F2975" s="45"/>
      <c r="G2975" s="4"/>
      <c r="H2975" s="47"/>
      <c r="Z2975" s="6"/>
    </row>
    <row r="2976" spans="5:26" x14ac:dyDescent="0.2">
      <c r="E2976" s="4"/>
      <c r="F2976" s="45"/>
      <c r="G2976" s="4"/>
      <c r="H2976" s="47"/>
      <c r="Z2976" s="6"/>
    </row>
    <row r="2977" spans="5:26" x14ac:dyDescent="0.2">
      <c r="E2977" s="4"/>
      <c r="F2977" s="45"/>
      <c r="G2977" s="4"/>
      <c r="H2977" s="47"/>
      <c r="Z2977" s="6"/>
    </row>
    <row r="2978" spans="5:26" x14ac:dyDescent="0.2">
      <c r="E2978" s="4"/>
      <c r="F2978" s="45"/>
      <c r="G2978" s="4"/>
      <c r="H2978" s="47"/>
      <c r="Z2978" s="6"/>
    </row>
    <row r="2979" spans="5:26" x14ac:dyDescent="0.2">
      <c r="E2979" s="4"/>
      <c r="F2979" s="45"/>
      <c r="G2979" s="4"/>
      <c r="H2979" s="47"/>
      <c r="Z2979" s="6"/>
    </row>
    <row r="2980" spans="5:26" x14ac:dyDescent="0.2">
      <c r="E2980" s="4"/>
      <c r="F2980" s="45"/>
      <c r="G2980" s="4"/>
      <c r="H2980" s="47"/>
      <c r="Z2980" s="6"/>
    </row>
    <row r="2981" spans="5:26" x14ac:dyDescent="0.2">
      <c r="E2981" s="4"/>
      <c r="F2981" s="45"/>
      <c r="G2981" s="4"/>
      <c r="H2981" s="47"/>
      <c r="Z2981" s="6"/>
    </row>
    <row r="2982" spans="5:26" x14ac:dyDescent="0.2">
      <c r="E2982" s="4"/>
      <c r="F2982" s="45"/>
      <c r="G2982" s="4"/>
      <c r="H2982" s="47"/>
      <c r="Z2982" s="6"/>
    </row>
    <row r="2983" spans="5:26" x14ac:dyDescent="0.2">
      <c r="E2983" s="4"/>
      <c r="F2983" s="45"/>
      <c r="G2983" s="4"/>
      <c r="H2983" s="47"/>
      <c r="Z2983" s="6"/>
    </row>
    <row r="2984" spans="5:26" x14ac:dyDescent="0.2">
      <c r="E2984" s="4"/>
      <c r="F2984" s="45"/>
      <c r="G2984" s="4"/>
      <c r="H2984" s="47"/>
      <c r="Z2984" s="6"/>
    </row>
    <row r="2985" spans="5:26" x14ac:dyDescent="0.2">
      <c r="E2985" s="4"/>
      <c r="F2985" s="45"/>
      <c r="G2985" s="4"/>
      <c r="H2985" s="47"/>
      <c r="Z2985" s="6"/>
    </row>
    <row r="2986" spans="5:26" x14ac:dyDescent="0.2">
      <c r="E2986" s="4"/>
      <c r="F2986" s="45"/>
      <c r="G2986" s="4"/>
      <c r="H2986" s="47"/>
      <c r="Z2986" s="6"/>
    </row>
    <row r="2987" spans="5:26" x14ac:dyDescent="0.2">
      <c r="E2987" s="4"/>
      <c r="F2987" s="45"/>
      <c r="G2987" s="4"/>
      <c r="H2987" s="47"/>
      <c r="Z2987" s="6"/>
    </row>
    <row r="2988" spans="5:26" x14ac:dyDescent="0.2">
      <c r="E2988" s="4"/>
      <c r="F2988" s="45"/>
      <c r="G2988" s="4"/>
      <c r="H2988" s="47"/>
      <c r="Z2988" s="6"/>
    </row>
    <row r="2989" spans="5:26" x14ac:dyDescent="0.2">
      <c r="E2989" s="4"/>
      <c r="F2989" s="45"/>
      <c r="G2989" s="4"/>
      <c r="H2989" s="47"/>
      <c r="Z2989" s="6"/>
    </row>
    <row r="2990" spans="5:26" x14ac:dyDescent="0.2">
      <c r="E2990" s="4"/>
      <c r="F2990" s="45"/>
      <c r="G2990" s="4"/>
      <c r="H2990" s="47"/>
      <c r="Z2990" s="6"/>
    </row>
    <row r="2991" spans="5:26" x14ac:dyDescent="0.2">
      <c r="E2991" s="4"/>
      <c r="F2991" s="45"/>
      <c r="G2991" s="4"/>
      <c r="H2991" s="47"/>
      <c r="Z2991" s="6"/>
    </row>
    <row r="2992" spans="5:26" x14ac:dyDescent="0.2">
      <c r="E2992" s="4"/>
      <c r="F2992" s="45"/>
      <c r="G2992" s="4"/>
      <c r="H2992" s="47"/>
      <c r="Z2992" s="6"/>
    </row>
    <row r="2993" spans="5:26" x14ac:dyDescent="0.2">
      <c r="E2993" s="4"/>
      <c r="F2993" s="45"/>
      <c r="G2993" s="4"/>
      <c r="H2993" s="47"/>
      <c r="Z2993" s="6"/>
    </row>
    <row r="2994" spans="5:26" x14ac:dyDescent="0.2">
      <c r="E2994" s="4"/>
      <c r="F2994" s="45"/>
      <c r="G2994" s="4"/>
      <c r="H2994" s="47"/>
      <c r="Z2994" s="6"/>
    </row>
    <row r="2995" spans="5:26" x14ac:dyDescent="0.2">
      <c r="E2995" s="4"/>
      <c r="F2995" s="45"/>
      <c r="G2995" s="4"/>
      <c r="H2995" s="47"/>
      <c r="Z2995" s="6"/>
    </row>
    <row r="2996" spans="5:26" x14ac:dyDescent="0.2">
      <c r="E2996" s="4"/>
      <c r="F2996" s="45"/>
      <c r="G2996" s="4"/>
      <c r="H2996" s="47"/>
      <c r="Z2996" s="6"/>
    </row>
    <row r="2997" spans="5:26" x14ac:dyDescent="0.2">
      <c r="E2997" s="4"/>
      <c r="F2997" s="45"/>
      <c r="G2997" s="4"/>
      <c r="H2997" s="47"/>
      <c r="Z2997" s="6"/>
    </row>
    <row r="2998" spans="5:26" x14ac:dyDescent="0.2">
      <c r="E2998" s="4"/>
      <c r="F2998" s="45"/>
      <c r="G2998" s="4"/>
      <c r="H2998" s="47"/>
      <c r="Z2998" s="6"/>
    </row>
    <row r="2999" spans="5:26" x14ac:dyDescent="0.2">
      <c r="E2999" s="4"/>
      <c r="F2999" s="45"/>
      <c r="G2999" s="4"/>
      <c r="H2999" s="47"/>
      <c r="Z2999" s="6"/>
    </row>
    <row r="3000" spans="5:26" x14ac:dyDescent="0.2">
      <c r="E3000" s="4"/>
      <c r="F3000" s="45"/>
      <c r="G3000" s="4"/>
      <c r="H3000" s="47"/>
      <c r="Z3000" s="6"/>
    </row>
    <row r="3001" spans="5:26" x14ac:dyDescent="0.2">
      <c r="E3001" s="4"/>
      <c r="F3001" s="45"/>
      <c r="G3001" s="4"/>
      <c r="H3001" s="47"/>
      <c r="Z3001" s="6"/>
    </row>
    <row r="3002" spans="5:26" x14ac:dyDescent="0.2">
      <c r="E3002" s="4"/>
      <c r="F3002" s="45"/>
      <c r="G3002" s="4"/>
      <c r="H3002" s="47"/>
      <c r="Z3002" s="6"/>
    </row>
    <row r="3003" spans="5:26" x14ac:dyDescent="0.2">
      <c r="E3003" s="4"/>
      <c r="F3003" s="45"/>
      <c r="G3003" s="4"/>
      <c r="H3003" s="47"/>
      <c r="Z3003" s="6"/>
    </row>
    <row r="3004" spans="5:26" x14ac:dyDescent="0.2">
      <c r="E3004" s="4"/>
      <c r="F3004" s="45"/>
      <c r="G3004" s="4"/>
      <c r="H3004" s="47"/>
      <c r="Z3004" s="6"/>
    </row>
    <row r="3005" spans="5:26" x14ac:dyDescent="0.2">
      <c r="E3005" s="4"/>
      <c r="F3005" s="45"/>
      <c r="G3005" s="4"/>
      <c r="H3005" s="47"/>
      <c r="Z3005" s="6"/>
    </row>
    <row r="3006" spans="5:26" x14ac:dyDescent="0.2">
      <c r="E3006" s="4"/>
      <c r="F3006" s="45"/>
      <c r="G3006" s="4"/>
      <c r="H3006" s="47"/>
      <c r="Z3006" s="6"/>
    </row>
    <row r="3007" spans="5:26" x14ac:dyDescent="0.2">
      <c r="E3007" s="4"/>
      <c r="F3007" s="45"/>
      <c r="G3007" s="4"/>
      <c r="H3007" s="47"/>
      <c r="Z3007" s="6"/>
    </row>
    <row r="3008" spans="5:26" x14ac:dyDescent="0.2">
      <c r="E3008" s="4"/>
      <c r="F3008" s="45"/>
      <c r="G3008" s="4"/>
      <c r="H3008" s="47"/>
      <c r="Z3008" s="6"/>
    </row>
    <row r="3009" spans="5:26" x14ac:dyDescent="0.2">
      <c r="E3009" s="4"/>
      <c r="F3009" s="45"/>
      <c r="G3009" s="4"/>
      <c r="H3009" s="47"/>
      <c r="Z3009" s="6"/>
    </row>
    <row r="3010" spans="5:26" x14ac:dyDescent="0.2">
      <c r="E3010" s="4"/>
      <c r="F3010" s="45"/>
      <c r="G3010" s="4"/>
      <c r="H3010" s="47"/>
      <c r="Z3010" s="6"/>
    </row>
    <row r="3011" spans="5:26" x14ac:dyDescent="0.2">
      <c r="E3011" s="4"/>
      <c r="F3011" s="45"/>
      <c r="G3011" s="4"/>
      <c r="H3011" s="47"/>
      <c r="Z3011" s="6"/>
    </row>
    <row r="3012" spans="5:26" x14ac:dyDescent="0.2">
      <c r="E3012" s="4"/>
      <c r="F3012" s="45"/>
      <c r="G3012" s="4"/>
      <c r="H3012" s="47"/>
      <c r="Z3012" s="6"/>
    </row>
    <row r="3013" spans="5:26" x14ac:dyDescent="0.2">
      <c r="E3013" s="4"/>
      <c r="F3013" s="45"/>
      <c r="G3013" s="4"/>
      <c r="H3013" s="47"/>
      <c r="Z3013" s="6"/>
    </row>
    <row r="3014" spans="5:26" x14ac:dyDescent="0.2">
      <c r="E3014" s="4"/>
      <c r="F3014" s="45"/>
      <c r="G3014" s="4"/>
      <c r="H3014" s="47"/>
      <c r="Z3014" s="6"/>
    </row>
    <row r="3015" spans="5:26" x14ac:dyDescent="0.2">
      <c r="E3015" s="4"/>
      <c r="F3015" s="45"/>
      <c r="G3015" s="4"/>
      <c r="H3015" s="47"/>
      <c r="Z3015" s="6"/>
    </row>
    <row r="3016" spans="5:26" x14ac:dyDescent="0.2">
      <c r="E3016" s="4"/>
      <c r="F3016" s="45"/>
      <c r="G3016" s="4"/>
      <c r="H3016" s="47"/>
      <c r="Z3016" s="6"/>
    </row>
    <row r="3017" spans="5:26" x14ac:dyDescent="0.2">
      <c r="E3017" s="4"/>
      <c r="F3017" s="45"/>
      <c r="G3017" s="4"/>
      <c r="H3017" s="47"/>
      <c r="Z3017" s="6"/>
    </row>
    <row r="3018" spans="5:26" x14ac:dyDescent="0.2">
      <c r="E3018" s="4"/>
      <c r="F3018" s="45"/>
      <c r="G3018" s="4"/>
      <c r="H3018" s="47"/>
      <c r="Z3018" s="6"/>
    </row>
    <row r="3019" spans="5:26" x14ac:dyDescent="0.2">
      <c r="E3019" s="4"/>
      <c r="F3019" s="45"/>
      <c r="G3019" s="4"/>
      <c r="H3019" s="47"/>
      <c r="Z3019" s="6"/>
    </row>
    <row r="3020" spans="5:26" x14ac:dyDescent="0.2">
      <c r="E3020" s="4"/>
      <c r="F3020" s="45"/>
      <c r="G3020" s="4"/>
      <c r="H3020" s="47"/>
      <c r="Z3020" s="6"/>
    </row>
    <row r="3021" spans="5:26" x14ac:dyDescent="0.2">
      <c r="E3021" s="4"/>
      <c r="F3021" s="45"/>
      <c r="G3021" s="4"/>
      <c r="H3021" s="47"/>
      <c r="Z3021" s="6"/>
    </row>
    <row r="3022" spans="5:26" x14ac:dyDescent="0.2">
      <c r="E3022" s="4"/>
      <c r="F3022" s="45"/>
      <c r="G3022" s="4"/>
      <c r="H3022" s="47"/>
      <c r="Z3022" s="6"/>
    </row>
    <row r="3023" spans="5:26" x14ac:dyDescent="0.2">
      <c r="E3023" s="4"/>
      <c r="F3023" s="45"/>
      <c r="G3023" s="4"/>
      <c r="H3023" s="47"/>
      <c r="Z3023" s="6"/>
    </row>
    <row r="3024" spans="5:26" x14ac:dyDescent="0.2">
      <c r="E3024" s="4"/>
      <c r="F3024" s="45"/>
      <c r="G3024" s="4"/>
      <c r="H3024" s="47"/>
      <c r="Z3024" s="6"/>
    </row>
    <row r="3025" spans="5:26" x14ac:dyDescent="0.2">
      <c r="E3025" s="4"/>
      <c r="F3025" s="45"/>
      <c r="G3025" s="4"/>
      <c r="H3025" s="47"/>
      <c r="Z3025" s="6"/>
    </row>
    <row r="3026" spans="5:26" x14ac:dyDescent="0.2">
      <c r="E3026" s="4"/>
      <c r="F3026" s="45"/>
      <c r="G3026" s="4"/>
      <c r="H3026" s="47"/>
      <c r="Z3026" s="6"/>
    </row>
    <row r="3027" spans="5:26" x14ac:dyDescent="0.2">
      <c r="E3027" s="4"/>
      <c r="F3027" s="45"/>
      <c r="G3027" s="4"/>
      <c r="H3027" s="47"/>
      <c r="Z3027" s="6"/>
    </row>
    <row r="3028" spans="5:26" x14ac:dyDescent="0.2">
      <c r="E3028" s="4"/>
      <c r="F3028" s="45"/>
      <c r="G3028" s="4"/>
      <c r="H3028" s="47"/>
      <c r="Z3028" s="6"/>
    </row>
    <row r="3029" spans="5:26" x14ac:dyDescent="0.2">
      <c r="E3029" s="4"/>
      <c r="F3029" s="45"/>
      <c r="G3029" s="4"/>
      <c r="H3029" s="47"/>
      <c r="Z3029" s="6"/>
    </row>
    <row r="3030" spans="5:26" x14ac:dyDescent="0.2">
      <c r="E3030" s="4"/>
      <c r="F3030" s="45"/>
      <c r="G3030" s="4"/>
      <c r="H3030" s="47"/>
      <c r="Z3030" s="6"/>
    </row>
    <row r="3031" spans="5:26" x14ac:dyDescent="0.2">
      <c r="E3031" s="4"/>
      <c r="F3031" s="45"/>
      <c r="G3031" s="4"/>
      <c r="H3031" s="47"/>
      <c r="Z3031" s="6"/>
    </row>
    <row r="3032" spans="5:26" x14ac:dyDescent="0.2">
      <c r="E3032" s="4"/>
      <c r="F3032" s="45"/>
      <c r="G3032" s="4"/>
      <c r="H3032" s="47"/>
      <c r="Z3032" s="6"/>
    </row>
    <row r="3033" spans="5:26" x14ac:dyDescent="0.2">
      <c r="E3033" s="4"/>
      <c r="F3033" s="45"/>
      <c r="G3033" s="4"/>
      <c r="H3033" s="47"/>
      <c r="Z3033" s="6"/>
    </row>
    <row r="3034" spans="5:26" x14ac:dyDescent="0.2">
      <c r="E3034" s="4"/>
      <c r="F3034" s="45"/>
      <c r="G3034" s="4"/>
      <c r="H3034" s="47"/>
      <c r="Z3034" s="6"/>
    </row>
    <row r="3035" spans="5:26" x14ac:dyDescent="0.2">
      <c r="E3035" s="4"/>
      <c r="F3035" s="45"/>
      <c r="G3035" s="4"/>
      <c r="H3035" s="47"/>
      <c r="Z3035" s="6"/>
    </row>
    <row r="3036" spans="5:26" x14ac:dyDescent="0.2">
      <c r="E3036" s="4"/>
      <c r="F3036" s="45"/>
      <c r="G3036" s="4"/>
      <c r="H3036" s="47"/>
      <c r="Z3036" s="6"/>
    </row>
    <row r="3037" spans="5:26" x14ac:dyDescent="0.2">
      <c r="E3037" s="4"/>
      <c r="F3037" s="45"/>
      <c r="G3037" s="4"/>
      <c r="H3037" s="47"/>
      <c r="Z3037" s="6"/>
    </row>
    <row r="3038" spans="5:26" x14ac:dyDescent="0.2">
      <c r="E3038" s="4"/>
      <c r="F3038" s="45"/>
      <c r="G3038" s="4"/>
      <c r="H3038" s="47"/>
      <c r="Z3038" s="6"/>
    </row>
    <row r="3039" spans="5:26" x14ac:dyDescent="0.2">
      <c r="E3039" s="4"/>
      <c r="F3039" s="45"/>
      <c r="G3039" s="4"/>
      <c r="H3039" s="47"/>
      <c r="Z3039" s="6"/>
    </row>
    <row r="3040" spans="5:26" x14ac:dyDescent="0.2">
      <c r="E3040" s="4"/>
      <c r="F3040" s="45"/>
      <c r="G3040" s="4"/>
      <c r="H3040" s="47"/>
      <c r="Z3040" s="6"/>
    </row>
    <row r="3041" spans="5:26" x14ac:dyDescent="0.2">
      <c r="E3041" s="4"/>
      <c r="F3041" s="45"/>
      <c r="G3041" s="4"/>
      <c r="H3041" s="47"/>
      <c r="Z3041" s="6"/>
    </row>
    <row r="3042" spans="5:26" x14ac:dyDescent="0.2">
      <c r="E3042" s="4"/>
      <c r="F3042" s="45"/>
      <c r="G3042" s="4"/>
      <c r="H3042" s="47"/>
      <c r="Z3042" s="6"/>
    </row>
    <row r="3043" spans="5:26" x14ac:dyDescent="0.2">
      <c r="E3043" s="4"/>
      <c r="F3043" s="45"/>
      <c r="G3043" s="4"/>
      <c r="H3043" s="47"/>
      <c r="Z3043" s="6"/>
    </row>
    <row r="3044" spans="5:26" x14ac:dyDescent="0.2">
      <c r="E3044" s="4"/>
      <c r="F3044" s="45"/>
      <c r="G3044" s="4"/>
      <c r="H3044" s="47"/>
      <c r="Z3044" s="6"/>
    </row>
    <row r="3045" spans="5:26" x14ac:dyDescent="0.2">
      <c r="E3045" s="4"/>
      <c r="F3045" s="45"/>
      <c r="G3045" s="4"/>
      <c r="H3045" s="47"/>
      <c r="Z3045" s="6"/>
    </row>
    <row r="3046" spans="5:26" x14ac:dyDescent="0.2">
      <c r="E3046" s="4"/>
      <c r="F3046" s="45"/>
      <c r="G3046" s="4"/>
      <c r="H3046" s="47"/>
      <c r="Z3046" s="6"/>
    </row>
    <row r="3047" spans="5:26" x14ac:dyDescent="0.2">
      <c r="E3047" s="4"/>
      <c r="F3047" s="45"/>
      <c r="G3047" s="4"/>
      <c r="H3047" s="47"/>
      <c r="Z3047" s="6"/>
    </row>
    <row r="3048" spans="5:26" x14ac:dyDescent="0.2">
      <c r="E3048" s="4"/>
      <c r="F3048" s="45"/>
      <c r="G3048" s="4"/>
      <c r="H3048" s="47"/>
      <c r="Z3048" s="6"/>
    </row>
    <row r="3049" spans="5:26" x14ac:dyDescent="0.2">
      <c r="E3049" s="4"/>
      <c r="F3049" s="45"/>
      <c r="G3049" s="4"/>
      <c r="H3049" s="47"/>
      <c r="Z3049" s="6"/>
    </row>
    <row r="3050" spans="5:26" x14ac:dyDescent="0.2">
      <c r="E3050" s="4"/>
      <c r="F3050" s="45"/>
      <c r="G3050" s="4"/>
      <c r="H3050" s="47"/>
      <c r="Z3050" s="6"/>
    </row>
    <row r="3051" spans="5:26" x14ac:dyDescent="0.2">
      <c r="E3051" s="4"/>
      <c r="F3051" s="45"/>
      <c r="G3051" s="4"/>
      <c r="H3051" s="47"/>
      <c r="Z3051" s="6"/>
    </row>
    <row r="3052" spans="5:26" x14ac:dyDescent="0.2">
      <c r="E3052" s="4"/>
      <c r="F3052" s="45"/>
      <c r="G3052" s="4"/>
      <c r="H3052" s="47"/>
      <c r="Z3052" s="6"/>
    </row>
    <row r="3053" spans="5:26" x14ac:dyDescent="0.2">
      <c r="E3053" s="4"/>
      <c r="F3053" s="45"/>
      <c r="G3053" s="4"/>
      <c r="H3053" s="47"/>
      <c r="Z3053" s="6"/>
    </row>
    <row r="3054" spans="5:26" x14ac:dyDescent="0.2">
      <c r="E3054" s="4"/>
      <c r="F3054" s="45"/>
      <c r="G3054" s="4"/>
      <c r="H3054" s="47"/>
      <c r="Z3054" s="6"/>
    </row>
    <row r="3055" spans="5:26" x14ac:dyDescent="0.2">
      <c r="E3055" s="4"/>
      <c r="F3055" s="45"/>
      <c r="G3055" s="4"/>
      <c r="H3055" s="47"/>
      <c r="Z3055" s="6"/>
    </row>
    <row r="3056" spans="5:26" x14ac:dyDescent="0.2">
      <c r="E3056" s="4"/>
      <c r="F3056" s="45"/>
      <c r="G3056" s="4"/>
      <c r="H3056" s="47"/>
      <c r="Z3056" s="6"/>
    </row>
    <row r="3057" spans="5:26" x14ac:dyDescent="0.2">
      <c r="E3057" s="4"/>
      <c r="F3057" s="45"/>
      <c r="G3057" s="4"/>
      <c r="H3057" s="47"/>
      <c r="Z3057" s="6"/>
    </row>
    <row r="3058" spans="5:26" x14ac:dyDescent="0.2">
      <c r="E3058" s="4"/>
      <c r="F3058" s="45"/>
      <c r="G3058" s="4"/>
      <c r="H3058" s="47"/>
      <c r="Z3058" s="6"/>
    </row>
    <row r="3059" spans="5:26" x14ac:dyDescent="0.2">
      <c r="E3059" s="4"/>
      <c r="F3059" s="45"/>
      <c r="G3059" s="4"/>
      <c r="H3059" s="47"/>
      <c r="Z3059" s="6"/>
    </row>
    <row r="3060" spans="5:26" x14ac:dyDescent="0.2">
      <c r="E3060" s="4"/>
      <c r="F3060" s="45"/>
      <c r="G3060" s="4"/>
      <c r="H3060" s="47"/>
      <c r="Z3060" s="6"/>
    </row>
    <row r="3061" spans="5:26" x14ac:dyDescent="0.2">
      <c r="E3061" s="4"/>
      <c r="F3061" s="45"/>
      <c r="G3061" s="4"/>
      <c r="H3061" s="47"/>
      <c r="Z3061" s="6"/>
    </row>
    <row r="3062" spans="5:26" x14ac:dyDescent="0.2">
      <c r="E3062" s="4"/>
      <c r="F3062" s="45"/>
      <c r="G3062" s="4"/>
      <c r="H3062" s="47"/>
      <c r="Z3062" s="6"/>
    </row>
    <row r="3063" spans="5:26" x14ac:dyDescent="0.2">
      <c r="E3063" s="4"/>
      <c r="F3063" s="45"/>
      <c r="G3063" s="4"/>
      <c r="H3063" s="47"/>
      <c r="Z3063" s="6"/>
    </row>
    <row r="3064" spans="5:26" x14ac:dyDescent="0.2">
      <c r="E3064" s="4"/>
      <c r="F3064" s="45"/>
      <c r="G3064" s="4"/>
      <c r="H3064" s="47"/>
      <c r="Z3064" s="6"/>
    </row>
    <row r="3065" spans="5:26" x14ac:dyDescent="0.2">
      <c r="E3065" s="4"/>
      <c r="F3065" s="45"/>
      <c r="G3065" s="4"/>
      <c r="H3065" s="47"/>
      <c r="Z3065" s="6"/>
    </row>
    <row r="3066" spans="5:26" x14ac:dyDescent="0.2">
      <c r="E3066" s="4"/>
      <c r="F3066" s="45"/>
      <c r="G3066" s="4"/>
      <c r="H3066" s="47"/>
      <c r="Z3066" s="6"/>
    </row>
    <row r="3067" spans="5:26" x14ac:dyDescent="0.2">
      <c r="E3067" s="4"/>
      <c r="F3067" s="45"/>
      <c r="G3067" s="4"/>
      <c r="H3067" s="47"/>
      <c r="Z3067" s="6"/>
    </row>
    <row r="3068" spans="5:26" x14ac:dyDescent="0.2">
      <c r="E3068" s="4"/>
      <c r="F3068" s="45"/>
      <c r="G3068" s="4"/>
      <c r="H3068" s="47"/>
      <c r="Z3068" s="6"/>
    </row>
    <row r="3069" spans="5:26" x14ac:dyDescent="0.2">
      <c r="E3069" s="4"/>
      <c r="F3069" s="45"/>
      <c r="G3069" s="4"/>
      <c r="H3069" s="47"/>
      <c r="Z3069" s="6"/>
    </row>
    <row r="3070" spans="5:26" x14ac:dyDescent="0.2">
      <c r="E3070" s="4"/>
      <c r="F3070" s="45"/>
      <c r="G3070" s="4"/>
      <c r="H3070" s="47"/>
      <c r="Z3070" s="6"/>
    </row>
    <row r="3071" spans="5:26" x14ac:dyDescent="0.2">
      <c r="E3071" s="4"/>
      <c r="F3071" s="45"/>
      <c r="G3071" s="4"/>
      <c r="H3071" s="47"/>
      <c r="Z3071" s="6"/>
    </row>
    <row r="3072" spans="5:26" x14ac:dyDescent="0.2">
      <c r="E3072" s="4"/>
      <c r="F3072" s="45"/>
      <c r="G3072" s="4"/>
      <c r="H3072" s="47"/>
      <c r="Z3072" s="6"/>
    </row>
    <row r="3073" spans="5:26" x14ac:dyDescent="0.2">
      <c r="E3073" s="4"/>
      <c r="F3073" s="45"/>
      <c r="G3073" s="4"/>
      <c r="H3073" s="47"/>
      <c r="Z3073" s="6"/>
    </row>
    <row r="3074" spans="5:26" x14ac:dyDescent="0.2">
      <c r="E3074" s="4"/>
      <c r="F3074" s="45"/>
      <c r="G3074" s="4"/>
      <c r="H3074" s="47"/>
      <c r="Z3074" s="6"/>
    </row>
    <row r="3075" spans="5:26" x14ac:dyDescent="0.2">
      <c r="E3075" s="4"/>
      <c r="F3075" s="45"/>
      <c r="G3075" s="4"/>
      <c r="H3075" s="47"/>
      <c r="Z3075" s="6"/>
    </row>
    <row r="3076" spans="5:26" x14ac:dyDescent="0.2">
      <c r="E3076" s="4"/>
      <c r="F3076" s="45"/>
      <c r="G3076" s="4"/>
      <c r="H3076" s="47"/>
      <c r="Z3076" s="6"/>
    </row>
    <row r="3077" spans="5:26" x14ac:dyDescent="0.2">
      <c r="E3077" s="4"/>
      <c r="F3077" s="45"/>
      <c r="G3077" s="4"/>
      <c r="H3077" s="47"/>
      <c r="Z3077" s="6"/>
    </row>
    <row r="3078" spans="5:26" x14ac:dyDescent="0.2">
      <c r="E3078" s="4"/>
      <c r="F3078" s="45"/>
      <c r="G3078" s="4"/>
      <c r="H3078" s="47"/>
      <c r="Z3078" s="6"/>
    </row>
    <row r="3079" spans="5:26" x14ac:dyDescent="0.2">
      <c r="E3079" s="4"/>
      <c r="F3079" s="45"/>
      <c r="G3079" s="4"/>
      <c r="H3079" s="47"/>
      <c r="Z3079" s="6"/>
    </row>
    <row r="3080" spans="5:26" x14ac:dyDescent="0.2">
      <c r="E3080" s="4"/>
      <c r="F3080" s="45"/>
      <c r="G3080" s="4"/>
      <c r="H3080" s="47"/>
      <c r="Z3080" s="6"/>
    </row>
    <row r="3081" spans="5:26" x14ac:dyDescent="0.2">
      <c r="E3081" s="4"/>
      <c r="F3081" s="45"/>
      <c r="G3081" s="4"/>
      <c r="H3081" s="47"/>
      <c r="Z3081" s="6"/>
    </row>
    <row r="3082" spans="5:26" x14ac:dyDescent="0.2">
      <c r="E3082" s="4"/>
      <c r="F3082" s="45"/>
      <c r="G3082" s="4"/>
      <c r="H3082" s="47"/>
      <c r="Z3082" s="6"/>
    </row>
    <row r="3083" spans="5:26" x14ac:dyDescent="0.2">
      <c r="E3083" s="4"/>
      <c r="F3083" s="45"/>
      <c r="G3083" s="4"/>
      <c r="H3083" s="47"/>
      <c r="Z3083" s="6"/>
    </row>
    <row r="3084" spans="5:26" x14ac:dyDescent="0.2">
      <c r="E3084" s="4"/>
      <c r="F3084" s="45"/>
      <c r="G3084" s="4"/>
      <c r="H3084" s="47"/>
      <c r="Z3084" s="6"/>
    </row>
    <row r="3085" spans="5:26" x14ac:dyDescent="0.2">
      <c r="E3085" s="4"/>
      <c r="F3085" s="45"/>
      <c r="G3085" s="4"/>
      <c r="H3085" s="47"/>
      <c r="Z3085" s="6"/>
    </row>
    <row r="3086" spans="5:26" x14ac:dyDescent="0.2">
      <c r="E3086" s="4"/>
      <c r="F3086" s="45"/>
      <c r="G3086" s="4"/>
      <c r="H3086" s="47"/>
      <c r="Z3086" s="6"/>
    </row>
    <row r="3087" spans="5:26" x14ac:dyDescent="0.2">
      <c r="E3087" s="4"/>
      <c r="F3087" s="45"/>
      <c r="G3087" s="4"/>
      <c r="H3087" s="47"/>
      <c r="Z3087" s="6"/>
    </row>
    <row r="3088" spans="5:26" x14ac:dyDescent="0.2">
      <c r="E3088" s="4"/>
      <c r="F3088" s="45"/>
      <c r="G3088" s="4"/>
      <c r="H3088" s="47"/>
      <c r="Z3088" s="6"/>
    </row>
    <row r="3089" spans="5:26" x14ac:dyDescent="0.2">
      <c r="E3089" s="4"/>
      <c r="F3089" s="45"/>
      <c r="G3089" s="4"/>
      <c r="H3089" s="47"/>
      <c r="Z3089" s="6"/>
    </row>
    <row r="3090" spans="5:26" x14ac:dyDescent="0.2">
      <c r="E3090" s="4"/>
      <c r="F3090" s="45"/>
      <c r="G3090" s="4"/>
      <c r="H3090" s="47"/>
      <c r="Z3090" s="6"/>
    </row>
    <row r="3091" spans="5:26" x14ac:dyDescent="0.2">
      <c r="E3091" s="4"/>
      <c r="F3091" s="45"/>
      <c r="G3091" s="4"/>
      <c r="H3091" s="47"/>
      <c r="Z3091" s="6"/>
    </row>
    <row r="3092" spans="5:26" x14ac:dyDescent="0.2">
      <c r="E3092" s="4"/>
      <c r="F3092" s="45"/>
      <c r="G3092" s="4"/>
      <c r="H3092" s="47"/>
      <c r="Z3092" s="6"/>
    </row>
    <row r="3093" spans="5:26" x14ac:dyDescent="0.2">
      <c r="E3093" s="4"/>
      <c r="F3093" s="45"/>
      <c r="G3093" s="4"/>
      <c r="H3093" s="47"/>
      <c r="Z3093" s="6"/>
    </row>
    <row r="3094" spans="5:26" x14ac:dyDescent="0.2">
      <c r="E3094" s="4"/>
      <c r="F3094" s="45"/>
      <c r="G3094" s="4"/>
      <c r="H3094" s="47"/>
      <c r="Z3094" s="6"/>
    </row>
    <row r="3095" spans="5:26" x14ac:dyDescent="0.2">
      <c r="E3095" s="4"/>
      <c r="F3095" s="45"/>
      <c r="G3095" s="4"/>
      <c r="H3095" s="47"/>
      <c r="Z3095" s="6"/>
    </row>
    <row r="3096" spans="5:26" x14ac:dyDescent="0.2">
      <c r="E3096" s="4"/>
      <c r="F3096" s="45"/>
      <c r="G3096" s="4"/>
      <c r="H3096" s="47"/>
      <c r="Z3096" s="6"/>
    </row>
    <row r="3097" spans="5:26" x14ac:dyDescent="0.2">
      <c r="E3097" s="4"/>
      <c r="F3097" s="45"/>
      <c r="G3097" s="4"/>
      <c r="H3097" s="47"/>
      <c r="Z3097" s="6"/>
    </row>
    <row r="3098" spans="5:26" x14ac:dyDescent="0.2">
      <c r="E3098" s="4"/>
      <c r="F3098" s="45"/>
      <c r="G3098" s="4"/>
      <c r="H3098" s="47"/>
      <c r="Z3098" s="6"/>
    </row>
    <row r="3099" spans="5:26" x14ac:dyDescent="0.2">
      <c r="E3099" s="4"/>
      <c r="F3099" s="45"/>
      <c r="G3099" s="4"/>
      <c r="H3099" s="47"/>
      <c r="Z3099" s="6"/>
    </row>
    <row r="3100" spans="5:26" x14ac:dyDescent="0.2">
      <c r="E3100" s="4"/>
      <c r="F3100" s="45"/>
      <c r="G3100" s="4"/>
      <c r="H3100" s="47"/>
      <c r="Z3100" s="6"/>
    </row>
    <row r="3101" spans="5:26" x14ac:dyDescent="0.2">
      <c r="E3101" s="4"/>
      <c r="F3101" s="45"/>
      <c r="G3101" s="4"/>
      <c r="H3101" s="47"/>
      <c r="Z3101" s="6"/>
    </row>
    <row r="3102" spans="5:26" x14ac:dyDescent="0.2">
      <c r="E3102" s="4"/>
      <c r="F3102" s="45"/>
      <c r="G3102" s="4"/>
      <c r="H3102" s="47"/>
      <c r="Z3102" s="6"/>
    </row>
    <row r="3103" spans="5:26" x14ac:dyDescent="0.2">
      <c r="E3103" s="4"/>
      <c r="F3103" s="45"/>
      <c r="G3103" s="4"/>
      <c r="H3103" s="47"/>
      <c r="Z3103" s="6"/>
    </row>
    <row r="3104" spans="5:26" x14ac:dyDescent="0.2">
      <c r="E3104" s="4"/>
      <c r="F3104" s="45"/>
      <c r="G3104" s="4"/>
      <c r="H3104" s="47"/>
      <c r="Z3104" s="6"/>
    </row>
    <row r="3105" spans="5:26" x14ac:dyDescent="0.2">
      <c r="E3105" s="4"/>
      <c r="F3105" s="45"/>
      <c r="G3105" s="4"/>
      <c r="H3105" s="47"/>
      <c r="Z3105" s="6"/>
    </row>
    <row r="3106" spans="5:26" x14ac:dyDescent="0.2">
      <c r="E3106" s="4"/>
      <c r="F3106" s="45"/>
      <c r="G3106" s="4"/>
      <c r="H3106" s="47"/>
      <c r="Z3106" s="6"/>
    </row>
    <row r="3107" spans="5:26" x14ac:dyDescent="0.2">
      <c r="E3107" s="4"/>
      <c r="F3107" s="45"/>
      <c r="G3107" s="4"/>
      <c r="H3107" s="47"/>
      <c r="Z3107" s="6"/>
    </row>
    <row r="3108" spans="5:26" x14ac:dyDescent="0.2">
      <c r="E3108" s="4"/>
      <c r="F3108" s="45"/>
      <c r="G3108" s="4"/>
      <c r="H3108" s="47"/>
      <c r="Z3108" s="6"/>
    </row>
    <row r="3109" spans="5:26" x14ac:dyDescent="0.2">
      <c r="E3109" s="4"/>
      <c r="F3109" s="45"/>
      <c r="G3109" s="4"/>
      <c r="H3109" s="47"/>
      <c r="Z3109" s="6"/>
    </row>
    <row r="3110" spans="5:26" x14ac:dyDescent="0.2">
      <c r="E3110" s="4"/>
      <c r="F3110" s="45"/>
      <c r="G3110" s="4"/>
      <c r="H3110" s="47"/>
      <c r="Z3110" s="6"/>
    </row>
    <row r="3111" spans="5:26" x14ac:dyDescent="0.2">
      <c r="E3111" s="4"/>
      <c r="F3111" s="45"/>
      <c r="G3111" s="4"/>
      <c r="H3111" s="47"/>
      <c r="Z3111" s="6"/>
    </row>
    <row r="3112" spans="5:26" x14ac:dyDescent="0.2">
      <c r="E3112" s="4"/>
      <c r="F3112" s="45"/>
      <c r="G3112" s="4"/>
      <c r="H3112" s="47"/>
      <c r="Z3112" s="6"/>
    </row>
    <row r="3113" spans="5:26" x14ac:dyDescent="0.2">
      <c r="E3113" s="4"/>
      <c r="F3113" s="45"/>
      <c r="G3113" s="4"/>
      <c r="H3113" s="47"/>
      <c r="Z3113" s="6"/>
    </row>
    <row r="3114" spans="5:26" x14ac:dyDescent="0.2">
      <c r="E3114" s="4"/>
      <c r="F3114" s="45"/>
      <c r="G3114" s="4"/>
      <c r="H3114" s="47"/>
      <c r="Z3114" s="6"/>
    </row>
    <row r="3115" spans="5:26" x14ac:dyDescent="0.2">
      <c r="E3115" s="4"/>
      <c r="F3115" s="45"/>
      <c r="G3115" s="4"/>
      <c r="H3115" s="47"/>
      <c r="Z3115" s="6"/>
    </row>
    <row r="3116" spans="5:26" x14ac:dyDescent="0.2">
      <c r="E3116" s="4"/>
      <c r="F3116" s="45"/>
      <c r="G3116" s="4"/>
      <c r="H3116" s="47"/>
      <c r="Z3116" s="6"/>
    </row>
    <row r="3117" spans="5:26" x14ac:dyDescent="0.2">
      <c r="E3117" s="4"/>
      <c r="F3117" s="45"/>
      <c r="G3117" s="4"/>
      <c r="H3117" s="47"/>
      <c r="Z3117" s="6"/>
    </row>
    <row r="3118" spans="5:26" x14ac:dyDescent="0.2">
      <c r="E3118" s="4"/>
      <c r="F3118" s="45"/>
      <c r="G3118" s="4"/>
      <c r="H3118" s="47"/>
      <c r="Z3118" s="6"/>
    </row>
    <row r="3119" spans="5:26" x14ac:dyDescent="0.2">
      <c r="E3119" s="4"/>
      <c r="F3119" s="45"/>
      <c r="G3119" s="4"/>
      <c r="H3119" s="47"/>
      <c r="Z3119" s="6"/>
    </row>
    <row r="3120" spans="5:26" x14ac:dyDescent="0.2">
      <c r="E3120" s="4"/>
      <c r="F3120" s="45"/>
      <c r="G3120" s="4"/>
      <c r="H3120" s="47"/>
      <c r="Z3120" s="6"/>
    </row>
    <row r="3121" spans="5:26" x14ac:dyDescent="0.2">
      <c r="E3121" s="4"/>
      <c r="F3121" s="45"/>
      <c r="G3121" s="4"/>
      <c r="H3121" s="47"/>
      <c r="Z3121" s="6"/>
    </row>
    <row r="3122" spans="5:26" x14ac:dyDescent="0.2">
      <c r="E3122" s="4"/>
      <c r="F3122" s="45"/>
      <c r="G3122" s="4"/>
      <c r="H3122" s="47"/>
      <c r="Z3122" s="6"/>
    </row>
    <row r="3123" spans="5:26" x14ac:dyDescent="0.2">
      <c r="E3123" s="4"/>
      <c r="F3123" s="45"/>
      <c r="G3123" s="4"/>
      <c r="H3123" s="47"/>
      <c r="Z3123" s="6"/>
    </row>
    <row r="3124" spans="5:26" x14ac:dyDescent="0.2">
      <c r="E3124" s="4"/>
      <c r="F3124" s="45"/>
      <c r="G3124" s="4"/>
      <c r="H3124" s="47"/>
      <c r="Z3124" s="6"/>
    </row>
    <row r="3125" spans="5:26" x14ac:dyDescent="0.2">
      <c r="E3125" s="4"/>
      <c r="F3125" s="45"/>
      <c r="G3125" s="4"/>
      <c r="H3125" s="47"/>
      <c r="Z3125" s="6"/>
    </row>
    <row r="3126" spans="5:26" x14ac:dyDescent="0.2">
      <c r="E3126" s="4"/>
      <c r="F3126" s="45"/>
      <c r="G3126" s="4"/>
      <c r="H3126" s="47"/>
      <c r="Z3126" s="6"/>
    </row>
    <row r="3127" spans="5:26" x14ac:dyDescent="0.2">
      <c r="E3127" s="4"/>
      <c r="F3127" s="45"/>
      <c r="G3127" s="4"/>
      <c r="H3127" s="47"/>
      <c r="Z3127" s="6"/>
    </row>
    <row r="3128" spans="5:26" x14ac:dyDescent="0.2">
      <c r="E3128" s="4"/>
      <c r="F3128" s="45"/>
      <c r="G3128" s="4"/>
      <c r="H3128" s="47"/>
      <c r="Z3128" s="6"/>
    </row>
    <row r="3129" spans="5:26" x14ac:dyDescent="0.2">
      <c r="E3129" s="4"/>
      <c r="F3129" s="45"/>
      <c r="G3129" s="4"/>
      <c r="H3129" s="47"/>
      <c r="Z3129" s="6"/>
    </row>
    <row r="3130" spans="5:26" x14ac:dyDescent="0.2">
      <c r="E3130" s="4"/>
      <c r="F3130" s="45"/>
      <c r="G3130" s="4"/>
      <c r="H3130" s="47"/>
      <c r="Z3130" s="6"/>
    </row>
    <row r="3131" spans="5:26" x14ac:dyDescent="0.2">
      <c r="E3131" s="4"/>
      <c r="F3131" s="45"/>
      <c r="G3131" s="4"/>
      <c r="H3131" s="47"/>
      <c r="Z3131" s="6"/>
    </row>
    <row r="3132" spans="5:26" x14ac:dyDescent="0.2">
      <c r="E3132" s="4"/>
      <c r="F3132" s="45"/>
      <c r="G3132" s="4"/>
      <c r="H3132" s="47"/>
      <c r="Z3132" s="6"/>
    </row>
    <row r="3133" spans="5:26" x14ac:dyDescent="0.2">
      <c r="E3133" s="4"/>
      <c r="F3133" s="45"/>
      <c r="G3133" s="4"/>
      <c r="H3133" s="47"/>
      <c r="Z3133" s="6"/>
    </row>
    <row r="3134" spans="5:26" x14ac:dyDescent="0.2">
      <c r="E3134" s="4"/>
      <c r="F3134" s="45"/>
      <c r="G3134" s="4"/>
      <c r="H3134" s="47"/>
      <c r="Z3134" s="6"/>
    </row>
    <row r="3135" spans="5:26" x14ac:dyDescent="0.2">
      <c r="E3135" s="4"/>
      <c r="F3135" s="45"/>
      <c r="G3135" s="4"/>
      <c r="H3135" s="47"/>
      <c r="Z3135" s="6"/>
    </row>
    <row r="3136" spans="5:26" x14ac:dyDescent="0.2">
      <c r="E3136" s="4"/>
      <c r="F3136" s="45"/>
      <c r="G3136" s="4"/>
      <c r="H3136" s="47"/>
      <c r="Z3136" s="6"/>
    </row>
    <row r="3137" spans="5:26" x14ac:dyDescent="0.2">
      <c r="E3137" s="4"/>
      <c r="F3137" s="45"/>
      <c r="G3137" s="4"/>
      <c r="H3137" s="47"/>
      <c r="Z3137" s="6"/>
    </row>
    <row r="3138" spans="5:26" x14ac:dyDescent="0.2">
      <c r="E3138" s="4"/>
      <c r="F3138" s="45"/>
      <c r="G3138" s="4"/>
      <c r="H3138" s="47"/>
      <c r="Z3138" s="6"/>
    </row>
    <row r="3139" spans="5:26" x14ac:dyDescent="0.2">
      <c r="E3139" s="4"/>
      <c r="F3139" s="45"/>
      <c r="G3139" s="4"/>
      <c r="H3139" s="47"/>
      <c r="Z3139" s="6"/>
    </row>
    <row r="3140" spans="5:26" x14ac:dyDescent="0.2">
      <c r="E3140" s="4"/>
      <c r="F3140" s="45"/>
      <c r="G3140" s="4"/>
      <c r="H3140" s="47"/>
      <c r="Z3140" s="6"/>
    </row>
    <row r="3141" spans="5:26" x14ac:dyDescent="0.2">
      <c r="E3141" s="4"/>
      <c r="F3141" s="45"/>
      <c r="G3141" s="4"/>
      <c r="H3141" s="47"/>
      <c r="Z3141" s="6"/>
    </row>
    <row r="3142" spans="5:26" x14ac:dyDescent="0.2">
      <c r="E3142" s="4"/>
      <c r="F3142" s="45"/>
      <c r="G3142" s="4"/>
      <c r="H3142" s="47"/>
      <c r="Z3142" s="6"/>
    </row>
    <row r="3143" spans="5:26" x14ac:dyDescent="0.2">
      <c r="E3143" s="4"/>
      <c r="F3143" s="45"/>
      <c r="G3143" s="4"/>
      <c r="H3143" s="47"/>
      <c r="Z3143" s="6"/>
    </row>
    <row r="3144" spans="5:26" x14ac:dyDescent="0.2">
      <c r="E3144" s="4"/>
      <c r="F3144" s="45"/>
      <c r="G3144" s="4"/>
      <c r="H3144" s="47"/>
      <c r="Z3144" s="6"/>
    </row>
    <row r="3145" spans="5:26" x14ac:dyDescent="0.2">
      <c r="E3145" s="4"/>
      <c r="F3145" s="45"/>
      <c r="G3145" s="4"/>
      <c r="H3145" s="47"/>
      <c r="Z3145" s="6"/>
    </row>
    <row r="3146" spans="5:26" x14ac:dyDescent="0.2">
      <c r="E3146" s="4"/>
      <c r="F3146" s="45"/>
      <c r="G3146" s="4"/>
      <c r="H3146" s="47"/>
      <c r="Z3146" s="6"/>
    </row>
    <row r="3147" spans="5:26" x14ac:dyDescent="0.2">
      <c r="E3147" s="4"/>
      <c r="F3147" s="45"/>
      <c r="G3147" s="4"/>
      <c r="H3147" s="47"/>
      <c r="Z3147" s="6"/>
    </row>
    <row r="3148" spans="5:26" x14ac:dyDescent="0.2">
      <c r="E3148" s="4"/>
      <c r="F3148" s="45"/>
      <c r="G3148" s="4"/>
      <c r="H3148" s="47"/>
      <c r="Z3148" s="6"/>
    </row>
    <row r="3149" spans="5:26" x14ac:dyDescent="0.2">
      <c r="E3149" s="4"/>
      <c r="F3149" s="45"/>
      <c r="G3149" s="4"/>
      <c r="H3149" s="47"/>
      <c r="Z3149" s="6"/>
    </row>
    <row r="3150" spans="5:26" x14ac:dyDescent="0.2">
      <c r="E3150" s="4"/>
      <c r="F3150" s="45"/>
      <c r="G3150" s="4"/>
      <c r="H3150" s="47"/>
      <c r="Z3150" s="6"/>
    </row>
    <row r="3151" spans="5:26" x14ac:dyDescent="0.2">
      <c r="E3151" s="4"/>
      <c r="F3151" s="45"/>
      <c r="G3151" s="4"/>
      <c r="H3151" s="47"/>
      <c r="Z3151" s="6"/>
    </row>
    <row r="3152" spans="5:26" x14ac:dyDescent="0.2">
      <c r="E3152" s="4"/>
      <c r="F3152" s="45"/>
      <c r="G3152" s="4"/>
      <c r="H3152" s="47"/>
      <c r="Z3152" s="6"/>
    </row>
    <row r="3153" spans="5:26" x14ac:dyDescent="0.2">
      <c r="E3153" s="4"/>
      <c r="F3153" s="45"/>
      <c r="G3153" s="4"/>
      <c r="H3153" s="47"/>
      <c r="Z3153" s="6"/>
    </row>
    <row r="3154" spans="5:26" x14ac:dyDescent="0.2">
      <c r="E3154" s="4"/>
      <c r="F3154" s="45"/>
      <c r="G3154" s="4"/>
      <c r="H3154" s="47"/>
      <c r="Z3154" s="6"/>
    </row>
    <row r="3155" spans="5:26" x14ac:dyDescent="0.2">
      <c r="E3155" s="4"/>
      <c r="F3155" s="45"/>
      <c r="G3155" s="4"/>
      <c r="H3155" s="47"/>
      <c r="Z3155" s="6"/>
    </row>
    <row r="3156" spans="5:26" x14ac:dyDescent="0.2">
      <c r="E3156" s="4"/>
      <c r="F3156" s="45"/>
      <c r="G3156" s="4"/>
      <c r="H3156" s="47"/>
      <c r="Z3156" s="6"/>
    </row>
    <row r="3157" spans="5:26" x14ac:dyDescent="0.2">
      <c r="E3157" s="4"/>
      <c r="F3157" s="45"/>
      <c r="G3157" s="4"/>
      <c r="H3157" s="47"/>
      <c r="Z3157" s="6"/>
    </row>
    <row r="3158" spans="5:26" x14ac:dyDescent="0.2">
      <c r="E3158" s="4"/>
      <c r="F3158" s="45"/>
      <c r="G3158" s="4"/>
      <c r="H3158" s="47"/>
      <c r="Z3158" s="6"/>
    </row>
    <row r="3159" spans="5:26" x14ac:dyDescent="0.2">
      <c r="E3159" s="4"/>
      <c r="F3159" s="45"/>
      <c r="G3159" s="4"/>
      <c r="H3159" s="47"/>
      <c r="Z3159" s="6"/>
    </row>
    <row r="3160" spans="5:26" x14ac:dyDescent="0.2">
      <c r="E3160" s="4"/>
      <c r="F3160" s="45"/>
      <c r="G3160" s="4"/>
      <c r="H3160" s="47"/>
      <c r="Z3160" s="6"/>
    </row>
    <row r="3161" spans="5:26" x14ac:dyDescent="0.2">
      <c r="E3161" s="4"/>
      <c r="F3161" s="45"/>
      <c r="G3161" s="4"/>
      <c r="H3161" s="47"/>
      <c r="Z3161" s="6"/>
    </row>
    <row r="3162" spans="5:26" x14ac:dyDescent="0.2">
      <c r="E3162" s="4"/>
      <c r="F3162" s="45"/>
      <c r="G3162" s="4"/>
      <c r="H3162" s="47"/>
      <c r="Z3162" s="6"/>
    </row>
    <row r="3163" spans="5:26" x14ac:dyDescent="0.2">
      <c r="E3163" s="4"/>
      <c r="F3163" s="45"/>
      <c r="G3163" s="4"/>
      <c r="H3163" s="47"/>
      <c r="Z3163" s="6"/>
    </row>
    <row r="3164" spans="5:26" x14ac:dyDescent="0.2">
      <c r="E3164" s="4"/>
      <c r="F3164" s="45"/>
      <c r="G3164" s="4"/>
      <c r="H3164" s="47"/>
      <c r="Z3164" s="6"/>
    </row>
    <row r="3165" spans="5:26" x14ac:dyDescent="0.2">
      <c r="E3165" s="4"/>
      <c r="F3165" s="45"/>
      <c r="G3165" s="4"/>
      <c r="H3165" s="47"/>
      <c r="Z3165" s="6"/>
    </row>
    <row r="3166" spans="5:26" x14ac:dyDescent="0.2">
      <c r="E3166" s="4"/>
      <c r="F3166" s="45"/>
      <c r="G3166" s="4"/>
      <c r="H3166" s="47"/>
      <c r="Z3166" s="6"/>
    </row>
    <row r="3167" spans="5:26" x14ac:dyDescent="0.2">
      <c r="E3167" s="4"/>
      <c r="F3167" s="45"/>
      <c r="G3167" s="4"/>
      <c r="H3167" s="47"/>
      <c r="Z3167" s="6"/>
    </row>
    <row r="3168" spans="5:26" x14ac:dyDescent="0.2">
      <c r="E3168" s="4"/>
      <c r="F3168" s="45"/>
      <c r="G3168" s="4"/>
      <c r="H3168" s="47"/>
      <c r="Z3168" s="6"/>
    </row>
    <row r="3169" spans="5:26" x14ac:dyDescent="0.2">
      <c r="E3169" s="4"/>
      <c r="F3169" s="45"/>
      <c r="G3169" s="4"/>
      <c r="H3169" s="47"/>
      <c r="Z3169" s="6"/>
    </row>
    <row r="3170" spans="5:26" x14ac:dyDescent="0.2">
      <c r="E3170" s="4"/>
      <c r="F3170" s="45"/>
      <c r="G3170" s="4"/>
      <c r="H3170" s="47"/>
      <c r="Z3170" s="6"/>
    </row>
    <row r="3171" spans="5:26" x14ac:dyDescent="0.2">
      <c r="E3171" s="4"/>
      <c r="F3171" s="45"/>
      <c r="G3171" s="4"/>
      <c r="H3171" s="47"/>
      <c r="Z3171" s="6"/>
    </row>
    <row r="3172" spans="5:26" x14ac:dyDescent="0.2">
      <c r="E3172" s="4"/>
      <c r="F3172" s="45"/>
      <c r="G3172" s="4"/>
      <c r="H3172" s="47"/>
      <c r="Z3172" s="6"/>
    </row>
    <row r="3173" spans="5:26" x14ac:dyDescent="0.2">
      <c r="E3173" s="4"/>
      <c r="F3173" s="45"/>
      <c r="G3173" s="4"/>
      <c r="H3173" s="47"/>
      <c r="Z3173" s="6"/>
    </row>
    <row r="3174" spans="5:26" x14ac:dyDescent="0.2">
      <c r="E3174" s="4"/>
      <c r="F3174" s="45"/>
      <c r="G3174" s="4"/>
      <c r="H3174" s="47"/>
      <c r="Z3174" s="6"/>
    </row>
    <row r="3175" spans="5:26" x14ac:dyDescent="0.2">
      <c r="E3175" s="4"/>
      <c r="F3175" s="45"/>
      <c r="G3175" s="4"/>
      <c r="H3175" s="47"/>
      <c r="Z3175" s="6"/>
    </row>
    <row r="3176" spans="5:26" x14ac:dyDescent="0.2">
      <c r="E3176" s="4"/>
      <c r="F3176" s="45"/>
      <c r="G3176" s="4"/>
      <c r="H3176" s="47"/>
      <c r="Z3176" s="6"/>
    </row>
    <row r="3177" spans="5:26" x14ac:dyDescent="0.2">
      <c r="E3177" s="4"/>
      <c r="F3177" s="45"/>
      <c r="G3177" s="4"/>
      <c r="H3177" s="47"/>
      <c r="Z3177" s="6"/>
    </row>
    <row r="3178" spans="5:26" x14ac:dyDescent="0.2">
      <c r="E3178" s="4"/>
      <c r="F3178" s="45"/>
      <c r="G3178" s="4"/>
      <c r="H3178" s="47"/>
      <c r="Z3178" s="6"/>
    </row>
    <row r="3179" spans="5:26" x14ac:dyDescent="0.2">
      <c r="E3179" s="4"/>
      <c r="F3179" s="45"/>
      <c r="G3179" s="4"/>
      <c r="H3179" s="47"/>
      <c r="Z3179" s="6"/>
    </row>
    <row r="3180" spans="5:26" x14ac:dyDescent="0.2">
      <c r="E3180" s="4"/>
      <c r="F3180" s="45"/>
      <c r="G3180" s="4"/>
      <c r="H3180" s="47"/>
      <c r="Z3180" s="6"/>
    </row>
    <row r="3181" spans="5:26" x14ac:dyDescent="0.2">
      <c r="E3181" s="4"/>
      <c r="F3181" s="45"/>
      <c r="G3181" s="4"/>
      <c r="H3181" s="47"/>
      <c r="Z3181" s="6"/>
    </row>
    <row r="3182" spans="5:26" x14ac:dyDescent="0.2">
      <c r="E3182" s="4"/>
      <c r="F3182" s="45"/>
      <c r="G3182" s="4"/>
      <c r="H3182" s="47"/>
      <c r="Z3182" s="6"/>
    </row>
    <row r="3183" spans="5:26" x14ac:dyDescent="0.2">
      <c r="E3183" s="4"/>
      <c r="F3183" s="45"/>
      <c r="G3183" s="4"/>
      <c r="H3183" s="47"/>
      <c r="Z3183" s="6"/>
    </row>
    <row r="3184" spans="5:26" x14ac:dyDescent="0.2">
      <c r="E3184" s="4"/>
      <c r="F3184" s="45"/>
      <c r="G3184" s="4"/>
      <c r="H3184" s="47"/>
      <c r="Z3184" s="6"/>
    </row>
    <row r="3185" spans="5:26" x14ac:dyDescent="0.2">
      <c r="E3185" s="4"/>
      <c r="F3185" s="45"/>
      <c r="G3185" s="4"/>
      <c r="H3185" s="47"/>
      <c r="Z3185" s="6"/>
    </row>
    <row r="3186" spans="5:26" x14ac:dyDescent="0.2">
      <c r="E3186" s="4"/>
      <c r="F3186" s="45"/>
      <c r="G3186" s="4"/>
      <c r="H3186" s="47"/>
      <c r="Z3186" s="6"/>
    </row>
    <row r="3187" spans="5:26" x14ac:dyDescent="0.2">
      <c r="E3187" s="4"/>
      <c r="F3187" s="45"/>
      <c r="G3187" s="4"/>
      <c r="H3187" s="47"/>
      <c r="Z3187" s="6"/>
    </row>
    <row r="3188" spans="5:26" x14ac:dyDescent="0.2">
      <c r="E3188" s="4"/>
      <c r="F3188" s="45"/>
      <c r="G3188" s="4"/>
      <c r="H3188" s="47"/>
      <c r="Z3188" s="6"/>
    </row>
    <row r="3189" spans="5:26" x14ac:dyDescent="0.2">
      <c r="E3189" s="4"/>
      <c r="F3189" s="45"/>
      <c r="G3189" s="4"/>
      <c r="H3189" s="47"/>
      <c r="Z3189" s="6"/>
    </row>
    <row r="3190" spans="5:26" x14ac:dyDescent="0.2">
      <c r="E3190" s="4"/>
      <c r="F3190" s="45"/>
      <c r="G3190" s="4"/>
      <c r="H3190" s="47"/>
      <c r="Z3190" s="6"/>
    </row>
    <row r="3191" spans="5:26" x14ac:dyDescent="0.2">
      <c r="E3191" s="4"/>
      <c r="F3191" s="45"/>
      <c r="G3191" s="4"/>
      <c r="H3191" s="47"/>
      <c r="Z3191" s="6"/>
    </row>
    <row r="3192" spans="5:26" x14ac:dyDescent="0.2">
      <c r="E3192" s="4"/>
      <c r="F3192" s="45"/>
      <c r="G3192" s="4"/>
      <c r="H3192" s="47"/>
      <c r="Z3192" s="6"/>
    </row>
    <row r="3193" spans="5:26" x14ac:dyDescent="0.2">
      <c r="E3193" s="4"/>
      <c r="F3193" s="45"/>
      <c r="G3193" s="4"/>
      <c r="H3193" s="47"/>
      <c r="Z3193" s="6"/>
    </row>
    <row r="3194" spans="5:26" x14ac:dyDescent="0.2">
      <c r="E3194" s="4"/>
      <c r="F3194" s="45"/>
      <c r="G3194" s="4"/>
      <c r="H3194" s="47"/>
      <c r="Z3194" s="6"/>
    </row>
    <row r="3195" spans="5:26" x14ac:dyDescent="0.2">
      <c r="E3195" s="4"/>
      <c r="F3195" s="45"/>
      <c r="G3195" s="4"/>
      <c r="H3195" s="47"/>
      <c r="Z3195" s="6"/>
    </row>
    <row r="3196" spans="5:26" x14ac:dyDescent="0.2">
      <c r="E3196" s="4"/>
      <c r="F3196" s="45"/>
      <c r="G3196" s="4"/>
      <c r="H3196" s="47"/>
      <c r="Z3196" s="6"/>
    </row>
    <row r="3197" spans="5:26" x14ac:dyDescent="0.2">
      <c r="E3197" s="4"/>
      <c r="F3197" s="45"/>
      <c r="G3197" s="4"/>
      <c r="H3197" s="47"/>
      <c r="Z3197" s="6"/>
    </row>
    <row r="3198" spans="5:26" x14ac:dyDescent="0.2">
      <c r="E3198" s="4"/>
      <c r="F3198" s="45"/>
      <c r="G3198" s="4"/>
      <c r="H3198" s="47"/>
      <c r="Z3198" s="6"/>
    </row>
    <row r="3199" spans="5:26" x14ac:dyDescent="0.2">
      <c r="E3199" s="4"/>
      <c r="F3199" s="45"/>
      <c r="G3199" s="4"/>
      <c r="H3199" s="47"/>
      <c r="Z3199" s="6"/>
    </row>
    <row r="3200" spans="5:26" x14ac:dyDescent="0.2">
      <c r="E3200" s="4"/>
      <c r="F3200" s="45"/>
      <c r="G3200" s="4"/>
      <c r="H3200" s="47"/>
      <c r="Z3200" s="6"/>
    </row>
    <row r="3201" spans="5:26" x14ac:dyDescent="0.2">
      <c r="E3201" s="4"/>
      <c r="F3201" s="45"/>
      <c r="G3201" s="4"/>
      <c r="H3201" s="47"/>
      <c r="Z3201" s="6"/>
    </row>
    <row r="3202" spans="5:26" x14ac:dyDescent="0.2">
      <c r="E3202" s="4"/>
      <c r="F3202" s="45"/>
      <c r="G3202" s="4"/>
      <c r="H3202" s="47"/>
      <c r="Z3202" s="6"/>
    </row>
    <row r="3203" spans="5:26" x14ac:dyDescent="0.2">
      <c r="E3203" s="4"/>
      <c r="F3203" s="45"/>
      <c r="G3203" s="4"/>
      <c r="H3203" s="47"/>
      <c r="Z3203" s="6"/>
    </row>
    <row r="3204" spans="5:26" x14ac:dyDescent="0.2">
      <c r="E3204" s="4"/>
      <c r="F3204" s="45"/>
      <c r="G3204" s="4"/>
      <c r="H3204" s="47"/>
      <c r="Z3204" s="6"/>
    </row>
    <row r="3205" spans="5:26" x14ac:dyDescent="0.2">
      <c r="E3205" s="4"/>
      <c r="F3205" s="45"/>
      <c r="G3205" s="4"/>
      <c r="H3205" s="47"/>
      <c r="Z3205" s="6"/>
    </row>
    <row r="3206" spans="5:26" x14ac:dyDescent="0.2">
      <c r="E3206" s="4"/>
      <c r="F3206" s="45"/>
      <c r="G3206" s="4"/>
      <c r="H3206" s="47"/>
      <c r="Z3206" s="6"/>
    </row>
    <row r="3207" spans="5:26" x14ac:dyDescent="0.2">
      <c r="E3207" s="4"/>
      <c r="F3207" s="45"/>
      <c r="G3207" s="4"/>
      <c r="H3207" s="47"/>
      <c r="Z3207" s="6"/>
    </row>
    <row r="3208" spans="5:26" x14ac:dyDescent="0.2">
      <c r="E3208" s="4"/>
      <c r="F3208" s="45"/>
      <c r="G3208" s="4"/>
      <c r="H3208" s="47"/>
      <c r="Z3208" s="6"/>
    </row>
    <row r="3209" spans="5:26" x14ac:dyDescent="0.2">
      <c r="E3209" s="4"/>
      <c r="F3209" s="45"/>
      <c r="G3209" s="4"/>
      <c r="H3209" s="47"/>
      <c r="Z3209" s="6"/>
    </row>
    <row r="3210" spans="5:26" x14ac:dyDescent="0.2">
      <c r="E3210" s="4"/>
      <c r="F3210" s="45"/>
      <c r="G3210" s="4"/>
      <c r="H3210" s="47"/>
      <c r="Z3210" s="6"/>
    </row>
    <row r="3211" spans="5:26" x14ac:dyDescent="0.2">
      <c r="E3211" s="4"/>
      <c r="F3211" s="45"/>
      <c r="G3211" s="4"/>
      <c r="H3211" s="47"/>
      <c r="Z3211" s="6"/>
    </row>
    <row r="3212" spans="5:26" x14ac:dyDescent="0.2">
      <c r="E3212" s="4"/>
      <c r="F3212" s="45"/>
      <c r="G3212" s="4"/>
      <c r="H3212" s="47"/>
      <c r="Z3212" s="6"/>
    </row>
    <row r="3213" spans="5:26" x14ac:dyDescent="0.2">
      <c r="E3213" s="4"/>
      <c r="F3213" s="45"/>
      <c r="G3213" s="4"/>
      <c r="H3213" s="47"/>
      <c r="Z3213" s="6"/>
    </row>
    <row r="3214" spans="5:26" x14ac:dyDescent="0.2">
      <c r="E3214" s="4"/>
      <c r="F3214" s="45"/>
      <c r="G3214" s="4"/>
      <c r="H3214" s="47"/>
      <c r="Z3214" s="6"/>
    </row>
    <row r="3215" spans="5:26" x14ac:dyDescent="0.2">
      <c r="E3215" s="4"/>
      <c r="F3215" s="45"/>
      <c r="G3215" s="4"/>
      <c r="H3215" s="47"/>
      <c r="Z3215" s="6"/>
    </row>
    <row r="3216" spans="5:26" x14ac:dyDescent="0.2">
      <c r="E3216" s="4"/>
      <c r="F3216" s="45"/>
      <c r="G3216" s="4"/>
      <c r="H3216" s="47"/>
      <c r="Z3216" s="6"/>
    </row>
    <row r="3217" spans="5:26" x14ac:dyDescent="0.2">
      <c r="E3217" s="4"/>
      <c r="F3217" s="45"/>
      <c r="G3217" s="4"/>
      <c r="H3217" s="47"/>
      <c r="Z3217" s="6"/>
    </row>
    <row r="3218" spans="5:26" x14ac:dyDescent="0.2">
      <c r="E3218" s="4"/>
      <c r="F3218" s="45"/>
      <c r="G3218" s="4"/>
      <c r="H3218" s="47"/>
      <c r="Z3218" s="6"/>
    </row>
    <row r="3219" spans="5:26" x14ac:dyDescent="0.2">
      <c r="E3219" s="4"/>
      <c r="F3219" s="45"/>
      <c r="G3219" s="4"/>
      <c r="H3219" s="47"/>
      <c r="Z3219" s="6"/>
    </row>
    <row r="3220" spans="5:26" x14ac:dyDescent="0.2">
      <c r="E3220" s="4"/>
      <c r="F3220" s="45"/>
      <c r="G3220" s="4"/>
      <c r="H3220" s="47"/>
      <c r="Z3220" s="6"/>
    </row>
    <row r="3221" spans="5:26" x14ac:dyDescent="0.2">
      <c r="E3221" s="4"/>
      <c r="F3221" s="45"/>
      <c r="G3221" s="4"/>
      <c r="H3221" s="47"/>
      <c r="Z3221" s="6"/>
    </row>
    <row r="3222" spans="5:26" x14ac:dyDescent="0.2">
      <c r="E3222" s="4"/>
      <c r="F3222" s="45"/>
      <c r="G3222" s="4"/>
      <c r="H3222" s="47"/>
      <c r="Z3222" s="6"/>
    </row>
    <row r="3223" spans="5:26" x14ac:dyDescent="0.2">
      <c r="E3223" s="4"/>
      <c r="F3223" s="45"/>
      <c r="G3223" s="4"/>
      <c r="H3223" s="47"/>
      <c r="Z3223" s="6"/>
    </row>
    <row r="3224" spans="5:26" x14ac:dyDescent="0.2">
      <c r="E3224" s="4"/>
      <c r="F3224" s="45"/>
      <c r="G3224" s="4"/>
      <c r="H3224" s="47"/>
      <c r="Z3224" s="6"/>
    </row>
    <row r="3225" spans="5:26" x14ac:dyDescent="0.2">
      <c r="E3225" s="4"/>
      <c r="F3225" s="45"/>
      <c r="G3225" s="4"/>
      <c r="H3225" s="47"/>
      <c r="Z3225" s="6"/>
    </row>
    <row r="3226" spans="5:26" x14ac:dyDescent="0.2">
      <c r="E3226" s="4"/>
      <c r="F3226" s="45"/>
      <c r="G3226" s="4"/>
      <c r="H3226" s="47"/>
      <c r="Z3226" s="6"/>
    </row>
    <row r="3227" spans="5:26" x14ac:dyDescent="0.2">
      <c r="E3227" s="4"/>
      <c r="F3227" s="45"/>
      <c r="G3227" s="4"/>
      <c r="H3227" s="47"/>
      <c r="Z3227" s="6"/>
    </row>
    <row r="3228" spans="5:26" x14ac:dyDescent="0.2">
      <c r="E3228" s="4"/>
      <c r="F3228" s="45"/>
      <c r="G3228" s="4"/>
      <c r="H3228" s="47"/>
      <c r="Z3228" s="6"/>
    </row>
    <row r="3229" spans="5:26" x14ac:dyDescent="0.2">
      <c r="E3229" s="4"/>
      <c r="F3229" s="45"/>
      <c r="G3229" s="4"/>
      <c r="H3229" s="47"/>
      <c r="Z3229" s="6"/>
    </row>
    <row r="3230" spans="5:26" x14ac:dyDescent="0.2">
      <c r="E3230" s="4"/>
      <c r="F3230" s="45"/>
      <c r="G3230" s="4"/>
      <c r="H3230" s="47"/>
      <c r="Z3230" s="6"/>
    </row>
    <row r="3231" spans="5:26" x14ac:dyDescent="0.2">
      <c r="E3231" s="4"/>
      <c r="F3231" s="45"/>
      <c r="G3231" s="4"/>
      <c r="H3231" s="47"/>
      <c r="Z3231" s="6"/>
    </row>
    <row r="3232" spans="5:26" x14ac:dyDescent="0.2">
      <c r="E3232" s="4"/>
      <c r="F3232" s="45"/>
      <c r="G3232" s="4"/>
      <c r="H3232" s="47"/>
      <c r="Z3232" s="6"/>
    </row>
    <row r="3233" spans="5:26" x14ac:dyDescent="0.2">
      <c r="E3233" s="4"/>
      <c r="F3233" s="45"/>
      <c r="G3233" s="4"/>
      <c r="H3233" s="47"/>
      <c r="Z3233" s="6"/>
    </row>
    <row r="3234" spans="5:26" x14ac:dyDescent="0.2">
      <c r="E3234" s="4"/>
      <c r="F3234" s="45"/>
      <c r="G3234" s="4"/>
      <c r="H3234" s="47"/>
      <c r="Z3234" s="6"/>
    </row>
    <row r="3235" spans="5:26" x14ac:dyDescent="0.2">
      <c r="E3235" s="4"/>
      <c r="F3235" s="45"/>
      <c r="G3235" s="4"/>
      <c r="H3235" s="47"/>
      <c r="Z3235" s="6"/>
    </row>
    <row r="3236" spans="5:26" x14ac:dyDescent="0.2">
      <c r="E3236" s="4"/>
      <c r="F3236" s="45"/>
      <c r="G3236" s="4"/>
      <c r="H3236" s="47"/>
      <c r="Z3236" s="6"/>
    </row>
    <row r="3237" spans="5:26" x14ac:dyDescent="0.2">
      <c r="E3237" s="4"/>
      <c r="F3237" s="45"/>
      <c r="G3237" s="4"/>
      <c r="H3237" s="47"/>
      <c r="Z3237" s="6"/>
    </row>
    <row r="3238" spans="5:26" x14ac:dyDescent="0.2">
      <c r="E3238" s="4"/>
      <c r="F3238" s="45"/>
      <c r="G3238" s="4"/>
      <c r="H3238" s="47"/>
      <c r="Z3238" s="6"/>
    </row>
    <row r="3239" spans="5:26" x14ac:dyDescent="0.2">
      <c r="E3239" s="4"/>
      <c r="F3239" s="45"/>
      <c r="G3239" s="4"/>
      <c r="H3239" s="47"/>
      <c r="Z3239" s="6"/>
    </row>
    <row r="3240" spans="5:26" x14ac:dyDescent="0.2">
      <c r="E3240" s="4"/>
      <c r="F3240" s="45"/>
      <c r="G3240" s="4"/>
      <c r="H3240" s="47"/>
      <c r="Z3240" s="6"/>
    </row>
    <row r="3241" spans="5:26" x14ac:dyDescent="0.2">
      <c r="E3241" s="4"/>
      <c r="F3241" s="45"/>
      <c r="G3241" s="4"/>
      <c r="H3241" s="47"/>
      <c r="Z3241" s="6"/>
    </row>
    <row r="3242" spans="5:26" x14ac:dyDescent="0.2">
      <c r="E3242" s="4"/>
      <c r="F3242" s="45"/>
      <c r="G3242" s="4"/>
      <c r="H3242" s="47"/>
      <c r="Z3242" s="6"/>
    </row>
    <row r="3243" spans="5:26" x14ac:dyDescent="0.2">
      <c r="E3243" s="4"/>
      <c r="F3243" s="45"/>
      <c r="G3243" s="4"/>
      <c r="H3243" s="47"/>
      <c r="Z3243" s="6"/>
    </row>
    <row r="3244" spans="5:26" x14ac:dyDescent="0.2">
      <c r="E3244" s="4"/>
      <c r="F3244" s="45"/>
      <c r="G3244" s="4"/>
      <c r="H3244" s="47"/>
      <c r="Z3244" s="6"/>
    </row>
    <row r="3245" spans="5:26" x14ac:dyDescent="0.2">
      <c r="E3245" s="4"/>
      <c r="F3245" s="45"/>
      <c r="G3245" s="4"/>
      <c r="H3245" s="47"/>
      <c r="Z3245" s="6"/>
    </row>
    <row r="3246" spans="5:26" x14ac:dyDescent="0.2">
      <c r="E3246" s="4"/>
      <c r="F3246" s="45"/>
      <c r="G3246" s="4"/>
      <c r="H3246" s="47"/>
      <c r="Z3246" s="6"/>
    </row>
    <row r="3247" spans="5:26" x14ac:dyDescent="0.2">
      <c r="E3247" s="4"/>
      <c r="F3247" s="45"/>
      <c r="G3247" s="4"/>
      <c r="H3247" s="47"/>
      <c r="Z3247" s="6"/>
    </row>
    <row r="3248" spans="5:26" x14ac:dyDescent="0.2">
      <c r="E3248" s="4"/>
      <c r="F3248" s="45"/>
      <c r="G3248" s="4"/>
      <c r="H3248" s="47"/>
      <c r="Z3248" s="6"/>
    </row>
    <row r="3249" spans="5:26" x14ac:dyDescent="0.2">
      <c r="E3249" s="4"/>
      <c r="F3249" s="45"/>
      <c r="G3249" s="4"/>
      <c r="H3249" s="47"/>
      <c r="Z3249" s="6"/>
    </row>
    <row r="3250" spans="5:26" x14ac:dyDescent="0.2">
      <c r="E3250" s="4"/>
      <c r="F3250" s="45"/>
      <c r="G3250" s="4"/>
      <c r="H3250" s="47"/>
      <c r="Z3250" s="6"/>
    </row>
    <row r="3251" spans="5:26" x14ac:dyDescent="0.2">
      <c r="E3251" s="4"/>
      <c r="F3251" s="45"/>
      <c r="G3251" s="4"/>
      <c r="H3251" s="47"/>
      <c r="Z3251" s="6"/>
    </row>
    <row r="3252" spans="5:26" x14ac:dyDescent="0.2">
      <c r="E3252" s="4"/>
      <c r="F3252" s="45"/>
      <c r="G3252" s="4"/>
      <c r="H3252" s="47"/>
      <c r="Z3252" s="6"/>
    </row>
    <row r="3253" spans="5:26" x14ac:dyDescent="0.2">
      <c r="E3253" s="4"/>
      <c r="F3253" s="45"/>
      <c r="G3253" s="4"/>
      <c r="H3253" s="47"/>
      <c r="Z3253" s="6"/>
    </row>
    <row r="3254" spans="5:26" x14ac:dyDescent="0.2">
      <c r="E3254" s="4"/>
      <c r="F3254" s="45"/>
      <c r="G3254" s="4"/>
      <c r="H3254" s="47"/>
      <c r="Z3254" s="6"/>
    </row>
    <row r="3255" spans="5:26" x14ac:dyDescent="0.2">
      <c r="E3255" s="4"/>
      <c r="F3255" s="45"/>
      <c r="G3255" s="4"/>
      <c r="H3255" s="47"/>
      <c r="Z3255" s="6"/>
    </row>
    <row r="3256" spans="5:26" x14ac:dyDescent="0.2">
      <c r="E3256" s="4"/>
      <c r="F3256" s="45"/>
      <c r="G3256" s="4"/>
      <c r="H3256" s="47"/>
      <c r="Z3256" s="6"/>
    </row>
    <row r="3257" spans="5:26" x14ac:dyDescent="0.2">
      <c r="E3257" s="4"/>
      <c r="F3257" s="45"/>
      <c r="G3257" s="4"/>
      <c r="H3257" s="47"/>
      <c r="Z3257" s="6"/>
    </row>
    <row r="3258" spans="5:26" x14ac:dyDescent="0.2">
      <c r="E3258" s="4"/>
      <c r="F3258" s="45"/>
      <c r="G3258" s="4"/>
      <c r="H3258" s="47"/>
      <c r="Z3258" s="6"/>
    </row>
    <row r="3259" spans="5:26" x14ac:dyDescent="0.2">
      <c r="E3259" s="4"/>
      <c r="F3259" s="45"/>
      <c r="G3259" s="4"/>
      <c r="H3259" s="47"/>
      <c r="Z3259" s="6"/>
    </row>
    <row r="3260" spans="5:26" x14ac:dyDescent="0.2">
      <c r="E3260" s="4"/>
      <c r="F3260" s="45"/>
      <c r="G3260" s="4"/>
      <c r="H3260" s="47"/>
      <c r="Z3260" s="6"/>
    </row>
    <row r="3261" spans="5:26" x14ac:dyDescent="0.2">
      <c r="E3261" s="4"/>
      <c r="F3261" s="45"/>
      <c r="G3261" s="4"/>
      <c r="H3261" s="47"/>
      <c r="Z3261" s="6"/>
    </row>
    <row r="3262" spans="5:26" x14ac:dyDescent="0.2">
      <c r="E3262" s="4"/>
      <c r="F3262" s="45"/>
      <c r="G3262" s="4"/>
      <c r="H3262" s="47"/>
      <c r="Z3262" s="6"/>
    </row>
    <row r="3263" spans="5:26" x14ac:dyDescent="0.2">
      <c r="E3263" s="4"/>
      <c r="F3263" s="45"/>
      <c r="G3263" s="4"/>
      <c r="H3263" s="47"/>
      <c r="Z3263" s="6"/>
    </row>
    <row r="3264" spans="5:26" x14ac:dyDescent="0.2">
      <c r="E3264" s="4"/>
      <c r="F3264" s="45"/>
      <c r="G3264" s="4"/>
      <c r="H3264" s="47"/>
      <c r="Z3264" s="6"/>
    </row>
    <row r="3265" spans="5:26" x14ac:dyDescent="0.2">
      <c r="E3265" s="4"/>
      <c r="F3265" s="45"/>
      <c r="G3265" s="4"/>
      <c r="H3265" s="47"/>
      <c r="Z3265" s="6"/>
    </row>
    <row r="3266" spans="5:26" x14ac:dyDescent="0.2">
      <c r="E3266" s="4"/>
      <c r="F3266" s="45"/>
      <c r="G3266" s="4"/>
      <c r="H3266" s="47"/>
      <c r="Z3266" s="6"/>
    </row>
    <row r="3267" spans="5:26" x14ac:dyDescent="0.2">
      <c r="E3267" s="4"/>
      <c r="F3267" s="45"/>
      <c r="G3267" s="4"/>
      <c r="H3267" s="47"/>
      <c r="Z3267" s="6"/>
    </row>
    <row r="3268" spans="5:26" x14ac:dyDescent="0.2">
      <c r="E3268" s="4"/>
      <c r="F3268" s="45"/>
      <c r="G3268" s="4"/>
      <c r="H3268" s="47"/>
      <c r="Z3268" s="6"/>
    </row>
    <row r="3269" spans="5:26" x14ac:dyDescent="0.2">
      <c r="E3269" s="4"/>
      <c r="F3269" s="45"/>
      <c r="G3269" s="4"/>
      <c r="H3269" s="47"/>
      <c r="Z3269" s="6"/>
    </row>
    <row r="3270" spans="5:26" x14ac:dyDescent="0.2">
      <c r="E3270" s="4"/>
      <c r="F3270" s="45"/>
      <c r="G3270" s="4"/>
      <c r="H3270" s="47"/>
      <c r="Z3270" s="6"/>
    </row>
    <row r="3271" spans="5:26" x14ac:dyDescent="0.2">
      <c r="E3271" s="4"/>
      <c r="F3271" s="45"/>
      <c r="G3271" s="4"/>
      <c r="H3271" s="47"/>
      <c r="Z3271" s="6"/>
    </row>
    <row r="3272" spans="5:26" x14ac:dyDescent="0.2">
      <c r="E3272" s="4"/>
      <c r="F3272" s="45"/>
      <c r="G3272" s="4"/>
      <c r="H3272" s="47"/>
      <c r="Z3272" s="6"/>
    </row>
    <row r="3273" spans="5:26" x14ac:dyDescent="0.2">
      <c r="E3273" s="4"/>
      <c r="F3273" s="45"/>
      <c r="G3273" s="4"/>
      <c r="H3273" s="47"/>
      <c r="Z3273" s="6"/>
    </row>
    <row r="3274" spans="5:26" x14ac:dyDescent="0.2">
      <c r="E3274" s="4"/>
      <c r="F3274" s="45"/>
      <c r="G3274" s="4"/>
      <c r="H3274" s="47"/>
      <c r="Z3274" s="6"/>
    </row>
    <row r="3275" spans="5:26" x14ac:dyDescent="0.2">
      <c r="E3275" s="4"/>
      <c r="F3275" s="45"/>
      <c r="G3275" s="4"/>
      <c r="H3275" s="47"/>
      <c r="Z3275" s="6"/>
    </row>
    <row r="3276" spans="5:26" x14ac:dyDescent="0.2">
      <c r="E3276" s="4"/>
      <c r="F3276" s="45"/>
      <c r="G3276" s="4"/>
      <c r="H3276" s="47"/>
      <c r="Z3276" s="6"/>
    </row>
    <row r="3277" spans="5:26" x14ac:dyDescent="0.2">
      <c r="E3277" s="4"/>
      <c r="F3277" s="45"/>
      <c r="G3277" s="4"/>
      <c r="H3277" s="47"/>
      <c r="Z3277" s="6"/>
    </row>
    <row r="3278" spans="5:26" x14ac:dyDescent="0.2">
      <c r="E3278" s="4"/>
      <c r="F3278" s="45"/>
      <c r="G3278" s="4"/>
      <c r="H3278" s="47"/>
      <c r="Z3278" s="6"/>
    </row>
    <row r="3279" spans="5:26" x14ac:dyDescent="0.2">
      <c r="E3279" s="4"/>
      <c r="F3279" s="45"/>
      <c r="G3279" s="4"/>
      <c r="H3279" s="47"/>
      <c r="Z3279" s="6"/>
    </row>
    <row r="3280" spans="5:26" x14ac:dyDescent="0.2">
      <c r="E3280" s="4"/>
      <c r="F3280" s="45"/>
      <c r="G3280" s="4"/>
      <c r="H3280" s="47"/>
      <c r="Z3280" s="6"/>
    </row>
    <row r="3281" spans="5:26" x14ac:dyDescent="0.2">
      <c r="E3281" s="4"/>
      <c r="F3281" s="45"/>
      <c r="G3281" s="4"/>
      <c r="H3281" s="47"/>
      <c r="Z3281" s="6"/>
    </row>
    <row r="3282" spans="5:26" x14ac:dyDescent="0.2">
      <c r="E3282" s="4"/>
      <c r="F3282" s="45"/>
      <c r="G3282" s="4"/>
      <c r="H3282" s="47"/>
      <c r="Z3282" s="6"/>
    </row>
    <row r="3283" spans="5:26" x14ac:dyDescent="0.2">
      <c r="E3283" s="4"/>
      <c r="F3283" s="45"/>
      <c r="G3283" s="4"/>
      <c r="H3283" s="47"/>
      <c r="Z3283" s="6"/>
    </row>
    <row r="3284" spans="5:26" x14ac:dyDescent="0.2">
      <c r="E3284" s="4"/>
      <c r="F3284" s="45"/>
      <c r="G3284" s="4"/>
      <c r="H3284" s="47"/>
      <c r="Z3284" s="6"/>
    </row>
    <row r="3285" spans="5:26" x14ac:dyDescent="0.2">
      <c r="E3285" s="4"/>
      <c r="F3285" s="45"/>
      <c r="G3285" s="4"/>
      <c r="H3285" s="47"/>
      <c r="Z3285" s="6"/>
    </row>
    <row r="3286" spans="5:26" x14ac:dyDescent="0.2">
      <c r="E3286" s="4"/>
      <c r="F3286" s="45"/>
      <c r="G3286" s="4"/>
      <c r="H3286" s="47"/>
      <c r="Z3286" s="6"/>
    </row>
    <row r="3287" spans="5:26" x14ac:dyDescent="0.2">
      <c r="E3287" s="4"/>
      <c r="F3287" s="45"/>
      <c r="G3287" s="4"/>
      <c r="H3287" s="47"/>
      <c r="Z3287" s="6"/>
    </row>
    <row r="3288" spans="5:26" x14ac:dyDescent="0.2">
      <c r="E3288" s="4"/>
      <c r="F3288" s="45"/>
      <c r="G3288" s="4"/>
      <c r="H3288" s="47"/>
      <c r="Z3288" s="6"/>
    </row>
    <row r="3289" spans="5:26" x14ac:dyDescent="0.2">
      <c r="E3289" s="4"/>
      <c r="F3289" s="45"/>
      <c r="G3289" s="4"/>
      <c r="H3289" s="47"/>
      <c r="Z3289" s="6"/>
    </row>
    <row r="3290" spans="5:26" x14ac:dyDescent="0.2">
      <c r="E3290" s="4"/>
      <c r="F3290" s="45"/>
      <c r="G3290" s="4"/>
      <c r="H3290" s="47"/>
      <c r="Z3290" s="6"/>
    </row>
    <row r="3291" spans="5:26" x14ac:dyDescent="0.2">
      <c r="E3291" s="4"/>
      <c r="F3291" s="45"/>
      <c r="G3291" s="4"/>
      <c r="H3291" s="47"/>
      <c r="Z3291" s="6"/>
    </row>
    <row r="3292" spans="5:26" x14ac:dyDescent="0.2">
      <c r="E3292" s="4"/>
      <c r="F3292" s="45"/>
      <c r="G3292" s="4"/>
      <c r="H3292" s="47"/>
      <c r="Z3292" s="6"/>
    </row>
    <row r="3293" spans="5:26" x14ac:dyDescent="0.2">
      <c r="E3293" s="4"/>
      <c r="F3293" s="45"/>
      <c r="G3293" s="4"/>
      <c r="H3293" s="47"/>
      <c r="Z3293" s="6"/>
    </row>
    <row r="3294" spans="5:26" x14ac:dyDescent="0.2">
      <c r="E3294" s="4"/>
      <c r="F3294" s="45"/>
      <c r="G3294" s="4"/>
      <c r="H3294" s="47"/>
      <c r="Z3294" s="6"/>
    </row>
    <row r="3295" spans="5:26" x14ac:dyDescent="0.2">
      <c r="E3295" s="4"/>
      <c r="F3295" s="45"/>
      <c r="G3295" s="4"/>
      <c r="H3295" s="47"/>
      <c r="Z3295" s="6"/>
    </row>
    <row r="3296" spans="5:26" x14ac:dyDescent="0.2">
      <c r="E3296" s="4"/>
      <c r="F3296" s="45"/>
      <c r="G3296" s="4"/>
      <c r="H3296" s="47"/>
      <c r="Z3296" s="6"/>
    </row>
    <row r="3297" spans="5:26" x14ac:dyDescent="0.2">
      <c r="E3297" s="4"/>
      <c r="F3297" s="45"/>
      <c r="G3297" s="4"/>
      <c r="H3297" s="47"/>
      <c r="Z3297" s="6"/>
    </row>
    <row r="3298" spans="5:26" x14ac:dyDescent="0.2">
      <c r="E3298" s="4"/>
      <c r="F3298" s="45"/>
      <c r="G3298" s="4"/>
      <c r="H3298" s="47"/>
      <c r="Z3298" s="6"/>
    </row>
    <row r="3299" spans="5:26" x14ac:dyDescent="0.2">
      <c r="E3299" s="4"/>
      <c r="F3299" s="45"/>
      <c r="G3299" s="4"/>
      <c r="H3299" s="47"/>
      <c r="Z3299" s="6"/>
    </row>
    <row r="3300" spans="5:26" x14ac:dyDescent="0.2">
      <c r="E3300" s="4"/>
      <c r="F3300" s="45"/>
      <c r="G3300" s="4"/>
      <c r="H3300" s="47"/>
      <c r="Z3300" s="6"/>
    </row>
    <row r="3301" spans="5:26" x14ac:dyDescent="0.2">
      <c r="E3301" s="4"/>
      <c r="F3301" s="45"/>
      <c r="G3301" s="4"/>
      <c r="H3301" s="47"/>
      <c r="Z3301" s="6"/>
    </row>
    <row r="3302" spans="5:26" x14ac:dyDescent="0.2">
      <c r="E3302" s="4"/>
      <c r="F3302" s="45"/>
      <c r="G3302" s="4"/>
      <c r="H3302" s="47"/>
      <c r="Z3302" s="6"/>
    </row>
    <row r="3303" spans="5:26" x14ac:dyDescent="0.2">
      <c r="E3303" s="4"/>
      <c r="F3303" s="45"/>
      <c r="G3303" s="4"/>
      <c r="H3303" s="47"/>
      <c r="Z3303" s="6"/>
    </row>
    <row r="3304" spans="5:26" x14ac:dyDescent="0.2">
      <c r="E3304" s="4"/>
      <c r="F3304" s="45"/>
      <c r="G3304" s="4"/>
      <c r="H3304" s="47"/>
      <c r="Z3304" s="6"/>
    </row>
    <row r="3305" spans="5:26" x14ac:dyDescent="0.2">
      <c r="E3305" s="4"/>
      <c r="F3305" s="45"/>
      <c r="G3305" s="4"/>
      <c r="H3305" s="47"/>
      <c r="Z3305" s="6"/>
    </row>
    <row r="3306" spans="5:26" x14ac:dyDescent="0.2">
      <c r="E3306" s="4"/>
      <c r="F3306" s="45"/>
      <c r="G3306" s="4"/>
      <c r="H3306" s="47"/>
      <c r="Z3306" s="6"/>
    </row>
    <row r="3307" spans="5:26" x14ac:dyDescent="0.2">
      <c r="E3307" s="4"/>
      <c r="F3307" s="45"/>
      <c r="G3307" s="4"/>
      <c r="H3307" s="47"/>
      <c r="Z3307" s="6"/>
    </row>
    <row r="3308" spans="5:26" x14ac:dyDescent="0.2">
      <c r="E3308" s="4"/>
      <c r="F3308" s="45"/>
      <c r="G3308" s="4"/>
      <c r="H3308" s="47"/>
      <c r="Z3308" s="6"/>
    </row>
    <row r="3309" spans="5:26" x14ac:dyDescent="0.2">
      <c r="E3309" s="4"/>
      <c r="F3309" s="45"/>
      <c r="G3309" s="4"/>
      <c r="H3309" s="47"/>
      <c r="Z3309" s="6"/>
    </row>
    <row r="3310" spans="5:26" x14ac:dyDescent="0.2">
      <c r="E3310" s="4"/>
      <c r="F3310" s="45"/>
      <c r="G3310" s="4"/>
      <c r="H3310" s="47"/>
      <c r="Z3310" s="6"/>
    </row>
    <row r="3311" spans="5:26" x14ac:dyDescent="0.2">
      <c r="E3311" s="4"/>
      <c r="F3311" s="45"/>
      <c r="G3311" s="4"/>
      <c r="H3311" s="47"/>
      <c r="Z3311" s="6"/>
    </row>
    <row r="3312" spans="5:26" x14ac:dyDescent="0.2">
      <c r="E3312" s="4"/>
      <c r="F3312" s="45"/>
      <c r="G3312" s="4"/>
      <c r="H3312" s="47"/>
      <c r="Z3312" s="6"/>
    </row>
    <row r="3313" spans="5:26" x14ac:dyDescent="0.2">
      <c r="E3313" s="4"/>
      <c r="F3313" s="45"/>
      <c r="G3313" s="4"/>
      <c r="H3313" s="47"/>
      <c r="Z3313" s="6"/>
    </row>
    <row r="3314" spans="5:26" x14ac:dyDescent="0.2">
      <c r="E3314" s="4"/>
      <c r="F3314" s="45"/>
      <c r="G3314" s="4"/>
      <c r="H3314" s="47"/>
      <c r="Z3314" s="6"/>
    </row>
    <row r="3315" spans="5:26" x14ac:dyDescent="0.2">
      <c r="E3315" s="4"/>
      <c r="F3315" s="45"/>
      <c r="G3315" s="4"/>
      <c r="H3315" s="47"/>
      <c r="Z3315" s="6"/>
    </row>
    <row r="3316" spans="5:26" x14ac:dyDescent="0.2">
      <c r="E3316" s="4"/>
      <c r="F3316" s="45"/>
      <c r="G3316" s="4"/>
      <c r="H3316" s="47"/>
      <c r="Z3316" s="6"/>
    </row>
    <row r="3317" spans="5:26" x14ac:dyDescent="0.2">
      <c r="E3317" s="4"/>
      <c r="F3317" s="45"/>
      <c r="G3317" s="4"/>
      <c r="H3317" s="47"/>
      <c r="Z3317" s="6"/>
    </row>
    <row r="3318" spans="5:26" x14ac:dyDescent="0.2">
      <c r="E3318" s="4"/>
      <c r="F3318" s="45"/>
      <c r="G3318" s="4"/>
      <c r="H3318" s="47"/>
      <c r="Z3318" s="6"/>
    </row>
    <row r="3319" spans="5:26" x14ac:dyDescent="0.2">
      <c r="E3319" s="4"/>
      <c r="F3319" s="45"/>
      <c r="G3319" s="4"/>
      <c r="H3319" s="47"/>
      <c r="Z3319" s="6"/>
    </row>
    <row r="3320" spans="5:26" x14ac:dyDescent="0.2">
      <c r="E3320" s="4"/>
      <c r="F3320" s="45"/>
      <c r="G3320" s="4"/>
      <c r="H3320" s="47"/>
      <c r="Z3320" s="6"/>
    </row>
    <row r="3321" spans="5:26" x14ac:dyDescent="0.2">
      <c r="E3321" s="4"/>
      <c r="F3321" s="45"/>
      <c r="G3321" s="4"/>
      <c r="H3321" s="47"/>
      <c r="Z3321" s="6"/>
    </row>
    <row r="3322" spans="5:26" x14ac:dyDescent="0.2">
      <c r="E3322" s="4"/>
      <c r="F3322" s="45"/>
      <c r="G3322" s="4"/>
      <c r="H3322" s="47"/>
      <c r="Z3322" s="6"/>
    </row>
    <row r="3323" spans="5:26" x14ac:dyDescent="0.2">
      <c r="E3323" s="4"/>
      <c r="F3323" s="45"/>
      <c r="G3323" s="4"/>
      <c r="H3323" s="47"/>
      <c r="Z3323" s="6"/>
    </row>
    <row r="3324" spans="5:26" x14ac:dyDescent="0.2">
      <c r="E3324" s="4"/>
      <c r="F3324" s="45"/>
      <c r="G3324" s="4"/>
      <c r="H3324" s="47"/>
      <c r="Z3324" s="6"/>
    </row>
    <row r="3325" spans="5:26" x14ac:dyDescent="0.2">
      <c r="E3325" s="4"/>
      <c r="F3325" s="45"/>
      <c r="G3325" s="4"/>
      <c r="H3325" s="47"/>
      <c r="Z3325" s="6"/>
    </row>
    <row r="3326" spans="5:26" x14ac:dyDescent="0.2">
      <c r="E3326" s="4"/>
      <c r="F3326" s="45"/>
      <c r="G3326" s="4"/>
      <c r="H3326" s="47"/>
      <c r="Z3326" s="6"/>
    </row>
    <row r="3327" spans="5:26" x14ac:dyDescent="0.2">
      <c r="E3327" s="4"/>
      <c r="F3327" s="45"/>
      <c r="G3327" s="4"/>
      <c r="H3327" s="47"/>
      <c r="Z3327" s="6"/>
    </row>
    <row r="3328" spans="5:26" x14ac:dyDescent="0.2">
      <c r="E3328" s="4"/>
      <c r="F3328" s="45"/>
      <c r="G3328" s="4"/>
      <c r="H3328" s="47"/>
      <c r="Z3328" s="6"/>
    </row>
    <row r="3329" spans="5:26" x14ac:dyDescent="0.2">
      <c r="E3329" s="4"/>
      <c r="F3329" s="45"/>
      <c r="G3329" s="4"/>
      <c r="H3329" s="47"/>
      <c r="Z3329" s="6"/>
    </row>
    <row r="3330" spans="5:26" x14ac:dyDescent="0.2">
      <c r="E3330" s="4"/>
      <c r="F3330" s="45"/>
      <c r="G3330" s="4"/>
      <c r="H3330" s="47"/>
      <c r="Z3330" s="6"/>
    </row>
    <row r="3331" spans="5:26" x14ac:dyDescent="0.2">
      <c r="E3331" s="4"/>
      <c r="F3331" s="45"/>
      <c r="G3331" s="4"/>
      <c r="H3331" s="47"/>
      <c r="Z3331" s="6"/>
    </row>
    <row r="3332" spans="5:26" x14ac:dyDescent="0.2">
      <c r="E3332" s="4"/>
      <c r="F3332" s="45"/>
      <c r="G3332" s="4"/>
      <c r="H3332" s="47"/>
      <c r="Z3332" s="6"/>
    </row>
    <row r="3333" spans="5:26" x14ac:dyDescent="0.2">
      <c r="E3333" s="4"/>
      <c r="F3333" s="45"/>
      <c r="G3333" s="4"/>
      <c r="H3333" s="47"/>
      <c r="Z3333" s="6"/>
    </row>
    <row r="3334" spans="5:26" x14ac:dyDescent="0.2">
      <c r="E3334" s="4"/>
      <c r="F3334" s="45"/>
      <c r="G3334" s="4"/>
      <c r="H3334" s="47"/>
      <c r="Z3334" s="6"/>
    </row>
    <row r="3335" spans="5:26" x14ac:dyDescent="0.2">
      <c r="E3335" s="4"/>
      <c r="F3335" s="45"/>
      <c r="G3335" s="4"/>
      <c r="H3335" s="47"/>
      <c r="Z3335" s="6"/>
    </row>
    <row r="3336" spans="5:26" x14ac:dyDescent="0.2">
      <c r="E3336" s="4"/>
      <c r="F3336" s="45"/>
      <c r="G3336" s="4"/>
      <c r="H3336" s="47"/>
      <c r="Z3336" s="6"/>
    </row>
    <row r="3337" spans="5:26" x14ac:dyDescent="0.2">
      <c r="E3337" s="4"/>
      <c r="F3337" s="45"/>
      <c r="G3337" s="4"/>
      <c r="H3337" s="47"/>
      <c r="Z3337" s="6"/>
    </row>
    <row r="3338" spans="5:26" x14ac:dyDescent="0.2">
      <c r="E3338" s="4"/>
      <c r="F3338" s="45"/>
      <c r="G3338" s="4"/>
      <c r="H3338" s="47"/>
      <c r="Z3338" s="6"/>
    </row>
    <row r="3339" spans="5:26" x14ac:dyDescent="0.2">
      <c r="E3339" s="4"/>
      <c r="F3339" s="45"/>
      <c r="G3339" s="4"/>
      <c r="H3339" s="47"/>
      <c r="Z3339" s="6"/>
    </row>
    <row r="3340" spans="5:26" x14ac:dyDescent="0.2">
      <c r="E3340" s="4"/>
      <c r="F3340" s="45"/>
      <c r="G3340" s="4"/>
      <c r="H3340" s="47"/>
      <c r="Z3340" s="6"/>
    </row>
    <row r="3341" spans="5:26" x14ac:dyDescent="0.2">
      <c r="E3341" s="4"/>
      <c r="F3341" s="45"/>
      <c r="G3341" s="4"/>
      <c r="H3341" s="47"/>
      <c r="Z3341" s="6"/>
    </row>
    <row r="3342" spans="5:26" x14ac:dyDescent="0.2">
      <c r="E3342" s="4"/>
      <c r="F3342" s="45"/>
      <c r="G3342" s="4"/>
      <c r="H3342" s="47"/>
      <c r="Z3342" s="6"/>
    </row>
    <row r="3343" spans="5:26" x14ac:dyDescent="0.2">
      <c r="E3343" s="4"/>
      <c r="F3343" s="45"/>
      <c r="G3343" s="4"/>
      <c r="H3343" s="47"/>
      <c r="Z3343" s="6"/>
    </row>
    <row r="3344" spans="5:26" x14ac:dyDescent="0.2">
      <c r="E3344" s="4"/>
      <c r="F3344" s="45"/>
      <c r="G3344" s="4"/>
      <c r="H3344" s="47"/>
      <c r="Z3344" s="6"/>
    </row>
    <row r="3345" spans="5:26" x14ac:dyDescent="0.2">
      <c r="E3345" s="4"/>
      <c r="F3345" s="45"/>
      <c r="G3345" s="4"/>
      <c r="H3345" s="47"/>
      <c r="Z3345" s="6"/>
    </row>
    <row r="3346" spans="5:26" x14ac:dyDescent="0.2">
      <c r="E3346" s="4"/>
      <c r="F3346" s="45"/>
      <c r="G3346" s="4"/>
      <c r="H3346" s="47"/>
      <c r="Z3346" s="6"/>
    </row>
    <row r="3347" spans="5:26" x14ac:dyDescent="0.2">
      <c r="E3347" s="4"/>
      <c r="F3347" s="45"/>
      <c r="G3347" s="4"/>
      <c r="H3347" s="47"/>
      <c r="Z3347" s="6"/>
    </row>
    <row r="3348" spans="5:26" x14ac:dyDescent="0.2">
      <c r="E3348" s="4"/>
      <c r="F3348" s="45"/>
      <c r="G3348" s="4"/>
      <c r="H3348" s="47"/>
      <c r="Z3348" s="6"/>
    </row>
    <row r="3349" spans="5:26" x14ac:dyDescent="0.2">
      <c r="E3349" s="4"/>
      <c r="F3349" s="45"/>
      <c r="G3349" s="4"/>
      <c r="H3349" s="47"/>
      <c r="Z3349" s="6"/>
    </row>
    <row r="3350" spans="5:26" x14ac:dyDescent="0.2">
      <c r="E3350" s="4"/>
      <c r="F3350" s="45"/>
      <c r="G3350" s="4"/>
      <c r="H3350" s="47"/>
      <c r="Z3350" s="6"/>
    </row>
    <row r="3351" spans="5:26" x14ac:dyDescent="0.2">
      <c r="E3351" s="4"/>
      <c r="F3351" s="45"/>
      <c r="G3351" s="4"/>
      <c r="H3351" s="47"/>
      <c r="Z3351" s="6"/>
    </row>
    <row r="3352" spans="5:26" x14ac:dyDescent="0.2">
      <c r="E3352" s="4"/>
      <c r="F3352" s="45"/>
      <c r="G3352" s="4"/>
      <c r="H3352" s="47"/>
      <c r="Z3352" s="6"/>
    </row>
    <row r="3353" spans="5:26" x14ac:dyDescent="0.2">
      <c r="E3353" s="4"/>
      <c r="F3353" s="45"/>
      <c r="G3353" s="4"/>
      <c r="H3353" s="47"/>
      <c r="Z3353" s="6"/>
    </row>
    <row r="3354" spans="5:26" x14ac:dyDescent="0.2">
      <c r="E3354" s="4"/>
      <c r="F3354" s="45"/>
      <c r="G3354" s="4"/>
      <c r="H3354" s="47"/>
      <c r="Z3354" s="6"/>
    </row>
    <row r="3355" spans="5:26" x14ac:dyDescent="0.2">
      <c r="E3355" s="4"/>
      <c r="F3355" s="45"/>
      <c r="G3355" s="4"/>
      <c r="H3355" s="47"/>
      <c r="Z3355" s="6"/>
    </row>
    <row r="3356" spans="5:26" x14ac:dyDescent="0.2">
      <c r="E3356" s="4"/>
      <c r="F3356" s="45"/>
      <c r="G3356" s="4"/>
      <c r="H3356" s="47"/>
      <c r="Z3356" s="6"/>
    </row>
    <row r="3357" spans="5:26" x14ac:dyDescent="0.2">
      <c r="E3357" s="4"/>
      <c r="F3357" s="45"/>
      <c r="G3357" s="4"/>
      <c r="H3357" s="47"/>
      <c r="Z3357" s="6"/>
    </row>
    <row r="3358" spans="5:26" x14ac:dyDescent="0.2">
      <c r="E3358" s="4"/>
      <c r="F3358" s="45"/>
      <c r="G3358" s="4"/>
      <c r="H3358" s="47"/>
      <c r="Z3358" s="6"/>
    </row>
    <row r="3359" spans="5:26" x14ac:dyDescent="0.2">
      <c r="E3359" s="4"/>
      <c r="F3359" s="45"/>
      <c r="G3359" s="4"/>
      <c r="H3359" s="47"/>
      <c r="Z3359" s="6"/>
    </row>
    <row r="3360" spans="5:26" x14ac:dyDescent="0.2">
      <c r="E3360" s="4"/>
      <c r="F3360" s="45"/>
      <c r="G3360" s="4"/>
      <c r="H3360" s="47"/>
      <c r="Z3360" s="6"/>
    </row>
    <row r="3361" spans="5:26" x14ac:dyDescent="0.2">
      <c r="E3361" s="4"/>
      <c r="F3361" s="45"/>
      <c r="G3361" s="4"/>
      <c r="H3361" s="47"/>
      <c r="Z3361" s="6"/>
    </row>
    <row r="3362" spans="5:26" x14ac:dyDescent="0.2">
      <c r="E3362" s="4"/>
      <c r="F3362" s="45"/>
      <c r="G3362" s="4"/>
      <c r="H3362" s="47"/>
      <c r="Z3362" s="6"/>
    </row>
    <row r="3363" spans="5:26" x14ac:dyDescent="0.2">
      <c r="E3363" s="4"/>
      <c r="F3363" s="45"/>
      <c r="G3363" s="4"/>
      <c r="H3363" s="47"/>
      <c r="Z3363" s="6"/>
    </row>
    <row r="3364" spans="5:26" x14ac:dyDescent="0.2">
      <c r="E3364" s="4"/>
      <c r="F3364" s="45"/>
      <c r="G3364" s="4"/>
      <c r="H3364" s="47"/>
      <c r="Z3364" s="6"/>
    </row>
    <row r="3365" spans="5:26" x14ac:dyDescent="0.2">
      <c r="E3365" s="4"/>
      <c r="F3365" s="45"/>
      <c r="G3365" s="4"/>
      <c r="H3365" s="47"/>
      <c r="Z3365" s="6"/>
    </row>
    <row r="3366" spans="5:26" x14ac:dyDescent="0.2">
      <c r="E3366" s="4"/>
      <c r="F3366" s="45"/>
      <c r="G3366" s="4"/>
      <c r="H3366" s="47"/>
      <c r="Z3366" s="6"/>
    </row>
    <row r="3367" spans="5:26" x14ac:dyDescent="0.2">
      <c r="E3367" s="4"/>
      <c r="F3367" s="45"/>
      <c r="G3367" s="4"/>
      <c r="H3367" s="47"/>
      <c r="Z3367" s="6"/>
    </row>
    <row r="3368" spans="5:26" x14ac:dyDescent="0.2">
      <c r="E3368" s="4"/>
      <c r="F3368" s="45"/>
      <c r="G3368" s="4"/>
      <c r="H3368" s="47"/>
      <c r="Z3368" s="6"/>
    </row>
    <row r="3369" spans="5:26" x14ac:dyDescent="0.2">
      <c r="E3369" s="4"/>
      <c r="F3369" s="45"/>
      <c r="G3369" s="4"/>
      <c r="H3369" s="47"/>
      <c r="Z3369" s="6"/>
    </row>
    <row r="3370" spans="5:26" x14ac:dyDescent="0.2">
      <c r="E3370" s="4"/>
      <c r="F3370" s="45"/>
      <c r="G3370" s="4"/>
      <c r="H3370" s="47"/>
      <c r="Z3370" s="6"/>
    </row>
    <row r="3371" spans="5:26" x14ac:dyDescent="0.2">
      <c r="E3371" s="4"/>
      <c r="F3371" s="45"/>
      <c r="G3371" s="4"/>
      <c r="H3371" s="47"/>
      <c r="Z3371" s="6"/>
    </row>
    <row r="3372" spans="5:26" x14ac:dyDescent="0.2">
      <c r="E3372" s="4"/>
      <c r="F3372" s="45"/>
      <c r="G3372" s="4"/>
      <c r="H3372" s="47"/>
      <c r="Z3372" s="6"/>
    </row>
    <row r="3373" spans="5:26" x14ac:dyDescent="0.2">
      <c r="E3373" s="4"/>
      <c r="F3373" s="45"/>
      <c r="G3373" s="4"/>
      <c r="H3373" s="47"/>
      <c r="Z3373" s="6"/>
    </row>
    <row r="3374" spans="5:26" x14ac:dyDescent="0.2">
      <c r="E3374" s="4"/>
      <c r="F3374" s="45"/>
      <c r="G3374" s="4"/>
      <c r="H3374" s="47"/>
      <c r="Z3374" s="6"/>
    </row>
    <row r="3375" spans="5:26" x14ac:dyDescent="0.2">
      <c r="E3375" s="4"/>
      <c r="F3375" s="45"/>
      <c r="G3375" s="4"/>
      <c r="H3375" s="47"/>
      <c r="Z3375" s="6"/>
    </row>
    <row r="3376" spans="5:26" x14ac:dyDescent="0.2">
      <c r="E3376" s="4"/>
      <c r="F3376" s="45"/>
      <c r="G3376" s="4"/>
      <c r="H3376" s="47"/>
      <c r="Z3376" s="6"/>
    </row>
    <row r="3377" spans="5:26" x14ac:dyDescent="0.2">
      <c r="E3377" s="4"/>
      <c r="F3377" s="45"/>
      <c r="G3377" s="4"/>
      <c r="H3377" s="47"/>
      <c r="Z3377" s="6"/>
    </row>
    <row r="3378" spans="5:26" x14ac:dyDescent="0.2">
      <c r="E3378" s="4"/>
      <c r="F3378" s="45"/>
      <c r="G3378" s="4"/>
      <c r="H3378" s="47"/>
      <c r="Z3378" s="6"/>
    </row>
    <row r="3379" spans="5:26" x14ac:dyDescent="0.2">
      <c r="E3379" s="4"/>
      <c r="F3379" s="45"/>
      <c r="G3379" s="4"/>
      <c r="H3379" s="47"/>
      <c r="Z3379" s="6"/>
    </row>
    <row r="3380" spans="5:26" x14ac:dyDescent="0.2">
      <c r="E3380" s="4"/>
      <c r="F3380" s="45"/>
      <c r="G3380" s="4"/>
      <c r="H3380" s="47"/>
      <c r="Z3380" s="6"/>
    </row>
    <row r="3381" spans="5:26" x14ac:dyDescent="0.2">
      <c r="E3381" s="4"/>
      <c r="F3381" s="45"/>
      <c r="G3381" s="4"/>
      <c r="H3381" s="47"/>
      <c r="Z3381" s="6"/>
    </row>
    <row r="3382" spans="5:26" x14ac:dyDescent="0.2">
      <c r="E3382" s="4"/>
      <c r="F3382" s="45"/>
      <c r="G3382" s="4"/>
      <c r="H3382" s="47"/>
      <c r="Z3382" s="6"/>
    </row>
    <row r="3383" spans="5:26" x14ac:dyDescent="0.2">
      <c r="E3383" s="4"/>
      <c r="F3383" s="45"/>
      <c r="G3383" s="4"/>
      <c r="H3383" s="47"/>
      <c r="Z3383" s="6"/>
    </row>
    <row r="3384" spans="5:26" x14ac:dyDescent="0.2">
      <c r="E3384" s="4"/>
      <c r="F3384" s="45"/>
      <c r="G3384" s="4"/>
      <c r="H3384" s="47"/>
      <c r="Z3384" s="6"/>
    </row>
    <row r="3385" spans="5:26" x14ac:dyDescent="0.2">
      <c r="E3385" s="4"/>
      <c r="F3385" s="45"/>
      <c r="G3385" s="4"/>
      <c r="H3385" s="47"/>
      <c r="Z3385" s="6"/>
    </row>
    <row r="3386" spans="5:26" x14ac:dyDescent="0.2">
      <c r="E3386" s="4"/>
      <c r="F3386" s="45"/>
      <c r="G3386" s="4"/>
      <c r="H3386" s="47"/>
      <c r="Z3386" s="6"/>
    </row>
    <row r="3387" spans="5:26" x14ac:dyDescent="0.2">
      <c r="E3387" s="4"/>
      <c r="F3387" s="45"/>
      <c r="G3387" s="4"/>
      <c r="H3387" s="47"/>
      <c r="Z3387" s="6"/>
    </row>
    <row r="3388" spans="5:26" x14ac:dyDescent="0.2">
      <c r="E3388" s="4"/>
      <c r="F3388" s="45"/>
      <c r="G3388" s="4"/>
      <c r="H3388" s="47"/>
      <c r="Z3388" s="6"/>
    </row>
    <row r="3389" spans="5:26" x14ac:dyDescent="0.2">
      <c r="E3389" s="4"/>
      <c r="F3389" s="45"/>
      <c r="G3389" s="4"/>
      <c r="H3389" s="47"/>
      <c r="Z3389" s="6"/>
    </row>
    <row r="3390" spans="5:26" x14ac:dyDescent="0.2">
      <c r="E3390" s="4"/>
      <c r="F3390" s="45"/>
      <c r="G3390" s="4"/>
      <c r="H3390" s="47"/>
      <c r="Z3390" s="6"/>
    </row>
    <row r="3391" spans="5:26" x14ac:dyDescent="0.2">
      <c r="E3391" s="4"/>
      <c r="F3391" s="45"/>
      <c r="G3391" s="4"/>
      <c r="H3391" s="47"/>
      <c r="Z3391" s="6"/>
    </row>
    <row r="3392" spans="5:26" x14ac:dyDescent="0.2">
      <c r="E3392" s="4"/>
      <c r="F3392" s="45"/>
      <c r="G3392" s="4"/>
      <c r="H3392" s="47"/>
      <c r="Z3392" s="6"/>
    </row>
    <row r="3393" spans="5:26" x14ac:dyDescent="0.2">
      <c r="E3393" s="4"/>
      <c r="F3393" s="45"/>
      <c r="G3393" s="4"/>
      <c r="H3393" s="47"/>
      <c r="Z3393" s="6"/>
    </row>
    <row r="3394" spans="5:26" x14ac:dyDescent="0.2">
      <c r="E3394" s="4"/>
      <c r="F3394" s="45"/>
      <c r="G3394" s="4"/>
      <c r="H3394" s="47"/>
      <c r="Z3394" s="6"/>
    </row>
    <row r="3395" spans="5:26" x14ac:dyDescent="0.2">
      <c r="E3395" s="4"/>
      <c r="F3395" s="45"/>
      <c r="G3395" s="4"/>
      <c r="H3395" s="47"/>
      <c r="Z3395" s="6"/>
    </row>
    <row r="3396" spans="5:26" x14ac:dyDescent="0.2">
      <c r="E3396" s="4"/>
      <c r="F3396" s="45"/>
      <c r="G3396" s="4"/>
      <c r="H3396" s="47"/>
      <c r="Z3396" s="6"/>
    </row>
    <row r="3397" spans="5:26" x14ac:dyDescent="0.2">
      <c r="E3397" s="4"/>
      <c r="F3397" s="45"/>
      <c r="G3397" s="4"/>
      <c r="H3397" s="47"/>
      <c r="Z3397" s="6"/>
    </row>
    <row r="3398" spans="5:26" x14ac:dyDescent="0.2">
      <c r="E3398" s="4"/>
      <c r="F3398" s="45"/>
      <c r="G3398" s="4"/>
      <c r="H3398" s="47"/>
      <c r="Z3398" s="6"/>
    </row>
    <row r="3399" spans="5:26" x14ac:dyDescent="0.2">
      <c r="E3399" s="4"/>
      <c r="F3399" s="45"/>
      <c r="G3399" s="4"/>
      <c r="H3399" s="47"/>
      <c r="Z3399" s="6"/>
    </row>
    <row r="3400" spans="5:26" x14ac:dyDescent="0.2">
      <c r="E3400" s="4"/>
      <c r="F3400" s="45"/>
      <c r="G3400" s="4"/>
      <c r="H3400" s="47"/>
      <c r="Z3400" s="6"/>
    </row>
    <row r="3401" spans="5:26" x14ac:dyDescent="0.2">
      <c r="E3401" s="4"/>
      <c r="F3401" s="45"/>
      <c r="G3401" s="4"/>
      <c r="H3401" s="47"/>
      <c r="Z3401" s="6"/>
    </row>
    <row r="3402" spans="5:26" x14ac:dyDescent="0.2">
      <c r="E3402" s="4"/>
      <c r="F3402" s="45"/>
      <c r="G3402" s="4"/>
      <c r="H3402" s="47"/>
      <c r="Z3402" s="6"/>
    </row>
    <row r="3403" spans="5:26" x14ac:dyDescent="0.2">
      <c r="E3403" s="4"/>
      <c r="F3403" s="45"/>
      <c r="G3403" s="4"/>
      <c r="H3403" s="47"/>
      <c r="Z3403" s="6"/>
    </row>
    <row r="3404" spans="5:26" x14ac:dyDescent="0.2">
      <c r="E3404" s="4"/>
      <c r="F3404" s="45"/>
      <c r="G3404" s="4"/>
      <c r="H3404" s="47"/>
      <c r="Z3404" s="6"/>
    </row>
    <row r="3405" spans="5:26" x14ac:dyDescent="0.2">
      <c r="E3405" s="4"/>
      <c r="F3405" s="45"/>
      <c r="G3405" s="4"/>
      <c r="H3405" s="47"/>
      <c r="Z3405" s="6"/>
    </row>
    <row r="3406" spans="5:26" x14ac:dyDescent="0.2">
      <c r="E3406" s="4"/>
      <c r="F3406" s="45"/>
      <c r="G3406" s="4"/>
      <c r="H3406" s="47"/>
      <c r="Z3406" s="6"/>
    </row>
    <row r="3407" spans="5:26" x14ac:dyDescent="0.2">
      <c r="E3407" s="4"/>
      <c r="F3407" s="45"/>
      <c r="G3407" s="4"/>
      <c r="H3407" s="47"/>
      <c r="Z3407" s="6"/>
    </row>
    <row r="3408" spans="5:26" x14ac:dyDescent="0.2">
      <c r="E3408" s="4"/>
      <c r="F3408" s="45"/>
      <c r="G3408" s="4"/>
      <c r="H3408" s="47"/>
      <c r="Z3408" s="6"/>
    </row>
    <row r="3409" spans="5:26" x14ac:dyDescent="0.2">
      <c r="E3409" s="4"/>
      <c r="F3409" s="45"/>
      <c r="G3409" s="4"/>
      <c r="H3409" s="47"/>
      <c r="Z3409" s="6"/>
    </row>
    <row r="3410" spans="5:26" x14ac:dyDescent="0.2">
      <c r="E3410" s="4"/>
      <c r="F3410" s="45"/>
      <c r="G3410" s="4"/>
      <c r="H3410" s="47"/>
      <c r="Z3410" s="6"/>
    </row>
    <row r="3411" spans="5:26" x14ac:dyDescent="0.2">
      <c r="E3411" s="4"/>
      <c r="F3411" s="45"/>
      <c r="G3411" s="4"/>
      <c r="H3411" s="47"/>
      <c r="Z3411" s="6"/>
    </row>
    <row r="3412" spans="5:26" x14ac:dyDescent="0.2">
      <c r="E3412" s="4"/>
      <c r="F3412" s="45"/>
      <c r="G3412" s="4"/>
      <c r="H3412" s="47"/>
      <c r="Z3412" s="6"/>
    </row>
    <row r="3413" spans="5:26" x14ac:dyDescent="0.2">
      <c r="E3413" s="4"/>
      <c r="F3413" s="45"/>
      <c r="G3413" s="4"/>
      <c r="H3413" s="47"/>
      <c r="Z3413" s="6"/>
    </row>
    <row r="3414" spans="5:26" x14ac:dyDescent="0.2">
      <c r="E3414" s="4"/>
      <c r="F3414" s="45"/>
      <c r="G3414" s="4"/>
      <c r="H3414" s="47"/>
      <c r="Z3414" s="6"/>
    </row>
    <row r="3415" spans="5:26" x14ac:dyDescent="0.2">
      <c r="E3415" s="4"/>
      <c r="F3415" s="45"/>
      <c r="G3415" s="4"/>
      <c r="H3415" s="47"/>
      <c r="Z3415" s="6"/>
    </row>
    <row r="3416" spans="5:26" x14ac:dyDescent="0.2">
      <c r="E3416" s="4"/>
      <c r="F3416" s="45"/>
      <c r="G3416" s="4"/>
      <c r="H3416" s="47"/>
      <c r="Z3416" s="6"/>
    </row>
    <row r="3417" spans="5:26" x14ac:dyDescent="0.2">
      <c r="E3417" s="4"/>
      <c r="F3417" s="45"/>
      <c r="G3417" s="4"/>
      <c r="H3417" s="47"/>
      <c r="Z3417" s="6"/>
    </row>
    <row r="3418" spans="5:26" x14ac:dyDescent="0.2">
      <c r="E3418" s="4"/>
      <c r="F3418" s="45"/>
      <c r="G3418" s="4"/>
      <c r="H3418" s="47"/>
      <c r="Z3418" s="6"/>
    </row>
    <row r="3419" spans="5:26" x14ac:dyDescent="0.2">
      <c r="E3419" s="4"/>
      <c r="F3419" s="45"/>
      <c r="G3419" s="4"/>
      <c r="H3419" s="47"/>
      <c r="Z3419" s="6"/>
    </row>
    <row r="3420" spans="5:26" x14ac:dyDescent="0.2">
      <c r="E3420" s="4"/>
      <c r="F3420" s="45"/>
      <c r="G3420" s="4"/>
      <c r="H3420" s="47"/>
      <c r="Z3420" s="6"/>
    </row>
    <row r="3421" spans="5:26" x14ac:dyDescent="0.2">
      <c r="E3421" s="4"/>
      <c r="F3421" s="45"/>
      <c r="G3421" s="4"/>
      <c r="H3421" s="47"/>
      <c r="Z3421" s="6"/>
    </row>
    <row r="3422" spans="5:26" x14ac:dyDescent="0.2">
      <c r="E3422" s="4"/>
      <c r="F3422" s="45"/>
      <c r="G3422" s="4"/>
      <c r="H3422" s="47"/>
      <c r="Z3422" s="6"/>
    </row>
    <row r="3423" spans="5:26" x14ac:dyDescent="0.2">
      <c r="E3423" s="4"/>
      <c r="F3423" s="45"/>
      <c r="G3423" s="4"/>
      <c r="H3423" s="47"/>
      <c r="Z3423" s="6"/>
    </row>
    <row r="3424" spans="5:26" x14ac:dyDescent="0.2">
      <c r="E3424" s="4"/>
      <c r="F3424" s="45"/>
      <c r="G3424" s="4"/>
      <c r="H3424" s="47"/>
      <c r="Z3424" s="6"/>
    </row>
    <row r="3425" spans="5:26" x14ac:dyDescent="0.2">
      <c r="E3425" s="4"/>
      <c r="F3425" s="45"/>
      <c r="G3425" s="4"/>
      <c r="H3425" s="47"/>
      <c r="Z3425" s="6"/>
    </row>
    <row r="3426" spans="5:26" x14ac:dyDescent="0.2">
      <c r="E3426" s="4"/>
      <c r="F3426" s="45"/>
      <c r="G3426" s="4"/>
      <c r="H3426" s="47"/>
      <c r="Z3426" s="6"/>
    </row>
    <row r="3427" spans="5:26" x14ac:dyDescent="0.2">
      <c r="E3427" s="4"/>
      <c r="F3427" s="45"/>
      <c r="G3427" s="4"/>
      <c r="H3427" s="47"/>
      <c r="Z3427" s="6"/>
    </row>
    <row r="3428" spans="5:26" x14ac:dyDescent="0.2">
      <c r="E3428" s="4"/>
      <c r="F3428" s="45"/>
      <c r="G3428" s="4"/>
      <c r="H3428" s="47"/>
      <c r="Z3428" s="6"/>
    </row>
    <row r="3429" spans="5:26" x14ac:dyDescent="0.2">
      <c r="E3429" s="4"/>
      <c r="F3429" s="45"/>
      <c r="G3429" s="4"/>
      <c r="H3429" s="47"/>
      <c r="Z3429" s="6"/>
    </row>
    <row r="3430" spans="5:26" x14ac:dyDescent="0.2">
      <c r="E3430" s="4"/>
      <c r="F3430" s="45"/>
      <c r="G3430" s="4"/>
      <c r="H3430" s="47"/>
      <c r="Z3430" s="6"/>
    </row>
    <row r="3431" spans="5:26" x14ac:dyDescent="0.2">
      <c r="E3431" s="4"/>
      <c r="F3431" s="45"/>
      <c r="G3431" s="4"/>
      <c r="H3431" s="47"/>
      <c r="Z3431" s="6"/>
    </row>
    <row r="3432" spans="5:26" x14ac:dyDescent="0.2">
      <c r="E3432" s="4"/>
      <c r="F3432" s="45"/>
      <c r="G3432" s="4"/>
      <c r="H3432" s="47"/>
      <c r="Z3432" s="6"/>
    </row>
    <row r="3433" spans="5:26" x14ac:dyDescent="0.2">
      <c r="E3433" s="4"/>
      <c r="F3433" s="45"/>
      <c r="G3433" s="4"/>
      <c r="H3433" s="47"/>
      <c r="Z3433" s="6"/>
    </row>
    <row r="3434" spans="5:26" x14ac:dyDescent="0.2">
      <c r="E3434" s="4"/>
      <c r="F3434" s="45"/>
      <c r="G3434" s="4"/>
      <c r="H3434" s="47"/>
      <c r="Z3434" s="6"/>
    </row>
    <row r="3435" spans="5:26" x14ac:dyDescent="0.2">
      <c r="E3435" s="4"/>
      <c r="F3435" s="45"/>
      <c r="G3435" s="4"/>
      <c r="H3435" s="47"/>
      <c r="Z3435" s="6"/>
    </row>
    <row r="3436" spans="5:26" x14ac:dyDescent="0.2">
      <c r="E3436" s="4"/>
      <c r="F3436" s="45"/>
      <c r="G3436" s="4"/>
      <c r="H3436" s="47"/>
      <c r="Z3436" s="6"/>
    </row>
    <row r="3437" spans="5:26" x14ac:dyDescent="0.2">
      <c r="E3437" s="4"/>
      <c r="F3437" s="45"/>
      <c r="G3437" s="4"/>
      <c r="H3437" s="47"/>
      <c r="Z3437" s="6"/>
    </row>
    <row r="3438" spans="5:26" x14ac:dyDescent="0.2">
      <c r="E3438" s="4"/>
      <c r="F3438" s="45"/>
      <c r="G3438" s="4"/>
      <c r="H3438" s="47"/>
      <c r="Z3438" s="6"/>
    </row>
    <row r="3439" spans="5:26" x14ac:dyDescent="0.2">
      <c r="E3439" s="4"/>
      <c r="F3439" s="45"/>
      <c r="G3439" s="4"/>
      <c r="H3439" s="47"/>
      <c r="Z3439" s="6"/>
    </row>
    <row r="3440" spans="5:26" x14ac:dyDescent="0.2">
      <c r="E3440" s="4"/>
      <c r="F3440" s="45"/>
      <c r="G3440" s="4"/>
      <c r="H3440" s="47"/>
      <c r="Z3440" s="6"/>
    </row>
    <row r="3441" spans="5:26" x14ac:dyDescent="0.2">
      <c r="E3441" s="4"/>
      <c r="F3441" s="45"/>
      <c r="G3441" s="4"/>
      <c r="H3441" s="47"/>
      <c r="Z3441" s="6"/>
    </row>
    <row r="3442" spans="5:26" x14ac:dyDescent="0.2">
      <c r="E3442" s="4"/>
      <c r="F3442" s="45"/>
      <c r="G3442" s="4"/>
      <c r="H3442" s="47"/>
      <c r="Z3442" s="6"/>
    </row>
    <row r="3443" spans="5:26" x14ac:dyDescent="0.2">
      <c r="E3443" s="4"/>
      <c r="F3443" s="45"/>
      <c r="G3443" s="4"/>
      <c r="H3443" s="47"/>
      <c r="Z3443" s="6"/>
    </row>
    <row r="3444" spans="5:26" x14ac:dyDescent="0.2">
      <c r="E3444" s="4"/>
      <c r="F3444" s="45"/>
      <c r="G3444" s="4"/>
      <c r="H3444" s="47"/>
      <c r="Z3444" s="6"/>
    </row>
    <row r="3445" spans="5:26" x14ac:dyDescent="0.2">
      <c r="E3445" s="4"/>
      <c r="F3445" s="45"/>
      <c r="G3445" s="4"/>
      <c r="H3445" s="47"/>
      <c r="Z3445" s="6"/>
    </row>
    <row r="3446" spans="5:26" x14ac:dyDescent="0.2">
      <c r="E3446" s="4"/>
      <c r="F3446" s="45"/>
      <c r="G3446" s="4"/>
      <c r="H3446" s="47"/>
      <c r="Z3446" s="6"/>
    </row>
    <row r="3447" spans="5:26" x14ac:dyDescent="0.2">
      <c r="E3447" s="4"/>
      <c r="F3447" s="45"/>
      <c r="G3447" s="4"/>
      <c r="H3447" s="47"/>
      <c r="Z3447" s="6"/>
    </row>
    <row r="3448" spans="5:26" x14ac:dyDescent="0.2">
      <c r="E3448" s="4"/>
      <c r="F3448" s="45"/>
      <c r="G3448" s="4"/>
      <c r="H3448" s="47"/>
      <c r="Z3448" s="6"/>
    </row>
    <row r="3449" spans="5:26" x14ac:dyDescent="0.2">
      <c r="E3449" s="4"/>
      <c r="F3449" s="45"/>
      <c r="G3449" s="4"/>
      <c r="H3449" s="47"/>
      <c r="Z3449" s="6"/>
    </row>
    <row r="3450" spans="5:26" x14ac:dyDescent="0.2">
      <c r="E3450" s="4"/>
      <c r="F3450" s="45"/>
      <c r="G3450" s="4"/>
      <c r="H3450" s="47"/>
      <c r="Z3450" s="6"/>
    </row>
    <row r="3451" spans="5:26" x14ac:dyDescent="0.2">
      <c r="E3451" s="4"/>
      <c r="F3451" s="45"/>
      <c r="G3451" s="4"/>
      <c r="H3451" s="47"/>
      <c r="Z3451" s="6"/>
    </row>
    <row r="3452" spans="5:26" x14ac:dyDescent="0.2">
      <c r="E3452" s="4"/>
      <c r="F3452" s="45"/>
      <c r="G3452" s="4"/>
      <c r="H3452" s="47"/>
      <c r="Z3452" s="6"/>
    </row>
    <row r="3453" spans="5:26" x14ac:dyDescent="0.2">
      <c r="E3453" s="4"/>
      <c r="F3453" s="45"/>
      <c r="G3453" s="4"/>
      <c r="H3453" s="47"/>
      <c r="Z3453" s="6"/>
    </row>
    <row r="3454" spans="5:26" x14ac:dyDescent="0.2">
      <c r="E3454" s="4"/>
      <c r="F3454" s="45"/>
      <c r="G3454" s="4"/>
      <c r="H3454" s="47"/>
      <c r="Z3454" s="6"/>
    </row>
    <row r="3455" spans="5:26" x14ac:dyDescent="0.2">
      <c r="E3455" s="4"/>
      <c r="F3455" s="45"/>
      <c r="G3455" s="4"/>
      <c r="H3455" s="47"/>
      <c r="Z3455" s="6"/>
    </row>
    <row r="3456" spans="5:26" x14ac:dyDescent="0.2">
      <c r="E3456" s="4"/>
      <c r="F3456" s="45"/>
      <c r="G3456" s="4"/>
      <c r="H3456" s="47"/>
      <c r="Z3456" s="6"/>
    </row>
    <row r="3457" spans="5:26" x14ac:dyDescent="0.2">
      <c r="E3457" s="4"/>
      <c r="F3457" s="45"/>
      <c r="G3457" s="4"/>
      <c r="H3457" s="47"/>
      <c r="Z3457" s="6"/>
    </row>
    <row r="3458" spans="5:26" x14ac:dyDescent="0.2">
      <c r="E3458" s="4"/>
      <c r="F3458" s="45"/>
      <c r="G3458" s="4"/>
      <c r="H3458" s="47"/>
      <c r="Z3458" s="6"/>
    </row>
    <row r="3459" spans="5:26" x14ac:dyDescent="0.2">
      <c r="E3459" s="4"/>
      <c r="F3459" s="45"/>
      <c r="G3459" s="4"/>
      <c r="H3459" s="47"/>
      <c r="Z3459" s="6"/>
    </row>
    <row r="3460" spans="5:26" x14ac:dyDescent="0.2">
      <c r="E3460" s="4"/>
      <c r="F3460" s="45"/>
      <c r="G3460" s="4"/>
      <c r="H3460" s="47"/>
      <c r="Z3460" s="6"/>
    </row>
    <row r="3461" spans="5:26" x14ac:dyDescent="0.2">
      <c r="E3461" s="4"/>
      <c r="F3461" s="45"/>
      <c r="G3461" s="4"/>
      <c r="H3461" s="47"/>
      <c r="Z3461" s="6"/>
    </row>
    <row r="3462" spans="5:26" x14ac:dyDescent="0.2">
      <c r="E3462" s="4"/>
      <c r="F3462" s="45"/>
      <c r="G3462" s="4"/>
      <c r="H3462" s="47"/>
      <c r="Z3462" s="6"/>
    </row>
    <row r="3463" spans="5:26" x14ac:dyDescent="0.2">
      <c r="E3463" s="4"/>
      <c r="F3463" s="45"/>
      <c r="G3463" s="4"/>
      <c r="H3463" s="47"/>
      <c r="Z3463" s="6"/>
    </row>
    <row r="3464" spans="5:26" x14ac:dyDescent="0.2">
      <c r="E3464" s="4"/>
      <c r="F3464" s="45"/>
      <c r="G3464" s="4"/>
      <c r="H3464" s="47"/>
      <c r="Z3464" s="6"/>
    </row>
    <row r="3465" spans="5:26" x14ac:dyDescent="0.2">
      <c r="E3465" s="4"/>
      <c r="F3465" s="45"/>
      <c r="G3465" s="4"/>
      <c r="H3465" s="47"/>
      <c r="Z3465" s="6"/>
    </row>
    <row r="3466" spans="5:26" x14ac:dyDescent="0.2">
      <c r="E3466" s="4"/>
      <c r="F3466" s="45"/>
      <c r="G3466" s="4"/>
      <c r="H3466" s="47"/>
      <c r="Z3466" s="6"/>
    </row>
    <row r="3467" spans="5:26" x14ac:dyDescent="0.2">
      <c r="E3467" s="4"/>
      <c r="F3467" s="45"/>
      <c r="G3467" s="4"/>
      <c r="H3467" s="47"/>
      <c r="Z3467" s="6"/>
    </row>
    <row r="3468" spans="5:26" x14ac:dyDescent="0.2">
      <c r="E3468" s="4"/>
      <c r="F3468" s="45"/>
      <c r="G3468" s="4"/>
      <c r="H3468" s="47"/>
      <c r="Z3468" s="6"/>
    </row>
    <row r="3469" spans="5:26" x14ac:dyDescent="0.2">
      <c r="E3469" s="4"/>
      <c r="F3469" s="45"/>
      <c r="G3469" s="4"/>
      <c r="H3469" s="47"/>
      <c r="Z3469" s="6"/>
    </row>
    <row r="3470" spans="5:26" x14ac:dyDescent="0.2">
      <c r="E3470" s="4"/>
      <c r="F3470" s="45"/>
      <c r="G3470" s="4"/>
      <c r="H3470" s="47"/>
      <c r="Z3470" s="6"/>
    </row>
    <row r="3471" spans="5:26" x14ac:dyDescent="0.2">
      <c r="E3471" s="4"/>
      <c r="F3471" s="45"/>
      <c r="G3471" s="4"/>
      <c r="H3471" s="47"/>
      <c r="Z3471" s="6"/>
    </row>
    <row r="3472" spans="5:26" x14ac:dyDescent="0.2">
      <c r="E3472" s="4"/>
      <c r="F3472" s="45"/>
      <c r="G3472" s="4"/>
      <c r="H3472" s="47"/>
      <c r="Z3472" s="6"/>
    </row>
    <row r="3473" spans="5:26" x14ac:dyDescent="0.2">
      <c r="E3473" s="4"/>
      <c r="F3473" s="45"/>
      <c r="G3473" s="4"/>
      <c r="H3473" s="47"/>
      <c r="Z3473" s="6"/>
    </row>
    <row r="3474" spans="5:26" x14ac:dyDescent="0.2">
      <c r="E3474" s="4"/>
      <c r="F3474" s="45"/>
      <c r="G3474" s="4"/>
      <c r="H3474" s="47"/>
      <c r="Z3474" s="6"/>
    </row>
    <row r="3475" spans="5:26" x14ac:dyDescent="0.2">
      <c r="E3475" s="4"/>
      <c r="F3475" s="45"/>
      <c r="G3475" s="4"/>
      <c r="H3475" s="47"/>
      <c r="Z3475" s="6"/>
    </row>
    <row r="3476" spans="5:26" x14ac:dyDescent="0.2">
      <c r="E3476" s="4"/>
      <c r="F3476" s="45"/>
      <c r="G3476" s="4"/>
      <c r="H3476" s="47"/>
      <c r="Z3476" s="6"/>
    </row>
    <row r="3477" spans="5:26" x14ac:dyDescent="0.2">
      <c r="E3477" s="4"/>
      <c r="F3477" s="45"/>
      <c r="G3477" s="4"/>
      <c r="H3477" s="47"/>
      <c r="Z3477" s="6"/>
    </row>
    <row r="3478" spans="5:26" x14ac:dyDescent="0.2">
      <c r="E3478" s="4"/>
      <c r="F3478" s="45"/>
      <c r="G3478" s="4"/>
      <c r="H3478" s="47"/>
      <c r="Z3478" s="6"/>
    </row>
    <row r="3479" spans="5:26" x14ac:dyDescent="0.2">
      <c r="E3479" s="4"/>
      <c r="F3479" s="45"/>
      <c r="G3479" s="4"/>
      <c r="H3479" s="47"/>
      <c r="Z3479" s="6"/>
    </row>
    <row r="3480" spans="5:26" x14ac:dyDescent="0.2">
      <c r="E3480" s="4"/>
      <c r="F3480" s="45"/>
      <c r="G3480" s="4"/>
      <c r="H3480" s="47"/>
      <c r="Z3480" s="6"/>
    </row>
    <row r="3481" spans="5:26" x14ac:dyDescent="0.2">
      <c r="E3481" s="4"/>
      <c r="F3481" s="45"/>
      <c r="G3481" s="4"/>
      <c r="H3481" s="47"/>
      <c r="Z3481" s="6"/>
    </row>
    <row r="3482" spans="5:26" x14ac:dyDescent="0.2">
      <c r="E3482" s="4"/>
      <c r="F3482" s="45"/>
      <c r="G3482" s="4"/>
      <c r="H3482" s="47"/>
      <c r="Z3482" s="6"/>
    </row>
    <row r="3483" spans="5:26" x14ac:dyDescent="0.2">
      <c r="E3483" s="4"/>
      <c r="F3483" s="45"/>
      <c r="G3483" s="4"/>
      <c r="H3483" s="47"/>
      <c r="Z3483" s="6"/>
    </row>
    <row r="3484" spans="5:26" x14ac:dyDescent="0.2">
      <c r="E3484" s="4"/>
      <c r="F3484" s="45"/>
      <c r="G3484" s="4"/>
      <c r="H3484" s="47"/>
      <c r="Z3484" s="6"/>
    </row>
    <row r="3485" spans="5:26" x14ac:dyDescent="0.2">
      <c r="E3485" s="4"/>
      <c r="F3485" s="45"/>
      <c r="G3485" s="4"/>
      <c r="H3485" s="47"/>
      <c r="Z3485" s="6"/>
    </row>
    <row r="3486" spans="5:26" x14ac:dyDescent="0.2">
      <c r="E3486" s="4"/>
      <c r="F3486" s="45"/>
      <c r="G3486" s="4"/>
      <c r="H3486" s="47"/>
      <c r="Z3486" s="6"/>
    </row>
    <row r="3487" spans="5:26" x14ac:dyDescent="0.2">
      <c r="E3487" s="4"/>
      <c r="F3487" s="45"/>
      <c r="G3487" s="4"/>
      <c r="H3487" s="47"/>
      <c r="Z3487" s="6"/>
    </row>
    <row r="3488" spans="5:26" x14ac:dyDescent="0.2">
      <c r="E3488" s="4"/>
      <c r="F3488" s="45"/>
      <c r="G3488" s="4"/>
      <c r="H3488" s="47"/>
      <c r="Z3488" s="6"/>
    </row>
    <row r="3489" spans="5:26" x14ac:dyDescent="0.2">
      <c r="E3489" s="4"/>
      <c r="F3489" s="45"/>
      <c r="G3489" s="4"/>
      <c r="H3489" s="47"/>
      <c r="Z3489" s="6"/>
    </row>
    <row r="3490" spans="5:26" x14ac:dyDescent="0.2">
      <c r="E3490" s="4"/>
      <c r="F3490" s="45"/>
      <c r="G3490" s="4"/>
      <c r="H3490" s="47"/>
      <c r="Z3490" s="6"/>
    </row>
    <row r="3491" spans="5:26" x14ac:dyDescent="0.2">
      <c r="E3491" s="4"/>
      <c r="F3491" s="45"/>
      <c r="G3491" s="4"/>
      <c r="H3491" s="47"/>
      <c r="Z3491" s="6"/>
    </row>
    <row r="3492" spans="5:26" x14ac:dyDescent="0.2">
      <c r="E3492" s="4"/>
      <c r="F3492" s="45"/>
      <c r="G3492" s="4"/>
      <c r="H3492" s="47"/>
      <c r="Z3492" s="6"/>
    </row>
    <row r="3493" spans="5:26" x14ac:dyDescent="0.2">
      <c r="E3493" s="4"/>
      <c r="F3493" s="45"/>
      <c r="G3493" s="4"/>
      <c r="H3493" s="47"/>
      <c r="Z3493" s="6"/>
    </row>
    <row r="3494" spans="5:26" x14ac:dyDescent="0.2">
      <c r="E3494" s="4"/>
      <c r="F3494" s="45"/>
      <c r="G3494" s="4"/>
      <c r="H3494" s="47"/>
      <c r="Z3494" s="6"/>
    </row>
    <row r="3495" spans="5:26" x14ac:dyDescent="0.2">
      <c r="E3495" s="4"/>
      <c r="F3495" s="45"/>
      <c r="G3495" s="4"/>
      <c r="H3495" s="47"/>
      <c r="Z3495" s="6"/>
    </row>
    <row r="3496" spans="5:26" x14ac:dyDescent="0.2">
      <c r="E3496" s="4"/>
      <c r="F3496" s="45"/>
      <c r="G3496" s="4"/>
      <c r="H3496" s="47"/>
      <c r="Z3496" s="6"/>
    </row>
    <row r="3497" spans="5:26" x14ac:dyDescent="0.2">
      <c r="E3497" s="4"/>
      <c r="F3497" s="45"/>
      <c r="G3497" s="4"/>
      <c r="H3497" s="47"/>
      <c r="Z3497" s="6"/>
    </row>
    <row r="3498" spans="5:26" x14ac:dyDescent="0.2">
      <c r="E3498" s="4"/>
      <c r="F3498" s="45"/>
      <c r="G3498" s="4"/>
      <c r="H3498" s="47"/>
      <c r="Z3498" s="6"/>
    </row>
    <row r="3499" spans="5:26" x14ac:dyDescent="0.2">
      <c r="E3499" s="4"/>
      <c r="F3499" s="45"/>
      <c r="G3499" s="4"/>
      <c r="H3499" s="47"/>
      <c r="Z3499" s="6"/>
    </row>
    <row r="3500" spans="5:26" x14ac:dyDescent="0.2">
      <c r="E3500" s="4"/>
      <c r="F3500" s="45"/>
      <c r="G3500" s="4"/>
      <c r="H3500" s="47"/>
      <c r="Z3500" s="6"/>
    </row>
    <row r="3501" spans="5:26" x14ac:dyDescent="0.2">
      <c r="E3501" s="4"/>
      <c r="F3501" s="45"/>
      <c r="G3501" s="4"/>
      <c r="H3501" s="47"/>
      <c r="Z3501" s="6"/>
    </row>
    <row r="3502" spans="5:26" x14ac:dyDescent="0.2">
      <c r="E3502" s="4"/>
      <c r="F3502" s="45"/>
      <c r="G3502" s="4"/>
      <c r="H3502" s="47"/>
      <c r="Z3502" s="6"/>
    </row>
    <row r="3503" spans="5:26" x14ac:dyDescent="0.2">
      <c r="E3503" s="4"/>
      <c r="F3503" s="45"/>
      <c r="G3503" s="4"/>
      <c r="H3503" s="47"/>
      <c r="Z3503" s="6"/>
    </row>
    <row r="3504" spans="5:26" x14ac:dyDescent="0.2">
      <c r="E3504" s="4"/>
      <c r="F3504" s="45"/>
      <c r="G3504" s="4"/>
      <c r="H3504" s="47"/>
      <c r="Z3504" s="6"/>
    </row>
    <row r="3505" spans="5:26" x14ac:dyDescent="0.2">
      <c r="E3505" s="4"/>
      <c r="F3505" s="45"/>
      <c r="G3505" s="4"/>
      <c r="H3505" s="47"/>
      <c r="Z3505" s="6"/>
    </row>
    <row r="3506" spans="5:26" x14ac:dyDescent="0.2">
      <c r="E3506" s="4"/>
      <c r="F3506" s="45"/>
      <c r="G3506" s="4"/>
      <c r="H3506" s="47"/>
      <c r="Z3506" s="6"/>
    </row>
    <row r="3507" spans="5:26" x14ac:dyDescent="0.2">
      <c r="E3507" s="4"/>
      <c r="F3507" s="45"/>
      <c r="G3507" s="4"/>
      <c r="H3507" s="47"/>
      <c r="Z3507" s="6"/>
    </row>
    <row r="3508" spans="5:26" x14ac:dyDescent="0.2">
      <c r="E3508" s="4"/>
      <c r="F3508" s="45"/>
      <c r="G3508" s="4"/>
      <c r="H3508" s="47"/>
      <c r="Z3508" s="6"/>
    </row>
    <row r="3509" spans="5:26" x14ac:dyDescent="0.2">
      <c r="E3509" s="4"/>
      <c r="F3509" s="45"/>
      <c r="G3509" s="4"/>
      <c r="H3509" s="47"/>
      <c r="Z3509" s="6"/>
    </row>
    <row r="3510" spans="5:26" x14ac:dyDescent="0.2">
      <c r="E3510" s="4"/>
      <c r="F3510" s="45"/>
      <c r="G3510" s="4"/>
      <c r="H3510" s="47"/>
      <c r="Z3510" s="6"/>
    </row>
    <row r="3511" spans="5:26" x14ac:dyDescent="0.2">
      <c r="E3511" s="4"/>
      <c r="F3511" s="45"/>
      <c r="G3511" s="4"/>
      <c r="H3511" s="47"/>
      <c r="Z3511" s="6"/>
    </row>
    <row r="3512" spans="5:26" x14ac:dyDescent="0.2">
      <c r="E3512" s="4"/>
      <c r="F3512" s="45"/>
      <c r="G3512" s="4"/>
      <c r="H3512" s="47"/>
      <c r="Z3512" s="6"/>
    </row>
    <row r="3513" spans="5:26" x14ac:dyDescent="0.2">
      <c r="E3513" s="4"/>
      <c r="F3513" s="45"/>
      <c r="G3513" s="4"/>
      <c r="H3513" s="47"/>
      <c r="Z3513" s="6"/>
    </row>
    <row r="3514" spans="5:26" x14ac:dyDescent="0.2">
      <c r="E3514" s="4"/>
      <c r="F3514" s="45"/>
      <c r="G3514" s="4"/>
      <c r="H3514" s="47"/>
      <c r="Z3514" s="6"/>
    </row>
    <row r="3515" spans="5:26" x14ac:dyDescent="0.2">
      <c r="E3515" s="4"/>
      <c r="F3515" s="45"/>
      <c r="G3515" s="4"/>
      <c r="H3515" s="47"/>
      <c r="Z3515" s="6"/>
    </row>
    <row r="3516" spans="5:26" x14ac:dyDescent="0.2">
      <c r="E3516" s="4"/>
      <c r="F3516" s="45"/>
      <c r="G3516" s="4"/>
      <c r="H3516" s="47"/>
      <c r="Z3516" s="6"/>
    </row>
    <row r="3517" spans="5:26" x14ac:dyDescent="0.2">
      <c r="E3517" s="4"/>
      <c r="F3517" s="45"/>
      <c r="G3517" s="4"/>
      <c r="H3517" s="47"/>
      <c r="Z3517" s="6"/>
    </row>
    <row r="3518" spans="5:26" x14ac:dyDescent="0.2">
      <c r="E3518" s="4"/>
      <c r="F3518" s="45"/>
      <c r="G3518" s="4"/>
      <c r="H3518" s="47"/>
      <c r="Z3518" s="6"/>
    </row>
    <row r="3519" spans="5:26" x14ac:dyDescent="0.2">
      <c r="E3519" s="4"/>
      <c r="F3519" s="45"/>
      <c r="G3519" s="4"/>
      <c r="H3519" s="47"/>
      <c r="Z3519" s="6"/>
    </row>
    <row r="3520" spans="5:26" x14ac:dyDescent="0.2">
      <c r="E3520" s="4"/>
      <c r="F3520" s="45"/>
      <c r="G3520" s="4"/>
      <c r="H3520" s="47"/>
      <c r="Z3520" s="6"/>
    </row>
    <row r="3521" spans="5:26" x14ac:dyDescent="0.2">
      <c r="E3521" s="4"/>
      <c r="F3521" s="45"/>
      <c r="G3521" s="4"/>
      <c r="H3521" s="47"/>
      <c r="Z3521" s="6"/>
    </row>
    <row r="3522" spans="5:26" x14ac:dyDescent="0.2">
      <c r="E3522" s="4"/>
      <c r="F3522" s="45"/>
      <c r="G3522" s="4"/>
      <c r="H3522" s="47"/>
      <c r="Z3522" s="6"/>
    </row>
    <row r="3523" spans="5:26" x14ac:dyDescent="0.2">
      <c r="E3523" s="4"/>
      <c r="F3523" s="45"/>
      <c r="G3523" s="4"/>
      <c r="H3523" s="47"/>
      <c r="Z3523" s="6"/>
    </row>
    <row r="3524" spans="5:26" x14ac:dyDescent="0.2">
      <c r="E3524" s="4"/>
      <c r="F3524" s="45"/>
      <c r="G3524" s="4"/>
      <c r="H3524" s="47"/>
      <c r="Z3524" s="6"/>
    </row>
    <row r="3525" spans="5:26" x14ac:dyDescent="0.2">
      <c r="E3525" s="4"/>
      <c r="F3525" s="45"/>
      <c r="G3525" s="4"/>
      <c r="H3525" s="47"/>
      <c r="Z3525" s="6"/>
    </row>
    <row r="3526" spans="5:26" x14ac:dyDescent="0.2">
      <c r="E3526" s="4"/>
      <c r="F3526" s="45"/>
      <c r="G3526" s="4"/>
      <c r="H3526" s="47"/>
      <c r="Z3526" s="6"/>
    </row>
    <row r="3527" spans="5:26" x14ac:dyDescent="0.2">
      <c r="E3527" s="4"/>
      <c r="F3527" s="45"/>
      <c r="G3527" s="4"/>
      <c r="H3527" s="47"/>
      <c r="Z3527" s="6"/>
    </row>
    <row r="3528" spans="5:26" x14ac:dyDescent="0.2">
      <c r="E3528" s="4"/>
      <c r="F3528" s="45"/>
      <c r="G3528" s="4"/>
      <c r="H3528" s="47"/>
      <c r="Z3528" s="6"/>
    </row>
    <row r="3529" spans="5:26" x14ac:dyDescent="0.2">
      <c r="E3529" s="4"/>
      <c r="F3529" s="45"/>
      <c r="G3529" s="4"/>
      <c r="H3529" s="47"/>
      <c r="Z3529" s="6"/>
    </row>
    <row r="3530" spans="5:26" x14ac:dyDescent="0.2">
      <c r="E3530" s="4"/>
      <c r="F3530" s="45"/>
      <c r="G3530" s="4"/>
      <c r="H3530" s="47"/>
      <c r="Z3530" s="6"/>
    </row>
    <row r="3531" spans="5:26" x14ac:dyDescent="0.2">
      <c r="E3531" s="4"/>
      <c r="F3531" s="45"/>
      <c r="G3531" s="4"/>
      <c r="H3531" s="47"/>
      <c r="Z3531" s="6"/>
    </row>
    <row r="3532" spans="5:26" x14ac:dyDescent="0.2">
      <c r="E3532" s="4"/>
      <c r="F3532" s="45"/>
      <c r="G3532" s="4"/>
      <c r="H3532" s="47"/>
      <c r="Z3532" s="6"/>
    </row>
    <row r="3533" spans="5:26" x14ac:dyDescent="0.2">
      <c r="E3533" s="4"/>
      <c r="F3533" s="45"/>
      <c r="G3533" s="4"/>
      <c r="H3533" s="47"/>
      <c r="Z3533" s="6"/>
    </row>
    <row r="3534" spans="5:26" x14ac:dyDescent="0.2">
      <c r="E3534" s="4"/>
      <c r="F3534" s="45"/>
      <c r="G3534" s="4"/>
      <c r="H3534" s="47"/>
      <c r="Z3534" s="6"/>
    </row>
    <row r="3535" spans="5:26" x14ac:dyDescent="0.2">
      <c r="E3535" s="4"/>
      <c r="F3535" s="45"/>
      <c r="G3535" s="4"/>
      <c r="H3535" s="47"/>
      <c r="Z3535" s="6"/>
    </row>
    <row r="3536" spans="5:26" x14ac:dyDescent="0.2">
      <c r="E3536" s="4"/>
      <c r="F3536" s="45"/>
      <c r="G3536" s="4"/>
      <c r="H3536" s="47"/>
      <c r="Z3536" s="6"/>
    </row>
    <row r="3537" spans="5:26" x14ac:dyDescent="0.2">
      <c r="E3537" s="4"/>
      <c r="F3537" s="45"/>
      <c r="G3537" s="4"/>
      <c r="H3537" s="47"/>
      <c r="Z3537" s="6"/>
    </row>
    <row r="3538" spans="5:26" x14ac:dyDescent="0.2">
      <c r="E3538" s="4"/>
      <c r="F3538" s="45"/>
      <c r="G3538" s="4"/>
      <c r="H3538" s="47"/>
      <c r="Z3538" s="6"/>
    </row>
    <row r="3539" spans="5:26" x14ac:dyDescent="0.2">
      <c r="E3539" s="4"/>
      <c r="F3539" s="45"/>
      <c r="G3539" s="4"/>
      <c r="H3539" s="47"/>
      <c r="Z3539" s="6"/>
    </row>
    <row r="3540" spans="5:26" x14ac:dyDescent="0.2">
      <c r="E3540" s="4"/>
      <c r="F3540" s="45"/>
      <c r="G3540" s="4"/>
      <c r="H3540" s="47"/>
      <c r="Z3540" s="6"/>
    </row>
    <row r="3541" spans="5:26" x14ac:dyDescent="0.2">
      <c r="E3541" s="4"/>
      <c r="F3541" s="45"/>
      <c r="G3541" s="4"/>
      <c r="H3541" s="47"/>
      <c r="Z3541" s="6"/>
    </row>
    <row r="3542" spans="5:26" x14ac:dyDescent="0.2">
      <c r="E3542" s="4"/>
      <c r="F3542" s="45"/>
      <c r="G3542" s="4"/>
      <c r="H3542" s="47"/>
      <c r="Z3542" s="6"/>
    </row>
    <row r="3543" spans="5:26" x14ac:dyDescent="0.2">
      <c r="E3543" s="4"/>
      <c r="F3543" s="45"/>
      <c r="G3543" s="4"/>
      <c r="H3543" s="47"/>
      <c r="Z3543" s="6"/>
    </row>
    <row r="3544" spans="5:26" x14ac:dyDescent="0.2">
      <c r="E3544" s="4"/>
      <c r="F3544" s="45"/>
      <c r="G3544" s="4"/>
      <c r="H3544" s="47"/>
      <c r="Z3544" s="6"/>
    </row>
    <row r="3545" spans="5:26" x14ac:dyDescent="0.2">
      <c r="E3545" s="4"/>
      <c r="F3545" s="45"/>
      <c r="G3545" s="4"/>
      <c r="H3545" s="47"/>
      <c r="Z3545" s="6"/>
    </row>
    <row r="3546" spans="5:26" x14ac:dyDescent="0.2">
      <c r="E3546" s="4"/>
      <c r="F3546" s="45"/>
      <c r="G3546" s="4"/>
      <c r="H3546" s="47"/>
      <c r="Z3546" s="6"/>
    </row>
    <row r="3547" spans="5:26" x14ac:dyDescent="0.2">
      <c r="E3547" s="4"/>
      <c r="F3547" s="45"/>
      <c r="G3547" s="4"/>
      <c r="H3547" s="47"/>
      <c r="Z3547" s="6"/>
    </row>
    <row r="3548" spans="5:26" x14ac:dyDescent="0.2">
      <c r="E3548" s="4"/>
      <c r="F3548" s="45"/>
      <c r="G3548" s="4"/>
      <c r="H3548" s="47"/>
      <c r="Z3548" s="6"/>
    </row>
    <row r="3549" spans="5:26" x14ac:dyDescent="0.2">
      <c r="E3549" s="4"/>
      <c r="F3549" s="45"/>
      <c r="G3549" s="4"/>
      <c r="H3549" s="47"/>
      <c r="Z3549" s="6"/>
    </row>
    <row r="3550" spans="5:26" x14ac:dyDescent="0.2">
      <c r="E3550" s="4"/>
      <c r="F3550" s="45"/>
      <c r="G3550" s="4"/>
      <c r="H3550" s="47"/>
      <c r="Z3550" s="6"/>
    </row>
    <row r="3551" spans="5:26" x14ac:dyDescent="0.2">
      <c r="E3551" s="4"/>
      <c r="F3551" s="45"/>
      <c r="G3551" s="4"/>
      <c r="H3551" s="47"/>
      <c r="Z3551" s="6"/>
    </row>
    <row r="3552" spans="5:26" x14ac:dyDescent="0.2">
      <c r="E3552" s="4"/>
      <c r="F3552" s="45"/>
      <c r="G3552" s="4"/>
      <c r="H3552" s="47"/>
      <c r="Z3552" s="6"/>
    </row>
    <row r="3553" spans="5:26" x14ac:dyDescent="0.2">
      <c r="E3553" s="4"/>
      <c r="F3553" s="45"/>
      <c r="G3553" s="4"/>
      <c r="H3553" s="47"/>
      <c r="Z3553" s="6"/>
    </row>
    <row r="3554" spans="5:26" x14ac:dyDescent="0.2">
      <c r="E3554" s="4"/>
      <c r="F3554" s="45"/>
      <c r="G3554" s="4"/>
      <c r="H3554" s="47"/>
      <c r="Z3554" s="6"/>
    </row>
    <row r="3555" spans="5:26" x14ac:dyDescent="0.2">
      <c r="E3555" s="4"/>
      <c r="F3555" s="45"/>
      <c r="G3555" s="4"/>
      <c r="H3555" s="47"/>
      <c r="Z3555" s="6"/>
    </row>
    <row r="3556" spans="5:26" x14ac:dyDescent="0.2">
      <c r="E3556" s="4"/>
      <c r="F3556" s="45"/>
      <c r="G3556" s="4"/>
      <c r="H3556" s="47"/>
      <c r="Z3556" s="6"/>
    </row>
    <row r="3557" spans="5:26" x14ac:dyDescent="0.2">
      <c r="E3557" s="4"/>
      <c r="F3557" s="45"/>
      <c r="G3557" s="4"/>
      <c r="H3557" s="47"/>
      <c r="Z3557" s="6"/>
    </row>
    <row r="3558" spans="5:26" x14ac:dyDescent="0.2">
      <c r="E3558" s="4"/>
      <c r="F3558" s="45"/>
      <c r="G3558" s="4"/>
      <c r="H3558" s="47"/>
      <c r="Z3558" s="6"/>
    </row>
    <row r="3559" spans="5:26" x14ac:dyDescent="0.2">
      <c r="E3559" s="4"/>
      <c r="F3559" s="45"/>
      <c r="G3559" s="4"/>
      <c r="H3559" s="47"/>
      <c r="Z3559" s="6"/>
    </row>
    <row r="3560" spans="5:26" x14ac:dyDescent="0.2">
      <c r="E3560" s="4"/>
      <c r="F3560" s="45"/>
      <c r="G3560" s="4"/>
      <c r="H3560" s="47"/>
      <c r="Z3560" s="6"/>
    </row>
    <row r="3561" spans="5:26" x14ac:dyDescent="0.2">
      <c r="E3561" s="4"/>
      <c r="F3561" s="45"/>
      <c r="G3561" s="4"/>
      <c r="H3561" s="47"/>
      <c r="Z3561" s="6"/>
    </row>
    <row r="3562" spans="5:26" x14ac:dyDescent="0.2">
      <c r="E3562" s="4"/>
      <c r="F3562" s="45"/>
      <c r="G3562" s="4"/>
      <c r="H3562" s="47"/>
      <c r="Z3562" s="6"/>
    </row>
    <row r="3563" spans="5:26" x14ac:dyDescent="0.2">
      <c r="E3563" s="4"/>
      <c r="F3563" s="45"/>
      <c r="G3563" s="4"/>
      <c r="H3563" s="47"/>
      <c r="Z3563" s="6"/>
    </row>
    <row r="3564" spans="5:26" x14ac:dyDescent="0.2">
      <c r="E3564" s="4"/>
      <c r="F3564" s="45"/>
      <c r="G3564" s="4"/>
      <c r="H3564" s="47"/>
      <c r="Z3564" s="6"/>
    </row>
    <row r="3565" spans="5:26" x14ac:dyDescent="0.2">
      <c r="E3565" s="4"/>
      <c r="F3565" s="45"/>
      <c r="G3565" s="4"/>
      <c r="H3565" s="47"/>
      <c r="Z3565" s="6"/>
    </row>
    <row r="3566" spans="5:26" x14ac:dyDescent="0.2">
      <c r="E3566" s="4"/>
      <c r="F3566" s="45"/>
      <c r="G3566" s="4"/>
      <c r="H3566" s="47"/>
      <c r="Z3566" s="6"/>
    </row>
    <row r="3567" spans="5:26" x14ac:dyDescent="0.2">
      <c r="E3567" s="4"/>
      <c r="F3567" s="45"/>
      <c r="G3567" s="4"/>
      <c r="H3567" s="47"/>
      <c r="Z3567" s="6"/>
    </row>
    <row r="3568" spans="5:26" x14ac:dyDescent="0.2">
      <c r="E3568" s="4"/>
      <c r="F3568" s="45"/>
      <c r="G3568" s="4"/>
      <c r="H3568" s="47"/>
      <c r="Z3568" s="6"/>
    </row>
    <row r="3569" spans="5:26" x14ac:dyDescent="0.2">
      <c r="E3569" s="4"/>
      <c r="F3569" s="45"/>
      <c r="G3569" s="4"/>
      <c r="H3569" s="47"/>
      <c r="Z3569" s="6"/>
    </row>
    <row r="3570" spans="5:26" x14ac:dyDescent="0.2">
      <c r="E3570" s="4"/>
      <c r="F3570" s="45"/>
      <c r="G3570" s="4"/>
      <c r="H3570" s="47"/>
      <c r="Z3570" s="6"/>
    </row>
    <row r="3571" spans="5:26" x14ac:dyDescent="0.2">
      <c r="E3571" s="4"/>
      <c r="F3571" s="45"/>
      <c r="G3571" s="4"/>
      <c r="H3571" s="47"/>
      <c r="Z3571" s="6"/>
    </row>
    <row r="3572" spans="5:26" x14ac:dyDescent="0.2">
      <c r="E3572" s="4"/>
      <c r="F3572" s="45"/>
      <c r="G3572" s="4"/>
      <c r="H3572" s="47"/>
      <c r="Z3572" s="6"/>
    </row>
    <row r="3573" spans="5:26" x14ac:dyDescent="0.2">
      <c r="E3573" s="4"/>
      <c r="F3573" s="45"/>
      <c r="G3573" s="4"/>
      <c r="H3573" s="47"/>
      <c r="Z3573" s="6"/>
    </row>
    <row r="3574" spans="5:26" x14ac:dyDescent="0.2">
      <c r="E3574" s="4"/>
      <c r="F3574" s="45"/>
      <c r="G3574" s="4"/>
      <c r="H3574" s="47"/>
      <c r="Z3574" s="6"/>
    </row>
    <row r="3575" spans="5:26" x14ac:dyDescent="0.2">
      <c r="E3575" s="4"/>
      <c r="F3575" s="45"/>
      <c r="G3575" s="4"/>
      <c r="H3575" s="47"/>
      <c r="Z3575" s="6"/>
    </row>
    <row r="3576" spans="5:26" x14ac:dyDescent="0.2">
      <c r="E3576" s="4"/>
      <c r="F3576" s="45"/>
      <c r="G3576" s="4"/>
      <c r="H3576" s="47"/>
      <c r="Z3576" s="6"/>
    </row>
    <row r="3577" spans="5:26" x14ac:dyDescent="0.2">
      <c r="E3577" s="4"/>
      <c r="F3577" s="45"/>
      <c r="G3577" s="4"/>
      <c r="H3577" s="47"/>
      <c r="Z3577" s="6"/>
    </row>
    <row r="3578" spans="5:26" x14ac:dyDescent="0.2">
      <c r="E3578" s="4"/>
      <c r="F3578" s="45"/>
      <c r="G3578" s="4"/>
      <c r="H3578" s="47"/>
      <c r="Z3578" s="6"/>
    </row>
    <row r="3579" spans="5:26" x14ac:dyDescent="0.2">
      <c r="E3579" s="4"/>
      <c r="F3579" s="45"/>
      <c r="G3579" s="4"/>
      <c r="H3579" s="47"/>
      <c r="Z3579" s="6"/>
    </row>
    <row r="3580" spans="5:26" x14ac:dyDescent="0.2">
      <c r="E3580" s="4"/>
      <c r="F3580" s="45"/>
      <c r="G3580" s="4"/>
      <c r="H3580" s="47"/>
      <c r="Z3580" s="6"/>
    </row>
    <row r="3581" spans="5:26" x14ac:dyDescent="0.2">
      <c r="E3581" s="4"/>
      <c r="F3581" s="45"/>
      <c r="G3581" s="4"/>
      <c r="H3581" s="47"/>
      <c r="Z3581" s="6"/>
    </row>
    <row r="3582" spans="5:26" x14ac:dyDescent="0.2">
      <c r="E3582" s="4"/>
      <c r="F3582" s="45"/>
      <c r="G3582" s="4"/>
      <c r="H3582" s="47"/>
      <c r="Z3582" s="6"/>
    </row>
    <row r="3583" spans="5:26" x14ac:dyDescent="0.2">
      <c r="E3583" s="4"/>
      <c r="F3583" s="45"/>
      <c r="G3583" s="4"/>
      <c r="H3583" s="47"/>
      <c r="Z3583" s="6"/>
    </row>
    <row r="3584" spans="5:26" x14ac:dyDescent="0.2">
      <c r="E3584" s="4"/>
      <c r="F3584" s="45"/>
      <c r="G3584" s="4"/>
      <c r="H3584" s="47"/>
      <c r="Z3584" s="6"/>
    </row>
    <row r="3585" spans="5:26" x14ac:dyDescent="0.2">
      <c r="E3585" s="4"/>
      <c r="F3585" s="45"/>
      <c r="G3585" s="4"/>
      <c r="H3585" s="47"/>
      <c r="Z3585" s="6"/>
    </row>
    <row r="3586" spans="5:26" x14ac:dyDescent="0.2">
      <c r="E3586" s="4"/>
      <c r="F3586" s="45"/>
      <c r="G3586" s="4"/>
      <c r="H3586" s="47"/>
      <c r="Z3586" s="6"/>
    </row>
    <row r="3587" spans="5:26" x14ac:dyDescent="0.2">
      <c r="E3587" s="4"/>
      <c r="F3587" s="45"/>
      <c r="G3587" s="4"/>
      <c r="H3587" s="47"/>
      <c r="Z3587" s="6"/>
    </row>
    <row r="3588" spans="5:26" x14ac:dyDescent="0.2">
      <c r="E3588" s="4"/>
      <c r="F3588" s="45"/>
      <c r="G3588" s="4"/>
      <c r="H3588" s="47"/>
      <c r="Z3588" s="6"/>
    </row>
    <row r="3589" spans="5:26" x14ac:dyDescent="0.2">
      <c r="E3589" s="4"/>
      <c r="F3589" s="45"/>
      <c r="G3589" s="4"/>
      <c r="H3589" s="47"/>
      <c r="Z3589" s="6"/>
    </row>
    <row r="3590" spans="5:26" x14ac:dyDescent="0.2">
      <c r="E3590" s="4"/>
      <c r="F3590" s="45"/>
      <c r="G3590" s="4"/>
      <c r="H3590" s="47"/>
      <c r="Z3590" s="6"/>
    </row>
    <row r="3591" spans="5:26" x14ac:dyDescent="0.2">
      <c r="E3591" s="4"/>
      <c r="F3591" s="45"/>
      <c r="G3591" s="4"/>
      <c r="H3591" s="47"/>
      <c r="Z3591" s="6"/>
    </row>
    <row r="3592" spans="5:26" x14ac:dyDescent="0.2">
      <c r="E3592" s="4"/>
      <c r="F3592" s="45"/>
      <c r="G3592" s="4"/>
      <c r="H3592" s="47"/>
      <c r="Z3592" s="6"/>
    </row>
    <row r="3593" spans="5:26" x14ac:dyDescent="0.2">
      <c r="E3593" s="4"/>
      <c r="F3593" s="45"/>
      <c r="G3593" s="4"/>
      <c r="H3593" s="47"/>
      <c r="Z3593" s="6"/>
    </row>
    <row r="3594" spans="5:26" x14ac:dyDescent="0.2">
      <c r="E3594" s="4"/>
      <c r="F3594" s="45"/>
      <c r="G3594" s="4"/>
      <c r="H3594" s="47"/>
      <c r="Z3594" s="6"/>
    </row>
    <row r="3595" spans="5:26" x14ac:dyDescent="0.2">
      <c r="E3595" s="4"/>
      <c r="F3595" s="45"/>
      <c r="G3595" s="4"/>
      <c r="H3595" s="47"/>
      <c r="Z3595" s="6"/>
    </row>
    <row r="3596" spans="5:26" x14ac:dyDescent="0.2">
      <c r="E3596" s="4"/>
      <c r="F3596" s="45"/>
      <c r="G3596" s="4"/>
      <c r="H3596" s="47"/>
      <c r="Z3596" s="6"/>
    </row>
    <row r="3597" spans="5:26" x14ac:dyDescent="0.2">
      <c r="E3597" s="4"/>
      <c r="F3597" s="45"/>
      <c r="G3597" s="4"/>
      <c r="H3597" s="47"/>
      <c r="Z3597" s="6"/>
    </row>
    <row r="3598" spans="5:26" x14ac:dyDescent="0.2">
      <c r="E3598" s="4"/>
      <c r="F3598" s="45"/>
      <c r="G3598" s="4"/>
      <c r="H3598" s="47"/>
      <c r="Z3598" s="6"/>
    </row>
    <row r="3599" spans="5:26" x14ac:dyDescent="0.2">
      <c r="E3599" s="4"/>
      <c r="F3599" s="45"/>
      <c r="G3599" s="4"/>
      <c r="H3599" s="47"/>
      <c r="Z3599" s="6"/>
    </row>
    <row r="3600" spans="5:26" x14ac:dyDescent="0.2">
      <c r="E3600" s="4"/>
      <c r="F3600" s="45"/>
      <c r="G3600" s="4"/>
      <c r="H3600" s="47"/>
      <c r="Z3600" s="6"/>
    </row>
    <row r="3601" spans="5:26" x14ac:dyDescent="0.2">
      <c r="E3601" s="4"/>
      <c r="F3601" s="45"/>
      <c r="G3601" s="4"/>
      <c r="H3601" s="47"/>
      <c r="Z3601" s="6"/>
    </row>
    <row r="3602" spans="5:26" x14ac:dyDescent="0.2">
      <c r="E3602" s="4"/>
      <c r="F3602" s="45"/>
      <c r="G3602" s="4"/>
      <c r="H3602" s="47"/>
      <c r="Z3602" s="6"/>
    </row>
    <row r="3603" spans="5:26" x14ac:dyDescent="0.2">
      <c r="E3603" s="4"/>
      <c r="F3603" s="45"/>
      <c r="G3603" s="4"/>
      <c r="H3603" s="47"/>
      <c r="Z3603" s="6"/>
    </row>
    <row r="3604" spans="5:26" x14ac:dyDescent="0.2">
      <c r="E3604" s="4"/>
      <c r="F3604" s="45"/>
      <c r="G3604" s="4"/>
      <c r="H3604" s="47"/>
      <c r="Z3604" s="6"/>
    </row>
    <row r="3605" spans="5:26" x14ac:dyDescent="0.2">
      <c r="E3605" s="4"/>
      <c r="F3605" s="45"/>
      <c r="G3605" s="4"/>
      <c r="H3605" s="47"/>
      <c r="Z3605" s="6"/>
    </row>
    <row r="3606" spans="5:26" x14ac:dyDescent="0.2">
      <c r="E3606" s="4"/>
      <c r="F3606" s="45"/>
      <c r="G3606" s="4"/>
      <c r="H3606" s="47"/>
      <c r="Z3606" s="6"/>
    </row>
    <row r="3607" spans="5:26" x14ac:dyDescent="0.2">
      <c r="E3607" s="4"/>
      <c r="F3607" s="45"/>
      <c r="G3607" s="4"/>
      <c r="H3607" s="47"/>
      <c r="Z3607" s="6"/>
    </row>
    <row r="3608" spans="5:26" x14ac:dyDescent="0.2">
      <c r="E3608" s="4"/>
      <c r="F3608" s="45"/>
      <c r="G3608" s="4"/>
      <c r="H3608" s="47"/>
      <c r="Z3608" s="6"/>
    </row>
    <row r="3609" spans="5:26" x14ac:dyDescent="0.2">
      <c r="E3609" s="4"/>
      <c r="F3609" s="45"/>
      <c r="G3609" s="4"/>
      <c r="H3609" s="47"/>
      <c r="Z3609" s="6"/>
    </row>
    <row r="3610" spans="5:26" x14ac:dyDescent="0.2">
      <c r="E3610" s="4"/>
      <c r="F3610" s="45"/>
      <c r="G3610" s="4"/>
      <c r="H3610" s="47"/>
      <c r="Z3610" s="6"/>
    </row>
    <row r="3611" spans="5:26" x14ac:dyDescent="0.2">
      <c r="E3611" s="4"/>
      <c r="F3611" s="45"/>
      <c r="G3611" s="4"/>
      <c r="H3611" s="47"/>
      <c r="Z3611" s="6"/>
    </row>
    <row r="3612" spans="5:26" x14ac:dyDescent="0.2">
      <c r="E3612" s="4"/>
      <c r="F3612" s="45"/>
      <c r="G3612" s="4"/>
      <c r="H3612" s="47"/>
      <c r="Z3612" s="6"/>
    </row>
    <row r="3613" spans="5:26" x14ac:dyDescent="0.2">
      <c r="E3613" s="4"/>
      <c r="F3613" s="45"/>
      <c r="G3613" s="4"/>
      <c r="H3613" s="47"/>
      <c r="Z3613" s="6"/>
    </row>
    <row r="3614" spans="5:26" x14ac:dyDescent="0.2">
      <c r="E3614" s="4"/>
      <c r="F3614" s="45"/>
      <c r="G3614" s="4"/>
      <c r="H3614" s="47"/>
      <c r="Z3614" s="6"/>
    </row>
    <row r="3615" spans="5:26" x14ac:dyDescent="0.2">
      <c r="E3615" s="4"/>
      <c r="F3615" s="45"/>
      <c r="G3615" s="4"/>
      <c r="H3615" s="47"/>
      <c r="Z3615" s="6"/>
    </row>
    <row r="3616" spans="5:26" x14ac:dyDescent="0.2">
      <c r="E3616" s="4"/>
      <c r="F3616" s="45"/>
      <c r="G3616" s="4"/>
      <c r="H3616" s="47"/>
      <c r="Z3616" s="6"/>
    </row>
    <row r="3617" spans="5:26" x14ac:dyDescent="0.2">
      <c r="E3617" s="4"/>
      <c r="F3617" s="45"/>
      <c r="G3617" s="4"/>
      <c r="H3617" s="47"/>
      <c r="Z3617" s="6"/>
    </row>
    <row r="3618" spans="5:26" x14ac:dyDescent="0.2">
      <c r="E3618" s="4"/>
      <c r="F3618" s="45"/>
      <c r="G3618" s="4"/>
      <c r="H3618" s="47"/>
      <c r="Z3618" s="6"/>
    </row>
    <row r="3619" spans="5:26" x14ac:dyDescent="0.2">
      <c r="E3619" s="4"/>
      <c r="F3619" s="45"/>
      <c r="G3619" s="4"/>
      <c r="H3619" s="47"/>
      <c r="Z3619" s="6"/>
    </row>
    <row r="3620" spans="5:26" x14ac:dyDescent="0.2">
      <c r="E3620" s="4"/>
      <c r="F3620" s="45"/>
      <c r="G3620" s="4"/>
      <c r="H3620" s="47"/>
      <c r="Z3620" s="6"/>
    </row>
    <row r="3621" spans="5:26" x14ac:dyDescent="0.2">
      <c r="E3621" s="4"/>
      <c r="F3621" s="45"/>
      <c r="G3621" s="4"/>
      <c r="H3621" s="47"/>
      <c r="Z3621" s="6"/>
    </row>
    <row r="3622" spans="5:26" x14ac:dyDescent="0.2">
      <c r="E3622" s="4"/>
      <c r="F3622" s="45"/>
      <c r="G3622" s="4"/>
      <c r="H3622" s="47"/>
      <c r="Z3622" s="6"/>
    </row>
    <row r="3623" spans="5:26" x14ac:dyDescent="0.2">
      <c r="E3623" s="4"/>
      <c r="F3623" s="45"/>
      <c r="G3623" s="4"/>
      <c r="H3623" s="47"/>
      <c r="Z3623" s="6"/>
    </row>
    <row r="3624" spans="5:26" x14ac:dyDescent="0.2">
      <c r="E3624" s="4"/>
      <c r="F3624" s="45"/>
      <c r="G3624" s="4"/>
      <c r="H3624" s="47"/>
      <c r="Z3624" s="6"/>
    </row>
    <row r="3625" spans="5:26" x14ac:dyDescent="0.2">
      <c r="E3625" s="4"/>
      <c r="F3625" s="45"/>
      <c r="G3625" s="4"/>
      <c r="H3625" s="47"/>
      <c r="Z3625" s="6"/>
    </row>
    <row r="3626" spans="5:26" x14ac:dyDescent="0.2">
      <c r="E3626" s="4"/>
      <c r="F3626" s="45"/>
      <c r="G3626" s="4"/>
      <c r="H3626" s="47"/>
      <c r="Z3626" s="6"/>
    </row>
    <row r="3627" spans="5:26" x14ac:dyDescent="0.2">
      <c r="E3627" s="4"/>
      <c r="F3627" s="45"/>
      <c r="G3627" s="4"/>
      <c r="H3627" s="47"/>
      <c r="Z3627" s="6"/>
    </row>
    <row r="3628" spans="5:26" x14ac:dyDescent="0.2">
      <c r="E3628" s="4"/>
      <c r="F3628" s="45"/>
      <c r="G3628" s="4"/>
      <c r="H3628" s="47"/>
      <c r="Z3628" s="6"/>
    </row>
    <row r="3629" spans="5:26" x14ac:dyDescent="0.2">
      <c r="E3629" s="4"/>
      <c r="F3629" s="45"/>
      <c r="G3629" s="4"/>
      <c r="H3629" s="47"/>
      <c r="Z3629" s="6"/>
    </row>
    <row r="3630" spans="5:26" x14ac:dyDescent="0.2">
      <c r="E3630" s="4"/>
      <c r="F3630" s="45"/>
      <c r="G3630" s="4"/>
      <c r="H3630" s="47"/>
      <c r="Z3630" s="6"/>
    </row>
    <row r="3631" spans="5:26" x14ac:dyDescent="0.2">
      <c r="E3631" s="4"/>
      <c r="F3631" s="45"/>
      <c r="G3631" s="4"/>
      <c r="H3631" s="47"/>
      <c r="Z3631" s="6"/>
    </row>
    <row r="3632" spans="5:26" x14ac:dyDescent="0.2">
      <c r="E3632" s="4"/>
      <c r="F3632" s="45"/>
      <c r="G3632" s="4"/>
      <c r="H3632" s="47"/>
      <c r="Z3632" s="6"/>
    </row>
    <row r="3633" spans="5:26" x14ac:dyDescent="0.2">
      <c r="E3633" s="4"/>
      <c r="F3633" s="45"/>
      <c r="G3633" s="4"/>
      <c r="H3633" s="47"/>
      <c r="Z3633" s="6"/>
    </row>
    <row r="3634" spans="5:26" x14ac:dyDescent="0.2">
      <c r="E3634" s="4"/>
      <c r="F3634" s="45"/>
      <c r="G3634" s="4"/>
      <c r="H3634" s="47"/>
      <c r="Z3634" s="6"/>
    </row>
    <row r="3635" spans="5:26" x14ac:dyDescent="0.2">
      <c r="E3635" s="4"/>
      <c r="F3635" s="45"/>
      <c r="G3635" s="4"/>
      <c r="H3635" s="47"/>
      <c r="Z3635" s="6"/>
    </row>
    <row r="3636" spans="5:26" x14ac:dyDescent="0.2">
      <c r="E3636" s="4"/>
      <c r="F3636" s="45"/>
      <c r="G3636" s="4"/>
      <c r="H3636" s="47"/>
      <c r="Z3636" s="6"/>
    </row>
    <row r="3637" spans="5:26" x14ac:dyDescent="0.2">
      <c r="E3637" s="4"/>
      <c r="F3637" s="45"/>
      <c r="G3637" s="4"/>
      <c r="H3637" s="47"/>
      <c r="Z3637" s="6"/>
    </row>
    <row r="3638" spans="5:26" x14ac:dyDescent="0.2">
      <c r="E3638" s="4"/>
      <c r="F3638" s="45"/>
      <c r="G3638" s="4"/>
      <c r="H3638" s="47"/>
      <c r="Z3638" s="6"/>
    </row>
    <row r="3639" spans="5:26" x14ac:dyDescent="0.2">
      <c r="E3639" s="4"/>
      <c r="F3639" s="45"/>
      <c r="G3639" s="4"/>
      <c r="H3639" s="47"/>
      <c r="Z3639" s="6"/>
    </row>
    <row r="3640" spans="5:26" x14ac:dyDescent="0.2">
      <c r="E3640" s="4"/>
      <c r="F3640" s="45"/>
      <c r="G3640" s="4"/>
      <c r="H3640" s="47"/>
      <c r="Z3640" s="6"/>
    </row>
    <row r="3641" spans="5:26" x14ac:dyDescent="0.2">
      <c r="E3641" s="4"/>
      <c r="F3641" s="45"/>
      <c r="G3641" s="4"/>
      <c r="H3641" s="47"/>
      <c r="Z3641" s="6"/>
    </row>
    <row r="3642" spans="5:26" x14ac:dyDescent="0.2">
      <c r="E3642" s="4"/>
      <c r="F3642" s="45"/>
      <c r="G3642" s="4"/>
      <c r="H3642" s="47"/>
      <c r="Z3642" s="6"/>
    </row>
    <row r="3643" spans="5:26" x14ac:dyDescent="0.2">
      <c r="E3643" s="4"/>
      <c r="F3643" s="45"/>
      <c r="G3643" s="4"/>
      <c r="H3643" s="47"/>
      <c r="Z3643" s="6"/>
    </row>
    <row r="3644" spans="5:26" x14ac:dyDescent="0.2">
      <c r="E3644" s="4"/>
      <c r="F3644" s="45"/>
      <c r="G3644" s="4"/>
      <c r="H3644" s="47"/>
      <c r="Z3644" s="6"/>
    </row>
    <row r="3645" spans="5:26" x14ac:dyDescent="0.2">
      <c r="E3645" s="4"/>
      <c r="F3645" s="45"/>
      <c r="G3645" s="4"/>
      <c r="H3645" s="47"/>
      <c r="Z3645" s="6"/>
    </row>
    <row r="3646" spans="5:26" x14ac:dyDescent="0.2">
      <c r="E3646" s="4"/>
      <c r="F3646" s="45"/>
      <c r="G3646" s="4"/>
      <c r="H3646" s="47"/>
      <c r="Z3646" s="6"/>
    </row>
    <row r="3647" spans="5:26" x14ac:dyDescent="0.2">
      <c r="E3647" s="4"/>
      <c r="F3647" s="45"/>
      <c r="G3647" s="4"/>
      <c r="H3647" s="47"/>
      <c r="Z3647" s="6"/>
    </row>
    <row r="3648" spans="5:26" x14ac:dyDescent="0.2">
      <c r="E3648" s="4"/>
      <c r="F3648" s="45"/>
      <c r="G3648" s="4"/>
      <c r="H3648" s="47"/>
      <c r="Z3648" s="6"/>
    </row>
    <row r="3649" spans="5:26" x14ac:dyDescent="0.2">
      <c r="E3649" s="4"/>
      <c r="F3649" s="45"/>
      <c r="G3649" s="4"/>
      <c r="H3649" s="47"/>
      <c r="Z3649" s="6"/>
    </row>
    <row r="3650" spans="5:26" x14ac:dyDescent="0.2">
      <c r="E3650" s="4"/>
      <c r="F3650" s="45"/>
      <c r="G3650" s="4"/>
      <c r="H3650" s="47"/>
      <c r="Z3650" s="6"/>
    </row>
    <row r="3651" spans="5:26" x14ac:dyDescent="0.2">
      <c r="E3651" s="4"/>
      <c r="F3651" s="45"/>
      <c r="G3651" s="4"/>
      <c r="H3651" s="47"/>
      <c r="Z3651" s="6"/>
    </row>
    <row r="3652" spans="5:26" x14ac:dyDescent="0.2">
      <c r="E3652" s="4"/>
      <c r="F3652" s="45"/>
      <c r="G3652" s="4"/>
      <c r="H3652" s="47"/>
      <c r="Z3652" s="6"/>
    </row>
    <row r="3653" spans="5:26" x14ac:dyDescent="0.2">
      <c r="E3653" s="4"/>
      <c r="F3653" s="45"/>
      <c r="G3653" s="4"/>
      <c r="H3653" s="47"/>
      <c r="Z3653" s="6"/>
    </row>
    <row r="3654" spans="5:26" x14ac:dyDescent="0.2">
      <c r="E3654" s="4"/>
      <c r="F3654" s="45"/>
      <c r="G3654" s="4"/>
      <c r="H3654" s="47"/>
      <c r="Z3654" s="6"/>
    </row>
    <row r="3655" spans="5:26" x14ac:dyDescent="0.2">
      <c r="E3655" s="4"/>
      <c r="F3655" s="45"/>
      <c r="G3655" s="4"/>
      <c r="H3655" s="47"/>
      <c r="Z3655" s="6"/>
    </row>
    <row r="3656" spans="5:26" x14ac:dyDescent="0.2">
      <c r="E3656" s="4"/>
      <c r="F3656" s="45"/>
      <c r="G3656" s="4"/>
      <c r="H3656" s="47"/>
      <c r="Z3656" s="6"/>
    </row>
    <row r="3657" spans="5:26" x14ac:dyDescent="0.2">
      <c r="E3657" s="4"/>
      <c r="F3657" s="45"/>
      <c r="G3657" s="4"/>
      <c r="H3657" s="47"/>
      <c r="Z3657" s="6"/>
    </row>
    <row r="3658" spans="5:26" x14ac:dyDescent="0.2">
      <c r="E3658" s="4"/>
      <c r="F3658" s="45"/>
      <c r="G3658" s="4"/>
      <c r="H3658" s="47"/>
      <c r="Z3658" s="6"/>
    </row>
    <row r="3659" spans="5:26" x14ac:dyDescent="0.2">
      <c r="E3659" s="4"/>
      <c r="F3659" s="45"/>
      <c r="G3659" s="4"/>
      <c r="H3659" s="47"/>
      <c r="Z3659" s="6"/>
    </row>
    <row r="3660" spans="5:26" x14ac:dyDescent="0.2">
      <c r="E3660" s="4"/>
      <c r="F3660" s="45"/>
      <c r="G3660" s="4"/>
      <c r="H3660" s="47"/>
      <c r="Z3660" s="6"/>
    </row>
    <row r="3661" spans="5:26" x14ac:dyDescent="0.2">
      <c r="E3661" s="4"/>
      <c r="F3661" s="45"/>
      <c r="G3661" s="4"/>
      <c r="H3661" s="47"/>
      <c r="Z3661" s="6"/>
    </row>
    <row r="3662" spans="5:26" x14ac:dyDescent="0.2">
      <c r="E3662" s="4"/>
      <c r="F3662" s="45"/>
      <c r="G3662" s="4"/>
      <c r="H3662" s="47"/>
      <c r="Z3662" s="6"/>
    </row>
    <row r="3663" spans="5:26" x14ac:dyDescent="0.2">
      <c r="E3663" s="4"/>
      <c r="F3663" s="45"/>
      <c r="G3663" s="4"/>
      <c r="H3663" s="47"/>
      <c r="Z3663" s="6"/>
    </row>
    <row r="3664" spans="5:26" x14ac:dyDescent="0.2">
      <c r="E3664" s="4"/>
      <c r="F3664" s="45"/>
      <c r="G3664" s="4"/>
      <c r="H3664" s="47"/>
      <c r="Z3664" s="6"/>
    </row>
    <row r="3665" spans="5:26" x14ac:dyDescent="0.2">
      <c r="E3665" s="4"/>
      <c r="F3665" s="45"/>
      <c r="G3665" s="4"/>
      <c r="H3665" s="47"/>
      <c r="Z3665" s="6"/>
    </row>
    <row r="3666" spans="5:26" x14ac:dyDescent="0.2">
      <c r="E3666" s="4"/>
      <c r="F3666" s="45"/>
      <c r="G3666" s="4"/>
      <c r="H3666" s="47"/>
      <c r="Z3666" s="6"/>
    </row>
    <row r="3667" spans="5:26" x14ac:dyDescent="0.2">
      <c r="E3667" s="4"/>
      <c r="F3667" s="45"/>
      <c r="G3667" s="4"/>
      <c r="H3667" s="47"/>
      <c r="Z3667" s="6"/>
    </row>
    <row r="3668" spans="5:26" x14ac:dyDescent="0.2">
      <c r="E3668" s="4"/>
      <c r="F3668" s="45"/>
      <c r="G3668" s="4"/>
      <c r="H3668" s="47"/>
      <c r="Z3668" s="6"/>
    </row>
    <row r="3669" spans="5:26" x14ac:dyDescent="0.2">
      <c r="E3669" s="4"/>
      <c r="F3669" s="45"/>
      <c r="G3669" s="4"/>
      <c r="H3669" s="47"/>
      <c r="Z3669" s="6"/>
    </row>
    <row r="3670" spans="5:26" x14ac:dyDescent="0.2">
      <c r="E3670" s="4"/>
      <c r="F3670" s="45"/>
      <c r="G3670" s="4"/>
      <c r="H3670" s="47"/>
      <c r="Z3670" s="6"/>
    </row>
    <row r="3671" spans="5:26" x14ac:dyDescent="0.2">
      <c r="E3671" s="4"/>
      <c r="F3671" s="45"/>
      <c r="G3671" s="4"/>
      <c r="H3671" s="47"/>
      <c r="Z3671" s="6"/>
    </row>
    <row r="3672" spans="5:26" x14ac:dyDescent="0.2">
      <c r="E3672" s="4"/>
      <c r="F3672" s="45"/>
      <c r="G3672" s="4"/>
      <c r="H3672" s="47"/>
      <c r="Z3672" s="6"/>
    </row>
    <row r="3673" spans="5:26" x14ac:dyDescent="0.2">
      <c r="E3673" s="4"/>
      <c r="F3673" s="45"/>
      <c r="G3673" s="4"/>
      <c r="H3673" s="47"/>
      <c r="Z3673" s="6"/>
    </row>
    <row r="3674" spans="5:26" x14ac:dyDescent="0.2">
      <c r="E3674" s="4"/>
      <c r="F3674" s="45"/>
      <c r="G3674" s="4"/>
      <c r="H3674" s="47"/>
      <c r="Z3674" s="6"/>
    </row>
    <row r="3675" spans="5:26" x14ac:dyDescent="0.2">
      <c r="E3675" s="4"/>
      <c r="F3675" s="45"/>
      <c r="G3675" s="4"/>
      <c r="H3675" s="47"/>
      <c r="Z3675" s="6"/>
    </row>
    <row r="3676" spans="5:26" x14ac:dyDescent="0.2">
      <c r="E3676" s="4"/>
      <c r="F3676" s="45"/>
      <c r="G3676" s="4"/>
      <c r="H3676" s="47"/>
      <c r="Z3676" s="6"/>
    </row>
    <row r="3677" spans="5:26" x14ac:dyDescent="0.2">
      <c r="E3677" s="4"/>
      <c r="F3677" s="45"/>
      <c r="G3677" s="4"/>
      <c r="H3677" s="47"/>
      <c r="Z3677" s="6"/>
    </row>
    <row r="3678" spans="5:26" x14ac:dyDescent="0.2">
      <c r="E3678" s="4"/>
      <c r="F3678" s="45"/>
      <c r="G3678" s="4"/>
      <c r="H3678" s="47"/>
      <c r="Z3678" s="6"/>
    </row>
    <row r="3679" spans="5:26" x14ac:dyDescent="0.2">
      <c r="E3679" s="4"/>
      <c r="F3679" s="45"/>
      <c r="G3679" s="4"/>
      <c r="H3679" s="47"/>
      <c r="Z3679" s="6"/>
    </row>
    <row r="3680" spans="5:26" x14ac:dyDescent="0.2">
      <c r="E3680" s="4"/>
      <c r="F3680" s="45"/>
      <c r="G3680" s="4"/>
      <c r="H3680" s="47"/>
      <c r="Z3680" s="6"/>
    </row>
    <row r="3681" spans="5:26" x14ac:dyDescent="0.2">
      <c r="E3681" s="4"/>
      <c r="F3681" s="45"/>
      <c r="G3681" s="4"/>
      <c r="H3681" s="47"/>
      <c r="Z3681" s="6"/>
    </row>
    <row r="3682" spans="5:26" x14ac:dyDescent="0.2">
      <c r="E3682" s="4"/>
      <c r="F3682" s="45"/>
      <c r="G3682" s="4"/>
      <c r="H3682" s="47"/>
      <c r="Z3682" s="6"/>
    </row>
    <row r="3683" spans="5:26" x14ac:dyDescent="0.2">
      <c r="E3683" s="4"/>
      <c r="F3683" s="45"/>
      <c r="G3683" s="4"/>
      <c r="H3683" s="47"/>
      <c r="Z3683" s="6"/>
    </row>
    <row r="3684" spans="5:26" x14ac:dyDescent="0.2">
      <c r="E3684" s="4"/>
      <c r="F3684" s="45"/>
      <c r="G3684" s="4"/>
      <c r="H3684" s="47"/>
      <c r="Z3684" s="6"/>
    </row>
    <row r="3685" spans="5:26" x14ac:dyDescent="0.2">
      <c r="E3685" s="4"/>
      <c r="F3685" s="45"/>
      <c r="G3685" s="4"/>
      <c r="H3685" s="47"/>
      <c r="Z3685" s="6"/>
    </row>
    <row r="3686" spans="5:26" x14ac:dyDescent="0.2">
      <c r="E3686" s="4"/>
      <c r="F3686" s="45"/>
      <c r="G3686" s="4"/>
      <c r="H3686" s="47"/>
      <c r="Z3686" s="6"/>
    </row>
    <row r="3687" spans="5:26" x14ac:dyDescent="0.2">
      <c r="E3687" s="4"/>
      <c r="F3687" s="45"/>
      <c r="G3687" s="4"/>
      <c r="H3687" s="47"/>
      <c r="Z3687" s="6"/>
    </row>
    <row r="3688" spans="5:26" x14ac:dyDescent="0.2">
      <c r="E3688" s="4"/>
      <c r="F3688" s="45"/>
      <c r="G3688" s="4"/>
      <c r="H3688" s="47"/>
      <c r="Z3688" s="6"/>
    </row>
    <row r="3689" spans="5:26" x14ac:dyDescent="0.2">
      <c r="E3689" s="4"/>
      <c r="F3689" s="45"/>
      <c r="G3689" s="4"/>
      <c r="H3689" s="47"/>
      <c r="Z3689" s="6"/>
    </row>
    <row r="3690" spans="5:26" x14ac:dyDescent="0.2">
      <c r="E3690" s="4"/>
      <c r="F3690" s="45"/>
      <c r="G3690" s="4"/>
      <c r="H3690" s="47"/>
      <c r="Z3690" s="6"/>
    </row>
    <row r="3691" spans="5:26" x14ac:dyDescent="0.2">
      <c r="E3691" s="4"/>
      <c r="F3691" s="45"/>
      <c r="G3691" s="4"/>
      <c r="H3691" s="47"/>
      <c r="Z3691" s="6"/>
    </row>
    <row r="3692" spans="5:26" x14ac:dyDescent="0.2">
      <c r="E3692" s="4"/>
      <c r="F3692" s="45"/>
      <c r="G3692" s="4"/>
      <c r="H3692" s="47"/>
      <c r="Z3692" s="6"/>
    </row>
    <row r="3693" spans="5:26" x14ac:dyDescent="0.2">
      <c r="E3693" s="4"/>
      <c r="F3693" s="45"/>
      <c r="G3693" s="4"/>
      <c r="H3693" s="47"/>
      <c r="Z3693" s="6"/>
    </row>
    <row r="3694" spans="5:26" x14ac:dyDescent="0.2">
      <c r="E3694" s="4"/>
      <c r="F3694" s="45"/>
      <c r="G3694" s="4"/>
      <c r="H3694" s="47"/>
      <c r="Z3694" s="6"/>
    </row>
    <row r="3695" spans="5:26" x14ac:dyDescent="0.2">
      <c r="E3695" s="4"/>
      <c r="F3695" s="45"/>
      <c r="G3695" s="4"/>
      <c r="H3695" s="47"/>
      <c r="Z3695" s="6"/>
    </row>
    <row r="3696" spans="5:26" x14ac:dyDescent="0.2">
      <c r="E3696" s="4"/>
      <c r="F3696" s="45"/>
      <c r="G3696" s="4"/>
      <c r="H3696" s="47"/>
      <c r="Z3696" s="6"/>
    </row>
    <row r="3697" spans="5:26" x14ac:dyDescent="0.2">
      <c r="E3697" s="4"/>
      <c r="F3697" s="45"/>
      <c r="G3697" s="4"/>
      <c r="H3697" s="47"/>
      <c r="Z3697" s="6"/>
    </row>
    <row r="3698" spans="5:26" x14ac:dyDescent="0.2">
      <c r="E3698" s="4"/>
      <c r="F3698" s="45"/>
      <c r="G3698" s="4"/>
      <c r="H3698" s="47"/>
      <c r="Z3698" s="6"/>
    </row>
    <row r="3699" spans="5:26" x14ac:dyDescent="0.2">
      <c r="E3699" s="4"/>
      <c r="F3699" s="45"/>
      <c r="G3699" s="4"/>
      <c r="H3699" s="47"/>
      <c r="Z3699" s="6"/>
    </row>
    <row r="3700" spans="5:26" x14ac:dyDescent="0.2">
      <c r="E3700" s="4"/>
      <c r="F3700" s="45"/>
      <c r="G3700" s="4"/>
      <c r="H3700" s="47"/>
      <c r="Z3700" s="6"/>
    </row>
    <row r="3701" spans="5:26" x14ac:dyDescent="0.2">
      <c r="E3701" s="4"/>
      <c r="F3701" s="45"/>
      <c r="G3701" s="4"/>
      <c r="H3701" s="47"/>
      <c r="Z3701" s="6"/>
    </row>
    <row r="3702" spans="5:26" x14ac:dyDescent="0.2">
      <c r="E3702" s="4"/>
      <c r="F3702" s="45"/>
      <c r="G3702" s="4"/>
      <c r="H3702" s="47"/>
      <c r="Z3702" s="6"/>
    </row>
    <row r="3703" spans="5:26" x14ac:dyDescent="0.2">
      <c r="E3703" s="4"/>
      <c r="F3703" s="45"/>
      <c r="G3703" s="4"/>
      <c r="H3703" s="47"/>
      <c r="Z3703" s="6"/>
    </row>
    <row r="3704" spans="5:26" x14ac:dyDescent="0.2">
      <c r="E3704" s="4"/>
      <c r="F3704" s="45"/>
      <c r="G3704" s="4"/>
      <c r="H3704" s="47"/>
      <c r="Z3704" s="6"/>
    </row>
    <row r="3705" spans="5:26" x14ac:dyDescent="0.2">
      <c r="E3705" s="4"/>
      <c r="F3705" s="45"/>
      <c r="G3705" s="4"/>
      <c r="H3705" s="47"/>
      <c r="Z3705" s="6"/>
    </row>
    <row r="3706" spans="5:26" x14ac:dyDescent="0.2">
      <c r="E3706" s="4"/>
      <c r="F3706" s="45"/>
      <c r="G3706" s="4"/>
      <c r="H3706" s="47"/>
      <c r="Z3706" s="6"/>
    </row>
    <row r="3707" spans="5:26" x14ac:dyDescent="0.2">
      <c r="E3707" s="4"/>
      <c r="F3707" s="45"/>
      <c r="G3707" s="4"/>
      <c r="H3707" s="47"/>
      <c r="Z3707" s="6"/>
    </row>
    <row r="3708" spans="5:26" x14ac:dyDescent="0.2">
      <c r="E3708" s="4"/>
      <c r="F3708" s="45"/>
      <c r="G3708" s="4"/>
      <c r="H3708" s="47"/>
      <c r="Z3708" s="6"/>
    </row>
    <row r="3709" spans="5:26" x14ac:dyDescent="0.2">
      <c r="E3709" s="4"/>
      <c r="F3709" s="45"/>
      <c r="G3709" s="4"/>
      <c r="H3709" s="47"/>
      <c r="Z3709" s="6"/>
    </row>
    <row r="3710" spans="5:26" x14ac:dyDescent="0.2">
      <c r="E3710" s="4"/>
      <c r="F3710" s="45"/>
      <c r="G3710" s="4"/>
      <c r="H3710" s="47"/>
      <c r="Z3710" s="6"/>
    </row>
    <row r="3711" spans="5:26" x14ac:dyDescent="0.2">
      <c r="E3711" s="4"/>
      <c r="F3711" s="45"/>
      <c r="G3711" s="4"/>
      <c r="H3711" s="47"/>
      <c r="Z3711" s="6"/>
    </row>
    <row r="3712" spans="5:26" x14ac:dyDescent="0.2">
      <c r="E3712" s="4"/>
      <c r="F3712" s="45"/>
      <c r="G3712" s="4"/>
      <c r="H3712" s="47"/>
      <c r="Z3712" s="6"/>
    </row>
    <row r="3713" spans="5:26" x14ac:dyDescent="0.2">
      <c r="E3713" s="4"/>
      <c r="F3713" s="45"/>
      <c r="G3713" s="4"/>
      <c r="H3713" s="47"/>
      <c r="Z3713" s="6"/>
    </row>
    <row r="3714" spans="5:26" x14ac:dyDescent="0.2">
      <c r="E3714" s="4"/>
      <c r="F3714" s="45"/>
      <c r="G3714" s="4"/>
      <c r="H3714" s="47"/>
      <c r="Z3714" s="6"/>
    </row>
    <row r="3715" spans="5:26" x14ac:dyDescent="0.2">
      <c r="E3715" s="4"/>
      <c r="F3715" s="45"/>
      <c r="G3715" s="4"/>
      <c r="H3715" s="47"/>
      <c r="Z3715" s="6"/>
    </row>
    <row r="3716" spans="5:26" x14ac:dyDescent="0.2">
      <c r="E3716" s="4"/>
      <c r="F3716" s="45"/>
      <c r="G3716" s="4"/>
      <c r="H3716" s="47"/>
      <c r="Z3716" s="6"/>
    </row>
    <row r="3717" spans="5:26" x14ac:dyDescent="0.2">
      <c r="E3717" s="4"/>
      <c r="F3717" s="45"/>
      <c r="G3717" s="4"/>
      <c r="H3717" s="47"/>
      <c r="Z3717" s="6"/>
    </row>
    <row r="3718" spans="5:26" x14ac:dyDescent="0.2">
      <c r="E3718" s="4"/>
      <c r="F3718" s="45"/>
      <c r="G3718" s="4"/>
      <c r="H3718" s="47"/>
      <c r="Z3718" s="6"/>
    </row>
    <row r="3719" spans="5:26" x14ac:dyDescent="0.2">
      <c r="E3719" s="4"/>
      <c r="F3719" s="45"/>
      <c r="G3719" s="4"/>
      <c r="H3719" s="47"/>
      <c r="Z3719" s="6"/>
    </row>
    <row r="3720" spans="5:26" x14ac:dyDescent="0.2">
      <c r="E3720" s="4"/>
      <c r="F3720" s="45"/>
      <c r="G3720" s="4"/>
      <c r="H3720" s="47"/>
      <c r="Z3720" s="6"/>
    </row>
    <row r="3721" spans="5:26" x14ac:dyDescent="0.2">
      <c r="E3721" s="4"/>
      <c r="F3721" s="45"/>
      <c r="G3721" s="4"/>
      <c r="H3721" s="47"/>
      <c r="Z3721" s="6"/>
    </row>
    <row r="3722" spans="5:26" x14ac:dyDescent="0.2">
      <c r="E3722" s="4"/>
      <c r="F3722" s="45"/>
      <c r="G3722" s="4"/>
      <c r="H3722" s="47"/>
      <c r="Z3722" s="6"/>
    </row>
    <row r="3723" spans="5:26" x14ac:dyDescent="0.2">
      <c r="E3723" s="4"/>
      <c r="F3723" s="45"/>
      <c r="G3723" s="4"/>
      <c r="H3723" s="47"/>
      <c r="Z3723" s="6"/>
    </row>
    <row r="3724" spans="5:26" x14ac:dyDescent="0.2">
      <c r="E3724" s="4"/>
      <c r="F3724" s="45"/>
      <c r="G3724" s="4"/>
      <c r="H3724" s="47"/>
      <c r="Z3724" s="6"/>
    </row>
    <row r="3725" spans="5:26" x14ac:dyDescent="0.2">
      <c r="E3725" s="4"/>
      <c r="F3725" s="45"/>
      <c r="G3725" s="4"/>
      <c r="H3725" s="47"/>
      <c r="Z3725" s="6"/>
    </row>
    <row r="3726" spans="5:26" x14ac:dyDescent="0.2">
      <c r="E3726" s="4"/>
      <c r="F3726" s="45"/>
      <c r="G3726" s="4"/>
      <c r="H3726" s="47"/>
      <c r="Z3726" s="6"/>
    </row>
    <row r="3727" spans="5:26" x14ac:dyDescent="0.2">
      <c r="E3727" s="4"/>
      <c r="F3727" s="45"/>
      <c r="G3727" s="4"/>
      <c r="H3727" s="47"/>
      <c r="Z3727" s="6"/>
    </row>
    <row r="3728" spans="5:26" x14ac:dyDescent="0.2">
      <c r="E3728" s="4"/>
      <c r="F3728" s="45"/>
      <c r="G3728" s="4"/>
      <c r="H3728" s="47"/>
      <c r="Z3728" s="6"/>
    </row>
    <row r="3729" spans="5:26" x14ac:dyDescent="0.2">
      <c r="E3729" s="4"/>
      <c r="F3729" s="45"/>
      <c r="G3729" s="4"/>
      <c r="H3729" s="47"/>
      <c r="Z3729" s="6"/>
    </row>
    <row r="3730" spans="5:26" x14ac:dyDescent="0.2">
      <c r="E3730" s="4"/>
      <c r="F3730" s="45"/>
      <c r="G3730" s="4"/>
      <c r="H3730" s="47"/>
      <c r="Z3730" s="6"/>
    </row>
    <row r="3731" spans="5:26" x14ac:dyDescent="0.2">
      <c r="E3731" s="4"/>
      <c r="F3731" s="45"/>
      <c r="G3731" s="4"/>
      <c r="H3731" s="47"/>
      <c r="Z3731" s="6"/>
    </row>
    <row r="3732" spans="5:26" x14ac:dyDescent="0.2">
      <c r="E3732" s="4"/>
      <c r="F3732" s="45"/>
      <c r="G3732" s="4"/>
      <c r="H3732" s="47"/>
      <c r="Z3732" s="6"/>
    </row>
    <row r="3733" spans="5:26" x14ac:dyDescent="0.2">
      <c r="E3733" s="4"/>
      <c r="F3733" s="45"/>
      <c r="G3733" s="4"/>
      <c r="H3733" s="47"/>
      <c r="Z3733" s="6"/>
    </row>
    <row r="3734" spans="5:26" x14ac:dyDescent="0.2">
      <c r="E3734" s="4"/>
      <c r="F3734" s="45"/>
      <c r="G3734" s="4"/>
      <c r="H3734" s="47"/>
      <c r="Z3734" s="6"/>
    </row>
    <row r="3735" spans="5:26" x14ac:dyDescent="0.2">
      <c r="E3735" s="4"/>
      <c r="F3735" s="45"/>
      <c r="G3735" s="4"/>
      <c r="H3735" s="47"/>
      <c r="Z3735" s="6"/>
    </row>
    <row r="3736" spans="5:26" x14ac:dyDescent="0.2">
      <c r="E3736" s="4"/>
      <c r="F3736" s="45"/>
      <c r="G3736" s="4"/>
      <c r="H3736" s="47"/>
      <c r="Z3736" s="6"/>
    </row>
    <row r="3737" spans="5:26" x14ac:dyDescent="0.2">
      <c r="E3737" s="4"/>
      <c r="F3737" s="45"/>
      <c r="G3737" s="4"/>
      <c r="H3737" s="47"/>
      <c r="Z3737" s="6"/>
    </row>
    <row r="3738" spans="5:26" x14ac:dyDescent="0.2">
      <c r="E3738" s="4"/>
      <c r="F3738" s="45"/>
      <c r="G3738" s="4"/>
      <c r="H3738" s="47"/>
      <c r="Z3738" s="6"/>
    </row>
    <row r="3739" spans="5:26" x14ac:dyDescent="0.2">
      <c r="E3739" s="4"/>
      <c r="F3739" s="45"/>
      <c r="G3739" s="4"/>
      <c r="H3739" s="47"/>
      <c r="Z3739" s="6"/>
    </row>
    <row r="3740" spans="5:26" x14ac:dyDescent="0.2">
      <c r="E3740" s="4"/>
      <c r="F3740" s="45"/>
      <c r="G3740" s="4"/>
      <c r="H3740" s="47"/>
      <c r="Z3740" s="6"/>
    </row>
    <row r="3741" spans="5:26" x14ac:dyDescent="0.2">
      <c r="E3741" s="4"/>
      <c r="F3741" s="45"/>
      <c r="G3741" s="4"/>
      <c r="H3741" s="47"/>
      <c r="Z3741" s="6"/>
    </row>
    <row r="3742" spans="5:26" x14ac:dyDescent="0.2">
      <c r="E3742" s="4"/>
      <c r="F3742" s="45"/>
      <c r="G3742" s="4"/>
      <c r="H3742" s="47"/>
      <c r="Z3742" s="6"/>
    </row>
    <row r="3743" spans="5:26" x14ac:dyDescent="0.2">
      <c r="E3743" s="4"/>
      <c r="F3743" s="45"/>
      <c r="G3743" s="4"/>
      <c r="H3743" s="47"/>
      <c r="Z3743" s="6"/>
    </row>
    <row r="3744" spans="5:26" x14ac:dyDescent="0.2">
      <c r="E3744" s="4"/>
      <c r="F3744" s="45"/>
      <c r="G3744" s="4"/>
      <c r="H3744" s="47"/>
      <c r="Z3744" s="6"/>
    </row>
    <row r="3745" spans="5:26" x14ac:dyDescent="0.2">
      <c r="E3745" s="4"/>
      <c r="F3745" s="45"/>
      <c r="G3745" s="4"/>
      <c r="H3745" s="47"/>
      <c r="Z3745" s="6"/>
    </row>
    <row r="3746" spans="5:26" x14ac:dyDescent="0.2">
      <c r="E3746" s="4"/>
      <c r="F3746" s="45"/>
      <c r="G3746" s="4"/>
      <c r="H3746" s="47"/>
      <c r="Z3746" s="6"/>
    </row>
    <row r="3747" spans="5:26" x14ac:dyDescent="0.2">
      <c r="E3747" s="4"/>
      <c r="F3747" s="45"/>
      <c r="G3747" s="4"/>
      <c r="H3747" s="47"/>
      <c r="Z3747" s="6"/>
    </row>
    <row r="3748" spans="5:26" x14ac:dyDescent="0.2">
      <c r="E3748" s="4"/>
      <c r="F3748" s="45"/>
      <c r="G3748" s="4"/>
      <c r="H3748" s="47"/>
      <c r="Z3748" s="6"/>
    </row>
    <row r="3749" spans="5:26" x14ac:dyDescent="0.2">
      <c r="E3749" s="4"/>
      <c r="F3749" s="45"/>
      <c r="G3749" s="4"/>
      <c r="H3749" s="47"/>
      <c r="Z3749" s="6"/>
    </row>
    <row r="3750" spans="5:26" x14ac:dyDescent="0.2">
      <c r="E3750" s="4"/>
      <c r="F3750" s="45"/>
      <c r="G3750" s="4"/>
      <c r="H3750" s="47"/>
      <c r="Z3750" s="6"/>
    </row>
    <row r="3751" spans="5:26" x14ac:dyDescent="0.2">
      <c r="E3751" s="4"/>
      <c r="F3751" s="45"/>
      <c r="G3751" s="4"/>
      <c r="H3751" s="47"/>
      <c r="Z3751" s="6"/>
    </row>
    <row r="3752" spans="5:26" x14ac:dyDescent="0.2">
      <c r="E3752" s="4"/>
      <c r="F3752" s="45"/>
      <c r="G3752" s="4"/>
      <c r="H3752" s="47"/>
      <c r="Z3752" s="6"/>
    </row>
    <row r="3753" spans="5:26" x14ac:dyDescent="0.2">
      <c r="E3753" s="4"/>
      <c r="F3753" s="45"/>
      <c r="G3753" s="4"/>
      <c r="H3753" s="47"/>
      <c r="Z3753" s="6"/>
    </row>
    <row r="3754" spans="5:26" x14ac:dyDescent="0.2">
      <c r="E3754" s="4"/>
      <c r="F3754" s="45"/>
      <c r="G3754" s="4"/>
      <c r="H3754" s="47"/>
      <c r="Z3754" s="6"/>
    </row>
    <row r="3755" spans="5:26" x14ac:dyDescent="0.2">
      <c r="E3755" s="4"/>
      <c r="F3755" s="45"/>
      <c r="G3755" s="4"/>
      <c r="H3755" s="47"/>
      <c r="Z3755" s="6"/>
    </row>
    <row r="3756" spans="5:26" x14ac:dyDescent="0.2">
      <c r="E3756" s="4"/>
      <c r="F3756" s="45"/>
      <c r="G3756" s="4"/>
      <c r="H3756" s="47"/>
      <c r="Z3756" s="6"/>
    </row>
    <row r="3757" spans="5:26" x14ac:dyDescent="0.2">
      <c r="E3757" s="4"/>
      <c r="F3757" s="45"/>
      <c r="G3757" s="4"/>
      <c r="H3757" s="47"/>
      <c r="Z3757" s="6"/>
    </row>
    <row r="3758" spans="5:26" x14ac:dyDescent="0.2">
      <c r="E3758" s="4"/>
      <c r="F3758" s="45"/>
      <c r="G3758" s="4"/>
      <c r="H3758" s="47"/>
      <c r="Z3758" s="6"/>
    </row>
    <row r="3759" spans="5:26" x14ac:dyDescent="0.2">
      <c r="E3759" s="4"/>
      <c r="F3759" s="45"/>
      <c r="G3759" s="4"/>
      <c r="H3759" s="47"/>
      <c r="Z3759" s="6"/>
    </row>
    <row r="3760" spans="5:26" x14ac:dyDescent="0.2">
      <c r="E3760" s="4"/>
      <c r="F3760" s="45"/>
      <c r="G3760" s="4"/>
      <c r="H3760" s="47"/>
      <c r="Z3760" s="6"/>
    </row>
    <row r="3761" spans="5:26" x14ac:dyDescent="0.2">
      <c r="E3761" s="4"/>
      <c r="F3761" s="45"/>
      <c r="G3761" s="4"/>
      <c r="H3761" s="47"/>
      <c r="Z3761" s="6"/>
    </row>
    <row r="3762" spans="5:26" x14ac:dyDescent="0.2">
      <c r="E3762" s="4"/>
      <c r="F3762" s="45"/>
      <c r="G3762" s="4"/>
      <c r="H3762" s="47"/>
      <c r="Z3762" s="6"/>
    </row>
    <row r="3763" spans="5:26" x14ac:dyDescent="0.2">
      <c r="E3763" s="4"/>
      <c r="F3763" s="45"/>
      <c r="G3763" s="4"/>
      <c r="H3763" s="47"/>
      <c r="Z3763" s="6"/>
    </row>
    <row r="3764" spans="5:26" x14ac:dyDescent="0.2">
      <c r="E3764" s="4"/>
      <c r="F3764" s="45"/>
      <c r="G3764" s="4"/>
      <c r="H3764" s="47"/>
      <c r="Z3764" s="6"/>
    </row>
    <row r="3765" spans="5:26" x14ac:dyDescent="0.2">
      <c r="E3765" s="4"/>
      <c r="F3765" s="45"/>
      <c r="G3765" s="4"/>
      <c r="H3765" s="47"/>
      <c r="Z3765" s="6"/>
    </row>
    <row r="3766" spans="5:26" x14ac:dyDescent="0.2">
      <c r="E3766" s="4"/>
      <c r="F3766" s="45"/>
      <c r="G3766" s="4"/>
      <c r="H3766" s="47"/>
      <c r="Z3766" s="6"/>
    </row>
    <row r="3767" spans="5:26" x14ac:dyDescent="0.2">
      <c r="E3767" s="4"/>
      <c r="F3767" s="45"/>
      <c r="G3767" s="4"/>
      <c r="H3767" s="47"/>
      <c r="Z3767" s="6"/>
    </row>
    <row r="3768" spans="5:26" x14ac:dyDescent="0.2">
      <c r="E3768" s="4"/>
      <c r="F3768" s="45"/>
      <c r="G3768" s="4"/>
      <c r="H3768" s="47"/>
      <c r="Z3768" s="6"/>
    </row>
    <row r="3769" spans="5:26" x14ac:dyDescent="0.2">
      <c r="E3769" s="4"/>
      <c r="F3769" s="45"/>
      <c r="G3769" s="4"/>
      <c r="H3769" s="47"/>
      <c r="Z3769" s="6"/>
    </row>
    <row r="3770" spans="5:26" x14ac:dyDescent="0.2">
      <c r="E3770" s="4"/>
      <c r="F3770" s="45"/>
      <c r="G3770" s="4"/>
      <c r="H3770" s="47"/>
      <c r="Z3770" s="6"/>
    </row>
    <row r="3771" spans="5:26" x14ac:dyDescent="0.2">
      <c r="E3771" s="4"/>
      <c r="F3771" s="45"/>
      <c r="G3771" s="4"/>
      <c r="H3771" s="47"/>
      <c r="Z3771" s="6"/>
    </row>
    <row r="3772" spans="5:26" x14ac:dyDescent="0.2">
      <c r="E3772" s="4"/>
      <c r="F3772" s="45"/>
      <c r="G3772" s="4"/>
      <c r="H3772" s="47"/>
      <c r="Z3772" s="6"/>
    </row>
    <row r="3773" spans="5:26" x14ac:dyDescent="0.2">
      <c r="E3773" s="4"/>
      <c r="F3773" s="45"/>
      <c r="G3773" s="4"/>
      <c r="H3773" s="47"/>
      <c r="Z3773" s="6"/>
    </row>
    <row r="3774" spans="5:26" x14ac:dyDescent="0.2">
      <c r="E3774" s="4"/>
      <c r="F3774" s="45"/>
      <c r="G3774" s="4"/>
      <c r="H3774" s="47"/>
      <c r="Z3774" s="6"/>
    </row>
    <row r="3775" spans="5:26" x14ac:dyDescent="0.2">
      <c r="E3775" s="4"/>
      <c r="F3775" s="45"/>
      <c r="G3775" s="4"/>
      <c r="H3775" s="47"/>
      <c r="Z3775" s="6"/>
    </row>
    <row r="3776" spans="5:26" x14ac:dyDescent="0.2">
      <c r="E3776" s="4"/>
      <c r="F3776" s="45"/>
      <c r="G3776" s="4"/>
      <c r="H3776" s="47"/>
      <c r="Z3776" s="6"/>
    </row>
    <row r="3777" spans="5:26" x14ac:dyDescent="0.2">
      <c r="E3777" s="4"/>
      <c r="F3777" s="45"/>
      <c r="G3777" s="4"/>
      <c r="H3777" s="47"/>
      <c r="Z3777" s="6"/>
    </row>
    <row r="3778" spans="5:26" x14ac:dyDescent="0.2">
      <c r="E3778" s="4"/>
      <c r="F3778" s="45"/>
      <c r="G3778" s="4"/>
      <c r="H3778" s="47"/>
      <c r="Z3778" s="6"/>
    </row>
    <row r="3779" spans="5:26" x14ac:dyDescent="0.2">
      <c r="E3779" s="4"/>
      <c r="F3779" s="45"/>
      <c r="G3779" s="4"/>
      <c r="H3779" s="47"/>
      <c r="Z3779" s="6"/>
    </row>
    <row r="3780" spans="5:26" x14ac:dyDescent="0.2">
      <c r="E3780" s="4"/>
      <c r="F3780" s="45"/>
      <c r="G3780" s="4"/>
      <c r="H3780" s="47"/>
      <c r="Z3780" s="6"/>
    </row>
    <row r="3781" spans="5:26" x14ac:dyDescent="0.2">
      <c r="E3781" s="4"/>
      <c r="F3781" s="45"/>
      <c r="G3781" s="4"/>
      <c r="H3781" s="47"/>
      <c r="Z3781" s="6"/>
    </row>
    <row r="3782" spans="5:26" x14ac:dyDescent="0.2">
      <c r="E3782" s="4"/>
      <c r="F3782" s="45"/>
      <c r="G3782" s="4"/>
      <c r="H3782" s="47"/>
      <c r="Z3782" s="6"/>
    </row>
    <row r="3783" spans="5:26" x14ac:dyDescent="0.2">
      <c r="E3783" s="4"/>
      <c r="F3783" s="45"/>
      <c r="G3783" s="4"/>
      <c r="H3783" s="47"/>
      <c r="Z3783" s="6"/>
    </row>
    <row r="3784" spans="5:26" x14ac:dyDescent="0.2">
      <c r="E3784" s="4"/>
      <c r="F3784" s="45"/>
      <c r="G3784" s="4"/>
      <c r="H3784" s="47"/>
      <c r="Z3784" s="6"/>
    </row>
    <row r="3785" spans="5:26" x14ac:dyDescent="0.2">
      <c r="E3785" s="4"/>
      <c r="F3785" s="45"/>
      <c r="G3785" s="4"/>
      <c r="H3785" s="47"/>
      <c r="Z3785" s="6"/>
    </row>
    <row r="3786" spans="5:26" x14ac:dyDescent="0.2">
      <c r="E3786" s="4"/>
      <c r="F3786" s="45"/>
      <c r="G3786" s="4"/>
      <c r="H3786" s="47"/>
      <c r="Z3786" s="6"/>
    </row>
    <row r="3787" spans="5:26" x14ac:dyDescent="0.2">
      <c r="E3787" s="4"/>
      <c r="F3787" s="45"/>
      <c r="G3787" s="4"/>
      <c r="H3787" s="47"/>
      <c r="Z3787" s="6"/>
    </row>
    <row r="3788" spans="5:26" x14ac:dyDescent="0.2">
      <c r="E3788" s="4"/>
      <c r="F3788" s="45"/>
      <c r="G3788" s="4"/>
      <c r="H3788" s="47"/>
      <c r="Z3788" s="6"/>
    </row>
    <row r="3789" spans="5:26" x14ac:dyDescent="0.2">
      <c r="E3789" s="4"/>
      <c r="F3789" s="45"/>
      <c r="G3789" s="4"/>
      <c r="H3789" s="47"/>
      <c r="Z3789" s="6"/>
    </row>
    <row r="3790" spans="5:26" x14ac:dyDescent="0.2">
      <c r="E3790" s="4"/>
      <c r="F3790" s="45"/>
      <c r="G3790" s="4"/>
      <c r="H3790" s="47"/>
      <c r="Z3790" s="6"/>
    </row>
    <row r="3791" spans="5:26" x14ac:dyDescent="0.2">
      <c r="E3791" s="4"/>
      <c r="F3791" s="45"/>
      <c r="G3791" s="4"/>
      <c r="H3791" s="47"/>
      <c r="Z3791" s="6"/>
    </row>
    <row r="3792" spans="5:26" x14ac:dyDescent="0.2">
      <c r="E3792" s="4"/>
      <c r="F3792" s="45"/>
      <c r="G3792" s="4"/>
      <c r="H3792" s="47"/>
      <c r="Z3792" s="6"/>
    </row>
    <row r="3793" spans="5:26" x14ac:dyDescent="0.2">
      <c r="E3793" s="4"/>
      <c r="F3793" s="45"/>
      <c r="G3793" s="4"/>
      <c r="H3793" s="47"/>
      <c r="Z3793" s="6"/>
    </row>
    <row r="3794" spans="5:26" x14ac:dyDescent="0.2">
      <c r="E3794" s="4"/>
      <c r="F3794" s="45"/>
      <c r="G3794" s="4"/>
      <c r="H3794" s="47"/>
      <c r="Z3794" s="6"/>
    </row>
    <row r="3795" spans="5:26" x14ac:dyDescent="0.2">
      <c r="E3795" s="4"/>
      <c r="F3795" s="45"/>
      <c r="G3795" s="4"/>
      <c r="H3795" s="47"/>
      <c r="Z3795" s="6"/>
    </row>
    <row r="3796" spans="5:26" x14ac:dyDescent="0.2">
      <c r="E3796" s="4"/>
      <c r="F3796" s="45"/>
      <c r="G3796" s="4"/>
      <c r="H3796" s="47"/>
      <c r="Z3796" s="6"/>
    </row>
    <row r="3797" spans="5:26" x14ac:dyDescent="0.2">
      <c r="E3797" s="4"/>
      <c r="F3797" s="45"/>
      <c r="G3797" s="4"/>
      <c r="H3797" s="47"/>
      <c r="Z3797" s="6"/>
    </row>
    <row r="3798" spans="5:26" x14ac:dyDescent="0.2">
      <c r="E3798" s="4"/>
      <c r="F3798" s="45"/>
      <c r="G3798" s="4"/>
      <c r="H3798" s="47"/>
      <c r="Z3798" s="6"/>
    </row>
    <row r="3799" spans="5:26" x14ac:dyDescent="0.2">
      <c r="E3799" s="4"/>
      <c r="F3799" s="45"/>
      <c r="G3799" s="4"/>
      <c r="H3799" s="47"/>
      <c r="Z3799" s="6"/>
    </row>
    <row r="3800" spans="5:26" x14ac:dyDescent="0.2">
      <c r="E3800" s="4"/>
      <c r="F3800" s="45"/>
      <c r="G3800" s="4"/>
      <c r="H3800" s="47"/>
      <c r="Z3800" s="6"/>
    </row>
    <row r="3801" spans="5:26" x14ac:dyDescent="0.2">
      <c r="E3801" s="4"/>
      <c r="F3801" s="45"/>
      <c r="G3801" s="4"/>
      <c r="H3801" s="47"/>
      <c r="Z3801" s="6"/>
    </row>
    <row r="3802" spans="5:26" x14ac:dyDescent="0.2">
      <c r="E3802" s="4"/>
      <c r="F3802" s="45"/>
      <c r="G3802" s="4"/>
      <c r="H3802" s="47"/>
      <c r="Z3802" s="6"/>
    </row>
    <row r="3803" spans="5:26" x14ac:dyDescent="0.2">
      <c r="E3803" s="4"/>
      <c r="F3803" s="45"/>
      <c r="G3803" s="4"/>
      <c r="H3803" s="47"/>
      <c r="Z3803" s="6"/>
    </row>
    <row r="3804" spans="5:26" x14ac:dyDescent="0.2">
      <c r="E3804" s="4"/>
      <c r="F3804" s="45"/>
      <c r="G3804" s="4"/>
      <c r="H3804" s="47"/>
      <c r="Z3804" s="6"/>
    </row>
    <row r="3805" spans="5:26" x14ac:dyDescent="0.2">
      <c r="E3805" s="4"/>
      <c r="F3805" s="45"/>
      <c r="G3805" s="4"/>
      <c r="H3805" s="47"/>
      <c r="Z3805" s="6"/>
    </row>
    <row r="3806" spans="5:26" x14ac:dyDescent="0.2">
      <c r="E3806" s="4"/>
      <c r="F3806" s="45"/>
      <c r="G3806" s="4"/>
      <c r="H3806" s="47"/>
      <c r="Z3806" s="6"/>
    </row>
    <row r="3807" spans="5:26" x14ac:dyDescent="0.2">
      <c r="E3807" s="4"/>
      <c r="F3807" s="45"/>
      <c r="G3807" s="4"/>
      <c r="H3807" s="47"/>
      <c r="Z3807" s="6"/>
    </row>
    <row r="3808" spans="5:26" x14ac:dyDescent="0.2">
      <c r="E3808" s="4"/>
      <c r="F3808" s="45"/>
      <c r="G3808" s="4"/>
      <c r="H3808" s="47"/>
      <c r="Z3808" s="6"/>
    </row>
    <row r="3809" spans="5:26" x14ac:dyDescent="0.2">
      <c r="E3809" s="4"/>
      <c r="F3809" s="45"/>
      <c r="G3809" s="4"/>
      <c r="H3809" s="47"/>
      <c r="Z3809" s="6"/>
    </row>
    <row r="3810" spans="5:26" x14ac:dyDescent="0.2">
      <c r="E3810" s="4"/>
      <c r="F3810" s="45"/>
      <c r="G3810" s="4"/>
      <c r="H3810" s="47"/>
      <c r="Z3810" s="6"/>
    </row>
    <row r="3811" spans="5:26" x14ac:dyDescent="0.2">
      <c r="E3811" s="4"/>
      <c r="F3811" s="45"/>
      <c r="G3811" s="4"/>
      <c r="H3811" s="47"/>
      <c r="Z3811" s="6"/>
    </row>
    <row r="3812" spans="5:26" x14ac:dyDescent="0.2">
      <c r="E3812" s="4"/>
      <c r="F3812" s="45"/>
      <c r="G3812" s="4"/>
      <c r="H3812" s="47"/>
      <c r="Z3812" s="6"/>
    </row>
    <row r="3813" spans="5:26" x14ac:dyDescent="0.2">
      <c r="E3813" s="4"/>
      <c r="F3813" s="45"/>
      <c r="G3813" s="4"/>
      <c r="H3813" s="47"/>
      <c r="Z3813" s="6"/>
    </row>
    <row r="3814" spans="5:26" x14ac:dyDescent="0.2">
      <c r="E3814" s="4"/>
      <c r="F3814" s="45"/>
      <c r="G3814" s="4"/>
      <c r="H3814" s="47"/>
      <c r="Z3814" s="6"/>
    </row>
    <row r="3815" spans="5:26" x14ac:dyDescent="0.2">
      <c r="E3815" s="4"/>
      <c r="F3815" s="45"/>
      <c r="G3815" s="4"/>
      <c r="H3815" s="47"/>
      <c r="Z3815" s="6"/>
    </row>
    <row r="3816" spans="5:26" x14ac:dyDescent="0.2">
      <c r="E3816" s="4"/>
      <c r="F3816" s="45"/>
      <c r="G3816" s="4"/>
      <c r="H3816" s="47"/>
      <c r="Z3816" s="6"/>
    </row>
    <row r="3817" spans="5:26" x14ac:dyDescent="0.2">
      <c r="E3817" s="4"/>
      <c r="F3817" s="45"/>
      <c r="G3817" s="4"/>
      <c r="H3817" s="47"/>
      <c r="Z3817" s="6"/>
    </row>
    <row r="3818" spans="5:26" x14ac:dyDescent="0.2">
      <c r="E3818" s="4"/>
      <c r="F3818" s="45"/>
      <c r="G3818" s="4"/>
      <c r="H3818" s="47"/>
      <c r="Z3818" s="6"/>
    </row>
    <row r="3819" spans="5:26" x14ac:dyDescent="0.2">
      <c r="E3819" s="4"/>
      <c r="F3819" s="45"/>
      <c r="G3819" s="4"/>
      <c r="H3819" s="47"/>
      <c r="Z3819" s="6"/>
    </row>
    <row r="3820" spans="5:26" x14ac:dyDescent="0.2">
      <c r="E3820" s="4"/>
      <c r="F3820" s="45"/>
      <c r="G3820" s="4"/>
      <c r="H3820" s="47"/>
      <c r="Z3820" s="6"/>
    </row>
    <row r="3821" spans="5:26" x14ac:dyDescent="0.2">
      <c r="E3821" s="4"/>
      <c r="F3821" s="45"/>
      <c r="G3821" s="4"/>
      <c r="H3821" s="47"/>
      <c r="Z3821" s="6"/>
    </row>
    <row r="3822" spans="5:26" x14ac:dyDescent="0.2">
      <c r="E3822" s="4"/>
      <c r="F3822" s="45"/>
      <c r="G3822" s="4"/>
      <c r="H3822" s="47"/>
      <c r="Z3822" s="6"/>
    </row>
    <row r="3823" spans="5:26" x14ac:dyDescent="0.2">
      <c r="E3823" s="4"/>
      <c r="F3823" s="45"/>
      <c r="G3823" s="4"/>
      <c r="H3823" s="47"/>
      <c r="Z3823" s="6"/>
    </row>
    <row r="3824" spans="5:26" x14ac:dyDescent="0.2">
      <c r="E3824" s="4"/>
      <c r="F3824" s="45"/>
      <c r="G3824" s="4"/>
      <c r="H3824" s="47"/>
      <c r="Z3824" s="6"/>
    </row>
    <row r="3825" spans="5:26" x14ac:dyDescent="0.2">
      <c r="E3825" s="4"/>
      <c r="F3825" s="45"/>
      <c r="G3825" s="4"/>
      <c r="H3825" s="47"/>
      <c r="Z3825" s="6"/>
    </row>
    <row r="3826" spans="5:26" x14ac:dyDescent="0.2">
      <c r="E3826" s="4"/>
      <c r="F3826" s="45"/>
      <c r="G3826" s="4"/>
      <c r="H3826" s="47"/>
      <c r="Z3826" s="6"/>
    </row>
    <row r="3827" spans="5:26" x14ac:dyDescent="0.2">
      <c r="E3827" s="4"/>
      <c r="F3827" s="45"/>
      <c r="G3827" s="4"/>
      <c r="H3827" s="47"/>
      <c r="Z3827" s="6"/>
    </row>
    <row r="3828" spans="5:26" x14ac:dyDescent="0.2">
      <c r="E3828" s="4"/>
      <c r="F3828" s="45"/>
      <c r="G3828" s="4"/>
      <c r="H3828" s="47"/>
      <c r="Z3828" s="6"/>
    </row>
    <row r="3829" spans="5:26" x14ac:dyDescent="0.2">
      <c r="E3829" s="4"/>
      <c r="F3829" s="45"/>
      <c r="G3829" s="4"/>
      <c r="H3829" s="47"/>
      <c r="Z3829" s="6"/>
    </row>
    <row r="3830" spans="5:26" x14ac:dyDescent="0.2">
      <c r="E3830" s="4"/>
      <c r="F3830" s="45"/>
      <c r="G3830" s="4"/>
      <c r="H3830" s="47"/>
      <c r="Z3830" s="6"/>
    </row>
    <row r="3831" spans="5:26" x14ac:dyDescent="0.2">
      <c r="E3831" s="4"/>
      <c r="F3831" s="45"/>
      <c r="G3831" s="4"/>
      <c r="H3831" s="47"/>
      <c r="Z3831" s="6"/>
    </row>
    <row r="3832" spans="5:26" x14ac:dyDescent="0.2">
      <c r="E3832" s="4"/>
      <c r="F3832" s="45"/>
      <c r="G3832" s="4"/>
      <c r="H3832" s="47"/>
      <c r="Z3832" s="6"/>
    </row>
    <row r="3833" spans="5:26" x14ac:dyDescent="0.2">
      <c r="E3833" s="4"/>
      <c r="F3833" s="45"/>
      <c r="G3833" s="4"/>
      <c r="H3833" s="47"/>
      <c r="Z3833" s="6"/>
    </row>
    <row r="3834" spans="5:26" x14ac:dyDescent="0.2">
      <c r="E3834" s="4"/>
      <c r="F3834" s="45"/>
      <c r="G3834" s="4"/>
      <c r="H3834" s="47"/>
      <c r="Z3834" s="6"/>
    </row>
    <row r="3835" spans="5:26" x14ac:dyDescent="0.2">
      <c r="E3835" s="4"/>
      <c r="F3835" s="45"/>
      <c r="G3835" s="4"/>
      <c r="H3835" s="47"/>
      <c r="Z3835" s="6"/>
    </row>
    <row r="3836" spans="5:26" x14ac:dyDescent="0.2">
      <c r="E3836" s="4"/>
      <c r="F3836" s="45"/>
      <c r="G3836" s="4"/>
      <c r="H3836" s="47"/>
      <c r="Z3836" s="6"/>
    </row>
    <row r="3837" spans="5:26" x14ac:dyDescent="0.2">
      <c r="E3837" s="4"/>
      <c r="F3837" s="45"/>
      <c r="G3837" s="4"/>
      <c r="H3837" s="47"/>
      <c r="Z3837" s="6"/>
    </row>
    <row r="3838" spans="5:26" x14ac:dyDescent="0.2">
      <c r="E3838" s="4"/>
      <c r="F3838" s="45"/>
      <c r="G3838" s="4"/>
      <c r="H3838" s="47"/>
      <c r="Z3838" s="6"/>
    </row>
    <row r="3839" spans="5:26" x14ac:dyDescent="0.2">
      <c r="E3839" s="4"/>
      <c r="F3839" s="45"/>
      <c r="G3839" s="4"/>
      <c r="H3839" s="47"/>
      <c r="Z3839" s="6"/>
    </row>
    <row r="3840" spans="5:26" x14ac:dyDescent="0.2">
      <c r="E3840" s="4"/>
      <c r="F3840" s="45"/>
      <c r="G3840" s="4"/>
      <c r="H3840" s="47"/>
      <c r="Z3840" s="6"/>
    </row>
    <row r="3841" spans="5:26" x14ac:dyDescent="0.2">
      <c r="E3841" s="4"/>
      <c r="F3841" s="45"/>
      <c r="G3841" s="4"/>
      <c r="H3841" s="47"/>
      <c r="Z3841" s="6"/>
    </row>
    <row r="3842" spans="5:26" x14ac:dyDescent="0.2">
      <c r="E3842" s="4"/>
      <c r="F3842" s="45"/>
      <c r="G3842" s="4"/>
      <c r="H3842" s="47"/>
      <c r="Z3842" s="6"/>
    </row>
    <row r="3843" spans="5:26" x14ac:dyDescent="0.2">
      <c r="E3843" s="4"/>
      <c r="F3843" s="45"/>
      <c r="G3843" s="4"/>
      <c r="H3843" s="47"/>
      <c r="Z3843" s="6"/>
    </row>
    <row r="3844" spans="5:26" x14ac:dyDescent="0.2">
      <c r="E3844" s="4"/>
      <c r="F3844" s="45"/>
      <c r="G3844" s="4"/>
      <c r="H3844" s="47"/>
      <c r="Z3844" s="6"/>
    </row>
    <row r="3845" spans="5:26" x14ac:dyDescent="0.2">
      <c r="E3845" s="4"/>
      <c r="F3845" s="45"/>
      <c r="G3845" s="4"/>
      <c r="H3845" s="47"/>
      <c r="Z3845" s="6"/>
    </row>
    <row r="3846" spans="5:26" x14ac:dyDescent="0.2">
      <c r="E3846" s="4"/>
      <c r="F3846" s="45"/>
      <c r="G3846" s="4"/>
      <c r="H3846" s="47"/>
      <c r="Z3846" s="6"/>
    </row>
    <row r="3847" spans="5:26" x14ac:dyDescent="0.2">
      <c r="E3847" s="4"/>
      <c r="F3847" s="45"/>
      <c r="G3847" s="4"/>
      <c r="H3847" s="47"/>
      <c r="Z3847" s="6"/>
    </row>
    <row r="3848" spans="5:26" x14ac:dyDescent="0.2">
      <c r="E3848" s="4"/>
      <c r="F3848" s="45"/>
      <c r="G3848" s="4"/>
      <c r="H3848" s="47"/>
      <c r="Z3848" s="6"/>
    </row>
    <row r="3849" spans="5:26" x14ac:dyDescent="0.2">
      <c r="E3849" s="4"/>
      <c r="F3849" s="45"/>
      <c r="G3849" s="4"/>
      <c r="H3849" s="47"/>
      <c r="Z3849" s="6"/>
    </row>
    <row r="3850" spans="5:26" x14ac:dyDescent="0.2">
      <c r="E3850" s="4"/>
      <c r="F3850" s="45"/>
      <c r="G3850" s="4"/>
      <c r="H3850" s="47"/>
      <c r="Z3850" s="6"/>
    </row>
    <row r="3851" spans="5:26" x14ac:dyDescent="0.2">
      <c r="E3851" s="4"/>
      <c r="F3851" s="45"/>
      <c r="G3851" s="4"/>
      <c r="H3851" s="47"/>
      <c r="Z3851" s="6"/>
    </row>
    <row r="3852" spans="5:26" x14ac:dyDescent="0.2">
      <c r="E3852" s="4"/>
      <c r="F3852" s="45"/>
      <c r="G3852" s="4"/>
      <c r="H3852" s="47"/>
      <c r="Z3852" s="6"/>
    </row>
    <row r="3853" spans="5:26" x14ac:dyDescent="0.2">
      <c r="E3853" s="4"/>
      <c r="F3853" s="45"/>
      <c r="G3853" s="4"/>
      <c r="H3853" s="47"/>
      <c r="Z3853" s="6"/>
    </row>
    <row r="3854" spans="5:26" x14ac:dyDescent="0.2">
      <c r="E3854" s="4"/>
      <c r="F3854" s="45"/>
      <c r="G3854" s="4"/>
      <c r="H3854" s="47"/>
      <c r="Z3854" s="6"/>
    </row>
    <row r="3855" spans="5:26" x14ac:dyDescent="0.2">
      <c r="E3855" s="4"/>
      <c r="F3855" s="45"/>
      <c r="G3855" s="4"/>
      <c r="H3855" s="47"/>
      <c r="Z3855" s="6"/>
    </row>
    <row r="3856" spans="5:26" x14ac:dyDescent="0.2">
      <c r="E3856" s="4"/>
      <c r="F3856" s="45"/>
      <c r="G3856" s="4"/>
      <c r="H3856" s="47"/>
      <c r="Z3856" s="6"/>
    </row>
    <row r="3857" spans="5:26" x14ac:dyDescent="0.2">
      <c r="E3857" s="4"/>
      <c r="F3857" s="45"/>
      <c r="G3857" s="4"/>
      <c r="H3857" s="47"/>
      <c r="Z3857" s="6"/>
    </row>
    <row r="3858" spans="5:26" x14ac:dyDescent="0.2">
      <c r="E3858" s="4"/>
      <c r="F3858" s="45"/>
      <c r="G3858" s="4"/>
      <c r="H3858" s="47"/>
      <c r="Z3858" s="6"/>
    </row>
    <row r="3859" spans="5:26" x14ac:dyDescent="0.2">
      <c r="E3859" s="4"/>
      <c r="F3859" s="45"/>
      <c r="G3859" s="4"/>
      <c r="H3859" s="47"/>
      <c r="Z3859" s="6"/>
    </row>
    <row r="3860" spans="5:26" x14ac:dyDescent="0.2">
      <c r="E3860" s="4"/>
      <c r="F3860" s="45"/>
      <c r="G3860" s="4"/>
      <c r="H3860" s="47"/>
      <c r="Z3860" s="6"/>
    </row>
    <row r="3861" spans="5:26" x14ac:dyDescent="0.2">
      <c r="E3861" s="4"/>
      <c r="F3861" s="45"/>
      <c r="G3861" s="4"/>
      <c r="H3861" s="47"/>
      <c r="Z3861" s="6"/>
    </row>
    <row r="3862" spans="5:26" x14ac:dyDescent="0.2">
      <c r="E3862" s="4"/>
      <c r="F3862" s="45"/>
      <c r="G3862" s="4"/>
      <c r="H3862" s="47"/>
      <c r="Z3862" s="6"/>
    </row>
    <row r="3863" spans="5:26" x14ac:dyDescent="0.2">
      <c r="E3863" s="4"/>
      <c r="F3863" s="45"/>
      <c r="G3863" s="4"/>
      <c r="H3863" s="47"/>
      <c r="Z3863" s="6"/>
    </row>
    <row r="3864" spans="5:26" x14ac:dyDescent="0.2">
      <c r="E3864" s="4"/>
      <c r="F3864" s="45"/>
      <c r="G3864" s="4"/>
      <c r="H3864" s="47"/>
      <c r="Z3864" s="6"/>
    </row>
    <row r="3865" spans="5:26" x14ac:dyDescent="0.2">
      <c r="E3865" s="4"/>
      <c r="F3865" s="45"/>
      <c r="G3865" s="4"/>
      <c r="H3865" s="47"/>
      <c r="Z3865" s="6"/>
    </row>
    <row r="3866" spans="5:26" x14ac:dyDescent="0.2">
      <c r="E3866" s="4"/>
      <c r="F3866" s="45"/>
      <c r="G3866" s="4"/>
      <c r="H3866" s="47"/>
      <c r="Z3866" s="6"/>
    </row>
    <row r="3867" spans="5:26" x14ac:dyDescent="0.2">
      <c r="E3867" s="4"/>
      <c r="F3867" s="45"/>
      <c r="G3867" s="4"/>
      <c r="H3867" s="47"/>
      <c r="Z3867" s="6"/>
    </row>
    <row r="3868" spans="5:26" x14ac:dyDescent="0.2">
      <c r="E3868" s="4"/>
      <c r="F3868" s="45"/>
      <c r="G3868" s="4"/>
      <c r="H3868" s="47"/>
      <c r="Z3868" s="6"/>
    </row>
    <row r="3869" spans="5:26" x14ac:dyDescent="0.2">
      <c r="E3869" s="4"/>
      <c r="F3869" s="45"/>
      <c r="G3869" s="4"/>
      <c r="H3869" s="47"/>
      <c r="Z3869" s="6"/>
    </row>
    <row r="3870" spans="5:26" x14ac:dyDescent="0.2">
      <c r="E3870" s="4"/>
      <c r="F3870" s="45"/>
      <c r="G3870" s="4"/>
      <c r="H3870" s="47"/>
      <c r="Z3870" s="6"/>
    </row>
    <row r="3871" spans="5:26" x14ac:dyDescent="0.2">
      <c r="E3871" s="4"/>
      <c r="F3871" s="45"/>
      <c r="G3871" s="4"/>
      <c r="H3871" s="47"/>
      <c r="Z3871" s="6"/>
    </row>
    <row r="3872" spans="5:26" x14ac:dyDescent="0.2">
      <c r="E3872" s="4"/>
      <c r="F3872" s="45"/>
      <c r="G3872" s="4"/>
      <c r="H3872" s="47"/>
      <c r="Z3872" s="6"/>
    </row>
    <row r="3873" spans="5:26" x14ac:dyDescent="0.2">
      <c r="E3873" s="4"/>
      <c r="F3873" s="45"/>
      <c r="G3873" s="4"/>
      <c r="H3873" s="47"/>
      <c r="Z3873" s="6"/>
    </row>
    <row r="3874" spans="5:26" x14ac:dyDescent="0.2">
      <c r="E3874" s="4"/>
      <c r="F3874" s="45"/>
      <c r="G3874" s="4"/>
      <c r="H3874" s="47"/>
      <c r="Z3874" s="6"/>
    </row>
    <row r="3875" spans="5:26" x14ac:dyDescent="0.2">
      <c r="E3875" s="4"/>
      <c r="F3875" s="45"/>
      <c r="G3875" s="4"/>
      <c r="H3875" s="47"/>
      <c r="Z3875" s="6"/>
    </row>
    <row r="3876" spans="5:26" x14ac:dyDescent="0.2">
      <c r="E3876" s="4"/>
      <c r="F3876" s="45"/>
      <c r="G3876" s="4"/>
      <c r="H3876" s="47"/>
      <c r="Z3876" s="6"/>
    </row>
    <row r="3877" spans="5:26" x14ac:dyDescent="0.2">
      <c r="E3877" s="4"/>
      <c r="F3877" s="45"/>
      <c r="G3877" s="4"/>
      <c r="H3877" s="47"/>
      <c r="Z3877" s="6"/>
    </row>
    <row r="3878" spans="5:26" x14ac:dyDescent="0.2">
      <c r="E3878" s="4"/>
      <c r="F3878" s="45"/>
      <c r="G3878" s="4"/>
      <c r="H3878" s="47"/>
      <c r="Z3878" s="6"/>
    </row>
    <row r="3879" spans="5:26" x14ac:dyDescent="0.2">
      <c r="E3879" s="4"/>
      <c r="F3879" s="45"/>
      <c r="G3879" s="4"/>
      <c r="H3879" s="47"/>
      <c r="Z3879" s="6"/>
    </row>
    <row r="3880" spans="5:26" x14ac:dyDescent="0.2">
      <c r="E3880" s="4"/>
      <c r="F3880" s="45"/>
      <c r="G3880" s="4"/>
      <c r="H3880" s="47"/>
      <c r="Z3880" s="6"/>
    </row>
    <row r="3881" spans="5:26" x14ac:dyDescent="0.2">
      <c r="E3881" s="4"/>
      <c r="F3881" s="45"/>
      <c r="G3881" s="4"/>
      <c r="H3881" s="47"/>
      <c r="Z3881" s="6"/>
    </row>
    <row r="3882" spans="5:26" x14ac:dyDescent="0.2">
      <c r="E3882" s="4"/>
      <c r="F3882" s="45"/>
      <c r="G3882" s="4"/>
      <c r="H3882" s="47"/>
      <c r="Z3882" s="6"/>
    </row>
    <row r="3883" spans="5:26" x14ac:dyDescent="0.2">
      <c r="E3883" s="4"/>
      <c r="F3883" s="45"/>
      <c r="G3883" s="4"/>
      <c r="H3883" s="47"/>
      <c r="Z3883" s="6"/>
    </row>
    <row r="3884" spans="5:26" x14ac:dyDescent="0.2">
      <c r="E3884" s="4"/>
      <c r="F3884" s="45"/>
      <c r="G3884" s="4"/>
      <c r="H3884" s="47"/>
      <c r="Z3884" s="6"/>
    </row>
    <row r="3885" spans="5:26" x14ac:dyDescent="0.2">
      <c r="E3885" s="4"/>
      <c r="F3885" s="45"/>
      <c r="G3885" s="4"/>
      <c r="H3885" s="47"/>
      <c r="Z3885" s="6"/>
    </row>
    <row r="3886" spans="5:26" x14ac:dyDescent="0.2">
      <c r="E3886" s="4"/>
      <c r="F3886" s="45"/>
      <c r="G3886" s="4"/>
      <c r="H3886" s="47"/>
      <c r="Z3886" s="6"/>
    </row>
    <row r="3887" spans="5:26" x14ac:dyDescent="0.2">
      <c r="E3887" s="4"/>
      <c r="F3887" s="45"/>
      <c r="G3887" s="4"/>
      <c r="H3887" s="47"/>
      <c r="Z3887" s="6"/>
    </row>
    <row r="3888" spans="5:26" x14ac:dyDescent="0.2">
      <c r="E3888" s="4"/>
      <c r="F3888" s="45"/>
      <c r="G3888" s="4"/>
      <c r="H3888" s="47"/>
      <c r="Z3888" s="6"/>
    </row>
    <row r="3889" spans="5:26" x14ac:dyDescent="0.2">
      <c r="E3889" s="4"/>
      <c r="F3889" s="45"/>
      <c r="G3889" s="4"/>
      <c r="H3889" s="47"/>
      <c r="Z3889" s="6"/>
    </row>
    <row r="3890" spans="5:26" x14ac:dyDescent="0.2">
      <c r="E3890" s="4"/>
      <c r="F3890" s="45"/>
      <c r="G3890" s="4"/>
      <c r="H3890" s="47"/>
      <c r="Z3890" s="6"/>
    </row>
    <row r="3891" spans="5:26" x14ac:dyDescent="0.2">
      <c r="E3891" s="4"/>
      <c r="F3891" s="45"/>
      <c r="G3891" s="4"/>
      <c r="H3891" s="47"/>
      <c r="Z3891" s="6"/>
    </row>
    <row r="3892" spans="5:26" x14ac:dyDescent="0.2">
      <c r="E3892" s="4"/>
      <c r="F3892" s="45"/>
      <c r="G3892" s="4"/>
      <c r="H3892" s="47"/>
      <c r="Z3892" s="6"/>
    </row>
    <row r="3893" spans="5:26" x14ac:dyDescent="0.2">
      <c r="E3893" s="4"/>
      <c r="F3893" s="45"/>
      <c r="G3893" s="4"/>
      <c r="H3893" s="47"/>
      <c r="Z3893" s="6"/>
    </row>
    <row r="3894" spans="5:26" x14ac:dyDescent="0.2">
      <c r="E3894" s="4"/>
      <c r="F3894" s="45"/>
      <c r="G3894" s="4"/>
      <c r="H3894" s="47"/>
      <c r="Z3894" s="6"/>
    </row>
    <row r="3895" spans="5:26" x14ac:dyDescent="0.2">
      <c r="E3895" s="4"/>
      <c r="F3895" s="45"/>
      <c r="G3895" s="4"/>
      <c r="H3895" s="47"/>
      <c r="Z3895" s="6"/>
    </row>
    <row r="3896" spans="5:26" x14ac:dyDescent="0.2">
      <c r="E3896" s="4"/>
      <c r="F3896" s="45"/>
      <c r="G3896" s="4"/>
      <c r="H3896" s="47"/>
      <c r="Z3896" s="6"/>
    </row>
    <row r="3897" spans="5:26" x14ac:dyDescent="0.2">
      <c r="E3897" s="4"/>
      <c r="F3897" s="45"/>
      <c r="G3897" s="4"/>
      <c r="H3897" s="47"/>
      <c r="Z3897" s="6"/>
    </row>
    <row r="3898" spans="5:26" x14ac:dyDescent="0.2">
      <c r="E3898" s="4"/>
      <c r="F3898" s="45"/>
      <c r="G3898" s="4"/>
      <c r="H3898" s="47"/>
      <c r="Z3898" s="6"/>
    </row>
    <row r="3899" spans="5:26" x14ac:dyDescent="0.2">
      <c r="E3899" s="4"/>
      <c r="F3899" s="45"/>
      <c r="G3899" s="4"/>
      <c r="H3899" s="47"/>
      <c r="Z3899" s="6"/>
    </row>
    <row r="3900" spans="5:26" x14ac:dyDescent="0.2">
      <c r="E3900" s="4"/>
      <c r="F3900" s="45"/>
      <c r="G3900" s="4"/>
      <c r="H3900" s="47"/>
      <c r="Z3900" s="6"/>
    </row>
    <row r="3901" spans="5:26" x14ac:dyDescent="0.2">
      <c r="E3901" s="4"/>
      <c r="F3901" s="45"/>
      <c r="G3901" s="4"/>
      <c r="H3901" s="47"/>
      <c r="Z3901" s="6"/>
    </row>
    <row r="3902" spans="5:26" x14ac:dyDescent="0.2">
      <c r="E3902" s="4"/>
      <c r="F3902" s="45"/>
      <c r="G3902" s="4"/>
      <c r="H3902" s="47"/>
      <c r="Z3902" s="6"/>
    </row>
    <row r="3903" spans="5:26" x14ac:dyDescent="0.2">
      <c r="E3903" s="4"/>
      <c r="F3903" s="45"/>
      <c r="G3903" s="4"/>
      <c r="H3903" s="47"/>
      <c r="Z3903" s="6"/>
    </row>
    <row r="3904" spans="5:26" x14ac:dyDescent="0.2">
      <c r="E3904" s="4"/>
      <c r="F3904" s="45"/>
      <c r="G3904" s="4"/>
      <c r="H3904" s="47"/>
      <c r="Z3904" s="6"/>
    </row>
    <row r="3905" spans="5:26" x14ac:dyDescent="0.2">
      <c r="E3905" s="4"/>
      <c r="F3905" s="45"/>
      <c r="G3905" s="4"/>
      <c r="H3905" s="47"/>
      <c r="Z3905" s="6"/>
    </row>
    <row r="3906" spans="5:26" x14ac:dyDescent="0.2">
      <c r="E3906" s="4"/>
      <c r="F3906" s="45"/>
      <c r="G3906" s="4"/>
      <c r="H3906" s="47"/>
      <c r="Z3906" s="6"/>
    </row>
    <row r="3907" spans="5:26" x14ac:dyDescent="0.2">
      <c r="E3907" s="4"/>
      <c r="F3907" s="45"/>
      <c r="G3907" s="4"/>
      <c r="H3907" s="47"/>
      <c r="Z3907" s="6"/>
    </row>
    <row r="3908" spans="5:26" x14ac:dyDescent="0.2">
      <c r="E3908" s="4"/>
      <c r="F3908" s="45"/>
      <c r="G3908" s="4"/>
      <c r="H3908" s="47"/>
      <c r="Z3908" s="6"/>
    </row>
    <row r="3909" spans="5:26" x14ac:dyDescent="0.2">
      <c r="E3909" s="4"/>
      <c r="F3909" s="45"/>
      <c r="G3909" s="4"/>
      <c r="H3909" s="47"/>
      <c r="Z3909" s="6"/>
    </row>
    <row r="3910" spans="5:26" x14ac:dyDescent="0.2">
      <c r="E3910" s="4"/>
      <c r="F3910" s="45"/>
      <c r="G3910" s="4"/>
      <c r="H3910" s="47"/>
      <c r="Z3910" s="6"/>
    </row>
    <row r="3911" spans="5:26" x14ac:dyDescent="0.2">
      <c r="E3911" s="4"/>
      <c r="F3911" s="45"/>
      <c r="G3911" s="4"/>
      <c r="H3911" s="47"/>
      <c r="Z3911" s="6"/>
    </row>
    <row r="3912" spans="5:26" x14ac:dyDescent="0.2">
      <c r="E3912" s="4"/>
      <c r="F3912" s="45"/>
      <c r="G3912" s="4"/>
      <c r="H3912" s="47"/>
      <c r="Z3912" s="6"/>
    </row>
    <row r="3913" spans="5:26" x14ac:dyDescent="0.2">
      <c r="E3913" s="4"/>
      <c r="F3913" s="45"/>
      <c r="G3913" s="4"/>
      <c r="H3913" s="47"/>
      <c r="Z3913" s="6"/>
    </row>
    <row r="3914" spans="5:26" x14ac:dyDescent="0.2">
      <c r="E3914" s="4"/>
      <c r="F3914" s="45"/>
      <c r="G3914" s="4"/>
      <c r="H3914" s="47"/>
      <c r="Z3914" s="6"/>
    </row>
    <row r="3915" spans="5:26" x14ac:dyDescent="0.2">
      <c r="E3915" s="4"/>
      <c r="F3915" s="45"/>
      <c r="G3915" s="4"/>
      <c r="H3915" s="47"/>
      <c r="Z3915" s="6"/>
    </row>
    <row r="3916" spans="5:26" x14ac:dyDescent="0.2">
      <c r="E3916" s="4"/>
      <c r="F3916" s="45"/>
      <c r="G3916" s="4"/>
      <c r="H3916" s="47"/>
      <c r="Z3916" s="6"/>
    </row>
    <row r="3917" spans="5:26" x14ac:dyDescent="0.2">
      <c r="E3917" s="4"/>
      <c r="F3917" s="45"/>
      <c r="G3917" s="4"/>
      <c r="H3917" s="47"/>
      <c r="Z3917" s="6"/>
    </row>
    <row r="3918" spans="5:26" x14ac:dyDescent="0.2">
      <c r="E3918" s="4"/>
      <c r="F3918" s="45"/>
      <c r="G3918" s="4"/>
      <c r="H3918" s="47"/>
      <c r="Z3918" s="6"/>
    </row>
    <row r="3919" spans="5:26" x14ac:dyDescent="0.2">
      <c r="E3919" s="4"/>
      <c r="F3919" s="45"/>
      <c r="G3919" s="4"/>
      <c r="H3919" s="47"/>
      <c r="Z3919" s="6"/>
    </row>
    <row r="3920" spans="5:26" x14ac:dyDescent="0.2">
      <c r="E3920" s="4"/>
      <c r="F3920" s="45"/>
      <c r="G3920" s="4"/>
      <c r="H3920" s="47"/>
      <c r="Z3920" s="6"/>
    </row>
    <row r="3921" spans="5:26" x14ac:dyDescent="0.2">
      <c r="E3921" s="4"/>
      <c r="F3921" s="45"/>
      <c r="G3921" s="4"/>
      <c r="H3921" s="47"/>
      <c r="Z3921" s="6"/>
    </row>
    <row r="3922" spans="5:26" x14ac:dyDescent="0.2">
      <c r="E3922" s="4"/>
      <c r="F3922" s="45"/>
      <c r="G3922" s="4"/>
      <c r="H3922" s="47"/>
      <c r="Z3922" s="6"/>
    </row>
    <row r="3923" spans="5:26" x14ac:dyDescent="0.2">
      <c r="E3923" s="4"/>
      <c r="F3923" s="45"/>
      <c r="G3923" s="4"/>
      <c r="H3923" s="47"/>
      <c r="Z3923" s="6"/>
    </row>
    <row r="3924" spans="5:26" x14ac:dyDescent="0.2">
      <c r="E3924" s="4"/>
      <c r="F3924" s="45"/>
      <c r="G3924" s="4"/>
      <c r="H3924" s="47"/>
      <c r="Z3924" s="6"/>
    </row>
    <row r="3925" spans="5:26" x14ac:dyDescent="0.2">
      <c r="E3925" s="4"/>
      <c r="F3925" s="45"/>
      <c r="G3925" s="4"/>
      <c r="H3925" s="47"/>
      <c r="Z3925" s="6"/>
    </row>
    <row r="3926" spans="5:26" x14ac:dyDescent="0.2">
      <c r="E3926" s="4"/>
      <c r="F3926" s="45"/>
      <c r="G3926" s="4"/>
      <c r="H3926" s="47"/>
      <c r="Z3926" s="6"/>
    </row>
    <row r="3927" spans="5:26" x14ac:dyDescent="0.2">
      <c r="E3927" s="4"/>
      <c r="F3927" s="45"/>
      <c r="G3927" s="4"/>
      <c r="H3927" s="47"/>
      <c r="Z3927" s="6"/>
    </row>
    <row r="3928" spans="5:26" x14ac:dyDescent="0.2">
      <c r="E3928" s="4"/>
      <c r="F3928" s="45"/>
      <c r="G3928" s="4"/>
      <c r="H3928" s="47"/>
      <c r="Z3928" s="6"/>
    </row>
    <row r="3929" spans="5:26" x14ac:dyDescent="0.2">
      <c r="E3929" s="4"/>
      <c r="F3929" s="45"/>
      <c r="G3929" s="4"/>
      <c r="H3929" s="47"/>
      <c r="Z3929" s="6"/>
    </row>
    <row r="3930" spans="5:26" x14ac:dyDescent="0.2">
      <c r="E3930" s="4"/>
      <c r="F3930" s="45"/>
      <c r="G3930" s="4"/>
      <c r="H3930" s="47"/>
      <c r="Z3930" s="6"/>
    </row>
    <row r="3931" spans="5:26" x14ac:dyDescent="0.2">
      <c r="E3931" s="4"/>
      <c r="F3931" s="45"/>
      <c r="G3931" s="4"/>
      <c r="H3931" s="47"/>
      <c r="Z3931" s="6"/>
    </row>
    <row r="3932" spans="5:26" x14ac:dyDescent="0.2">
      <c r="E3932" s="4"/>
      <c r="F3932" s="45"/>
      <c r="G3932" s="4"/>
      <c r="H3932" s="47"/>
      <c r="Z3932" s="6"/>
    </row>
    <row r="3933" spans="5:26" x14ac:dyDescent="0.2">
      <c r="E3933" s="4"/>
      <c r="F3933" s="45"/>
      <c r="G3933" s="4"/>
      <c r="H3933" s="47"/>
      <c r="Z3933" s="6"/>
    </row>
    <row r="3934" spans="5:26" x14ac:dyDescent="0.2">
      <c r="E3934" s="4"/>
      <c r="F3934" s="45"/>
      <c r="G3934" s="4"/>
      <c r="H3934" s="47"/>
      <c r="Z3934" s="6"/>
    </row>
    <row r="3935" spans="5:26" x14ac:dyDescent="0.2">
      <c r="E3935" s="4"/>
      <c r="F3935" s="45"/>
      <c r="G3935" s="4"/>
      <c r="H3935" s="47"/>
      <c r="Z3935" s="6"/>
    </row>
    <row r="3936" spans="5:26" x14ac:dyDescent="0.2">
      <c r="E3936" s="4"/>
      <c r="F3936" s="45"/>
      <c r="G3936" s="4"/>
      <c r="H3936" s="47"/>
      <c r="Z3936" s="6"/>
    </row>
    <row r="3937" spans="5:26" x14ac:dyDescent="0.2">
      <c r="E3937" s="4"/>
      <c r="F3937" s="45"/>
      <c r="G3937" s="4"/>
      <c r="H3937" s="47"/>
      <c r="Z3937" s="6"/>
    </row>
    <row r="3938" spans="5:26" x14ac:dyDescent="0.2">
      <c r="E3938" s="4"/>
      <c r="F3938" s="45"/>
      <c r="G3938" s="4"/>
      <c r="H3938" s="47"/>
      <c r="Z3938" s="6"/>
    </row>
    <row r="3939" spans="5:26" x14ac:dyDescent="0.2">
      <c r="E3939" s="4"/>
      <c r="F3939" s="45"/>
      <c r="G3939" s="4"/>
      <c r="H3939" s="47"/>
      <c r="Z3939" s="6"/>
    </row>
    <row r="3940" spans="5:26" x14ac:dyDescent="0.2">
      <c r="E3940" s="4"/>
      <c r="F3940" s="45"/>
      <c r="G3940" s="4"/>
      <c r="H3940" s="47"/>
      <c r="Z3940" s="6"/>
    </row>
    <row r="3941" spans="5:26" x14ac:dyDescent="0.2">
      <c r="E3941" s="4"/>
      <c r="F3941" s="45"/>
      <c r="G3941" s="4"/>
      <c r="H3941" s="47"/>
      <c r="Z3941" s="6"/>
    </row>
    <row r="3942" spans="5:26" x14ac:dyDescent="0.2">
      <c r="E3942" s="4"/>
      <c r="F3942" s="45"/>
      <c r="G3942" s="4"/>
      <c r="H3942" s="47"/>
      <c r="Z3942" s="6"/>
    </row>
    <row r="3943" spans="5:26" x14ac:dyDescent="0.2">
      <c r="E3943" s="4"/>
      <c r="F3943" s="45"/>
      <c r="G3943" s="4"/>
      <c r="H3943" s="47"/>
      <c r="Z3943" s="6"/>
    </row>
    <row r="3944" spans="5:26" x14ac:dyDescent="0.2">
      <c r="E3944" s="4"/>
      <c r="F3944" s="45"/>
      <c r="G3944" s="4"/>
      <c r="H3944" s="47"/>
      <c r="Z3944" s="6"/>
    </row>
    <row r="3945" spans="5:26" x14ac:dyDescent="0.2">
      <c r="E3945" s="4"/>
      <c r="F3945" s="45"/>
      <c r="G3945" s="4"/>
      <c r="H3945" s="47"/>
      <c r="Z3945" s="6"/>
    </row>
    <row r="3946" spans="5:26" x14ac:dyDescent="0.2">
      <c r="E3946" s="4"/>
      <c r="F3946" s="45"/>
      <c r="G3946" s="4"/>
      <c r="H3946" s="47"/>
      <c r="Z3946" s="6"/>
    </row>
    <row r="3947" spans="5:26" x14ac:dyDescent="0.2">
      <c r="E3947" s="4"/>
      <c r="F3947" s="45"/>
      <c r="G3947" s="4"/>
      <c r="H3947" s="47"/>
      <c r="Z3947" s="6"/>
    </row>
    <row r="3948" spans="5:26" x14ac:dyDescent="0.2">
      <c r="E3948" s="4"/>
      <c r="F3948" s="45"/>
      <c r="G3948" s="4"/>
      <c r="H3948" s="47"/>
      <c r="Z3948" s="6"/>
    </row>
    <row r="3949" spans="5:26" x14ac:dyDescent="0.2">
      <c r="E3949" s="4"/>
      <c r="F3949" s="45"/>
      <c r="G3949" s="4"/>
      <c r="H3949" s="47"/>
      <c r="Z3949" s="6"/>
    </row>
    <row r="3950" spans="5:26" x14ac:dyDescent="0.2">
      <c r="E3950" s="4"/>
      <c r="F3950" s="45"/>
      <c r="G3950" s="4"/>
      <c r="H3950" s="47"/>
      <c r="Z3950" s="6"/>
    </row>
    <row r="3951" spans="5:26" x14ac:dyDescent="0.2">
      <c r="E3951" s="4"/>
      <c r="F3951" s="45"/>
      <c r="G3951" s="4"/>
      <c r="H3951" s="47"/>
      <c r="Z3951" s="6"/>
    </row>
    <row r="3952" spans="5:26" x14ac:dyDescent="0.2">
      <c r="E3952" s="4"/>
      <c r="F3952" s="45"/>
      <c r="G3952" s="4"/>
      <c r="H3952" s="47"/>
      <c r="Z3952" s="6"/>
    </row>
    <row r="3953" spans="5:26" x14ac:dyDescent="0.2">
      <c r="E3953" s="4"/>
      <c r="F3953" s="45"/>
      <c r="G3953" s="4"/>
      <c r="H3953" s="47"/>
      <c r="Z3953" s="6"/>
    </row>
    <row r="3954" spans="5:26" x14ac:dyDescent="0.2">
      <c r="E3954" s="4"/>
      <c r="F3954" s="45"/>
      <c r="G3954" s="4"/>
      <c r="H3954" s="47"/>
      <c r="Z3954" s="6"/>
    </row>
    <row r="3955" spans="5:26" x14ac:dyDescent="0.2">
      <c r="E3955" s="4"/>
      <c r="F3955" s="45"/>
      <c r="G3955" s="4"/>
      <c r="H3955" s="47"/>
      <c r="Z3955" s="6"/>
    </row>
    <row r="3956" spans="5:26" x14ac:dyDescent="0.2">
      <c r="E3956" s="4"/>
      <c r="F3956" s="45"/>
      <c r="G3956" s="4"/>
      <c r="H3956" s="47"/>
      <c r="Z3956" s="6"/>
    </row>
    <row r="3957" spans="5:26" x14ac:dyDescent="0.2">
      <c r="E3957" s="4"/>
      <c r="F3957" s="45"/>
      <c r="G3957" s="4"/>
      <c r="H3957" s="47"/>
      <c r="Z3957" s="6"/>
    </row>
    <row r="3958" spans="5:26" x14ac:dyDescent="0.2">
      <c r="E3958" s="4"/>
      <c r="F3958" s="45"/>
      <c r="G3958" s="4"/>
      <c r="H3958" s="47"/>
      <c r="Z3958" s="6"/>
    </row>
    <row r="3959" spans="5:26" x14ac:dyDescent="0.2">
      <c r="E3959" s="4"/>
      <c r="F3959" s="45"/>
      <c r="G3959" s="4"/>
      <c r="H3959" s="47"/>
      <c r="Z3959" s="6"/>
    </row>
    <row r="3960" spans="5:26" x14ac:dyDescent="0.2">
      <c r="E3960" s="4"/>
      <c r="F3960" s="45"/>
      <c r="G3960" s="4"/>
      <c r="H3960" s="47"/>
      <c r="Z3960" s="6"/>
    </row>
    <row r="3961" spans="5:26" x14ac:dyDescent="0.2">
      <c r="E3961" s="4"/>
      <c r="F3961" s="45"/>
      <c r="G3961" s="4"/>
      <c r="H3961" s="47"/>
      <c r="Z3961" s="6"/>
    </row>
    <row r="3962" spans="5:26" x14ac:dyDescent="0.2">
      <c r="E3962" s="4"/>
      <c r="F3962" s="45"/>
      <c r="G3962" s="4"/>
      <c r="H3962" s="47"/>
      <c r="Z3962" s="6"/>
    </row>
    <row r="3963" spans="5:26" x14ac:dyDescent="0.2">
      <c r="E3963" s="4"/>
      <c r="F3963" s="45"/>
      <c r="G3963" s="4"/>
      <c r="H3963" s="47"/>
      <c r="Z3963" s="6"/>
    </row>
    <row r="3964" spans="5:26" x14ac:dyDescent="0.2">
      <c r="E3964" s="4"/>
      <c r="F3964" s="45"/>
      <c r="G3964" s="4"/>
      <c r="H3964" s="47"/>
      <c r="Z3964" s="6"/>
    </row>
    <row r="3965" spans="5:26" x14ac:dyDescent="0.2">
      <c r="E3965" s="4"/>
      <c r="F3965" s="45"/>
      <c r="G3965" s="4"/>
      <c r="H3965" s="47"/>
      <c r="Z3965" s="6"/>
    </row>
    <row r="3966" spans="5:26" x14ac:dyDescent="0.2">
      <c r="E3966" s="4"/>
      <c r="F3966" s="45"/>
      <c r="G3966" s="4"/>
      <c r="H3966" s="47"/>
      <c r="Z3966" s="6"/>
    </row>
    <row r="3967" spans="5:26" x14ac:dyDescent="0.2">
      <c r="E3967" s="4"/>
      <c r="F3967" s="45"/>
      <c r="G3967" s="4"/>
      <c r="H3967" s="47"/>
      <c r="Z3967" s="6"/>
    </row>
    <row r="3968" spans="5:26" x14ac:dyDescent="0.2">
      <c r="E3968" s="4"/>
      <c r="F3968" s="45"/>
      <c r="G3968" s="4"/>
      <c r="H3968" s="47"/>
      <c r="Z3968" s="6"/>
    </row>
    <row r="3969" spans="5:26" x14ac:dyDescent="0.2">
      <c r="E3969" s="4"/>
      <c r="F3969" s="45"/>
      <c r="G3969" s="4"/>
      <c r="H3969" s="47"/>
      <c r="Z3969" s="6"/>
    </row>
    <row r="3970" spans="5:26" x14ac:dyDescent="0.2">
      <c r="E3970" s="4"/>
      <c r="F3970" s="45"/>
      <c r="G3970" s="4"/>
      <c r="H3970" s="47"/>
      <c r="Z3970" s="6"/>
    </row>
    <row r="3971" spans="5:26" x14ac:dyDescent="0.2">
      <c r="E3971" s="4"/>
      <c r="F3971" s="45"/>
      <c r="G3971" s="4"/>
      <c r="H3971" s="47"/>
      <c r="Z3971" s="6"/>
    </row>
    <row r="3972" spans="5:26" x14ac:dyDescent="0.2">
      <c r="E3972" s="4"/>
      <c r="F3972" s="45"/>
      <c r="G3972" s="4"/>
      <c r="H3972" s="47"/>
      <c r="Z3972" s="6"/>
    </row>
    <row r="3973" spans="5:26" x14ac:dyDescent="0.2">
      <c r="E3973" s="4"/>
      <c r="F3973" s="45"/>
      <c r="G3973" s="4"/>
      <c r="H3973" s="47"/>
      <c r="Z3973" s="6"/>
    </row>
    <row r="3974" spans="5:26" x14ac:dyDescent="0.2">
      <c r="E3974" s="4"/>
      <c r="F3974" s="45"/>
      <c r="G3974" s="4"/>
      <c r="H3974" s="47"/>
      <c r="Z3974" s="6"/>
    </row>
    <row r="3975" spans="5:26" x14ac:dyDescent="0.2">
      <c r="E3975" s="4"/>
      <c r="F3975" s="45"/>
      <c r="G3975" s="4"/>
      <c r="H3975" s="47"/>
      <c r="Z3975" s="6"/>
    </row>
    <row r="3976" spans="5:26" x14ac:dyDescent="0.2">
      <c r="E3976" s="4"/>
      <c r="F3976" s="45"/>
      <c r="G3976" s="4"/>
      <c r="H3976" s="47"/>
      <c r="Z3976" s="6"/>
    </row>
    <row r="3977" spans="5:26" x14ac:dyDescent="0.2">
      <c r="E3977" s="4"/>
      <c r="F3977" s="45"/>
      <c r="G3977" s="4"/>
      <c r="H3977" s="47"/>
      <c r="Z3977" s="6"/>
    </row>
    <row r="3978" spans="5:26" x14ac:dyDescent="0.2">
      <c r="E3978" s="4"/>
      <c r="F3978" s="45"/>
      <c r="G3978" s="4"/>
      <c r="H3978" s="47"/>
      <c r="Z3978" s="6"/>
    </row>
    <row r="3979" spans="5:26" x14ac:dyDescent="0.2">
      <c r="E3979" s="4"/>
      <c r="F3979" s="45"/>
      <c r="G3979" s="4"/>
      <c r="H3979" s="47"/>
      <c r="Z3979" s="6"/>
    </row>
    <row r="3980" spans="5:26" x14ac:dyDescent="0.2">
      <c r="E3980" s="4"/>
      <c r="F3980" s="45"/>
      <c r="G3980" s="4"/>
      <c r="H3980" s="47"/>
      <c r="Z3980" s="6"/>
    </row>
    <row r="3981" spans="5:26" x14ac:dyDescent="0.2">
      <c r="E3981" s="4"/>
      <c r="F3981" s="45"/>
      <c r="G3981" s="4"/>
      <c r="H3981" s="47"/>
      <c r="Z3981" s="6"/>
    </row>
    <row r="3982" spans="5:26" x14ac:dyDescent="0.2">
      <c r="E3982" s="4"/>
      <c r="F3982" s="45"/>
      <c r="G3982" s="4"/>
      <c r="H3982" s="47"/>
      <c r="Z3982" s="6"/>
    </row>
    <row r="3983" spans="5:26" x14ac:dyDescent="0.2">
      <c r="E3983" s="4"/>
      <c r="F3983" s="45"/>
      <c r="G3983" s="4"/>
      <c r="H3983" s="47"/>
      <c r="Z3983" s="6"/>
    </row>
    <row r="3984" spans="5:26" x14ac:dyDescent="0.2">
      <c r="E3984" s="4"/>
      <c r="F3984" s="45"/>
      <c r="G3984" s="4"/>
      <c r="H3984" s="47"/>
      <c r="Z3984" s="6"/>
    </row>
    <row r="3985" spans="5:26" x14ac:dyDescent="0.2">
      <c r="E3985" s="4"/>
      <c r="F3985" s="45"/>
      <c r="G3985" s="4"/>
      <c r="H3985" s="47"/>
      <c r="Z3985" s="6"/>
    </row>
    <row r="3986" spans="5:26" x14ac:dyDescent="0.2">
      <c r="E3986" s="4"/>
      <c r="F3986" s="45"/>
      <c r="G3986" s="4"/>
      <c r="H3986" s="47"/>
      <c r="Z3986" s="6"/>
    </row>
    <row r="3987" spans="5:26" x14ac:dyDescent="0.2">
      <c r="E3987" s="4"/>
      <c r="F3987" s="45"/>
      <c r="G3987" s="4"/>
      <c r="H3987" s="47"/>
      <c r="Z3987" s="6"/>
    </row>
    <row r="3988" spans="5:26" x14ac:dyDescent="0.2">
      <c r="E3988" s="4"/>
      <c r="F3988" s="45"/>
      <c r="G3988" s="4"/>
      <c r="H3988" s="47"/>
      <c r="Z3988" s="6"/>
    </row>
    <row r="3989" spans="5:26" x14ac:dyDescent="0.2">
      <c r="E3989" s="4"/>
      <c r="F3989" s="45"/>
      <c r="G3989" s="4"/>
      <c r="H3989" s="47"/>
      <c r="Z3989" s="6"/>
    </row>
    <row r="3990" spans="5:26" x14ac:dyDescent="0.2">
      <c r="E3990" s="4"/>
      <c r="F3990" s="45"/>
      <c r="G3990" s="4"/>
      <c r="H3990" s="47"/>
      <c r="Z3990" s="6"/>
    </row>
    <row r="3991" spans="5:26" x14ac:dyDescent="0.2">
      <c r="E3991" s="4"/>
      <c r="F3991" s="45"/>
      <c r="G3991" s="4"/>
      <c r="H3991" s="47"/>
      <c r="Z3991" s="6"/>
    </row>
    <row r="3992" spans="5:26" x14ac:dyDescent="0.2">
      <c r="E3992" s="4"/>
      <c r="F3992" s="45"/>
      <c r="G3992" s="4"/>
      <c r="H3992" s="47"/>
      <c r="Z3992" s="6"/>
    </row>
    <row r="3993" spans="5:26" x14ac:dyDescent="0.2">
      <c r="E3993" s="4"/>
      <c r="F3993" s="45"/>
      <c r="G3993" s="4"/>
      <c r="H3993" s="47"/>
      <c r="Z3993" s="6"/>
    </row>
    <row r="3994" spans="5:26" x14ac:dyDescent="0.2">
      <c r="E3994" s="4"/>
      <c r="F3994" s="45"/>
      <c r="G3994" s="4"/>
      <c r="H3994" s="47"/>
      <c r="Z3994" s="6"/>
    </row>
    <row r="3995" spans="5:26" x14ac:dyDescent="0.2">
      <c r="E3995" s="4"/>
      <c r="F3995" s="45"/>
      <c r="G3995" s="4"/>
      <c r="H3995" s="47"/>
      <c r="Z3995" s="6"/>
    </row>
    <row r="3996" spans="5:26" x14ac:dyDescent="0.2">
      <c r="E3996" s="4"/>
      <c r="F3996" s="45"/>
      <c r="G3996" s="4"/>
      <c r="H3996" s="47"/>
      <c r="Z3996" s="6"/>
    </row>
    <row r="3997" spans="5:26" x14ac:dyDescent="0.2">
      <c r="E3997" s="4"/>
      <c r="F3997" s="45"/>
      <c r="G3997" s="4"/>
      <c r="H3997" s="47"/>
      <c r="Z3997" s="6"/>
    </row>
    <row r="3998" spans="5:26" x14ac:dyDescent="0.2">
      <c r="E3998" s="4"/>
      <c r="F3998" s="45"/>
      <c r="G3998" s="4"/>
      <c r="H3998" s="47"/>
      <c r="Z3998" s="6"/>
    </row>
    <row r="3999" spans="5:26" x14ac:dyDescent="0.2">
      <c r="E3999" s="4"/>
      <c r="F3999" s="45"/>
      <c r="G3999" s="4"/>
      <c r="H3999" s="47"/>
      <c r="Z3999" s="6"/>
    </row>
    <row r="4000" spans="5:26" x14ac:dyDescent="0.2">
      <c r="E4000" s="4"/>
      <c r="F4000" s="45"/>
      <c r="G4000" s="4"/>
      <c r="H4000" s="47"/>
      <c r="Z4000" s="6"/>
    </row>
    <row r="4001" spans="5:26" x14ac:dyDescent="0.2">
      <c r="E4001" s="4"/>
      <c r="F4001" s="45"/>
      <c r="G4001" s="4"/>
      <c r="H4001" s="47"/>
      <c r="Z4001" s="6"/>
    </row>
  </sheetData>
  <autoFilter ref="F1:BS860" xr:uid="{24A10568-2B3A-4A48-AC24-E8A68FC7CC92}"/>
  <phoneticPr fontId="2" type="noConversion"/>
  <conditionalFormatting sqref="B2:Y2 B3:W3 Y3:Y4001 S4:S4001 B5:R4001">
    <cfRule type="expression" dxfId="4" priority="3" stopIfTrue="1">
      <formula>$S2&lt;$S3</formula>
    </cfRule>
  </conditionalFormatting>
  <conditionalFormatting sqref="X3:X23 B4:R4 T4:W23 T24:X4001">
    <cfRule type="expression" dxfId="3" priority="6" stopIfTrue="1">
      <formula>$S3&lt;#REF!</formula>
    </cfRule>
  </conditionalFormatting>
  <conditionalFormatting sqref="BS1:BT860">
    <cfRule type="containsText" dxfId="2" priority="1" operator="containsText" text="XX">
      <formula>NOT(ISERROR(SEARCH("XX",BS1)))</formula>
    </cfRule>
  </conditionalFormatting>
  <pageMargins left="0.7" right="0.7" top="0.75" bottom="0.75" header="0.3" footer="0.3"/>
  <pageSetup orientation="portrait" horizontalDpi="0" verticalDpi="0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32B68188-98A6-3F4E-BE51-AC7D2CB1B669}">
          <x14:formula1>
            <xm:f>Lists!$A:$A</xm:f>
          </x14:formula1>
          <xm:sqref>K3:K4001</xm:sqref>
        </x14:dataValidation>
        <x14:dataValidation type="list" allowBlank="1" showInputMessage="1" showErrorMessage="1" xr:uid="{AEB0E96D-A258-564D-9E07-30FECDE0D412}">
          <x14:formula1>
            <xm:f>_xlfn.XLOOKUP($K3,Lists!$A$1:$BO$1,Lists!$A$2:$BO$10000)</xm:f>
          </x14:formula1>
          <xm:sqref>L3:L4001</xm:sqref>
        </x14:dataValidation>
        <x14:dataValidation type="list" allowBlank="1" showInputMessage="1" showErrorMessage="1" xr:uid="{89E93ACB-5452-944D-8FCA-D1B915343FC2}">
          <x14:formula1>
            <xm:f>_xlfn.XLOOKUP($L3,Lists!$A$1:$BO$1,Lists!$A$2:$BO$10000)</xm:f>
          </x14:formula1>
          <xm:sqref>M3:M4001</xm:sqref>
        </x14:dataValidation>
        <x14:dataValidation type="list" allowBlank="1" showInputMessage="1" showErrorMessage="1" xr:uid="{A86E4765-FD14-F245-9244-1C1956801F00}">
          <x14:formula1>
            <xm:f>Lists!$BQ:$BQ</xm:f>
          </x14:formula1>
          <xm:sqref>O3:P4001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03A400-733E-7A4C-BA36-0E45C3970E91}">
  <sheetPr>
    <tabColor theme="7"/>
  </sheetPr>
  <dimension ref="A1:BC202"/>
  <sheetViews>
    <sheetView zoomScale="85" workbookViewId="0">
      <pane xSplit="8" ySplit="1" topLeftCell="AB2" activePane="bottomRight" state="frozen"/>
      <selection pane="topRight" activeCell="I1" sqref="I1"/>
      <selection pane="bottomLeft" activeCell="A2" sqref="A2"/>
      <selection pane="bottomRight" activeCell="M6" sqref="M6"/>
    </sheetView>
  </sheetViews>
  <sheetFormatPr baseColWidth="10" defaultRowHeight="16" x14ac:dyDescent="0.2"/>
  <cols>
    <col min="2" max="2" width="10.83203125" style="6"/>
    <col min="4" max="4" width="10.83203125" style="4" customWidth="1"/>
    <col min="6" max="6" width="10.83203125" style="4"/>
    <col min="7" max="7" width="10.83203125" style="6"/>
    <col min="8" max="8" width="10.83203125" style="5"/>
    <col min="14" max="14" width="10.83203125" hidden="1" customWidth="1"/>
    <col min="15" max="15" width="10.83203125" style="5"/>
    <col min="16" max="16" width="10.83203125" style="6"/>
    <col min="21" max="21" width="10.83203125" customWidth="1"/>
    <col min="23" max="23" width="10.83203125" style="6"/>
    <col min="24" max="24" width="10.83203125" style="6" customWidth="1"/>
    <col min="26" max="26" width="10.83203125" customWidth="1"/>
    <col min="28" max="28" width="10.83203125" customWidth="1"/>
    <col min="33" max="33" width="12.6640625" customWidth="1"/>
    <col min="44" max="44" width="34.6640625" customWidth="1"/>
  </cols>
  <sheetData>
    <row r="1" spans="1:55" s="2" customFormat="1" ht="68" x14ac:dyDescent="0.2">
      <c r="A1" s="2" t="s">
        <v>256</v>
      </c>
      <c r="B1" s="9" t="s">
        <v>0</v>
      </c>
      <c r="C1" s="2" t="s">
        <v>259</v>
      </c>
      <c r="D1" s="8" t="s">
        <v>260</v>
      </c>
      <c r="E1" s="2" t="s">
        <v>261</v>
      </c>
      <c r="F1" s="8" t="s">
        <v>262</v>
      </c>
      <c r="G1" s="9" t="s">
        <v>257</v>
      </c>
      <c r="H1" s="12" t="s">
        <v>258</v>
      </c>
      <c r="I1" s="2" t="s">
        <v>263</v>
      </c>
      <c r="J1" s="2" t="s">
        <v>264</v>
      </c>
      <c r="K1" s="2" t="s">
        <v>265</v>
      </c>
      <c r="L1" s="2" t="s">
        <v>266</v>
      </c>
      <c r="M1" s="2" t="s">
        <v>267</v>
      </c>
      <c r="N1" s="2" t="s">
        <v>269</v>
      </c>
      <c r="O1" s="12" t="s">
        <v>268</v>
      </c>
      <c r="P1" s="9" t="s">
        <v>270</v>
      </c>
      <c r="Q1" s="2" t="s">
        <v>271</v>
      </c>
      <c r="R1" s="2" t="s">
        <v>272</v>
      </c>
      <c r="S1" s="2" t="s">
        <v>273</v>
      </c>
      <c r="T1" s="2" t="s">
        <v>274</v>
      </c>
      <c r="U1" s="2" t="s">
        <v>276</v>
      </c>
      <c r="V1" s="2" t="s">
        <v>275</v>
      </c>
      <c r="W1" s="10" t="s">
        <v>277</v>
      </c>
      <c r="X1" s="13" t="s">
        <v>278</v>
      </c>
      <c r="Y1" s="11" t="s">
        <v>279</v>
      </c>
      <c r="Z1" s="16" t="s">
        <v>280</v>
      </c>
      <c r="AA1" s="11" t="s">
        <v>281</v>
      </c>
      <c r="AB1" s="16" t="s">
        <v>282</v>
      </c>
      <c r="AC1" s="11" t="s">
        <v>283</v>
      </c>
      <c r="AD1" s="2" t="s">
        <v>248</v>
      </c>
      <c r="AE1" s="2" t="s">
        <v>249</v>
      </c>
      <c r="AF1" s="2" t="s">
        <v>250</v>
      </c>
      <c r="AG1" s="2" t="s">
        <v>360</v>
      </c>
      <c r="AH1" s="2" t="s">
        <v>359</v>
      </c>
      <c r="AI1" s="2" t="s">
        <v>361</v>
      </c>
      <c r="AJ1" s="2" t="s">
        <v>345</v>
      </c>
      <c r="AK1" s="2" t="s">
        <v>346</v>
      </c>
      <c r="AL1" s="2" t="s">
        <v>347</v>
      </c>
      <c r="AM1" s="2" t="s">
        <v>348</v>
      </c>
      <c r="AN1" s="2" t="s">
        <v>350</v>
      </c>
      <c r="AO1" s="2" t="s">
        <v>349</v>
      </c>
      <c r="AP1" s="2" t="s">
        <v>351</v>
      </c>
      <c r="AQ1" s="2" t="s">
        <v>352</v>
      </c>
      <c r="AR1" s="2" t="s">
        <v>353</v>
      </c>
      <c r="AS1" s="2" t="s">
        <v>362</v>
      </c>
      <c r="AT1" s="2" t="s">
        <v>363</v>
      </c>
      <c r="AU1" s="2" t="s">
        <v>364</v>
      </c>
      <c r="AV1" s="2" t="s">
        <v>926</v>
      </c>
      <c r="AW1" s="2" t="s">
        <v>927</v>
      </c>
      <c r="AX1" s="2" t="s">
        <v>928</v>
      </c>
      <c r="AY1" s="2" t="s">
        <v>929</v>
      </c>
      <c r="AZ1" s="18" t="s">
        <v>396</v>
      </c>
      <c r="BA1" s="18" t="s">
        <v>403</v>
      </c>
      <c r="BB1" s="2" t="s">
        <v>404</v>
      </c>
      <c r="BC1" s="2" t="s">
        <v>405</v>
      </c>
    </row>
    <row r="2" spans="1:55" x14ac:dyDescent="0.2">
      <c r="A2">
        <v>1</v>
      </c>
      <c r="B2" s="6">
        <v>1</v>
      </c>
      <c r="C2">
        <v>18</v>
      </c>
      <c r="D2" s="4" t="s">
        <v>413</v>
      </c>
      <c r="E2">
        <v>16</v>
      </c>
      <c r="F2" s="4" t="s">
        <v>1028</v>
      </c>
      <c r="G2" s="6" t="s">
        <v>287</v>
      </c>
      <c r="I2">
        <v>73</v>
      </c>
      <c r="J2">
        <v>12</v>
      </c>
      <c r="K2">
        <v>16</v>
      </c>
      <c r="L2">
        <v>41</v>
      </c>
      <c r="M2">
        <v>19</v>
      </c>
      <c r="O2" s="5">
        <v>1</v>
      </c>
      <c r="P2" s="6">
        <v>70</v>
      </c>
      <c r="Q2">
        <v>75</v>
      </c>
      <c r="R2">
        <v>14</v>
      </c>
      <c r="S2">
        <v>22</v>
      </c>
      <c r="T2">
        <v>84</v>
      </c>
      <c r="V2">
        <v>39</v>
      </c>
      <c r="W2" s="6">
        <f>SUMIFS(events!BI:BI,events!K:K,"=DeadIce",events!BJ:BJ,"&lt;="&amp;shifts!AG2,events!BK:BK,"&gt;"&amp;shifts!AH2,events!Z:Z,"="&amp;shifts!B3)+SUMIFS(events!BI:BI,events!K:K,"=Timeout",events!BJ:BJ,"&lt;="&amp;shifts!AG2,events!BK:BK,"&gt;"&amp;shifts!AH2,events!Z:Z,"="&amp;shifts!B3)</f>
        <v>0</v>
      </c>
      <c r="AA2">
        <v>1</v>
      </c>
      <c r="AB2">
        <v>1</v>
      </c>
      <c r="AD2">
        <f>events!BA2</f>
        <v>18991</v>
      </c>
      <c r="AE2" t="str">
        <f>events!BB2</f>
        <v>Triple J</v>
      </c>
      <c r="AF2" t="str">
        <f>events!BC2</f>
        <v>Velodrome</v>
      </c>
      <c r="AG2" s="4">
        <f>((C2*60)+D2)</f>
        <v>1080</v>
      </c>
      <c r="AH2" s="4">
        <f>((E2*60)+F2)</f>
        <v>1018</v>
      </c>
      <c r="AI2" s="14">
        <f>ROUND(AG2-AH2,0)</f>
        <v>62</v>
      </c>
      <c r="AJ2">
        <f>COUNTIF(I2:N2,"&gt;0")</f>
        <v>5</v>
      </c>
      <c r="AK2">
        <f>COUNTIF(P2:U2,"&gt;0")</f>
        <v>5</v>
      </c>
      <c r="AL2">
        <f>IF(O2="",1,0)</f>
        <v>0</v>
      </c>
      <c r="AM2">
        <f>IF(V2="",1,0)</f>
        <v>0</v>
      </c>
      <c r="AN2">
        <f>IF(AND($AL2&lt;&gt;1,$AJ2&lt;$AK2,AM2&lt;&gt;1),1,)</f>
        <v>0</v>
      </c>
      <c r="AO2">
        <f>IF(AND($AL2&lt;&gt;1,$AJ2&gt;$AK2),1,)</f>
        <v>0</v>
      </c>
      <c r="AP2">
        <f>IF(AN2=1,1,0)</f>
        <v>0</v>
      </c>
      <c r="AQ2">
        <f>IF(AO2=1,1,0)</f>
        <v>0</v>
      </c>
      <c r="AR2" t="str">
        <f>IF(AND(AJ2=5,AK2=5,AL2=0,AM2=0),"Full Strength",IF(AP2=1,"Away PowerPlay",IF(AO2=1,"Home PowerPlay",IF(AL2=1,"Home EmptyNet",IF(AM2=1,"Away EmptyNet","")))))</f>
        <v>Full Strength</v>
      </c>
      <c r="AS2" t="str">
        <f>IF(AND(AL2=0,AM2=0),AJ2&amp;"v"&amp;AK2,IF(AL2=1,AJ2&amp;"v"&amp;AK2&amp;" Home EN",IF(AM2=1,AJ2&amp;"v"&amp;AK2&amp;" Away EN","")))</f>
        <v>5v5</v>
      </c>
      <c r="AT2">
        <v>0</v>
      </c>
      <c r="AU2">
        <v>0</v>
      </c>
      <c r="AV2">
        <f>IF(AND($H2="Home Goal", AO2=0),1,0)</f>
        <v>0</v>
      </c>
      <c r="AW2">
        <f>IF(AX2=1,-1,0)</f>
        <v>0</v>
      </c>
      <c r="AX2">
        <f>IF(AND($H2="AwayGoal", AP2=0),1,0)</f>
        <v>0</v>
      </c>
      <c r="AY2">
        <f>IF(AV2=1,-1,0)</f>
        <v>0</v>
      </c>
      <c r="AZ2">
        <f>IFERROR(VLOOKUP(B2,events!Z:BM,40,FALSE),0)</f>
        <v>0</v>
      </c>
      <c r="BA2">
        <v>0</v>
      </c>
      <c r="BB2">
        <f>IF(BA2&lt;5,0,BA2-5)</f>
        <v>0</v>
      </c>
      <c r="BC2" s="4">
        <f>BB2+AI2+3</f>
        <v>65</v>
      </c>
    </row>
    <row r="3" spans="1:55" x14ac:dyDescent="0.2">
      <c r="A3">
        <v>2</v>
      </c>
      <c r="B3" s="6">
        <f>IF(G3="PeriodStart",B2+1,B2)</f>
        <v>1</v>
      </c>
      <c r="C3">
        <f>E2</f>
        <v>16</v>
      </c>
      <c r="D3" t="str">
        <f>F2</f>
        <v>58</v>
      </c>
      <c r="E3">
        <v>16</v>
      </c>
      <c r="F3" s="4" t="s">
        <v>1029</v>
      </c>
      <c r="I3">
        <f>IF($D3&gt;0,I2,"")</f>
        <v>73</v>
      </c>
      <c r="J3">
        <f t="shared" ref="J3" si="0">IF($D3&gt;0,J2,"")</f>
        <v>12</v>
      </c>
      <c r="K3">
        <v>90</v>
      </c>
      <c r="L3">
        <f t="shared" ref="L3" si="1">IF($D3&gt;0,L2,"")</f>
        <v>41</v>
      </c>
      <c r="M3">
        <f t="shared" ref="M3" si="2">IF($D3&gt;0,M2,"")</f>
        <v>19</v>
      </c>
      <c r="O3" s="5">
        <f>O2</f>
        <v>1</v>
      </c>
      <c r="P3">
        <v>87</v>
      </c>
      <c r="Q3">
        <v>24</v>
      </c>
      <c r="R3">
        <f t="shared" ref="R3" si="3">IF($D3&gt;0,R2,"")</f>
        <v>14</v>
      </c>
      <c r="S3">
        <v>9</v>
      </c>
      <c r="T3">
        <v>93</v>
      </c>
      <c r="V3">
        <f>V2</f>
        <v>39</v>
      </c>
      <c r="W3" s="6">
        <f>SUMIFS(events!BI:BI,events!K:K,"=DeadIce",events!BJ:BJ,"&lt;="&amp;shifts!AG3,events!BK:BK,"&gt;"&amp;shifts!AH3,events!Z:Z,"="&amp;shifts!B4)+SUMIFS(events!BI:BI,events!K:K,"=Timeout",events!BJ:BJ,"&lt;="&amp;shifts!AG3,events!BK:BK,"&gt;"&amp;shifts!AH3,events!Z:Z,"="&amp;shifts!B4)</f>
        <v>0</v>
      </c>
      <c r="X3" s="6" t="str">
        <f>IF(OR($H2="Home Goal",$H2="Away Goal",$H2="Period End"),"",IF(Y2=1,1,""))</f>
        <v/>
      </c>
      <c r="Z3">
        <f>IF(OR($H2="Home Goal",$H2="Away Goal",$H2="Period End"),"",IF(AA2=1,1,""))</f>
        <v>1</v>
      </c>
      <c r="AA3">
        <v>1</v>
      </c>
      <c r="AB3">
        <v>1</v>
      </c>
      <c r="AD3">
        <f>AD2</f>
        <v>18991</v>
      </c>
      <c r="AE3" t="str">
        <f t="shared" ref="AE3:AF3" si="4">AE2</f>
        <v>Triple J</v>
      </c>
      <c r="AF3" t="str">
        <f t="shared" si="4"/>
        <v>Velodrome</v>
      </c>
      <c r="AG3" s="4">
        <f>((C3*60)+D3)</f>
        <v>1018</v>
      </c>
      <c r="AH3" s="4">
        <f>((E3*60)+F3)</f>
        <v>1004</v>
      </c>
      <c r="AI3" s="14">
        <f>ROUND(AG3-AH3,0)</f>
        <v>14</v>
      </c>
      <c r="AJ3">
        <f>COUNTIF(I3:N3,"&gt;0")</f>
        <v>5</v>
      </c>
      <c r="AK3">
        <f>COUNTIF(P3:U3,"&gt;0")</f>
        <v>5</v>
      </c>
      <c r="AL3">
        <f>IF(O3="",1,0)</f>
        <v>0</v>
      </c>
      <c r="AM3">
        <f>IF(V3="",1,0)</f>
        <v>0</v>
      </c>
      <c r="AN3">
        <f>IF(AND($AL3&lt;&gt;1,$AJ3&lt;$AK3,AM3&lt;&gt;1),1,)</f>
        <v>0</v>
      </c>
      <c r="AO3">
        <f>IF(AND($AL3&lt;&gt;1,$AJ3&gt;$AK3),1,)</f>
        <v>0</v>
      </c>
      <c r="AP3">
        <f>IF(AN3=1,1,0)</f>
        <v>0</v>
      </c>
      <c r="AQ3">
        <f>IF(AO3=1,1,0)</f>
        <v>0</v>
      </c>
      <c r="AR3" t="str">
        <f t="shared" ref="AR3" si="5">IF(AND(AJ3=5,AK3=5,AL3=0,AM3=0),"Full Strength",IF(AP3=1,"Away PowerPlay",IF(AO3=1,"Home PowerPlay",IF(AL3=1,"Home EmptyNet",IF(AM3=1,"Away EmptyNet","")))))</f>
        <v>Full Strength</v>
      </c>
      <c r="AS3" t="str">
        <f t="shared" ref="AS3" si="6">IF(AND(AL3=0,AM3=0),AJ3&amp;"v"&amp;AK3,IF(AL3=1,AJ3&amp;"v"&amp;AK3&amp;" Home EN",IF(AM3=1,AJ3&amp;"v"&amp;AK3&amp;" Away EN","")))</f>
        <v>5v5</v>
      </c>
      <c r="AT3">
        <f>IF($H2="Home Goal",AT2+1,AT2)</f>
        <v>0</v>
      </c>
      <c r="AU3">
        <f>IF($H2="Away Goal",AU2+1,AU2)</f>
        <v>0</v>
      </c>
      <c r="AV3">
        <f>IF(AND($H3="Home Goal", AO3=0),1,0)</f>
        <v>0</v>
      </c>
      <c r="AW3">
        <f>IF(AX3=1,-1,0)</f>
        <v>0</v>
      </c>
      <c r="AX3">
        <f>IF(AND($H3="Away Goal", AP3=0),1,0)</f>
        <v>0</v>
      </c>
      <c r="AY3">
        <f>IF(AV3=1,-1,0)</f>
        <v>0</v>
      </c>
      <c r="AZ3">
        <f>IFERROR(VLOOKUP(B3,events!Z:BM,40,FALSE),0)</f>
        <v>0</v>
      </c>
      <c r="BA3">
        <f>ROUND(IF(G3="Intermission",BA2,((1080)-((C3*60)+D3))+AZ3),0)</f>
        <v>62</v>
      </c>
      <c r="BB3">
        <f>IF(BA3&lt;5,0,BA3-5)</f>
        <v>57</v>
      </c>
      <c r="BC3" s="4">
        <f>BB3+AI3+3</f>
        <v>74</v>
      </c>
    </row>
    <row r="4" spans="1:55" x14ac:dyDescent="0.2">
      <c r="A4">
        <v>3</v>
      </c>
      <c r="B4" s="6">
        <f t="shared" ref="B4:B67" si="7">IF(G4="PeriodStart",B3+1,B3)</f>
        <v>1</v>
      </c>
      <c r="C4">
        <f t="shared" ref="C4:C67" si="8">E3</f>
        <v>16</v>
      </c>
      <c r="D4" t="str">
        <f t="shared" ref="D4:D67" si="9">F3</f>
        <v>44</v>
      </c>
      <c r="E4">
        <v>16</v>
      </c>
      <c r="F4" s="4" t="s">
        <v>1030</v>
      </c>
      <c r="I4">
        <f>IF($D4&gt;0,I3,"")</f>
        <v>73</v>
      </c>
      <c r="J4">
        <f t="shared" ref="J4:L4" si="10">IF($D4&gt;0,J3,"")</f>
        <v>12</v>
      </c>
      <c r="K4">
        <f t="shared" si="10"/>
        <v>90</v>
      </c>
      <c r="L4">
        <f t="shared" si="10"/>
        <v>41</v>
      </c>
      <c r="M4">
        <v>57</v>
      </c>
      <c r="N4">
        <f t="shared" ref="N4" si="11">IF($D4&gt;0,N3,"")</f>
        <v>0</v>
      </c>
      <c r="O4" s="5">
        <f t="shared" ref="O4:O67" si="12">O3</f>
        <v>1</v>
      </c>
      <c r="P4">
        <f>IF($D4&gt;0,P3,"")</f>
        <v>87</v>
      </c>
      <c r="Q4">
        <f t="shared" ref="Q4:T4" si="13">IF($D4&gt;0,Q3,"")</f>
        <v>24</v>
      </c>
      <c r="R4">
        <v>91</v>
      </c>
      <c r="S4">
        <f t="shared" si="13"/>
        <v>9</v>
      </c>
      <c r="T4">
        <f t="shared" si="13"/>
        <v>93</v>
      </c>
      <c r="V4">
        <f t="shared" ref="V4:V67" si="14">V3</f>
        <v>39</v>
      </c>
      <c r="W4" s="6">
        <f>SUMIFS(events!BI:BI,events!K:K,"=DeadIce",events!BJ:BJ,"&lt;="&amp;shifts!AG4,events!BK:BK,"&gt;"&amp;shifts!AH4,events!Z:Z,"="&amp;shifts!B5)+SUMIFS(events!BI:BI,events!K:K,"=Timeout",events!BJ:BJ,"&lt;="&amp;shifts!AG4,events!BK:BK,"&gt;"&amp;shifts!AH4,events!Z:Z,"="&amp;shifts!B5)</f>
        <v>0</v>
      </c>
      <c r="X4" s="6" t="str">
        <f t="shared" ref="X4:X67" si="15">IF(OR($H3="Home Goal",$H3="Away Goal",$H3="Period End"),"",IF(Y3=1,1,""))</f>
        <v/>
      </c>
      <c r="AC4">
        <v>1</v>
      </c>
      <c r="AD4">
        <f t="shared" ref="AD4:AF4" si="16">AD3</f>
        <v>18991</v>
      </c>
      <c r="AE4" t="str">
        <f t="shared" si="16"/>
        <v>Triple J</v>
      </c>
      <c r="AF4" t="str">
        <f t="shared" si="16"/>
        <v>Velodrome</v>
      </c>
      <c r="AG4" s="4">
        <f t="shared" ref="AG4" si="17">((C4*60)+D4)</f>
        <v>1004</v>
      </c>
      <c r="AH4" s="4">
        <f t="shared" ref="AH4" si="18">((E4*60)+F4)</f>
        <v>994</v>
      </c>
      <c r="AI4" s="14">
        <f t="shared" ref="AI4" si="19">ROUND(AG4-AH4,0)</f>
        <v>10</v>
      </c>
      <c r="AJ4">
        <f t="shared" ref="AJ4" si="20">COUNTIF(I4:N4,"&gt;0")</f>
        <v>5</v>
      </c>
      <c r="AK4">
        <f t="shared" ref="AK4" si="21">COUNTIF(P4:U4,"&gt;0")</f>
        <v>5</v>
      </c>
      <c r="AL4">
        <f t="shared" ref="AL4" si="22">IF(O4="",1,0)</f>
        <v>0</v>
      </c>
      <c r="AM4">
        <f t="shared" ref="AM4" si="23">IF(V4="",1,0)</f>
        <v>0</v>
      </c>
      <c r="AN4">
        <f t="shared" ref="AN4" si="24">IF(AND($AL4&lt;&gt;1,$AJ4&lt;$AK4,AM4&lt;&gt;1),1,)</f>
        <v>0</v>
      </c>
      <c r="AO4">
        <f t="shared" ref="AO4:AO67" si="25">IF(AND($AL4&lt;&gt;1,$AJ4&gt;$AK4),1,)</f>
        <v>0</v>
      </c>
      <c r="AP4">
        <f t="shared" ref="AP4" si="26">IF(AN4=1,1,0)</f>
        <v>0</v>
      </c>
      <c r="AQ4">
        <f t="shared" ref="AQ4" si="27">IF(AO4=1,1,0)</f>
        <v>0</v>
      </c>
      <c r="AR4" t="str">
        <f t="shared" ref="AR4" si="28">IF(AND(AJ4=5,AK4=5,AL4=0,AM4=0),"Full Strength",IF(AP4=1,"Away PowerPlay",IF(AO4=1,"Home PowerPlay",IF(AL4=1,"Home EmptyNet",IF(AM4=1,"Away EmptyNet","")))))</f>
        <v>Full Strength</v>
      </c>
      <c r="AS4" t="str">
        <f t="shared" ref="AS4" si="29">IF(AND(AL4=0,AM4=0),AJ4&amp;"v"&amp;AK4,IF(AL4=1,AJ4&amp;"v"&amp;AK4&amp;" Home EN",IF(AM4=1,AJ4&amp;"v"&amp;AK4&amp;" Away EN","")))</f>
        <v>5v5</v>
      </c>
      <c r="AT4">
        <f t="shared" ref="AT4:AT67" si="30">IF($H3="Home Goal",AT3+1,AT3)</f>
        <v>0</v>
      </c>
      <c r="AU4">
        <f t="shared" ref="AU4:AU67" si="31">IF($H3="Away Goal",AU3+1,AU3)</f>
        <v>0</v>
      </c>
      <c r="AV4">
        <f t="shared" ref="AV4" si="32">IF(AND($H4="Home Goal", AO4=0),1,0)</f>
        <v>0</v>
      </c>
      <c r="AW4">
        <f t="shared" ref="AW4" si="33">IF(AX4=1,-1,0)</f>
        <v>0</v>
      </c>
      <c r="AX4">
        <f t="shared" ref="AX4" si="34">IF(AND($H4="Away Goal", AP4=0),1,0)</f>
        <v>0</v>
      </c>
      <c r="AY4">
        <f t="shared" ref="AY4" si="35">IF(AV4=1,-1,0)</f>
        <v>0</v>
      </c>
      <c r="AZ4">
        <f>IFERROR(VLOOKUP(B4,events!Z:BM,40,FALSE),0)</f>
        <v>0</v>
      </c>
      <c r="BA4">
        <f t="shared" ref="BA4" si="36">ROUND(IF(G4="Intermission",BA3,((1080)-((C4*60)+D4))+AZ4),0)</f>
        <v>76</v>
      </c>
      <c r="BB4">
        <f t="shared" ref="BB4" si="37">IF(BA4&lt;5,0,BA4-5)</f>
        <v>71</v>
      </c>
      <c r="BC4" s="4">
        <f t="shared" ref="BC4" si="38">BB4+AI4+3</f>
        <v>84</v>
      </c>
    </row>
    <row r="5" spans="1:55" x14ac:dyDescent="0.2">
      <c r="A5">
        <f t="shared" ref="A5:A68" si="39">A4+1</f>
        <v>4</v>
      </c>
      <c r="B5" s="6">
        <f t="shared" si="7"/>
        <v>1</v>
      </c>
      <c r="C5">
        <f t="shared" si="8"/>
        <v>16</v>
      </c>
      <c r="D5" t="str">
        <f t="shared" si="9"/>
        <v>34</v>
      </c>
      <c r="E5">
        <v>15</v>
      </c>
      <c r="F5" s="4" t="s">
        <v>1031</v>
      </c>
      <c r="I5">
        <v>21</v>
      </c>
      <c r="J5">
        <v>69</v>
      </c>
      <c r="K5">
        <f t="shared" ref="K5:K68" si="40">IF($D5&gt;0,K4,"")</f>
        <v>90</v>
      </c>
      <c r="L5">
        <v>10</v>
      </c>
      <c r="M5">
        <f t="shared" ref="M5:M68" si="41">IF($D5&gt;0,M4,"")</f>
        <v>57</v>
      </c>
      <c r="O5" s="5">
        <f t="shared" si="12"/>
        <v>1</v>
      </c>
      <c r="P5">
        <f t="shared" ref="P5:P68" si="42">IF($D5&gt;0,P4,"")</f>
        <v>87</v>
      </c>
      <c r="Q5">
        <f t="shared" ref="Q5:Q68" si="43">IF($D5&gt;0,Q4,"")</f>
        <v>24</v>
      </c>
      <c r="R5">
        <f t="shared" ref="R5:R68" si="44">IF($D5&gt;0,R4,"")</f>
        <v>91</v>
      </c>
      <c r="S5">
        <f t="shared" ref="S5:S68" si="45">IF($D5&gt;0,S4,"")</f>
        <v>9</v>
      </c>
      <c r="T5">
        <f t="shared" ref="T5:T68" si="46">IF($D5&gt;0,T4,"")</f>
        <v>93</v>
      </c>
      <c r="V5">
        <f t="shared" si="14"/>
        <v>39</v>
      </c>
      <c r="W5" s="6">
        <f>SUMIFS(events!BI:BI,events!K:K,"=DeadIce",events!BJ:BJ,"&lt;="&amp;shifts!AG5,events!BK:BK,"&gt;"&amp;shifts!AH5,events!Z:Z,"="&amp;shifts!B6)+SUMIFS(events!BI:BI,events!K:K,"=Timeout",events!BJ:BJ,"&lt;="&amp;shifts!AG5,events!BK:BK,"&gt;"&amp;shifts!AH5,events!Z:Z,"="&amp;shifts!B6)</f>
        <v>0</v>
      </c>
      <c r="X5" s="6" t="str">
        <f t="shared" si="15"/>
        <v/>
      </c>
      <c r="AA5">
        <v>1</v>
      </c>
      <c r="AD5">
        <f t="shared" ref="AD5:AF5" si="47">AD4</f>
        <v>18991</v>
      </c>
      <c r="AE5" t="str">
        <f t="shared" si="47"/>
        <v>Triple J</v>
      </c>
      <c r="AF5" t="str">
        <f t="shared" si="47"/>
        <v>Velodrome</v>
      </c>
      <c r="AG5" s="4">
        <f t="shared" ref="AG5:AG68" si="48">((C5*60)+D5)</f>
        <v>994</v>
      </c>
      <c r="AH5" s="4">
        <f t="shared" ref="AH5:AH68" si="49">((E5*60)+F5)</f>
        <v>947</v>
      </c>
      <c r="AI5" s="14">
        <f t="shared" ref="AI5:AI68" si="50">ROUND(AG5-AH5,0)</f>
        <v>47</v>
      </c>
      <c r="AJ5">
        <f t="shared" ref="AJ5:AJ68" si="51">COUNTIF(I5:N5,"&gt;0")</f>
        <v>5</v>
      </c>
      <c r="AK5">
        <f t="shared" ref="AK5:AK68" si="52">COUNTIF(P5:U5,"&gt;0")</f>
        <v>5</v>
      </c>
      <c r="AL5">
        <f t="shared" ref="AL5:AL68" si="53">IF(O5="",1,0)</f>
        <v>0</v>
      </c>
      <c r="AM5">
        <f t="shared" ref="AM5:AM68" si="54">IF(V5="",1,0)</f>
        <v>0</v>
      </c>
      <c r="AN5">
        <f t="shared" ref="AN5:AN68" si="55">IF(AND($AL5&lt;&gt;1,$AJ5&lt;$AK5,AM5&lt;&gt;1),1,)</f>
        <v>0</v>
      </c>
      <c r="AO5">
        <f t="shared" si="25"/>
        <v>0</v>
      </c>
      <c r="AP5">
        <f t="shared" ref="AP5:AP68" si="56">IF(AN5=1,1,0)</f>
        <v>0</v>
      </c>
      <c r="AQ5">
        <f t="shared" ref="AQ5:AQ68" si="57">IF(AO5=1,1,0)</f>
        <v>0</v>
      </c>
      <c r="AR5" t="str">
        <f t="shared" ref="AR5:AR68" si="58">IF(AND(AJ5=5,AK5=5,AL5=0,AM5=0),"Full Strength",IF(AP5=1,"Away PowerPlay",IF(AO5=1,"Home PowerPlay",IF(AL5=1,"Home EmptyNet",IF(AM5=1,"Away EmptyNet","")))))</f>
        <v>Full Strength</v>
      </c>
      <c r="AS5" t="str">
        <f t="shared" ref="AS5:AS68" si="59">IF(AND(AL5=0,AM5=0),AJ5&amp;"v"&amp;AK5,IF(AL5=1,AJ5&amp;"v"&amp;AK5&amp;" Home EN",IF(AM5=1,AJ5&amp;"v"&amp;AK5&amp;" Away EN","")))</f>
        <v>5v5</v>
      </c>
      <c r="AT5">
        <f t="shared" si="30"/>
        <v>0</v>
      </c>
      <c r="AU5">
        <f t="shared" si="31"/>
        <v>0</v>
      </c>
      <c r="AV5">
        <f t="shared" ref="AV5:AV68" si="60">IF(AND($H5="Home Goal", AO5=0),1,0)</f>
        <v>0</v>
      </c>
      <c r="AW5">
        <f t="shared" ref="AW5:AW68" si="61">IF(AX5=1,-1,0)</f>
        <v>0</v>
      </c>
      <c r="AX5">
        <f t="shared" ref="AX5:AX68" si="62">IF(AND($H5="Away Goal", AP5=0),1,0)</f>
        <v>0</v>
      </c>
      <c r="AY5">
        <f t="shared" ref="AY5:AY68" si="63">IF(AV5=1,-1,0)</f>
        <v>0</v>
      </c>
      <c r="AZ5">
        <f>IFERROR(VLOOKUP(B5,events!Z:BM,40,FALSE),0)</f>
        <v>0</v>
      </c>
      <c r="BA5">
        <f t="shared" ref="BA5:BA68" si="64">ROUND(IF(G5="Intermission",BA4,((1080)-((C5*60)+D5))+AZ5),0)</f>
        <v>86</v>
      </c>
      <c r="BB5">
        <f t="shared" ref="BB5:BB68" si="65">IF(BA5&lt;5,0,BA5-5)</f>
        <v>81</v>
      </c>
      <c r="BC5" s="4">
        <f t="shared" ref="BC5:BC68" si="66">BB5+AI5+3</f>
        <v>131</v>
      </c>
    </row>
    <row r="6" spans="1:55" x14ac:dyDescent="0.2">
      <c r="A6">
        <f t="shared" si="39"/>
        <v>5</v>
      </c>
      <c r="B6" s="6">
        <f t="shared" si="7"/>
        <v>1</v>
      </c>
      <c r="C6">
        <f t="shared" si="8"/>
        <v>15</v>
      </c>
      <c r="D6" t="str">
        <f t="shared" si="9"/>
        <v>47</v>
      </c>
      <c r="E6">
        <v>15</v>
      </c>
      <c r="F6" s="4" t="s">
        <v>1032</v>
      </c>
      <c r="I6">
        <f t="shared" ref="I6:I68" si="67">IF($D6&gt;0,I5,"")</f>
        <v>21</v>
      </c>
      <c r="J6">
        <f t="shared" ref="J6:J68" si="68">IF($D6&gt;0,J5,"")</f>
        <v>69</v>
      </c>
      <c r="K6">
        <f t="shared" si="40"/>
        <v>90</v>
      </c>
      <c r="L6">
        <f t="shared" ref="L6:L67" si="69">IF($D6&gt;0,L5,"")</f>
        <v>10</v>
      </c>
      <c r="M6">
        <f t="shared" si="41"/>
        <v>57</v>
      </c>
      <c r="O6" s="5">
        <f t="shared" si="12"/>
        <v>1</v>
      </c>
      <c r="P6">
        <f t="shared" si="42"/>
        <v>87</v>
      </c>
      <c r="Q6">
        <f t="shared" si="43"/>
        <v>24</v>
      </c>
      <c r="R6">
        <f t="shared" si="44"/>
        <v>91</v>
      </c>
      <c r="S6">
        <f t="shared" si="45"/>
        <v>9</v>
      </c>
      <c r="T6">
        <v>22</v>
      </c>
      <c r="V6">
        <f t="shared" si="14"/>
        <v>39</v>
      </c>
      <c r="W6" s="6">
        <f>SUMIFS(events!BI:BI,events!K:K,"=DeadIce",events!BJ:BJ,"&lt;="&amp;shifts!AG6,events!BK:BK,"&gt;"&amp;shifts!AH6,events!Z:Z,"="&amp;shifts!B7)+SUMIFS(events!BI:BI,events!K:K,"=Timeout",events!BJ:BJ,"&lt;="&amp;shifts!AG6,events!BK:BK,"&gt;"&amp;shifts!AH6,events!Z:Z,"="&amp;shifts!B7)</f>
        <v>0</v>
      </c>
      <c r="X6" s="6" t="str">
        <f t="shared" si="15"/>
        <v/>
      </c>
      <c r="Y6">
        <v>1</v>
      </c>
      <c r="AD6">
        <f t="shared" ref="AD6:AF6" si="70">AD5</f>
        <v>18991</v>
      </c>
      <c r="AE6" t="str">
        <f t="shared" si="70"/>
        <v>Triple J</v>
      </c>
      <c r="AF6" t="str">
        <f t="shared" si="70"/>
        <v>Velodrome</v>
      </c>
      <c r="AG6" s="4">
        <f t="shared" si="48"/>
        <v>947</v>
      </c>
      <c r="AH6" s="4">
        <f t="shared" si="49"/>
        <v>942</v>
      </c>
      <c r="AI6" s="14">
        <f t="shared" si="50"/>
        <v>5</v>
      </c>
      <c r="AJ6">
        <f t="shared" si="51"/>
        <v>5</v>
      </c>
      <c r="AK6">
        <f t="shared" si="52"/>
        <v>5</v>
      </c>
      <c r="AL6">
        <f t="shared" si="53"/>
        <v>0</v>
      </c>
      <c r="AM6">
        <f t="shared" si="54"/>
        <v>0</v>
      </c>
      <c r="AN6">
        <f t="shared" si="55"/>
        <v>0</v>
      </c>
      <c r="AO6">
        <f t="shared" si="25"/>
        <v>0</v>
      </c>
      <c r="AP6">
        <f t="shared" si="56"/>
        <v>0</v>
      </c>
      <c r="AQ6">
        <f t="shared" si="57"/>
        <v>0</v>
      </c>
      <c r="AR6" t="str">
        <f t="shared" si="58"/>
        <v>Full Strength</v>
      </c>
      <c r="AS6" t="str">
        <f t="shared" si="59"/>
        <v>5v5</v>
      </c>
      <c r="AT6">
        <f t="shared" si="30"/>
        <v>0</v>
      </c>
      <c r="AU6">
        <f t="shared" si="31"/>
        <v>0</v>
      </c>
      <c r="AV6">
        <f t="shared" si="60"/>
        <v>0</v>
      </c>
      <c r="AW6">
        <f t="shared" si="61"/>
        <v>0</v>
      </c>
      <c r="AX6">
        <f t="shared" si="62"/>
        <v>0</v>
      </c>
      <c r="AY6">
        <f t="shared" si="63"/>
        <v>0</v>
      </c>
      <c r="AZ6">
        <f>IFERROR(VLOOKUP(B6,events!Z:BM,40,FALSE),0)</f>
        <v>0</v>
      </c>
      <c r="BA6">
        <f t="shared" si="64"/>
        <v>133</v>
      </c>
      <c r="BB6">
        <f t="shared" si="65"/>
        <v>128</v>
      </c>
      <c r="BC6" s="4">
        <f t="shared" si="66"/>
        <v>136</v>
      </c>
    </row>
    <row r="7" spans="1:55" x14ac:dyDescent="0.2">
      <c r="A7">
        <f t="shared" si="39"/>
        <v>6</v>
      </c>
      <c r="B7" s="6">
        <f t="shared" si="7"/>
        <v>1</v>
      </c>
      <c r="C7">
        <f t="shared" si="8"/>
        <v>15</v>
      </c>
      <c r="D7" t="str">
        <f t="shared" si="9"/>
        <v>42</v>
      </c>
      <c r="E7">
        <v>15</v>
      </c>
      <c r="F7" s="4" t="s">
        <v>749</v>
      </c>
      <c r="H7" s="5" t="s">
        <v>307</v>
      </c>
      <c r="I7">
        <f t="shared" si="67"/>
        <v>21</v>
      </c>
      <c r="J7">
        <f t="shared" si="68"/>
        <v>69</v>
      </c>
      <c r="K7">
        <v>71</v>
      </c>
      <c r="L7">
        <v>41</v>
      </c>
      <c r="M7">
        <v>19</v>
      </c>
      <c r="O7" s="5">
        <f t="shared" si="12"/>
        <v>1</v>
      </c>
      <c r="P7">
        <f t="shared" si="42"/>
        <v>87</v>
      </c>
      <c r="Q7">
        <f t="shared" si="43"/>
        <v>24</v>
      </c>
      <c r="R7">
        <f t="shared" si="44"/>
        <v>91</v>
      </c>
      <c r="S7">
        <f t="shared" si="45"/>
        <v>9</v>
      </c>
      <c r="T7">
        <f t="shared" si="46"/>
        <v>22</v>
      </c>
      <c r="V7">
        <f t="shared" si="14"/>
        <v>39</v>
      </c>
      <c r="W7" s="6">
        <f>SUMIFS(events!BI:BI,events!K:K,"=DeadIce",events!BJ:BJ,"&lt;="&amp;shifts!AG7,events!BK:BK,"&gt;"&amp;shifts!AH7,events!Z:Z,"="&amp;shifts!B8)+SUMIFS(events!BI:BI,events!K:K,"=Timeout",events!BJ:BJ,"&lt;="&amp;shifts!AG7,events!BK:BK,"&gt;"&amp;shifts!AH7,events!Z:Z,"="&amp;shifts!B8)</f>
        <v>0</v>
      </c>
      <c r="X7" s="6">
        <f t="shared" si="15"/>
        <v>1</v>
      </c>
      <c r="AA7">
        <v>1</v>
      </c>
      <c r="AD7">
        <f t="shared" ref="AD7:AF7" si="71">AD6</f>
        <v>18991</v>
      </c>
      <c r="AE7" t="str">
        <f t="shared" si="71"/>
        <v>Triple J</v>
      </c>
      <c r="AF7" t="str">
        <f t="shared" si="71"/>
        <v>Velodrome</v>
      </c>
      <c r="AG7" s="4">
        <f t="shared" si="48"/>
        <v>942</v>
      </c>
      <c r="AH7" s="4">
        <f t="shared" si="49"/>
        <v>939</v>
      </c>
      <c r="AI7" s="14">
        <f t="shared" si="50"/>
        <v>3</v>
      </c>
      <c r="AJ7">
        <f t="shared" si="51"/>
        <v>5</v>
      </c>
      <c r="AK7">
        <f t="shared" si="52"/>
        <v>5</v>
      </c>
      <c r="AL7">
        <f t="shared" si="53"/>
        <v>0</v>
      </c>
      <c r="AM7">
        <f t="shared" si="54"/>
        <v>0</v>
      </c>
      <c r="AN7">
        <f t="shared" si="55"/>
        <v>0</v>
      </c>
      <c r="AO7">
        <f t="shared" si="25"/>
        <v>0</v>
      </c>
      <c r="AP7">
        <f t="shared" si="56"/>
        <v>0</v>
      </c>
      <c r="AQ7">
        <f t="shared" si="57"/>
        <v>0</v>
      </c>
      <c r="AR7" t="str">
        <f t="shared" si="58"/>
        <v>Full Strength</v>
      </c>
      <c r="AS7" t="str">
        <f t="shared" si="59"/>
        <v>5v5</v>
      </c>
      <c r="AT7">
        <f t="shared" si="30"/>
        <v>0</v>
      </c>
      <c r="AU7">
        <f t="shared" si="31"/>
        <v>0</v>
      </c>
      <c r="AV7">
        <f t="shared" si="60"/>
        <v>0</v>
      </c>
      <c r="AW7">
        <f t="shared" si="61"/>
        <v>0</v>
      </c>
      <c r="AX7">
        <f t="shared" si="62"/>
        <v>0</v>
      </c>
      <c r="AY7">
        <f t="shared" si="63"/>
        <v>0</v>
      </c>
      <c r="AZ7">
        <f>IFERROR(VLOOKUP(B7,events!Z:BM,40,FALSE),0)</f>
        <v>0</v>
      </c>
      <c r="BA7">
        <f t="shared" si="64"/>
        <v>138</v>
      </c>
      <c r="BB7">
        <f t="shared" si="65"/>
        <v>133</v>
      </c>
      <c r="BC7" s="4">
        <f t="shared" si="66"/>
        <v>139</v>
      </c>
    </row>
    <row r="8" spans="1:55" x14ac:dyDescent="0.2">
      <c r="A8">
        <f t="shared" si="39"/>
        <v>7</v>
      </c>
      <c r="B8" s="6">
        <f t="shared" si="7"/>
        <v>1</v>
      </c>
      <c r="C8">
        <f t="shared" si="8"/>
        <v>15</v>
      </c>
      <c r="D8" t="str">
        <f t="shared" si="9"/>
        <v>39</v>
      </c>
      <c r="E8">
        <v>14</v>
      </c>
      <c r="F8" s="4" t="s">
        <v>1033</v>
      </c>
      <c r="G8" s="6" t="s">
        <v>289</v>
      </c>
      <c r="I8">
        <v>21</v>
      </c>
      <c r="J8">
        <f t="shared" si="68"/>
        <v>69</v>
      </c>
      <c r="K8">
        <f t="shared" si="40"/>
        <v>71</v>
      </c>
      <c r="L8">
        <f t="shared" si="69"/>
        <v>41</v>
      </c>
      <c r="M8">
        <f t="shared" si="41"/>
        <v>19</v>
      </c>
      <c r="O8" s="5">
        <f t="shared" si="12"/>
        <v>1</v>
      </c>
      <c r="P8">
        <v>70</v>
      </c>
      <c r="Q8">
        <f t="shared" si="43"/>
        <v>24</v>
      </c>
      <c r="R8">
        <f t="shared" si="44"/>
        <v>91</v>
      </c>
      <c r="S8">
        <v>84</v>
      </c>
      <c r="T8">
        <f t="shared" si="46"/>
        <v>22</v>
      </c>
      <c r="V8">
        <f t="shared" si="14"/>
        <v>39</v>
      </c>
      <c r="W8" s="6">
        <f>SUMIFS(events!BI:BI,events!K:K,"=DeadIce",events!BJ:BJ,"&lt;="&amp;shifts!AG8,events!BK:BK,"&gt;"&amp;shifts!AH8,events!Z:Z,"="&amp;shifts!B9)+SUMIFS(events!BI:BI,events!K:K,"=Timeout",events!BJ:BJ,"&lt;="&amp;shifts!AG8,events!BK:BK,"&gt;"&amp;shifts!AH8,events!Z:Z,"="&amp;shifts!B9)</f>
        <v>32</v>
      </c>
      <c r="X8" s="6" t="str">
        <f t="shared" si="15"/>
        <v/>
      </c>
      <c r="AA8">
        <v>1</v>
      </c>
      <c r="AD8">
        <f t="shared" ref="AD8:AF8" si="72">AD7</f>
        <v>18991</v>
      </c>
      <c r="AE8" t="str">
        <f t="shared" si="72"/>
        <v>Triple J</v>
      </c>
      <c r="AF8" t="str">
        <f t="shared" si="72"/>
        <v>Velodrome</v>
      </c>
      <c r="AG8" s="4">
        <f t="shared" si="48"/>
        <v>939</v>
      </c>
      <c r="AH8" s="4">
        <f t="shared" si="49"/>
        <v>897</v>
      </c>
      <c r="AI8" s="14">
        <f t="shared" si="50"/>
        <v>42</v>
      </c>
      <c r="AJ8">
        <f t="shared" si="51"/>
        <v>5</v>
      </c>
      <c r="AK8">
        <f t="shared" si="52"/>
        <v>5</v>
      </c>
      <c r="AL8">
        <f t="shared" si="53"/>
        <v>0</v>
      </c>
      <c r="AM8">
        <f t="shared" si="54"/>
        <v>0</v>
      </c>
      <c r="AN8">
        <f t="shared" si="55"/>
        <v>0</v>
      </c>
      <c r="AO8">
        <f t="shared" si="25"/>
        <v>0</v>
      </c>
      <c r="AP8">
        <f t="shared" si="56"/>
        <v>0</v>
      </c>
      <c r="AQ8">
        <f t="shared" si="57"/>
        <v>0</v>
      </c>
      <c r="AR8" t="str">
        <f t="shared" si="58"/>
        <v>Full Strength</v>
      </c>
      <c r="AS8" t="str">
        <f t="shared" si="59"/>
        <v>5v5</v>
      </c>
      <c r="AT8">
        <f t="shared" si="30"/>
        <v>0</v>
      </c>
      <c r="AU8">
        <f t="shared" si="31"/>
        <v>0</v>
      </c>
      <c r="AV8">
        <f t="shared" si="60"/>
        <v>0</v>
      </c>
      <c r="AW8">
        <f t="shared" si="61"/>
        <v>0</v>
      </c>
      <c r="AX8">
        <f t="shared" si="62"/>
        <v>0</v>
      </c>
      <c r="AY8">
        <f t="shared" si="63"/>
        <v>0</v>
      </c>
      <c r="AZ8">
        <f>IFERROR(VLOOKUP(B8,events!Z:BM,40,FALSE),0)</f>
        <v>0</v>
      </c>
      <c r="BA8">
        <f t="shared" si="64"/>
        <v>141</v>
      </c>
      <c r="BB8">
        <f t="shared" si="65"/>
        <v>136</v>
      </c>
      <c r="BC8" s="4">
        <f t="shared" si="66"/>
        <v>181</v>
      </c>
    </row>
    <row r="9" spans="1:55" x14ac:dyDescent="0.2">
      <c r="A9">
        <f t="shared" si="39"/>
        <v>8</v>
      </c>
      <c r="B9" s="6">
        <f t="shared" si="7"/>
        <v>1</v>
      </c>
      <c r="C9">
        <f t="shared" si="8"/>
        <v>14</v>
      </c>
      <c r="D9" t="str">
        <f t="shared" si="9"/>
        <v>57</v>
      </c>
      <c r="E9">
        <v>14</v>
      </c>
      <c r="F9" s="4" t="s">
        <v>1034</v>
      </c>
      <c r="H9" s="5" t="s">
        <v>340</v>
      </c>
      <c r="I9">
        <v>73</v>
      </c>
      <c r="J9">
        <f t="shared" si="68"/>
        <v>69</v>
      </c>
      <c r="K9">
        <f t="shared" si="40"/>
        <v>71</v>
      </c>
      <c r="L9">
        <f t="shared" si="69"/>
        <v>41</v>
      </c>
      <c r="M9">
        <f t="shared" si="41"/>
        <v>19</v>
      </c>
      <c r="O9" s="5">
        <f t="shared" si="12"/>
        <v>1</v>
      </c>
      <c r="P9">
        <f t="shared" si="42"/>
        <v>70</v>
      </c>
      <c r="Q9">
        <f t="shared" si="43"/>
        <v>24</v>
      </c>
      <c r="R9">
        <f t="shared" si="44"/>
        <v>91</v>
      </c>
      <c r="S9">
        <f t="shared" si="45"/>
        <v>84</v>
      </c>
      <c r="T9">
        <f t="shared" si="46"/>
        <v>22</v>
      </c>
      <c r="V9">
        <f t="shared" si="14"/>
        <v>39</v>
      </c>
      <c r="W9" s="6">
        <f>SUMIFS(events!BI:BI,events!K:K,"=DeadIce",events!BJ:BJ,"&lt;="&amp;shifts!AG9,events!BK:BK,"&gt;"&amp;shifts!AH9,events!Z:Z,"="&amp;shifts!B10)+SUMIFS(events!BI:BI,events!K:K,"=Timeout",events!BJ:BJ,"&lt;="&amp;shifts!AG9,events!BK:BK,"&gt;"&amp;shifts!AH9,events!Z:Z,"="&amp;shifts!B10)</f>
        <v>0</v>
      </c>
      <c r="X9" s="6" t="str">
        <f t="shared" si="15"/>
        <v/>
      </c>
      <c r="AA9">
        <v>1</v>
      </c>
      <c r="AD9">
        <f t="shared" ref="AD9:AF9" si="73">AD8</f>
        <v>18991</v>
      </c>
      <c r="AE9" t="str">
        <f t="shared" si="73"/>
        <v>Triple J</v>
      </c>
      <c r="AF9" t="str">
        <f t="shared" si="73"/>
        <v>Velodrome</v>
      </c>
      <c r="AG9" s="4">
        <f t="shared" si="48"/>
        <v>897</v>
      </c>
      <c r="AH9" s="4">
        <f t="shared" si="49"/>
        <v>864</v>
      </c>
      <c r="AI9" s="14">
        <f t="shared" si="50"/>
        <v>33</v>
      </c>
      <c r="AJ9">
        <f t="shared" si="51"/>
        <v>5</v>
      </c>
      <c r="AK9">
        <f t="shared" si="52"/>
        <v>5</v>
      </c>
      <c r="AL9">
        <f t="shared" si="53"/>
        <v>0</v>
      </c>
      <c r="AM9">
        <f t="shared" si="54"/>
        <v>0</v>
      </c>
      <c r="AN9">
        <f t="shared" si="55"/>
        <v>0</v>
      </c>
      <c r="AO9">
        <f t="shared" si="25"/>
        <v>0</v>
      </c>
      <c r="AP9">
        <f t="shared" si="56"/>
        <v>0</v>
      </c>
      <c r="AQ9">
        <f t="shared" si="57"/>
        <v>0</v>
      </c>
      <c r="AR9" t="str">
        <f t="shared" si="58"/>
        <v>Full Strength</v>
      </c>
      <c r="AS9" t="str">
        <f t="shared" si="59"/>
        <v>5v5</v>
      </c>
      <c r="AT9">
        <f t="shared" si="30"/>
        <v>0</v>
      </c>
      <c r="AU9">
        <f t="shared" si="31"/>
        <v>0</v>
      </c>
      <c r="AV9">
        <f t="shared" si="60"/>
        <v>0</v>
      </c>
      <c r="AW9">
        <f t="shared" si="61"/>
        <v>-1</v>
      </c>
      <c r="AX9">
        <f t="shared" si="62"/>
        <v>1</v>
      </c>
      <c r="AY9">
        <f t="shared" si="63"/>
        <v>0</v>
      </c>
      <c r="AZ9">
        <f>IFERROR(VLOOKUP(B9,events!Z:BM,40,FALSE),0)</f>
        <v>0</v>
      </c>
      <c r="BA9">
        <f t="shared" si="64"/>
        <v>183</v>
      </c>
      <c r="BB9">
        <f t="shared" si="65"/>
        <v>178</v>
      </c>
      <c r="BC9" s="4">
        <f t="shared" si="66"/>
        <v>214</v>
      </c>
    </row>
    <row r="10" spans="1:55" x14ac:dyDescent="0.2">
      <c r="A10">
        <f t="shared" si="39"/>
        <v>9</v>
      </c>
      <c r="B10" s="6">
        <f t="shared" si="7"/>
        <v>1</v>
      </c>
      <c r="C10">
        <f t="shared" si="8"/>
        <v>14</v>
      </c>
      <c r="D10" t="str">
        <f t="shared" si="9"/>
        <v>24</v>
      </c>
      <c r="E10">
        <v>13</v>
      </c>
      <c r="F10" s="4" t="s">
        <v>1035</v>
      </c>
      <c r="G10" s="6" t="s">
        <v>286</v>
      </c>
      <c r="I10">
        <f t="shared" si="67"/>
        <v>73</v>
      </c>
      <c r="J10">
        <v>37</v>
      </c>
      <c r="K10">
        <f t="shared" si="40"/>
        <v>71</v>
      </c>
      <c r="L10">
        <v>10</v>
      </c>
      <c r="M10">
        <v>57</v>
      </c>
      <c r="O10" s="5">
        <f t="shared" si="12"/>
        <v>1</v>
      </c>
      <c r="P10">
        <f t="shared" si="42"/>
        <v>70</v>
      </c>
      <c r="Q10">
        <v>55</v>
      </c>
      <c r="R10">
        <v>61</v>
      </c>
      <c r="S10">
        <f t="shared" si="45"/>
        <v>84</v>
      </c>
      <c r="T10">
        <f t="shared" si="46"/>
        <v>22</v>
      </c>
      <c r="V10">
        <f t="shared" si="14"/>
        <v>39</v>
      </c>
      <c r="W10" s="6">
        <f>SUMIFS(events!BI:BI,events!K:K,"=DeadIce",events!BJ:BJ,"&lt;="&amp;shifts!AG10,events!BK:BK,"&gt;"&amp;shifts!AH10,events!Z:Z,"="&amp;shifts!B11)+SUMIFS(events!BI:BI,events!K:K,"=Timeout",events!BJ:BJ,"&lt;="&amp;shifts!AG10,events!BK:BK,"&gt;"&amp;shifts!AH10,events!Z:Z,"="&amp;shifts!B11)</f>
        <v>0</v>
      </c>
      <c r="X10" s="6" t="str">
        <f t="shared" si="15"/>
        <v/>
      </c>
      <c r="AA10">
        <v>1</v>
      </c>
      <c r="AD10">
        <f t="shared" ref="AD10:AF10" si="74">AD9</f>
        <v>18991</v>
      </c>
      <c r="AE10" t="str">
        <f t="shared" si="74"/>
        <v>Triple J</v>
      </c>
      <c r="AF10" t="str">
        <f t="shared" si="74"/>
        <v>Velodrome</v>
      </c>
      <c r="AG10" s="4">
        <f t="shared" si="48"/>
        <v>864</v>
      </c>
      <c r="AH10" s="4">
        <f t="shared" si="49"/>
        <v>818</v>
      </c>
      <c r="AI10" s="14">
        <f t="shared" si="50"/>
        <v>46</v>
      </c>
      <c r="AJ10">
        <f t="shared" si="51"/>
        <v>5</v>
      </c>
      <c r="AK10">
        <f t="shared" si="52"/>
        <v>5</v>
      </c>
      <c r="AL10">
        <f t="shared" si="53"/>
        <v>0</v>
      </c>
      <c r="AM10">
        <f t="shared" si="54"/>
        <v>0</v>
      </c>
      <c r="AN10">
        <f t="shared" si="55"/>
        <v>0</v>
      </c>
      <c r="AO10">
        <f t="shared" si="25"/>
        <v>0</v>
      </c>
      <c r="AP10">
        <f t="shared" si="56"/>
        <v>0</v>
      </c>
      <c r="AQ10">
        <f t="shared" si="57"/>
        <v>0</v>
      </c>
      <c r="AR10" t="str">
        <f t="shared" si="58"/>
        <v>Full Strength</v>
      </c>
      <c r="AS10" t="str">
        <f t="shared" si="59"/>
        <v>5v5</v>
      </c>
      <c r="AT10">
        <f t="shared" si="30"/>
        <v>0</v>
      </c>
      <c r="AU10">
        <f t="shared" si="31"/>
        <v>1</v>
      </c>
      <c r="AV10">
        <f t="shared" si="60"/>
        <v>0</v>
      </c>
      <c r="AW10">
        <f t="shared" si="61"/>
        <v>0</v>
      </c>
      <c r="AX10">
        <f t="shared" si="62"/>
        <v>0</v>
      </c>
      <c r="AY10">
        <f t="shared" si="63"/>
        <v>0</v>
      </c>
      <c r="AZ10">
        <f>IFERROR(VLOOKUP(B10,events!Z:BM,40,FALSE),0)</f>
        <v>0</v>
      </c>
      <c r="BA10">
        <f t="shared" si="64"/>
        <v>216</v>
      </c>
      <c r="BB10">
        <f t="shared" si="65"/>
        <v>211</v>
      </c>
      <c r="BC10" s="4">
        <f t="shared" si="66"/>
        <v>260</v>
      </c>
    </row>
    <row r="11" spans="1:55" x14ac:dyDescent="0.2">
      <c r="A11">
        <f t="shared" si="39"/>
        <v>10</v>
      </c>
      <c r="B11" s="6">
        <f t="shared" si="7"/>
        <v>1</v>
      </c>
      <c r="C11">
        <f t="shared" si="8"/>
        <v>13</v>
      </c>
      <c r="D11" t="str">
        <f t="shared" si="9"/>
        <v>38</v>
      </c>
      <c r="E11">
        <v>13</v>
      </c>
      <c r="F11" s="4" t="s">
        <v>1036</v>
      </c>
      <c r="I11">
        <f t="shared" si="67"/>
        <v>73</v>
      </c>
      <c r="J11">
        <f t="shared" si="68"/>
        <v>37</v>
      </c>
      <c r="K11">
        <f t="shared" si="40"/>
        <v>71</v>
      </c>
      <c r="L11">
        <f t="shared" si="69"/>
        <v>10</v>
      </c>
      <c r="M11">
        <f t="shared" si="41"/>
        <v>57</v>
      </c>
      <c r="O11" s="5">
        <f t="shared" si="12"/>
        <v>1</v>
      </c>
      <c r="P11">
        <f t="shared" si="42"/>
        <v>70</v>
      </c>
      <c r="Q11">
        <f t="shared" si="43"/>
        <v>55</v>
      </c>
      <c r="R11">
        <f t="shared" si="44"/>
        <v>61</v>
      </c>
      <c r="S11">
        <f t="shared" si="45"/>
        <v>84</v>
      </c>
      <c r="T11">
        <v>9</v>
      </c>
      <c r="V11">
        <f t="shared" si="14"/>
        <v>39</v>
      </c>
      <c r="W11" s="6">
        <f>SUMIFS(events!BI:BI,events!K:K,"=DeadIce",events!BJ:BJ,"&lt;="&amp;shifts!AG11,events!BK:BK,"&gt;"&amp;shifts!AH11,events!Z:Z,"="&amp;shifts!B12)+SUMIFS(events!BI:BI,events!K:K,"=Timeout",events!BJ:BJ,"&lt;="&amp;shifts!AG11,events!BK:BK,"&gt;"&amp;shifts!AH11,events!Z:Z,"="&amp;shifts!B12)</f>
        <v>0</v>
      </c>
      <c r="X11" s="6" t="str">
        <f t="shared" si="15"/>
        <v/>
      </c>
      <c r="AA11">
        <v>1</v>
      </c>
      <c r="AD11">
        <f t="shared" ref="AD11:AF11" si="75">AD10</f>
        <v>18991</v>
      </c>
      <c r="AE11" t="str">
        <f t="shared" si="75"/>
        <v>Triple J</v>
      </c>
      <c r="AF11" t="str">
        <f t="shared" si="75"/>
        <v>Velodrome</v>
      </c>
      <c r="AG11" s="4">
        <f t="shared" si="48"/>
        <v>818</v>
      </c>
      <c r="AH11" s="4">
        <f t="shared" si="49"/>
        <v>800</v>
      </c>
      <c r="AI11" s="14">
        <f t="shared" si="50"/>
        <v>18</v>
      </c>
      <c r="AJ11">
        <f t="shared" si="51"/>
        <v>5</v>
      </c>
      <c r="AK11">
        <f t="shared" si="52"/>
        <v>5</v>
      </c>
      <c r="AL11">
        <f t="shared" si="53"/>
        <v>0</v>
      </c>
      <c r="AM11">
        <f t="shared" si="54"/>
        <v>0</v>
      </c>
      <c r="AN11">
        <f t="shared" si="55"/>
        <v>0</v>
      </c>
      <c r="AO11">
        <f t="shared" si="25"/>
        <v>0</v>
      </c>
      <c r="AP11">
        <f t="shared" si="56"/>
        <v>0</v>
      </c>
      <c r="AQ11">
        <f t="shared" si="57"/>
        <v>0</v>
      </c>
      <c r="AR11" t="str">
        <f t="shared" si="58"/>
        <v>Full Strength</v>
      </c>
      <c r="AS11" t="str">
        <f t="shared" si="59"/>
        <v>5v5</v>
      </c>
      <c r="AT11">
        <f t="shared" si="30"/>
        <v>0</v>
      </c>
      <c r="AU11">
        <f t="shared" si="31"/>
        <v>1</v>
      </c>
      <c r="AV11">
        <f t="shared" si="60"/>
        <v>0</v>
      </c>
      <c r="AW11">
        <f t="shared" si="61"/>
        <v>0</v>
      </c>
      <c r="AX11">
        <f t="shared" si="62"/>
        <v>0</v>
      </c>
      <c r="AY11">
        <f t="shared" si="63"/>
        <v>0</v>
      </c>
      <c r="AZ11">
        <f>IFERROR(VLOOKUP(B11,events!Z:BM,40,FALSE),0)</f>
        <v>0</v>
      </c>
      <c r="BA11">
        <f t="shared" si="64"/>
        <v>262</v>
      </c>
      <c r="BB11">
        <f t="shared" si="65"/>
        <v>257</v>
      </c>
      <c r="BC11" s="4">
        <f t="shared" si="66"/>
        <v>278</v>
      </c>
    </row>
    <row r="12" spans="1:55" x14ac:dyDescent="0.2">
      <c r="A12">
        <f t="shared" si="39"/>
        <v>11</v>
      </c>
      <c r="B12" s="6">
        <f t="shared" si="7"/>
        <v>1</v>
      </c>
      <c r="C12">
        <f t="shared" si="8"/>
        <v>13</v>
      </c>
      <c r="D12" t="str">
        <f t="shared" si="9"/>
        <v>20</v>
      </c>
      <c r="E12">
        <v>12</v>
      </c>
      <c r="F12" s="4" t="s">
        <v>1037</v>
      </c>
      <c r="I12">
        <f t="shared" si="67"/>
        <v>73</v>
      </c>
      <c r="J12">
        <f t="shared" si="68"/>
        <v>37</v>
      </c>
      <c r="K12">
        <f t="shared" si="40"/>
        <v>71</v>
      </c>
      <c r="L12">
        <f t="shared" si="69"/>
        <v>10</v>
      </c>
      <c r="M12">
        <f t="shared" si="41"/>
        <v>57</v>
      </c>
      <c r="O12" s="5">
        <f t="shared" si="12"/>
        <v>1</v>
      </c>
      <c r="P12">
        <v>87</v>
      </c>
      <c r="Q12">
        <f t="shared" si="43"/>
        <v>55</v>
      </c>
      <c r="R12">
        <f t="shared" si="44"/>
        <v>61</v>
      </c>
      <c r="S12">
        <v>93</v>
      </c>
      <c r="T12">
        <f t="shared" si="46"/>
        <v>9</v>
      </c>
      <c r="V12">
        <f t="shared" si="14"/>
        <v>39</v>
      </c>
      <c r="W12" s="6">
        <f>SUMIFS(events!BI:BI,events!K:K,"=DeadIce",events!BJ:BJ,"&lt;="&amp;shifts!AG12,events!BK:BK,"&gt;"&amp;shifts!AH12,events!Z:Z,"="&amp;shifts!B13)+SUMIFS(events!BI:BI,events!K:K,"=Timeout",events!BJ:BJ,"&lt;="&amp;shifts!AG12,events!BK:BK,"&gt;"&amp;shifts!AH12,events!Z:Z,"="&amp;shifts!B13)</f>
        <v>0</v>
      </c>
      <c r="X12" s="6" t="str">
        <f t="shared" si="15"/>
        <v/>
      </c>
      <c r="AC12">
        <v>1</v>
      </c>
      <c r="AD12">
        <f t="shared" ref="AD12:AF12" si="76">AD11</f>
        <v>18991</v>
      </c>
      <c r="AE12" t="str">
        <f t="shared" si="76"/>
        <v>Triple J</v>
      </c>
      <c r="AF12" t="str">
        <f t="shared" si="76"/>
        <v>Velodrome</v>
      </c>
      <c r="AG12" s="4">
        <f t="shared" si="48"/>
        <v>800</v>
      </c>
      <c r="AH12" s="4">
        <f t="shared" si="49"/>
        <v>761</v>
      </c>
      <c r="AI12" s="14">
        <f t="shared" si="50"/>
        <v>39</v>
      </c>
      <c r="AJ12">
        <f t="shared" si="51"/>
        <v>5</v>
      </c>
      <c r="AK12">
        <f t="shared" si="52"/>
        <v>5</v>
      </c>
      <c r="AL12">
        <f t="shared" si="53"/>
        <v>0</v>
      </c>
      <c r="AM12">
        <f t="shared" si="54"/>
        <v>0</v>
      </c>
      <c r="AN12">
        <f t="shared" si="55"/>
        <v>0</v>
      </c>
      <c r="AO12">
        <f t="shared" si="25"/>
        <v>0</v>
      </c>
      <c r="AP12">
        <f t="shared" si="56"/>
        <v>0</v>
      </c>
      <c r="AQ12">
        <f t="shared" si="57"/>
        <v>0</v>
      </c>
      <c r="AR12" t="str">
        <f t="shared" si="58"/>
        <v>Full Strength</v>
      </c>
      <c r="AS12" t="str">
        <f t="shared" si="59"/>
        <v>5v5</v>
      </c>
      <c r="AT12">
        <f t="shared" si="30"/>
        <v>0</v>
      </c>
      <c r="AU12">
        <f t="shared" si="31"/>
        <v>1</v>
      </c>
      <c r="AV12">
        <f t="shared" si="60"/>
        <v>0</v>
      </c>
      <c r="AW12">
        <f t="shared" si="61"/>
        <v>0</v>
      </c>
      <c r="AX12">
        <f t="shared" si="62"/>
        <v>0</v>
      </c>
      <c r="AY12">
        <f t="shared" si="63"/>
        <v>0</v>
      </c>
      <c r="AZ12">
        <f>IFERROR(VLOOKUP(B12,events!Z:BM,40,FALSE),0)</f>
        <v>0</v>
      </c>
      <c r="BA12">
        <f t="shared" si="64"/>
        <v>280</v>
      </c>
      <c r="BB12">
        <f t="shared" si="65"/>
        <v>275</v>
      </c>
      <c r="BC12" s="4">
        <f t="shared" si="66"/>
        <v>317</v>
      </c>
    </row>
    <row r="13" spans="1:55" x14ac:dyDescent="0.2">
      <c r="A13">
        <f t="shared" si="39"/>
        <v>12</v>
      </c>
      <c r="B13" s="6">
        <f t="shared" si="7"/>
        <v>1</v>
      </c>
      <c r="C13">
        <f t="shared" si="8"/>
        <v>12</v>
      </c>
      <c r="D13" t="str">
        <f t="shared" si="9"/>
        <v>41</v>
      </c>
      <c r="E13">
        <v>12</v>
      </c>
      <c r="F13" s="4" t="s">
        <v>1038</v>
      </c>
      <c r="H13" s="5" t="s">
        <v>341</v>
      </c>
      <c r="I13">
        <f t="shared" si="67"/>
        <v>73</v>
      </c>
      <c r="J13">
        <f t="shared" si="68"/>
        <v>37</v>
      </c>
      <c r="K13">
        <v>16</v>
      </c>
      <c r="L13">
        <v>41</v>
      </c>
      <c r="M13">
        <v>19</v>
      </c>
      <c r="O13" s="5">
        <f t="shared" si="12"/>
        <v>1</v>
      </c>
      <c r="P13">
        <f t="shared" si="42"/>
        <v>87</v>
      </c>
      <c r="Q13">
        <f t="shared" si="43"/>
        <v>55</v>
      </c>
      <c r="R13">
        <f t="shared" si="44"/>
        <v>61</v>
      </c>
      <c r="S13">
        <f t="shared" si="45"/>
        <v>93</v>
      </c>
      <c r="T13">
        <f t="shared" si="46"/>
        <v>9</v>
      </c>
      <c r="V13">
        <f t="shared" si="14"/>
        <v>39</v>
      </c>
      <c r="W13" s="6">
        <f>SUMIFS(events!BI:BI,events!K:K,"=DeadIce",events!BJ:BJ,"&lt;="&amp;shifts!AG13,events!BK:BK,"&gt;"&amp;shifts!AH13,events!Z:Z,"="&amp;shifts!B14)+SUMIFS(events!BI:BI,events!K:K,"=Timeout",events!BJ:BJ,"&lt;="&amp;shifts!AG13,events!BK:BK,"&gt;"&amp;shifts!AH13,events!Z:Z,"="&amp;shifts!B14)</f>
        <v>0</v>
      </c>
      <c r="X13" s="6" t="str">
        <f t="shared" si="15"/>
        <v/>
      </c>
      <c r="Y13">
        <v>1</v>
      </c>
      <c r="AD13">
        <f t="shared" ref="AD13:AF13" si="77">AD12</f>
        <v>18991</v>
      </c>
      <c r="AE13" t="str">
        <f t="shared" si="77"/>
        <v>Triple J</v>
      </c>
      <c r="AF13" t="str">
        <f t="shared" si="77"/>
        <v>Velodrome</v>
      </c>
      <c r="AG13" s="4">
        <f t="shared" si="48"/>
        <v>761</v>
      </c>
      <c r="AH13" s="4">
        <f t="shared" si="49"/>
        <v>757</v>
      </c>
      <c r="AI13" s="14">
        <f t="shared" si="50"/>
        <v>4</v>
      </c>
      <c r="AJ13">
        <f t="shared" si="51"/>
        <v>5</v>
      </c>
      <c r="AK13">
        <f t="shared" si="52"/>
        <v>5</v>
      </c>
      <c r="AL13">
        <f t="shared" si="53"/>
        <v>0</v>
      </c>
      <c r="AM13">
        <f t="shared" si="54"/>
        <v>0</v>
      </c>
      <c r="AN13">
        <f t="shared" si="55"/>
        <v>0</v>
      </c>
      <c r="AO13">
        <f t="shared" si="25"/>
        <v>0</v>
      </c>
      <c r="AP13">
        <f t="shared" si="56"/>
        <v>0</v>
      </c>
      <c r="AQ13">
        <f t="shared" si="57"/>
        <v>0</v>
      </c>
      <c r="AR13" t="str">
        <f t="shared" si="58"/>
        <v>Full Strength</v>
      </c>
      <c r="AS13" t="str">
        <f t="shared" si="59"/>
        <v>5v5</v>
      </c>
      <c r="AT13">
        <f t="shared" si="30"/>
        <v>0</v>
      </c>
      <c r="AU13">
        <f t="shared" si="31"/>
        <v>1</v>
      </c>
      <c r="AV13">
        <f t="shared" si="60"/>
        <v>0</v>
      </c>
      <c r="AW13">
        <f t="shared" si="61"/>
        <v>0</v>
      </c>
      <c r="AX13">
        <f t="shared" si="62"/>
        <v>0</v>
      </c>
      <c r="AY13">
        <f t="shared" si="63"/>
        <v>0</v>
      </c>
      <c r="AZ13">
        <f>IFERROR(VLOOKUP(B13,events!Z:BM,40,FALSE),0)</f>
        <v>0</v>
      </c>
      <c r="BA13">
        <f t="shared" si="64"/>
        <v>319</v>
      </c>
      <c r="BB13">
        <f t="shared" si="65"/>
        <v>314</v>
      </c>
      <c r="BC13" s="4">
        <f t="shared" si="66"/>
        <v>321</v>
      </c>
    </row>
    <row r="14" spans="1:55" x14ac:dyDescent="0.2">
      <c r="A14">
        <f t="shared" si="39"/>
        <v>13</v>
      </c>
      <c r="B14" s="6">
        <f t="shared" si="7"/>
        <v>1</v>
      </c>
      <c r="C14">
        <f t="shared" si="8"/>
        <v>12</v>
      </c>
      <c r="D14" t="str">
        <f t="shared" si="9"/>
        <v>37</v>
      </c>
      <c r="E14">
        <v>11</v>
      </c>
      <c r="F14" s="4" t="s">
        <v>1037</v>
      </c>
      <c r="G14" s="6" t="s">
        <v>289</v>
      </c>
      <c r="I14">
        <f t="shared" si="67"/>
        <v>73</v>
      </c>
      <c r="J14">
        <v>12</v>
      </c>
      <c r="K14">
        <f t="shared" si="40"/>
        <v>16</v>
      </c>
      <c r="L14">
        <f t="shared" si="69"/>
        <v>41</v>
      </c>
      <c r="M14">
        <f t="shared" si="41"/>
        <v>19</v>
      </c>
      <c r="O14" s="5">
        <f t="shared" si="12"/>
        <v>1</v>
      </c>
      <c r="P14">
        <f t="shared" si="42"/>
        <v>87</v>
      </c>
      <c r="Q14">
        <v>75</v>
      </c>
      <c r="R14">
        <v>14</v>
      </c>
      <c r="S14">
        <f t="shared" si="45"/>
        <v>93</v>
      </c>
      <c r="T14">
        <f t="shared" si="46"/>
        <v>9</v>
      </c>
      <c r="V14">
        <f t="shared" si="14"/>
        <v>39</v>
      </c>
      <c r="W14" s="6">
        <f>SUMIFS(events!BI:BI,events!K:K,"=DeadIce",events!BJ:BJ,"&lt;="&amp;shifts!AG14,events!BK:BK,"&gt;"&amp;shifts!AH14,events!Z:Z,"="&amp;shifts!B15)+SUMIFS(events!BI:BI,events!K:K,"=Timeout",events!BJ:BJ,"&lt;="&amp;shifts!AG14,events!BK:BK,"&gt;"&amp;shifts!AH14,events!Z:Z,"="&amp;shifts!B15)</f>
        <v>0</v>
      </c>
      <c r="X14" s="6">
        <f t="shared" si="15"/>
        <v>1</v>
      </c>
      <c r="AC14">
        <v>1</v>
      </c>
      <c r="AD14">
        <f t="shared" ref="AD14:AF14" si="78">AD13</f>
        <v>18991</v>
      </c>
      <c r="AE14" t="str">
        <f t="shared" si="78"/>
        <v>Triple J</v>
      </c>
      <c r="AF14" t="str">
        <f t="shared" si="78"/>
        <v>Velodrome</v>
      </c>
      <c r="AG14" s="4">
        <f t="shared" si="48"/>
        <v>757</v>
      </c>
      <c r="AH14" s="4">
        <f t="shared" si="49"/>
        <v>701</v>
      </c>
      <c r="AI14" s="14">
        <f t="shared" si="50"/>
        <v>56</v>
      </c>
      <c r="AJ14">
        <f t="shared" si="51"/>
        <v>5</v>
      </c>
      <c r="AK14">
        <f t="shared" si="52"/>
        <v>5</v>
      </c>
      <c r="AL14">
        <f t="shared" si="53"/>
        <v>0</v>
      </c>
      <c r="AM14">
        <f t="shared" si="54"/>
        <v>0</v>
      </c>
      <c r="AN14">
        <f t="shared" si="55"/>
        <v>0</v>
      </c>
      <c r="AO14">
        <f t="shared" si="25"/>
        <v>0</v>
      </c>
      <c r="AP14">
        <f t="shared" si="56"/>
        <v>0</v>
      </c>
      <c r="AQ14">
        <f t="shared" si="57"/>
        <v>0</v>
      </c>
      <c r="AR14" t="str">
        <f t="shared" si="58"/>
        <v>Full Strength</v>
      </c>
      <c r="AS14" t="str">
        <f t="shared" si="59"/>
        <v>5v5</v>
      </c>
      <c r="AT14">
        <f t="shared" si="30"/>
        <v>0</v>
      </c>
      <c r="AU14">
        <f t="shared" si="31"/>
        <v>1</v>
      </c>
      <c r="AV14">
        <f t="shared" si="60"/>
        <v>0</v>
      </c>
      <c r="AW14">
        <f t="shared" si="61"/>
        <v>0</v>
      </c>
      <c r="AX14">
        <f t="shared" si="62"/>
        <v>0</v>
      </c>
      <c r="AY14">
        <f t="shared" si="63"/>
        <v>0</v>
      </c>
      <c r="AZ14">
        <f>IFERROR(VLOOKUP(B14,events!Z:BM,40,FALSE),0)</f>
        <v>0</v>
      </c>
      <c r="BA14">
        <f t="shared" si="64"/>
        <v>323</v>
      </c>
      <c r="BB14">
        <f t="shared" si="65"/>
        <v>318</v>
      </c>
      <c r="BC14" s="4">
        <f t="shared" si="66"/>
        <v>377</v>
      </c>
    </row>
    <row r="15" spans="1:55" x14ac:dyDescent="0.2">
      <c r="A15">
        <f t="shared" si="39"/>
        <v>14</v>
      </c>
      <c r="B15" s="6">
        <f t="shared" si="7"/>
        <v>1</v>
      </c>
      <c r="C15">
        <f t="shared" si="8"/>
        <v>11</v>
      </c>
      <c r="D15" t="str">
        <f t="shared" si="9"/>
        <v>41</v>
      </c>
      <c r="E15">
        <v>11</v>
      </c>
      <c r="F15" s="4" t="s">
        <v>1039</v>
      </c>
      <c r="I15">
        <f t="shared" si="67"/>
        <v>73</v>
      </c>
      <c r="J15">
        <f t="shared" si="68"/>
        <v>12</v>
      </c>
      <c r="K15">
        <f t="shared" si="40"/>
        <v>16</v>
      </c>
      <c r="L15">
        <f t="shared" si="69"/>
        <v>41</v>
      </c>
      <c r="M15">
        <f t="shared" si="41"/>
        <v>19</v>
      </c>
      <c r="O15" s="5">
        <f t="shared" si="12"/>
        <v>1</v>
      </c>
      <c r="P15">
        <f t="shared" si="42"/>
        <v>87</v>
      </c>
      <c r="Q15">
        <f t="shared" si="43"/>
        <v>75</v>
      </c>
      <c r="R15">
        <f t="shared" si="44"/>
        <v>14</v>
      </c>
      <c r="S15">
        <f t="shared" si="45"/>
        <v>93</v>
      </c>
      <c r="T15">
        <v>84</v>
      </c>
      <c r="V15">
        <f t="shared" si="14"/>
        <v>39</v>
      </c>
      <c r="W15" s="6">
        <f>SUMIFS(events!BI:BI,events!K:K,"=DeadIce",events!BJ:BJ,"&lt;="&amp;shifts!AG15,events!BK:BK,"&gt;"&amp;shifts!AH15,events!Z:Z,"="&amp;shifts!B16)+SUMIFS(events!BI:BI,events!K:K,"=Timeout",events!BJ:BJ,"&lt;="&amp;shifts!AG15,events!BK:BK,"&gt;"&amp;shifts!AH15,events!Z:Z,"="&amp;shifts!B16)</f>
        <v>0</v>
      </c>
      <c r="X15" s="6" t="str">
        <f t="shared" si="15"/>
        <v/>
      </c>
      <c r="Y15">
        <v>1</v>
      </c>
      <c r="AD15">
        <f t="shared" ref="AD15:AF15" si="79">AD14</f>
        <v>18991</v>
      </c>
      <c r="AE15" t="str">
        <f t="shared" si="79"/>
        <v>Triple J</v>
      </c>
      <c r="AF15" t="str">
        <f t="shared" si="79"/>
        <v>Velodrome</v>
      </c>
      <c r="AG15" s="4">
        <f t="shared" si="48"/>
        <v>701</v>
      </c>
      <c r="AH15" s="4">
        <f t="shared" si="49"/>
        <v>687</v>
      </c>
      <c r="AI15" s="14">
        <f t="shared" si="50"/>
        <v>14</v>
      </c>
      <c r="AJ15">
        <f t="shared" si="51"/>
        <v>5</v>
      </c>
      <c r="AK15">
        <f t="shared" si="52"/>
        <v>5</v>
      </c>
      <c r="AL15">
        <f t="shared" si="53"/>
        <v>0</v>
      </c>
      <c r="AM15">
        <f t="shared" si="54"/>
        <v>0</v>
      </c>
      <c r="AN15">
        <f t="shared" si="55"/>
        <v>0</v>
      </c>
      <c r="AO15">
        <f t="shared" si="25"/>
        <v>0</v>
      </c>
      <c r="AP15">
        <f t="shared" si="56"/>
        <v>0</v>
      </c>
      <c r="AQ15">
        <f t="shared" si="57"/>
        <v>0</v>
      </c>
      <c r="AR15" t="str">
        <f t="shared" si="58"/>
        <v>Full Strength</v>
      </c>
      <c r="AS15" t="str">
        <f t="shared" si="59"/>
        <v>5v5</v>
      </c>
      <c r="AT15">
        <f t="shared" si="30"/>
        <v>0</v>
      </c>
      <c r="AU15">
        <f t="shared" si="31"/>
        <v>1</v>
      </c>
      <c r="AV15">
        <f t="shared" si="60"/>
        <v>0</v>
      </c>
      <c r="AW15">
        <f t="shared" si="61"/>
        <v>0</v>
      </c>
      <c r="AX15">
        <f t="shared" si="62"/>
        <v>0</v>
      </c>
      <c r="AY15">
        <f t="shared" si="63"/>
        <v>0</v>
      </c>
      <c r="AZ15">
        <f>IFERROR(VLOOKUP(B15,events!Z:BM,40,FALSE),0)</f>
        <v>0</v>
      </c>
      <c r="BA15">
        <f t="shared" si="64"/>
        <v>379</v>
      </c>
      <c r="BB15">
        <f t="shared" si="65"/>
        <v>374</v>
      </c>
      <c r="BC15" s="4">
        <f t="shared" si="66"/>
        <v>391</v>
      </c>
    </row>
    <row r="16" spans="1:55" x14ac:dyDescent="0.2">
      <c r="A16">
        <f t="shared" si="39"/>
        <v>15</v>
      </c>
      <c r="B16" s="6">
        <f t="shared" si="7"/>
        <v>1</v>
      </c>
      <c r="C16">
        <f t="shared" si="8"/>
        <v>11</v>
      </c>
      <c r="D16" t="str">
        <f t="shared" si="9"/>
        <v>27</v>
      </c>
      <c r="E16">
        <v>11</v>
      </c>
      <c r="F16" s="4" t="s">
        <v>745</v>
      </c>
      <c r="I16">
        <v>21</v>
      </c>
      <c r="J16">
        <f t="shared" si="68"/>
        <v>12</v>
      </c>
      <c r="K16">
        <f t="shared" si="40"/>
        <v>16</v>
      </c>
      <c r="L16">
        <f t="shared" si="69"/>
        <v>41</v>
      </c>
      <c r="M16">
        <f t="shared" si="41"/>
        <v>19</v>
      </c>
      <c r="O16" s="5">
        <f t="shared" si="12"/>
        <v>1</v>
      </c>
      <c r="P16">
        <f t="shared" si="42"/>
        <v>87</v>
      </c>
      <c r="Q16">
        <f t="shared" si="43"/>
        <v>75</v>
      </c>
      <c r="R16">
        <f t="shared" si="44"/>
        <v>14</v>
      </c>
      <c r="S16">
        <f t="shared" si="45"/>
        <v>93</v>
      </c>
      <c r="T16">
        <f t="shared" si="46"/>
        <v>84</v>
      </c>
      <c r="V16">
        <f t="shared" si="14"/>
        <v>39</v>
      </c>
      <c r="W16" s="6">
        <f>SUMIFS(events!BI:BI,events!K:K,"=DeadIce",events!BJ:BJ,"&lt;="&amp;shifts!AG16,events!BK:BK,"&gt;"&amp;shifts!AH16,events!Z:Z,"="&amp;shifts!B17)+SUMIFS(events!BI:BI,events!K:K,"=Timeout",events!BJ:BJ,"&lt;="&amp;shifts!AG16,events!BK:BK,"&gt;"&amp;shifts!AH16,events!Z:Z,"="&amp;shifts!B17)</f>
        <v>0</v>
      </c>
      <c r="X16" s="6">
        <f t="shared" si="15"/>
        <v>1</v>
      </c>
      <c r="AA16">
        <v>1</v>
      </c>
      <c r="AD16">
        <f t="shared" ref="AD16:AF16" si="80">AD15</f>
        <v>18991</v>
      </c>
      <c r="AE16" t="str">
        <f t="shared" si="80"/>
        <v>Triple J</v>
      </c>
      <c r="AF16" t="str">
        <f t="shared" si="80"/>
        <v>Velodrome</v>
      </c>
      <c r="AG16" s="4">
        <f t="shared" si="48"/>
        <v>687</v>
      </c>
      <c r="AH16" s="4">
        <f t="shared" si="49"/>
        <v>674</v>
      </c>
      <c r="AI16" s="14">
        <f t="shared" si="50"/>
        <v>13</v>
      </c>
      <c r="AJ16">
        <f t="shared" si="51"/>
        <v>5</v>
      </c>
      <c r="AK16">
        <f t="shared" si="52"/>
        <v>5</v>
      </c>
      <c r="AL16">
        <f t="shared" si="53"/>
        <v>0</v>
      </c>
      <c r="AM16">
        <f t="shared" si="54"/>
        <v>0</v>
      </c>
      <c r="AN16">
        <f t="shared" si="55"/>
        <v>0</v>
      </c>
      <c r="AO16">
        <f t="shared" si="25"/>
        <v>0</v>
      </c>
      <c r="AP16">
        <f t="shared" si="56"/>
        <v>0</v>
      </c>
      <c r="AQ16">
        <f t="shared" si="57"/>
        <v>0</v>
      </c>
      <c r="AR16" t="str">
        <f t="shared" si="58"/>
        <v>Full Strength</v>
      </c>
      <c r="AS16" t="str">
        <f t="shared" si="59"/>
        <v>5v5</v>
      </c>
      <c r="AT16">
        <f t="shared" si="30"/>
        <v>0</v>
      </c>
      <c r="AU16">
        <f t="shared" si="31"/>
        <v>1</v>
      </c>
      <c r="AV16">
        <f t="shared" si="60"/>
        <v>0</v>
      </c>
      <c r="AW16">
        <f t="shared" si="61"/>
        <v>0</v>
      </c>
      <c r="AX16">
        <f t="shared" si="62"/>
        <v>0</v>
      </c>
      <c r="AY16">
        <f t="shared" si="63"/>
        <v>0</v>
      </c>
      <c r="AZ16">
        <f>IFERROR(VLOOKUP(B16,events!Z:BM,40,FALSE),0)</f>
        <v>0</v>
      </c>
      <c r="BA16">
        <f t="shared" si="64"/>
        <v>393</v>
      </c>
      <c r="BB16">
        <f t="shared" si="65"/>
        <v>388</v>
      </c>
      <c r="BC16" s="4">
        <f t="shared" si="66"/>
        <v>404</v>
      </c>
    </row>
    <row r="17" spans="1:55" x14ac:dyDescent="0.2">
      <c r="A17">
        <f t="shared" si="39"/>
        <v>16</v>
      </c>
      <c r="B17" s="6">
        <f t="shared" si="7"/>
        <v>1</v>
      </c>
      <c r="C17">
        <f t="shared" si="8"/>
        <v>11</v>
      </c>
      <c r="D17" t="str">
        <f t="shared" si="9"/>
        <v>14</v>
      </c>
      <c r="E17">
        <v>11</v>
      </c>
      <c r="F17" s="4" t="s">
        <v>1040</v>
      </c>
      <c r="I17">
        <f t="shared" si="67"/>
        <v>21</v>
      </c>
      <c r="J17">
        <f t="shared" si="68"/>
        <v>12</v>
      </c>
      <c r="K17">
        <f t="shared" si="40"/>
        <v>16</v>
      </c>
      <c r="L17">
        <f t="shared" si="69"/>
        <v>41</v>
      </c>
      <c r="M17">
        <f t="shared" si="41"/>
        <v>19</v>
      </c>
      <c r="O17" s="5">
        <f t="shared" si="12"/>
        <v>1</v>
      </c>
      <c r="P17">
        <f t="shared" si="42"/>
        <v>87</v>
      </c>
      <c r="Q17">
        <f t="shared" si="43"/>
        <v>75</v>
      </c>
      <c r="R17">
        <f t="shared" si="44"/>
        <v>14</v>
      </c>
      <c r="S17">
        <v>22</v>
      </c>
      <c r="T17">
        <f t="shared" si="46"/>
        <v>84</v>
      </c>
      <c r="V17">
        <f t="shared" si="14"/>
        <v>39</v>
      </c>
      <c r="W17" s="6">
        <f>SUMIFS(events!BI:BI,events!K:K,"=DeadIce",events!BJ:BJ,"&lt;="&amp;shifts!AG17,events!BK:BK,"&gt;"&amp;shifts!AH17,events!Z:Z,"="&amp;shifts!B18)+SUMIFS(events!BI:BI,events!K:K,"=Timeout",events!BJ:BJ,"&lt;="&amp;shifts!AG17,events!BK:BK,"&gt;"&amp;shifts!AH17,events!Z:Z,"="&amp;shifts!B18)</f>
        <v>0</v>
      </c>
      <c r="X17" s="6" t="str">
        <f t="shared" si="15"/>
        <v/>
      </c>
      <c r="Y17">
        <v>1</v>
      </c>
      <c r="AD17">
        <f t="shared" ref="AD17:AF17" si="81">AD16</f>
        <v>18991</v>
      </c>
      <c r="AE17" t="str">
        <f t="shared" si="81"/>
        <v>Triple J</v>
      </c>
      <c r="AF17" t="str">
        <f t="shared" si="81"/>
        <v>Velodrome</v>
      </c>
      <c r="AG17" s="4">
        <f t="shared" si="48"/>
        <v>674</v>
      </c>
      <c r="AH17" s="4">
        <f t="shared" si="49"/>
        <v>662</v>
      </c>
      <c r="AI17" s="14">
        <f t="shared" si="50"/>
        <v>12</v>
      </c>
      <c r="AJ17">
        <f t="shared" si="51"/>
        <v>5</v>
      </c>
      <c r="AK17">
        <f t="shared" si="52"/>
        <v>5</v>
      </c>
      <c r="AL17">
        <f t="shared" si="53"/>
        <v>0</v>
      </c>
      <c r="AM17">
        <f t="shared" si="54"/>
        <v>0</v>
      </c>
      <c r="AN17">
        <f t="shared" si="55"/>
        <v>0</v>
      </c>
      <c r="AO17">
        <f t="shared" si="25"/>
        <v>0</v>
      </c>
      <c r="AP17">
        <f t="shared" si="56"/>
        <v>0</v>
      </c>
      <c r="AQ17">
        <f t="shared" si="57"/>
        <v>0</v>
      </c>
      <c r="AR17" t="str">
        <f t="shared" si="58"/>
        <v>Full Strength</v>
      </c>
      <c r="AS17" t="str">
        <f t="shared" si="59"/>
        <v>5v5</v>
      </c>
      <c r="AT17">
        <f t="shared" si="30"/>
        <v>0</v>
      </c>
      <c r="AU17">
        <f t="shared" si="31"/>
        <v>1</v>
      </c>
      <c r="AV17">
        <f t="shared" si="60"/>
        <v>0</v>
      </c>
      <c r="AW17">
        <f t="shared" si="61"/>
        <v>0</v>
      </c>
      <c r="AX17">
        <f t="shared" si="62"/>
        <v>0</v>
      </c>
      <c r="AY17">
        <f t="shared" si="63"/>
        <v>0</v>
      </c>
      <c r="AZ17">
        <f>IFERROR(VLOOKUP(B17,events!Z:BM,40,FALSE),0)</f>
        <v>0</v>
      </c>
      <c r="BA17">
        <f t="shared" si="64"/>
        <v>406</v>
      </c>
      <c r="BB17">
        <f t="shared" si="65"/>
        <v>401</v>
      </c>
      <c r="BC17" s="4">
        <f t="shared" si="66"/>
        <v>416</v>
      </c>
    </row>
    <row r="18" spans="1:55" x14ac:dyDescent="0.2">
      <c r="A18">
        <f t="shared" si="39"/>
        <v>17</v>
      </c>
      <c r="B18" s="6">
        <f t="shared" si="7"/>
        <v>1</v>
      </c>
      <c r="C18">
        <f t="shared" si="8"/>
        <v>11</v>
      </c>
      <c r="D18" t="str">
        <f t="shared" si="9"/>
        <v>02</v>
      </c>
      <c r="E18">
        <v>10</v>
      </c>
      <c r="F18" s="4" t="s">
        <v>1041</v>
      </c>
      <c r="H18" s="5" t="s">
        <v>301</v>
      </c>
      <c r="I18">
        <f t="shared" si="67"/>
        <v>21</v>
      </c>
      <c r="J18">
        <f t="shared" si="68"/>
        <v>12</v>
      </c>
      <c r="K18">
        <f t="shared" si="40"/>
        <v>16</v>
      </c>
      <c r="L18">
        <v>10</v>
      </c>
      <c r="M18">
        <v>57</v>
      </c>
      <c r="O18" s="5">
        <f t="shared" si="12"/>
        <v>1</v>
      </c>
      <c r="P18">
        <f t="shared" si="42"/>
        <v>87</v>
      </c>
      <c r="Q18">
        <f t="shared" si="43"/>
        <v>75</v>
      </c>
      <c r="R18">
        <f t="shared" si="44"/>
        <v>14</v>
      </c>
      <c r="S18">
        <f t="shared" si="45"/>
        <v>22</v>
      </c>
      <c r="T18">
        <f t="shared" si="46"/>
        <v>84</v>
      </c>
      <c r="V18">
        <f t="shared" si="14"/>
        <v>39</v>
      </c>
      <c r="W18" s="6">
        <f>SUMIFS(events!BI:BI,events!K:K,"=DeadIce",events!BJ:BJ,"&lt;="&amp;shifts!AG18,events!BK:BK,"&gt;"&amp;shifts!AH18,events!Z:Z,"="&amp;shifts!B19)+SUMIFS(events!BI:BI,events!K:K,"=Timeout",events!BJ:BJ,"&lt;="&amp;shifts!AG18,events!BK:BK,"&gt;"&amp;shifts!AH18,events!Z:Z,"="&amp;shifts!B19)</f>
        <v>0</v>
      </c>
      <c r="X18" s="6">
        <f t="shared" si="15"/>
        <v>1</v>
      </c>
      <c r="Y18">
        <v>1</v>
      </c>
      <c r="AD18">
        <f t="shared" ref="AD18:AF18" si="82">AD17</f>
        <v>18991</v>
      </c>
      <c r="AE18" t="str">
        <f t="shared" si="82"/>
        <v>Triple J</v>
      </c>
      <c r="AF18" t="str">
        <f t="shared" si="82"/>
        <v>Velodrome</v>
      </c>
      <c r="AG18" s="4">
        <f t="shared" si="48"/>
        <v>662</v>
      </c>
      <c r="AH18" s="4">
        <f t="shared" si="49"/>
        <v>643</v>
      </c>
      <c r="AI18" s="14">
        <f t="shared" si="50"/>
        <v>19</v>
      </c>
      <c r="AJ18">
        <f t="shared" si="51"/>
        <v>5</v>
      </c>
      <c r="AK18">
        <f t="shared" si="52"/>
        <v>5</v>
      </c>
      <c r="AL18">
        <f t="shared" si="53"/>
        <v>0</v>
      </c>
      <c r="AM18">
        <f t="shared" si="54"/>
        <v>0</v>
      </c>
      <c r="AN18">
        <f t="shared" si="55"/>
        <v>0</v>
      </c>
      <c r="AO18">
        <f t="shared" si="25"/>
        <v>0</v>
      </c>
      <c r="AP18">
        <f t="shared" si="56"/>
        <v>0</v>
      </c>
      <c r="AQ18">
        <f t="shared" si="57"/>
        <v>0</v>
      </c>
      <c r="AR18" t="str">
        <f t="shared" si="58"/>
        <v>Full Strength</v>
      </c>
      <c r="AS18" t="str">
        <f t="shared" si="59"/>
        <v>5v5</v>
      </c>
      <c r="AT18">
        <f t="shared" si="30"/>
        <v>0</v>
      </c>
      <c r="AU18">
        <f t="shared" si="31"/>
        <v>1</v>
      </c>
      <c r="AV18">
        <f t="shared" si="60"/>
        <v>0</v>
      </c>
      <c r="AW18">
        <f t="shared" si="61"/>
        <v>0</v>
      </c>
      <c r="AX18">
        <f t="shared" si="62"/>
        <v>0</v>
      </c>
      <c r="AY18">
        <f t="shared" si="63"/>
        <v>0</v>
      </c>
      <c r="AZ18">
        <f>IFERROR(VLOOKUP(B18,events!Z:BM,40,FALSE),0)</f>
        <v>0</v>
      </c>
      <c r="BA18">
        <f t="shared" si="64"/>
        <v>418</v>
      </c>
      <c r="BB18">
        <f t="shared" si="65"/>
        <v>413</v>
      </c>
      <c r="BC18" s="4">
        <f t="shared" si="66"/>
        <v>435</v>
      </c>
    </row>
    <row r="19" spans="1:55" x14ac:dyDescent="0.2">
      <c r="A19">
        <f t="shared" si="39"/>
        <v>18</v>
      </c>
      <c r="B19" s="6">
        <f t="shared" si="7"/>
        <v>1</v>
      </c>
      <c r="C19">
        <f t="shared" si="8"/>
        <v>10</v>
      </c>
      <c r="D19" t="str">
        <f t="shared" si="9"/>
        <v>43</v>
      </c>
      <c r="E19">
        <v>9</v>
      </c>
      <c r="F19" s="4" t="s">
        <v>754</v>
      </c>
      <c r="G19" s="6" t="s">
        <v>289</v>
      </c>
      <c r="I19">
        <f t="shared" si="67"/>
        <v>21</v>
      </c>
      <c r="J19">
        <v>90</v>
      </c>
      <c r="K19">
        <v>69</v>
      </c>
      <c r="L19">
        <f t="shared" si="69"/>
        <v>10</v>
      </c>
      <c r="M19">
        <f t="shared" si="41"/>
        <v>57</v>
      </c>
      <c r="O19" s="5">
        <f t="shared" si="12"/>
        <v>1</v>
      </c>
      <c r="P19">
        <v>70</v>
      </c>
      <c r="Q19">
        <v>24</v>
      </c>
      <c r="R19">
        <v>91</v>
      </c>
      <c r="S19">
        <f t="shared" si="45"/>
        <v>22</v>
      </c>
      <c r="T19">
        <f t="shared" si="46"/>
        <v>84</v>
      </c>
      <c r="V19">
        <f t="shared" si="14"/>
        <v>39</v>
      </c>
      <c r="W19" s="6">
        <f>SUMIFS(events!BI:BI,events!K:K,"=DeadIce",events!BJ:BJ,"&lt;="&amp;shifts!AG19,events!BK:BK,"&gt;"&amp;shifts!AH19,events!Z:Z,"="&amp;shifts!B20)+SUMIFS(events!BI:BI,events!K:K,"=Timeout",events!BJ:BJ,"&lt;="&amp;shifts!AG19,events!BK:BK,"&gt;"&amp;shifts!AH19,events!Z:Z,"="&amp;shifts!B20)</f>
        <v>19</v>
      </c>
      <c r="X19" s="6">
        <f t="shared" si="15"/>
        <v>1</v>
      </c>
      <c r="Y19">
        <v>1</v>
      </c>
      <c r="AD19">
        <f t="shared" ref="AD19:AF19" si="83">AD18</f>
        <v>18991</v>
      </c>
      <c r="AE19" t="str">
        <f t="shared" si="83"/>
        <v>Triple J</v>
      </c>
      <c r="AF19" t="str">
        <f t="shared" si="83"/>
        <v>Velodrome</v>
      </c>
      <c r="AG19" s="4">
        <f t="shared" si="48"/>
        <v>643</v>
      </c>
      <c r="AH19" s="4">
        <f t="shared" si="49"/>
        <v>551</v>
      </c>
      <c r="AI19" s="14">
        <f t="shared" si="50"/>
        <v>92</v>
      </c>
      <c r="AJ19">
        <f t="shared" si="51"/>
        <v>5</v>
      </c>
      <c r="AK19">
        <f t="shared" si="52"/>
        <v>5</v>
      </c>
      <c r="AL19">
        <f t="shared" si="53"/>
        <v>0</v>
      </c>
      <c r="AM19">
        <f t="shared" si="54"/>
        <v>0</v>
      </c>
      <c r="AN19">
        <f t="shared" si="55"/>
        <v>0</v>
      </c>
      <c r="AO19">
        <f t="shared" si="25"/>
        <v>0</v>
      </c>
      <c r="AP19">
        <f t="shared" si="56"/>
        <v>0</v>
      </c>
      <c r="AQ19">
        <f t="shared" si="57"/>
        <v>0</v>
      </c>
      <c r="AR19" t="str">
        <f t="shared" si="58"/>
        <v>Full Strength</v>
      </c>
      <c r="AS19" t="str">
        <f t="shared" si="59"/>
        <v>5v5</v>
      </c>
      <c r="AT19">
        <f t="shared" si="30"/>
        <v>0</v>
      </c>
      <c r="AU19">
        <f t="shared" si="31"/>
        <v>1</v>
      </c>
      <c r="AV19">
        <f t="shared" si="60"/>
        <v>0</v>
      </c>
      <c r="AW19">
        <f t="shared" si="61"/>
        <v>0</v>
      </c>
      <c r="AX19">
        <f t="shared" si="62"/>
        <v>0</v>
      </c>
      <c r="AY19">
        <f t="shared" si="63"/>
        <v>0</v>
      </c>
      <c r="AZ19">
        <f>IFERROR(VLOOKUP(B19,events!Z:BM,40,FALSE),0)</f>
        <v>0</v>
      </c>
      <c r="BA19">
        <f t="shared" si="64"/>
        <v>437</v>
      </c>
      <c r="BB19">
        <f t="shared" si="65"/>
        <v>432</v>
      </c>
      <c r="BC19" s="4">
        <f t="shared" si="66"/>
        <v>527</v>
      </c>
    </row>
    <row r="20" spans="1:55" x14ac:dyDescent="0.2">
      <c r="A20">
        <f t="shared" si="39"/>
        <v>19</v>
      </c>
      <c r="B20" s="6">
        <f t="shared" si="7"/>
        <v>1</v>
      </c>
      <c r="C20">
        <f t="shared" si="8"/>
        <v>9</v>
      </c>
      <c r="D20" t="str">
        <f t="shared" si="9"/>
        <v>11</v>
      </c>
      <c r="E20">
        <v>9</v>
      </c>
      <c r="F20" s="4" t="s">
        <v>1042</v>
      </c>
      <c r="I20">
        <f t="shared" si="67"/>
        <v>21</v>
      </c>
      <c r="J20">
        <f t="shared" si="68"/>
        <v>90</v>
      </c>
      <c r="K20">
        <f t="shared" si="40"/>
        <v>69</v>
      </c>
      <c r="L20">
        <v>41</v>
      </c>
      <c r="M20">
        <v>19</v>
      </c>
      <c r="O20" s="5">
        <f t="shared" si="12"/>
        <v>1</v>
      </c>
      <c r="P20">
        <f t="shared" si="42"/>
        <v>70</v>
      </c>
      <c r="Q20">
        <f t="shared" si="43"/>
        <v>24</v>
      </c>
      <c r="R20">
        <f t="shared" si="44"/>
        <v>91</v>
      </c>
      <c r="S20">
        <f t="shared" si="45"/>
        <v>22</v>
      </c>
      <c r="T20">
        <f t="shared" si="46"/>
        <v>84</v>
      </c>
      <c r="V20">
        <f t="shared" si="14"/>
        <v>39</v>
      </c>
      <c r="W20" s="6">
        <f>SUMIFS(events!BI:BI,events!K:K,"=DeadIce",events!BJ:BJ,"&lt;="&amp;shifts!AG20,events!BK:BK,"&gt;"&amp;shifts!AH20,events!Z:Z,"="&amp;shifts!B21)+SUMIFS(events!BI:BI,events!K:K,"=Timeout",events!BJ:BJ,"&lt;="&amp;shifts!AG20,events!BK:BK,"&gt;"&amp;shifts!AH20,events!Z:Z,"="&amp;shifts!B21)</f>
        <v>0</v>
      </c>
      <c r="X20" s="6">
        <f t="shared" si="15"/>
        <v>1</v>
      </c>
      <c r="AA20">
        <v>1</v>
      </c>
      <c r="AD20">
        <f t="shared" ref="AD20:AF20" si="84">AD19</f>
        <v>18991</v>
      </c>
      <c r="AE20" t="str">
        <f t="shared" si="84"/>
        <v>Triple J</v>
      </c>
      <c r="AF20" t="str">
        <f t="shared" si="84"/>
        <v>Velodrome</v>
      </c>
      <c r="AG20" s="4">
        <f t="shared" si="48"/>
        <v>551</v>
      </c>
      <c r="AH20" s="4">
        <f t="shared" si="49"/>
        <v>546</v>
      </c>
      <c r="AI20" s="14">
        <f t="shared" si="50"/>
        <v>5</v>
      </c>
      <c r="AJ20">
        <f t="shared" si="51"/>
        <v>5</v>
      </c>
      <c r="AK20">
        <f t="shared" si="52"/>
        <v>5</v>
      </c>
      <c r="AL20">
        <f t="shared" si="53"/>
        <v>0</v>
      </c>
      <c r="AM20">
        <f t="shared" si="54"/>
        <v>0</v>
      </c>
      <c r="AN20">
        <f t="shared" si="55"/>
        <v>0</v>
      </c>
      <c r="AO20">
        <f t="shared" si="25"/>
        <v>0</v>
      </c>
      <c r="AP20">
        <f t="shared" si="56"/>
        <v>0</v>
      </c>
      <c r="AQ20">
        <f t="shared" si="57"/>
        <v>0</v>
      </c>
      <c r="AR20" t="str">
        <f t="shared" si="58"/>
        <v>Full Strength</v>
      </c>
      <c r="AS20" t="str">
        <f t="shared" si="59"/>
        <v>5v5</v>
      </c>
      <c r="AT20">
        <f t="shared" si="30"/>
        <v>0</v>
      </c>
      <c r="AU20">
        <f t="shared" si="31"/>
        <v>1</v>
      </c>
      <c r="AV20">
        <f t="shared" si="60"/>
        <v>0</v>
      </c>
      <c r="AW20">
        <f t="shared" si="61"/>
        <v>0</v>
      </c>
      <c r="AX20">
        <f t="shared" si="62"/>
        <v>0</v>
      </c>
      <c r="AY20">
        <f t="shared" si="63"/>
        <v>0</v>
      </c>
      <c r="AZ20">
        <f>IFERROR(VLOOKUP(B20,events!Z:BM,40,FALSE),0)</f>
        <v>0</v>
      </c>
      <c r="BA20">
        <f t="shared" si="64"/>
        <v>529</v>
      </c>
      <c r="BB20">
        <f t="shared" si="65"/>
        <v>524</v>
      </c>
      <c r="BC20" s="4">
        <f t="shared" si="66"/>
        <v>532</v>
      </c>
    </row>
    <row r="21" spans="1:55" x14ac:dyDescent="0.2">
      <c r="A21">
        <f t="shared" si="39"/>
        <v>20</v>
      </c>
      <c r="B21" s="6">
        <f t="shared" si="7"/>
        <v>1</v>
      </c>
      <c r="C21">
        <f t="shared" si="8"/>
        <v>9</v>
      </c>
      <c r="D21" t="str">
        <f t="shared" si="9"/>
        <v>06</v>
      </c>
      <c r="E21">
        <v>9</v>
      </c>
      <c r="F21" s="4" t="s">
        <v>748</v>
      </c>
      <c r="I21">
        <f t="shared" si="67"/>
        <v>21</v>
      </c>
      <c r="J21">
        <v>71</v>
      </c>
      <c r="K21">
        <f t="shared" si="40"/>
        <v>69</v>
      </c>
      <c r="L21">
        <f t="shared" si="69"/>
        <v>41</v>
      </c>
      <c r="M21">
        <f t="shared" si="41"/>
        <v>19</v>
      </c>
      <c r="O21" s="5">
        <f t="shared" si="12"/>
        <v>1</v>
      </c>
      <c r="P21">
        <f t="shared" si="42"/>
        <v>70</v>
      </c>
      <c r="Q21">
        <f t="shared" si="43"/>
        <v>24</v>
      </c>
      <c r="R21">
        <f t="shared" si="44"/>
        <v>91</v>
      </c>
      <c r="S21">
        <v>9</v>
      </c>
      <c r="T21">
        <f t="shared" si="46"/>
        <v>84</v>
      </c>
      <c r="V21">
        <f t="shared" si="14"/>
        <v>39</v>
      </c>
      <c r="W21" s="6">
        <f>SUMIFS(events!BI:BI,events!K:K,"=DeadIce",events!BJ:BJ,"&lt;="&amp;shifts!AG21,events!BK:BK,"&gt;"&amp;shifts!AH21,events!Z:Z,"="&amp;shifts!B22)+SUMIFS(events!BI:BI,events!K:K,"=Timeout",events!BJ:BJ,"&lt;="&amp;shifts!AG21,events!BK:BK,"&gt;"&amp;shifts!AH21,events!Z:Z,"="&amp;shifts!B22)</f>
        <v>0</v>
      </c>
      <c r="X21" s="6" t="str">
        <f t="shared" si="15"/>
        <v/>
      </c>
      <c r="AA21">
        <v>1</v>
      </c>
      <c r="AD21">
        <f t="shared" ref="AD21:AF21" si="85">AD20</f>
        <v>18991</v>
      </c>
      <c r="AE21" t="str">
        <f t="shared" si="85"/>
        <v>Triple J</v>
      </c>
      <c r="AF21" t="str">
        <f t="shared" si="85"/>
        <v>Velodrome</v>
      </c>
      <c r="AG21" s="4">
        <f t="shared" si="48"/>
        <v>546</v>
      </c>
      <c r="AH21" s="4">
        <f t="shared" si="49"/>
        <v>541</v>
      </c>
      <c r="AI21" s="14">
        <f t="shared" si="50"/>
        <v>5</v>
      </c>
      <c r="AJ21">
        <f t="shared" si="51"/>
        <v>5</v>
      </c>
      <c r="AK21">
        <f t="shared" si="52"/>
        <v>5</v>
      </c>
      <c r="AL21">
        <f t="shared" si="53"/>
        <v>0</v>
      </c>
      <c r="AM21">
        <f t="shared" si="54"/>
        <v>0</v>
      </c>
      <c r="AN21">
        <f t="shared" si="55"/>
        <v>0</v>
      </c>
      <c r="AO21">
        <f t="shared" si="25"/>
        <v>0</v>
      </c>
      <c r="AP21">
        <f t="shared" si="56"/>
        <v>0</v>
      </c>
      <c r="AQ21">
        <f t="shared" si="57"/>
        <v>0</v>
      </c>
      <c r="AR21" t="str">
        <f t="shared" si="58"/>
        <v>Full Strength</v>
      </c>
      <c r="AS21" t="str">
        <f t="shared" si="59"/>
        <v>5v5</v>
      </c>
      <c r="AT21">
        <f t="shared" si="30"/>
        <v>0</v>
      </c>
      <c r="AU21">
        <f t="shared" si="31"/>
        <v>1</v>
      </c>
      <c r="AV21">
        <f t="shared" si="60"/>
        <v>0</v>
      </c>
      <c r="AW21">
        <f t="shared" si="61"/>
        <v>0</v>
      </c>
      <c r="AX21">
        <f t="shared" si="62"/>
        <v>0</v>
      </c>
      <c r="AY21">
        <f t="shared" si="63"/>
        <v>0</v>
      </c>
      <c r="AZ21">
        <f>IFERROR(VLOOKUP(B21,events!Z:BM,40,FALSE),0)</f>
        <v>0</v>
      </c>
      <c r="BA21">
        <f t="shared" si="64"/>
        <v>534</v>
      </c>
      <c r="BB21">
        <f t="shared" si="65"/>
        <v>529</v>
      </c>
      <c r="BC21" s="4">
        <f t="shared" si="66"/>
        <v>537</v>
      </c>
    </row>
    <row r="22" spans="1:55" x14ac:dyDescent="0.2">
      <c r="A22">
        <f t="shared" si="39"/>
        <v>21</v>
      </c>
      <c r="B22" s="6">
        <f t="shared" si="7"/>
        <v>1</v>
      </c>
      <c r="C22">
        <f t="shared" si="8"/>
        <v>9</v>
      </c>
      <c r="D22" t="str">
        <f t="shared" si="9"/>
        <v>01</v>
      </c>
      <c r="E22">
        <v>8</v>
      </c>
      <c r="F22" s="4" t="s">
        <v>1038</v>
      </c>
      <c r="I22">
        <f t="shared" si="67"/>
        <v>21</v>
      </c>
      <c r="J22">
        <f t="shared" si="68"/>
        <v>71</v>
      </c>
      <c r="K22">
        <f t="shared" si="40"/>
        <v>69</v>
      </c>
      <c r="L22">
        <f t="shared" si="69"/>
        <v>41</v>
      </c>
      <c r="M22">
        <f t="shared" si="41"/>
        <v>19</v>
      </c>
      <c r="O22" s="5">
        <f t="shared" si="12"/>
        <v>1</v>
      </c>
      <c r="P22">
        <f t="shared" si="42"/>
        <v>70</v>
      </c>
      <c r="Q22">
        <f t="shared" si="43"/>
        <v>24</v>
      </c>
      <c r="R22">
        <f t="shared" si="44"/>
        <v>91</v>
      </c>
      <c r="S22">
        <f t="shared" si="45"/>
        <v>9</v>
      </c>
      <c r="T22">
        <v>93</v>
      </c>
      <c r="V22">
        <f t="shared" si="14"/>
        <v>39</v>
      </c>
      <c r="W22" s="6">
        <f>SUMIFS(events!BI:BI,events!K:K,"=DeadIce",events!BJ:BJ,"&lt;="&amp;shifts!AG22,events!BK:BK,"&gt;"&amp;shifts!AH22,events!Z:Z,"="&amp;shifts!B23)+SUMIFS(events!BI:BI,events!K:K,"=Timeout",events!BJ:BJ,"&lt;="&amp;shifts!AG22,events!BK:BK,"&gt;"&amp;shifts!AH22,events!Z:Z,"="&amp;shifts!B23)</f>
        <v>0</v>
      </c>
      <c r="X22" s="6" t="str">
        <f t="shared" si="15"/>
        <v/>
      </c>
      <c r="AA22">
        <v>1</v>
      </c>
      <c r="AD22">
        <f t="shared" ref="AD22:AF22" si="86">AD21</f>
        <v>18991</v>
      </c>
      <c r="AE22" t="str">
        <f t="shared" si="86"/>
        <v>Triple J</v>
      </c>
      <c r="AF22" t="str">
        <f t="shared" si="86"/>
        <v>Velodrome</v>
      </c>
      <c r="AG22" s="4">
        <f t="shared" si="48"/>
        <v>541</v>
      </c>
      <c r="AH22" s="4">
        <f t="shared" si="49"/>
        <v>517</v>
      </c>
      <c r="AI22" s="14">
        <f t="shared" si="50"/>
        <v>24</v>
      </c>
      <c r="AJ22">
        <f t="shared" si="51"/>
        <v>5</v>
      </c>
      <c r="AK22">
        <f t="shared" si="52"/>
        <v>5</v>
      </c>
      <c r="AL22">
        <f t="shared" si="53"/>
        <v>0</v>
      </c>
      <c r="AM22">
        <f t="shared" si="54"/>
        <v>0</v>
      </c>
      <c r="AN22">
        <f t="shared" si="55"/>
        <v>0</v>
      </c>
      <c r="AO22">
        <f t="shared" si="25"/>
        <v>0</v>
      </c>
      <c r="AP22">
        <f t="shared" si="56"/>
        <v>0</v>
      </c>
      <c r="AQ22">
        <f t="shared" si="57"/>
        <v>0</v>
      </c>
      <c r="AR22" t="str">
        <f t="shared" si="58"/>
        <v>Full Strength</v>
      </c>
      <c r="AS22" t="str">
        <f t="shared" si="59"/>
        <v>5v5</v>
      </c>
      <c r="AT22">
        <f t="shared" si="30"/>
        <v>0</v>
      </c>
      <c r="AU22">
        <f t="shared" si="31"/>
        <v>1</v>
      </c>
      <c r="AV22">
        <f t="shared" si="60"/>
        <v>0</v>
      </c>
      <c r="AW22">
        <f t="shared" si="61"/>
        <v>0</v>
      </c>
      <c r="AX22">
        <f t="shared" si="62"/>
        <v>0</v>
      </c>
      <c r="AY22">
        <f t="shared" si="63"/>
        <v>0</v>
      </c>
      <c r="AZ22">
        <f>IFERROR(VLOOKUP(B22,events!Z:BM,40,FALSE),0)</f>
        <v>0</v>
      </c>
      <c r="BA22">
        <f t="shared" si="64"/>
        <v>539</v>
      </c>
      <c r="BB22">
        <f t="shared" si="65"/>
        <v>534</v>
      </c>
      <c r="BC22" s="4">
        <f t="shared" si="66"/>
        <v>561</v>
      </c>
    </row>
    <row r="23" spans="1:55" x14ac:dyDescent="0.2">
      <c r="A23">
        <f t="shared" si="39"/>
        <v>22</v>
      </c>
      <c r="B23" s="6">
        <f t="shared" si="7"/>
        <v>1</v>
      </c>
      <c r="C23">
        <f t="shared" si="8"/>
        <v>8</v>
      </c>
      <c r="D23" t="str">
        <f t="shared" si="9"/>
        <v>37</v>
      </c>
      <c r="E23">
        <v>8</v>
      </c>
      <c r="F23" s="4" t="s">
        <v>740</v>
      </c>
      <c r="I23">
        <f t="shared" si="67"/>
        <v>21</v>
      </c>
      <c r="J23">
        <f t="shared" si="68"/>
        <v>71</v>
      </c>
      <c r="K23">
        <f t="shared" si="40"/>
        <v>69</v>
      </c>
      <c r="L23">
        <f t="shared" si="69"/>
        <v>41</v>
      </c>
      <c r="M23">
        <f t="shared" si="41"/>
        <v>19</v>
      </c>
      <c r="O23" s="5">
        <f t="shared" si="12"/>
        <v>1</v>
      </c>
      <c r="P23">
        <f t="shared" si="42"/>
        <v>70</v>
      </c>
      <c r="Q23">
        <f t="shared" si="43"/>
        <v>24</v>
      </c>
      <c r="R23">
        <v>55</v>
      </c>
      <c r="S23">
        <f t="shared" si="45"/>
        <v>9</v>
      </c>
      <c r="T23">
        <f t="shared" si="46"/>
        <v>93</v>
      </c>
      <c r="V23">
        <f t="shared" si="14"/>
        <v>39</v>
      </c>
      <c r="W23" s="6">
        <f>SUMIFS(events!BI:BI,events!K:K,"=DeadIce",events!BJ:BJ,"&lt;="&amp;shifts!AG23,events!BK:BK,"&gt;"&amp;shifts!AH23,events!Z:Z,"="&amp;shifts!B24)+SUMIFS(events!BI:BI,events!K:K,"=Timeout",events!BJ:BJ,"&lt;="&amp;shifts!AG23,events!BK:BK,"&gt;"&amp;shifts!AH23,events!Z:Z,"="&amp;shifts!B24)</f>
        <v>0</v>
      </c>
      <c r="X23" s="6" t="str">
        <f t="shared" si="15"/>
        <v/>
      </c>
      <c r="Y23">
        <v>1</v>
      </c>
      <c r="AD23">
        <f t="shared" ref="AD23:AF23" si="87">AD22</f>
        <v>18991</v>
      </c>
      <c r="AE23" t="str">
        <f t="shared" si="87"/>
        <v>Triple J</v>
      </c>
      <c r="AF23" t="str">
        <f t="shared" si="87"/>
        <v>Velodrome</v>
      </c>
      <c r="AG23" s="4">
        <f t="shared" si="48"/>
        <v>517</v>
      </c>
      <c r="AH23" s="4">
        <f t="shared" si="49"/>
        <v>505</v>
      </c>
      <c r="AI23" s="14">
        <f t="shared" si="50"/>
        <v>12</v>
      </c>
      <c r="AJ23">
        <f t="shared" si="51"/>
        <v>5</v>
      </c>
      <c r="AK23">
        <f t="shared" si="52"/>
        <v>5</v>
      </c>
      <c r="AL23">
        <f t="shared" si="53"/>
        <v>0</v>
      </c>
      <c r="AM23">
        <f t="shared" si="54"/>
        <v>0</v>
      </c>
      <c r="AN23">
        <f t="shared" si="55"/>
        <v>0</v>
      </c>
      <c r="AO23">
        <f t="shared" si="25"/>
        <v>0</v>
      </c>
      <c r="AP23">
        <f t="shared" si="56"/>
        <v>0</v>
      </c>
      <c r="AQ23">
        <f t="shared" si="57"/>
        <v>0</v>
      </c>
      <c r="AR23" t="str">
        <f t="shared" si="58"/>
        <v>Full Strength</v>
      </c>
      <c r="AS23" t="str">
        <f t="shared" si="59"/>
        <v>5v5</v>
      </c>
      <c r="AT23">
        <f t="shared" si="30"/>
        <v>0</v>
      </c>
      <c r="AU23">
        <f t="shared" si="31"/>
        <v>1</v>
      </c>
      <c r="AV23">
        <f t="shared" si="60"/>
        <v>0</v>
      </c>
      <c r="AW23">
        <f t="shared" si="61"/>
        <v>0</v>
      </c>
      <c r="AX23">
        <f t="shared" si="62"/>
        <v>0</v>
      </c>
      <c r="AY23">
        <f t="shared" si="63"/>
        <v>0</v>
      </c>
      <c r="AZ23">
        <f>IFERROR(VLOOKUP(B23,events!Z:BM,40,FALSE),0)</f>
        <v>0</v>
      </c>
      <c r="BA23">
        <f t="shared" si="64"/>
        <v>563</v>
      </c>
      <c r="BB23">
        <f t="shared" si="65"/>
        <v>558</v>
      </c>
      <c r="BC23" s="4">
        <f t="shared" si="66"/>
        <v>573</v>
      </c>
    </row>
    <row r="24" spans="1:55" x14ac:dyDescent="0.2">
      <c r="A24">
        <f t="shared" si="39"/>
        <v>23</v>
      </c>
      <c r="B24" s="6">
        <f t="shared" si="7"/>
        <v>1</v>
      </c>
      <c r="C24">
        <f t="shared" si="8"/>
        <v>8</v>
      </c>
      <c r="D24" t="str">
        <f t="shared" si="9"/>
        <v>25</v>
      </c>
      <c r="E24">
        <v>8</v>
      </c>
      <c r="F24" s="4" t="s">
        <v>745</v>
      </c>
      <c r="I24">
        <f t="shared" si="67"/>
        <v>21</v>
      </c>
      <c r="J24">
        <f t="shared" si="68"/>
        <v>71</v>
      </c>
      <c r="K24">
        <v>37</v>
      </c>
      <c r="L24">
        <f t="shared" si="69"/>
        <v>41</v>
      </c>
      <c r="M24">
        <f t="shared" si="41"/>
        <v>19</v>
      </c>
      <c r="O24" s="5">
        <f t="shared" si="12"/>
        <v>1</v>
      </c>
      <c r="P24">
        <f t="shared" si="42"/>
        <v>70</v>
      </c>
      <c r="Q24">
        <f t="shared" si="43"/>
        <v>24</v>
      </c>
      <c r="R24">
        <f t="shared" si="44"/>
        <v>55</v>
      </c>
      <c r="S24">
        <f t="shared" si="45"/>
        <v>9</v>
      </c>
      <c r="T24">
        <f t="shared" si="46"/>
        <v>93</v>
      </c>
      <c r="V24">
        <f t="shared" si="14"/>
        <v>39</v>
      </c>
      <c r="W24" s="6">
        <f>SUMIFS(events!BI:BI,events!K:K,"=DeadIce",events!BJ:BJ,"&lt;="&amp;shifts!AG24,events!BK:BK,"&gt;"&amp;shifts!AH24,events!Z:Z,"="&amp;shifts!B25)+SUMIFS(events!BI:BI,events!K:K,"=Timeout",events!BJ:BJ,"&lt;="&amp;shifts!AG24,events!BK:BK,"&gt;"&amp;shifts!AH24,events!Z:Z,"="&amp;shifts!B25)</f>
        <v>0</v>
      </c>
      <c r="X24" s="6">
        <f t="shared" si="15"/>
        <v>1</v>
      </c>
      <c r="AA24">
        <v>1</v>
      </c>
      <c r="AD24">
        <f t="shared" ref="AD24:AF24" si="88">AD23</f>
        <v>18991</v>
      </c>
      <c r="AE24" t="str">
        <f t="shared" si="88"/>
        <v>Triple J</v>
      </c>
      <c r="AF24" t="str">
        <f t="shared" si="88"/>
        <v>Velodrome</v>
      </c>
      <c r="AG24" s="4">
        <f t="shared" si="48"/>
        <v>505</v>
      </c>
      <c r="AH24" s="4">
        <f t="shared" si="49"/>
        <v>494</v>
      </c>
      <c r="AI24" s="14">
        <f t="shared" si="50"/>
        <v>11</v>
      </c>
      <c r="AJ24">
        <f t="shared" si="51"/>
        <v>5</v>
      </c>
      <c r="AK24">
        <f t="shared" si="52"/>
        <v>5</v>
      </c>
      <c r="AL24">
        <f t="shared" si="53"/>
        <v>0</v>
      </c>
      <c r="AM24">
        <f t="shared" si="54"/>
        <v>0</v>
      </c>
      <c r="AN24">
        <f t="shared" si="55"/>
        <v>0</v>
      </c>
      <c r="AO24">
        <f t="shared" si="25"/>
        <v>0</v>
      </c>
      <c r="AP24">
        <f t="shared" si="56"/>
        <v>0</v>
      </c>
      <c r="AQ24">
        <f t="shared" si="57"/>
        <v>0</v>
      </c>
      <c r="AR24" t="str">
        <f t="shared" si="58"/>
        <v>Full Strength</v>
      </c>
      <c r="AS24" t="str">
        <f t="shared" si="59"/>
        <v>5v5</v>
      </c>
      <c r="AT24">
        <f t="shared" si="30"/>
        <v>0</v>
      </c>
      <c r="AU24">
        <f t="shared" si="31"/>
        <v>1</v>
      </c>
      <c r="AV24">
        <f t="shared" si="60"/>
        <v>0</v>
      </c>
      <c r="AW24">
        <f t="shared" si="61"/>
        <v>0</v>
      </c>
      <c r="AX24">
        <f t="shared" si="62"/>
        <v>0</v>
      </c>
      <c r="AY24">
        <f t="shared" si="63"/>
        <v>0</v>
      </c>
      <c r="AZ24">
        <f>IFERROR(VLOOKUP(B24,events!Z:BM,40,FALSE),0)</f>
        <v>0</v>
      </c>
      <c r="BA24">
        <f t="shared" si="64"/>
        <v>575</v>
      </c>
      <c r="BB24">
        <f t="shared" si="65"/>
        <v>570</v>
      </c>
      <c r="BC24" s="4">
        <f t="shared" si="66"/>
        <v>584</v>
      </c>
    </row>
    <row r="25" spans="1:55" x14ac:dyDescent="0.2">
      <c r="A25">
        <f t="shared" si="39"/>
        <v>24</v>
      </c>
      <c r="B25" s="6">
        <f t="shared" si="7"/>
        <v>1</v>
      </c>
      <c r="C25">
        <f t="shared" si="8"/>
        <v>8</v>
      </c>
      <c r="D25" t="str">
        <f t="shared" si="9"/>
        <v>14</v>
      </c>
      <c r="E25">
        <v>7</v>
      </c>
      <c r="F25" s="4" t="s">
        <v>1039</v>
      </c>
      <c r="I25">
        <v>73</v>
      </c>
      <c r="J25">
        <f t="shared" si="68"/>
        <v>71</v>
      </c>
      <c r="K25">
        <f t="shared" si="40"/>
        <v>37</v>
      </c>
      <c r="L25">
        <f t="shared" si="69"/>
        <v>41</v>
      </c>
      <c r="M25">
        <f t="shared" si="41"/>
        <v>19</v>
      </c>
      <c r="O25" s="5">
        <f t="shared" si="12"/>
        <v>1</v>
      </c>
      <c r="P25">
        <f t="shared" si="42"/>
        <v>70</v>
      </c>
      <c r="Q25">
        <f t="shared" si="43"/>
        <v>24</v>
      </c>
      <c r="R25">
        <f t="shared" si="44"/>
        <v>55</v>
      </c>
      <c r="S25">
        <f t="shared" si="45"/>
        <v>9</v>
      </c>
      <c r="T25">
        <f t="shared" si="46"/>
        <v>93</v>
      </c>
      <c r="V25">
        <f t="shared" si="14"/>
        <v>39</v>
      </c>
      <c r="W25" s="6">
        <f>SUMIFS(events!BI:BI,events!K:K,"=DeadIce",events!BJ:BJ,"&lt;="&amp;shifts!AG25,events!BK:BK,"&gt;"&amp;shifts!AH25,events!Z:Z,"="&amp;shifts!B26)+SUMIFS(events!BI:BI,events!K:K,"=Timeout",events!BJ:BJ,"&lt;="&amp;shifts!AG25,events!BK:BK,"&gt;"&amp;shifts!AH25,events!Z:Z,"="&amp;shifts!B26)</f>
        <v>0</v>
      </c>
      <c r="X25" s="6" t="str">
        <f t="shared" si="15"/>
        <v/>
      </c>
      <c r="AC25">
        <v>1</v>
      </c>
      <c r="AD25">
        <f t="shared" ref="AD25:AF25" si="89">AD24</f>
        <v>18991</v>
      </c>
      <c r="AE25" t="str">
        <f t="shared" si="89"/>
        <v>Triple J</v>
      </c>
      <c r="AF25" t="str">
        <f t="shared" si="89"/>
        <v>Velodrome</v>
      </c>
      <c r="AG25" s="4">
        <f t="shared" si="48"/>
        <v>494</v>
      </c>
      <c r="AH25" s="4">
        <f t="shared" si="49"/>
        <v>447</v>
      </c>
      <c r="AI25" s="14">
        <f t="shared" si="50"/>
        <v>47</v>
      </c>
      <c r="AJ25">
        <f t="shared" si="51"/>
        <v>5</v>
      </c>
      <c r="AK25">
        <f t="shared" si="52"/>
        <v>5</v>
      </c>
      <c r="AL25">
        <f t="shared" si="53"/>
        <v>0</v>
      </c>
      <c r="AM25">
        <f t="shared" si="54"/>
        <v>0</v>
      </c>
      <c r="AN25">
        <f t="shared" si="55"/>
        <v>0</v>
      </c>
      <c r="AO25">
        <f t="shared" si="25"/>
        <v>0</v>
      </c>
      <c r="AP25">
        <f t="shared" si="56"/>
        <v>0</v>
      </c>
      <c r="AQ25">
        <f t="shared" si="57"/>
        <v>0</v>
      </c>
      <c r="AR25" t="str">
        <f t="shared" si="58"/>
        <v>Full Strength</v>
      </c>
      <c r="AS25" t="str">
        <f t="shared" si="59"/>
        <v>5v5</v>
      </c>
      <c r="AT25">
        <f t="shared" si="30"/>
        <v>0</v>
      </c>
      <c r="AU25">
        <f t="shared" si="31"/>
        <v>1</v>
      </c>
      <c r="AV25">
        <f t="shared" si="60"/>
        <v>0</v>
      </c>
      <c r="AW25">
        <f t="shared" si="61"/>
        <v>0</v>
      </c>
      <c r="AX25">
        <f t="shared" si="62"/>
        <v>0</v>
      </c>
      <c r="AY25">
        <f t="shared" si="63"/>
        <v>0</v>
      </c>
      <c r="AZ25">
        <f>IFERROR(VLOOKUP(B25,events!Z:BM,40,FALSE),0)</f>
        <v>0</v>
      </c>
      <c r="BA25">
        <f t="shared" si="64"/>
        <v>586</v>
      </c>
      <c r="BB25">
        <f t="shared" si="65"/>
        <v>581</v>
      </c>
      <c r="BC25" s="4">
        <f t="shared" si="66"/>
        <v>631</v>
      </c>
    </row>
    <row r="26" spans="1:55" x14ac:dyDescent="0.2">
      <c r="A26">
        <f t="shared" si="39"/>
        <v>25</v>
      </c>
      <c r="B26" s="6">
        <f t="shared" si="7"/>
        <v>1</v>
      </c>
      <c r="C26">
        <f t="shared" si="8"/>
        <v>7</v>
      </c>
      <c r="D26" t="str">
        <f t="shared" si="9"/>
        <v>27</v>
      </c>
      <c r="E26">
        <v>7</v>
      </c>
      <c r="F26" s="4" t="s">
        <v>1040</v>
      </c>
      <c r="I26">
        <f t="shared" si="67"/>
        <v>73</v>
      </c>
      <c r="J26">
        <f t="shared" si="68"/>
        <v>71</v>
      </c>
      <c r="K26">
        <f t="shared" si="40"/>
        <v>37</v>
      </c>
      <c r="L26">
        <v>10</v>
      </c>
      <c r="M26">
        <v>57</v>
      </c>
      <c r="O26" s="5">
        <f t="shared" si="12"/>
        <v>1</v>
      </c>
      <c r="P26">
        <v>87</v>
      </c>
      <c r="Q26">
        <v>61</v>
      </c>
      <c r="R26">
        <f t="shared" si="44"/>
        <v>55</v>
      </c>
      <c r="S26">
        <f t="shared" si="45"/>
        <v>9</v>
      </c>
      <c r="T26">
        <f t="shared" si="46"/>
        <v>93</v>
      </c>
      <c r="V26">
        <f t="shared" si="14"/>
        <v>39</v>
      </c>
      <c r="W26" s="6">
        <f>SUMIFS(events!BI:BI,events!K:K,"=DeadIce",events!BJ:BJ,"&lt;="&amp;shifts!AG26,events!BK:BK,"&gt;"&amp;shifts!AH26,events!Z:Z,"="&amp;shifts!B27)+SUMIFS(events!BI:BI,events!K:K,"=Timeout",events!BJ:BJ,"&lt;="&amp;shifts!AG26,events!BK:BK,"&gt;"&amp;shifts!AH26,events!Z:Z,"="&amp;shifts!B27)</f>
        <v>0</v>
      </c>
      <c r="X26" s="6" t="str">
        <f t="shared" si="15"/>
        <v/>
      </c>
      <c r="AC26">
        <v>1</v>
      </c>
      <c r="AD26">
        <f t="shared" ref="AD26:AF26" si="90">AD25</f>
        <v>18991</v>
      </c>
      <c r="AE26" t="str">
        <f t="shared" si="90"/>
        <v>Triple J</v>
      </c>
      <c r="AF26" t="str">
        <f t="shared" si="90"/>
        <v>Velodrome</v>
      </c>
      <c r="AG26" s="4">
        <f t="shared" si="48"/>
        <v>447</v>
      </c>
      <c r="AH26" s="4">
        <f t="shared" si="49"/>
        <v>422</v>
      </c>
      <c r="AI26" s="14">
        <f t="shared" si="50"/>
        <v>25</v>
      </c>
      <c r="AJ26">
        <f t="shared" si="51"/>
        <v>5</v>
      </c>
      <c r="AK26">
        <f t="shared" si="52"/>
        <v>5</v>
      </c>
      <c r="AL26">
        <f t="shared" si="53"/>
        <v>0</v>
      </c>
      <c r="AM26">
        <f t="shared" si="54"/>
        <v>0</v>
      </c>
      <c r="AN26">
        <f t="shared" si="55"/>
        <v>0</v>
      </c>
      <c r="AO26">
        <f t="shared" si="25"/>
        <v>0</v>
      </c>
      <c r="AP26">
        <f t="shared" si="56"/>
        <v>0</v>
      </c>
      <c r="AQ26">
        <f t="shared" si="57"/>
        <v>0</v>
      </c>
      <c r="AR26" t="str">
        <f t="shared" si="58"/>
        <v>Full Strength</v>
      </c>
      <c r="AS26" t="str">
        <f t="shared" si="59"/>
        <v>5v5</v>
      </c>
      <c r="AT26">
        <f t="shared" si="30"/>
        <v>0</v>
      </c>
      <c r="AU26">
        <f t="shared" si="31"/>
        <v>1</v>
      </c>
      <c r="AV26">
        <f t="shared" si="60"/>
        <v>0</v>
      </c>
      <c r="AW26">
        <f t="shared" si="61"/>
        <v>0</v>
      </c>
      <c r="AX26">
        <f t="shared" si="62"/>
        <v>0</v>
      </c>
      <c r="AY26">
        <f t="shared" si="63"/>
        <v>0</v>
      </c>
      <c r="AZ26">
        <f>IFERROR(VLOOKUP(B26,events!Z:BM,40,FALSE),0)</f>
        <v>0</v>
      </c>
      <c r="BA26">
        <f t="shared" si="64"/>
        <v>633</v>
      </c>
      <c r="BB26">
        <f t="shared" si="65"/>
        <v>628</v>
      </c>
      <c r="BC26" s="4">
        <f t="shared" si="66"/>
        <v>656</v>
      </c>
    </row>
    <row r="27" spans="1:55" x14ac:dyDescent="0.2">
      <c r="A27">
        <f t="shared" si="39"/>
        <v>26</v>
      </c>
      <c r="B27" s="6">
        <f t="shared" si="7"/>
        <v>1</v>
      </c>
      <c r="C27">
        <f t="shared" si="8"/>
        <v>7</v>
      </c>
      <c r="D27" t="str">
        <f t="shared" si="9"/>
        <v>02</v>
      </c>
      <c r="E27">
        <v>6</v>
      </c>
      <c r="F27" s="4" t="s">
        <v>1032</v>
      </c>
      <c r="H27" s="5" t="s">
        <v>342</v>
      </c>
      <c r="I27">
        <f t="shared" si="67"/>
        <v>73</v>
      </c>
      <c r="J27">
        <f t="shared" si="68"/>
        <v>71</v>
      </c>
      <c r="K27">
        <f t="shared" si="40"/>
        <v>37</v>
      </c>
      <c r="L27">
        <f t="shared" si="69"/>
        <v>10</v>
      </c>
      <c r="M27">
        <f t="shared" si="41"/>
        <v>57</v>
      </c>
      <c r="O27" s="5">
        <f t="shared" si="12"/>
        <v>1</v>
      </c>
      <c r="P27">
        <f t="shared" si="42"/>
        <v>87</v>
      </c>
      <c r="Q27">
        <f t="shared" si="43"/>
        <v>61</v>
      </c>
      <c r="R27">
        <f t="shared" si="44"/>
        <v>55</v>
      </c>
      <c r="S27">
        <v>22</v>
      </c>
      <c r="T27">
        <f t="shared" si="46"/>
        <v>93</v>
      </c>
      <c r="V27">
        <f t="shared" si="14"/>
        <v>39</v>
      </c>
      <c r="W27" s="6">
        <f>SUMIFS(events!BI:BI,events!K:K,"=DeadIce",events!BJ:BJ,"&lt;="&amp;shifts!AG27,events!BK:BK,"&gt;"&amp;shifts!AH27,events!Z:Z,"="&amp;shifts!B28)+SUMIFS(events!BI:BI,events!K:K,"=Timeout",events!BJ:BJ,"&lt;="&amp;shifts!AG27,events!BK:BK,"&gt;"&amp;shifts!AH27,events!Z:Z,"="&amp;shifts!B28)</f>
        <v>0</v>
      </c>
      <c r="X27" s="6" t="str">
        <f t="shared" si="15"/>
        <v/>
      </c>
      <c r="AA27">
        <v>1</v>
      </c>
      <c r="AD27">
        <f t="shared" ref="AD27:AF27" si="91">AD26</f>
        <v>18991</v>
      </c>
      <c r="AE27" t="str">
        <f t="shared" si="91"/>
        <v>Triple J</v>
      </c>
      <c r="AF27" t="str">
        <f t="shared" si="91"/>
        <v>Velodrome</v>
      </c>
      <c r="AG27" s="4">
        <f t="shared" si="48"/>
        <v>422</v>
      </c>
      <c r="AH27" s="4">
        <f t="shared" si="49"/>
        <v>402</v>
      </c>
      <c r="AI27" s="14">
        <f t="shared" si="50"/>
        <v>20</v>
      </c>
      <c r="AJ27">
        <f t="shared" si="51"/>
        <v>5</v>
      </c>
      <c r="AK27">
        <f t="shared" si="52"/>
        <v>5</v>
      </c>
      <c r="AL27">
        <f t="shared" si="53"/>
        <v>0</v>
      </c>
      <c r="AM27">
        <f t="shared" si="54"/>
        <v>0</v>
      </c>
      <c r="AN27">
        <f t="shared" si="55"/>
        <v>0</v>
      </c>
      <c r="AO27">
        <f t="shared" si="25"/>
        <v>0</v>
      </c>
      <c r="AP27">
        <f t="shared" si="56"/>
        <v>0</v>
      </c>
      <c r="AQ27">
        <f t="shared" si="57"/>
        <v>0</v>
      </c>
      <c r="AR27" t="str">
        <f t="shared" si="58"/>
        <v>Full Strength</v>
      </c>
      <c r="AS27" t="str">
        <f t="shared" si="59"/>
        <v>5v5</v>
      </c>
      <c r="AT27">
        <f t="shared" si="30"/>
        <v>0</v>
      </c>
      <c r="AU27">
        <f t="shared" si="31"/>
        <v>1</v>
      </c>
      <c r="AV27">
        <f t="shared" si="60"/>
        <v>0</v>
      </c>
      <c r="AW27">
        <f t="shared" si="61"/>
        <v>0</v>
      </c>
      <c r="AX27">
        <f t="shared" si="62"/>
        <v>0</v>
      </c>
      <c r="AY27">
        <f t="shared" si="63"/>
        <v>0</v>
      </c>
      <c r="AZ27">
        <f>IFERROR(VLOOKUP(B27,events!Z:BM,40,FALSE),0)</f>
        <v>0</v>
      </c>
      <c r="BA27">
        <f t="shared" si="64"/>
        <v>658</v>
      </c>
      <c r="BB27">
        <f t="shared" si="65"/>
        <v>653</v>
      </c>
      <c r="BC27" s="4">
        <f t="shared" si="66"/>
        <v>676</v>
      </c>
    </row>
    <row r="28" spans="1:55" x14ac:dyDescent="0.2">
      <c r="A28">
        <f t="shared" si="39"/>
        <v>27</v>
      </c>
      <c r="B28" s="6">
        <f t="shared" si="7"/>
        <v>1</v>
      </c>
      <c r="C28">
        <f t="shared" si="8"/>
        <v>6</v>
      </c>
      <c r="D28" t="str">
        <f t="shared" si="9"/>
        <v>42</v>
      </c>
      <c r="E28">
        <v>5</v>
      </c>
      <c r="F28" s="4" t="s">
        <v>1036</v>
      </c>
      <c r="G28" s="6" t="s">
        <v>289</v>
      </c>
      <c r="I28">
        <f t="shared" si="67"/>
        <v>73</v>
      </c>
      <c r="J28">
        <v>16</v>
      </c>
      <c r="K28">
        <v>12</v>
      </c>
      <c r="L28">
        <f t="shared" si="69"/>
        <v>10</v>
      </c>
      <c r="M28">
        <f t="shared" si="41"/>
        <v>57</v>
      </c>
      <c r="O28" s="5">
        <f t="shared" si="12"/>
        <v>1</v>
      </c>
      <c r="P28">
        <f t="shared" si="42"/>
        <v>87</v>
      </c>
      <c r="Q28">
        <f t="shared" si="43"/>
        <v>61</v>
      </c>
      <c r="R28">
        <f t="shared" si="44"/>
        <v>55</v>
      </c>
      <c r="S28">
        <f t="shared" si="45"/>
        <v>22</v>
      </c>
      <c r="T28">
        <v>84</v>
      </c>
      <c r="V28">
        <f t="shared" si="14"/>
        <v>39</v>
      </c>
      <c r="W28" s="6">
        <f>SUMIFS(events!BI:BI,events!K:K,"=DeadIce",events!BJ:BJ,"&lt;="&amp;shifts!AG28,events!BK:BK,"&gt;"&amp;shifts!AH28,events!Z:Z,"="&amp;shifts!B29)+SUMIFS(events!BI:BI,events!K:K,"=Timeout",events!BJ:BJ,"&lt;="&amp;shifts!AG28,events!BK:BK,"&gt;"&amp;shifts!AH28,events!Z:Z,"="&amp;shifts!B29)</f>
        <v>0</v>
      </c>
      <c r="X28" s="6" t="str">
        <f t="shared" si="15"/>
        <v/>
      </c>
      <c r="AC28">
        <v>1</v>
      </c>
      <c r="AD28">
        <f t="shared" ref="AD28:AF28" si="92">AD27</f>
        <v>18991</v>
      </c>
      <c r="AE28" t="str">
        <f t="shared" si="92"/>
        <v>Triple J</v>
      </c>
      <c r="AF28" t="str">
        <f t="shared" si="92"/>
        <v>Velodrome</v>
      </c>
      <c r="AG28" s="4">
        <f t="shared" si="48"/>
        <v>402</v>
      </c>
      <c r="AH28" s="4">
        <f t="shared" si="49"/>
        <v>320</v>
      </c>
      <c r="AI28" s="14">
        <f t="shared" si="50"/>
        <v>82</v>
      </c>
      <c r="AJ28">
        <f t="shared" si="51"/>
        <v>5</v>
      </c>
      <c r="AK28">
        <f t="shared" si="52"/>
        <v>5</v>
      </c>
      <c r="AL28">
        <f t="shared" si="53"/>
        <v>0</v>
      </c>
      <c r="AM28">
        <f t="shared" si="54"/>
        <v>0</v>
      </c>
      <c r="AN28">
        <f t="shared" si="55"/>
        <v>0</v>
      </c>
      <c r="AO28">
        <f t="shared" si="25"/>
        <v>0</v>
      </c>
      <c r="AP28">
        <f t="shared" si="56"/>
        <v>0</v>
      </c>
      <c r="AQ28">
        <f t="shared" si="57"/>
        <v>0</v>
      </c>
      <c r="AR28" t="str">
        <f t="shared" si="58"/>
        <v>Full Strength</v>
      </c>
      <c r="AS28" t="str">
        <f t="shared" si="59"/>
        <v>5v5</v>
      </c>
      <c r="AT28">
        <f t="shared" si="30"/>
        <v>0</v>
      </c>
      <c r="AU28">
        <f t="shared" si="31"/>
        <v>1</v>
      </c>
      <c r="AV28">
        <f t="shared" si="60"/>
        <v>0</v>
      </c>
      <c r="AW28">
        <f t="shared" si="61"/>
        <v>0</v>
      </c>
      <c r="AX28">
        <f t="shared" si="62"/>
        <v>0</v>
      </c>
      <c r="AY28">
        <f t="shared" si="63"/>
        <v>0</v>
      </c>
      <c r="AZ28">
        <f>IFERROR(VLOOKUP(B28,events!Z:BM,40,FALSE),0)</f>
        <v>0</v>
      </c>
      <c r="BA28">
        <f t="shared" si="64"/>
        <v>678</v>
      </c>
      <c r="BB28">
        <f t="shared" si="65"/>
        <v>673</v>
      </c>
      <c r="BC28" s="4">
        <f t="shared" si="66"/>
        <v>758</v>
      </c>
    </row>
    <row r="29" spans="1:55" x14ac:dyDescent="0.2">
      <c r="A29">
        <f t="shared" si="39"/>
        <v>28</v>
      </c>
      <c r="B29" s="6">
        <f t="shared" si="7"/>
        <v>1</v>
      </c>
      <c r="C29">
        <f t="shared" si="8"/>
        <v>5</v>
      </c>
      <c r="D29" t="str">
        <f t="shared" si="9"/>
        <v>20</v>
      </c>
      <c r="E29">
        <v>5</v>
      </c>
      <c r="F29" s="4" t="s">
        <v>746</v>
      </c>
      <c r="I29">
        <f t="shared" si="67"/>
        <v>73</v>
      </c>
      <c r="J29">
        <f t="shared" si="68"/>
        <v>16</v>
      </c>
      <c r="K29">
        <f t="shared" si="40"/>
        <v>12</v>
      </c>
      <c r="L29">
        <v>41</v>
      </c>
      <c r="M29">
        <f t="shared" si="41"/>
        <v>57</v>
      </c>
      <c r="O29" s="5">
        <f t="shared" si="12"/>
        <v>1</v>
      </c>
      <c r="P29">
        <f t="shared" si="42"/>
        <v>87</v>
      </c>
      <c r="Q29">
        <f t="shared" si="43"/>
        <v>61</v>
      </c>
      <c r="R29">
        <f t="shared" si="44"/>
        <v>55</v>
      </c>
      <c r="S29">
        <f t="shared" si="45"/>
        <v>22</v>
      </c>
      <c r="T29">
        <f t="shared" si="46"/>
        <v>84</v>
      </c>
      <c r="V29">
        <f t="shared" si="14"/>
        <v>39</v>
      </c>
      <c r="W29" s="6">
        <f>SUMIFS(events!BI:BI,events!K:K,"=DeadIce",events!BJ:BJ,"&lt;="&amp;shifts!AG29,events!BK:BK,"&gt;"&amp;shifts!AH29,events!Z:Z,"="&amp;shifts!B30)+SUMIFS(events!BI:BI,events!K:K,"=Timeout",events!BJ:BJ,"&lt;="&amp;shifts!AG29,events!BK:BK,"&gt;"&amp;shifts!AH29,events!Z:Z,"="&amp;shifts!B30)</f>
        <v>0</v>
      </c>
      <c r="X29" s="6" t="str">
        <f t="shared" si="15"/>
        <v/>
      </c>
      <c r="AA29">
        <v>1</v>
      </c>
      <c r="AD29">
        <f t="shared" ref="AD29:AF29" si="93">AD28</f>
        <v>18991</v>
      </c>
      <c r="AE29" t="str">
        <f t="shared" si="93"/>
        <v>Triple J</v>
      </c>
      <c r="AF29" t="str">
        <f t="shared" si="93"/>
        <v>Velodrome</v>
      </c>
      <c r="AG29" s="4">
        <f t="shared" si="48"/>
        <v>320</v>
      </c>
      <c r="AH29" s="4">
        <f t="shared" si="49"/>
        <v>312</v>
      </c>
      <c r="AI29" s="14">
        <f t="shared" si="50"/>
        <v>8</v>
      </c>
      <c r="AJ29">
        <f t="shared" si="51"/>
        <v>5</v>
      </c>
      <c r="AK29">
        <f t="shared" si="52"/>
        <v>5</v>
      </c>
      <c r="AL29">
        <f t="shared" si="53"/>
        <v>0</v>
      </c>
      <c r="AM29">
        <f t="shared" si="54"/>
        <v>0</v>
      </c>
      <c r="AN29">
        <f t="shared" si="55"/>
        <v>0</v>
      </c>
      <c r="AO29">
        <f t="shared" si="25"/>
        <v>0</v>
      </c>
      <c r="AP29">
        <f t="shared" si="56"/>
        <v>0</v>
      </c>
      <c r="AQ29">
        <f t="shared" si="57"/>
        <v>0</v>
      </c>
      <c r="AR29" t="str">
        <f t="shared" si="58"/>
        <v>Full Strength</v>
      </c>
      <c r="AS29" t="str">
        <f t="shared" si="59"/>
        <v>5v5</v>
      </c>
      <c r="AT29">
        <f t="shared" si="30"/>
        <v>0</v>
      </c>
      <c r="AU29">
        <f t="shared" si="31"/>
        <v>1</v>
      </c>
      <c r="AV29">
        <f t="shared" si="60"/>
        <v>0</v>
      </c>
      <c r="AW29">
        <f t="shared" si="61"/>
        <v>0</v>
      </c>
      <c r="AX29">
        <f t="shared" si="62"/>
        <v>0</v>
      </c>
      <c r="AY29">
        <f t="shared" si="63"/>
        <v>0</v>
      </c>
      <c r="AZ29">
        <f>IFERROR(VLOOKUP(B29,events!Z:BM,40,FALSE),0)</f>
        <v>0</v>
      </c>
      <c r="BA29">
        <f t="shared" si="64"/>
        <v>760</v>
      </c>
      <c r="BB29">
        <f t="shared" si="65"/>
        <v>755</v>
      </c>
      <c r="BC29" s="4">
        <f t="shared" si="66"/>
        <v>766</v>
      </c>
    </row>
    <row r="30" spans="1:55" x14ac:dyDescent="0.2">
      <c r="A30">
        <f t="shared" si="39"/>
        <v>29</v>
      </c>
      <c r="B30" s="6">
        <f t="shared" si="7"/>
        <v>1</v>
      </c>
      <c r="C30">
        <f t="shared" si="8"/>
        <v>5</v>
      </c>
      <c r="D30" t="str">
        <f t="shared" si="9"/>
        <v>12</v>
      </c>
      <c r="E30">
        <v>4</v>
      </c>
      <c r="F30" s="4" t="s">
        <v>1028</v>
      </c>
      <c r="I30">
        <f t="shared" si="67"/>
        <v>73</v>
      </c>
      <c r="J30">
        <f t="shared" si="68"/>
        <v>16</v>
      </c>
      <c r="K30">
        <f t="shared" si="40"/>
        <v>12</v>
      </c>
      <c r="L30">
        <f t="shared" si="69"/>
        <v>41</v>
      </c>
      <c r="M30">
        <f t="shared" si="41"/>
        <v>57</v>
      </c>
      <c r="O30" s="5">
        <f t="shared" si="12"/>
        <v>1</v>
      </c>
      <c r="P30">
        <v>70</v>
      </c>
      <c r="Q30">
        <f t="shared" si="43"/>
        <v>61</v>
      </c>
      <c r="R30">
        <v>14</v>
      </c>
      <c r="S30">
        <f t="shared" si="45"/>
        <v>22</v>
      </c>
      <c r="T30">
        <f t="shared" si="46"/>
        <v>84</v>
      </c>
      <c r="V30">
        <f t="shared" si="14"/>
        <v>39</v>
      </c>
      <c r="W30" s="6">
        <f>SUMIFS(events!BI:BI,events!K:K,"=DeadIce",events!BJ:BJ,"&lt;="&amp;shifts!AG30,events!BK:BK,"&gt;"&amp;shifts!AH30,events!Z:Z,"="&amp;shifts!B31)+SUMIFS(events!BI:BI,events!K:K,"=Timeout",events!BJ:BJ,"&lt;="&amp;shifts!AG30,events!BK:BK,"&gt;"&amp;shifts!AH30,events!Z:Z,"="&amp;shifts!B31)</f>
        <v>0</v>
      </c>
      <c r="X30" s="6" t="str">
        <f t="shared" si="15"/>
        <v/>
      </c>
      <c r="AC30">
        <v>1</v>
      </c>
      <c r="AD30">
        <f t="shared" ref="AD30:AF30" si="94">AD29</f>
        <v>18991</v>
      </c>
      <c r="AE30" t="str">
        <f t="shared" si="94"/>
        <v>Triple J</v>
      </c>
      <c r="AF30" t="str">
        <f t="shared" si="94"/>
        <v>Velodrome</v>
      </c>
      <c r="AG30" s="4">
        <f t="shared" si="48"/>
        <v>312</v>
      </c>
      <c r="AH30" s="4">
        <f t="shared" si="49"/>
        <v>298</v>
      </c>
      <c r="AI30" s="14">
        <f t="shared" si="50"/>
        <v>14</v>
      </c>
      <c r="AJ30">
        <f t="shared" si="51"/>
        <v>5</v>
      </c>
      <c r="AK30">
        <f t="shared" si="52"/>
        <v>5</v>
      </c>
      <c r="AL30">
        <f t="shared" si="53"/>
        <v>0</v>
      </c>
      <c r="AM30">
        <f t="shared" si="54"/>
        <v>0</v>
      </c>
      <c r="AN30">
        <f t="shared" si="55"/>
        <v>0</v>
      </c>
      <c r="AO30">
        <f t="shared" si="25"/>
        <v>0</v>
      </c>
      <c r="AP30">
        <f t="shared" si="56"/>
        <v>0</v>
      </c>
      <c r="AQ30">
        <f t="shared" si="57"/>
        <v>0</v>
      </c>
      <c r="AR30" t="str">
        <f t="shared" si="58"/>
        <v>Full Strength</v>
      </c>
      <c r="AS30" t="str">
        <f t="shared" si="59"/>
        <v>5v5</v>
      </c>
      <c r="AT30">
        <f t="shared" si="30"/>
        <v>0</v>
      </c>
      <c r="AU30">
        <f t="shared" si="31"/>
        <v>1</v>
      </c>
      <c r="AV30">
        <f t="shared" si="60"/>
        <v>0</v>
      </c>
      <c r="AW30">
        <f t="shared" si="61"/>
        <v>0</v>
      </c>
      <c r="AX30">
        <f t="shared" si="62"/>
        <v>0</v>
      </c>
      <c r="AY30">
        <f t="shared" si="63"/>
        <v>0</v>
      </c>
      <c r="AZ30">
        <f>IFERROR(VLOOKUP(B30,events!Z:BM,40,FALSE),0)</f>
        <v>0</v>
      </c>
      <c r="BA30">
        <f t="shared" si="64"/>
        <v>768</v>
      </c>
      <c r="BB30">
        <f t="shared" si="65"/>
        <v>763</v>
      </c>
      <c r="BC30" s="4">
        <f t="shared" si="66"/>
        <v>780</v>
      </c>
    </row>
    <row r="31" spans="1:55" x14ac:dyDescent="0.2">
      <c r="A31">
        <f t="shared" si="39"/>
        <v>30</v>
      </c>
      <c r="B31" s="6">
        <f t="shared" si="7"/>
        <v>1</v>
      </c>
      <c r="C31">
        <f t="shared" si="8"/>
        <v>4</v>
      </c>
      <c r="D31" t="str">
        <f t="shared" si="9"/>
        <v>58</v>
      </c>
      <c r="E31">
        <v>4</v>
      </c>
      <c r="F31" s="4" t="s">
        <v>1043</v>
      </c>
      <c r="H31" s="5" t="s">
        <v>301</v>
      </c>
      <c r="I31">
        <f t="shared" si="67"/>
        <v>73</v>
      </c>
      <c r="J31">
        <f t="shared" si="68"/>
        <v>16</v>
      </c>
      <c r="K31">
        <f t="shared" si="40"/>
        <v>12</v>
      </c>
      <c r="L31">
        <f t="shared" si="69"/>
        <v>41</v>
      </c>
      <c r="M31">
        <f>IF($D31&gt;0,M30,"")</f>
        <v>57</v>
      </c>
      <c r="O31" s="5">
        <f t="shared" si="12"/>
        <v>1</v>
      </c>
      <c r="P31">
        <f t="shared" si="42"/>
        <v>70</v>
      </c>
      <c r="Q31">
        <v>75</v>
      </c>
      <c r="R31">
        <f t="shared" si="44"/>
        <v>14</v>
      </c>
      <c r="S31">
        <f t="shared" si="45"/>
        <v>22</v>
      </c>
      <c r="T31">
        <v>84</v>
      </c>
      <c r="V31">
        <f t="shared" si="14"/>
        <v>39</v>
      </c>
      <c r="W31" s="6">
        <f>SUMIFS(events!BI:BI,events!K:K,"=DeadIce",events!BJ:BJ,"&lt;="&amp;shifts!AG31,events!BK:BK,"&gt;"&amp;shifts!AH31,events!Z:Z,"="&amp;shifts!B32)+SUMIFS(events!BI:BI,events!K:K,"=Timeout",events!BJ:BJ,"&lt;="&amp;shifts!AG31,events!BK:BK,"&gt;"&amp;shifts!AH31,events!Z:Z,"="&amp;shifts!B32)</f>
        <v>0</v>
      </c>
      <c r="X31" s="6" t="str">
        <f t="shared" si="15"/>
        <v/>
      </c>
      <c r="Y31">
        <v>1</v>
      </c>
      <c r="AD31">
        <f t="shared" ref="AD31:AF31" si="95">AD30</f>
        <v>18991</v>
      </c>
      <c r="AE31" t="str">
        <f t="shared" si="95"/>
        <v>Triple J</v>
      </c>
      <c r="AF31" t="str">
        <f t="shared" si="95"/>
        <v>Velodrome</v>
      </c>
      <c r="AG31" s="4">
        <f t="shared" si="48"/>
        <v>298</v>
      </c>
      <c r="AH31" s="4">
        <f t="shared" si="49"/>
        <v>273</v>
      </c>
      <c r="AI31" s="14">
        <f t="shared" si="50"/>
        <v>25</v>
      </c>
      <c r="AJ31">
        <f t="shared" si="51"/>
        <v>5</v>
      </c>
      <c r="AK31">
        <f t="shared" si="52"/>
        <v>5</v>
      </c>
      <c r="AL31">
        <f t="shared" si="53"/>
        <v>0</v>
      </c>
      <c r="AM31">
        <f t="shared" si="54"/>
        <v>0</v>
      </c>
      <c r="AN31">
        <f t="shared" si="55"/>
        <v>0</v>
      </c>
      <c r="AO31">
        <f t="shared" si="25"/>
        <v>0</v>
      </c>
      <c r="AP31">
        <f t="shared" si="56"/>
        <v>0</v>
      </c>
      <c r="AQ31">
        <f t="shared" si="57"/>
        <v>0</v>
      </c>
      <c r="AR31" t="str">
        <f t="shared" si="58"/>
        <v>Full Strength</v>
      </c>
      <c r="AS31" t="str">
        <f t="shared" si="59"/>
        <v>5v5</v>
      </c>
      <c r="AT31">
        <f t="shared" si="30"/>
        <v>0</v>
      </c>
      <c r="AU31">
        <f t="shared" si="31"/>
        <v>1</v>
      </c>
      <c r="AV31">
        <f t="shared" si="60"/>
        <v>0</v>
      </c>
      <c r="AW31">
        <f t="shared" si="61"/>
        <v>0</v>
      </c>
      <c r="AX31">
        <f t="shared" si="62"/>
        <v>0</v>
      </c>
      <c r="AY31">
        <f t="shared" si="63"/>
        <v>0</v>
      </c>
      <c r="AZ31">
        <f>IFERROR(VLOOKUP(B31,events!Z:BM,40,FALSE),0)</f>
        <v>0</v>
      </c>
      <c r="BA31">
        <f t="shared" si="64"/>
        <v>782</v>
      </c>
      <c r="BB31">
        <f t="shared" si="65"/>
        <v>777</v>
      </c>
      <c r="BC31" s="4">
        <f t="shared" si="66"/>
        <v>805</v>
      </c>
    </row>
    <row r="32" spans="1:55" x14ac:dyDescent="0.2">
      <c r="A32">
        <f t="shared" si="39"/>
        <v>31</v>
      </c>
      <c r="B32" s="6">
        <f t="shared" si="7"/>
        <v>1</v>
      </c>
      <c r="C32">
        <f t="shared" si="8"/>
        <v>4</v>
      </c>
      <c r="D32" t="str">
        <f t="shared" si="9"/>
        <v>33</v>
      </c>
      <c r="E32">
        <v>2</v>
      </c>
      <c r="F32" s="4" t="s">
        <v>1044</v>
      </c>
      <c r="G32" s="6" t="s">
        <v>289</v>
      </c>
      <c r="H32" s="5" t="s">
        <v>341</v>
      </c>
      <c r="I32">
        <v>21</v>
      </c>
      <c r="J32">
        <v>90</v>
      </c>
      <c r="K32">
        <v>69</v>
      </c>
      <c r="L32">
        <f t="shared" si="69"/>
        <v>41</v>
      </c>
      <c r="M32">
        <v>19</v>
      </c>
      <c r="O32" s="5">
        <f t="shared" si="12"/>
        <v>1</v>
      </c>
      <c r="P32">
        <f t="shared" si="42"/>
        <v>70</v>
      </c>
      <c r="Q32">
        <f t="shared" si="43"/>
        <v>75</v>
      </c>
      <c r="R32">
        <f t="shared" si="44"/>
        <v>14</v>
      </c>
      <c r="S32">
        <v>9</v>
      </c>
      <c r="T32">
        <v>93</v>
      </c>
      <c r="V32">
        <f t="shared" si="14"/>
        <v>39</v>
      </c>
      <c r="W32" s="6">
        <f>SUMIFS(events!BI:BI,events!K:K,"=DeadIce",events!BJ:BJ,"&lt;="&amp;shifts!AG32,events!BK:BK,"&gt;"&amp;shifts!AH32,events!Z:Z,"="&amp;shifts!B33)+SUMIFS(events!BI:BI,events!K:K,"=Timeout",events!BJ:BJ,"&lt;="&amp;shifts!AG32,events!BK:BK,"&gt;"&amp;shifts!AH32,events!Z:Z,"="&amp;shifts!B33)</f>
        <v>0</v>
      </c>
      <c r="X32" s="6">
        <f t="shared" si="15"/>
        <v>1</v>
      </c>
      <c r="Y32">
        <v>1</v>
      </c>
      <c r="AD32">
        <f t="shared" ref="AD32:AF32" si="96">AD31</f>
        <v>18991</v>
      </c>
      <c r="AE32" t="str">
        <f t="shared" si="96"/>
        <v>Triple J</v>
      </c>
      <c r="AF32" t="str">
        <f t="shared" si="96"/>
        <v>Velodrome</v>
      </c>
      <c r="AG32" s="4">
        <f t="shared" si="48"/>
        <v>273</v>
      </c>
      <c r="AH32" s="4">
        <f t="shared" si="49"/>
        <v>172</v>
      </c>
      <c r="AI32" s="14">
        <f t="shared" si="50"/>
        <v>101</v>
      </c>
      <c r="AJ32">
        <f t="shared" si="51"/>
        <v>5</v>
      </c>
      <c r="AK32">
        <f t="shared" si="52"/>
        <v>5</v>
      </c>
      <c r="AL32">
        <f t="shared" si="53"/>
        <v>0</v>
      </c>
      <c r="AM32">
        <f t="shared" si="54"/>
        <v>0</v>
      </c>
      <c r="AN32">
        <f t="shared" si="55"/>
        <v>0</v>
      </c>
      <c r="AO32">
        <f t="shared" si="25"/>
        <v>0</v>
      </c>
      <c r="AP32">
        <f t="shared" si="56"/>
        <v>0</v>
      </c>
      <c r="AQ32">
        <f t="shared" si="57"/>
        <v>0</v>
      </c>
      <c r="AR32" t="str">
        <f t="shared" si="58"/>
        <v>Full Strength</v>
      </c>
      <c r="AS32" t="str">
        <f t="shared" si="59"/>
        <v>5v5</v>
      </c>
      <c r="AT32">
        <f t="shared" si="30"/>
        <v>0</v>
      </c>
      <c r="AU32">
        <f t="shared" si="31"/>
        <v>1</v>
      </c>
      <c r="AV32">
        <f t="shared" si="60"/>
        <v>0</v>
      </c>
      <c r="AW32">
        <f t="shared" si="61"/>
        <v>0</v>
      </c>
      <c r="AX32">
        <f t="shared" si="62"/>
        <v>0</v>
      </c>
      <c r="AY32">
        <f t="shared" si="63"/>
        <v>0</v>
      </c>
      <c r="AZ32">
        <f>IFERROR(VLOOKUP(B32,events!Z:BM,40,FALSE),0)</f>
        <v>0</v>
      </c>
      <c r="BA32">
        <f t="shared" si="64"/>
        <v>807</v>
      </c>
      <c r="BB32">
        <f t="shared" si="65"/>
        <v>802</v>
      </c>
      <c r="BC32" s="4">
        <f t="shared" si="66"/>
        <v>906</v>
      </c>
    </row>
    <row r="33" spans="1:55" x14ac:dyDescent="0.2">
      <c r="A33">
        <f t="shared" si="39"/>
        <v>32</v>
      </c>
      <c r="B33" s="6">
        <f t="shared" si="7"/>
        <v>1</v>
      </c>
      <c r="C33">
        <f t="shared" si="8"/>
        <v>2</v>
      </c>
      <c r="D33" t="str">
        <f t="shared" si="9"/>
        <v>52</v>
      </c>
      <c r="E33">
        <v>2</v>
      </c>
      <c r="F33" s="4" t="s">
        <v>739</v>
      </c>
      <c r="G33" s="6" t="s">
        <v>289</v>
      </c>
      <c r="I33">
        <v>73</v>
      </c>
      <c r="J33">
        <v>71</v>
      </c>
      <c r="K33">
        <f t="shared" si="40"/>
        <v>69</v>
      </c>
      <c r="L33">
        <v>41</v>
      </c>
      <c r="M33">
        <f t="shared" si="41"/>
        <v>19</v>
      </c>
      <c r="O33" s="5">
        <f t="shared" si="12"/>
        <v>1</v>
      </c>
      <c r="P33">
        <f t="shared" si="42"/>
        <v>70</v>
      </c>
      <c r="Q33">
        <f t="shared" si="43"/>
        <v>75</v>
      </c>
      <c r="R33">
        <v>91</v>
      </c>
      <c r="S33">
        <f t="shared" si="45"/>
        <v>9</v>
      </c>
      <c r="T33">
        <f t="shared" si="46"/>
        <v>93</v>
      </c>
      <c r="V33">
        <f t="shared" si="14"/>
        <v>39</v>
      </c>
      <c r="W33" s="6">
        <f>SUMIFS(events!BI:BI,events!K:K,"=DeadIce",events!BJ:BJ,"&lt;="&amp;shifts!AG33,events!BK:BK,"&gt;"&amp;shifts!AH33,events!Z:Z,"="&amp;shifts!B34)+SUMIFS(events!BI:BI,events!K:K,"=Timeout",events!BJ:BJ,"&lt;="&amp;shifts!AG33,events!BK:BK,"&gt;"&amp;shifts!AH33,events!Z:Z,"="&amp;shifts!B34)</f>
        <v>0</v>
      </c>
      <c r="X33" s="6">
        <f t="shared" si="15"/>
        <v>1</v>
      </c>
      <c r="AA33">
        <v>1</v>
      </c>
      <c r="AD33">
        <f t="shared" ref="AD33:AF33" si="97">AD32</f>
        <v>18991</v>
      </c>
      <c r="AE33" t="str">
        <f t="shared" si="97"/>
        <v>Triple J</v>
      </c>
      <c r="AF33" t="str">
        <f t="shared" si="97"/>
        <v>Velodrome</v>
      </c>
      <c r="AG33" s="4">
        <f t="shared" si="48"/>
        <v>172</v>
      </c>
      <c r="AH33" s="4">
        <f t="shared" si="49"/>
        <v>146</v>
      </c>
      <c r="AI33" s="14">
        <f t="shared" si="50"/>
        <v>26</v>
      </c>
      <c r="AJ33">
        <f t="shared" si="51"/>
        <v>5</v>
      </c>
      <c r="AK33">
        <f t="shared" si="52"/>
        <v>5</v>
      </c>
      <c r="AL33">
        <f t="shared" si="53"/>
        <v>0</v>
      </c>
      <c r="AM33">
        <f t="shared" si="54"/>
        <v>0</v>
      </c>
      <c r="AN33">
        <f t="shared" si="55"/>
        <v>0</v>
      </c>
      <c r="AO33">
        <f t="shared" si="25"/>
        <v>0</v>
      </c>
      <c r="AP33">
        <f t="shared" si="56"/>
        <v>0</v>
      </c>
      <c r="AQ33">
        <f t="shared" si="57"/>
        <v>0</v>
      </c>
      <c r="AR33" t="str">
        <f t="shared" si="58"/>
        <v>Full Strength</v>
      </c>
      <c r="AS33" t="str">
        <f t="shared" si="59"/>
        <v>5v5</v>
      </c>
      <c r="AT33">
        <f t="shared" si="30"/>
        <v>0</v>
      </c>
      <c r="AU33">
        <f t="shared" si="31"/>
        <v>1</v>
      </c>
      <c r="AV33">
        <f t="shared" si="60"/>
        <v>0</v>
      </c>
      <c r="AW33">
        <f t="shared" si="61"/>
        <v>0</v>
      </c>
      <c r="AX33">
        <f t="shared" si="62"/>
        <v>0</v>
      </c>
      <c r="AY33">
        <f t="shared" si="63"/>
        <v>0</v>
      </c>
      <c r="AZ33">
        <f>IFERROR(VLOOKUP(B33,events!Z:BM,40,FALSE),0)</f>
        <v>0</v>
      </c>
      <c r="BA33">
        <f t="shared" si="64"/>
        <v>908</v>
      </c>
      <c r="BB33">
        <f t="shared" si="65"/>
        <v>903</v>
      </c>
      <c r="BC33" s="4">
        <f t="shared" si="66"/>
        <v>932</v>
      </c>
    </row>
    <row r="34" spans="1:55" x14ac:dyDescent="0.2">
      <c r="A34">
        <f t="shared" si="39"/>
        <v>33</v>
      </c>
      <c r="B34" s="6">
        <f t="shared" si="7"/>
        <v>1</v>
      </c>
      <c r="C34">
        <f t="shared" si="8"/>
        <v>2</v>
      </c>
      <c r="D34" t="str">
        <f t="shared" si="9"/>
        <v>26</v>
      </c>
      <c r="E34">
        <v>2</v>
      </c>
      <c r="F34" s="4" t="s">
        <v>745</v>
      </c>
      <c r="H34" s="5" t="s">
        <v>299</v>
      </c>
      <c r="I34">
        <f t="shared" si="67"/>
        <v>73</v>
      </c>
      <c r="J34">
        <f t="shared" si="68"/>
        <v>71</v>
      </c>
      <c r="K34">
        <f t="shared" si="40"/>
        <v>69</v>
      </c>
      <c r="L34">
        <f t="shared" si="69"/>
        <v>41</v>
      </c>
      <c r="M34">
        <f t="shared" si="41"/>
        <v>19</v>
      </c>
      <c r="O34" s="5">
        <f t="shared" si="12"/>
        <v>1</v>
      </c>
      <c r="P34">
        <f t="shared" si="42"/>
        <v>70</v>
      </c>
      <c r="Q34">
        <v>24</v>
      </c>
      <c r="R34">
        <f t="shared" si="44"/>
        <v>91</v>
      </c>
      <c r="S34">
        <f t="shared" si="45"/>
        <v>9</v>
      </c>
      <c r="T34">
        <f t="shared" si="46"/>
        <v>93</v>
      </c>
      <c r="V34">
        <f t="shared" si="14"/>
        <v>39</v>
      </c>
      <c r="W34" s="6">
        <f>SUMIFS(events!BI:BI,events!K:K,"=DeadIce",events!BJ:BJ,"&lt;="&amp;shifts!AG34,events!BK:BK,"&gt;"&amp;shifts!AH34,events!Z:Z,"="&amp;shifts!B35)+SUMIFS(events!BI:BI,events!K:K,"=Timeout",events!BJ:BJ,"&lt;="&amp;shifts!AG34,events!BK:BK,"&gt;"&amp;shifts!AH34,events!Z:Z,"="&amp;shifts!B35)</f>
        <v>0</v>
      </c>
      <c r="X34" s="6" t="str">
        <f t="shared" si="15"/>
        <v/>
      </c>
      <c r="AA34">
        <v>1</v>
      </c>
      <c r="AD34">
        <f t="shared" ref="AD34:AF34" si="98">AD33</f>
        <v>18991</v>
      </c>
      <c r="AE34" t="str">
        <f t="shared" si="98"/>
        <v>Triple J</v>
      </c>
      <c r="AF34" t="str">
        <f t="shared" si="98"/>
        <v>Velodrome</v>
      </c>
      <c r="AG34" s="4">
        <f t="shared" si="48"/>
        <v>146</v>
      </c>
      <c r="AH34" s="4">
        <f t="shared" si="49"/>
        <v>134</v>
      </c>
      <c r="AI34" s="14">
        <f t="shared" si="50"/>
        <v>12</v>
      </c>
      <c r="AJ34">
        <f t="shared" si="51"/>
        <v>5</v>
      </c>
      <c r="AK34">
        <f t="shared" si="52"/>
        <v>5</v>
      </c>
      <c r="AL34">
        <f t="shared" si="53"/>
        <v>0</v>
      </c>
      <c r="AM34">
        <f t="shared" si="54"/>
        <v>0</v>
      </c>
      <c r="AN34">
        <f t="shared" si="55"/>
        <v>0</v>
      </c>
      <c r="AO34">
        <f t="shared" si="25"/>
        <v>0</v>
      </c>
      <c r="AP34">
        <f t="shared" si="56"/>
        <v>0</v>
      </c>
      <c r="AQ34">
        <f t="shared" si="57"/>
        <v>0</v>
      </c>
      <c r="AR34" t="str">
        <f t="shared" si="58"/>
        <v>Full Strength</v>
      </c>
      <c r="AS34" t="str">
        <f t="shared" si="59"/>
        <v>5v5</v>
      </c>
      <c r="AT34">
        <f t="shared" si="30"/>
        <v>0</v>
      </c>
      <c r="AU34">
        <f t="shared" si="31"/>
        <v>1</v>
      </c>
      <c r="AV34">
        <f t="shared" si="60"/>
        <v>0</v>
      </c>
      <c r="AW34">
        <f t="shared" si="61"/>
        <v>0</v>
      </c>
      <c r="AX34">
        <f t="shared" si="62"/>
        <v>0</v>
      </c>
      <c r="AY34">
        <f t="shared" si="63"/>
        <v>0</v>
      </c>
      <c r="AZ34">
        <f>IFERROR(VLOOKUP(B34,events!Z:BM,40,FALSE),0)</f>
        <v>0</v>
      </c>
      <c r="BA34">
        <f t="shared" si="64"/>
        <v>934</v>
      </c>
      <c r="BB34">
        <f t="shared" si="65"/>
        <v>929</v>
      </c>
      <c r="BC34" s="4">
        <f t="shared" si="66"/>
        <v>944</v>
      </c>
    </row>
    <row r="35" spans="1:55" x14ac:dyDescent="0.2">
      <c r="A35">
        <f t="shared" si="39"/>
        <v>34</v>
      </c>
      <c r="B35" s="6">
        <f t="shared" si="7"/>
        <v>1</v>
      </c>
      <c r="C35">
        <f t="shared" si="8"/>
        <v>2</v>
      </c>
      <c r="D35" t="str">
        <f t="shared" si="9"/>
        <v>14</v>
      </c>
      <c r="E35">
        <v>0</v>
      </c>
      <c r="F35" s="4" t="s">
        <v>755</v>
      </c>
      <c r="G35" s="6" t="s">
        <v>289</v>
      </c>
      <c r="H35" s="5" t="s">
        <v>292</v>
      </c>
      <c r="I35">
        <f t="shared" si="67"/>
        <v>73</v>
      </c>
      <c r="J35">
        <f t="shared" si="68"/>
        <v>71</v>
      </c>
      <c r="K35">
        <v>37</v>
      </c>
      <c r="L35">
        <v>57</v>
      </c>
      <c r="M35">
        <v>10</v>
      </c>
      <c r="O35" s="5">
        <f t="shared" si="12"/>
        <v>1</v>
      </c>
      <c r="P35">
        <f t="shared" si="42"/>
        <v>70</v>
      </c>
      <c r="Q35">
        <f t="shared" si="43"/>
        <v>24</v>
      </c>
      <c r="R35">
        <f t="shared" si="44"/>
        <v>91</v>
      </c>
      <c r="S35">
        <v>22</v>
      </c>
      <c r="T35">
        <v>84</v>
      </c>
      <c r="V35">
        <f t="shared" si="14"/>
        <v>39</v>
      </c>
      <c r="W35" s="6">
        <f>SUMIFS(events!BI:BI,events!K:K,"=DeadIce",events!BJ:BJ,"&lt;="&amp;shifts!AG35,events!BK:BK,"&gt;"&amp;shifts!AH35,events!Z:Z,"="&amp;shifts!B36)+SUMIFS(events!BI:BI,events!K:K,"=Timeout",events!BJ:BJ,"&lt;="&amp;shifts!AG35,events!BK:BK,"&gt;"&amp;shifts!AH35,events!Z:Z,"="&amp;shifts!B36)</f>
        <v>0</v>
      </c>
      <c r="X35" s="6" t="str">
        <f t="shared" si="15"/>
        <v/>
      </c>
      <c r="AA35">
        <v>1</v>
      </c>
      <c r="AD35">
        <f t="shared" ref="AD35:AF35" si="99">AD34</f>
        <v>18991</v>
      </c>
      <c r="AE35" t="str">
        <f t="shared" si="99"/>
        <v>Triple J</v>
      </c>
      <c r="AF35" t="str">
        <f t="shared" si="99"/>
        <v>Velodrome</v>
      </c>
      <c r="AG35" s="4">
        <f t="shared" si="48"/>
        <v>134</v>
      </c>
      <c r="AH35" s="4">
        <f t="shared" si="49"/>
        <v>0.01</v>
      </c>
      <c r="AI35" s="14">
        <f t="shared" si="50"/>
        <v>134</v>
      </c>
      <c r="AJ35">
        <f t="shared" si="51"/>
        <v>5</v>
      </c>
      <c r="AK35">
        <f t="shared" si="52"/>
        <v>5</v>
      </c>
      <c r="AL35">
        <f t="shared" si="53"/>
        <v>0</v>
      </c>
      <c r="AM35">
        <f t="shared" si="54"/>
        <v>0</v>
      </c>
      <c r="AN35">
        <f t="shared" si="55"/>
        <v>0</v>
      </c>
      <c r="AO35">
        <f t="shared" si="25"/>
        <v>0</v>
      </c>
      <c r="AP35">
        <f t="shared" si="56"/>
        <v>0</v>
      </c>
      <c r="AQ35">
        <f t="shared" si="57"/>
        <v>0</v>
      </c>
      <c r="AR35" t="str">
        <f t="shared" si="58"/>
        <v>Full Strength</v>
      </c>
      <c r="AS35" t="str">
        <f t="shared" si="59"/>
        <v>5v5</v>
      </c>
      <c r="AT35">
        <f t="shared" si="30"/>
        <v>0</v>
      </c>
      <c r="AU35">
        <f t="shared" si="31"/>
        <v>1</v>
      </c>
      <c r="AV35">
        <f t="shared" si="60"/>
        <v>0</v>
      </c>
      <c r="AW35">
        <f t="shared" si="61"/>
        <v>0</v>
      </c>
      <c r="AX35">
        <f t="shared" si="62"/>
        <v>0</v>
      </c>
      <c r="AY35">
        <f t="shared" si="63"/>
        <v>0</v>
      </c>
      <c r="AZ35">
        <f>IFERROR(VLOOKUP(B35,events!Z:BM,40,FALSE),0)</f>
        <v>0</v>
      </c>
      <c r="BA35">
        <f t="shared" si="64"/>
        <v>946</v>
      </c>
      <c r="BB35">
        <f t="shared" si="65"/>
        <v>941</v>
      </c>
      <c r="BC35" s="4">
        <f t="shared" si="66"/>
        <v>1078</v>
      </c>
    </row>
    <row r="36" spans="1:55" x14ac:dyDescent="0.2">
      <c r="A36">
        <f t="shared" si="39"/>
        <v>35</v>
      </c>
      <c r="B36" s="6">
        <f t="shared" si="7"/>
        <v>1</v>
      </c>
      <c r="C36">
        <f t="shared" si="8"/>
        <v>0</v>
      </c>
      <c r="D36" t="str">
        <f t="shared" si="9"/>
        <v>0.01</v>
      </c>
      <c r="G36" s="6" t="s">
        <v>393</v>
      </c>
      <c r="P36"/>
      <c r="W36" s="6">
        <f>SUMIFS(events!BI:BI,events!K:K,"=DeadIce",events!BJ:BJ,"&lt;="&amp;shifts!AG36,events!BK:BK,"&gt;"&amp;shifts!AH36,events!Z:Z,"="&amp;shifts!B37)+SUMIFS(events!BI:BI,events!K:K,"=Timeout",events!BJ:BJ,"&lt;="&amp;shifts!AG36,events!BK:BK,"&gt;"&amp;shifts!AH36,events!Z:Z,"="&amp;shifts!B37)</f>
        <v>0</v>
      </c>
      <c r="X36" s="6" t="str">
        <f t="shared" si="15"/>
        <v/>
      </c>
      <c r="AD36">
        <f t="shared" ref="AD36:AF36" si="100">AD35</f>
        <v>18991</v>
      </c>
      <c r="AE36" t="str">
        <f t="shared" si="100"/>
        <v>Triple J</v>
      </c>
      <c r="AF36" t="str">
        <f t="shared" si="100"/>
        <v>Velodrome</v>
      </c>
      <c r="AG36" s="4">
        <f t="shared" si="48"/>
        <v>0.01</v>
      </c>
      <c r="AH36" s="4">
        <f t="shared" si="49"/>
        <v>0</v>
      </c>
      <c r="AI36" s="14">
        <f t="shared" si="50"/>
        <v>0</v>
      </c>
      <c r="AJ36">
        <f t="shared" si="51"/>
        <v>0</v>
      </c>
      <c r="AK36">
        <f t="shared" si="52"/>
        <v>0</v>
      </c>
      <c r="AL36">
        <f t="shared" si="53"/>
        <v>1</v>
      </c>
      <c r="AM36">
        <f t="shared" si="54"/>
        <v>1</v>
      </c>
      <c r="AN36">
        <f t="shared" si="55"/>
        <v>0</v>
      </c>
      <c r="AO36">
        <f t="shared" si="25"/>
        <v>0</v>
      </c>
      <c r="AP36">
        <f t="shared" si="56"/>
        <v>0</v>
      </c>
      <c r="AQ36">
        <f t="shared" si="57"/>
        <v>0</v>
      </c>
      <c r="AR36" t="str">
        <f t="shared" si="58"/>
        <v>Home EmptyNet</v>
      </c>
      <c r="AS36" t="str">
        <f t="shared" si="59"/>
        <v>0v0 Home EN</v>
      </c>
      <c r="AT36">
        <f t="shared" si="30"/>
        <v>0</v>
      </c>
      <c r="AU36">
        <f t="shared" si="31"/>
        <v>1</v>
      </c>
      <c r="AV36">
        <f t="shared" si="60"/>
        <v>0</v>
      </c>
      <c r="AW36">
        <f t="shared" si="61"/>
        <v>0</v>
      </c>
      <c r="AX36">
        <f t="shared" si="62"/>
        <v>0</v>
      </c>
      <c r="AY36">
        <f t="shared" si="63"/>
        <v>0</v>
      </c>
      <c r="AZ36">
        <f>IFERROR(VLOOKUP(B36,events!Z:BM,40,FALSE),0)</f>
        <v>0</v>
      </c>
      <c r="BA36">
        <f t="shared" si="64"/>
        <v>946</v>
      </c>
      <c r="BB36">
        <f t="shared" si="65"/>
        <v>941</v>
      </c>
      <c r="BC36" s="4">
        <f t="shared" si="66"/>
        <v>944</v>
      </c>
    </row>
    <row r="37" spans="1:55" x14ac:dyDescent="0.2">
      <c r="A37">
        <f t="shared" si="39"/>
        <v>36</v>
      </c>
      <c r="B37" s="6">
        <f t="shared" si="7"/>
        <v>2</v>
      </c>
      <c r="C37">
        <v>18</v>
      </c>
      <c r="D37">
        <v>0</v>
      </c>
      <c r="E37">
        <v>17</v>
      </c>
      <c r="F37" s="4" t="s">
        <v>1046</v>
      </c>
      <c r="G37" s="6" t="s">
        <v>284</v>
      </c>
      <c r="H37" s="5" t="s">
        <v>339</v>
      </c>
      <c r="I37">
        <v>73</v>
      </c>
      <c r="J37">
        <v>12</v>
      </c>
      <c r="K37">
        <v>16</v>
      </c>
      <c r="L37">
        <v>41</v>
      </c>
      <c r="M37">
        <v>19</v>
      </c>
      <c r="O37" s="5">
        <v>1</v>
      </c>
      <c r="P37">
        <v>87</v>
      </c>
      <c r="Q37">
        <v>61</v>
      </c>
      <c r="R37">
        <v>55</v>
      </c>
      <c r="S37">
        <v>9</v>
      </c>
      <c r="T37">
        <v>93</v>
      </c>
      <c r="V37">
        <v>39</v>
      </c>
      <c r="W37" s="6">
        <f>SUMIFS(events!BI:BI,events!K:K,"=DeadIce",events!BJ:BJ,"&lt;="&amp;shifts!AG37,events!BK:BK,"&gt;"&amp;shifts!AH37,events!Z:Z,"="&amp;shifts!B38)+SUMIFS(events!BI:BI,events!K:K,"=Timeout",events!BJ:BJ,"&lt;="&amp;shifts!AG37,events!BK:BK,"&gt;"&amp;shifts!AH37,events!Z:Z,"="&amp;shifts!B38)</f>
        <v>0</v>
      </c>
      <c r="X37" s="6" t="str">
        <f t="shared" si="15"/>
        <v/>
      </c>
      <c r="Y37">
        <v>1</v>
      </c>
      <c r="AD37">
        <f t="shared" ref="AD37:AF37" si="101">AD36</f>
        <v>18991</v>
      </c>
      <c r="AE37" t="str">
        <f t="shared" si="101"/>
        <v>Triple J</v>
      </c>
      <c r="AF37" t="str">
        <f t="shared" si="101"/>
        <v>Velodrome</v>
      </c>
      <c r="AG37" s="4">
        <f t="shared" si="48"/>
        <v>1080</v>
      </c>
      <c r="AH37" s="4">
        <f t="shared" si="49"/>
        <v>1050</v>
      </c>
      <c r="AI37" s="14">
        <f t="shared" si="50"/>
        <v>30</v>
      </c>
      <c r="AJ37">
        <f t="shared" si="51"/>
        <v>5</v>
      </c>
      <c r="AK37">
        <f t="shared" si="52"/>
        <v>5</v>
      </c>
      <c r="AL37">
        <f t="shared" si="53"/>
        <v>0</v>
      </c>
      <c r="AM37">
        <f t="shared" si="54"/>
        <v>0</v>
      </c>
      <c r="AN37">
        <f t="shared" si="55"/>
        <v>0</v>
      </c>
      <c r="AO37">
        <f t="shared" si="25"/>
        <v>0</v>
      </c>
      <c r="AP37">
        <f t="shared" si="56"/>
        <v>0</v>
      </c>
      <c r="AQ37">
        <f t="shared" si="57"/>
        <v>0</v>
      </c>
      <c r="AR37" t="str">
        <f t="shared" si="58"/>
        <v>Full Strength</v>
      </c>
      <c r="AS37" t="str">
        <f t="shared" si="59"/>
        <v>5v5</v>
      </c>
      <c r="AT37">
        <f t="shared" si="30"/>
        <v>0</v>
      </c>
      <c r="AU37">
        <f t="shared" si="31"/>
        <v>1</v>
      </c>
      <c r="AV37">
        <f t="shared" si="60"/>
        <v>1</v>
      </c>
      <c r="AW37">
        <f t="shared" si="61"/>
        <v>0</v>
      </c>
      <c r="AX37">
        <f t="shared" si="62"/>
        <v>0</v>
      </c>
      <c r="AY37">
        <f t="shared" si="63"/>
        <v>-1</v>
      </c>
      <c r="AZ37">
        <f>IFERROR(VLOOKUP(B37,events!Z:BM,40,FALSE),0)</f>
        <v>0</v>
      </c>
      <c r="BA37">
        <f t="shared" si="64"/>
        <v>0</v>
      </c>
      <c r="BB37">
        <f t="shared" si="65"/>
        <v>0</v>
      </c>
      <c r="BC37" s="4">
        <f t="shared" si="66"/>
        <v>33</v>
      </c>
    </row>
    <row r="38" spans="1:55" x14ac:dyDescent="0.2">
      <c r="A38">
        <f t="shared" si="39"/>
        <v>37</v>
      </c>
      <c r="B38" s="6">
        <f t="shared" si="7"/>
        <v>2</v>
      </c>
      <c r="C38">
        <f t="shared" si="8"/>
        <v>17</v>
      </c>
      <c r="D38" t="str">
        <f t="shared" si="9"/>
        <v>30</v>
      </c>
      <c r="E38">
        <v>16</v>
      </c>
      <c r="F38" s="4" t="s">
        <v>732</v>
      </c>
      <c r="G38" s="6" t="s">
        <v>286</v>
      </c>
      <c r="H38" s="5" t="s">
        <v>340</v>
      </c>
      <c r="I38">
        <v>73</v>
      </c>
      <c r="J38">
        <f t="shared" si="68"/>
        <v>12</v>
      </c>
      <c r="K38">
        <f t="shared" si="40"/>
        <v>16</v>
      </c>
      <c r="L38">
        <f>IF($D38&gt;0,L37,"")</f>
        <v>41</v>
      </c>
      <c r="M38">
        <f t="shared" si="41"/>
        <v>19</v>
      </c>
      <c r="O38" s="5">
        <f t="shared" si="12"/>
        <v>1</v>
      </c>
      <c r="P38">
        <f t="shared" si="42"/>
        <v>87</v>
      </c>
      <c r="Q38">
        <f t="shared" si="43"/>
        <v>61</v>
      </c>
      <c r="R38">
        <f t="shared" si="44"/>
        <v>55</v>
      </c>
      <c r="S38">
        <f t="shared" si="45"/>
        <v>9</v>
      </c>
      <c r="T38">
        <f t="shared" si="46"/>
        <v>93</v>
      </c>
      <c r="V38">
        <f t="shared" si="14"/>
        <v>39</v>
      </c>
      <c r="W38" s="6">
        <f>SUMIFS(events!BI:BI,events!K:K,"=DeadIce",events!BJ:BJ,"&lt;="&amp;shifts!AG38,events!BK:BK,"&gt;"&amp;shifts!AH38,events!Z:Z,"="&amp;shifts!B39)+SUMIFS(events!BI:BI,events!K:K,"=Timeout",events!BJ:BJ,"&lt;="&amp;shifts!AG38,events!BK:BK,"&gt;"&amp;shifts!AH38,events!Z:Z,"="&amp;shifts!B39)</f>
        <v>0</v>
      </c>
      <c r="X38" s="6" t="str">
        <f t="shared" si="15"/>
        <v/>
      </c>
      <c r="AA38">
        <v>1</v>
      </c>
      <c r="AD38">
        <f t="shared" ref="AD38:AF38" si="102">AD37</f>
        <v>18991</v>
      </c>
      <c r="AE38" t="str">
        <f t="shared" si="102"/>
        <v>Triple J</v>
      </c>
      <c r="AF38" t="str">
        <f t="shared" si="102"/>
        <v>Velodrome</v>
      </c>
      <c r="AG38" s="4">
        <f t="shared" si="48"/>
        <v>1050</v>
      </c>
      <c r="AH38" s="4">
        <f t="shared" si="49"/>
        <v>977</v>
      </c>
      <c r="AI38" s="14">
        <f t="shared" si="50"/>
        <v>73</v>
      </c>
      <c r="AJ38">
        <f t="shared" si="51"/>
        <v>5</v>
      </c>
      <c r="AK38">
        <f t="shared" si="52"/>
        <v>5</v>
      </c>
      <c r="AL38">
        <f t="shared" si="53"/>
        <v>0</v>
      </c>
      <c r="AM38">
        <f t="shared" si="54"/>
        <v>0</v>
      </c>
      <c r="AN38">
        <f t="shared" si="55"/>
        <v>0</v>
      </c>
      <c r="AO38">
        <f t="shared" si="25"/>
        <v>0</v>
      </c>
      <c r="AP38">
        <f t="shared" si="56"/>
        <v>0</v>
      </c>
      <c r="AQ38">
        <f t="shared" si="57"/>
        <v>0</v>
      </c>
      <c r="AR38" t="str">
        <f t="shared" si="58"/>
        <v>Full Strength</v>
      </c>
      <c r="AS38" t="str">
        <f t="shared" si="59"/>
        <v>5v5</v>
      </c>
      <c r="AT38">
        <f t="shared" si="30"/>
        <v>1</v>
      </c>
      <c r="AU38">
        <f t="shared" si="31"/>
        <v>1</v>
      </c>
      <c r="AV38">
        <f t="shared" si="60"/>
        <v>0</v>
      </c>
      <c r="AW38">
        <f t="shared" si="61"/>
        <v>-1</v>
      </c>
      <c r="AX38">
        <f t="shared" si="62"/>
        <v>1</v>
      </c>
      <c r="AY38">
        <f t="shared" si="63"/>
        <v>0</v>
      </c>
      <c r="AZ38">
        <f>IFERROR(VLOOKUP(B38,events!Z:BM,40,FALSE),0)</f>
        <v>0</v>
      </c>
      <c r="BA38">
        <f t="shared" si="64"/>
        <v>30</v>
      </c>
      <c r="BB38">
        <f t="shared" si="65"/>
        <v>25</v>
      </c>
      <c r="BC38" s="4">
        <f t="shared" si="66"/>
        <v>101</v>
      </c>
    </row>
    <row r="39" spans="1:55" x14ac:dyDescent="0.2">
      <c r="A39">
        <f t="shared" si="39"/>
        <v>38</v>
      </c>
      <c r="B39" s="6">
        <f t="shared" si="7"/>
        <v>2</v>
      </c>
      <c r="C39">
        <f t="shared" si="8"/>
        <v>16</v>
      </c>
      <c r="D39" t="str">
        <f t="shared" si="9"/>
        <v>17</v>
      </c>
      <c r="E39">
        <v>14</v>
      </c>
      <c r="F39" s="4" t="s">
        <v>1045</v>
      </c>
      <c r="G39" s="6" t="s">
        <v>286</v>
      </c>
      <c r="H39" s="5" t="s">
        <v>340</v>
      </c>
      <c r="I39">
        <v>21</v>
      </c>
      <c r="J39">
        <v>90</v>
      </c>
      <c r="K39">
        <v>69</v>
      </c>
      <c r="L39">
        <v>10</v>
      </c>
      <c r="M39">
        <v>57</v>
      </c>
      <c r="O39" s="5">
        <f t="shared" si="12"/>
        <v>1</v>
      </c>
      <c r="P39">
        <v>70</v>
      </c>
      <c r="Q39">
        <v>75</v>
      </c>
      <c r="R39">
        <v>14</v>
      </c>
      <c r="S39">
        <v>84</v>
      </c>
      <c r="T39">
        <v>22</v>
      </c>
      <c r="V39">
        <f t="shared" si="14"/>
        <v>39</v>
      </c>
      <c r="W39" s="6">
        <f>SUMIFS(events!BI:BI,events!K:K,"=DeadIce",events!BJ:BJ,"&lt;="&amp;shifts!AG39,events!BK:BK,"&gt;"&amp;shifts!AH39,events!Z:Z,"="&amp;shifts!B40)+SUMIFS(events!BI:BI,events!K:K,"=Timeout",events!BJ:BJ,"&lt;="&amp;shifts!AG39,events!BK:BK,"&gt;"&amp;shifts!AH39,events!Z:Z,"="&amp;shifts!B40)</f>
        <v>0</v>
      </c>
      <c r="X39" s="6" t="str">
        <f t="shared" si="15"/>
        <v/>
      </c>
      <c r="AA39">
        <v>1</v>
      </c>
      <c r="AD39">
        <f t="shared" ref="AD39:AF39" si="103">AD38</f>
        <v>18991</v>
      </c>
      <c r="AE39" t="str">
        <f t="shared" si="103"/>
        <v>Triple J</v>
      </c>
      <c r="AF39" t="str">
        <f t="shared" si="103"/>
        <v>Velodrome</v>
      </c>
      <c r="AG39" s="4">
        <f t="shared" si="48"/>
        <v>977</v>
      </c>
      <c r="AH39" s="4">
        <f t="shared" si="49"/>
        <v>890</v>
      </c>
      <c r="AI39" s="14">
        <f t="shared" si="50"/>
        <v>87</v>
      </c>
      <c r="AJ39">
        <f t="shared" si="51"/>
        <v>5</v>
      </c>
      <c r="AK39">
        <f t="shared" si="52"/>
        <v>5</v>
      </c>
      <c r="AL39">
        <f t="shared" si="53"/>
        <v>0</v>
      </c>
      <c r="AM39">
        <f t="shared" si="54"/>
        <v>0</v>
      </c>
      <c r="AN39">
        <f t="shared" si="55"/>
        <v>0</v>
      </c>
      <c r="AO39">
        <f t="shared" si="25"/>
        <v>0</v>
      </c>
      <c r="AP39">
        <f t="shared" si="56"/>
        <v>0</v>
      </c>
      <c r="AQ39">
        <f t="shared" si="57"/>
        <v>0</v>
      </c>
      <c r="AR39" t="str">
        <f t="shared" si="58"/>
        <v>Full Strength</v>
      </c>
      <c r="AS39" t="str">
        <f t="shared" si="59"/>
        <v>5v5</v>
      </c>
      <c r="AT39">
        <f t="shared" si="30"/>
        <v>1</v>
      </c>
      <c r="AU39">
        <f t="shared" si="31"/>
        <v>2</v>
      </c>
      <c r="AV39">
        <f t="shared" si="60"/>
        <v>0</v>
      </c>
      <c r="AW39">
        <f t="shared" si="61"/>
        <v>-1</v>
      </c>
      <c r="AX39">
        <f t="shared" si="62"/>
        <v>1</v>
      </c>
      <c r="AY39">
        <f t="shared" si="63"/>
        <v>0</v>
      </c>
      <c r="AZ39">
        <f>IFERROR(VLOOKUP(B39,events!Z:BM,40,FALSE),0)</f>
        <v>0</v>
      </c>
      <c r="BA39">
        <f t="shared" si="64"/>
        <v>103</v>
      </c>
      <c r="BB39">
        <f t="shared" si="65"/>
        <v>98</v>
      </c>
      <c r="BC39" s="4">
        <f t="shared" si="66"/>
        <v>188</v>
      </c>
    </row>
    <row r="40" spans="1:55" x14ac:dyDescent="0.2">
      <c r="A40">
        <f t="shared" si="39"/>
        <v>39</v>
      </c>
      <c r="B40" s="6">
        <f t="shared" si="7"/>
        <v>2</v>
      </c>
      <c r="C40">
        <f t="shared" si="8"/>
        <v>14</v>
      </c>
      <c r="D40" t="str">
        <f t="shared" si="9"/>
        <v>50</v>
      </c>
      <c r="E40">
        <v>14</v>
      </c>
      <c r="F40" s="4" t="s">
        <v>1047</v>
      </c>
      <c r="G40" s="6" t="s">
        <v>286</v>
      </c>
      <c r="H40" s="5" t="s">
        <v>341</v>
      </c>
      <c r="I40">
        <f t="shared" si="67"/>
        <v>21</v>
      </c>
      <c r="J40">
        <f t="shared" si="68"/>
        <v>90</v>
      </c>
      <c r="K40">
        <f t="shared" si="40"/>
        <v>69</v>
      </c>
      <c r="L40">
        <f t="shared" si="69"/>
        <v>10</v>
      </c>
      <c r="M40">
        <f t="shared" si="41"/>
        <v>57</v>
      </c>
      <c r="O40" s="5">
        <f t="shared" si="12"/>
        <v>1</v>
      </c>
      <c r="P40">
        <f t="shared" si="42"/>
        <v>70</v>
      </c>
      <c r="Q40">
        <v>24</v>
      </c>
      <c r="R40">
        <f t="shared" si="44"/>
        <v>14</v>
      </c>
      <c r="S40">
        <f t="shared" si="45"/>
        <v>84</v>
      </c>
      <c r="T40">
        <f t="shared" si="46"/>
        <v>22</v>
      </c>
      <c r="V40">
        <f t="shared" si="14"/>
        <v>39</v>
      </c>
      <c r="W40" s="6">
        <f>SUMIFS(events!BI:BI,events!K:K,"=DeadIce",events!BJ:BJ,"&lt;="&amp;shifts!AG40,events!BK:BK,"&gt;"&amp;shifts!AH40,events!Z:Z,"="&amp;shifts!B41)+SUMIFS(events!BI:BI,events!K:K,"=Timeout",events!BJ:BJ,"&lt;="&amp;shifts!AG40,events!BK:BK,"&gt;"&amp;shifts!AH40,events!Z:Z,"="&amp;shifts!B41)</f>
        <v>0</v>
      </c>
      <c r="X40" s="6" t="str">
        <f t="shared" si="15"/>
        <v/>
      </c>
      <c r="Y40">
        <v>1</v>
      </c>
      <c r="AD40">
        <f t="shared" ref="AD40:AF40" si="104">AD39</f>
        <v>18991</v>
      </c>
      <c r="AE40" t="str">
        <f t="shared" si="104"/>
        <v>Triple J</v>
      </c>
      <c r="AF40" t="str">
        <f t="shared" si="104"/>
        <v>Velodrome</v>
      </c>
      <c r="AG40" s="4">
        <f t="shared" si="48"/>
        <v>890</v>
      </c>
      <c r="AH40" s="4">
        <f t="shared" si="49"/>
        <v>849</v>
      </c>
      <c r="AI40" s="14">
        <f t="shared" si="50"/>
        <v>41</v>
      </c>
      <c r="AJ40">
        <f t="shared" si="51"/>
        <v>5</v>
      </c>
      <c r="AK40">
        <f t="shared" si="52"/>
        <v>5</v>
      </c>
      <c r="AL40">
        <f t="shared" si="53"/>
        <v>0</v>
      </c>
      <c r="AM40">
        <f t="shared" si="54"/>
        <v>0</v>
      </c>
      <c r="AN40">
        <f t="shared" si="55"/>
        <v>0</v>
      </c>
      <c r="AO40">
        <f t="shared" si="25"/>
        <v>0</v>
      </c>
      <c r="AP40">
        <f t="shared" si="56"/>
        <v>0</v>
      </c>
      <c r="AQ40">
        <f t="shared" si="57"/>
        <v>0</v>
      </c>
      <c r="AR40" t="str">
        <f t="shared" si="58"/>
        <v>Full Strength</v>
      </c>
      <c r="AS40" t="str">
        <f t="shared" si="59"/>
        <v>5v5</v>
      </c>
      <c r="AT40">
        <f t="shared" si="30"/>
        <v>1</v>
      </c>
      <c r="AU40">
        <f t="shared" si="31"/>
        <v>3</v>
      </c>
      <c r="AV40">
        <f t="shared" si="60"/>
        <v>0</v>
      </c>
      <c r="AW40">
        <f t="shared" si="61"/>
        <v>0</v>
      </c>
      <c r="AX40">
        <f t="shared" si="62"/>
        <v>0</v>
      </c>
      <c r="AY40">
        <f t="shared" si="63"/>
        <v>0</v>
      </c>
      <c r="AZ40">
        <f>IFERROR(VLOOKUP(B40,events!Z:BM,40,FALSE),0)</f>
        <v>0</v>
      </c>
      <c r="BA40">
        <f t="shared" si="64"/>
        <v>190</v>
      </c>
      <c r="BB40">
        <f t="shared" si="65"/>
        <v>185</v>
      </c>
      <c r="BC40" s="4">
        <f t="shared" si="66"/>
        <v>229</v>
      </c>
    </row>
    <row r="41" spans="1:55" x14ac:dyDescent="0.2">
      <c r="A41">
        <f t="shared" si="39"/>
        <v>40</v>
      </c>
      <c r="B41" s="6">
        <f t="shared" si="7"/>
        <v>2</v>
      </c>
      <c r="C41">
        <f t="shared" si="8"/>
        <v>14</v>
      </c>
      <c r="D41" t="str">
        <f t="shared" si="9"/>
        <v>09</v>
      </c>
      <c r="E41">
        <v>13</v>
      </c>
      <c r="F41" s="4" t="s">
        <v>754</v>
      </c>
      <c r="G41" s="6" t="s">
        <v>289</v>
      </c>
      <c r="H41" s="5" t="s">
        <v>340</v>
      </c>
      <c r="I41">
        <f t="shared" si="67"/>
        <v>21</v>
      </c>
      <c r="J41">
        <v>37</v>
      </c>
      <c r="K41">
        <v>71</v>
      </c>
      <c r="L41">
        <v>41</v>
      </c>
      <c r="M41">
        <v>19</v>
      </c>
      <c r="O41" s="5">
        <f t="shared" si="12"/>
        <v>1</v>
      </c>
      <c r="P41">
        <f t="shared" si="42"/>
        <v>70</v>
      </c>
      <c r="Q41">
        <f t="shared" si="43"/>
        <v>24</v>
      </c>
      <c r="R41">
        <v>91</v>
      </c>
      <c r="S41">
        <f t="shared" si="45"/>
        <v>84</v>
      </c>
      <c r="T41">
        <f t="shared" si="46"/>
        <v>22</v>
      </c>
      <c r="V41">
        <f t="shared" si="14"/>
        <v>39</v>
      </c>
      <c r="W41" s="6">
        <f>SUMIFS(events!BI:BI,events!K:K,"=DeadIce",events!BJ:BJ,"&lt;="&amp;shifts!AG41,events!BK:BK,"&gt;"&amp;shifts!AH41,events!Z:Z,"="&amp;shifts!B42)+SUMIFS(events!BI:BI,events!K:K,"=Timeout",events!BJ:BJ,"&lt;="&amp;shifts!AG41,events!BK:BK,"&gt;"&amp;shifts!AH41,events!Z:Z,"="&amp;shifts!B42)</f>
        <v>0</v>
      </c>
      <c r="X41" s="6">
        <f t="shared" si="15"/>
        <v>1</v>
      </c>
      <c r="AA41">
        <v>1</v>
      </c>
      <c r="AD41">
        <f t="shared" ref="AD41:AF41" si="105">AD40</f>
        <v>18991</v>
      </c>
      <c r="AE41" t="str">
        <f t="shared" si="105"/>
        <v>Triple J</v>
      </c>
      <c r="AF41" t="str">
        <f t="shared" si="105"/>
        <v>Velodrome</v>
      </c>
      <c r="AG41" s="4">
        <f t="shared" si="48"/>
        <v>849</v>
      </c>
      <c r="AH41" s="4">
        <f t="shared" si="49"/>
        <v>791</v>
      </c>
      <c r="AI41" s="14">
        <f t="shared" si="50"/>
        <v>58</v>
      </c>
      <c r="AJ41">
        <f t="shared" si="51"/>
        <v>5</v>
      </c>
      <c r="AK41">
        <f t="shared" si="52"/>
        <v>5</v>
      </c>
      <c r="AL41">
        <f t="shared" si="53"/>
        <v>0</v>
      </c>
      <c r="AM41">
        <f t="shared" si="54"/>
        <v>0</v>
      </c>
      <c r="AN41">
        <f t="shared" si="55"/>
        <v>0</v>
      </c>
      <c r="AO41">
        <f t="shared" si="25"/>
        <v>0</v>
      </c>
      <c r="AP41">
        <f t="shared" si="56"/>
        <v>0</v>
      </c>
      <c r="AQ41">
        <f t="shared" si="57"/>
        <v>0</v>
      </c>
      <c r="AR41" t="str">
        <f t="shared" si="58"/>
        <v>Full Strength</v>
      </c>
      <c r="AS41" t="str">
        <f t="shared" si="59"/>
        <v>5v5</v>
      </c>
      <c r="AT41">
        <f t="shared" si="30"/>
        <v>1</v>
      </c>
      <c r="AU41">
        <f t="shared" si="31"/>
        <v>3</v>
      </c>
      <c r="AV41">
        <f t="shared" si="60"/>
        <v>0</v>
      </c>
      <c r="AW41">
        <f t="shared" si="61"/>
        <v>-1</v>
      </c>
      <c r="AX41">
        <f t="shared" si="62"/>
        <v>1</v>
      </c>
      <c r="AY41">
        <f t="shared" si="63"/>
        <v>0</v>
      </c>
      <c r="AZ41">
        <f>IFERROR(VLOOKUP(B41,events!Z:BM,40,FALSE),0)</f>
        <v>0</v>
      </c>
      <c r="BA41">
        <f t="shared" si="64"/>
        <v>231</v>
      </c>
      <c r="BB41">
        <f t="shared" si="65"/>
        <v>226</v>
      </c>
      <c r="BC41" s="4">
        <f t="shared" si="66"/>
        <v>287</v>
      </c>
    </row>
    <row r="42" spans="1:55" x14ac:dyDescent="0.2">
      <c r="A42">
        <f t="shared" si="39"/>
        <v>41</v>
      </c>
      <c r="B42" s="6">
        <f t="shared" si="7"/>
        <v>2</v>
      </c>
      <c r="C42">
        <f t="shared" si="8"/>
        <v>13</v>
      </c>
      <c r="D42" t="str">
        <f t="shared" si="9"/>
        <v>11</v>
      </c>
      <c r="E42">
        <v>11</v>
      </c>
      <c r="F42" s="4" t="s">
        <v>1031</v>
      </c>
      <c r="G42" s="6" t="s">
        <v>286</v>
      </c>
      <c r="I42">
        <v>73</v>
      </c>
      <c r="J42">
        <f t="shared" si="68"/>
        <v>37</v>
      </c>
      <c r="K42">
        <f t="shared" si="40"/>
        <v>71</v>
      </c>
      <c r="L42">
        <v>10</v>
      </c>
      <c r="M42">
        <v>57</v>
      </c>
      <c r="O42" s="5">
        <f t="shared" si="12"/>
        <v>1</v>
      </c>
      <c r="P42">
        <v>87</v>
      </c>
      <c r="Q42">
        <v>61</v>
      </c>
      <c r="R42">
        <v>91</v>
      </c>
      <c r="S42">
        <v>9</v>
      </c>
      <c r="T42">
        <v>93</v>
      </c>
      <c r="V42">
        <f t="shared" si="14"/>
        <v>39</v>
      </c>
      <c r="W42" s="6">
        <f>SUMIFS(events!BI:BI,events!K:K,"=DeadIce",events!BJ:BJ,"&lt;="&amp;shifts!AG42,events!BK:BK,"&gt;"&amp;shifts!AH42,events!Z:Z,"="&amp;shifts!B43)+SUMIFS(events!BI:BI,events!K:K,"=Timeout",events!BJ:BJ,"&lt;="&amp;shifts!AG42,events!BK:BK,"&gt;"&amp;shifts!AH42,events!Z:Z,"="&amp;shifts!B43)</f>
        <v>0</v>
      </c>
      <c r="X42" s="6" t="str">
        <f t="shared" si="15"/>
        <v/>
      </c>
      <c r="AC42">
        <v>1</v>
      </c>
      <c r="AD42">
        <f t="shared" ref="AD42:AF42" si="106">AD41</f>
        <v>18991</v>
      </c>
      <c r="AE42" t="str">
        <f t="shared" si="106"/>
        <v>Triple J</v>
      </c>
      <c r="AF42" t="str">
        <f t="shared" si="106"/>
        <v>Velodrome</v>
      </c>
      <c r="AG42" s="4">
        <f t="shared" si="48"/>
        <v>791</v>
      </c>
      <c r="AH42" s="4">
        <f t="shared" si="49"/>
        <v>707</v>
      </c>
      <c r="AI42" s="14">
        <f t="shared" si="50"/>
        <v>84</v>
      </c>
      <c r="AJ42">
        <f t="shared" si="51"/>
        <v>5</v>
      </c>
      <c r="AK42">
        <f t="shared" si="52"/>
        <v>5</v>
      </c>
      <c r="AL42">
        <f t="shared" si="53"/>
        <v>0</v>
      </c>
      <c r="AM42">
        <f t="shared" si="54"/>
        <v>0</v>
      </c>
      <c r="AN42">
        <f t="shared" si="55"/>
        <v>0</v>
      </c>
      <c r="AO42">
        <f t="shared" si="25"/>
        <v>0</v>
      </c>
      <c r="AP42">
        <f t="shared" si="56"/>
        <v>0</v>
      </c>
      <c r="AQ42">
        <f t="shared" si="57"/>
        <v>0</v>
      </c>
      <c r="AR42" t="str">
        <f t="shared" si="58"/>
        <v>Full Strength</v>
      </c>
      <c r="AS42" t="str">
        <f t="shared" si="59"/>
        <v>5v5</v>
      </c>
      <c r="AT42">
        <f t="shared" si="30"/>
        <v>1</v>
      </c>
      <c r="AU42">
        <f t="shared" si="31"/>
        <v>4</v>
      </c>
      <c r="AV42">
        <f t="shared" si="60"/>
        <v>0</v>
      </c>
      <c r="AW42">
        <f t="shared" si="61"/>
        <v>0</v>
      </c>
      <c r="AX42">
        <f t="shared" si="62"/>
        <v>0</v>
      </c>
      <c r="AY42">
        <f t="shared" si="63"/>
        <v>0</v>
      </c>
      <c r="AZ42">
        <f>IFERROR(VLOOKUP(B42,events!Z:BM,40,FALSE),0)</f>
        <v>0</v>
      </c>
      <c r="BA42">
        <f t="shared" si="64"/>
        <v>289</v>
      </c>
      <c r="BB42">
        <f t="shared" si="65"/>
        <v>284</v>
      </c>
      <c r="BC42" s="4">
        <f t="shared" si="66"/>
        <v>371</v>
      </c>
    </row>
    <row r="43" spans="1:55" x14ac:dyDescent="0.2">
      <c r="A43">
        <f t="shared" si="39"/>
        <v>42</v>
      </c>
      <c r="B43" s="6">
        <f t="shared" si="7"/>
        <v>2</v>
      </c>
      <c r="C43">
        <f t="shared" si="8"/>
        <v>11</v>
      </c>
      <c r="D43" t="str">
        <f t="shared" si="9"/>
        <v>47</v>
      </c>
      <c r="E43">
        <v>11</v>
      </c>
      <c r="F43" s="4" t="s">
        <v>1048</v>
      </c>
      <c r="I43">
        <f t="shared" si="67"/>
        <v>73</v>
      </c>
      <c r="J43">
        <f t="shared" si="68"/>
        <v>37</v>
      </c>
      <c r="K43">
        <f t="shared" si="40"/>
        <v>71</v>
      </c>
      <c r="L43">
        <f t="shared" si="69"/>
        <v>10</v>
      </c>
      <c r="M43">
        <f t="shared" si="41"/>
        <v>57</v>
      </c>
      <c r="O43" s="5">
        <f t="shared" si="12"/>
        <v>1</v>
      </c>
      <c r="P43">
        <f t="shared" si="42"/>
        <v>87</v>
      </c>
      <c r="Q43">
        <f t="shared" si="43"/>
        <v>61</v>
      </c>
      <c r="R43">
        <v>55</v>
      </c>
      <c r="S43">
        <f t="shared" si="45"/>
        <v>9</v>
      </c>
      <c r="T43">
        <f t="shared" si="46"/>
        <v>93</v>
      </c>
      <c r="V43">
        <f t="shared" si="14"/>
        <v>39</v>
      </c>
      <c r="W43" s="6">
        <f>SUMIFS(events!BI:BI,events!K:K,"=DeadIce",events!BJ:BJ,"&lt;="&amp;shifts!AG43,events!BK:BK,"&gt;"&amp;shifts!AH43,events!Z:Z,"="&amp;shifts!B44)+SUMIFS(events!BI:BI,events!K:K,"=Timeout",events!BJ:BJ,"&lt;="&amp;shifts!AG43,events!BK:BK,"&gt;"&amp;shifts!AH43,events!Z:Z,"="&amp;shifts!B44)</f>
        <v>0</v>
      </c>
      <c r="X43" s="6" t="str">
        <f t="shared" si="15"/>
        <v/>
      </c>
      <c r="Y43">
        <v>1</v>
      </c>
      <c r="AD43">
        <f t="shared" ref="AD43:AF43" si="107">AD42</f>
        <v>18991</v>
      </c>
      <c r="AE43" t="str">
        <f t="shared" si="107"/>
        <v>Triple J</v>
      </c>
      <c r="AF43" t="str">
        <f t="shared" si="107"/>
        <v>Velodrome</v>
      </c>
      <c r="AG43" s="4">
        <f t="shared" si="48"/>
        <v>707</v>
      </c>
      <c r="AH43" s="4">
        <f t="shared" si="49"/>
        <v>692</v>
      </c>
      <c r="AI43" s="14">
        <f t="shared" si="50"/>
        <v>15</v>
      </c>
      <c r="AJ43">
        <f t="shared" si="51"/>
        <v>5</v>
      </c>
      <c r="AK43">
        <f t="shared" si="52"/>
        <v>5</v>
      </c>
      <c r="AL43">
        <f t="shared" si="53"/>
        <v>0</v>
      </c>
      <c r="AM43">
        <f t="shared" si="54"/>
        <v>0</v>
      </c>
      <c r="AN43">
        <f t="shared" si="55"/>
        <v>0</v>
      </c>
      <c r="AO43">
        <f t="shared" si="25"/>
        <v>0</v>
      </c>
      <c r="AP43">
        <f t="shared" si="56"/>
        <v>0</v>
      </c>
      <c r="AQ43">
        <f t="shared" si="57"/>
        <v>0</v>
      </c>
      <c r="AR43" t="str">
        <f t="shared" si="58"/>
        <v>Full Strength</v>
      </c>
      <c r="AS43" t="str">
        <f t="shared" si="59"/>
        <v>5v5</v>
      </c>
      <c r="AT43">
        <f t="shared" si="30"/>
        <v>1</v>
      </c>
      <c r="AU43">
        <f t="shared" si="31"/>
        <v>4</v>
      </c>
      <c r="AV43">
        <f t="shared" si="60"/>
        <v>0</v>
      </c>
      <c r="AW43">
        <f t="shared" si="61"/>
        <v>0</v>
      </c>
      <c r="AX43">
        <f t="shared" si="62"/>
        <v>0</v>
      </c>
      <c r="AY43">
        <f t="shared" si="63"/>
        <v>0</v>
      </c>
      <c r="AZ43">
        <f>IFERROR(VLOOKUP(B43,events!Z:BM,40,FALSE),0)</f>
        <v>0</v>
      </c>
      <c r="BA43">
        <f t="shared" si="64"/>
        <v>373</v>
      </c>
      <c r="BB43">
        <f t="shared" si="65"/>
        <v>368</v>
      </c>
      <c r="BC43" s="4">
        <f t="shared" si="66"/>
        <v>386</v>
      </c>
    </row>
    <row r="44" spans="1:55" x14ac:dyDescent="0.2">
      <c r="A44">
        <f t="shared" si="39"/>
        <v>43</v>
      </c>
      <c r="B44" s="6">
        <f t="shared" si="7"/>
        <v>2</v>
      </c>
      <c r="C44">
        <f t="shared" si="8"/>
        <v>11</v>
      </c>
      <c r="D44" t="str">
        <f t="shared" si="9"/>
        <v>32</v>
      </c>
      <c r="E44">
        <v>11</v>
      </c>
      <c r="F44" s="4" t="s">
        <v>744</v>
      </c>
      <c r="H44" s="5" t="s">
        <v>299</v>
      </c>
      <c r="I44">
        <f t="shared" si="67"/>
        <v>73</v>
      </c>
      <c r="J44">
        <v>12</v>
      </c>
      <c r="K44">
        <v>16</v>
      </c>
      <c r="L44">
        <f t="shared" si="69"/>
        <v>10</v>
      </c>
      <c r="M44">
        <f t="shared" si="41"/>
        <v>57</v>
      </c>
      <c r="O44" s="5">
        <f t="shared" si="12"/>
        <v>1</v>
      </c>
      <c r="P44">
        <f t="shared" si="42"/>
        <v>87</v>
      </c>
      <c r="Q44">
        <f t="shared" si="43"/>
        <v>61</v>
      </c>
      <c r="R44">
        <f t="shared" si="44"/>
        <v>55</v>
      </c>
      <c r="S44">
        <f t="shared" si="45"/>
        <v>9</v>
      </c>
      <c r="T44">
        <f t="shared" si="46"/>
        <v>93</v>
      </c>
      <c r="V44">
        <f t="shared" si="14"/>
        <v>39</v>
      </c>
      <c r="W44" s="6">
        <f>SUMIFS(events!BI:BI,events!K:K,"=DeadIce",events!BJ:BJ,"&lt;="&amp;shifts!AG44,events!BK:BK,"&gt;"&amp;shifts!AH44,events!Z:Z,"="&amp;shifts!B45)+SUMIFS(events!BI:BI,events!K:K,"=Timeout",events!BJ:BJ,"&lt;="&amp;shifts!AG44,events!BK:BK,"&gt;"&amp;shifts!AH44,events!Z:Z,"="&amp;shifts!B45)</f>
        <v>0</v>
      </c>
      <c r="X44" s="6">
        <f t="shared" si="15"/>
        <v>1</v>
      </c>
      <c r="AA44">
        <v>1</v>
      </c>
      <c r="AD44">
        <f t="shared" ref="AD44:AF44" si="108">AD43</f>
        <v>18991</v>
      </c>
      <c r="AE44" t="str">
        <f t="shared" si="108"/>
        <v>Triple J</v>
      </c>
      <c r="AF44" t="str">
        <f t="shared" si="108"/>
        <v>Velodrome</v>
      </c>
      <c r="AG44" s="4">
        <f t="shared" si="48"/>
        <v>692</v>
      </c>
      <c r="AH44" s="4">
        <f t="shared" si="49"/>
        <v>675</v>
      </c>
      <c r="AI44" s="14">
        <f t="shared" si="50"/>
        <v>17</v>
      </c>
      <c r="AJ44">
        <f t="shared" si="51"/>
        <v>5</v>
      </c>
      <c r="AK44">
        <f t="shared" si="52"/>
        <v>5</v>
      </c>
      <c r="AL44">
        <f t="shared" si="53"/>
        <v>0</v>
      </c>
      <c r="AM44">
        <f t="shared" si="54"/>
        <v>0</v>
      </c>
      <c r="AN44">
        <f t="shared" si="55"/>
        <v>0</v>
      </c>
      <c r="AO44">
        <f t="shared" si="25"/>
        <v>0</v>
      </c>
      <c r="AP44">
        <f t="shared" si="56"/>
        <v>0</v>
      </c>
      <c r="AQ44">
        <f t="shared" si="57"/>
        <v>0</v>
      </c>
      <c r="AR44" t="str">
        <f t="shared" si="58"/>
        <v>Full Strength</v>
      </c>
      <c r="AS44" t="str">
        <f t="shared" si="59"/>
        <v>5v5</v>
      </c>
      <c r="AT44">
        <f t="shared" si="30"/>
        <v>1</v>
      </c>
      <c r="AU44">
        <f t="shared" si="31"/>
        <v>4</v>
      </c>
      <c r="AV44">
        <f t="shared" si="60"/>
        <v>0</v>
      </c>
      <c r="AW44">
        <f t="shared" si="61"/>
        <v>0</v>
      </c>
      <c r="AX44">
        <f t="shared" si="62"/>
        <v>0</v>
      </c>
      <c r="AY44">
        <f t="shared" si="63"/>
        <v>0</v>
      </c>
      <c r="AZ44">
        <f>IFERROR(VLOOKUP(B44,events!Z:BM,40,FALSE),0)</f>
        <v>0</v>
      </c>
      <c r="BA44">
        <f t="shared" si="64"/>
        <v>388</v>
      </c>
      <c r="BB44">
        <f t="shared" si="65"/>
        <v>383</v>
      </c>
      <c r="BC44" s="4">
        <f t="shared" si="66"/>
        <v>403</v>
      </c>
    </row>
    <row r="45" spans="1:55" x14ac:dyDescent="0.2">
      <c r="A45">
        <f t="shared" si="39"/>
        <v>44</v>
      </c>
      <c r="B45" s="6">
        <f t="shared" si="7"/>
        <v>2</v>
      </c>
      <c r="C45">
        <f t="shared" si="8"/>
        <v>11</v>
      </c>
      <c r="D45" t="str">
        <f t="shared" si="9"/>
        <v>15</v>
      </c>
      <c r="E45">
        <v>9</v>
      </c>
      <c r="F45" s="4" t="s">
        <v>1047</v>
      </c>
      <c r="G45" s="6" t="s">
        <v>289</v>
      </c>
      <c r="H45" s="5" t="s">
        <v>341</v>
      </c>
      <c r="I45">
        <f t="shared" si="67"/>
        <v>73</v>
      </c>
      <c r="J45">
        <f t="shared" si="68"/>
        <v>12</v>
      </c>
      <c r="K45">
        <f t="shared" si="40"/>
        <v>16</v>
      </c>
      <c r="L45">
        <v>41</v>
      </c>
      <c r="M45">
        <v>19</v>
      </c>
      <c r="O45" s="5">
        <f t="shared" si="12"/>
        <v>1</v>
      </c>
      <c r="P45">
        <v>70</v>
      </c>
      <c r="Q45">
        <f t="shared" si="43"/>
        <v>61</v>
      </c>
      <c r="R45">
        <f t="shared" si="44"/>
        <v>55</v>
      </c>
      <c r="S45">
        <v>84</v>
      </c>
      <c r="T45">
        <v>22</v>
      </c>
      <c r="V45">
        <f t="shared" si="14"/>
        <v>39</v>
      </c>
      <c r="W45" s="6">
        <f>SUMIFS(events!BI:BI,events!K:K,"=DeadIce",events!BJ:BJ,"&lt;="&amp;shifts!AG45,events!BK:BK,"&gt;"&amp;shifts!AH45,events!Z:Z,"="&amp;shifts!B46)+SUMIFS(events!BI:BI,events!K:K,"=Timeout",events!BJ:BJ,"&lt;="&amp;shifts!AG45,events!BK:BK,"&gt;"&amp;shifts!AH45,events!Z:Z,"="&amp;shifts!B46)</f>
        <v>0</v>
      </c>
      <c r="X45" s="6" t="str">
        <f t="shared" si="15"/>
        <v/>
      </c>
      <c r="Y45">
        <v>1</v>
      </c>
      <c r="AD45">
        <f t="shared" ref="AD45:AF45" si="109">AD44</f>
        <v>18991</v>
      </c>
      <c r="AE45" t="str">
        <f t="shared" si="109"/>
        <v>Triple J</v>
      </c>
      <c r="AF45" t="str">
        <f t="shared" si="109"/>
        <v>Velodrome</v>
      </c>
      <c r="AG45" s="4">
        <f t="shared" si="48"/>
        <v>675</v>
      </c>
      <c r="AH45" s="4">
        <f t="shared" si="49"/>
        <v>549</v>
      </c>
      <c r="AI45" s="14">
        <f t="shared" si="50"/>
        <v>126</v>
      </c>
      <c r="AJ45">
        <f t="shared" si="51"/>
        <v>5</v>
      </c>
      <c r="AK45">
        <f t="shared" si="52"/>
        <v>5</v>
      </c>
      <c r="AL45">
        <f t="shared" si="53"/>
        <v>0</v>
      </c>
      <c r="AM45">
        <f t="shared" si="54"/>
        <v>0</v>
      </c>
      <c r="AN45">
        <f t="shared" si="55"/>
        <v>0</v>
      </c>
      <c r="AO45">
        <f t="shared" si="25"/>
        <v>0</v>
      </c>
      <c r="AP45">
        <f t="shared" si="56"/>
        <v>0</v>
      </c>
      <c r="AQ45">
        <f t="shared" si="57"/>
        <v>0</v>
      </c>
      <c r="AR45" t="str">
        <f t="shared" si="58"/>
        <v>Full Strength</v>
      </c>
      <c r="AS45" t="str">
        <f t="shared" si="59"/>
        <v>5v5</v>
      </c>
      <c r="AT45">
        <f t="shared" si="30"/>
        <v>1</v>
      </c>
      <c r="AU45">
        <f t="shared" si="31"/>
        <v>4</v>
      </c>
      <c r="AV45">
        <f t="shared" si="60"/>
        <v>0</v>
      </c>
      <c r="AW45">
        <f t="shared" si="61"/>
        <v>0</v>
      </c>
      <c r="AX45">
        <f t="shared" si="62"/>
        <v>0</v>
      </c>
      <c r="AY45">
        <f t="shared" si="63"/>
        <v>0</v>
      </c>
      <c r="AZ45">
        <f>IFERROR(VLOOKUP(B45,events!Z:BM,40,FALSE),0)</f>
        <v>0</v>
      </c>
      <c r="BA45">
        <f t="shared" si="64"/>
        <v>405</v>
      </c>
      <c r="BB45">
        <f t="shared" si="65"/>
        <v>400</v>
      </c>
      <c r="BC45" s="4">
        <f t="shared" si="66"/>
        <v>529</v>
      </c>
    </row>
    <row r="46" spans="1:55" x14ac:dyDescent="0.2">
      <c r="A46">
        <f t="shared" si="39"/>
        <v>45</v>
      </c>
      <c r="B46" s="6">
        <f t="shared" si="7"/>
        <v>2</v>
      </c>
      <c r="C46">
        <f t="shared" si="8"/>
        <v>9</v>
      </c>
      <c r="D46" t="str">
        <f t="shared" si="9"/>
        <v>09</v>
      </c>
      <c r="E46">
        <v>7</v>
      </c>
      <c r="F46" s="4" t="s">
        <v>1049</v>
      </c>
      <c r="G46" s="6" t="s">
        <v>289</v>
      </c>
      <c r="H46" s="5" t="s">
        <v>341</v>
      </c>
      <c r="I46">
        <v>21</v>
      </c>
      <c r="J46">
        <v>69</v>
      </c>
      <c r="K46">
        <v>90</v>
      </c>
      <c r="L46">
        <v>10</v>
      </c>
      <c r="M46">
        <v>57</v>
      </c>
      <c r="O46" s="5">
        <f t="shared" si="12"/>
        <v>1</v>
      </c>
      <c r="P46">
        <v>87</v>
      </c>
      <c r="Q46">
        <v>14</v>
      </c>
      <c r="R46">
        <v>75</v>
      </c>
      <c r="S46">
        <f t="shared" si="45"/>
        <v>84</v>
      </c>
      <c r="T46">
        <f t="shared" si="46"/>
        <v>22</v>
      </c>
      <c r="V46">
        <f t="shared" si="14"/>
        <v>39</v>
      </c>
      <c r="W46" s="6">
        <f>SUMIFS(events!BI:BI,events!K:K,"=DeadIce",events!BJ:BJ,"&lt;="&amp;shifts!AG46,events!BK:BK,"&gt;"&amp;shifts!AH46,events!Z:Z,"="&amp;shifts!B47)+SUMIFS(events!BI:BI,events!K:K,"=Timeout",events!BJ:BJ,"&lt;="&amp;shifts!AG46,events!BK:BK,"&gt;"&amp;shifts!AH46,events!Z:Z,"="&amp;shifts!B47)</f>
        <v>0</v>
      </c>
      <c r="X46" s="6">
        <f t="shared" si="15"/>
        <v>1</v>
      </c>
      <c r="Y46">
        <v>1</v>
      </c>
      <c r="AD46">
        <f t="shared" ref="AD46:AF46" si="110">AD45</f>
        <v>18991</v>
      </c>
      <c r="AE46" t="str">
        <f t="shared" si="110"/>
        <v>Triple J</v>
      </c>
      <c r="AF46" t="str">
        <f t="shared" si="110"/>
        <v>Velodrome</v>
      </c>
      <c r="AG46" s="4">
        <f t="shared" si="48"/>
        <v>549</v>
      </c>
      <c r="AH46" s="4">
        <f t="shared" si="49"/>
        <v>465</v>
      </c>
      <c r="AI46" s="14">
        <f t="shared" si="50"/>
        <v>84</v>
      </c>
      <c r="AJ46">
        <f t="shared" si="51"/>
        <v>5</v>
      </c>
      <c r="AK46">
        <f t="shared" si="52"/>
        <v>5</v>
      </c>
      <c r="AL46">
        <f t="shared" si="53"/>
        <v>0</v>
      </c>
      <c r="AM46">
        <f t="shared" si="54"/>
        <v>0</v>
      </c>
      <c r="AN46">
        <f t="shared" si="55"/>
        <v>0</v>
      </c>
      <c r="AO46">
        <f t="shared" si="25"/>
        <v>0</v>
      </c>
      <c r="AP46">
        <f t="shared" si="56"/>
        <v>0</v>
      </c>
      <c r="AQ46">
        <f t="shared" si="57"/>
        <v>0</v>
      </c>
      <c r="AR46" t="str">
        <f t="shared" si="58"/>
        <v>Full Strength</v>
      </c>
      <c r="AS46" t="str">
        <f t="shared" si="59"/>
        <v>5v5</v>
      </c>
      <c r="AT46">
        <f t="shared" si="30"/>
        <v>1</v>
      </c>
      <c r="AU46">
        <f t="shared" si="31"/>
        <v>4</v>
      </c>
      <c r="AV46">
        <f t="shared" si="60"/>
        <v>0</v>
      </c>
      <c r="AW46">
        <f t="shared" si="61"/>
        <v>0</v>
      </c>
      <c r="AX46">
        <f t="shared" si="62"/>
        <v>0</v>
      </c>
      <c r="AY46">
        <f t="shared" si="63"/>
        <v>0</v>
      </c>
      <c r="AZ46">
        <f>IFERROR(VLOOKUP(B46,events!Z:BM,40,FALSE),0)</f>
        <v>0</v>
      </c>
      <c r="BA46">
        <f t="shared" si="64"/>
        <v>531</v>
      </c>
      <c r="BB46">
        <f t="shared" si="65"/>
        <v>526</v>
      </c>
      <c r="BC46" s="4">
        <f t="shared" si="66"/>
        <v>613</v>
      </c>
    </row>
    <row r="47" spans="1:55" x14ac:dyDescent="0.2">
      <c r="A47">
        <f t="shared" si="39"/>
        <v>46</v>
      </c>
      <c r="B47" s="6">
        <f t="shared" si="7"/>
        <v>2</v>
      </c>
      <c r="C47">
        <f t="shared" si="8"/>
        <v>7</v>
      </c>
      <c r="D47" t="str">
        <f t="shared" si="9"/>
        <v>45</v>
      </c>
      <c r="E47">
        <v>7</v>
      </c>
      <c r="F47" s="4" t="s">
        <v>745</v>
      </c>
      <c r="G47" s="6" t="s">
        <v>289</v>
      </c>
      <c r="I47">
        <v>73</v>
      </c>
      <c r="J47">
        <f t="shared" si="68"/>
        <v>69</v>
      </c>
      <c r="K47">
        <f t="shared" si="40"/>
        <v>90</v>
      </c>
      <c r="L47">
        <v>41</v>
      </c>
      <c r="M47">
        <v>19</v>
      </c>
      <c r="O47" s="5">
        <f t="shared" si="12"/>
        <v>1</v>
      </c>
      <c r="P47">
        <f t="shared" si="42"/>
        <v>87</v>
      </c>
      <c r="Q47">
        <f t="shared" si="43"/>
        <v>14</v>
      </c>
      <c r="R47">
        <f t="shared" si="44"/>
        <v>75</v>
      </c>
      <c r="S47">
        <v>9</v>
      </c>
      <c r="T47">
        <v>93</v>
      </c>
      <c r="V47">
        <f t="shared" si="14"/>
        <v>39</v>
      </c>
      <c r="W47" s="6">
        <f>SUMIFS(events!BI:BI,events!K:K,"=DeadIce",events!BJ:BJ,"&lt;="&amp;shifts!AG47,events!BK:BK,"&gt;"&amp;shifts!AH47,events!Z:Z,"="&amp;shifts!B48)+SUMIFS(events!BI:BI,events!K:K,"=Timeout",events!BJ:BJ,"&lt;="&amp;shifts!AG47,events!BK:BK,"&gt;"&amp;shifts!AH47,events!Z:Z,"="&amp;shifts!B48)</f>
        <v>0</v>
      </c>
      <c r="X47" s="6">
        <f t="shared" si="15"/>
        <v>1</v>
      </c>
      <c r="AA47">
        <v>1</v>
      </c>
      <c r="AD47">
        <f t="shared" ref="AD47:AF47" si="111">AD46</f>
        <v>18991</v>
      </c>
      <c r="AE47" t="str">
        <f t="shared" si="111"/>
        <v>Triple J</v>
      </c>
      <c r="AF47" t="str">
        <f t="shared" si="111"/>
        <v>Velodrome</v>
      </c>
      <c r="AG47" s="4">
        <f t="shared" si="48"/>
        <v>465</v>
      </c>
      <c r="AH47" s="4">
        <f t="shared" si="49"/>
        <v>434</v>
      </c>
      <c r="AI47" s="14">
        <f t="shared" si="50"/>
        <v>31</v>
      </c>
      <c r="AJ47">
        <f t="shared" si="51"/>
        <v>5</v>
      </c>
      <c r="AK47">
        <f t="shared" si="52"/>
        <v>5</v>
      </c>
      <c r="AL47">
        <f t="shared" si="53"/>
        <v>0</v>
      </c>
      <c r="AM47">
        <f t="shared" si="54"/>
        <v>0</v>
      </c>
      <c r="AN47">
        <f t="shared" si="55"/>
        <v>0</v>
      </c>
      <c r="AO47">
        <f t="shared" si="25"/>
        <v>0</v>
      </c>
      <c r="AP47">
        <f t="shared" si="56"/>
        <v>0</v>
      </c>
      <c r="AQ47">
        <f t="shared" si="57"/>
        <v>0</v>
      </c>
      <c r="AR47" t="str">
        <f t="shared" si="58"/>
        <v>Full Strength</v>
      </c>
      <c r="AS47" t="str">
        <f t="shared" si="59"/>
        <v>5v5</v>
      </c>
      <c r="AT47">
        <f t="shared" si="30"/>
        <v>1</v>
      </c>
      <c r="AU47">
        <f t="shared" si="31"/>
        <v>4</v>
      </c>
      <c r="AV47">
        <f t="shared" si="60"/>
        <v>0</v>
      </c>
      <c r="AW47">
        <f t="shared" si="61"/>
        <v>0</v>
      </c>
      <c r="AX47">
        <f t="shared" si="62"/>
        <v>0</v>
      </c>
      <c r="AY47">
        <f t="shared" si="63"/>
        <v>0</v>
      </c>
      <c r="AZ47">
        <f>IFERROR(VLOOKUP(B47,events!Z:BM,40,FALSE),0)</f>
        <v>0</v>
      </c>
      <c r="BA47">
        <f t="shared" si="64"/>
        <v>615</v>
      </c>
      <c r="BB47">
        <f t="shared" si="65"/>
        <v>610</v>
      </c>
      <c r="BC47" s="4">
        <f t="shared" si="66"/>
        <v>644</v>
      </c>
    </row>
    <row r="48" spans="1:55" x14ac:dyDescent="0.2">
      <c r="A48">
        <f t="shared" si="39"/>
        <v>47</v>
      </c>
      <c r="B48" s="6">
        <f t="shared" si="7"/>
        <v>2</v>
      </c>
      <c r="C48">
        <f t="shared" si="8"/>
        <v>7</v>
      </c>
      <c r="D48" t="str">
        <f t="shared" si="9"/>
        <v>14</v>
      </c>
      <c r="E48">
        <v>6</v>
      </c>
      <c r="F48" s="4" t="s">
        <v>1035</v>
      </c>
      <c r="H48" s="5" t="s">
        <v>301</v>
      </c>
      <c r="I48">
        <f t="shared" si="67"/>
        <v>73</v>
      </c>
      <c r="J48">
        <f t="shared" si="68"/>
        <v>69</v>
      </c>
      <c r="K48">
        <f t="shared" si="40"/>
        <v>90</v>
      </c>
      <c r="L48">
        <f t="shared" si="69"/>
        <v>41</v>
      </c>
      <c r="M48">
        <f t="shared" si="41"/>
        <v>19</v>
      </c>
      <c r="O48" s="5">
        <f t="shared" si="12"/>
        <v>1</v>
      </c>
      <c r="P48">
        <v>70</v>
      </c>
      <c r="Q48">
        <v>91</v>
      </c>
      <c r="R48">
        <v>24</v>
      </c>
      <c r="S48">
        <f t="shared" si="45"/>
        <v>9</v>
      </c>
      <c r="T48">
        <f t="shared" si="46"/>
        <v>93</v>
      </c>
      <c r="V48">
        <f t="shared" si="14"/>
        <v>39</v>
      </c>
      <c r="W48" s="6">
        <f>SUMIFS(events!BI:BI,events!K:K,"=DeadIce",events!BJ:BJ,"&lt;="&amp;shifts!AG48,events!BK:BK,"&gt;"&amp;shifts!AH48,events!Z:Z,"="&amp;shifts!B49)+SUMIFS(events!BI:BI,events!K:K,"=Timeout",events!BJ:BJ,"&lt;="&amp;shifts!AG48,events!BK:BK,"&gt;"&amp;shifts!AH48,events!Z:Z,"="&amp;shifts!B49)</f>
        <v>0</v>
      </c>
      <c r="X48" s="6" t="str">
        <f t="shared" si="15"/>
        <v/>
      </c>
      <c r="Y48">
        <v>1</v>
      </c>
      <c r="AD48">
        <f t="shared" ref="AD48:AF48" si="112">AD47</f>
        <v>18991</v>
      </c>
      <c r="AE48" t="str">
        <f t="shared" si="112"/>
        <v>Triple J</v>
      </c>
      <c r="AF48" t="str">
        <f t="shared" si="112"/>
        <v>Velodrome</v>
      </c>
      <c r="AG48" s="4">
        <f t="shared" si="48"/>
        <v>434</v>
      </c>
      <c r="AH48" s="4">
        <f t="shared" si="49"/>
        <v>398</v>
      </c>
      <c r="AI48" s="14">
        <f t="shared" si="50"/>
        <v>36</v>
      </c>
      <c r="AJ48">
        <f t="shared" si="51"/>
        <v>5</v>
      </c>
      <c r="AK48">
        <f t="shared" si="52"/>
        <v>5</v>
      </c>
      <c r="AL48">
        <f t="shared" si="53"/>
        <v>0</v>
      </c>
      <c r="AM48">
        <f t="shared" si="54"/>
        <v>0</v>
      </c>
      <c r="AN48">
        <f t="shared" si="55"/>
        <v>0</v>
      </c>
      <c r="AO48">
        <f t="shared" si="25"/>
        <v>0</v>
      </c>
      <c r="AP48">
        <f t="shared" si="56"/>
        <v>0</v>
      </c>
      <c r="AQ48">
        <f t="shared" si="57"/>
        <v>0</v>
      </c>
      <c r="AR48" t="str">
        <f t="shared" si="58"/>
        <v>Full Strength</v>
      </c>
      <c r="AS48" t="str">
        <f t="shared" si="59"/>
        <v>5v5</v>
      </c>
      <c r="AT48">
        <f t="shared" si="30"/>
        <v>1</v>
      </c>
      <c r="AU48">
        <f t="shared" si="31"/>
        <v>4</v>
      </c>
      <c r="AV48">
        <f t="shared" si="60"/>
        <v>0</v>
      </c>
      <c r="AW48">
        <f t="shared" si="61"/>
        <v>0</v>
      </c>
      <c r="AX48">
        <f t="shared" si="62"/>
        <v>0</v>
      </c>
      <c r="AY48">
        <f t="shared" si="63"/>
        <v>0</v>
      </c>
      <c r="AZ48">
        <f>IFERROR(VLOOKUP(B48,events!Z:BM,40,FALSE),0)</f>
        <v>0</v>
      </c>
      <c r="BA48">
        <f t="shared" si="64"/>
        <v>646</v>
      </c>
      <c r="BB48">
        <f t="shared" si="65"/>
        <v>641</v>
      </c>
      <c r="BC48" s="4">
        <f t="shared" si="66"/>
        <v>680</v>
      </c>
    </row>
    <row r="49" spans="1:55" x14ac:dyDescent="0.2">
      <c r="A49">
        <f t="shared" si="39"/>
        <v>48</v>
      </c>
      <c r="B49" s="6">
        <f t="shared" si="7"/>
        <v>2</v>
      </c>
      <c r="C49">
        <f t="shared" si="8"/>
        <v>6</v>
      </c>
      <c r="D49" t="str">
        <f t="shared" si="9"/>
        <v>38</v>
      </c>
      <c r="E49">
        <v>5</v>
      </c>
      <c r="F49" s="4" t="s">
        <v>1050</v>
      </c>
      <c r="G49" s="6" t="s">
        <v>289</v>
      </c>
      <c r="H49" s="5" t="s">
        <v>341</v>
      </c>
      <c r="I49">
        <f t="shared" si="67"/>
        <v>73</v>
      </c>
      <c r="J49">
        <v>37</v>
      </c>
      <c r="K49">
        <v>71</v>
      </c>
      <c r="L49">
        <f t="shared" si="69"/>
        <v>41</v>
      </c>
      <c r="M49">
        <f t="shared" si="41"/>
        <v>19</v>
      </c>
      <c r="O49" s="5">
        <f t="shared" si="12"/>
        <v>1</v>
      </c>
      <c r="P49">
        <f t="shared" si="42"/>
        <v>70</v>
      </c>
      <c r="Q49">
        <f t="shared" si="43"/>
        <v>91</v>
      </c>
      <c r="R49">
        <f t="shared" si="44"/>
        <v>24</v>
      </c>
      <c r="S49">
        <f t="shared" si="45"/>
        <v>9</v>
      </c>
      <c r="T49">
        <f t="shared" si="46"/>
        <v>93</v>
      </c>
      <c r="V49">
        <f t="shared" si="14"/>
        <v>39</v>
      </c>
      <c r="W49" s="6">
        <f>SUMIFS(events!BI:BI,events!K:K,"=DeadIce",events!BJ:BJ,"&lt;="&amp;shifts!AG49,events!BK:BK,"&gt;"&amp;shifts!AH49,events!Z:Z,"="&amp;shifts!B50)+SUMIFS(events!BI:BI,events!K:K,"=Timeout",events!BJ:BJ,"&lt;="&amp;shifts!AG49,events!BK:BK,"&gt;"&amp;shifts!AH49,events!Z:Z,"="&amp;shifts!B50)</f>
        <v>0</v>
      </c>
      <c r="X49" s="6">
        <f t="shared" si="15"/>
        <v>1</v>
      </c>
      <c r="Y49">
        <v>1</v>
      </c>
      <c r="AD49">
        <f t="shared" ref="AD49:AF49" si="113">AD48</f>
        <v>18991</v>
      </c>
      <c r="AE49" t="str">
        <f t="shared" si="113"/>
        <v>Triple J</v>
      </c>
      <c r="AF49" t="str">
        <f t="shared" si="113"/>
        <v>Velodrome</v>
      </c>
      <c r="AG49" s="4">
        <f t="shared" si="48"/>
        <v>398</v>
      </c>
      <c r="AH49" s="4">
        <f t="shared" si="49"/>
        <v>310</v>
      </c>
      <c r="AI49" s="14">
        <f t="shared" si="50"/>
        <v>88</v>
      </c>
      <c r="AJ49">
        <f t="shared" si="51"/>
        <v>5</v>
      </c>
      <c r="AK49">
        <f t="shared" si="52"/>
        <v>5</v>
      </c>
      <c r="AL49">
        <f t="shared" si="53"/>
        <v>0</v>
      </c>
      <c r="AM49">
        <f t="shared" si="54"/>
        <v>0</v>
      </c>
      <c r="AN49">
        <f t="shared" si="55"/>
        <v>0</v>
      </c>
      <c r="AO49">
        <f t="shared" si="25"/>
        <v>0</v>
      </c>
      <c r="AP49">
        <f t="shared" si="56"/>
        <v>0</v>
      </c>
      <c r="AQ49">
        <f t="shared" si="57"/>
        <v>0</v>
      </c>
      <c r="AR49" t="str">
        <f t="shared" si="58"/>
        <v>Full Strength</v>
      </c>
      <c r="AS49" t="str">
        <f t="shared" si="59"/>
        <v>5v5</v>
      </c>
      <c r="AT49">
        <f t="shared" si="30"/>
        <v>1</v>
      </c>
      <c r="AU49">
        <f t="shared" si="31"/>
        <v>4</v>
      </c>
      <c r="AV49">
        <f t="shared" si="60"/>
        <v>0</v>
      </c>
      <c r="AW49">
        <f t="shared" si="61"/>
        <v>0</v>
      </c>
      <c r="AX49">
        <f t="shared" si="62"/>
        <v>0</v>
      </c>
      <c r="AY49">
        <f t="shared" si="63"/>
        <v>0</v>
      </c>
      <c r="AZ49">
        <f>IFERROR(VLOOKUP(B49,events!Z:BM,40,FALSE),0)</f>
        <v>0</v>
      </c>
      <c r="BA49">
        <f t="shared" si="64"/>
        <v>682</v>
      </c>
      <c r="BB49">
        <f t="shared" si="65"/>
        <v>677</v>
      </c>
      <c r="BC49" s="4">
        <f t="shared" si="66"/>
        <v>768</v>
      </c>
    </row>
    <row r="50" spans="1:55" x14ac:dyDescent="0.2">
      <c r="A50">
        <f t="shared" si="39"/>
        <v>49</v>
      </c>
      <c r="B50" s="6">
        <f t="shared" si="7"/>
        <v>2</v>
      </c>
      <c r="C50">
        <f t="shared" si="8"/>
        <v>5</v>
      </c>
      <c r="D50" t="str">
        <f t="shared" si="9"/>
        <v>10</v>
      </c>
      <c r="E50">
        <v>4</v>
      </c>
      <c r="F50" s="4" t="s">
        <v>746</v>
      </c>
      <c r="G50" s="6" t="s">
        <v>289</v>
      </c>
      <c r="I50">
        <f t="shared" si="67"/>
        <v>73</v>
      </c>
      <c r="J50">
        <f t="shared" si="68"/>
        <v>37</v>
      </c>
      <c r="K50">
        <v>16</v>
      </c>
      <c r="L50">
        <v>10</v>
      </c>
      <c r="M50">
        <v>57</v>
      </c>
      <c r="O50" s="5">
        <f t="shared" si="12"/>
        <v>1</v>
      </c>
      <c r="P50">
        <f t="shared" si="42"/>
        <v>70</v>
      </c>
      <c r="Q50">
        <f t="shared" si="43"/>
        <v>91</v>
      </c>
      <c r="R50">
        <f t="shared" si="44"/>
        <v>24</v>
      </c>
      <c r="S50">
        <f t="shared" si="45"/>
        <v>9</v>
      </c>
      <c r="T50">
        <f t="shared" si="46"/>
        <v>93</v>
      </c>
      <c r="V50">
        <f t="shared" si="14"/>
        <v>39</v>
      </c>
      <c r="W50" s="6">
        <f>SUMIFS(events!BI:BI,events!K:K,"=DeadIce",events!BJ:BJ,"&lt;="&amp;shifts!AG50,events!BK:BK,"&gt;"&amp;shifts!AH50,events!Z:Z,"="&amp;shifts!B51)+SUMIFS(events!BI:BI,events!K:K,"=Timeout",events!BJ:BJ,"&lt;="&amp;shifts!AG50,events!BK:BK,"&gt;"&amp;shifts!AH50,events!Z:Z,"="&amp;shifts!B51)</f>
        <v>0</v>
      </c>
      <c r="X50" s="6">
        <f t="shared" si="15"/>
        <v>1</v>
      </c>
      <c r="AA50">
        <v>1</v>
      </c>
      <c r="AD50">
        <f t="shared" ref="AD50:AF50" si="114">AD49</f>
        <v>18991</v>
      </c>
      <c r="AE50" t="str">
        <f t="shared" si="114"/>
        <v>Triple J</v>
      </c>
      <c r="AF50" t="str">
        <f t="shared" si="114"/>
        <v>Velodrome</v>
      </c>
      <c r="AG50" s="4">
        <f t="shared" si="48"/>
        <v>310</v>
      </c>
      <c r="AH50" s="4">
        <f t="shared" si="49"/>
        <v>252</v>
      </c>
      <c r="AI50" s="14">
        <f t="shared" si="50"/>
        <v>58</v>
      </c>
      <c r="AJ50">
        <f t="shared" si="51"/>
        <v>5</v>
      </c>
      <c r="AK50">
        <f t="shared" si="52"/>
        <v>5</v>
      </c>
      <c r="AL50">
        <f t="shared" si="53"/>
        <v>0</v>
      </c>
      <c r="AM50">
        <f t="shared" si="54"/>
        <v>0</v>
      </c>
      <c r="AN50">
        <f t="shared" si="55"/>
        <v>0</v>
      </c>
      <c r="AO50">
        <f t="shared" si="25"/>
        <v>0</v>
      </c>
      <c r="AP50">
        <f t="shared" si="56"/>
        <v>0</v>
      </c>
      <c r="AQ50">
        <f t="shared" si="57"/>
        <v>0</v>
      </c>
      <c r="AR50" t="str">
        <f t="shared" si="58"/>
        <v>Full Strength</v>
      </c>
      <c r="AS50" t="str">
        <f t="shared" si="59"/>
        <v>5v5</v>
      </c>
      <c r="AT50">
        <f t="shared" si="30"/>
        <v>1</v>
      </c>
      <c r="AU50">
        <f t="shared" si="31"/>
        <v>4</v>
      </c>
      <c r="AV50">
        <f t="shared" si="60"/>
        <v>0</v>
      </c>
      <c r="AW50">
        <f t="shared" si="61"/>
        <v>0</v>
      </c>
      <c r="AX50">
        <f t="shared" si="62"/>
        <v>0</v>
      </c>
      <c r="AY50">
        <f t="shared" si="63"/>
        <v>0</v>
      </c>
      <c r="AZ50">
        <f>IFERROR(VLOOKUP(B50,events!Z:BM,40,FALSE),0)</f>
        <v>0</v>
      </c>
      <c r="BA50">
        <f t="shared" si="64"/>
        <v>770</v>
      </c>
      <c r="BB50">
        <f t="shared" si="65"/>
        <v>765</v>
      </c>
      <c r="BC50" s="4">
        <f t="shared" si="66"/>
        <v>826</v>
      </c>
    </row>
    <row r="51" spans="1:55" x14ac:dyDescent="0.2">
      <c r="A51">
        <f t="shared" si="39"/>
        <v>50</v>
      </c>
      <c r="B51" s="6">
        <f t="shared" si="7"/>
        <v>2</v>
      </c>
      <c r="C51">
        <f t="shared" si="8"/>
        <v>4</v>
      </c>
      <c r="D51" t="str">
        <f t="shared" si="9"/>
        <v>12</v>
      </c>
      <c r="E51">
        <v>4</v>
      </c>
      <c r="F51" s="4" t="s">
        <v>1051</v>
      </c>
      <c r="H51" s="5" t="s">
        <v>342</v>
      </c>
      <c r="I51">
        <f t="shared" si="67"/>
        <v>73</v>
      </c>
      <c r="J51">
        <f t="shared" si="68"/>
        <v>37</v>
      </c>
      <c r="K51">
        <f t="shared" si="40"/>
        <v>16</v>
      </c>
      <c r="L51">
        <f t="shared" si="69"/>
        <v>10</v>
      </c>
      <c r="M51">
        <f t="shared" si="41"/>
        <v>57</v>
      </c>
      <c r="O51" s="5">
        <f t="shared" si="12"/>
        <v>1</v>
      </c>
      <c r="P51">
        <f t="shared" si="42"/>
        <v>70</v>
      </c>
      <c r="Q51">
        <f t="shared" si="43"/>
        <v>91</v>
      </c>
      <c r="R51">
        <f t="shared" si="44"/>
        <v>24</v>
      </c>
      <c r="S51">
        <v>84</v>
      </c>
      <c r="T51">
        <v>22</v>
      </c>
      <c r="V51">
        <f t="shared" si="14"/>
        <v>39</v>
      </c>
      <c r="W51" s="6">
        <f>SUMIFS(events!BI:BI,events!K:K,"=DeadIce",events!BJ:BJ,"&lt;="&amp;shifts!AG51,events!BK:BK,"&gt;"&amp;shifts!AH51,events!Z:Z,"="&amp;shifts!B52)+SUMIFS(events!BI:BI,events!K:K,"=Timeout",events!BJ:BJ,"&lt;="&amp;shifts!AG51,events!BK:BK,"&gt;"&amp;shifts!AH51,events!Z:Z,"="&amp;shifts!B52)</f>
        <v>0</v>
      </c>
      <c r="X51" s="6" t="str">
        <f t="shared" si="15"/>
        <v/>
      </c>
      <c r="AA51">
        <v>1</v>
      </c>
      <c r="AD51">
        <f t="shared" ref="AD51:AF51" si="115">AD50</f>
        <v>18991</v>
      </c>
      <c r="AE51" t="str">
        <f t="shared" si="115"/>
        <v>Triple J</v>
      </c>
      <c r="AF51" t="str">
        <f t="shared" si="115"/>
        <v>Velodrome</v>
      </c>
      <c r="AG51" s="4">
        <f t="shared" si="48"/>
        <v>252</v>
      </c>
      <c r="AH51" s="4">
        <f t="shared" si="49"/>
        <v>244</v>
      </c>
      <c r="AI51" s="14">
        <f t="shared" si="50"/>
        <v>8</v>
      </c>
      <c r="AJ51">
        <f t="shared" si="51"/>
        <v>5</v>
      </c>
      <c r="AK51">
        <f t="shared" si="52"/>
        <v>5</v>
      </c>
      <c r="AL51">
        <f t="shared" si="53"/>
        <v>0</v>
      </c>
      <c r="AM51">
        <f t="shared" si="54"/>
        <v>0</v>
      </c>
      <c r="AN51">
        <f t="shared" si="55"/>
        <v>0</v>
      </c>
      <c r="AO51">
        <f t="shared" si="25"/>
        <v>0</v>
      </c>
      <c r="AP51">
        <f t="shared" si="56"/>
        <v>0</v>
      </c>
      <c r="AQ51">
        <f t="shared" si="57"/>
        <v>0</v>
      </c>
      <c r="AR51" t="str">
        <f t="shared" si="58"/>
        <v>Full Strength</v>
      </c>
      <c r="AS51" t="str">
        <f t="shared" si="59"/>
        <v>5v5</v>
      </c>
      <c r="AT51">
        <f t="shared" si="30"/>
        <v>1</v>
      </c>
      <c r="AU51">
        <f t="shared" si="31"/>
        <v>4</v>
      </c>
      <c r="AV51">
        <f t="shared" si="60"/>
        <v>0</v>
      </c>
      <c r="AW51">
        <f t="shared" si="61"/>
        <v>0</v>
      </c>
      <c r="AX51">
        <f t="shared" si="62"/>
        <v>0</v>
      </c>
      <c r="AY51">
        <f t="shared" si="63"/>
        <v>0</v>
      </c>
      <c r="AZ51">
        <f>IFERROR(VLOOKUP(B51,events!Z:BM,40,FALSE),0)</f>
        <v>0</v>
      </c>
      <c r="BA51">
        <f t="shared" si="64"/>
        <v>828</v>
      </c>
      <c r="BB51">
        <f t="shared" si="65"/>
        <v>823</v>
      </c>
      <c r="BC51" s="4">
        <f t="shared" si="66"/>
        <v>834</v>
      </c>
    </row>
    <row r="52" spans="1:55" x14ac:dyDescent="0.2">
      <c r="A52">
        <f t="shared" si="39"/>
        <v>51</v>
      </c>
      <c r="B52" s="6">
        <f t="shared" si="7"/>
        <v>2</v>
      </c>
      <c r="C52">
        <f t="shared" si="8"/>
        <v>4</v>
      </c>
      <c r="D52" t="str">
        <f t="shared" si="9"/>
        <v>04</v>
      </c>
      <c r="E52">
        <v>2</v>
      </c>
      <c r="F52" s="4" t="s">
        <v>750</v>
      </c>
      <c r="G52" s="6" t="s">
        <v>289</v>
      </c>
      <c r="I52">
        <v>21</v>
      </c>
      <c r="J52">
        <v>12</v>
      </c>
      <c r="K52">
        <f t="shared" si="40"/>
        <v>16</v>
      </c>
      <c r="L52">
        <f t="shared" si="69"/>
        <v>10</v>
      </c>
      <c r="M52">
        <f t="shared" si="41"/>
        <v>57</v>
      </c>
      <c r="O52" s="5">
        <f t="shared" si="12"/>
        <v>1</v>
      </c>
      <c r="P52">
        <v>87</v>
      </c>
      <c r="Q52">
        <v>61</v>
      </c>
      <c r="R52">
        <v>55</v>
      </c>
      <c r="S52">
        <f t="shared" si="45"/>
        <v>84</v>
      </c>
      <c r="T52">
        <f t="shared" si="46"/>
        <v>22</v>
      </c>
      <c r="V52">
        <f t="shared" si="14"/>
        <v>39</v>
      </c>
      <c r="W52" s="6">
        <f>SUMIFS(events!BI:BI,events!K:K,"=DeadIce",events!BJ:BJ,"&lt;="&amp;shifts!AG52,events!BK:BK,"&gt;"&amp;shifts!AH52,events!Z:Z,"="&amp;shifts!B53)+SUMIFS(events!BI:BI,events!K:K,"=Timeout",events!BJ:BJ,"&lt;="&amp;shifts!AG52,events!BK:BK,"&gt;"&amp;shifts!AH52,events!Z:Z,"="&amp;shifts!B53)</f>
        <v>0</v>
      </c>
      <c r="X52" s="6" t="str">
        <f t="shared" si="15"/>
        <v/>
      </c>
      <c r="Y52">
        <v>1</v>
      </c>
      <c r="AD52">
        <f t="shared" ref="AD52:AF52" si="116">AD51</f>
        <v>18991</v>
      </c>
      <c r="AE52" t="str">
        <f t="shared" si="116"/>
        <v>Triple J</v>
      </c>
      <c r="AF52" t="str">
        <f t="shared" si="116"/>
        <v>Velodrome</v>
      </c>
      <c r="AG52" s="4">
        <f t="shared" si="48"/>
        <v>244</v>
      </c>
      <c r="AH52" s="4">
        <f t="shared" si="49"/>
        <v>155</v>
      </c>
      <c r="AI52" s="14">
        <f t="shared" si="50"/>
        <v>89</v>
      </c>
      <c r="AJ52">
        <f t="shared" si="51"/>
        <v>5</v>
      </c>
      <c r="AK52">
        <f t="shared" si="52"/>
        <v>5</v>
      </c>
      <c r="AL52">
        <f t="shared" si="53"/>
        <v>0</v>
      </c>
      <c r="AM52">
        <f t="shared" si="54"/>
        <v>0</v>
      </c>
      <c r="AN52">
        <f t="shared" si="55"/>
        <v>0</v>
      </c>
      <c r="AO52">
        <f t="shared" si="25"/>
        <v>0</v>
      </c>
      <c r="AP52">
        <f t="shared" si="56"/>
        <v>0</v>
      </c>
      <c r="AQ52">
        <f t="shared" si="57"/>
        <v>0</v>
      </c>
      <c r="AR52" t="str">
        <f t="shared" si="58"/>
        <v>Full Strength</v>
      </c>
      <c r="AS52" t="str">
        <f t="shared" si="59"/>
        <v>5v5</v>
      </c>
      <c r="AT52">
        <f t="shared" si="30"/>
        <v>1</v>
      </c>
      <c r="AU52">
        <f t="shared" si="31"/>
        <v>4</v>
      </c>
      <c r="AV52">
        <f t="shared" si="60"/>
        <v>0</v>
      </c>
      <c r="AW52">
        <f t="shared" si="61"/>
        <v>0</v>
      </c>
      <c r="AX52">
        <f t="shared" si="62"/>
        <v>0</v>
      </c>
      <c r="AY52">
        <f t="shared" si="63"/>
        <v>0</v>
      </c>
      <c r="AZ52">
        <f>IFERROR(VLOOKUP(B52,events!Z:BM,40,FALSE),0)</f>
        <v>0</v>
      </c>
      <c r="BA52">
        <f t="shared" si="64"/>
        <v>836</v>
      </c>
      <c r="BB52">
        <f t="shared" si="65"/>
        <v>831</v>
      </c>
      <c r="BC52" s="4">
        <f t="shared" si="66"/>
        <v>923</v>
      </c>
    </row>
    <row r="53" spans="1:55" x14ac:dyDescent="0.2">
      <c r="A53">
        <f t="shared" si="39"/>
        <v>52</v>
      </c>
      <c r="B53" s="6">
        <f t="shared" si="7"/>
        <v>2</v>
      </c>
      <c r="C53">
        <f t="shared" si="8"/>
        <v>2</v>
      </c>
      <c r="D53" t="str">
        <f t="shared" si="9"/>
        <v>35</v>
      </c>
      <c r="E53">
        <v>2</v>
      </c>
      <c r="F53" s="4" t="s">
        <v>1052</v>
      </c>
      <c r="I53">
        <f t="shared" si="67"/>
        <v>21</v>
      </c>
      <c r="J53">
        <f t="shared" si="68"/>
        <v>12</v>
      </c>
      <c r="K53">
        <f t="shared" si="40"/>
        <v>16</v>
      </c>
      <c r="L53">
        <f t="shared" si="69"/>
        <v>10</v>
      </c>
      <c r="M53">
        <v>41</v>
      </c>
      <c r="O53" s="5">
        <f t="shared" si="12"/>
        <v>1</v>
      </c>
      <c r="P53">
        <f t="shared" si="42"/>
        <v>87</v>
      </c>
      <c r="Q53">
        <f t="shared" si="43"/>
        <v>61</v>
      </c>
      <c r="R53">
        <f t="shared" si="44"/>
        <v>55</v>
      </c>
      <c r="S53">
        <f t="shared" si="45"/>
        <v>84</v>
      </c>
      <c r="T53">
        <f t="shared" si="46"/>
        <v>22</v>
      </c>
      <c r="V53">
        <f t="shared" si="14"/>
        <v>39</v>
      </c>
      <c r="W53" s="6">
        <f>SUMIFS(events!BI:BI,events!K:K,"=DeadIce",events!BJ:BJ,"&lt;="&amp;shifts!AG53,events!BK:BK,"&gt;"&amp;shifts!AH53,events!Z:Z,"="&amp;shifts!B54)+SUMIFS(events!BI:BI,events!K:K,"=Timeout",events!BJ:BJ,"&lt;="&amp;shifts!AG53,events!BK:BK,"&gt;"&amp;shifts!AH53,events!Z:Z,"="&amp;shifts!B54)</f>
        <v>0</v>
      </c>
      <c r="X53" s="6">
        <f t="shared" si="15"/>
        <v>1</v>
      </c>
      <c r="Y53">
        <v>1</v>
      </c>
      <c r="AD53">
        <f t="shared" ref="AD53:AF53" si="117">AD52</f>
        <v>18991</v>
      </c>
      <c r="AE53" t="str">
        <f t="shared" si="117"/>
        <v>Triple J</v>
      </c>
      <c r="AF53" t="str">
        <f t="shared" si="117"/>
        <v>Velodrome</v>
      </c>
      <c r="AG53" s="4">
        <f t="shared" si="48"/>
        <v>155</v>
      </c>
      <c r="AH53" s="4">
        <f t="shared" si="49"/>
        <v>148</v>
      </c>
      <c r="AI53" s="14">
        <f t="shared" si="50"/>
        <v>7</v>
      </c>
      <c r="AJ53">
        <f t="shared" si="51"/>
        <v>5</v>
      </c>
      <c r="AK53">
        <f t="shared" si="52"/>
        <v>5</v>
      </c>
      <c r="AL53">
        <f t="shared" si="53"/>
        <v>0</v>
      </c>
      <c r="AM53">
        <f t="shared" si="54"/>
        <v>0</v>
      </c>
      <c r="AN53">
        <f t="shared" si="55"/>
        <v>0</v>
      </c>
      <c r="AO53">
        <f t="shared" si="25"/>
        <v>0</v>
      </c>
      <c r="AP53">
        <f t="shared" si="56"/>
        <v>0</v>
      </c>
      <c r="AQ53">
        <f t="shared" si="57"/>
        <v>0</v>
      </c>
      <c r="AR53" t="str">
        <f t="shared" si="58"/>
        <v>Full Strength</v>
      </c>
      <c r="AS53" t="str">
        <f t="shared" si="59"/>
        <v>5v5</v>
      </c>
      <c r="AT53">
        <f t="shared" si="30"/>
        <v>1</v>
      </c>
      <c r="AU53">
        <f t="shared" si="31"/>
        <v>4</v>
      </c>
      <c r="AV53">
        <f t="shared" si="60"/>
        <v>0</v>
      </c>
      <c r="AW53">
        <f t="shared" si="61"/>
        <v>0</v>
      </c>
      <c r="AX53">
        <f t="shared" si="62"/>
        <v>0</v>
      </c>
      <c r="AY53">
        <f t="shared" si="63"/>
        <v>0</v>
      </c>
      <c r="AZ53">
        <f>IFERROR(VLOOKUP(B53,events!Z:BM,40,FALSE),0)</f>
        <v>0</v>
      </c>
      <c r="BA53">
        <f t="shared" si="64"/>
        <v>925</v>
      </c>
      <c r="BB53">
        <f t="shared" si="65"/>
        <v>920</v>
      </c>
      <c r="BC53" s="4">
        <f t="shared" si="66"/>
        <v>930</v>
      </c>
    </row>
    <row r="54" spans="1:55" x14ac:dyDescent="0.2">
      <c r="A54">
        <f t="shared" si="39"/>
        <v>53</v>
      </c>
      <c r="B54" s="6">
        <f t="shared" si="7"/>
        <v>2</v>
      </c>
      <c r="C54">
        <f t="shared" si="8"/>
        <v>2</v>
      </c>
      <c r="D54" t="str">
        <f t="shared" si="9"/>
        <v>28</v>
      </c>
      <c r="E54">
        <v>2</v>
      </c>
      <c r="F54" s="4" t="s">
        <v>1050</v>
      </c>
      <c r="I54">
        <v>73</v>
      </c>
      <c r="J54">
        <f t="shared" si="68"/>
        <v>12</v>
      </c>
      <c r="K54">
        <f t="shared" si="40"/>
        <v>16</v>
      </c>
      <c r="L54">
        <f t="shared" si="69"/>
        <v>10</v>
      </c>
      <c r="M54">
        <f t="shared" si="41"/>
        <v>41</v>
      </c>
      <c r="O54" s="5">
        <f t="shared" si="12"/>
        <v>1</v>
      </c>
      <c r="P54">
        <f t="shared" si="42"/>
        <v>87</v>
      </c>
      <c r="Q54">
        <f t="shared" si="43"/>
        <v>61</v>
      </c>
      <c r="R54">
        <f t="shared" si="44"/>
        <v>55</v>
      </c>
      <c r="S54">
        <f t="shared" si="45"/>
        <v>84</v>
      </c>
      <c r="T54">
        <f t="shared" si="46"/>
        <v>22</v>
      </c>
      <c r="V54">
        <f t="shared" si="14"/>
        <v>39</v>
      </c>
      <c r="W54" s="6">
        <f>SUMIFS(events!BI:BI,events!K:K,"=DeadIce",events!BJ:BJ,"&lt;="&amp;shifts!AG54,events!BK:BK,"&gt;"&amp;shifts!AH54,events!Z:Z,"="&amp;shifts!B55)+SUMIFS(events!BI:BI,events!K:K,"=Timeout",events!BJ:BJ,"&lt;="&amp;shifts!AG54,events!BK:BK,"&gt;"&amp;shifts!AH54,events!Z:Z,"="&amp;shifts!B55)</f>
        <v>0</v>
      </c>
      <c r="X54" s="6">
        <f t="shared" si="15"/>
        <v>1</v>
      </c>
      <c r="AA54">
        <v>1</v>
      </c>
      <c r="AD54">
        <f t="shared" ref="AD54:AF54" si="118">AD53</f>
        <v>18991</v>
      </c>
      <c r="AE54" t="str">
        <f t="shared" si="118"/>
        <v>Triple J</v>
      </c>
      <c r="AF54" t="str">
        <f t="shared" si="118"/>
        <v>Velodrome</v>
      </c>
      <c r="AG54" s="4">
        <f t="shared" si="48"/>
        <v>148</v>
      </c>
      <c r="AH54" s="4">
        <f t="shared" si="49"/>
        <v>130</v>
      </c>
      <c r="AI54" s="14">
        <f t="shared" si="50"/>
        <v>18</v>
      </c>
      <c r="AJ54">
        <f t="shared" si="51"/>
        <v>5</v>
      </c>
      <c r="AK54">
        <f t="shared" si="52"/>
        <v>5</v>
      </c>
      <c r="AL54">
        <f t="shared" si="53"/>
        <v>0</v>
      </c>
      <c r="AM54">
        <f t="shared" si="54"/>
        <v>0</v>
      </c>
      <c r="AN54">
        <f t="shared" si="55"/>
        <v>0</v>
      </c>
      <c r="AO54">
        <f t="shared" si="25"/>
        <v>0</v>
      </c>
      <c r="AP54">
        <f t="shared" si="56"/>
        <v>0</v>
      </c>
      <c r="AQ54">
        <f t="shared" si="57"/>
        <v>0</v>
      </c>
      <c r="AR54" t="str">
        <f t="shared" si="58"/>
        <v>Full Strength</v>
      </c>
      <c r="AS54" t="str">
        <f t="shared" si="59"/>
        <v>5v5</v>
      </c>
      <c r="AT54">
        <f t="shared" si="30"/>
        <v>1</v>
      </c>
      <c r="AU54">
        <f t="shared" si="31"/>
        <v>4</v>
      </c>
      <c r="AV54">
        <f t="shared" si="60"/>
        <v>0</v>
      </c>
      <c r="AW54">
        <f t="shared" si="61"/>
        <v>0</v>
      </c>
      <c r="AX54">
        <f t="shared" si="62"/>
        <v>0</v>
      </c>
      <c r="AY54">
        <f t="shared" si="63"/>
        <v>0</v>
      </c>
      <c r="AZ54">
        <f>IFERROR(VLOOKUP(B54,events!Z:BM,40,FALSE),0)</f>
        <v>0</v>
      </c>
      <c r="BA54">
        <f t="shared" si="64"/>
        <v>932</v>
      </c>
      <c r="BB54">
        <f t="shared" si="65"/>
        <v>927</v>
      </c>
      <c r="BC54" s="4">
        <f t="shared" si="66"/>
        <v>948</v>
      </c>
    </row>
    <row r="55" spans="1:55" x14ac:dyDescent="0.2">
      <c r="A55">
        <f t="shared" si="39"/>
        <v>54</v>
      </c>
      <c r="B55" s="6">
        <f t="shared" si="7"/>
        <v>2</v>
      </c>
      <c r="C55">
        <f t="shared" si="8"/>
        <v>2</v>
      </c>
      <c r="D55" t="str">
        <f t="shared" si="9"/>
        <v>10</v>
      </c>
      <c r="E55">
        <v>1</v>
      </c>
      <c r="F55" s="4" t="s">
        <v>1053</v>
      </c>
      <c r="I55">
        <f t="shared" si="67"/>
        <v>73</v>
      </c>
      <c r="J55">
        <f t="shared" si="68"/>
        <v>12</v>
      </c>
      <c r="K55">
        <f t="shared" si="40"/>
        <v>16</v>
      </c>
      <c r="L55">
        <v>19</v>
      </c>
      <c r="M55">
        <f t="shared" si="41"/>
        <v>41</v>
      </c>
      <c r="O55" s="5">
        <f t="shared" si="12"/>
        <v>1</v>
      </c>
      <c r="P55">
        <f t="shared" si="42"/>
        <v>87</v>
      </c>
      <c r="Q55">
        <v>75</v>
      </c>
      <c r="R55">
        <f t="shared" si="44"/>
        <v>55</v>
      </c>
      <c r="S55">
        <f t="shared" si="45"/>
        <v>84</v>
      </c>
      <c r="T55">
        <f t="shared" si="46"/>
        <v>22</v>
      </c>
      <c r="V55">
        <f t="shared" si="14"/>
        <v>39</v>
      </c>
      <c r="W55" s="6">
        <f>SUMIFS(events!BI:BI,events!K:K,"=DeadIce",events!BJ:BJ,"&lt;="&amp;shifts!AG55,events!BK:BK,"&gt;"&amp;shifts!AH55,events!Z:Z,"="&amp;shifts!B56)+SUMIFS(events!BI:BI,events!K:K,"=Timeout",events!BJ:BJ,"&lt;="&amp;shifts!AG55,events!BK:BK,"&gt;"&amp;shifts!AH55,events!Z:Z,"="&amp;shifts!B56)</f>
        <v>0</v>
      </c>
      <c r="X55" s="6" t="str">
        <f t="shared" si="15"/>
        <v/>
      </c>
      <c r="Y55">
        <v>1</v>
      </c>
      <c r="AD55">
        <f t="shared" ref="AD55:AF55" si="119">AD54</f>
        <v>18991</v>
      </c>
      <c r="AE55" t="str">
        <f t="shared" si="119"/>
        <v>Triple J</v>
      </c>
      <c r="AF55" t="str">
        <f t="shared" si="119"/>
        <v>Velodrome</v>
      </c>
      <c r="AG55" s="4">
        <f t="shared" si="48"/>
        <v>130</v>
      </c>
      <c r="AH55" s="4">
        <f t="shared" si="49"/>
        <v>113</v>
      </c>
      <c r="AI55" s="14">
        <f t="shared" si="50"/>
        <v>17</v>
      </c>
      <c r="AJ55">
        <f t="shared" si="51"/>
        <v>5</v>
      </c>
      <c r="AK55">
        <f t="shared" si="52"/>
        <v>5</v>
      </c>
      <c r="AL55">
        <f t="shared" si="53"/>
        <v>0</v>
      </c>
      <c r="AM55">
        <f t="shared" si="54"/>
        <v>0</v>
      </c>
      <c r="AN55">
        <f t="shared" si="55"/>
        <v>0</v>
      </c>
      <c r="AO55">
        <f t="shared" si="25"/>
        <v>0</v>
      </c>
      <c r="AP55">
        <f t="shared" si="56"/>
        <v>0</v>
      </c>
      <c r="AQ55">
        <f t="shared" si="57"/>
        <v>0</v>
      </c>
      <c r="AR55" t="str">
        <f t="shared" si="58"/>
        <v>Full Strength</v>
      </c>
      <c r="AS55" t="str">
        <f t="shared" si="59"/>
        <v>5v5</v>
      </c>
      <c r="AT55">
        <f t="shared" si="30"/>
        <v>1</v>
      </c>
      <c r="AU55">
        <f t="shared" si="31"/>
        <v>4</v>
      </c>
      <c r="AV55">
        <f t="shared" si="60"/>
        <v>0</v>
      </c>
      <c r="AW55">
        <f t="shared" si="61"/>
        <v>0</v>
      </c>
      <c r="AX55">
        <f t="shared" si="62"/>
        <v>0</v>
      </c>
      <c r="AY55">
        <f t="shared" si="63"/>
        <v>0</v>
      </c>
      <c r="AZ55">
        <f>IFERROR(VLOOKUP(B55,events!Z:BM,40,FALSE),0)</f>
        <v>0</v>
      </c>
      <c r="BA55">
        <f t="shared" si="64"/>
        <v>950</v>
      </c>
      <c r="BB55">
        <f t="shared" si="65"/>
        <v>945</v>
      </c>
      <c r="BC55" s="4">
        <f t="shared" si="66"/>
        <v>965</v>
      </c>
    </row>
    <row r="56" spans="1:55" x14ac:dyDescent="0.2">
      <c r="A56">
        <f t="shared" si="39"/>
        <v>55</v>
      </c>
      <c r="B56" s="6">
        <f t="shared" si="7"/>
        <v>2</v>
      </c>
      <c r="C56">
        <f t="shared" si="8"/>
        <v>1</v>
      </c>
      <c r="D56" t="str">
        <f t="shared" si="9"/>
        <v>53</v>
      </c>
      <c r="E56">
        <v>1</v>
      </c>
      <c r="F56" s="4" t="s">
        <v>750</v>
      </c>
      <c r="I56">
        <f t="shared" si="67"/>
        <v>73</v>
      </c>
      <c r="J56">
        <f t="shared" si="68"/>
        <v>12</v>
      </c>
      <c r="K56">
        <v>90</v>
      </c>
      <c r="L56">
        <f t="shared" si="69"/>
        <v>19</v>
      </c>
      <c r="M56">
        <f t="shared" si="41"/>
        <v>41</v>
      </c>
      <c r="O56" s="5">
        <f t="shared" si="12"/>
        <v>1</v>
      </c>
      <c r="P56">
        <f t="shared" si="42"/>
        <v>87</v>
      </c>
      <c r="Q56">
        <f t="shared" si="43"/>
        <v>75</v>
      </c>
      <c r="R56">
        <f t="shared" si="44"/>
        <v>55</v>
      </c>
      <c r="S56">
        <f t="shared" si="45"/>
        <v>84</v>
      </c>
      <c r="T56">
        <f t="shared" si="46"/>
        <v>22</v>
      </c>
      <c r="V56">
        <f t="shared" si="14"/>
        <v>39</v>
      </c>
      <c r="W56" s="6">
        <f>SUMIFS(events!BI:BI,events!K:K,"=DeadIce",events!BJ:BJ,"&lt;="&amp;shifts!AG56,events!BK:BK,"&gt;"&amp;shifts!AH56,events!Z:Z,"="&amp;shifts!B57)+SUMIFS(events!BI:BI,events!K:K,"=Timeout",events!BJ:BJ,"&lt;="&amp;shifts!AG56,events!BK:BK,"&gt;"&amp;shifts!AH56,events!Z:Z,"="&amp;shifts!B57)</f>
        <v>0</v>
      </c>
      <c r="X56" s="6">
        <f t="shared" si="15"/>
        <v>1</v>
      </c>
      <c r="AA56">
        <v>1</v>
      </c>
      <c r="AD56">
        <f t="shared" ref="AD56:AF56" si="120">AD55</f>
        <v>18991</v>
      </c>
      <c r="AE56" t="str">
        <f t="shared" si="120"/>
        <v>Triple J</v>
      </c>
      <c r="AF56" t="str">
        <f t="shared" si="120"/>
        <v>Velodrome</v>
      </c>
      <c r="AG56" s="4">
        <f t="shared" si="48"/>
        <v>113</v>
      </c>
      <c r="AH56" s="4">
        <f t="shared" si="49"/>
        <v>95</v>
      </c>
      <c r="AI56" s="14">
        <f t="shared" si="50"/>
        <v>18</v>
      </c>
      <c r="AJ56">
        <f t="shared" si="51"/>
        <v>5</v>
      </c>
      <c r="AK56">
        <f t="shared" si="52"/>
        <v>5</v>
      </c>
      <c r="AL56">
        <f t="shared" si="53"/>
        <v>0</v>
      </c>
      <c r="AM56">
        <f t="shared" si="54"/>
        <v>0</v>
      </c>
      <c r="AN56">
        <f t="shared" si="55"/>
        <v>0</v>
      </c>
      <c r="AO56">
        <f t="shared" si="25"/>
        <v>0</v>
      </c>
      <c r="AP56">
        <f t="shared" si="56"/>
        <v>0</v>
      </c>
      <c r="AQ56">
        <f t="shared" si="57"/>
        <v>0</v>
      </c>
      <c r="AR56" t="str">
        <f t="shared" si="58"/>
        <v>Full Strength</v>
      </c>
      <c r="AS56" t="str">
        <f t="shared" si="59"/>
        <v>5v5</v>
      </c>
      <c r="AT56">
        <f t="shared" si="30"/>
        <v>1</v>
      </c>
      <c r="AU56">
        <f t="shared" si="31"/>
        <v>4</v>
      </c>
      <c r="AV56">
        <f t="shared" si="60"/>
        <v>0</v>
      </c>
      <c r="AW56">
        <f t="shared" si="61"/>
        <v>0</v>
      </c>
      <c r="AX56">
        <f t="shared" si="62"/>
        <v>0</v>
      </c>
      <c r="AY56">
        <f t="shared" si="63"/>
        <v>0</v>
      </c>
      <c r="AZ56">
        <f>IFERROR(VLOOKUP(B56,events!Z:BM,40,FALSE),0)</f>
        <v>0</v>
      </c>
      <c r="BA56">
        <f t="shared" si="64"/>
        <v>967</v>
      </c>
      <c r="BB56">
        <f t="shared" si="65"/>
        <v>962</v>
      </c>
      <c r="BC56" s="4">
        <f t="shared" si="66"/>
        <v>983</v>
      </c>
    </row>
    <row r="57" spans="1:55" x14ac:dyDescent="0.2">
      <c r="A57">
        <f t="shared" si="39"/>
        <v>56</v>
      </c>
      <c r="B57" s="6">
        <f t="shared" si="7"/>
        <v>2</v>
      </c>
      <c r="C57">
        <f t="shared" si="8"/>
        <v>1</v>
      </c>
      <c r="D57" t="str">
        <f t="shared" si="9"/>
        <v>35</v>
      </c>
      <c r="E57">
        <v>1</v>
      </c>
      <c r="F57" s="4" t="s">
        <v>1048</v>
      </c>
      <c r="H57" s="5" t="s">
        <v>342</v>
      </c>
      <c r="I57">
        <f t="shared" si="67"/>
        <v>73</v>
      </c>
      <c r="J57">
        <f t="shared" si="68"/>
        <v>12</v>
      </c>
      <c r="K57">
        <f t="shared" si="40"/>
        <v>90</v>
      </c>
      <c r="L57">
        <f t="shared" si="69"/>
        <v>19</v>
      </c>
      <c r="M57">
        <f t="shared" si="41"/>
        <v>41</v>
      </c>
      <c r="O57" s="5">
        <f t="shared" si="12"/>
        <v>1</v>
      </c>
      <c r="P57">
        <f t="shared" si="42"/>
        <v>87</v>
      </c>
      <c r="Q57">
        <f t="shared" si="43"/>
        <v>75</v>
      </c>
      <c r="R57">
        <v>14</v>
      </c>
      <c r="S57">
        <f t="shared" si="45"/>
        <v>84</v>
      </c>
      <c r="T57">
        <f t="shared" si="46"/>
        <v>22</v>
      </c>
      <c r="V57">
        <f t="shared" si="14"/>
        <v>39</v>
      </c>
      <c r="W57" s="6">
        <f>SUMIFS(events!BI:BI,events!K:K,"=DeadIce",events!BJ:BJ,"&lt;="&amp;shifts!AG57,events!BK:BK,"&gt;"&amp;shifts!AH57,events!Z:Z,"="&amp;shifts!B58)+SUMIFS(events!BI:BI,events!K:K,"=Timeout",events!BJ:BJ,"&lt;="&amp;shifts!AG57,events!BK:BK,"&gt;"&amp;shifts!AH57,events!Z:Z,"="&amp;shifts!B58)</f>
        <v>0</v>
      </c>
      <c r="X57" s="6" t="str">
        <f t="shared" si="15"/>
        <v/>
      </c>
      <c r="AA57">
        <v>1</v>
      </c>
      <c r="AD57">
        <f t="shared" ref="AD57:AF57" si="121">AD56</f>
        <v>18991</v>
      </c>
      <c r="AE57" t="str">
        <f t="shared" si="121"/>
        <v>Triple J</v>
      </c>
      <c r="AF57" t="str">
        <f t="shared" si="121"/>
        <v>Velodrome</v>
      </c>
      <c r="AG57" s="4">
        <f t="shared" si="48"/>
        <v>95</v>
      </c>
      <c r="AH57" s="4">
        <f t="shared" si="49"/>
        <v>92</v>
      </c>
      <c r="AI57" s="14">
        <f t="shared" si="50"/>
        <v>3</v>
      </c>
      <c r="AJ57">
        <f t="shared" si="51"/>
        <v>5</v>
      </c>
      <c r="AK57">
        <f t="shared" si="52"/>
        <v>5</v>
      </c>
      <c r="AL57">
        <f t="shared" si="53"/>
        <v>0</v>
      </c>
      <c r="AM57">
        <f t="shared" si="54"/>
        <v>0</v>
      </c>
      <c r="AN57">
        <f t="shared" si="55"/>
        <v>0</v>
      </c>
      <c r="AO57">
        <f t="shared" si="25"/>
        <v>0</v>
      </c>
      <c r="AP57">
        <f t="shared" si="56"/>
        <v>0</v>
      </c>
      <c r="AQ57">
        <f t="shared" si="57"/>
        <v>0</v>
      </c>
      <c r="AR57" t="str">
        <f t="shared" si="58"/>
        <v>Full Strength</v>
      </c>
      <c r="AS57" t="str">
        <f t="shared" si="59"/>
        <v>5v5</v>
      </c>
      <c r="AT57">
        <f t="shared" si="30"/>
        <v>1</v>
      </c>
      <c r="AU57">
        <f t="shared" si="31"/>
        <v>4</v>
      </c>
      <c r="AV57">
        <f t="shared" si="60"/>
        <v>0</v>
      </c>
      <c r="AW57">
        <f t="shared" si="61"/>
        <v>0</v>
      </c>
      <c r="AX57">
        <f t="shared" si="62"/>
        <v>0</v>
      </c>
      <c r="AY57">
        <f t="shared" si="63"/>
        <v>0</v>
      </c>
      <c r="AZ57">
        <f>IFERROR(VLOOKUP(B57,events!Z:BM,40,FALSE),0)</f>
        <v>0</v>
      </c>
      <c r="BA57">
        <f t="shared" si="64"/>
        <v>985</v>
      </c>
      <c r="BB57">
        <f t="shared" si="65"/>
        <v>980</v>
      </c>
      <c r="BC57" s="4">
        <f t="shared" si="66"/>
        <v>986</v>
      </c>
    </row>
    <row r="58" spans="1:55" x14ac:dyDescent="0.2">
      <c r="A58">
        <f t="shared" si="39"/>
        <v>57</v>
      </c>
      <c r="B58" s="6">
        <f t="shared" si="7"/>
        <v>2</v>
      </c>
      <c r="C58">
        <f t="shared" si="8"/>
        <v>1</v>
      </c>
      <c r="D58" t="str">
        <f t="shared" si="9"/>
        <v>32</v>
      </c>
      <c r="E58">
        <v>0</v>
      </c>
      <c r="F58" s="4" t="s">
        <v>755</v>
      </c>
      <c r="G58" s="6" t="s">
        <v>289</v>
      </c>
      <c r="H58" s="5" t="s">
        <v>292</v>
      </c>
      <c r="I58">
        <f t="shared" si="67"/>
        <v>73</v>
      </c>
      <c r="J58">
        <v>69</v>
      </c>
      <c r="K58">
        <f t="shared" si="40"/>
        <v>90</v>
      </c>
      <c r="L58">
        <f t="shared" si="69"/>
        <v>19</v>
      </c>
      <c r="M58">
        <f t="shared" si="41"/>
        <v>41</v>
      </c>
      <c r="O58" s="5">
        <f t="shared" si="12"/>
        <v>1</v>
      </c>
      <c r="P58">
        <v>70</v>
      </c>
      <c r="Q58">
        <f t="shared" si="43"/>
        <v>75</v>
      </c>
      <c r="R58">
        <f t="shared" si="44"/>
        <v>14</v>
      </c>
      <c r="S58">
        <v>9</v>
      </c>
      <c r="T58">
        <v>93</v>
      </c>
      <c r="V58">
        <f t="shared" si="14"/>
        <v>39</v>
      </c>
      <c r="W58" s="6">
        <f>SUMIFS(events!BI:BI,events!K:K,"=DeadIce",events!BJ:BJ,"&lt;="&amp;shifts!AG58,events!BK:BK,"&gt;"&amp;shifts!AH58,events!Z:Z,"="&amp;shifts!B59)+SUMIFS(events!BI:BI,events!K:K,"=Timeout",events!BJ:BJ,"&lt;="&amp;shifts!AG58,events!BK:BK,"&gt;"&amp;shifts!AH58,events!Z:Z,"="&amp;shifts!B59)</f>
        <v>0</v>
      </c>
      <c r="X58" s="6" t="str">
        <f t="shared" si="15"/>
        <v/>
      </c>
      <c r="AA58">
        <v>1</v>
      </c>
      <c r="AD58">
        <f t="shared" ref="AD58:AF58" si="122">AD57</f>
        <v>18991</v>
      </c>
      <c r="AE58" t="str">
        <f t="shared" si="122"/>
        <v>Triple J</v>
      </c>
      <c r="AF58" t="str">
        <f t="shared" si="122"/>
        <v>Velodrome</v>
      </c>
      <c r="AG58" s="4">
        <f t="shared" si="48"/>
        <v>92</v>
      </c>
      <c r="AH58" s="4">
        <f t="shared" si="49"/>
        <v>0.01</v>
      </c>
      <c r="AI58" s="14">
        <f t="shared" si="50"/>
        <v>92</v>
      </c>
      <c r="AJ58">
        <f t="shared" si="51"/>
        <v>5</v>
      </c>
      <c r="AK58">
        <f t="shared" si="52"/>
        <v>5</v>
      </c>
      <c r="AL58">
        <f t="shared" si="53"/>
        <v>0</v>
      </c>
      <c r="AM58">
        <f t="shared" si="54"/>
        <v>0</v>
      </c>
      <c r="AN58">
        <f t="shared" si="55"/>
        <v>0</v>
      </c>
      <c r="AO58">
        <f t="shared" si="25"/>
        <v>0</v>
      </c>
      <c r="AP58">
        <f t="shared" si="56"/>
        <v>0</v>
      </c>
      <c r="AQ58">
        <f t="shared" si="57"/>
        <v>0</v>
      </c>
      <c r="AR58" t="str">
        <f t="shared" si="58"/>
        <v>Full Strength</v>
      </c>
      <c r="AS58" t="str">
        <f t="shared" si="59"/>
        <v>5v5</v>
      </c>
      <c r="AT58">
        <f t="shared" si="30"/>
        <v>1</v>
      </c>
      <c r="AU58">
        <f t="shared" si="31"/>
        <v>4</v>
      </c>
      <c r="AV58">
        <f t="shared" si="60"/>
        <v>0</v>
      </c>
      <c r="AW58">
        <f t="shared" si="61"/>
        <v>0</v>
      </c>
      <c r="AX58">
        <f t="shared" si="62"/>
        <v>0</v>
      </c>
      <c r="AY58">
        <f t="shared" si="63"/>
        <v>0</v>
      </c>
      <c r="AZ58">
        <f>IFERROR(VLOOKUP(B58,events!Z:BM,40,FALSE),0)</f>
        <v>0</v>
      </c>
      <c r="BA58">
        <f t="shared" si="64"/>
        <v>988</v>
      </c>
      <c r="BB58">
        <f t="shared" si="65"/>
        <v>983</v>
      </c>
      <c r="BC58" s="4">
        <f t="shared" si="66"/>
        <v>1078</v>
      </c>
    </row>
    <row r="59" spans="1:55" x14ac:dyDescent="0.2">
      <c r="A59">
        <f t="shared" si="39"/>
        <v>58</v>
      </c>
      <c r="B59" s="6">
        <f t="shared" si="7"/>
        <v>2</v>
      </c>
      <c r="C59">
        <f t="shared" si="8"/>
        <v>0</v>
      </c>
      <c r="D59" t="str">
        <f t="shared" si="9"/>
        <v>0.01</v>
      </c>
      <c r="G59" s="6" t="s">
        <v>393</v>
      </c>
      <c r="P59"/>
      <c r="W59" s="6">
        <f>SUMIFS(events!BI:BI,events!K:K,"=DeadIce",events!BJ:BJ,"&lt;="&amp;shifts!AG59,events!BK:BK,"&gt;"&amp;shifts!AH59,events!Z:Z,"="&amp;shifts!B60)+SUMIFS(events!BI:BI,events!K:K,"=Timeout",events!BJ:BJ,"&lt;="&amp;shifts!AG59,events!BK:BK,"&gt;"&amp;shifts!AH59,events!Z:Z,"="&amp;shifts!B60)</f>
        <v>0</v>
      </c>
      <c r="X59" s="6" t="str">
        <f t="shared" si="15"/>
        <v/>
      </c>
      <c r="AD59">
        <f t="shared" ref="AD59:AF59" si="123">AD58</f>
        <v>18991</v>
      </c>
      <c r="AE59" t="str">
        <f t="shared" si="123"/>
        <v>Triple J</v>
      </c>
      <c r="AF59" t="str">
        <f t="shared" si="123"/>
        <v>Velodrome</v>
      </c>
      <c r="AG59" s="4">
        <f t="shared" si="48"/>
        <v>0.01</v>
      </c>
      <c r="AH59" s="4">
        <f t="shared" si="49"/>
        <v>0</v>
      </c>
      <c r="AI59" s="14">
        <f t="shared" si="50"/>
        <v>0</v>
      </c>
      <c r="AJ59">
        <f t="shared" si="51"/>
        <v>0</v>
      </c>
      <c r="AK59">
        <f t="shared" si="52"/>
        <v>0</v>
      </c>
      <c r="AL59">
        <f t="shared" si="53"/>
        <v>1</v>
      </c>
      <c r="AM59">
        <f t="shared" si="54"/>
        <v>1</v>
      </c>
      <c r="AN59">
        <f t="shared" si="55"/>
        <v>0</v>
      </c>
      <c r="AO59">
        <f t="shared" si="25"/>
        <v>0</v>
      </c>
      <c r="AP59">
        <f t="shared" si="56"/>
        <v>0</v>
      </c>
      <c r="AQ59">
        <f t="shared" si="57"/>
        <v>0</v>
      </c>
      <c r="AR59" t="str">
        <f t="shared" si="58"/>
        <v>Home EmptyNet</v>
      </c>
      <c r="AS59" t="str">
        <f t="shared" si="59"/>
        <v>0v0 Home EN</v>
      </c>
      <c r="AT59">
        <f t="shared" si="30"/>
        <v>1</v>
      </c>
      <c r="AU59">
        <f t="shared" si="31"/>
        <v>4</v>
      </c>
      <c r="AV59">
        <f t="shared" si="60"/>
        <v>0</v>
      </c>
      <c r="AW59">
        <f t="shared" si="61"/>
        <v>0</v>
      </c>
      <c r="AX59">
        <f t="shared" si="62"/>
        <v>0</v>
      </c>
      <c r="AY59">
        <f t="shared" si="63"/>
        <v>0</v>
      </c>
      <c r="AZ59">
        <f>IFERROR(VLOOKUP(B59,events!Z:BM,40,FALSE),0)</f>
        <v>0</v>
      </c>
      <c r="BA59">
        <f t="shared" si="64"/>
        <v>988</v>
      </c>
      <c r="BB59">
        <f t="shared" si="65"/>
        <v>983</v>
      </c>
      <c r="BC59" s="4">
        <f t="shared" si="66"/>
        <v>986</v>
      </c>
    </row>
    <row r="60" spans="1:55" x14ac:dyDescent="0.2">
      <c r="A60">
        <f t="shared" si="39"/>
        <v>59</v>
      </c>
      <c r="B60" s="6">
        <f t="shared" si="7"/>
        <v>3</v>
      </c>
      <c r="C60">
        <v>18</v>
      </c>
      <c r="D60">
        <v>0</v>
      </c>
      <c r="E60">
        <v>16</v>
      </c>
      <c r="F60" s="4" t="s">
        <v>749</v>
      </c>
      <c r="G60" s="6" t="s">
        <v>284</v>
      </c>
      <c r="H60" s="5" t="s">
        <v>300</v>
      </c>
      <c r="I60">
        <v>73</v>
      </c>
      <c r="J60">
        <v>37</v>
      </c>
      <c r="K60">
        <v>71</v>
      </c>
      <c r="L60">
        <v>10</v>
      </c>
      <c r="M60">
        <v>57</v>
      </c>
      <c r="O60" s="5">
        <v>1</v>
      </c>
      <c r="P60">
        <v>70</v>
      </c>
      <c r="Q60">
        <v>91</v>
      </c>
      <c r="R60">
        <v>24</v>
      </c>
      <c r="S60">
        <v>9</v>
      </c>
      <c r="T60">
        <v>93</v>
      </c>
      <c r="V60">
        <v>39</v>
      </c>
      <c r="W60" s="6">
        <f>SUMIFS(events!BI:BI,events!K:K,"=DeadIce",events!BJ:BJ,"&lt;="&amp;shifts!AG60,events!BK:BK,"&gt;"&amp;shifts!AH60,events!Z:Z,"="&amp;shifts!B61)+SUMIFS(events!BI:BI,events!K:K,"=Timeout",events!BJ:BJ,"&lt;="&amp;shifts!AG60,events!BK:BK,"&gt;"&amp;shifts!AH60,events!Z:Z,"="&amp;shifts!B61)</f>
        <v>0</v>
      </c>
      <c r="X60" s="6" t="str">
        <f t="shared" si="15"/>
        <v/>
      </c>
      <c r="AC60">
        <v>1</v>
      </c>
      <c r="AD60">
        <f t="shared" ref="AD60:AF60" si="124">AD59</f>
        <v>18991</v>
      </c>
      <c r="AE60" t="str">
        <f t="shared" si="124"/>
        <v>Triple J</v>
      </c>
      <c r="AF60" t="str">
        <f t="shared" si="124"/>
        <v>Velodrome</v>
      </c>
      <c r="AG60" s="4">
        <f t="shared" si="48"/>
        <v>1080</v>
      </c>
      <c r="AH60" s="4">
        <f t="shared" si="49"/>
        <v>999</v>
      </c>
      <c r="AI60" s="14">
        <f t="shared" si="50"/>
        <v>81</v>
      </c>
      <c r="AJ60">
        <f t="shared" si="51"/>
        <v>5</v>
      </c>
      <c r="AK60">
        <f t="shared" si="52"/>
        <v>5</v>
      </c>
      <c r="AL60">
        <f t="shared" si="53"/>
        <v>0</v>
      </c>
      <c r="AM60">
        <f t="shared" si="54"/>
        <v>0</v>
      </c>
      <c r="AN60">
        <f t="shared" si="55"/>
        <v>0</v>
      </c>
      <c r="AO60">
        <f t="shared" si="25"/>
        <v>0</v>
      </c>
      <c r="AP60">
        <f t="shared" si="56"/>
        <v>0</v>
      </c>
      <c r="AQ60">
        <f t="shared" si="57"/>
        <v>0</v>
      </c>
      <c r="AR60" t="str">
        <f t="shared" si="58"/>
        <v>Full Strength</v>
      </c>
      <c r="AS60" t="str">
        <f t="shared" si="59"/>
        <v>5v5</v>
      </c>
      <c r="AT60">
        <f t="shared" si="30"/>
        <v>1</v>
      </c>
      <c r="AU60">
        <f t="shared" si="31"/>
        <v>4</v>
      </c>
      <c r="AV60">
        <f t="shared" si="60"/>
        <v>0</v>
      </c>
      <c r="AW60">
        <f t="shared" si="61"/>
        <v>0</v>
      </c>
      <c r="AX60">
        <f t="shared" si="62"/>
        <v>0</v>
      </c>
      <c r="AY60">
        <f t="shared" si="63"/>
        <v>0</v>
      </c>
      <c r="AZ60">
        <f>IFERROR(VLOOKUP(B60,events!Z:BM,40,FALSE),0)</f>
        <v>0</v>
      </c>
      <c r="BA60">
        <f t="shared" si="64"/>
        <v>0</v>
      </c>
      <c r="BB60">
        <f t="shared" si="65"/>
        <v>0</v>
      </c>
      <c r="BC60" s="4">
        <f t="shared" si="66"/>
        <v>84</v>
      </c>
    </row>
    <row r="61" spans="1:55" x14ac:dyDescent="0.2">
      <c r="A61">
        <f t="shared" si="39"/>
        <v>60</v>
      </c>
      <c r="B61" s="6">
        <f t="shared" si="7"/>
        <v>3</v>
      </c>
      <c r="C61">
        <f t="shared" si="8"/>
        <v>16</v>
      </c>
      <c r="D61" t="str">
        <f t="shared" si="9"/>
        <v>39</v>
      </c>
      <c r="E61">
        <v>15</v>
      </c>
      <c r="F61" s="4" t="s">
        <v>1044</v>
      </c>
      <c r="G61" s="6" t="s">
        <v>289</v>
      </c>
      <c r="H61" s="5" t="s">
        <v>342</v>
      </c>
      <c r="I61">
        <v>21</v>
      </c>
      <c r="J61">
        <f t="shared" si="68"/>
        <v>37</v>
      </c>
      <c r="K61">
        <f t="shared" si="40"/>
        <v>71</v>
      </c>
      <c r="L61">
        <f t="shared" si="69"/>
        <v>10</v>
      </c>
      <c r="M61">
        <f t="shared" si="41"/>
        <v>57</v>
      </c>
      <c r="O61" s="5">
        <f t="shared" si="12"/>
        <v>1</v>
      </c>
      <c r="P61">
        <v>87</v>
      </c>
      <c r="Q61">
        <f t="shared" si="43"/>
        <v>91</v>
      </c>
      <c r="R61">
        <f t="shared" si="44"/>
        <v>24</v>
      </c>
      <c r="S61">
        <v>84</v>
      </c>
      <c r="T61">
        <v>22</v>
      </c>
      <c r="V61">
        <f t="shared" si="14"/>
        <v>39</v>
      </c>
      <c r="W61" s="6">
        <f>SUMIFS(events!BI:BI,events!K:K,"=DeadIce",events!BJ:BJ,"&lt;="&amp;shifts!AG61,events!BK:BK,"&gt;"&amp;shifts!AH61,events!Z:Z,"="&amp;shifts!B62)+SUMIFS(events!BI:BI,events!K:K,"=Timeout",events!BJ:BJ,"&lt;="&amp;shifts!AG61,events!BK:BK,"&gt;"&amp;shifts!AH61,events!Z:Z,"="&amp;shifts!B62)</f>
        <v>0</v>
      </c>
      <c r="X61" s="6" t="str">
        <f t="shared" si="15"/>
        <v/>
      </c>
      <c r="AA61">
        <v>1</v>
      </c>
      <c r="AD61">
        <f t="shared" ref="AD61:AF61" si="125">AD60</f>
        <v>18991</v>
      </c>
      <c r="AE61" t="str">
        <f t="shared" si="125"/>
        <v>Triple J</v>
      </c>
      <c r="AF61" t="str">
        <f t="shared" si="125"/>
        <v>Velodrome</v>
      </c>
      <c r="AG61" s="4">
        <f t="shared" si="48"/>
        <v>999</v>
      </c>
      <c r="AH61" s="4">
        <f t="shared" si="49"/>
        <v>952</v>
      </c>
      <c r="AI61" s="14">
        <f t="shared" si="50"/>
        <v>47</v>
      </c>
      <c r="AJ61">
        <f t="shared" si="51"/>
        <v>5</v>
      </c>
      <c r="AK61">
        <f t="shared" si="52"/>
        <v>5</v>
      </c>
      <c r="AL61">
        <f t="shared" si="53"/>
        <v>0</v>
      </c>
      <c r="AM61">
        <f t="shared" si="54"/>
        <v>0</v>
      </c>
      <c r="AN61">
        <f t="shared" si="55"/>
        <v>0</v>
      </c>
      <c r="AO61">
        <f t="shared" si="25"/>
        <v>0</v>
      </c>
      <c r="AP61">
        <f t="shared" si="56"/>
        <v>0</v>
      </c>
      <c r="AQ61">
        <f t="shared" si="57"/>
        <v>0</v>
      </c>
      <c r="AR61" t="str">
        <f t="shared" si="58"/>
        <v>Full Strength</v>
      </c>
      <c r="AS61" t="str">
        <f t="shared" si="59"/>
        <v>5v5</v>
      </c>
      <c r="AT61">
        <f t="shared" si="30"/>
        <v>1</v>
      </c>
      <c r="AU61">
        <f t="shared" si="31"/>
        <v>4</v>
      </c>
      <c r="AV61">
        <f t="shared" si="60"/>
        <v>0</v>
      </c>
      <c r="AW61">
        <f t="shared" si="61"/>
        <v>0</v>
      </c>
      <c r="AX61">
        <f t="shared" si="62"/>
        <v>0</v>
      </c>
      <c r="AY61">
        <f t="shared" si="63"/>
        <v>0</v>
      </c>
      <c r="AZ61">
        <f>IFERROR(VLOOKUP(B61,events!Z:BM,40,FALSE),0)</f>
        <v>0</v>
      </c>
      <c r="BA61">
        <f t="shared" si="64"/>
        <v>81</v>
      </c>
      <c r="BB61">
        <f t="shared" si="65"/>
        <v>76</v>
      </c>
      <c r="BC61" s="4">
        <f t="shared" si="66"/>
        <v>126</v>
      </c>
    </row>
    <row r="62" spans="1:55" x14ac:dyDescent="0.2">
      <c r="A62">
        <f t="shared" si="39"/>
        <v>61</v>
      </c>
      <c r="B62" s="6">
        <f t="shared" si="7"/>
        <v>3</v>
      </c>
      <c r="C62">
        <f t="shared" si="8"/>
        <v>15</v>
      </c>
      <c r="D62" t="str">
        <f t="shared" si="9"/>
        <v>52</v>
      </c>
      <c r="E62">
        <v>15</v>
      </c>
      <c r="F62" s="4" t="s">
        <v>1050</v>
      </c>
      <c r="G62" s="6" t="s">
        <v>289</v>
      </c>
      <c r="H62" s="5" t="s">
        <v>342</v>
      </c>
      <c r="I62">
        <f t="shared" si="67"/>
        <v>21</v>
      </c>
      <c r="J62">
        <v>12</v>
      </c>
      <c r="K62">
        <v>16</v>
      </c>
      <c r="L62">
        <f t="shared" si="69"/>
        <v>10</v>
      </c>
      <c r="M62">
        <f t="shared" si="41"/>
        <v>57</v>
      </c>
      <c r="O62" s="5">
        <f t="shared" si="12"/>
        <v>1</v>
      </c>
      <c r="P62">
        <f t="shared" si="42"/>
        <v>87</v>
      </c>
      <c r="Q62">
        <v>61</v>
      </c>
      <c r="R62">
        <v>55</v>
      </c>
      <c r="S62">
        <f t="shared" si="45"/>
        <v>84</v>
      </c>
      <c r="T62">
        <f t="shared" si="46"/>
        <v>22</v>
      </c>
      <c r="V62">
        <f t="shared" si="14"/>
        <v>39</v>
      </c>
      <c r="W62" s="6">
        <f>SUMIFS(events!BI:BI,events!K:K,"=DeadIce",events!BJ:BJ,"&lt;="&amp;shifts!AG62,events!BK:BK,"&gt;"&amp;shifts!AH62,events!Z:Z,"="&amp;shifts!B63)+SUMIFS(events!BI:BI,events!K:K,"=Timeout",events!BJ:BJ,"&lt;="&amp;shifts!AG62,events!BK:BK,"&gt;"&amp;shifts!AH62,events!Z:Z,"="&amp;shifts!B63)</f>
        <v>0</v>
      </c>
      <c r="X62" s="6" t="str">
        <f t="shared" si="15"/>
        <v/>
      </c>
      <c r="AA62">
        <v>1</v>
      </c>
      <c r="AD62">
        <f t="shared" ref="AD62:AF62" si="126">AD61</f>
        <v>18991</v>
      </c>
      <c r="AE62" t="str">
        <f t="shared" si="126"/>
        <v>Triple J</v>
      </c>
      <c r="AF62" t="str">
        <f t="shared" si="126"/>
        <v>Velodrome</v>
      </c>
      <c r="AG62" s="4">
        <f t="shared" si="48"/>
        <v>952</v>
      </c>
      <c r="AH62" s="4">
        <f t="shared" si="49"/>
        <v>910</v>
      </c>
      <c r="AI62" s="14">
        <f t="shared" si="50"/>
        <v>42</v>
      </c>
      <c r="AJ62">
        <f t="shared" si="51"/>
        <v>5</v>
      </c>
      <c r="AK62">
        <f t="shared" si="52"/>
        <v>5</v>
      </c>
      <c r="AL62">
        <f t="shared" si="53"/>
        <v>0</v>
      </c>
      <c r="AM62">
        <f t="shared" si="54"/>
        <v>0</v>
      </c>
      <c r="AN62">
        <f t="shared" si="55"/>
        <v>0</v>
      </c>
      <c r="AO62">
        <f t="shared" si="25"/>
        <v>0</v>
      </c>
      <c r="AP62">
        <f t="shared" si="56"/>
        <v>0</v>
      </c>
      <c r="AQ62">
        <f t="shared" si="57"/>
        <v>0</v>
      </c>
      <c r="AR62" t="str">
        <f t="shared" si="58"/>
        <v>Full Strength</v>
      </c>
      <c r="AS62" t="str">
        <f t="shared" si="59"/>
        <v>5v5</v>
      </c>
      <c r="AT62">
        <f t="shared" si="30"/>
        <v>1</v>
      </c>
      <c r="AU62">
        <f t="shared" si="31"/>
        <v>4</v>
      </c>
      <c r="AV62">
        <f t="shared" si="60"/>
        <v>0</v>
      </c>
      <c r="AW62">
        <f t="shared" si="61"/>
        <v>0</v>
      </c>
      <c r="AX62">
        <f t="shared" si="62"/>
        <v>0</v>
      </c>
      <c r="AY62">
        <f t="shared" si="63"/>
        <v>0</v>
      </c>
      <c r="AZ62">
        <f>IFERROR(VLOOKUP(B62,events!Z:BM,40,FALSE),0)</f>
        <v>0</v>
      </c>
      <c r="BA62">
        <f t="shared" si="64"/>
        <v>128</v>
      </c>
      <c r="BB62">
        <f t="shared" si="65"/>
        <v>123</v>
      </c>
      <c r="BC62" s="4">
        <f t="shared" si="66"/>
        <v>168</v>
      </c>
    </row>
    <row r="63" spans="1:55" x14ac:dyDescent="0.2">
      <c r="A63">
        <f t="shared" si="39"/>
        <v>62</v>
      </c>
      <c r="B63" s="6">
        <f t="shared" si="7"/>
        <v>3</v>
      </c>
      <c r="C63">
        <f t="shared" si="8"/>
        <v>15</v>
      </c>
      <c r="D63" t="str">
        <f t="shared" si="9"/>
        <v>10</v>
      </c>
      <c r="E63">
        <v>13</v>
      </c>
      <c r="F63" s="4" t="s">
        <v>753</v>
      </c>
      <c r="G63" s="6" t="s">
        <v>289</v>
      </c>
      <c r="H63" s="5" t="s">
        <v>342</v>
      </c>
      <c r="I63">
        <f t="shared" si="67"/>
        <v>21</v>
      </c>
      <c r="J63">
        <f t="shared" si="68"/>
        <v>12</v>
      </c>
      <c r="K63">
        <f t="shared" si="40"/>
        <v>16</v>
      </c>
      <c r="L63">
        <v>19</v>
      </c>
      <c r="M63">
        <v>41</v>
      </c>
      <c r="O63" s="5">
        <f t="shared" si="12"/>
        <v>1</v>
      </c>
      <c r="P63">
        <f t="shared" si="42"/>
        <v>87</v>
      </c>
      <c r="Q63">
        <f t="shared" si="43"/>
        <v>61</v>
      </c>
      <c r="R63">
        <f t="shared" si="44"/>
        <v>55</v>
      </c>
      <c r="S63">
        <f t="shared" si="45"/>
        <v>84</v>
      </c>
      <c r="T63">
        <f t="shared" si="46"/>
        <v>22</v>
      </c>
      <c r="V63">
        <f t="shared" si="14"/>
        <v>39</v>
      </c>
      <c r="W63" s="6">
        <f>SUMIFS(events!BI:BI,events!K:K,"=DeadIce",events!BJ:BJ,"&lt;="&amp;shifts!AG63,events!BK:BK,"&gt;"&amp;shifts!AH63,events!Z:Z,"="&amp;shifts!B64)+SUMIFS(events!BI:BI,events!K:K,"=Timeout",events!BJ:BJ,"&lt;="&amp;shifts!AG63,events!BK:BK,"&gt;"&amp;shifts!AH63,events!Z:Z,"="&amp;shifts!B64)</f>
        <v>0</v>
      </c>
      <c r="X63" s="6" t="str">
        <f t="shared" si="15"/>
        <v/>
      </c>
      <c r="AA63">
        <v>1</v>
      </c>
      <c r="AD63">
        <f t="shared" ref="AD63:AF63" si="127">AD62</f>
        <v>18991</v>
      </c>
      <c r="AE63" t="str">
        <f t="shared" si="127"/>
        <v>Triple J</v>
      </c>
      <c r="AF63" t="str">
        <f t="shared" si="127"/>
        <v>Velodrome</v>
      </c>
      <c r="AG63" s="4">
        <f t="shared" si="48"/>
        <v>910</v>
      </c>
      <c r="AH63" s="4">
        <f t="shared" si="49"/>
        <v>835</v>
      </c>
      <c r="AI63" s="14">
        <f t="shared" si="50"/>
        <v>75</v>
      </c>
      <c r="AJ63">
        <f t="shared" si="51"/>
        <v>5</v>
      </c>
      <c r="AK63">
        <f t="shared" si="52"/>
        <v>5</v>
      </c>
      <c r="AL63">
        <f t="shared" si="53"/>
        <v>0</v>
      </c>
      <c r="AM63">
        <f t="shared" si="54"/>
        <v>0</v>
      </c>
      <c r="AN63">
        <f t="shared" si="55"/>
        <v>0</v>
      </c>
      <c r="AO63">
        <f t="shared" si="25"/>
        <v>0</v>
      </c>
      <c r="AP63">
        <f t="shared" si="56"/>
        <v>0</v>
      </c>
      <c r="AQ63">
        <f t="shared" si="57"/>
        <v>0</v>
      </c>
      <c r="AR63" t="str">
        <f t="shared" si="58"/>
        <v>Full Strength</v>
      </c>
      <c r="AS63" t="str">
        <f t="shared" si="59"/>
        <v>5v5</v>
      </c>
      <c r="AT63">
        <f t="shared" si="30"/>
        <v>1</v>
      </c>
      <c r="AU63">
        <f t="shared" si="31"/>
        <v>4</v>
      </c>
      <c r="AV63">
        <f t="shared" si="60"/>
        <v>0</v>
      </c>
      <c r="AW63">
        <f t="shared" si="61"/>
        <v>0</v>
      </c>
      <c r="AX63">
        <f t="shared" si="62"/>
        <v>0</v>
      </c>
      <c r="AY63">
        <f t="shared" si="63"/>
        <v>0</v>
      </c>
      <c r="AZ63">
        <f>IFERROR(VLOOKUP(B63,events!Z:BM,40,FALSE),0)</f>
        <v>0</v>
      </c>
      <c r="BA63">
        <f t="shared" si="64"/>
        <v>170</v>
      </c>
      <c r="BB63">
        <f t="shared" si="65"/>
        <v>165</v>
      </c>
      <c r="BC63" s="4">
        <f t="shared" si="66"/>
        <v>243</v>
      </c>
    </row>
    <row r="64" spans="1:55" x14ac:dyDescent="0.2">
      <c r="A64">
        <f t="shared" si="39"/>
        <v>63</v>
      </c>
      <c r="B64" s="6">
        <f t="shared" si="7"/>
        <v>3</v>
      </c>
      <c r="C64">
        <f t="shared" si="8"/>
        <v>13</v>
      </c>
      <c r="D64" t="str">
        <f t="shared" si="9"/>
        <v>55</v>
      </c>
      <c r="E64">
        <v>12</v>
      </c>
      <c r="F64" s="4" t="s">
        <v>1054</v>
      </c>
      <c r="G64" s="6" t="s">
        <v>289</v>
      </c>
      <c r="I64">
        <v>73</v>
      </c>
      <c r="J64">
        <f t="shared" si="68"/>
        <v>12</v>
      </c>
      <c r="K64">
        <f t="shared" si="40"/>
        <v>16</v>
      </c>
      <c r="L64">
        <f t="shared" si="69"/>
        <v>19</v>
      </c>
      <c r="M64">
        <f t="shared" si="41"/>
        <v>41</v>
      </c>
      <c r="O64" s="5">
        <f t="shared" si="12"/>
        <v>1</v>
      </c>
      <c r="P64">
        <v>70</v>
      </c>
      <c r="Q64">
        <f t="shared" si="43"/>
        <v>61</v>
      </c>
      <c r="R64">
        <f t="shared" si="44"/>
        <v>55</v>
      </c>
      <c r="S64">
        <v>9</v>
      </c>
      <c r="T64">
        <v>93</v>
      </c>
      <c r="V64">
        <f t="shared" si="14"/>
        <v>39</v>
      </c>
      <c r="W64" s="6">
        <f>SUMIFS(events!BI:BI,events!K:K,"=DeadIce",events!BJ:BJ,"&lt;="&amp;shifts!AG64,events!BK:BK,"&gt;"&amp;shifts!AH64,events!Z:Z,"="&amp;shifts!B65)+SUMIFS(events!BI:BI,events!K:K,"=Timeout",events!BJ:BJ,"&lt;="&amp;shifts!AG64,events!BK:BK,"&gt;"&amp;shifts!AH64,events!Z:Z,"="&amp;shifts!B65)</f>
        <v>0</v>
      </c>
      <c r="X64" s="6" t="str">
        <f t="shared" si="15"/>
        <v/>
      </c>
      <c r="AC64">
        <v>1</v>
      </c>
      <c r="AD64">
        <f t="shared" ref="AD64:AF64" si="128">AD63</f>
        <v>18991</v>
      </c>
      <c r="AE64" t="str">
        <f t="shared" si="128"/>
        <v>Triple J</v>
      </c>
      <c r="AF64" t="str">
        <f t="shared" si="128"/>
        <v>Velodrome</v>
      </c>
      <c r="AG64" s="4">
        <f t="shared" si="48"/>
        <v>835</v>
      </c>
      <c r="AH64" s="4">
        <f t="shared" si="49"/>
        <v>736</v>
      </c>
      <c r="AI64" s="14">
        <f t="shared" si="50"/>
        <v>99</v>
      </c>
      <c r="AJ64">
        <f t="shared" si="51"/>
        <v>5</v>
      </c>
      <c r="AK64">
        <f t="shared" si="52"/>
        <v>5</v>
      </c>
      <c r="AL64">
        <f t="shared" si="53"/>
        <v>0</v>
      </c>
      <c r="AM64">
        <f t="shared" si="54"/>
        <v>0</v>
      </c>
      <c r="AN64">
        <f t="shared" si="55"/>
        <v>0</v>
      </c>
      <c r="AO64">
        <f t="shared" si="25"/>
        <v>0</v>
      </c>
      <c r="AP64">
        <f t="shared" si="56"/>
        <v>0</v>
      </c>
      <c r="AQ64">
        <f t="shared" si="57"/>
        <v>0</v>
      </c>
      <c r="AR64" t="str">
        <f t="shared" si="58"/>
        <v>Full Strength</v>
      </c>
      <c r="AS64" t="str">
        <f t="shared" si="59"/>
        <v>5v5</v>
      </c>
      <c r="AT64">
        <f t="shared" si="30"/>
        <v>1</v>
      </c>
      <c r="AU64">
        <f t="shared" si="31"/>
        <v>4</v>
      </c>
      <c r="AV64">
        <f t="shared" si="60"/>
        <v>0</v>
      </c>
      <c r="AW64">
        <f t="shared" si="61"/>
        <v>0</v>
      </c>
      <c r="AX64">
        <f t="shared" si="62"/>
        <v>0</v>
      </c>
      <c r="AY64">
        <f t="shared" si="63"/>
        <v>0</v>
      </c>
      <c r="AZ64">
        <f>IFERROR(VLOOKUP(B64,events!Z:BM,40,FALSE),0)</f>
        <v>0</v>
      </c>
      <c r="BA64">
        <f t="shared" si="64"/>
        <v>245</v>
      </c>
      <c r="BB64">
        <f t="shared" si="65"/>
        <v>240</v>
      </c>
      <c r="BC64" s="4">
        <f t="shared" si="66"/>
        <v>342</v>
      </c>
    </row>
    <row r="65" spans="1:55" x14ac:dyDescent="0.2">
      <c r="A65">
        <f t="shared" si="39"/>
        <v>64</v>
      </c>
      <c r="B65" s="6">
        <f t="shared" si="7"/>
        <v>3</v>
      </c>
      <c r="C65">
        <f t="shared" si="8"/>
        <v>12</v>
      </c>
      <c r="D65" t="str">
        <f t="shared" si="9"/>
        <v>16</v>
      </c>
      <c r="E65">
        <v>12</v>
      </c>
      <c r="F65" s="4" t="s">
        <v>754</v>
      </c>
      <c r="I65">
        <f t="shared" si="67"/>
        <v>73</v>
      </c>
      <c r="J65">
        <f t="shared" si="68"/>
        <v>12</v>
      </c>
      <c r="K65">
        <v>90</v>
      </c>
      <c r="L65">
        <f t="shared" si="69"/>
        <v>19</v>
      </c>
      <c r="M65">
        <f t="shared" si="41"/>
        <v>41</v>
      </c>
      <c r="O65" s="5">
        <f t="shared" si="12"/>
        <v>1</v>
      </c>
      <c r="P65">
        <f t="shared" si="42"/>
        <v>70</v>
      </c>
      <c r="Q65">
        <f t="shared" si="43"/>
        <v>61</v>
      </c>
      <c r="R65">
        <f t="shared" si="44"/>
        <v>55</v>
      </c>
      <c r="S65">
        <f t="shared" si="45"/>
        <v>9</v>
      </c>
      <c r="T65">
        <f t="shared" si="46"/>
        <v>93</v>
      </c>
      <c r="V65">
        <f t="shared" si="14"/>
        <v>39</v>
      </c>
      <c r="W65" s="6">
        <f>SUMIFS(events!BI:BI,events!K:K,"=DeadIce",events!BJ:BJ,"&lt;="&amp;shifts!AG65,events!BK:BK,"&gt;"&amp;shifts!AH65,events!Z:Z,"="&amp;shifts!B66)+SUMIFS(events!BI:BI,events!K:K,"=Timeout",events!BJ:BJ,"&lt;="&amp;shifts!AG65,events!BK:BK,"&gt;"&amp;shifts!AH65,events!Z:Z,"="&amp;shifts!B66)</f>
        <v>0</v>
      </c>
      <c r="X65" s="6" t="str">
        <f t="shared" si="15"/>
        <v/>
      </c>
      <c r="AC65">
        <v>1</v>
      </c>
      <c r="AD65">
        <f t="shared" ref="AD65:AF65" si="129">AD64</f>
        <v>18991</v>
      </c>
      <c r="AE65" t="str">
        <f t="shared" si="129"/>
        <v>Triple J</v>
      </c>
      <c r="AF65" t="str">
        <f t="shared" si="129"/>
        <v>Velodrome</v>
      </c>
      <c r="AG65" s="4">
        <f t="shared" si="48"/>
        <v>736</v>
      </c>
      <c r="AH65" s="4">
        <f t="shared" si="49"/>
        <v>731</v>
      </c>
      <c r="AI65" s="14">
        <f t="shared" si="50"/>
        <v>5</v>
      </c>
      <c r="AJ65">
        <f t="shared" si="51"/>
        <v>5</v>
      </c>
      <c r="AK65">
        <f t="shared" si="52"/>
        <v>5</v>
      </c>
      <c r="AL65">
        <f t="shared" si="53"/>
        <v>0</v>
      </c>
      <c r="AM65">
        <f t="shared" si="54"/>
        <v>0</v>
      </c>
      <c r="AN65">
        <f t="shared" si="55"/>
        <v>0</v>
      </c>
      <c r="AO65">
        <f t="shared" si="25"/>
        <v>0</v>
      </c>
      <c r="AP65">
        <f t="shared" si="56"/>
        <v>0</v>
      </c>
      <c r="AQ65">
        <f t="shared" si="57"/>
        <v>0</v>
      </c>
      <c r="AR65" t="str">
        <f t="shared" si="58"/>
        <v>Full Strength</v>
      </c>
      <c r="AS65" t="str">
        <f t="shared" si="59"/>
        <v>5v5</v>
      </c>
      <c r="AT65">
        <f t="shared" si="30"/>
        <v>1</v>
      </c>
      <c r="AU65">
        <f t="shared" si="31"/>
        <v>4</v>
      </c>
      <c r="AV65">
        <f t="shared" si="60"/>
        <v>0</v>
      </c>
      <c r="AW65">
        <f t="shared" si="61"/>
        <v>0</v>
      </c>
      <c r="AX65">
        <f t="shared" si="62"/>
        <v>0</v>
      </c>
      <c r="AY65">
        <f t="shared" si="63"/>
        <v>0</v>
      </c>
      <c r="AZ65">
        <f>IFERROR(VLOOKUP(B65,events!Z:BM,40,FALSE),0)</f>
        <v>0</v>
      </c>
      <c r="BA65">
        <f t="shared" si="64"/>
        <v>344</v>
      </c>
      <c r="BB65">
        <f t="shared" si="65"/>
        <v>339</v>
      </c>
      <c r="BC65" s="4">
        <f t="shared" si="66"/>
        <v>347</v>
      </c>
    </row>
    <row r="66" spans="1:55" x14ac:dyDescent="0.2">
      <c r="A66">
        <f t="shared" si="39"/>
        <v>65</v>
      </c>
      <c r="B66" s="6">
        <f t="shared" si="7"/>
        <v>3</v>
      </c>
      <c r="C66">
        <f t="shared" si="8"/>
        <v>12</v>
      </c>
      <c r="D66" t="str">
        <f t="shared" si="9"/>
        <v>11</v>
      </c>
      <c r="E66">
        <v>11</v>
      </c>
      <c r="F66" s="4" t="s">
        <v>1056</v>
      </c>
      <c r="H66" s="5" t="s">
        <v>342</v>
      </c>
      <c r="I66">
        <f t="shared" si="67"/>
        <v>73</v>
      </c>
      <c r="J66">
        <v>69</v>
      </c>
      <c r="K66">
        <f t="shared" si="40"/>
        <v>90</v>
      </c>
      <c r="L66">
        <v>10</v>
      </c>
      <c r="M66">
        <v>57</v>
      </c>
      <c r="O66" s="5">
        <f t="shared" si="12"/>
        <v>1</v>
      </c>
      <c r="P66">
        <f t="shared" si="42"/>
        <v>70</v>
      </c>
      <c r="Q66">
        <v>14</v>
      </c>
      <c r="R66">
        <v>75</v>
      </c>
      <c r="S66">
        <f t="shared" si="45"/>
        <v>9</v>
      </c>
      <c r="T66">
        <f t="shared" si="46"/>
        <v>93</v>
      </c>
      <c r="V66">
        <f t="shared" si="14"/>
        <v>39</v>
      </c>
      <c r="W66" s="6">
        <f>SUMIFS(events!BI:BI,events!K:K,"=DeadIce",events!BJ:BJ,"&lt;="&amp;shifts!AG66,events!BK:BK,"&gt;"&amp;shifts!AH66,events!Z:Z,"="&amp;shifts!B67)+SUMIFS(events!BI:BI,events!K:K,"=Timeout",events!BJ:BJ,"&lt;="&amp;shifts!AG66,events!BK:BK,"&gt;"&amp;shifts!AH66,events!Z:Z,"="&amp;shifts!B67)</f>
        <v>0</v>
      </c>
      <c r="X66" s="6" t="str">
        <f t="shared" si="15"/>
        <v/>
      </c>
      <c r="AA66">
        <v>1</v>
      </c>
      <c r="AD66">
        <f t="shared" ref="AD66:AF66" si="130">AD65</f>
        <v>18991</v>
      </c>
      <c r="AE66" t="str">
        <f t="shared" si="130"/>
        <v>Triple J</v>
      </c>
      <c r="AF66" t="str">
        <f t="shared" si="130"/>
        <v>Velodrome</v>
      </c>
      <c r="AG66" s="4">
        <f t="shared" si="48"/>
        <v>731</v>
      </c>
      <c r="AH66" s="4">
        <f t="shared" si="49"/>
        <v>679</v>
      </c>
      <c r="AI66" s="14">
        <f t="shared" si="50"/>
        <v>52</v>
      </c>
      <c r="AJ66">
        <f t="shared" si="51"/>
        <v>5</v>
      </c>
      <c r="AK66">
        <f t="shared" si="52"/>
        <v>5</v>
      </c>
      <c r="AL66">
        <f t="shared" si="53"/>
        <v>0</v>
      </c>
      <c r="AM66">
        <f t="shared" si="54"/>
        <v>0</v>
      </c>
      <c r="AN66">
        <f t="shared" si="55"/>
        <v>0</v>
      </c>
      <c r="AO66">
        <f t="shared" si="25"/>
        <v>0</v>
      </c>
      <c r="AP66">
        <f t="shared" si="56"/>
        <v>0</v>
      </c>
      <c r="AQ66">
        <f t="shared" si="57"/>
        <v>0</v>
      </c>
      <c r="AR66" t="str">
        <f t="shared" si="58"/>
        <v>Full Strength</v>
      </c>
      <c r="AS66" t="str">
        <f t="shared" si="59"/>
        <v>5v5</v>
      </c>
      <c r="AT66">
        <f t="shared" si="30"/>
        <v>1</v>
      </c>
      <c r="AU66">
        <f t="shared" si="31"/>
        <v>4</v>
      </c>
      <c r="AV66">
        <f t="shared" si="60"/>
        <v>0</v>
      </c>
      <c r="AW66">
        <f t="shared" si="61"/>
        <v>0</v>
      </c>
      <c r="AX66">
        <f t="shared" si="62"/>
        <v>0</v>
      </c>
      <c r="AY66">
        <f t="shared" si="63"/>
        <v>0</v>
      </c>
      <c r="AZ66">
        <f>IFERROR(VLOOKUP(B66,events!Z:BM,40,FALSE),0)</f>
        <v>0</v>
      </c>
      <c r="BA66">
        <f t="shared" si="64"/>
        <v>349</v>
      </c>
      <c r="BB66">
        <f t="shared" si="65"/>
        <v>344</v>
      </c>
      <c r="BC66" s="4">
        <f t="shared" si="66"/>
        <v>399</v>
      </c>
    </row>
    <row r="67" spans="1:55" x14ac:dyDescent="0.2">
      <c r="A67">
        <f t="shared" si="39"/>
        <v>66</v>
      </c>
      <c r="B67" s="6">
        <f t="shared" si="7"/>
        <v>3</v>
      </c>
      <c r="C67">
        <f t="shared" si="8"/>
        <v>11</v>
      </c>
      <c r="D67" t="str">
        <f t="shared" si="9"/>
        <v>19</v>
      </c>
      <c r="E67">
        <v>10</v>
      </c>
      <c r="F67" s="4" t="s">
        <v>745</v>
      </c>
      <c r="G67" s="6" t="s">
        <v>289</v>
      </c>
      <c r="I67">
        <f t="shared" si="67"/>
        <v>73</v>
      </c>
      <c r="J67">
        <f t="shared" si="68"/>
        <v>69</v>
      </c>
      <c r="K67">
        <f t="shared" si="40"/>
        <v>90</v>
      </c>
      <c r="L67">
        <f t="shared" si="69"/>
        <v>10</v>
      </c>
      <c r="M67">
        <f t="shared" si="41"/>
        <v>57</v>
      </c>
      <c r="O67" s="5">
        <f t="shared" si="12"/>
        <v>1</v>
      </c>
      <c r="P67">
        <v>87</v>
      </c>
      <c r="Q67">
        <f t="shared" si="43"/>
        <v>14</v>
      </c>
      <c r="R67">
        <f t="shared" si="44"/>
        <v>75</v>
      </c>
      <c r="S67">
        <v>84</v>
      </c>
      <c r="T67">
        <v>22</v>
      </c>
      <c r="V67">
        <f t="shared" si="14"/>
        <v>39</v>
      </c>
      <c r="W67" s="6">
        <f>SUMIFS(events!BI:BI,events!K:K,"=DeadIce",events!BJ:BJ,"&lt;="&amp;shifts!AG67,events!BK:BK,"&gt;"&amp;shifts!AH67,events!Z:Z,"="&amp;shifts!B68)+SUMIFS(events!BI:BI,events!K:K,"=Timeout",events!BJ:BJ,"&lt;="&amp;shifts!AG67,events!BK:BK,"&gt;"&amp;shifts!AH67,events!Z:Z,"="&amp;shifts!B68)</f>
        <v>0</v>
      </c>
      <c r="X67" s="6" t="str">
        <f t="shared" si="15"/>
        <v/>
      </c>
      <c r="Y67">
        <v>1</v>
      </c>
      <c r="AD67">
        <f t="shared" ref="AD67:AF67" si="131">AD66</f>
        <v>18991</v>
      </c>
      <c r="AE67" t="str">
        <f t="shared" si="131"/>
        <v>Triple J</v>
      </c>
      <c r="AF67" t="str">
        <f t="shared" si="131"/>
        <v>Velodrome</v>
      </c>
      <c r="AG67" s="4">
        <f t="shared" si="48"/>
        <v>679</v>
      </c>
      <c r="AH67" s="4">
        <f t="shared" si="49"/>
        <v>614</v>
      </c>
      <c r="AI67" s="14">
        <f t="shared" si="50"/>
        <v>65</v>
      </c>
      <c r="AJ67">
        <f t="shared" si="51"/>
        <v>5</v>
      </c>
      <c r="AK67">
        <f t="shared" si="52"/>
        <v>5</v>
      </c>
      <c r="AL67">
        <f t="shared" si="53"/>
        <v>0</v>
      </c>
      <c r="AM67">
        <f t="shared" si="54"/>
        <v>0</v>
      </c>
      <c r="AN67">
        <f t="shared" si="55"/>
        <v>0</v>
      </c>
      <c r="AO67">
        <f t="shared" si="25"/>
        <v>0</v>
      </c>
      <c r="AP67">
        <f t="shared" si="56"/>
        <v>0</v>
      </c>
      <c r="AQ67">
        <f t="shared" si="57"/>
        <v>0</v>
      </c>
      <c r="AR67" t="str">
        <f t="shared" si="58"/>
        <v>Full Strength</v>
      </c>
      <c r="AS67" t="str">
        <f t="shared" si="59"/>
        <v>5v5</v>
      </c>
      <c r="AT67">
        <f t="shared" si="30"/>
        <v>1</v>
      </c>
      <c r="AU67">
        <f t="shared" si="31"/>
        <v>4</v>
      </c>
      <c r="AV67">
        <f t="shared" si="60"/>
        <v>0</v>
      </c>
      <c r="AW67">
        <f t="shared" si="61"/>
        <v>0</v>
      </c>
      <c r="AX67">
        <f t="shared" si="62"/>
        <v>0</v>
      </c>
      <c r="AY67">
        <f t="shared" si="63"/>
        <v>0</v>
      </c>
      <c r="AZ67">
        <f>IFERROR(VLOOKUP(B67,events!Z:BM,40,FALSE),0)</f>
        <v>0</v>
      </c>
      <c r="BA67">
        <f t="shared" si="64"/>
        <v>401</v>
      </c>
      <c r="BB67">
        <f t="shared" si="65"/>
        <v>396</v>
      </c>
      <c r="BC67" s="4">
        <f t="shared" si="66"/>
        <v>464</v>
      </c>
    </row>
    <row r="68" spans="1:55" x14ac:dyDescent="0.2">
      <c r="A68">
        <f t="shared" si="39"/>
        <v>67</v>
      </c>
      <c r="B68" s="6">
        <f t="shared" ref="B68:B79" si="132">IF(G68="PeriodStart",B67+1,B67)</f>
        <v>3</v>
      </c>
      <c r="C68">
        <f t="shared" ref="C68:C79" si="133">E67</f>
        <v>10</v>
      </c>
      <c r="D68" t="str">
        <f t="shared" ref="D68:D79" si="134">F67</f>
        <v>14</v>
      </c>
      <c r="E68">
        <v>10</v>
      </c>
      <c r="F68" s="4" t="s">
        <v>1057</v>
      </c>
      <c r="I68">
        <f t="shared" si="67"/>
        <v>73</v>
      </c>
      <c r="J68">
        <f t="shared" si="68"/>
        <v>69</v>
      </c>
      <c r="K68">
        <f t="shared" si="40"/>
        <v>90</v>
      </c>
      <c r="L68">
        <v>19</v>
      </c>
      <c r="M68">
        <f t="shared" si="41"/>
        <v>57</v>
      </c>
      <c r="O68" s="5">
        <f t="shared" ref="O68:O78" si="135">O67</f>
        <v>1</v>
      </c>
      <c r="P68">
        <f t="shared" si="42"/>
        <v>87</v>
      </c>
      <c r="Q68">
        <f t="shared" si="43"/>
        <v>14</v>
      </c>
      <c r="R68">
        <f t="shared" si="44"/>
        <v>75</v>
      </c>
      <c r="S68">
        <f t="shared" si="45"/>
        <v>84</v>
      </c>
      <c r="T68">
        <f t="shared" si="46"/>
        <v>22</v>
      </c>
      <c r="V68">
        <f t="shared" ref="V68:V78" si="136">V67</f>
        <v>39</v>
      </c>
      <c r="W68" s="6">
        <f>SUMIFS(events!BI:BI,events!K:K,"=DeadIce",events!BJ:BJ,"&lt;="&amp;shifts!AG68,events!BK:BK,"&gt;"&amp;shifts!AH68,events!Z:Z,"="&amp;shifts!B69)+SUMIFS(events!BI:BI,events!K:K,"=Timeout",events!BJ:BJ,"&lt;="&amp;shifts!AG68,events!BK:BK,"&gt;"&amp;shifts!AH68,events!Z:Z,"="&amp;shifts!B69)</f>
        <v>0</v>
      </c>
      <c r="X68" s="6">
        <f t="shared" ref="X68:X79" si="137">IF(OR($H67="Home Goal",$H67="Away Goal",$H67="Period End"),"",IF(Y67=1,1,""))</f>
        <v>1</v>
      </c>
      <c r="Y68">
        <v>1</v>
      </c>
      <c r="AD68">
        <f t="shared" ref="AD68:AF68" si="138">AD67</f>
        <v>18991</v>
      </c>
      <c r="AE68" t="str">
        <f t="shared" si="138"/>
        <v>Triple J</v>
      </c>
      <c r="AF68" t="str">
        <f t="shared" si="138"/>
        <v>Velodrome</v>
      </c>
      <c r="AG68" s="4">
        <f t="shared" si="48"/>
        <v>614</v>
      </c>
      <c r="AH68" s="4">
        <f t="shared" si="49"/>
        <v>603</v>
      </c>
      <c r="AI68" s="14">
        <f t="shared" si="50"/>
        <v>11</v>
      </c>
      <c r="AJ68">
        <f t="shared" si="51"/>
        <v>5</v>
      </c>
      <c r="AK68">
        <f t="shared" si="52"/>
        <v>5</v>
      </c>
      <c r="AL68">
        <f t="shared" si="53"/>
        <v>0</v>
      </c>
      <c r="AM68">
        <f t="shared" si="54"/>
        <v>0</v>
      </c>
      <c r="AN68">
        <f t="shared" si="55"/>
        <v>0</v>
      </c>
      <c r="AO68">
        <f t="shared" ref="AO68:AO79" si="139">IF(AND($AL68&lt;&gt;1,$AJ68&gt;$AK68),1,)</f>
        <v>0</v>
      </c>
      <c r="AP68">
        <f t="shared" si="56"/>
        <v>0</v>
      </c>
      <c r="AQ68">
        <f t="shared" si="57"/>
        <v>0</v>
      </c>
      <c r="AR68" t="str">
        <f t="shared" si="58"/>
        <v>Full Strength</v>
      </c>
      <c r="AS68" t="str">
        <f t="shared" si="59"/>
        <v>5v5</v>
      </c>
      <c r="AT68">
        <f t="shared" ref="AT68:AT79" si="140">IF($H67="Home Goal",AT67+1,AT67)</f>
        <v>1</v>
      </c>
      <c r="AU68">
        <f t="shared" ref="AU68:AU79" si="141">IF($H67="Away Goal",AU67+1,AU67)</f>
        <v>4</v>
      </c>
      <c r="AV68">
        <f t="shared" si="60"/>
        <v>0</v>
      </c>
      <c r="AW68">
        <f t="shared" si="61"/>
        <v>0</v>
      </c>
      <c r="AX68">
        <f t="shared" si="62"/>
        <v>0</v>
      </c>
      <c r="AY68">
        <f t="shared" si="63"/>
        <v>0</v>
      </c>
      <c r="AZ68">
        <f>IFERROR(VLOOKUP(B68,events!Z:BM,40,FALSE),0)</f>
        <v>0</v>
      </c>
      <c r="BA68">
        <f t="shared" si="64"/>
        <v>466</v>
      </c>
      <c r="BB68">
        <f t="shared" si="65"/>
        <v>461</v>
      </c>
      <c r="BC68" s="4">
        <f t="shared" si="66"/>
        <v>475</v>
      </c>
    </row>
    <row r="69" spans="1:55" x14ac:dyDescent="0.2">
      <c r="A69">
        <f t="shared" ref="A69:A79" si="142">A68+1</f>
        <v>68</v>
      </c>
      <c r="B69" s="6">
        <f t="shared" si="132"/>
        <v>3</v>
      </c>
      <c r="C69">
        <f t="shared" si="133"/>
        <v>10</v>
      </c>
      <c r="D69" t="str">
        <f t="shared" si="134"/>
        <v>03</v>
      </c>
      <c r="E69">
        <v>9</v>
      </c>
      <c r="F69" s="4" t="s">
        <v>1031</v>
      </c>
      <c r="I69">
        <f t="shared" ref="I69:I78" si="143">IF($D69&gt;0,I68,"")</f>
        <v>73</v>
      </c>
      <c r="J69">
        <v>37</v>
      </c>
      <c r="K69">
        <f t="shared" ref="K69:K77" si="144">IF($D69&gt;0,K68,"")</f>
        <v>90</v>
      </c>
      <c r="L69">
        <f t="shared" ref="L69:L77" si="145">IF($D69&gt;0,L68,"")</f>
        <v>19</v>
      </c>
      <c r="M69">
        <v>41</v>
      </c>
      <c r="O69" s="5">
        <f t="shared" si="135"/>
        <v>1</v>
      </c>
      <c r="P69">
        <f t="shared" ref="P69:P77" si="146">IF($D69&gt;0,P68,"")</f>
        <v>87</v>
      </c>
      <c r="Q69">
        <f t="shared" ref="Q69:Q77" si="147">IF($D69&gt;0,Q68,"")</f>
        <v>14</v>
      </c>
      <c r="R69">
        <f t="shared" ref="R69:R77" si="148">IF($D69&gt;0,R68,"")</f>
        <v>75</v>
      </c>
      <c r="S69">
        <f t="shared" ref="S69:S78" si="149">IF($D69&gt;0,S68,"")</f>
        <v>84</v>
      </c>
      <c r="T69">
        <f t="shared" ref="T69:T77" si="150">IF($D69&gt;0,T68,"")</f>
        <v>22</v>
      </c>
      <c r="V69">
        <f t="shared" si="136"/>
        <v>39</v>
      </c>
      <c r="W69" s="6">
        <f>SUMIFS(events!BI:BI,events!K:K,"=DeadIce",events!BJ:BJ,"&lt;="&amp;shifts!AG69,events!BK:BK,"&gt;"&amp;shifts!AH69,events!Z:Z,"="&amp;shifts!B70)+SUMIFS(events!BI:BI,events!K:K,"=Timeout",events!BJ:BJ,"&lt;="&amp;shifts!AG69,events!BK:BK,"&gt;"&amp;shifts!AH69,events!Z:Z,"="&amp;shifts!B70)</f>
        <v>0</v>
      </c>
      <c r="X69" s="6">
        <f t="shared" si="137"/>
        <v>1</v>
      </c>
      <c r="AC69">
        <v>1</v>
      </c>
      <c r="AD69">
        <f t="shared" ref="AD69:AF69" si="151">AD68</f>
        <v>18991</v>
      </c>
      <c r="AE69" t="str">
        <f t="shared" si="151"/>
        <v>Triple J</v>
      </c>
      <c r="AF69" t="str">
        <f t="shared" si="151"/>
        <v>Velodrome</v>
      </c>
      <c r="AG69" s="4">
        <f t="shared" ref="AG69:AG79" si="152">((C69*60)+D69)</f>
        <v>603</v>
      </c>
      <c r="AH69" s="4">
        <f t="shared" ref="AH69:AH79" si="153">((E69*60)+F69)</f>
        <v>587</v>
      </c>
      <c r="AI69" s="14">
        <f t="shared" ref="AI69:AI79" si="154">ROUND(AG69-AH69,0)</f>
        <v>16</v>
      </c>
      <c r="AJ69">
        <f t="shared" ref="AJ69:AJ79" si="155">COUNTIF(I69:N69,"&gt;0")</f>
        <v>5</v>
      </c>
      <c r="AK69">
        <f t="shared" ref="AK69:AK79" si="156">COUNTIF(P69:U69,"&gt;0")</f>
        <v>5</v>
      </c>
      <c r="AL69">
        <f t="shared" ref="AL69:AL79" si="157">IF(O69="",1,0)</f>
        <v>0</v>
      </c>
      <c r="AM69">
        <f t="shared" ref="AM69:AM79" si="158">IF(V69="",1,0)</f>
        <v>0</v>
      </c>
      <c r="AN69">
        <f t="shared" ref="AN69:AN79" si="159">IF(AND($AL69&lt;&gt;1,$AJ69&lt;$AK69,AM69&lt;&gt;1),1,)</f>
        <v>0</v>
      </c>
      <c r="AO69">
        <f t="shared" si="139"/>
        <v>0</v>
      </c>
      <c r="AP69">
        <f t="shared" ref="AP69:AP79" si="160">IF(AN69=1,1,0)</f>
        <v>0</v>
      </c>
      <c r="AQ69">
        <f t="shared" ref="AQ69:AQ79" si="161">IF(AO69=1,1,0)</f>
        <v>0</v>
      </c>
      <c r="AR69" t="str">
        <f t="shared" ref="AR69:AR79" si="162">IF(AND(AJ69=5,AK69=5,AL69=0,AM69=0),"Full Strength",IF(AP69=1,"Away PowerPlay",IF(AO69=1,"Home PowerPlay",IF(AL69=1,"Home EmptyNet",IF(AM69=1,"Away EmptyNet","")))))</f>
        <v>Full Strength</v>
      </c>
      <c r="AS69" t="str">
        <f t="shared" ref="AS69:AS79" si="163">IF(AND(AL69=0,AM69=0),AJ69&amp;"v"&amp;AK69,IF(AL69=1,AJ69&amp;"v"&amp;AK69&amp;" Home EN",IF(AM69=1,AJ69&amp;"v"&amp;AK69&amp;" Away EN","")))</f>
        <v>5v5</v>
      </c>
      <c r="AT69">
        <f t="shared" si="140"/>
        <v>1</v>
      </c>
      <c r="AU69">
        <f t="shared" si="141"/>
        <v>4</v>
      </c>
      <c r="AV69">
        <f t="shared" ref="AV69:AV79" si="164">IF(AND($H69="Home Goal", AO69=0),1,0)</f>
        <v>0</v>
      </c>
      <c r="AW69">
        <f t="shared" ref="AW69:AW79" si="165">IF(AX69=1,-1,0)</f>
        <v>0</v>
      </c>
      <c r="AX69">
        <f t="shared" ref="AX69:AX79" si="166">IF(AND($H69="Away Goal", AP69=0),1,0)</f>
        <v>0</v>
      </c>
      <c r="AY69">
        <f t="shared" ref="AY69:AY79" si="167">IF(AV69=1,-1,0)</f>
        <v>0</v>
      </c>
      <c r="AZ69">
        <f>IFERROR(VLOOKUP(B69,events!Z:BM,40,FALSE),0)</f>
        <v>0</v>
      </c>
      <c r="BA69">
        <f t="shared" ref="BA69:BA79" si="168">ROUND(IF(G69="Intermission",BA68,((1080)-((C69*60)+D69))+AZ69),0)</f>
        <v>477</v>
      </c>
      <c r="BB69">
        <f t="shared" ref="BB69:BB79" si="169">IF(BA69&lt;5,0,BA69-5)</f>
        <v>472</v>
      </c>
      <c r="BC69" s="4">
        <f t="shared" ref="BC69:BC79" si="170">BB69+AI69+3</f>
        <v>491</v>
      </c>
    </row>
    <row r="70" spans="1:55" x14ac:dyDescent="0.2">
      <c r="A70">
        <f t="shared" si="142"/>
        <v>69</v>
      </c>
      <c r="B70" s="6">
        <f t="shared" si="132"/>
        <v>3</v>
      </c>
      <c r="C70">
        <f t="shared" si="133"/>
        <v>9</v>
      </c>
      <c r="D70" t="str">
        <f t="shared" si="134"/>
        <v>47</v>
      </c>
      <c r="E70">
        <v>9</v>
      </c>
      <c r="F70" s="4" t="s">
        <v>1048</v>
      </c>
      <c r="I70">
        <f t="shared" si="143"/>
        <v>73</v>
      </c>
      <c r="J70">
        <f t="shared" ref="J70:J77" si="171">IF($D70&gt;0,J69,"")</f>
        <v>37</v>
      </c>
      <c r="K70">
        <v>71</v>
      </c>
      <c r="L70">
        <f t="shared" si="145"/>
        <v>19</v>
      </c>
      <c r="M70">
        <f t="shared" ref="M70:M77" si="172">IF($D70&gt;0,M69,"")</f>
        <v>41</v>
      </c>
      <c r="O70" s="5">
        <f t="shared" si="135"/>
        <v>1</v>
      </c>
      <c r="P70">
        <f t="shared" si="146"/>
        <v>87</v>
      </c>
      <c r="Q70">
        <f t="shared" si="147"/>
        <v>14</v>
      </c>
      <c r="R70">
        <v>24</v>
      </c>
      <c r="S70">
        <f t="shared" si="149"/>
        <v>84</v>
      </c>
      <c r="T70">
        <f t="shared" si="150"/>
        <v>22</v>
      </c>
      <c r="V70">
        <f t="shared" si="136"/>
        <v>39</v>
      </c>
      <c r="W70" s="6">
        <f>SUMIFS(events!BI:BI,events!K:K,"=DeadIce",events!BJ:BJ,"&lt;="&amp;shifts!AG70,events!BK:BK,"&gt;"&amp;shifts!AH70,events!Z:Z,"="&amp;shifts!B71)+SUMIFS(events!BI:BI,events!K:K,"=Timeout",events!BJ:BJ,"&lt;="&amp;shifts!AG70,events!BK:BK,"&gt;"&amp;shifts!AH70,events!Z:Z,"="&amp;shifts!B71)</f>
        <v>0</v>
      </c>
      <c r="X70" s="6" t="str">
        <f t="shared" si="137"/>
        <v/>
      </c>
      <c r="AC70">
        <v>1</v>
      </c>
      <c r="AD70">
        <f t="shared" ref="AD70:AF70" si="173">AD69</f>
        <v>18991</v>
      </c>
      <c r="AE70" t="str">
        <f t="shared" si="173"/>
        <v>Triple J</v>
      </c>
      <c r="AF70" t="str">
        <f t="shared" si="173"/>
        <v>Velodrome</v>
      </c>
      <c r="AG70" s="4">
        <f t="shared" si="152"/>
        <v>587</v>
      </c>
      <c r="AH70" s="4">
        <f t="shared" si="153"/>
        <v>572</v>
      </c>
      <c r="AI70" s="14">
        <f t="shared" si="154"/>
        <v>15</v>
      </c>
      <c r="AJ70">
        <f t="shared" si="155"/>
        <v>5</v>
      </c>
      <c r="AK70">
        <f t="shared" si="156"/>
        <v>5</v>
      </c>
      <c r="AL70">
        <f t="shared" si="157"/>
        <v>0</v>
      </c>
      <c r="AM70">
        <f t="shared" si="158"/>
        <v>0</v>
      </c>
      <c r="AN70">
        <f t="shared" si="159"/>
        <v>0</v>
      </c>
      <c r="AO70">
        <f t="shared" si="139"/>
        <v>0</v>
      </c>
      <c r="AP70">
        <f t="shared" si="160"/>
        <v>0</v>
      </c>
      <c r="AQ70">
        <f t="shared" si="161"/>
        <v>0</v>
      </c>
      <c r="AR70" t="str">
        <f t="shared" si="162"/>
        <v>Full Strength</v>
      </c>
      <c r="AS70" t="str">
        <f t="shared" si="163"/>
        <v>5v5</v>
      </c>
      <c r="AT70">
        <f t="shared" si="140"/>
        <v>1</v>
      </c>
      <c r="AU70">
        <f t="shared" si="141"/>
        <v>4</v>
      </c>
      <c r="AV70">
        <f t="shared" si="164"/>
        <v>0</v>
      </c>
      <c r="AW70">
        <f t="shared" si="165"/>
        <v>0</v>
      </c>
      <c r="AX70">
        <f t="shared" si="166"/>
        <v>0</v>
      </c>
      <c r="AY70">
        <f t="shared" si="167"/>
        <v>0</v>
      </c>
      <c r="AZ70">
        <f>IFERROR(VLOOKUP(B70,events!Z:BM,40,FALSE),0)</f>
        <v>0</v>
      </c>
      <c r="BA70">
        <f t="shared" si="168"/>
        <v>493</v>
      </c>
      <c r="BB70">
        <f t="shared" si="169"/>
        <v>488</v>
      </c>
      <c r="BC70" s="4">
        <f t="shared" si="170"/>
        <v>506</v>
      </c>
    </row>
    <row r="71" spans="1:55" x14ac:dyDescent="0.2">
      <c r="A71">
        <f t="shared" si="142"/>
        <v>70</v>
      </c>
      <c r="B71" s="6">
        <f t="shared" si="132"/>
        <v>3</v>
      </c>
      <c r="C71">
        <f t="shared" si="133"/>
        <v>9</v>
      </c>
      <c r="D71" t="str">
        <f t="shared" si="134"/>
        <v>32</v>
      </c>
      <c r="E71">
        <v>8</v>
      </c>
      <c r="F71" s="4" t="s">
        <v>1033</v>
      </c>
      <c r="H71" s="5" t="s">
        <v>341</v>
      </c>
      <c r="I71">
        <v>21</v>
      </c>
      <c r="J71">
        <f t="shared" si="171"/>
        <v>37</v>
      </c>
      <c r="K71">
        <f t="shared" si="144"/>
        <v>71</v>
      </c>
      <c r="L71">
        <f t="shared" si="145"/>
        <v>19</v>
      </c>
      <c r="M71">
        <f t="shared" si="172"/>
        <v>41</v>
      </c>
      <c r="O71" s="5">
        <f t="shared" si="135"/>
        <v>1</v>
      </c>
      <c r="P71">
        <f t="shared" si="146"/>
        <v>87</v>
      </c>
      <c r="Q71">
        <f t="shared" si="147"/>
        <v>14</v>
      </c>
      <c r="R71">
        <f t="shared" si="148"/>
        <v>24</v>
      </c>
      <c r="S71">
        <f t="shared" si="149"/>
        <v>84</v>
      </c>
      <c r="T71">
        <f t="shared" si="150"/>
        <v>22</v>
      </c>
      <c r="V71">
        <f t="shared" si="136"/>
        <v>39</v>
      </c>
      <c r="W71" s="6">
        <f>SUMIFS(events!BI:BI,events!K:K,"=DeadIce",events!BJ:BJ,"&lt;="&amp;shifts!AG71,events!BK:BK,"&gt;"&amp;shifts!AH71,events!Z:Z,"="&amp;shifts!B72)+SUMIFS(events!BI:BI,events!K:K,"=Timeout",events!BJ:BJ,"&lt;="&amp;shifts!AG71,events!BK:BK,"&gt;"&amp;shifts!AH71,events!Z:Z,"="&amp;shifts!B72)</f>
        <v>0</v>
      </c>
      <c r="X71" s="6" t="str">
        <f t="shared" si="137"/>
        <v/>
      </c>
      <c r="Y71">
        <v>1</v>
      </c>
      <c r="AD71">
        <f t="shared" ref="AD71:AF71" si="174">AD70</f>
        <v>18991</v>
      </c>
      <c r="AE71" t="str">
        <f t="shared" si="174"/>
        <v>Triple J</v>
      </c>
      <c r="AF71" t="str">
        <f t="shared" si="174"/>
        <v>Velodrome</v>
      </c>
      <c r="AG71" s="4">
        <f t="shared" si="152"/>
        <v>572</v>
      </c>
      <c r="AH71" s="4">
        <f t="shared" si="153"/>
        <v>537</v>
      </c>
      <c r="AI71" s="14">
        <f t="shared" si="154"/>
        <v>35</v>
      </c>
      <c r="AJ71">
        <f t="shared" si="155"/>
        <v>5</v>
      </c>
      <c r="AK71">
        <f t="shared" si="156"/>
        <v>5</v>
      </c>
      <c r="AL71">
        <f t="shared" si="157"/>
        <v>0</v>
      </c>
      <c r="AM71">
        <f t="shared" si="158"/>
        <v>0</v>
      </c>
      <c r="AN71">
        <f t="shared" si="159"/>
        <v>0</v>
      </c>
      <c r="AO71">
        <f t="shared" si="139"/>
        <v>0</v>
      </c>
      <c r="AP71">
        <f t="shared" si="160"/>
        <v>0</v>
      </c>
      <c r="AQ71">
        <f t="shared" si="161"/>
        <v>0</v>
      </c>
      <c r="AR71" t="str">
        <f t="shared" si="162"/>
        <v>Full Strength</v>
      </c>
      <c r="AS71" t="str">
        <f t="shared" si="163"/>
        <v>5v5</v>
      </c>
      <c r="AT71">
        <f t="shared" si="140"/>
        <v>1</v>
      </c>
      <c r="AU71">
        <f t="shared" si="141"/>
        <v>4</v>
      </c>
      <c r="AV71">
        <f t="shared" si="164"/>
        <v>0</v>
      </c>
      <c r="AW71">
        <f t="shared" si="165"/>
        <v>0</v>
      </c>
      <c r="AX71">
        <f t="shared" si="166"/>
        <v>0</v>
      </c>
      <c r="AY71">
        <f t="shared" si="167"/>
        <v>0</v>
      </c>
      <c r="AZ71">
        <f>IFERROR(VLOOKUP(B71,events!Z:BM,40,FALSE),0)</f>
        <v>0</v>
      </c>
      <c r="BA71">
        <f t="shared" si="168"/>
        <v>508</v>
      </c>
      <c r="BB71">
        <f t="shared" si="169"/>
        <v>503</v>
      </c>
      <c r="BC71" s="4">
        <f t="shared" si="170"/>
        <v>541</v>
      </c>
    </row>
    <row r="72" spans="1:55" x14ac:dyDescent="0.2">
      <c r="A72">
        <f t="shared" si="142"/>
        <v>71</v>
      </c>
      <c r="B72" s="6">
        <f t="shared" si="132"/>
        <v>3</v>
      </c>
      <c r="C72">
        <f t="shared" si="133"/>
        <v>8</v>
      </c>
      <c r="D72" t="str">
        <f t="shared" si="134"/>
        <v>57</v>
      </c>
      <c r="E72">
        <v>7</v>
      </c>
      <c r="F72" s="4" t="s">
        <v>738</v>
      </c>
      <c r="G72" s="6" t="s">
        <v>289</v>
      </c>
      <c r="H72" s="5" t="s">
        <v>340</v>
      </c>
      <c r="I72">
        <f t="shared" si="143"/>
        <v>21</v>
      </c>
      <c r="J72">
        <f t="shared" si="171"/>
        <v>37</v>
      </c>
      <c r="K72">
        <f t="shared" si="144"/>
        <v>71</v>
      </c>
      <c r="L72">
        <f t="shared" si="145"/>
        <v>19</v>
      </c>
      <c r="M72">
        <f t="shared" si="172"/>
        <v>41</v>
      </c>
      <c r="O72" s="5">
        <f t="shared" si="135"/>
        <v>1</v>
      </c>
      <c r="P72">
        <v>70</v>
      </c>
      <c r="Q72">
        <v>91</v>
      </c>
      <c r="R72">
        <f t="shared" si="148"/>
        <v>24</v>
      </c>
      <c r="S72">
        <v>9</v>
      </c>
      <c r="T72">
        <v>93</v>
      </c>
      <c r="V72">
        <f t="shared" si="136"/>
        <v>39</v>
      </c>
      <c r="W72" s="6">
        <f>SUMIFS(events!BI:BI,events!K:K,"=DeadIce",events!BJ:BJ,"&lt;="&amp;shifts!AG72,events!BK:BK,"&gt;"&amp;shifts!AH72,events!Z:Z,"="&amp;shifts!B73)+SUMIFS(events!BI:BI,events!K:K,"=Timeout",events!BJ:BJ,"&lt;="&amp;shifts!AG72,events!BK:BK,"&gt;"&amp;shifts!AH72,events!Z:Z,"="&amp;shifts!B73)</f>
        <v>0</v>
      </c>
      <c r="X72" s="6">
        <f t="shared" si="137"/>
        <v>1</v>
      </c>
      <c r="AA72">
        <v>1</v>
      </c>
      <c r="AD72">
        <f t="shared" ref="AD72:AF72" si="175">AD71</f>
        <v>18991</v>
      </c>
      <c r="AE72" t="str">
        <f t="shared" si="175"/>
        <v>Triple J</v>
      </c>
      <c r="AF72" t="str">
        <f t="shared" si="175"/>
        <v>Velodrome</v>
      </c>
      <c r="AG72" s="4">
        <f t="shared" si="152"/>
        <v>537</v>
      </c>
      <c r="AH72" s="4">
        <f t="shared" si="153"/>
        <v>451</v>
      </c>
      <c r="AI72" s="14">
        <f t="shared" si="154"/>
        <v>86</v>
      </c>
      <c r="AJ72">
        <f t="shared" si="155"/>
        <v>5</v>
      </c>
      <c r="AK72">
        <f t="shared" si="156"/>
        <v>5</v>
      </c>
      <c r="AL72">
        <f t="shared" si="157"/>
        <v>0</v>
      </c>
      <c r="AM72">
        <f t="shared" si="158"/>
        <v>0</v>
      </c>
      <c r="AN72">
        <f t="shared" si="159"/>
        <v>0</v>
      </c>
      <c r="AO72">
        <f t="shared" si="139"/>
        <v>0</v>
      </c>
      <c r="AP72">
        <f t="shared" si="160"/>
        <v>0</v>
      </c>
      <c r="AQ72">
        <f t="shared" si="161"/>
        <v>0</v>
      </c>
      <c r="AR72" t="str">
        <f t="shared" si="162"/>
        <v>Full Strength</v>
      </c>
      <c r="AS72" t="str">
        <f t="shared" si="163"/>
        <v>5v5</v>
      </c>
      <c r="AT72">
        <f t="shared" si="140"/>
        <v>1</v>
      </c>
      <c r="AU72">
        <f t="shared" si="141"/>
        <v>4</v>
      </c>
      <c r="AV72">
        <f t="shared" si="164"/>
        <v>0</v>
      </c>
      <c r="AW72">
        <f t="shared" si="165"/>
        <v>-1</v>
      </c>
      <c r="AX72">
        <f t="shared" si="166"/>
        <v>1</v>
      </c>
      <c r="AY72">
        <f t="shared" si="167"/>
        <v>0</v>
      </c>
      <c r="AZ72">
        <f>IFERROR(VLOOKUP(B72,events!Z:BM,40,FALSE),0)</f>
        <v>0</v>
      </c>
      <c r="BA72">
        <f t="shared" si="168"/>
        <v>543</v>
      </c>
      <c r="BB72">
        <f t="shared" si="169"/>
        <v>538</v>
      </c>
      <c r="BC72" s="4">
        <f t="shared" si="170"/>
        <v>627</v>
      </c>
    </row>
    <row r="73" spans="1:55" x14ac:dyDescent="0.2">
      <c r="A73">
        <f t="shared" si="142"/>
        <v>72</v>
      </c>
      <c r="B73" s="6">
        <f t="shared" si="132"/>
        <v>3</v>
      </c>
      <c r="C73">
        <f t="shared" si="133"/>
        <v>7</v>
      </c>
      <c r="D73" t="str">
        <f t="shared" si="134"/>
        <v>31</v>
      </c>
      <c r="E73">
        <v>6</v>
      </c>
      <c r="F73" s="4" t="s">
        <v>1057</v>
      </c>
      <c r="G73" s="6" t="s">
        <v>286</v>
      </c>
      <c r="H73" s="5" t="s">
        <v>301</v>
      </c>
      <c r="I73">
        <f t="shared" si="143"/>
        <v>21</v>
      </c>
      <c r="J73">
        <v>12</v>
      </c>
      <c r="K73">
        <v>16</v>
      </c>
      <c r="L73">
        <v>10</v>
      </c>
      <c r="M73">
        <v>57</v>
      </c>
      <c r="O73" s="5">
        <f t="shared" si="135"/>
        <v>1</v>
      </c>
      <c r="P73">
        <f t="shared" si="146"/>
        <v>70</v>
      </c>
      <c r="Q73">
        <v>61</v>
      </c>
      <c r="R73">
        <v>55</v>
      </c>
      <c r="S73">
        <f t="shared" si="149"/>
        <v>9</v>
      </c>
      <c r="T73">
        <f t="shared" si="150"/>
        <v>93</v>
      </c>
      <c r="V73">
        <f t="shared" si="136"/>
        <v>39</v>
      </c>
      <c r="W73" s="6">
        <f>SUMIFS(events!BI:BI,events!K:K,"=DeadIce",events!BJ:BJ,"&lt;="&amp;shifts!AG73,events!BK:BK,"&gt;"&amp;shifts!AH73,events!Z:Z,"="&amp;shifts!B74)+SUMIFS(events!BI:BI,events!K:K,"=Timeout",events!BJ:BJ,"&lt;="&amp;shifts!AG73,events!BK:BK,"&gt;"&amp;shifts!AH73,events!Z:Z,"="&amp;shifts!B74)</f>
        <v>0</v>
      </c>
      <c r="X73" s="6" t="str">
        <f t="shared" si="137"/>
        <v/>
      </c>
      <c r="Y73">
        <v>1</v>
      </c>
      <c r="AD73">
        <f t="shared" ref="AD73:AF73" si="176">AD72</f>
        <v>18991</v>
      </c>
      <c r="AE73" t="str">
        <f t="shared" si="176"/>
        <v>Triple J</v>
      </c>
      <c r="AF73" t="str">
        <f t="shared" si="176"/>
        <v>Velodrome</v>
      </c>
      <c r="AG73" s="4">
        <f t="shared" si="152"/>
        <v>451</v>
      </c>
      <c r="AH73" s="4">
        <f t="shared" si="153"/>
        <v>363</v>
      </c>
      <c r="AI73" s="14">
        <f t="shared" si="154"/>
        <v>88</v>
      </c>
      <c r="AJ73">
        <f t="shared" si="155"/>
        <v>5</v>
      </c>
      <c r="AK73">
        <f t="shared" si="156"/>
        <v>5</v>
      </c>
      <c r="AL73">
        <f t="shared" si="157"/>
        <v>0</v>
      </c>
      <c r="AM73">
        <f t="shared" si="158"/>
        <v>0</v>
      </c>
      <c r="AN73">
        <f t="shared" si="159"/>
        <v>0</v>
      </c>
      <c r="AO73">
        <f t="shared" si="139"/>
        <v>0</v>
      </c>
      <c r="AP73">
        <f t="shared" si="160"/>
        <v>0</v>
      </c>
      <c r="AQ73">
        <f t="shared" si="161"/>
        <v>0</v>
      </c>
      <c r="AR73" t="str">
        <f t="shared" si="162"/>
        <v>Full Strength</v>
      </c>
      <c r="AS73" t="str">
        <f t="shared" si="163"/>
        <v>5v5</v>
      </c>
      <c r="AT73">
        <f t="shared" si="140"/>
        <v>1</v>
      </c>
      <c r="AU73">
        <f t="shared" si="141"/>
        <v>5</v>
      </c>
      <c r="AV73">
        <f t="shared" si="164"/>
        <v>0</v>
      </c>
      <c r="AW73">
        <f t="shared" si="165"/>
        <v>0</v>
      </c>
      <c r="AX73">
        <f t="shared" si="166"/>
        <v>0</v>
      </c>
      <c r="AY73">
        <f t="shared" si="167"/>
        <v>0</v>
      </c>
      <c r="AZ73">
        <f>IFERROR(VLOOKUP(B73,events!Z:BM,40,FALSE),0)</f>
        <v>0</v>
      </c>
      <c r="BA73">
        <f t="shared" si="168"/>
        <v>629</v>
      </c>
      <c r="BB73">
        <f t="shared" si="169"/>
        <v>624</v>
      </c>
      <c r="BC73" s="4">
        <f t="shared" si="170"/>
        <v>715</v>
      </c>
    </row>
    <row r="74" spans="1:55" x14ac:dyDescent="0.2">
      <c r="A74">
        <f t="shared" si="142"/>
        <v>73</v>
      </c>
      <c r="B74" s="6">
        <f t="shared" si="132"/>
        <v>3</v>
      </c>
      <c r="C74">
        <f t="shared" si="133"/>
        <v>6</v>
      </c>
      <c r="D74" t="str">
        <f t="shared" si="134"/>
        <v>03</v>
      </c>
      <c r="E74">
        <v>5</v>
      </c>
      <c r="F74" s="4" t="s">
        <v>1047</v>
      </c>
      <c r="G74" s="6" t="s">
        <v>289</v>
      </c>
      <c r="H74" s="5" t="s">
        <v>301</v>
      </c>
      <c r="I74">
        <v>73</v>
      </c>
      <c r="J74">
        <f t="shared" si="171"/>
        <v>12</v>
      </c>
      <c r="K74">
        <f t="shared" si="144"/>
        <v>16</v>
      </c>
      <c r="L74">
        <f t="shared" si="145"/>
        <v>10</v>
      </c>
      <c r="M74">
        <f t="shared" si="172"/>
        <v>57</v>
      </c>
      <c r="O74" s="5">
        <f t="shared" si="135"/>
        <v>1</v>
      </c>
      <c r="P74">
        <v>87</v>
      </c>
      <c r="Q74">
        <v>61</v>
      </c>
      <c r="R74">
        <f t="shared" si="148"/>
        <v>55</v>
      </c>
      <c r="S74">
        <v>84</v>
      </c>
      <c r="T74">
        <v>22</v>
      </c>
      <c r="V74">
        <f t="shared" si="136"/>
        <v>39</v>
      </c>
      <c r="W74" s="6">
        <f>SUMIFS(events!BI:BI,events!K:K,"=DeadIce",events!BJ:BJ,"&lt;="&amp;shifts!AG74,events!BK:BK,"&gt;"&amp;shifts!AH74,events!Z:Z,"="&amp;shifts!B75)+SUMIFS(events!BI:BI,events!K:K,"=Timeout",events!BJ:BJ,"&lt;="&amp;shifts!AG74,events!BK:BK,"&gt;"&amp;shifts!AH74,events!Z:Z,"="&amp;shifts!B75)</f>
        <v>0</v>
      </c>
      <c r="X74" s="6">
        <f t="shared" si="137"/>
        <v>1</v>
      </c>
      <c r="Y74">
        <v>1</v>
      </c>
      <c r="AD74">
        <f t="shared" ref="AD74:AF74" si="177">AD73</f>
        <v>18991</v>
      </c>
      <c r="AE74" t="str">
        <f t="shared" si="177"/>
        <v>Triple J</v>
      </c>
      <c r="AF74" t="str">
        <f t="shared" si="177"/>
        <v>Velodrome</v>
      </c>
      <c r="AG74" s="4">
        <f t="shared" si="152"/>
        <v>363</v>
      </c>
      <c r="AH74" s="4">
        <f t="shared" si="153"/>
        <v>309</v>
      </c>
      <c r="AI74" s="14">
        <f t="shared" si="154"/>
        <v>54</v>
      </c>
      <c r="AJ74">
        <f t="shared" si="155"/>
        <v>5</v>
      </c>
      <c r="AK74">
        <f t="shared" si="156"/>
        <v>5</v>
      </c>
      <c r="AL74">
        <f t="shared" si="157"/>
        <v>0</v>
      </c>
      <c r="AM74">
        <f t="shared" si="158"/>
        <v>0</v>
      </c>
      <c r="AN74">
        <f t="shared" si="159"/>
        <v>0</v>
      </c>
      <c r="AO74">
        <f t="shared" si="139"/>
        <v>0</v>
      </c>
      <c r="AP74">
        <f t="shared" si="160"/>
        <v>0</v>
      </c>
      <c r="AQ74">
        <f t="shared" si="161"/>
        <v>0</v>
      </c>
      <c r="AR74" t="str">
        <f t="shared" si="162"/>
        <v>Full Strength</v>
      </c>
      <c r="AS74" t="str">
        <f t="shared" si="163"/>
        <v>5v5</v>
      </c>
      <c r="AT74">
        <f t="shared" si="140"/>
        <v>1</v>
      </c>
      <c r="AU74">
        <f t="shared" si="141"/>
        <v>5</v>
      </c>
      <c r="AV74">
        <f t="shared" si="164"/>
        <v>0</v>
      </c>
      <c r="AW74">
        <f t="shared" si="165"/>
        <v>0</v>
      </c>
      <c r="AX74">
        <f t="shared" si="166"/>
        <v>0</v>
      </c>
      <c r="AY74">
        <f t="shared" si="167"/>
        <v>0</v>
      </c>
      <c r="AZ74">
        <f>IFERROR(VLOOKUP(B74,events!Z:BM,40,FALSE),0)</f>
        <v>0</v>
      </c>
      <c r="BA74">
        <f t="shared" si="168"/>
        <v>717</v>
      </c>
      <c r="BB74">
        <f t="shared" si="169"/>
        <v>712</v>
      </c>
      <c r="BC74" s="4">
        <f t="shared" si="170"/>
        <v>769</v>
      </c>
    </row>
    <row r="75" spans="1:55" x14ac:dyDescent="0.2">
      <c r="A75">
        <f t="shared" si="142"/>
        <v>74</v>
      </c>
      <c r="B75" s="6">
        <f t="shared" si="132"/>
        <v>3</v>
      </c>
      <c r="C75">
        <f t="shared" si="133"/>
        <v>5</v>
      </c>
      <c r="D75" t="str">
        <f t="shared" si="134"/>
        <v>09</v>
      </c>
      <c r="E75">
        <v>4</v>
      </c>
      <c r="F75" s="4" t="s">
        <v>732</v>
      </c>
      <c r="G75" s="6" t="s">
        <v>289</v>
      </c>
      <c r="H75" s="5" t="s">
        <v>293</v>
      </c>
      <c r="I75">
        <f t="shared" si="143"/>
        <v>73</v>
      </c>
      <c r="J75">
        <f t="shared" si="171"/>
        <v>12</v>
      </c>
      <c r="K75">
        <f t="shared" si="144"/>
        <v>16</v>
      </c>
      <c r="L75">
        <v>41</v>
      </c>
      <c r="M75">
        <v>19</v>
      </c>
      <c r="O75" s="5">
        <f t="shared" si="135"/>
        <v>1</v>
      </c>
      <c r="P75">
        <f t="shared" si="146"/>
        <v>87</v>
      </c>
      <c r="Q75">
        <v>14</v>
      </c>
      <c r="R75">
        <v>75</v>
      </c>
      <c r="S75">
        <f t="shared" si="149"/>
        <v>84</v>
      </c>
      <c r="T75">
        <f t="shared" si="150"/>
        <v>22</v>
      </c>
      <c r="V75">
        <f t="shared" si="136"/>
        <v>39</v>
      </c>
      <c r="W75" s="6">
        <f>SUMIFS(events!BI:BI,events!K:K,"=DeadIce",events!BJ:BJ,"&lt;="&amp;shifts!AG75,events!BK:BK,"&gt;"&amp;shifts!AH75,events!Z:Z,"="&amp;shifts!B76)+SUMIFS(events!BI:BI,events!K:K,"=Timeout",events!BJ:BJ,"&lt;="&amp;shifts!AG75,events!BK:BK,"&gt;"&amp;shifts!AH75,events!Z:Z,"="&amp;shifts!B76)</f>
        <v>0</v>
      </c>
      <c r="X75" s="6">
        <f t="shared" si="137"/>
        <v>1</v>
      </c>
      <c r="Y75">
        <v>1</v>
      </c>
      <c r="AD75">
        <f t="shared" ref="AD75:AF75" si="178">AD74</f>
        <v>18991</v>
      </c>
      <c r="AE75" t="str">
        <f t="shared" si="178"/>
        <v>Triple J</v>
      </c>
      <c r="AF75" t="str">
        <f t="shared" si="178"/>
        <v>Velodrome</v>
      </c>
      <c r="AG75" s="4">
        <f t="shared" si="152"/>
        <v>309</v>
      </c>
      <c r="AH75" s="4">
        <f t="shared" si="153"/>
        <v>257</v>
      </c>
      <c r="AI75" s="14">
        <f t="shared" si="154"/>
        <v>52</v>
      </c>
      <c r="AJ75">
        <f t="shared" si="155"/>
        <v>5</v>
      </c>
      <c r="AK75">
        <f t="shared" si="156"/>
        <v>5</v>
      </c>
      <c r="AL75">
        <f t="shared" si="157"/>
        <v>0</v>
      </c>
      <c r="AM75">
        <f t="shared" si="158"/>
        <v>0</v>
      </c>
      <c r="AN75">
        <f t="shared" si="159"/>
        <v>0</v>
      </c>
      <c r="AO75">
        <f t="shared" si="139"/>
        <v>0</v>
      </c>
      <c r="AP75">
        <f t="shared" si="160"/>
        <v>0</v>
      </c>
      <c r="AQ75">
        <f t="shared" si="161"/>
        <v>0</v>
      </c>
      <c r="AR75" t="str">
        <f t="shared" si="162"/>
        <v>Full Strength</v>
      </c>
      <c r="AS75" t="str">
        <f t="shared" si="163"/>
        <v>5v5</v>
      </c>
      <c r="AT75">
        <f t="shared" si="140"/>
        <v>1</v>
      </c>
      <c r="AU75">
        <f t="shared" si="141"/>
        <v>5</v>
      </c>
      <c r="AV75">
        <f t="shared" si="164"/>
        <v>0</v>
      </c>
      <c r="AW75">
        <f t="shared" si="165"/>
        <v>0</v>
      </c>
      <c r="AX75">
        <f t="shared" si="166"/>
        <v>0</v>
      </c>
      <c r="AY75">
        <f t="shared" si="167"/>
        <v>0</v>
      </c>
      <c r="AZ75">
        <f>IFERROR(VLOOKUP(B75,events!Z:BM,40,FALSE),0)</f>
        <v>0</v>
      </c>
      <c r="BA75">
        <f t="shared" si="168"/>
        <v>771</v>
      </c>
      <c r="BB75">
        <f t="shared" si="169"/>
        <v>766</v>
      </c>
      <c r="BC75" s="4">
        <f t="shared" si="170"/>
        <v>821</v>
      </c>
    </row>
    <row r="76" spans="1:55" x14ac:dyDescent="0.2">
      <c r="A76">
        <f t="shared" si="142"/>
        <v>75</v>
      </c>
      <c r="B76" s="6">
        <f t="shared" si="132"/>
        <v>3</v>
      </c>
      <c r="C76">
        <f t="shared" si="133"/>
        <v>4</v>
      </c>
      <c r="D76" t="str">
        <f t="shared" si="134"/>
        <v>17</v>
      </c>
      <c r="E76">
        <v>2</v>
      </c>
      <c r="F76" s="4" t="s">
        <v>741</v>
      </c>
      <c r="G76" s="6" t="s">
        <v>289</v>
      </c>
      <c r="I76">
        <f t="shared" si="143"/>
        <v>73</v>
      </c>
      <c r="J76">
        <v>69</v>
      </c>
      <c r="K76">
        <v>90</v>
      </c>
      <c r="L76">
        <f t="shared" si="145"/>
        <v>41</v>
      </c>
      <c r="M76">
        <f t="shared" si="172"/>
        <v>19</v>
      </c>
      <c r="O76" s="5">
        <f t="shared" si="135"/>
        <v>1</v>
      </c>
      <c r="P76">
        <f t="shared" si="146"/>
        <v>87</v>
      </c>
      <c r="Q76">
        <f t="shared" si="147"/>
        <v>14</v>
      </c>
      <c r="R76">
        <f t="shared" si="148"/>
        <v>75</v>
      </c>
      <c r="S76">
        <f t="shared" si="149"/>
        <v>84</v>
      </c>
      <c r="T76">
        <f t="shared" si="150"/>
        <v>22</v>
      </c>
      <c r="V76">
        <f t="shared" si="136"/>
        <v>39</v>
      </c>
      <c r="W76" s="6">
        <f>SUMIFS(events!BI:BI,events!K:K,"=DeadIce",events!BJ:BJ,"&lt;="&amp;shifts!AG76,events!BK:BK,"&gt;"&amp;shifts!AH76,events!Z:Z,"="&amp;shifts!B77)+SUMIFS(events!BI:BI,events!K:K,"=Timeout",events!BJ:BJ,"&lt;="&amp;shifts!AG76,events!BK:BK,"&gt;"&amp;shifts!AH76,events!Z:Z,"="&amp;shifts!B77)</f>
        <v>0</v>
      </c>
      <c r="X76" s="6">
        <f t="shared" si="137"/>
        <v>1</v>
      </c>
      <c r="AC76">
        <v>1</v>
      </c>
      <c r="AD76">
        <f t="shared" ref="AD76:AF76" si="179">AD75</f>
        <v>18991</v>
      </c>
      <c r="AE76" t="str">
        <f t="shared" si="179"/>
        <v>Triple J</v>
      </c>
      <c r="AF76" t="str">
        <f t="shared" si="179"/>
        <v>Velodrome</v>
      </c>
      <c r="AG76" s="4">
        <f t="shared" si="152"/>
        <v>257</v>
      </c>
      <c r="AH76" s="4">
        <f t="shared" si="153"/>
        <v>141</v>
      </c>
      <c r="AI76" s="14">
        <f t="shared" si="154"/>
        <v>116</v>
      </c>
      <c r="AJ76">
        <f t="shared" si="155"/>
        <v>5</v>
      </c>
      <c r="AK76">
        <f t="shared" si="156"/>
        <v>5</v>
      </c>
      <c r="AL76">
        <f t="shared" si="157"/>
        <v>0</v>
      </c>
      <c r="AM76">
        <f t="shared" si="158"/>
        <v>0</v>
      </c>
      <c r="AN76">
        <f t="shared" si="159"/>
        <v>0</v>
      </c>
      <c r="AO76">
        <f t="shared" si="139"/>
        <v>0</v>
      </c>
      <c r="AP76">
        <f t="shared" si="160"/>
        <v>0</v>
      </c>
      <c r="AQ76">
        <f t="shared" si="161"/>
        <v>0</v>
      </c>
      <c r="AR76" t="str">
        <f t="shared" si="162"/>
        <v>Full Strength</v>
      </c>
      <c r="AS76" t="str">
        <f t="shared" si="163"/>
        <v>5v5</v>
      </c>
      <c r="AT76">
        <f t="shared" si="140"/>
        <v>1</v>
      </c>
      <c r="AU76">
        <f t="shared" si="141"/>
        <v>5</v>
      </c>
      <c r="AV76">
        <f t="shared" si="164"/>
        <v>0</v>
      </c>
      <c r="AW76">
        <f t="shared" si="165"/>
        <v>0</v>
      </c>
      <c r="AX76">
        <f t="shared" si="166"/>
        <v>0</v>
      </c>
      <c r="AY76">
        <f t="shared" si="167"/>
        <v>0</v>
      </c>
      <c r="AZ76">
        <f>IFERROR(VLOOKUP(B76,events!Z:BM,40,FALSE),0)</f>
        <v>0</v>
      </c>
      <c r="BA76">
        <f t="shared" si="168"/>
        <v>823</v>
      </c>
      <c r="BB76">
        <f t="shared" si="169"/>
        <v>818</v>
      </c>
      <c r="BC76" s="4">
        <f t="shared" si="170"/>
        <v>937</v>
      </c>
    </row>
    <row r="77" spans="1:55" x14ac:dyDescent="0.2">
      <c r="A77">
        <f t="shared" si="142"/>
        <v>76</v>
      </c>
      <c r="B77" s="6">
        <f t="shared" si="132"/>
        <v>3</v>
      </c>
      <c r="C77">
        <f t="shared" si="133"/>
        <v>2</v>
      </c>
      <c r="D77" t="str">
        <f t="shared" si="134"/>
        <v>21</v>
      </c>
      <c r="E77">
        <v>2</v>
      </c>
      <c r="F77" s="4" t="s">
        <v>748</v>
      </c>
      <c r="H77" s="5" t="s">
        <v>342</v>
      </c>
      <c r="I77">
        <v>21</v>
      </c>
      <c r="J77">
        <f t="shared" si="171"/>
        <v>69</v>
      </c>
      <c r="K77">
        <f t="shared" si="144"/>
        <v>90</v>
      </c>
      <c r="L77">
        <f t="shared" si="145"/>
        <v>41</v>
      </c>
      <c r="M77">
        <f t="shared" si="172"/>
        <v>19</v>
      </c>
      <c r="O77" s="5">
        <f t="shared" si="135"/>
        <v>1</v>
      </c>
      <c r="P77">
        <f t="shared" si="146"/>
        <v>87</v>
      </c>
      <c r="Q77">
        <f t="shared" si="147"/>
        <v>14</v>
      </c>
      <c r="R77">
        <f t="shared" si="148"/>
        <v>75</v>
      </c>
      <c r="S77">
        <v>93</v>
      </c>
      <c r="T77">
        <f t="shared" si="150"/>
        <v>22</v>
      </c>
      <c r="V77">
        <f t="shared" si="136"/>
        <v>39</v>
      </c>
      <c r="W77" s="6">
        <f>SUMIFS(events!BI:BI,events!K:K,"=DeadIce",events!BJ:BJ,"&lt;="&amp;shifts!AG77,events!BK:BK,"&gt;"&amp;shifts!AH77,events!Z:Z,"="&amp;shifts!B78)+SUMIFS(events!BI:BI,events!K:K,"=Timeout",events!BJ:BJ,"&lt;="&amp;shifts!AG77,events!BK:BK,"&gt;"&amp;shifts!AH77,events!Z:Z,"="&amp;shifts!B78)</f>
        <v>0</v>
      </c>
      <c r="X77" s="6" t="str">
        <f t="shared" si="137"/>
        <v/>
      </c>
      <c r="AA77">
        <v>1</v>
      </c>
      <c r="AD77">
        <f t="shared" ref="AD77:AF77" si="180">AD76</f>
        <v>18991</v>
      </c>
      <c r="AE77" t="str">
        <f t="shared" si="180"/>
        <v>Triple J</v>
      </c>
      <c r="AF77" t="str">
        <f t="shared" si="180"/>
        <v>Velodrome</v>
      </c>
      <c r="AG77" s="4">
        <f t="shared" si="152"/>
        <v>141</v>
      </c>
      <c r="AH77" s="4">
        <f t="shared" si="153"/>
        <v>121</v>
      </c>
      <c r="AI77" s="14">
        <f t="shared" si="154"/>
        <v>20</v>
      </c>
      <c r="AJ77">
        <f t="shared" si="155"/>
        <v>5</v>
      </c>
      <c r="AK77">
        <f t="shared" si="156"/>
        <v>5</v>
      </c>
      <c r="AL77">
        <f t="shared" si="157"/>
        <v>0</v>
      </c>
      <c r="AM77">
        <f t="shared" si="158"/>
        <v>0</v>
      </c>
      <c r="AN77">
        <f t="shared" si="159"/>
        <v>0</v>
      </c>
      <c r="AO77">
        <f t="shared" si="139"/>
        <v>0</v>
      </c>
      <c r="AP77">
        <f t="shared" si="160"/>
        <v>0</v>
      </c>
      <c r="AQ77">
        <f t="shared" si="161"/>
        <v>0</v>
      </c>
      <c r="AR77" t="str">
        <f t="shared" si="162"/>
        <v>Full Strength</v>
      </c>
      <c r="AS77" t="str">
        <f t="shared" si="163"/>
        <v>5v5</v>
      </c>
      <c r="AT77">
        <f t="shared" si="140"/>
        <v>1</v>
      </c>
      <c r="AU77">
        <f t="shared" si="141"/>
        <v>5</v>
      </c>
      <c r="AV77">
        <f t="shared" si="164"/>
        <v>0</v>
      </c>
      <c r="AW77">
        <f t="shared" si="165"/>
        <v>0</v>
      </c>
      <c r="AX77">
        <f t="shared" si="166"/>
        <v>0</v>
      </c>
      <c r="AY77">
        <f t="shared" si="167"/>
        <v>0</v>
      </c>
      <c r="AZ77">
        <f>IFERROR(VLOOKUP(B77,events!Z:BM,40,FALSE),0)</f>
        <v>0</v>
      </c>
      <c r="BA77">
        <f t="shared" si="168"/>
        <v>939</v>
      </c>
      <c r="BB77">
        <f t="shared" si="169"/>
        <v>934</v>
      </c>
      <c r="BC77" s="4">
        <f t="shared" si="170"/>
        <v>957</v>
      </c>
    </row>
    <row r="78" spans="1:55" x14ac:dyDescent="0.2">
      <c r="A78">
        <f t="shared" si="142"/>
        <v>77</v>
      </c>
      <c r="B78" s="6">
        <f t="shared" si="132"/>
        <v>3</v>
      </c>
      <c r="C78">
        <f t="shared" si="133"/>
        <v>2</v>
      </c>
      <c r="D78" t="str">
        <f t="shared" si="134"/>
        <v>01</v>
      </c>
      <c r="E78">
        <v>0</v>
      </c>
      <c r="F78" s="4" t="s">
        <v>755</v>
      </c>
      <c r="G78" s="6" t="s">
        <v>289</v>
      </c>
      <c r="H78" s="5" t="s">
        <v>400</v>
      </c>
      <c r="I78">
        <f t="shared" si="143"/>
        <v>21</v>
      </c>
      <c r="J78">
        <v>37</v>
      </c>
      <c r="K78">
        <v>71</v>
      </c>
      <c r="L78">
        <v>10</v>
      </c>
      <c r="M78">
        <v>57</v>
      </c>
      <c r="O78" s="5">
        <f t="shared" si="135"/>
        <v>1</v>
      </c>
      <c r="P78">
        <v>70</v>
      </c>
      <c r="Q78">
        <v>91</v>
      </c>
      <c r="R78">
        <v>24</v>
      </c>
      <c r="S78">
        <f t="shared" si="149"/>
        <v>93</v>
      </c>
      <c r="T78">
        <v>9</v>
      </c>
      <c r="V78">
        <f t="shared" si="136"/>
        <v>39</v>
      </c>
      <c r="W78" s="6">
        <f>SUMIFS(events!BI:BI,events!K:K,"=DeadIce",events!BJ:BJ,"&lt;="&amp;shifts!AG78,events!BK:BK,"&gt;"&amp;shifts!AH78,events!Z:Z,"="&amp;shifts!B79)+SUMIFS(events!BI:BI,events!K:K,"=Timeout",events!BJ:BJ,"&lt;="&amp;shifts!AG78,events!BK:BK,"&gt;"&amp;shifts!AH78,events!Z:Z,"="&amp;shifts!B79)</f>
        <v>0</v>
      </c>
      <c r="X78" s="6" t="str">
        <f t="shared" si="137"/>
        <v/>
      </c>
      <c r="AA78">
        <v>1</v>
      </c>
      <c r="AD78">
        <f t="shared" ref="AD78:AF78" si="181">AD77</f>
        <v>18991</v>
      </c>
      <c r="AE78" t="str">
        <f t="shared" si="181"/>
        <v>Triple J</v>
      </c>
      <c r="AF78" t="str">
        <f t="shared" si="181"/>
        <v>Velodrome</v>
      </c>
      <c r="AG78" s="4">
        <f t="shared" si="152"/>
        <v>121</v>
      </c>
      <c r="AH78" s="4">
        <f t="shared" si="153"/>
        <v>0.01</v>
      </c>
      <c r="AI78" s="14">
        <f t="shared" si="154"/>
        <v>121</v>
      </c>
      <c r="AJ78">
        <f t="shared" si="155"/>
        <v>5</v>
      </c>
      <c r="AK78">
        <f t="shared" si="156"/>
        <v>5</v>
      </c>
      <c r="AL78">
        <f t="shared" si="157"/>
        <v>0</v>
      </c>
      <c r="AM78">
        <f t="shared" si="158"/>
        <v>0</v>
      </c>
      <c r="AN78">
        <f t="shared" si="159"/>
        <v>0</v>
      </c>
      <c r="AO78">
        <f t="shared" si="139"/>
        <v>0</v>
      </c>
      <c r="AP78">
        <f t="shared" si="160"/>
        <v>0</v>
      </c>
      <c r="AQ78">
        <f t="shared" si="161"/>
        <v>0</v>
      </c>
      <c r="AR78" t="str">
        <f t="shared" si="162"/>
        <v>Full Strength</v>
      </c>
      <c r="AS78" t="str">
        <f t="shared" si="163"/>
        <v>5v5</v>
      </c>
      <c r="AT78">
        <f t="shared" si="140"/>
        <v>1</v>
      </c>
      <c r="AU78">
        <f t="shared" si="141"/>
        <v>5</v>
      </c>
      <c r="AV78">
        <f t="shared" si="164"/>
        <v>0</v>
      </c>
      <c r="AW78">
        <f t="shared" si="165"/>
        <v>0</v>
      </c>
      <c r="AX78">
        <f t="shared" si="166"/>
        <v>0</v>
      </c>
      <c r="AY78">
        <f t="shared" si="167"/>
        <v>0</v>
      </c>
      <c r="AZ78">
        <f>IFERROR(VLOOKUP(B78,events!Z:BM,40,FALSE),0)</f>
        <v>0</v>
      </c>
      <c r="BA78">
        <f t="shared" si="168"/>
        <v>959</v>
      </c>
      <c r="BB78">
        <f t="shared" si="169"/>
        <v>954</v>
      </c>
      <c r="BC78" s="4">
        <f t="shared" si="170"/>
        <v>1078</v>
      </c>
    </row>
    <row r="79" spans="1:55" x14ac:dyDescent="0.2">
      <c r="A79">
        <f t="shared" si="142"/>
        <v>78</v>
      </c>
      <c r="B79" s="6">
        <f t="shared" si="132"/>
        <v>3</v>
      </c>
      <c r="C79">
        <f t="shared" si="133"/>
        <v>0</v>
      </c>
      <c r="D79" t="str">
        <f t="shared" si="134"/>
        <v>0.01</v>
      </c>
      <c r="P79"/>
      <c r="W79" s="6">
        <f>SUMIFS(events!BI:BI,events!K:K,"=DeadIce",events!BJ:BJ,"&lt;="&amp;shifts!AG79,events!BK:BK,"&gt;"&amp;shifts!AH79,events!Z:Z,"="&amp;shifts!B80)+SUMIFS(events!BI:BI,events!K:K,"=Timeout",events!BJ:BJ,"&lt;="&amp;shifts!AG79,events!BK:BK,"&gt;"&amp;shifts!AH79,events!Z:Z,"="&amp;shifts!B80)</f>
        <v>0</v>
      </c>
      <c r="X79" s="6" t="str">
        <f t="shared" si="137"/>
        <v/>
      </c>
      <c r="AD79">
        <f t="shared" ref="AD79:AF79" si="182">AD78</f>
        <v>18991</v>
      </c>
      <c r="AE79" t="str">
        <f t="shared" si="182"/>
        <v>Triple J</v>
      </c>
      <c r="AF79" t="str">
        <f t="shared" si="182"/>
        <v>Velodrome</v>
      </c>
      <c r="AG79" s="4">
        <f t="shared" si="152"/>
        <v>0.01</v>
      </c>
      <c r="AH79" s="4">
        <f t="shared" si="153"/>
        <v>0</v>
      </c>
      <c r="AI79" s="14">
        <f t="shared" si="154"/>
        <v>0</v>
      </c>
      <c r="AJ79">
        <f t="shared" si="155"/>
        <v>0</v>
      </c>
      <c r="AK79">
        <f t="shared" si="156"/>
        <v>0</v>
      </c>
      <c r="AL79">
        <f t="shared" si="157"/>
        <v>1</v>
      </c>
      <c r="AM79">
        <f t="shared" si="158"/>
        <v>1</v>
      </c>
      <c r="AN79">
        <f t="shared" si="159"/>
        <v>0</v>
      </c>
      <c r="AO79">
        <f t="shared" si="139"/>
        <v>0</v>
      </c>
      <c r="AP79">
        <f t="shared" si="160"/>
        <v>0</v>
      </c>
      <c r="AQ79">
        <f t="shared" si="161"/>
        <v>0</v>
      </c>
      <c r="AR79" t="str">
        <f t="shared" si="162"/>
        <v>Home EmptyNet</v>
      </c>
      <c r="AS79" t="str">
        <f t="shared" si="163"/>
        <v>0v0 Home EN</v>
      </c>
      <c r="AT79">
        <f t="shared" si="140"/>
        <v>1</v>
      </c>
      <c r="AU79">
        <f t="shared" si="141"/>
        <v>5</v>
      </c>
      <c r="AV79">
        <f t="shared" si="164"/>
        <v>0</v>
      </c>
      <c r="AW79">
        <f t="shared" si="165"/>
        <v>0</v>
      </c>
      <c r="AX79">
        <f t="shared" si="166"/>
        <v>0</v>
      </c>
      <c r="AY79">
        <f t="shared" si="167"/>
        <v>0</v>
      </c>
      <c r="AZ79">
        <f>IFERROR(VLOOKUP(B79,events!Z:BM,40,FALSE),0)</f>
        <v>0</v>
      </c>
      <c r="BA79">
        <f t="shared" si="168"/>
        <v>1080</v>
      </c>
      <c r="BB79">
        <f t="shared" si="169"/>
        <v>1075</v>
      </c>
      <c r="BC79" s="4">
        <f t="shared" si="170"/>
        <v>1078</v>
      </c>
    </row>
    <row r="80" spans="1:55" x14ac:dyDescent="0.2">
      <c r="D80"/>
      <c r="P80"/>
      <c r="AG80" s="4"/>
      <c r="AH80" s="4"/>
      <c r="AI80" s="14"/>
      <c r="BC80" s="4"/>
    </row>
    <row r="81" spans="4:55" x14ac:dyDescent="0.2">
      <c r="D81"/>
      <c r="P81"/>
      <c r="AG81" s="4"/>
      <c r="AH81" s="4"/>
      <c r="AI81" s="14"/>
      <c r="BC81" s="4"/>
    </row>
    <row r="82" spans="4:55" x14ac:dyDescent="0.2">
      <c r="D82"/>
      <c r="P82"/>
      <c r="AG82" s="4"/>
      <c r="AH82" s="4"/>
      <c r="AI82" s="14"/>
      <c r="BC82" s="4"/>
    </row>
    <row r="83" spans="4:55" x14ac:dyDescent="0.2">
      <c r="D83"/>
      <c r="P83"/>
      <c r="AG83" s="4"/>
      <c r="AH83" s="4"/>
      <c r="AI83" s="14"/>
      <c r="BC83" s="4"/>
    </row>
    <row r="84" spans="4:55" x14ac:dyDescent="0.2">
      <c r="D84"/>
      <c r="P84"/>
      <c r="AG84" s="4"/>
      <c r="AH84" s="4"/>
      <c r="AI84" s="14"/>
      <c r="BC84" s="4"/>
    </row>
    <row r="85" spans="4:55" x14ac:dyDescent="0.2">
      <c r="D85"/>
      <c r="P85"/>
      <c r="AG85" s="4"/>
      <c r="AH85" s="4"/>
      <c r="AI85" s="14"/>
      <c r="BC85" s="4"/>
    </row>
    <row r="86" spans="4:55" x14ac:dyDescent="0.2">
      <c r="D86"/>
      <c r="P86"/>
      <c r="AG86" s="4"/>
      <c r="AH86" s="4"/>
      <c r="AI86" s="14"/>
      <c r="BC86" s="4"/>
    </row>
    <row r="87" spans="4:55" x14ac:dyDescent="0.2">
      <c r="D87"/>
      <c r="P87"/>
      <c r="AG87" s="4"/>
      <c r="AH87" s="4"/>
      <c r="AI87" s="14"/>
      <c r="BC87" s="4"/>
    </row>
    <row r="88" spans="4:55" x14ac:dyDescent="0.2">
      <c r="D88"/>
      <c r="P88"/>
      <c r="AG88" s="4"/>
      <c r="AH88" s="4"/>
      <c r="AI88" s="14"/>
      <c r="BC88" s="4"/>
    </row>
    <row r="89" spans="4:55" x14ac:dyDescent="0.2">
      <c r="D89"/>
      <c r="P89"/>
      <c r="AG89" s="4"/>
      <c r="AH89" s="4"/>
      <c r="AI89" s="14"/>
      <c r="BC89" s="4"/>
    </row>
    <row r="90" spans="4:55" x14ac:dyDescent="0.2">
      <c r="D90"/>
      <c r="P90"/>
      <c r="AG90" s="4"/>
      <c r="AH90" s="4"/>
      <c r="AI90" s="14"/>
      <c r="BC90" s="4"/>
    </row>
    <row r="91" spans="4:55" x14ac:dyDescent="0.2">
      <c r="D91"/>
      <c r="P91"/>
      <c r="AG91" s="4"/>
      <c r="AH91" s="4"/>
      <c r="AI91" s="14"/>
      <c r="BC91" s="4"/>
    </row>
    <row r="92" spans="4:55" x14ac:dyDescent="0.2">
      <c r="D92"/>
      <c r="P92"/>
      <c r="AG92" s="4"/>
      <c r="AH92" s="4"/>
      <c r="AI92" s="14"/>
      <c r="BC92" s="4"/>
    </row>
    <row r="93" spans="4:55" x14ac:dyDescent="0.2">
      <c r="D93"/>
      <c r="P93"/>
      <c r="AG93" s="4"/>
      <c r="AH93" s="4"/>
      <c r="AI93" s="14"/>
      <c r="BC93" s="4"/>
    </row>
    <row r="94" spans="4:55" x14ac:dyDescent="0.2">
      <c r="D94"/>
      <c r="P94"/>
      <c r="AG94" s="4"/>
      <c r="AH94" s="4"/>
      <c r="AI94" s="14"/>
      <c r="BC94" s="4"/>
    </row>
    <row r="95" spans="4:55" x14ac:dyDescent="0.2">
      <c r="D95"/>
      <c r="P95"/>
      <c r="AG95" s="4"/>
      <c r="AH95" s="4"/>
      <c r="AI95" s="14"/>
      <c r="BC95" s="4"/>
    </row>
    <row r="96" spans="4:55" x14ac:dyDescent="0.2">
      <c r="D96"/>
      <c r="P96"/>
      <c r="AG96" s="4"/>
      <c r="AH96" s="4"/>
      <c r="AI96" s="14"/>
      <c r="BC96" s="4"/>
    </row>
    <row r="97" spans="4:55" x14ac:dyDescent="0.2">
      <c r="D97"/>
      <c r="P97"/>
      <c r="AG97" s="4"/>
      <c r="AH97" s="4"/>
      <c r="AI97" s="14"/>
      <c r="BC97" s="4"/>
    </row>
    <row r="98" spans="4:55" x14ac:dyDescent="0.2">
      <c r="D98"/>
      <c r="P98"/>
      <c r="AG98" s="4"/>
      <c r="AH98" s="4"/>
      <c r="AI98" s="14"/>
      <c r="BC98" s="4"/>
    </row>
    <row r="99" spans="4:55" x14ac:dyDescent="0.2">
      <c r="D99"/>
      <c r="P99"/>
      <c r="AG99" s="4"/>
      <c r="AH99" s="4"/>
      <c r="AI99" s="14"/>
      <c r="BC99" s="4"/>
    </row>
    <row r="100" spans="4:55" x14ac:dyDescent="0.2">
      <c r="P100"/>
      <c r="AG100" s="4"/>
      <c r="AH100" s="4"/>
      <c r="AI100" s="14"/>
      <c r="BC100" s="4"/>
    </row>
    <row r="101" spans="4:55" x14ac:dyDescent="0.2">
      <c r="P101"/>
      <c r="AG101" s="4"/>
      <c r="AH101" s="4"/>
      <c r="AI101" s="14"/>
      <c r="BC101" s="4"/>
    </row>
    <row r="102" spans="4:55" x14ac:dyDescent="0.2">
      <c r="P102"/>
      <c r="AG102" s="4"/>
      <c r="AH102" s="4"/>
      <c r="AI102" s="14"/>
      <c r="BC102" s="4"/>
    </row>
    <row r="103" spans="4:55" x14ac:dyDescent="0.2">
      <c r="P103"/>
      <c r="AG103" s="4"/>
      <c r="AH103" s="4"/>
      <c r="AI103" s="14"/>
      <c r="BC103" s="4"/>
    </row>
    <row r="104" spans="4:55" x14ac:dyDescent="0.2">
      <c r="P104"/>
      <c r="AG104" s="4"/>
      <c r="AH104" s="4"/>
      <c r="AI104" s="14"/>
      <c r="BC104" s="4"/>
    </row>
    <row r="105" spans="4:55" x14ac:dyDescent="0.2">
      <c r="P105"/>
      <c r="AG105" s="4"/>
      <c r="AH105" s="4"/>
      <c r="AI105" s="14"/>
      <c r="BC105" s="4"/>
    </row>
    <row r="106" spans="4:55" x14ac:dyDescent="0.2">
      <c r="P106"/>
      <c r="AG106" s="4"/>
      <c r="AH106" s="4"/>
      <c r="AI106" s="14"/>
      <c r="BC106" s="4"/>
    </row>
    <row r="107" spans="4:55" x14ac:dyDescent="0.2">
      <c r="P107"/>
      <c r="AG107" s="4"/>
      <c r="AH107" s="4"/>
      <c r="AI107" s="14"/>
      <c r="BC107" s="4"/>
    </row>
    <row r="108" spans="4:55" x14ac:dyDescent="0.2">
      <c r="P108"/>
      <c r="AG108" s="4"/>
      <c r="AH108" s="4"/>
      <c r="AI108" s="14"/>
      <c r="BC108" s="4"/>
    </row>
    <row r="109" spans="4:55" x14ac:dyDescent="0.2">
      <c r="P109"/>
      <c r="AG109" s="4"/>
      <c r="AH109" s="4"/>
      <c r="AI109" s="14"/>
      <c r="BC109" s="4"/>
    </row>
    <row r="110" spans="4:55" x14ac:dyDescent="0.2">
      <c r="P110"/>
      <c r="AG110" s="4"/>
      <c r="AH110" s="4"/>
      <c r="AI110" s="14"/>
      <c r="BC110" s="4"/>
    </row>
    <row r="111" spans="4:55" x14ac:dyDescent="0.2">
      <c r="P111"/>
      <c r="AG111" s="4"/>
      <c r="AH111" s="4"/>
      <c r="AI111" s="14"/>
      <c r="BC111" s="4"/>
    </row>
    <row r="112" spans="4:55" x14ac:dyDescent="0.2">
      <c r="P112"/>
      <c r="AG112" s="4"/>
      <c r="AH112" s="4"/>
      <c r="AI112" s="14"/>
      <c r="BC112" s="4"/>
    </row>
    <row r="113" spans="16:55" x14ac:dyDescent="0.2">
      <c r="P113"/>
      <c r="AG113" s="4"/>
      <c r="AH113" s="4"/>
      <c r="AI113" s="14"/>
      <c r="BC113" s="4"/>
    </row>
    <row r="114" spans="16:55" x14ac:dyDescent="0.2">
      <c r="P114"/>
      <c r="AG114" s="4"/>
      <c r="AH114" s="4"/>
      <c r="AI114" s="14"/>
      <c r="BC114" s="4"/>
    </row>
    <row r="115" spans="16:55" x14ac:dyDescent="0.2">
      <c r="P115"/>
      <c r="AG115" s="4"/>
      <c r="AH115" s="4"/>
      <c r="AI115" s="14"/>
      <c r="BC115" s="4"/>
    </row>
    <row r="116" spans="16:55" x14ac:dyDescent="0.2">
      <c r="P116"/>
      <c r="AG116" s="4"/>
      <c r="AH116" s="4"/>
      <c r="AI116" s="14"/>
      <c r="BC116" s="4"/>
    </row>
    <row r="117" spans="16:55" x14ac:dyDescent="0.2">
      <c r="P117"/>
      <c r="AG117" s="4"/>
      <c r="AH117" s="4"/>
      <c r="AI117" s="14"/>
      <c r="BC117" s="4"/>
    </row>
    <row r="118" spans="16:55" x14ac:dyDescent="0.2">
      <c r="P118"/>
      <c r="AG118" s="4"/>
      <c r="AH118" s="4"/>
      <c r="AI118" s="14"/>
      <c r="BC118" s="4"/>
    </row>
    <row r="119" spans="16:55" x14ac:dyDescent="0.2">
      <c r="P119"/>
      <c r="AG119" s="4"/>
      <c r="AH119" s="4"/>
      <c r="AI119" s="14"/>
      <c r="BC119" s="4"/>
    </row>
    <row r="120" spans="16:55" x14ac:dyDescent="0.2">
      <c r="P120"/>
      <c r="AG120" s="4"/>
      <c r="AH120" s="4"/>
      <c r="AI120" s="14"/>
      <c r="BC120" s="4"/>
    </row>
    <row r="121" spans="16:55" x14ac:dyDescent="0.2">
      <c r="P121"/>
      <c r="AG121" s="4"/>
      <c r="AH121" s="4"/>
      <c r="AI121" s="14"/>
      <c r="BC121" s="4"/>
    </row>
    <row r="122" spans="16:55" x14ac:dyDescent="0.2">
      <c r="P122"/>
      <c r="AG122" s="4"/>
      <c r="AH122" s="4"/>
      <c r="AI122" s="14"/>
      <c r="BC122" s="4"/>
    </row>
    <row r="123" spans="16:55" x14ac:dyDescent="0.2">
      <c r="P123"/>
      <c r="AG123" s="4"/>
      <c r="AH123" s="4"/>
      <c r="AI123" s="14"/>
      <c r="BC123" s="4"/>
    </row>
    <row r="124" spans="16:55" x14ac:dyDescent="0.2">
      <c r="P124"/>
      <c r="AG124" s="4"/>
      <c r="AH124" s="4"/>
      <c r="AI124" s="14"/>
      <c r="BC124" s="4"/>
    </row>
    <row r="125" spans="16:55" x14ac:dyDescent="0.2">
      <c r="P125"/>
      <c r="AG125" s="4"/>
      <c r="AH125" s="4"/>
      <c r="AI125" s="14"/>
      <c r="BC125" s="4"/>
    </row>
    <row r="126" spans="16:55" x14ac:dyDescent="0.2">
      <c r="P126"/>
      <c r="AG126" s="4"/>
      <c r="AH126" s="4"/>
      <c r="AI126" s="14"/>
      <c r="BC126" s="4"/>
    </row>
    <row r="127" spans="16:55" x14ac:dyDescent="0.2">
      <c r="P127"/>
      <c r="AG127" s="4"/>
      <c r="AH127" s="4"/>
      <c r="AI127" s="14"/>
      <c r="BC127" s="4"/>
    </row>
    <row r="128" spans="16:55" x14ac:dyDescent="0.2">
      <c r="P128"/>
      <c r="AG128" s="4"/>
      <c r="AH128" s="4"/>
      <c r="AI128" s="14"/>
      <c r="BC128" s="4"/>
    </row>
    <row r="129" spans="16:55" x14ac:dyDescent="0.2">
      <c r="P129"/>
      <c r="AG129" s="4"/>
      <c r="AH129" s="4"/>
      <c r="AI129" s="14"/>
      <c r="BC129" s="4"/>
    </row>
    <row r="130" spans="16:55" x14ac:dyDescent="0.2">
      <c r="P130"/>
      <c r="AG130" s="4"/>
      <c r="AH130" s="4"/>
      <c r="AI130" s="14"/>
      <c r="BC130" s="4"/>
    </row>
    <row r="131" spans="16:55" x14ac:dyDescent="0.2">
      <c r="P131"/>
      <c r="AG131" s="4"/>
      <c r="AH131" s="4"/>
      <c r="AI131" s="14"/>
      <c r="BC131" s="4"/>
    </row>
    <row r="132" spans="16:55" x14ac:dyDescent="0.2">
      <c r="P132"/>
      <c r="AG132" s="4"/>
      <c r="AH132" s="4"/>
      <c r="AI132" s="14"/>
      <c r="BC132" s="4"/>
    </row>
    <row r="133" spans="16:55" x14ac:dyDescent="0.2">
      <c r="P133"/>
      <c r="AG133" s="4"/>
      <c r="AH133" s="4"/>
      <c r="AI133" s="14"/>
      <c r="BC133" s="4"/>
    </row>
    <row r="134" spans="16:55" x14ac:dyDescent="0.2">
      <c r="P134"/>
      <c r="AG134" s="4"/>
      <c r="AH134" s="4"/>
      <c r="AI134" s="14"/>
      <c r="BC134" s="4"/>
    </row>
    <row r="135" spans="16:55" x14ac:dyDescent="0.2">
      <c r="P135"/>
      <c r="AG135" s="4"/>
      <c r="AH135" s="4"/>
      <c r="AI135" s="14"/>
      <c r="BC135" s="4"/>
    </row>
    <row r="136" spans="16:55" x14ac:dyDescent="0.2">
      <c r="P136"/>
      <c r="AG136" s="4"/>
      <c r="AH136" s="4"/>
      <c r="AI136" s="14"/>
      <c r="BC136" s="4"/>
    </row>
    <row r="137" spans="16:55" x14ac:dyDescent="0.2">
      <c r="P137"/>
      <c r="AG137" s="4"/>
      <c r="AH137" s="4"/>
      <c r="AI137" s="14"/>
      <c r="BC137" s="4"/>
    </row>
    <row r="138" spans="16:55" x14ac:dyDescent="0.2">
      <c r="P138"/>
      <c r="AG138" s="4"/>
      <c r="AH138" s="4"/>
      <c r="AI138" s="14"/>
      <c r="BC138" s="4"/>
    </row>
    <row r="139" spans="16:55" x14ac:dyDescent="0.2">
      <c r="P139"/>
      <c r="AG139" s="4"/>
      <c r="AH139" s="4"/>
      <c r="AI139" s="14"/>
      <c r="BC139" s="4"/>
    </row>
    <row r="140" spans="16:55" x14ac:dyDescent="0.2">
      <c r="P140"/>
      <c r="AG140" s="4"/>
      <c r="AH140" s="4"/>
      <c r="AI140" s="14"/>
      <c r="BC140" s="4"/>
    </row>
    <row r="141" spans="16:55" x14ac:dyDescent="0.2">
      <c r="P141"/>
      <c r="AG141" s="4"/>
      <c r="AH141" s="4"/>
      <c r="AI141" s="14"/>
      <c r="BC141" s="4"/>
    </row>
    <row r="142" spans="16:55" x14ac:dyDescent="0.2">
      <c r="P142"/>
      <c r="AG142" s="4"/>
      <c r="AH142" s="4"/>
      <c r="AI142" s="14"/>
      <c r="BC142" s="4"/>
    </row>
    <row r="143" spans="16:55" x14ac:dyDescent="0.2">
      <c r="P143"/>
      <c r="AG143" s="4"/>
      <c r="AH143" s="4"/>
      <c r="AI143" s="14"/>
      <c r="BC143" s="4"/>
    </row>
    <row r="144" spans="16:55" x14ac:dyDescent="0.2">
      <c r="P144"/>
      <c r="AG144" s="4"/>
      <c r="AH144" s="4"/>
      <c r="AI144" s="14"/>
      <c r="BC144" s="4"/>
    </row>
    <row r="145" spans="16:55" x14ac:dyDescent="0.2">
      <c r="P145"/>
      <c r="AG145" s="4"/>
      <c r="AH145" s="4"/>
      <c r="AI145" s="14"/>
      <c r="BC145" s="4"/>
    </row>
    <row r="146" spans="16:55" x14ac:dyDescent="0.2">
      <c r="P146"/>
      <c r="AG146" s="4"/>
      <c r="AH146" s="4"/>
      <c r="AI146" s="14"/>
      <c r="BC146" s="4"/>
    </row>
    <row r="147" spans="16:55" x14ac:dyDescent="0.2">
      <c r="P147"/>
      <c r="AG147" s="4"/>
      <c r="AH147" s="4"/>
      <c r="AI147" s="14"/>
      <c r="BC147" s="4"/>
    </row>
    <row r="148" spans="16:55" x14ac:dyDescent="0.2">
      <c r="P148"/>
      <c r="AG148" s="4"/>
      <c r="AH148" s="4"/>
      <c r="AI148" s="14"/>
      <c r="BC148" s="4"/>
    </row>
    <row r="149" spans="16:55" x14ac:dyDescent="0.2">
      <c r="P149"/>
      <c r="AG149" s="4"/>
      <c r="AH149" s="4"/>
      <c r="AI149" s="14"/>
      <c r="BC149" s="4"/>
    </row>
    <row r="150" spans="16:55" x14ac:dyDescent="0.2">
      <c r="P150"/>
      <c r="AG150" s="4"/>
      <c r="AH150" s="4"/>
      <c r="AI150" s="14"/>
      <c r="BC150" s="4"/>
    </row>
    <row r="151" spans="16:55" x14ac:dyDescent="0.2">
      <c r="P151"/>
      <c r="AG151" s="4"/>
      <c r="AH151" s="4"/>
      <c r="AI151" s="14"/>
      <c r="BC151" s="4"/>
    </row>
    <row r="152" spans="16:55" x14ac:dyDescent="0.2">
      <c r="P152"/>
      <c r="AG152" s="4"/>
      <c r="AH152" s="4"/>
      <c r="AI152" s="14"/>
      <c r="BC152" s="4"/>
    </row>
    <row r="153" spans="16:55" x14ac:dyDescent="0.2">
      <c r="P153"/>
      <c r="AG153" s="4"/>
      <c r="AH153" s="4"/>
      <c r="AI153" s="14"/>
      <c r="BC153" s="4"/>
    </row>
    <row r="154" spans="16:55" x14ac:dyDescent="0.2">
      <c r="P154"/>
      <c r="AG154" s="4"/>
      <c r="AH154" s="4"/>
      <c r="AI154" s="14"/>
      <c r="BC154" s="4"/>
    </row>
    <row r="155" spans="16:55" x14ac:dyDescent="0.2">
      <c r="P155"/>
      <c r="AG155" s="4"/>
      <c r="AH155" s="4"/>
      <c r="AI155" s="14"/>
      <c r="BC155" s="4"/>
    </row>
    <row r="156" spans="16:55" x14ac:dyDescent="0.2">
      <c r="P156"/>
      <c r="AG156" s="4"/>
      <c r="AH156" s="4"/>
      <c r="AI156" s="14"/>
      <c r="BC156" s="4"/>
    </row>
    <row r="157" spans="16:55" x14ac:dyDescent="0.2">
      <c r="P157"/>
      <c r="AG157" s="4"/>
      <c r="AH157" s="4"/>
      <c r="AI157" s="14"/>
      <c r="BC157" s="4"/>
    </row>
    <row r="158" spans="16:55" x14ac:dyDescent="0.2">
      <c r="P158"/>
      <c r="AG158" s="4"/>
      <c r="AH158" s="4"/>
      <c r="AI158" s="14"/>
      <c r="BC158" s="4"/>
    </row>
    <row r="159" spans="16:55" x14ac:dyDescent="0.2">
      <c r="P159"/>
      <c r="AG159" s="4"/>
      <c r="AH159" s="4"/>
      <c r="AI159" s="14"/>
      <c r="BC159" s="4"/>
    </row>
    <row r="160" spans="16:55" x14ac:dyDescent="0.2">
      <c r="P160"/>
      <c r="AG160" s="4"/>
      <c r="AH160" s="4"/>
      <c r="AI160" s="14"/>
      <c r="BC160" s="4"/>
    </row>
    <row r="161" spans="16:55" x14ac:dyDescent="0.2">
      <c r="P161"/>
      <c r="AG161" s="4"/>
      <c r="AH161" s="4"/>
      <c r="AI161" s="14"/>
      <c r="BC161" s="4"/>
    </row>
    <row r="162" spans="16:55" x14ac:dyDescent="0.2">
      <c r="P162"/>
      <c r="AG162" s="4"/>
      <c r="AH162" s="4"/>
      <c r="AI162" s="14"/>
      <c r="BC162" s="4"/>
    </row>
    <row r="163" spans="16:55" x14ac:dyDescent="0.2">
      <c r="P163"/>
      <c r="AG163" s="4"/>
      <c r="AH163" s="4"/>
      <c r="AI163" s="14"/>
      <c r="BC163" s="4"/>
    </row>
    <row r="164" spans="16:55" x14ac:dyDescent="0.2">
      <c r="P164"/>
      <c r="AG164" s="4"/>
      <c r="AH164" s="4"/>
      <c r="AI164" s="14"/>
      <c r="BC164" s="4"/>
    </row>
    <row r="165" spans="16:55" x14ac:dyDescent="0.2">
      <c r="P165"/>
      <c r="AG165" s="4"/>
      <c r="AH165" s="4"/>
      <c r="AI165" s="14"/>
      <c r="BC165" s="4"/>
    </row>
    <row r="166" spans="16:55" x14ac:dyDescent="0.2">
      <c r="P166"/>
      <c r="AG166" s="4"/>
      <c r="AH166" s="4"/>
      <c r="AI166" s="14"/>
      <c r="BC166" s="4"/>
    </row>
    <row r="167" spans="16:55" x14ac:dyDescent="0.2">
      <c r="P167"/>
      <c r="AG167" s="4"/>
      <c r="AH167" s="4"/>
      <c r="AI167" s="14"/>
      <c r="BC167" s="4"/>
    </row>
    <row r="168" spans="16:55" x14ac:dyDescent="0.2">
      <c r="P168"/>
      <c r="AG168" s="4"/>
      <c r="AH168" s="4"/>
      <c r="AI168" s="14"/>
      <c r="BC168" s="4"/>
    </row>
    <row r="169" spans="16:55" x14ac:dyDescent="0.2">
      <c r="P169"/>
      <c r="AG169" s="4"/>
      <c r="AH169" s="4"/>
      <c r="AI169" s="14"/>
      <c r="BC169" s="4"/>
    </row>
    <row r="170" spans="16:55" x14ac:dyDescent="0.2">
      <c r="P170"/>
      <c r="AG170" s="4"/>
      <c r="AH170" s="4"/>
      <c r="AI170" s="14"/>
      <c r="BC170" s="4"/>
    </row>
    <row r="171" spans="16:55" x14ac:dyDescent="0.2">
      <c r="P171"/>
      <c r="AG171" s="4"/>
      <c r="AH171" s="4"/>
      <c r="AI171" s="14"/>
      <c r="BC171" s="4"/>
    </row>
    <row r="172" spans="16:55" x14ac:dyDescent="0.2">
      <c r="P172"/>
      <c r="AG172" s="4"/>
      <c r="AH172" s="4"/>
      <c r="AI172" s="14"/>
      <c r="BC172" s="4"/>
    </row>
    <row r="173" spans="16:55" x14ac:dyDescent="0.2">
      <c r="P173"/>
      <c r="AG173" s="4"/>
      <c r="AH173" s="4"/>
      <c r="AI173" s="14"/>
      <c r="BC173" s="4"/>
    </row>
    <row r="174" spans="16:55" x14ac:dyDescent="0.2">
      <c r="P174"/>
      <c r="AG174" s="4"/>
      <c r="AH174" s="4"/>
      <c r="AI174" s="14"/>
      <c r="BC174" s="4"/>
    </row>
    <row r="175" spans="16:55" x14ac:dyDescent="0.2">
      <c r="P175"/>
      <c r="AG175" s="4"/>
      <c r="AH175" s="4"/>
      <c r="AI175" s="14"/>
      <c r="BC175" s="4"/>
    </row>
    <row r="176" spans="16:55" x14ac:dyDescent="0.2">
      <c r="P176"/>
      <c r="AG176" s="4"/>
      <c r="AH176" s="4"/>
      <c r="AI176" s="14"/>
      <c r="BC176" s="4"/>
    </row>
    <row r="177" spans="16:55" x14ac:dyDescent="0.2">
      <c r="P177"/>
      <c r="AG177" s="4"/>
      <c r="AH177" s="4"/>
      <c r="AI177" s="14"/>
      <c r="BC177" s="4"/>
    </row>
    <row r="178" spans="16:55" x14ac:dyDescent="0.2">
      <c r="P178"/>
      <c r="AG178" s="4"/>
      <c r="AH178" s="4"/>
      <c r="AI178" s="14"/>
      <c r="BC178" s="4"/>
    </row>
    <row r="179" spans="16:55" x14ac:dyDescent="0.2">
      <c r="P179"/>
      <c r="AG179" s="4"/>
      <c r="AH179" s="4"/>
      <c r="AI179" s="14"/>
      <c r="BC179" s="4"/>
    </row>
    <row r="180" spans="16:55" x14ac:dyDescent="0.2">
      <c r="P180"/>
      <c r="AG180" s="4"/>
      <c r="AH180" s="4"/>
      <c r="AI180" s="14"/>
      <c r="BC180" s="4"/>
    </row>
    <row r="181" spans="16:55" x14ac:dyDescent="0.2">
      <c r="P181"/>
      <c r="AG181" s="4"/>
      <c r="AH181" s="4"/>
      <c r="AI181" s="14"/>
      <c r="BC181" s="4"/>
    </row>
    <row r="182" spans="16:55" x14ac:dyDescent="0.2">
      <c r="P182"/>
      <c r="AG182" s="4"/>
      <c r="AH182" s="4"/>
      <c r="AI182" s="14"/>
      <c r="BC182" s="4"/>
    </row>
    <row r="183" spans="16:55" x14ac:dyDescent="0.2">
      <c r="P183"/>
      <c r="AG183" s="4"/>
      <c r="AH183" s="4"/>
      <c r="AI183" s="14"/>
      <c r="BC183" s="4"/>
    </row>
    <row r="184" spans="16:55" x14ac:dyDescent="0.2">
      <c r="P184"/>
      <c r="AG184" s="4"/>
      <c r="AH184" s="4"/>
      <c r="AI184" s="14"/>
      <c r="BC184" s="4"/>
    </row>
    <row r="185" spans="16:55" x14ac:dyDescent="0.2">
      <c r="P185"/>
      <c r="AG185" s="4"/>
      <c r="AH185" s="4"/>
      <c r="AI185" s="14"/>
      <c r="BC185" s="4"/>
    </row>
    <row r="186" spans="16:55" x14ac:dyDescent="0.2">
      <c r="P186"/>
      <c r="AG186" s="4"/>
      <c r="AH186" s="4"/>
      <c r="AI186" s="14"/>
      <c r="BC186" s="4"/>
    </row>
    <row r="187" spans="16:55" x14ac:dyDescent="0.2">
      <c r="P187"/>
      <c r="AG187" s="4"/>
      <c r="AH187" s="4"/>
      <c r="AI187" s="14"/>
      <c r="BC187" s="4"/>
    </row>
    <row r="188" spans="16:55" x14ac:dyDescent="0.2">
      <c r="P188"/>
      <c r="AG188" s="4"/>
      <c r="AH188" s="4"/>
      <c r="AI188" s="14"/>
      <c r="BC188" s="4"/>
    </row>
    <row r="189" spans="16:55" x14ac:dyDescent="0.2">
      <c r="P189"/>
      <c r="AG189" s="4"/>
      <c r="AH189" s="4"/>
      <c r="AI189" s="14"/>
      <c r="BC189" s="4"/>
    </row>
    <row r="190" spans="16:55" x14ac:dyDescent="0.2">
      <c r="P190"/>
      <c r="AG190" s="4"/>
      <c r="AH190" s="4"/>
      <c r="AI190" s="14"/>
      <c r="BC190" s="4"/>
    </row>
    <row r="191" spans="16:55" x14ac:dyDescent="0.2">
      <c r="P191"/>
      <c r="AG191" s="4"/>
      <c r="AH191" s="4"/>
      <c r="AI191" s="14"/>
      <c r="BC191" s="4"/>
    </row>
    <row r="192" spans="16:55" x14ac:dyDescent="0.2">
      <c r="P192"/>
      <c r="AG192" s="4"/>
      <c r="AH192" s="4"/>
      <c r="AI192" s="14"/>
      <c r="BC192" s="4"/>
    </row>
    <row r="193" spans="16:55" x14ac:dyDescent="0.2">
      <c r="P193"/>
      <c r="AG193" s="4"/>
      <c r="AH193" s="4"/>
      <c r="AI193" s="14"/>
      <c r="BC193" s="4"/>
    </row>
    <row r="194" spans="16:55" x14ac:dyDescent="0.2">
      <c r="P194"/>
      <c r="AG194" s="4"/>
      <c r="AH194" s="4"/>
      <c r="AI194" s="14"/>
      <c r="BC194" s="4"/>
    </row>
    <row r="195" spans="16:55" x14ac:dyDescent="0.2">
      <c r="P195"/>
      <c r="AG195" s="4"/>
      <c r="AH195" s="4"/>
      <c r="AI195" s="14"/>
      <c r="BC195" s="4"/>
    </row>
    <row r="196" spans="16:55" x14ac:dyDescent="0.2">
      <c r="P196"/>
      <c r="AG196" s="4"/>
      <c r="AH196" s="4"/>
      <c r="AI196" s="14"/>
      <c r="BC196" s="4"/>
    </row>
    <row r="197" spans="16:55" x14ac:dyDescent="0.2">
      <c r="P197"/>
      <c r="AG197" s="4"/>
      <c r="AH197" s="4"/>
      <c r="AI197" s="14"/>
      <c r="BC197" s="4"/>
    </row>
    <row r="198" spans="16:55" x14ac:dyDescent="0.2">
      <c r="P198"/>
      <c r="AG198" s="4"/>
      <c r="AH198" s="4"/>
      <c r="AI198" s="14"/>
      <c r="BC198" s="4"/>
    </row>
    <row r="199" spans="16:55" x14ac:dyDescent="0.2">
      <c r="P199"/>
      <c r="AG199" s="4"/>
      <c r="AH199" s="4"/>
      <c r="AI199" s="14"/>
      <c r="BC199" s="4"/>
    </row>
    <row r="200" spans="16:55" x14ac:dyDescent="0.2">
      <c r="P200"/>
      <c r="AG200" s="4"/>
      <c r="AH200" s="4"/>
      <c r="AI200" s="14"/>
      <c r="BC200" s="4"/>
    </row>
    <row r="201" spans="16:55" x14ac:dyDescent="0.2">
      <c r="P201"/>
      <c r="AG201" s="4"/>
      <c r="AH201" s="4"/>
      <c r="AI201" s="14"/>
      <c r="BC201" s="4"/>
    </row>
    <row r="202" spans="16:55" x14ac:dyDescent="0.2">
      <c r="P202"/>
      <c r="AG202" s="4"/>
      <c r="AH202" s="4"/>
      <c r="AI202" s="14"/>
      <c r="BC202" s="4"/>
    </row>
  </sheetData>
  <pageMargins left="0.7" right="0.7" top="0.75" bottom="0.75" header="0.3" footer="0.3"/>
  <pageSetup orientation="portrait" horizontalDpi="0" verticalDpi="0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D4C6BD61-2492-1B48-8640-EE7F44BD2FBE}">
          <x14:formula1>
            <xm:f>Lists!$BI:$BI</xm:f>
          </x14:formula1>
          <xm:sqref>G2:G201</xm:sqref>
        </x14:dataValidation>
        <x14:dataValidation type="list" allowBlank="1" showInputMessage="1" showErrorMessage="1" xr:uid="{F96B7B0B-A1E0-0441-9959-A79C46FEC7D1}">
          <x14:formula1>
            <xm:f>Lists!$BJ:$BJ</xm:f>
          </x14:formula1>
          <xm:sqref>H2:H201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F0E104-6AEB-6A4D-8F83-331F2C542107}">
  <sheetPr>
    <tabColor theme="7"/>
  </sheetPr>
  <dimension ref="A1:BC56"/>
  <sheetViews>
    <sheetView topLeftCell="S1" workbookViewId="0">
      <selection activeCell="U7" sqref="U7"/>
    </sheetView>
  </sheetViews>
  <sheetFormatPr baseColWidth="10" defaultRowHeight="16" x14ac:dyDescent="0.2"/>
  <cols>
    <col min="4" max="10" width="10.83203125" customWidth="1"/>
    <col min="11" max="11" width="20.5" customWidth="1"/>
    <col min="19" max="20" width="10.83203125" customWidth="1"/>
    <col min="21" max="21" width="32.33203125" customWidth="1"/>
    <col min="22" max="27" width="10.83203125" customWidth="1"/>
    <col min="28" max="29" width="10.83203125" style="40"/>
  </cols>
  <sheetData>
    <row r="1" spans="1:55" x14ac:dyDescent="0.2">
      <c r="A1" t="s">
        <v>840</v>
      </c>
      <c r="B1" s="39" t="s">
        <v>932</v>
      </c>
    </row>
    <row r="2" spans="1:55" x14ac:dyDescent="0.2">
      <c r="B2" s="37" t="s">
        <v>812</v>
      </c>
      <c r="C2" s="37" t="s">
        <v>248</v>
      </c>
      <c r="D2" s="37" t="s">
        <v>813</v>
      </c>
      <c r="E2" s="37" t="s">
        <v>814</v>
      </c>
      <c r="F2" s="37" t="s">
        <v>815</v>
      </c>
      <c r="G2" s="37" t="s">
        <v>793</v>
      </c>
      <c r="H2" s="37" t="s">
        <v>816</v>
      </c>
      <c r="I2" s="37" t="s">
        <v>817</v>
      </c>
      <c r="J2" s="37" t="s">
        <v>789</v>
      </c>
      <c r="K2" s="37" t="s">
        <v>818</v>
      </c>
      <c r="L2" s="37" t="s">
        <v>819</v>
      </c>
      <c r="M2" s="37" t="s">
        <v>820</v>
      </c>
      <c r="N2" s="37" t="s">
        <v>821</v>
      </c>
      <c r="O2" s="37" t="s">
        <v>822</v>
      </c>
      <c r="P2" s="37" t="s">
        <v>823</v>
      </c>
      <c r="Q2" s="37" t="s">
        <v>824</v>
      </c>
      <c r="R2" s="37" t="s">
        <v>825</v>
      </c>
      <c r="S2" s="37" t="s">
        <v>826</v>
      </c>
      <c r="T2" s="37" t="s">
        <v>827</v>
      </c>
      <c r="U2" s="37" t="s">
        <v>828</v>
      </c>
      <c r="V2" s="37" t="s">
        <v>829</v>
      </c>
      <c r="W2" s="37" t="s">
        <v>810</v>
      </c>
      <c r="X2" s="38" t="s">
        <v>830</v>
      </c>
      <c r="Y2" s="38" t="s">
        <v>831</v>
      </c>
      <c r="Z2" s="38" t="s">
        <v>832</v>
      </c>
      <c r="AA2" s="38"/>
      <c r="AB2" s="41" t="s">
        <v>833</v>
      </c>
      <c r="AC2" s="41" t="s">
        <v>903</v>
      </c>
      <c r="AD2" s="38" t="s">
        <v>841</v>
      </c>
      <c r="AE2" s="38" t="s">
        <v>842</v>
      </c>
      <c r="AF2" s="38" t="s">
        <v>843</v>
      </c>
      <c r="AG2" s="38" t="s">
        <v>844</v>
      </c>
      <c r="AH2" s="38" t="s">
        <v>845</v>
      </c>
      <c r="AI2" s="38" t="s">
        <v>846</v>
      </c>
      <c r="AJ2" s="38" t="s">
        <v>847</v>
      </c>
      <c r="AK2" s="38" t="s">
        <v>848</v>
      </c>
      <c r="AP2" t="s">
        <v>835</v>
      </c>
      <c r="AQ2" t="s">
        <v>836</v>
      </c>
      <c r="AR2" t="s">
        <v>837</v>
      </c>
      <c r="AS2" t="s">
        <v>834</v>
      </c>
      <c r="AT2" t="s">
        <v>838</v>
      </c>
      <c r="AU2" t="s">
        <v>839</v>
      </c>
      <c r="AX2" t="s">
        <v>835</v>
      </c>
      <c r="AY2" t="s">
        <v>836</v>
      </c>
      <c r="AZ2" t="s">
        <v>837</v>
      </c>
      <c r="BA2" t="s">
        <v>834</v>
      </c>
      <c r="BB2" t="s">
        <v>838</v>
      </c>
      <c r="BC2" t="s">
        <v>839</v>
      </c>
    </row>
    <row r="3" spans="1:55" x14ac:dyDescent="0.2">
      <c r="B3" s="39">
        <v>13457</v>
      </c>
      <c r="C3">
        <v>18991</v>
      </c>
      <c r="D3" t="s">
        <v>933</v>
      </c>
      <c r="E3" t="s">
        <v>934</v>
      </c>
      <c r="F3" t="s">
        <v>935</v>
      </c>
      <c r="G3" t="s">
        <v>849</v>
      </c>
      <c r="H3" t="s">
        <v>931</v>
      </c>
      <c r="I3" t="s">
        <v>521</v>
      </c>
      <c r="J3">
        <v>1</v>
      </c>
      <c r="K3" t="s">
        <v>936</v>
      </c>
      <c r="L3" t="s">
        <v>853</v>
      </c>
      <c r="M3">
        <v>1</v>
      </c>
      <c r="N3">
        <v>0</v>
      </c>
      <c r="O3">
        <v>0</v>
      </c>
      <c r="P3">
        <v>5</v>
      </c>
      <c r="Q3">
        <v>0</v>
      </c>
      <c r="R3">
        <v>0</v>
      </c>
      <c r="S3" t="s">
        <v>937</v>
      </c>
      <c r="T3" t="s">
        <v>851</v>
      </c>
      <c r="U3" t="s">
        <v>938</v>
      </c>
      <c r="V3" t="s">
        <v>939</v>
      </c>
      <c r="W3" t="s">
        <v>940</v>
      </c>
      <c r="X3">
        <v>45942</v>
      </c>
      <c r="Y3">
        <v>20252040</v>
      </c>
      <c r="Z3" t="s">
        <v>756</v>
      </c>
      <c r="AA3" t="s">
        <v>931</v>
      </c>
      <c r="AB3" s="40">
        <v>5</v>
      </c>
      <c r="AC3" s="40" t="str">
        <f>IF(G3="home","h",IF(G3="away","a",""))</f>
        <v>h</v>
      </c>
      <c r="AD3">
        <f>COUNTIFS(events!$X:$X,"="&amp;game_rosters!$J3,events!$AQ:$AQ,"="&amp;game_rosters!$G3,events!$K:$K,"=Goal")</f>
        <v>0</v>
      </c>
      <c r="AE3">
        <f>COUNTIFS(events!$X:$X,"="&amp;game_rosters!$J3,events!$AQ:$AQ,"="&amp;game_rosters!$G3,events!$K:$K,"=Penalty")</f>
        <v>0</v>
      </c>
      <c r="AF3">
        <f>COUNTIFS(events!$X:$X,"="&amp;game_rosters!$J3,events!$AQ:$AQ,"="&amp;game_rosters!$G3,events!$O:$O,"=AssistPrimary")</f>
        <v>0</v>
      </c>
      <c r="AG3">
        <f>COUNTIFS(events!$X:$X,"="&amp;game_rosters!$J3,events!$AQ:$AQ,"="&amp;game_rosters!$G3,events!$O:$O,"=AssistSecondary")</f>
        <v>0</v>
      </c>
      <c r="AH3">
        <f>AF3+AG3</f>
        <v>0</v>
      </c>
      <c r="AI3">
        <f>AD3-N3</f>
        <v>0</v>
      </c>
      <c r="AJ3">
        <f>(AE3*3)-Q3</f>
        <v>0</v>
      </c>
      <c r="AK3">
        <f>AH3-O3</f>
        <v>0</v>
      </c>
      <c r="AP3" t="e" cm="1" vm="2">
        <f t="array" ref="AP3">_xlfn._xlws.FILTER(events!$I:$I,(events!$K:$K="Goal")*(events!$AQ:$AQ="Home"))</f>
        <v>#VALUE!</v>
      </c>
      <c r="AQ3" t="e" cm="1" vm="2">
        <f t="array" ref="AQ3">_xlfn._xlws.FILTER(events!$I:$I,((events!O:O="AssistPrimary")+(events!O:O="AssistSecondary"))*(events!$AQ:$AQ="Home"))</f>
        <v>#VALUE!</v>
      </c>
      <c r="AR3" t="e" cm="1" vm="2">
        <f t="array" ref="AR3">_xlfn._xlws.FILTER(events!$I:$I,(events!$K:$K="Penalty")*(events!$AQ:$AQ="Home"))</f>
        <v>#VALUE!</v>
      </c>
      <c r="AS3" cm="1">
        <f t="array" ref="AS3">_xlfn._xlws.FILTER(events!$I:$I,(events!$K:$K="Goal")*(events!$AQ:$AQ="Away"))</f>
        <v>0</v>
      </c>
      <c r="AT3" cm="1">
        <f t="array" ref="AT3:AT4">_xlfn._xlws.FILTER(events!$I:$I,((events!O:O="AssistPrimary")+(events!O:O="AssistSecondary"))*(events!$AQ:$AQ="Away"))</f>
        <v>84</v>
      </c>
      <c r="AU3" t="str" cm="1">
        <f t="array" ref="AU3">IFERROR(_xlfn._xlws.FILTER(events!$I:$I,(events!$K:$K="Penalty")*(events!$AQ:$AQ="Away")),"")</f>
        <v/>
      </c>
      <c r="AX3" cm="1">
        <f t="array" ref="AX3">_xlfn._xlws.FILTER($J:$J,($G:$G="Home")*($N:$N&gt;=1))</f>
        <v>41</v>
      </c>
      <c r="AY3" cm="1">
        <f t="array" ref="AY3">_xlfn._xlws.FILTER($J:$J,($G:$G="Home")*($O:$O&gt;=1))</f>
        <v>16</v>
      </c>
      <c r="AZ3" t="e" cm="1" vm="2">
        <f t="array" ref="AZ3">_xlfn._xlws.FILTER($J:$J,($G:$G="Home")*($Q:$Q&gt;=1))</f>
        <v>#VALUE!</v>
      </c>
      <c r="BA3" cm="1">
        <f t="array" ref="BA3:BA5">_xlfn._xlws.FILTER($J:$J,($G:$G="Away")*($N:$N&gt;=1))</f>
        <v>70</v>
      </c>
      <c r="BB3" cm="1">
        <f t="array" ref="BB3:BB7">_xlfn._xlws.FILTER($J:$J,($G:$G="Away")*($O:$O&gt;=1))</f>
        <v>9</v>
      </c>
      <c r="BC3" t="str" cm="1">
        <f t="array" ref="BC3">IFERROR(_xlfn._xlws.FILTER($J:$J,($G:$G="Away")*($Q:$Q&gt;=1)),"")</f>
        <v/>
      </c>
    </row>
    <row r="4" spans="1:55" x14ac:dyDescent="0.2">
      <c r="B4">
        <v>13458</v>
      </c>
      <c r="C4">
        <v>18991</v>
      </c>
      <c r="D4" t="s">
        <v>933</v>
      </c>
      <c r="E4" t="s">
        <v>934</v>
      </c>
      <c r="F4" t="s">
        <v>941</v>
      </c>
      <c r="G4" t="s">
        <v>849</v>
      </c>
      <c r="H4" t="s">
        <v>931</v>
      </c>
      <c r="I4" t="s">
        <v>521</v>
      </c>
      <c r="J4">
        <v>10</v>
      </c>
      <c r="K4" t="s">
        <v>942</v>
      </c>
      <c r="L4" t="s">
        <v>852</v>
      </c>
      <c r="M4">
        <v>1</v>
      </c>
      <c r="N4">
        <v>0</v>
      </c>
      <c r="O4">
        <v>0</v>
      </c>
      <c r="P4">
        <v>0</v>
      </c>
      <c r="Q4">
        <v>0</v>
      </c>
      <c r="R4">
        <v>0</v>
      </c>
      <c r="S4" t="s">
        <v>937</v>
      </c>
      <c r="T4" t="s">
        <v>851</v>
      </c>
      <c r="U4" t="s">
        <v>943</v>
      </c>
      <c r="V4" t="s">
        <v>944</v>
      </c>
      <c r="W4" t="s">
        <v>945</v>
      </c>
      <c r="X4">
        <v>45942</v>
      </c>
      <c r="Y4">
        <v>20252040</v>
      </c>
      <c r="Z4" t="s">
        <v>756</v>
      </c>
      <c r="AA4" t="s">
        <v>931</v>
      </c>
      <c r="AB4" s="40">
        <v>2</v>
      </c>
      <c r="AC4" s="40" t="str">
        <f t="shared" ref="AC4:AC29" si="0">IF(G4="home","h",IF(G4="away","a",""))</f>
        <v>h</v>
      </c>
      <c r="AD4">
        <f>COUNTIFS(events!$X:$X,"="&amp;game_rosters!$J4,events!$AQ:$AQ,"="&amp;game_rosters!$G4,events!$K:$K,"=Goal")</f>
        <v>0</v>
      </c>
      <c r="AE4">
        <f>COUNTIFS(events!$X:$X,"="&amp;game_rosters!$J4,events!$AQ:$AQ,"="&amp;game_rosters!$G4,events!$K:$K,"=Penalty")</f>
        <v>0</v>
      </c>
      <c r="AF4">
        <f>COUNTIFS(events!$X:$X,"="&amp;game_rosters!$J4,events!$AQ:$AQ,"="&amp;game_rosters!$G4,events!$O:$O,"=AssistPrimary")</f>
        <v>0</v>
      </c>
      <c r="AG4">
        <f>COUNTIFS(events!$X:$X,"="&amp;game_rosters!$J4,events!$AQ:$AQ,"="&amp;game_rosters!$G4,events!$O:$O,"=AssistSecondary")</f>
        <v>0</v>
      </c>
      <c r="AH4">
        <f t="shared" ref="AH4:AH27" si="1">AF4+AG4</f>
        <v>0</v>
      </c>
      <c r="AI4">
        <f t="shared" ref="AI4:AI27" si="2">AD4-N4</f>
        <v>0</v>
      </c>
      <c r="AJ4">
        <f t="shared" ref="AJ4:AJ27" si="3">(AE4*3)-Q4</f>
        <v>0</v>
      </c>
      <c r="AK4">
        <f t="shared" ref="AK4:AK27" si="4">AH4-O4</f>
        <v>0</v>
      </c>
      <c r="AT4">
        <v>91</v>
      </c>
      <c r="BA4">
        <v>87</v>
      </c>
      <c r="BB4">
        <v>24</v>
      </c>
    </row>
    <row r="5" spans="1:55" x14ac:dyDescent="0.2">
      <c r="B5">
        <v>13459</v>
      </c>
      <c r="C5">
        <v>18991</v>
      </c>
      <c r="D5" t="s">
        <v>933</v>
      </c>
      <c r="E5" t="s">
        <v>934</v>
      </c>
      <c r="F5" t="s">
        <v>946</v>
      </c>
      <c r="G5" t="s">
        <v>849</v>
      </c>
      <c r="H5" t="s">
        <v>931</v>
      </c>
      <c r="I5" t="s">
        <v>521</v>
      </c>
      <c r="J5">
        <v>16</v>
      </c>
      <c r="K5" t="s">
        <v>947</v>
      </c>
      <c r="L5" t="s">
        <v>852</v>
      </c>
      <c r="M5">
        <v>1</v>
      </c>
      <c r="N5">
        <v>0</v>
      </c>
      <c r="O5">
        <v>1</v>
      </c>
      <c r="P5">
        <v>0</v>
      </c>
      <c r="Q5">
        <v>0</v>
      </c>
      <c r="R5">
        <v>0</v>
      </c>
      <c r="S5" t="s">
        <v>937</v>
      </c>
      <c r="T5" t="s">
        <v>851</v>
      </c>
      <c r="U5" t="s">
        <v>948</v>
      </c>
      <c r="V5" t="s">
        <v>949</v>
      </c>
      <c r="W5" t="s">
        <v>950</v>
      </c>
      <c r="X5">
        <v>45942</v>
      </c>
      <c r="Y5">
        <v>20252040</v>
      </c>
      <c r="AA5" t="s">
        <v>931</v>
      </c>
      <c r="AB5" s="40">
        <v>3</v>
      </c>
      <c r="AC5" s="40" t="str">
        <f t="shared" si="0"/>
        <v>h</v>
      </c>
      <c r="AD5">
        <f>COUNTIFS(events!$X:$X,"="&amp;game_rosters!$J5,events!$AQ:$AQ,"="&amp;game_rosters!$G5,events!$K:$K,"=Goal")</f>
        <v>0</v>
      </c>
      <c r="AE5">
        <f>COUNTIFS(events!$X:$X,"="&amp;game_rosters!$J5,events!$AQ:$AQ,"="&amp;game_rosters!$G5,events!$K:$K,"=Penalty")</f>
        <v>0</v>
      </c>
      <c r="AF5">
        <f>COUNTIFS(events!$X:$X,"="&amp;game_rosters!$J5,events!$AQ:$AQ,"="&amp;game_rosters!$G5,events!$O:$O,"=AssistPrimary")</f>
        <v>0</v>
      </c>
      <c r="AG5">
        <f>COUNTIFS(events!$X:$X,"="&amp;game_rosters!$J5,events!$AQ:$AQ,"="&amp;game_rosters!$G5,events!$O:$O,"=AssistSecondary")</f>
        <v>0</v>
      </c>
      <c r="AH5">
        <f t="shared" si="1"/>
        <v>0</v>
      </c>
      <c r="AI5">
        <f t="shared" si="2"/>
        <v>0</v>
      </c>
      <c r="AJ5">
        <f t="shared" si="3"/>
        <v>0</v>
      </c>
      <c r="AK5">
        <f t="shared" si="4"/>
        <v>-1</v>
      </c>
      <c r="BA5">
        <v>91</v>
      </c>
      <c r="BB5">
        <v>70</v>
      </c>
    </row>
    <row r="6" spans="1:55" x14ac:dyDescent="0.2">
      <c r="B6">
        <v>13460</v>
      </c>
      <c r="C6">
        <v>18991</v>
      </c>
      <c r="D6" t="s">
        <v>933</v>
      </c>
      <c r="E6" t="s">
        <v>934</v>
      </c>
      <c r="F6" t="s">
        <v>951</v>
      </c>
      <c r="G6" t="s">
        <v>849</v>
      </c>
      <c r="H6" t="s">
        <v>931</v>
      </c>
      <c r="I6" t="s">
        <v>521</v>
      </c>
      <c r="J6">
        <v>19</v>
      </c>
      <c r="K6" t="s">
        <v>952</v>
      </c>
      <c r="L6" t="s">
        <v>850</v>
      </c>
      <c r="M6">
        <v>1</v>
      </c>
      <c r="N6">
        <v>0</v>
      </c>
      <c r="O6">
        <v>0</v>
      </c>
      <c r="P6">
        <v>0</v>
      </c>
      <c r="Q6">
        <v>0</v>
      </c>
      <c r="R6">
        <v>0</v>
      </c>
      <c r="S6" t="s">
        <v>937</v>
      </c>
      <c r="T6" t="s">
        <v>851</v>
      </c>
      <c r="U6" t="s">
        <v>953</v>
      </c>
      <c r="V6" t="s">
        <v>954</v>
      </c>
      <c r="W6" t="s">
        <v>955</v>
      </c>
      <c r="X6">
        <v>45942</v>
      </c>
      <c r="Y6">
        <v>20252040</v>
      </c>
      <c r="Z6" t="s">
        <v>756</v>
      </c>
      <c r="AA6" t="s">
        <v>931</v>
      </c>
      <c r="AB6" s="40">
        <v>4</v>
      </c>
      <c r="AC6" s="40" t="str">
        <f t="shared" si="0"/>
        <v>h</v>
      </c>
      <c r="AD6">
        <f>COUNTIFS(events!$X:$X,"="&amp;game_rosters!$J6,events!$AQ:$AQ,"="&amp;game_rosters!$G6,events!$K:$K,"=Goal")</f>
        <v>0</v>
      </c>
      <c r="AE6">
        <f>COUNTIFS(events!$X:$X,"="&amp;game_rosters!$J6,events!$AQ:$AQ,"="&amp;game_rosters!$G6,events!$K:$K,"=Penalty")</f>
        <v>0</v>
      </c>
      <c r="AF6">
        <f>COUNTIFS(events!$X:$X,"="&amp;game_rosters!$J6,events!$AQ:$AQ,"="&amp;game_rosters!$G6,events!$O:$O,"=AssistPrimary")</f>
        <v>0</v>
      </c>
      <c r="AG6">
        <f>COUNTIFS(events!$X:$X,"="&amp;game_rosters!$J6,events!$AQ:$AQ,"="&amp;game_rosters!$G6,events!$O:$O,"=AssistSecondary")</f>
        <v>0</v>
      </c>
      <c r="AH6">
        <f t="shared" si="1"/>
        <v>0</v>
      </c>
      <c r="AI6">
        <f t="shared" si="2"/>
        <v>0</v>
      </c>
      <c r="AJ6">
        <f t="shared" si="3"/>
        <v>0</v>
      </c>
      <c r="AK6">
        <f t="shared" si="4"/>
        <v>0</v>
      </c>
      <c r="BB6">
        <v>84</v>
      </c>
    </row>
    <row r="7" spans="1:55" x14ac:dyDescent="0.2">
      <c r="B7">
        <v>13461</v>
      </c>
      <c r="C7">
        <v>18991</v>
      </c>
      <c r="D7" t="s">
        <v>933</v>
      </c>
      <c r="E7" t="s">
        <v>934</v>
      </c>
      <c r="F7" t="s">
        <v>956</v>
      </c>
      <c r="G7" t="s">
        <v>849</v>
      </c>
      <c r="H7" t="s">
        <v>931</v>
      </c>
      <c r="I7" t="s">
        <v>521</v>
      </c>
      <c r="J7">
        <v>21</v>
      </c>
      <c r="K7" t="s">
        <v>957</v>
      </c>
      <c r="L7" t="s">
        <v>852</v>
      </c>
      <c r="M7">
        <v>1</v>
      </c>
      <c r="N7">
        <v>0</v>
      </c>
      <c r="O7">
        <v>0</v>
      </c>
      <c r="P7">
        <v>0</v>
      </c>
      <c r="Q7">
        <v>0</v>
      </c>
      <c r="R7">
        <v>0</v>
      </c>
      <c r="S7" t="s">
        <v>937</v>
      </c>
      <c r="T7" t="s">
        <v>851</v>
      </c>
      <c r="U7" t="s">
        <v>958</v>
      </c>
      <c r="V7" t="s">
        <v>959</v>
      </c>
      <c r="W7" t="s">
        <v>960</v>
      </c>
      <c r="X7">
        <v>45942</v>
      </c>
      <c r="Y7">
        <v>20252040</v>
      </c>
      <c r="Z7" t="s">
        <v>756</v>
      </c>
      <c r="AA7" t="s">
        <v>931</v>
      </c>
      <c r="AB7" s="40">
        <v>5</v>
      </c>
      <c r="AC7" s="40" t="str">
        <f t="shared" si="0"/>
        <v>h</v>
      </c>
      <c r="AD7">
        <f>COUNTIFS(events!$X:$X,"="&amp;game_rosters!$J7,events!$AQ:$AQ,"="&amp;game_rosters!$G7,events!$K:$K,"=Goal")</f>
        <v>0</v>
      </c>
      <c r="AE7">
        <f>COUNTIFS(events!$X:$X,"="&amp;game_rosters!$J7,events!$AQ:$AQ,"="&amp;game_rosters!$G7,events!$K:$K,"=Penalty")</f>
        <v>0</v>
      </c>
      <c r="AF7">
        <f>COUNTIFS(events!$X:$X,"="&amp;game_rosters!$J7,events!$AQ:$AQ,"="&amp;game_rosters!$G7,events!$O:$O,"=AssistPrimary")</f>
        <v>0</v>
      </c>
      <c r="AG7">
        <f>COUNTIFS(events!$X:$X,"="&amp;game_rosters!$J7,events!$AQ:$AQ,"="&amp;game_rosters!$G7,events!$O:$O,"=AssistSecondary")</f>
        <v>0</v>
      </c>
      <c r="AH7">
        <f t="shared" si="1"/>
        <v>0</v>
      </c>
      <c r="AI7">
        <f t="shared" si="2"/>
        <v>0</v>
      </c>
      <c r="AJ7">
        <f t="shared" si="3"/>
        <v>0</v>
      </c>
      <c r="AK7">
        <f t="shared" si="4"/>
        <v>0</v>
      </c>
      <c r="BB7">
        <v>91</v>
      </c>
    </row>
    <row r="8" spans="1:55" x14ac:dyDescent="0.2">
      <c r="B8">
        <v>13462</v>
      </c>
      <c r="C8">
        <v>18991</v>
      </c>
      <c r="D8" t="s">
        <v>933</v>
      </c>
      <c r="E8" t="s">
        <v>934</v>
      </c>
      <c r="F8" t="s">
        <v>961</v>
      </c>
      <c r="G8" t="s">
        <v>849</v>
      </c>
      <c r="H8" t="s">
        <v>931</v>
      </c>
      <c r="I8" t="s">
        <v>521</v>
      </c>
      <c r="J8">
        <v>37</v>
      </c>
      <c r="K8" t="s">
        <v>962</v>
      </c>
      <c r="L8" t="s">
        <v>852</v>
      </c>
      <c r="M8">
        <v>1</v>
      </c>
      <c r="N8">
        <v>0</v>
      </c>
      <c r="O8">
        <v>0</v>
      </c>
      <c r="P8">
        <v>0</v>
      </c>
      <c r="Q8">
        <v>0</v>
      </c>
      <c r="R8">
        <v>0</v>
      </c>
      <c r="S8" t="s">
        <v>937</v>
      </c>
      <c r="T8" t="s">
        <v>851</v>
      </c>
      <c r="U8" t="s">
        <v>963</v>
      </c>
      <c r="V8" t="s">
        <v>964</v>
      </c>
      <c r="W8" t="s">
        <v>965</v>
      </c>
      <c r="X8">
        <v>45942</v>
      </c>
      <c r="Y8">
        <v>20252040</v>
      </c>
      <c r="Z8" t="s">
        <v>756</v>
      </c>
      <c r="AA8" t="s">
        <v>931</v>
      </c>
      <c r="AB8" s="40">
        <v>4</v>
      </c>
      <c r="AC8" s="40" t="str">
        <f t="shared" si="0"/>
        <v>h</v>
      </c>
      <c r="AD8">
        <f>COUNTIFS(events!$X:$X,"="&amp;game_rosters!$J8,events!$AQ:$AQ,"="&amp;game_rosters!$G8,events!$K:$K,"=Goal")</f>
        <v>0</v>
      </c>
      <c r="AE8">
        <f>COUNTIFS(events!$X:$X,"="&amp;game_rosters!$J8,events!$AQ:$AQ,"="&amp;game_rosters!$G8,events!$K:$K,"=Penalty")</f>
        <v>0</v>
      </c>
      <c r="AF8">
        <f>COUNTIFS(events!$X:$X,"="&amp;game_rosters!$J8,events!$AQ:$AQ,"="&amp;game_rosters!$G8,events!$O:$O,"=AssistPrimary")</f>
        <v>0</v>
      </c>
      <c r="AG8">
        <f>COUNTIFS(events!$X:$X,"="&amp;game_rosters!$J8,events!$AQ:$AQ,"="&amp;game_rosters!$G8,events!$O:$O,"=AssistSecondary")</f>
        <v>0</v>
      </c>
      <c r="AH8">
        <f t="shared" si="1"/>
        <v>0</v>
      </c>
      <c r="AI8">
        <f t="shared" si="2"/>
        <v>0</v>
      </c>
      <c r="AJ8">
        <f t="shared" si="3"/>
        <v>0</v>
      </c>
      <c r="AK8">
        <f t="shared" si="4"/>
        <v>0</v>
      </c>
    </row>
    <row r="9" spans="1:55" x14ac:dyDescent="0.2">
      <c r="B9">
        <v>13463</v>
      </c>
      <c r="C9">
        <v>18991</v>
      </c>
      <c r="D9" t="s">
        <v>933</v>
      </c>
      <c r="E9" t="s">
        <v>934</v>
      </c>
      <c r="F9" t="s">
        <v>966</v>
      </c>
      <c r="G9" t="s">
        <v>849</v>
      </c>
      <c r="H9" t="s">
        <v>931</v>
      </c>
      <c r="I9" t="s">
        <v>521</v>
      </c>
      <c r="J9">
        <v>41</v>
      </c>
      <c r="K9" t="s">
        <v>967</v>
      </c>
      <c r="L9" t="s">
        <v>850</v>
      </c>
      <c r="M9">
        <v>1</v>
      </c>
      <c r="N9">
        <v>1</v>
      </c>
      <c r="O9">
        <v>0</v>
      </c>
      <c r="P9">
        <v>0</v>
      </c>
      <c r="Q9">
        <v>0</v>
      </c>
      <c r="R9">
        <v>0</v>
      </c>
      <c r="S9" t="s">
        <v>937</v>
      </c>
      <c r="T9" t="s">
        <v>851</v>
      </c>
      <c r="U9" t="s">
        <v>968</v>
      </c>
      <c r="V9" t="s">
        <v>969</v>
      </c>
      <c r="W9" t="s">
        <v>970</v>
      </c>
      <c r="X9">
        <v>45942</v>
      </c>
      <c r="Y9">
        <v>20252040</v>
      </c>
      <c r="Z9" t="s">
        <v>756</v>
      </c>
      <c r="AA9" t="s">
        <v>931</v>
      </c>
      <c r="AB9" s="40">
        <v>4</v>
      </c>
      <c r="AC9" s="40" t="str">
        <f t="shared" si="0"/>
        <v>h</v>
      </c>
      <c r="AD9">
        <f>COUNTIFS(events!$X:$X,"="&amp;game_rosters!$J9,events!$AQ:$AQ,"="&amp;game_rosters!$G9,events!$K:$K,"=Goal")</f>
        <v>0</v>
      </c>
      <c r="AE9">
        <f>COUNTIFS(events!$X:$X,"="&amp;game_rosters!$J9,events!$AQ:$AQ,"="&amp;game_rosters!$G9,events!$K:$K,"=Penalty")</f>
        <v>0</v>
      </c>
      <c r="AF9">
        <f>COUNTIFS(events!$X:$X,"="&amp;game_rosters!$J9,events!$AQ:$AQ,"="&amp;game_rosters!$G9,events!$O:$O,"=AssistPrimary")</f>
        <v>0</v>
      </c>
      <c r="AG9">
        <f>COUNTIFS(events!$X:$X,"="&amp;game_rosters!$J9,events!$AQ:$AQ,"="&amp;game_rosters!$G9,events!$O:$O,"=AssistSecondary")</f>
        <v>0</v>
      </c>
      <c r="AH9">
        <f t="shared" si="1"/>
        <v>0</v>
      </c>
      <c r="AI9">
        <f>AD9-N9</f>
        <v>-1</v>
      </c>
      <c r="AJ9">
        <f t="shared" si="3"/>
        <v>0</v>
      </c>
      <c r="AK9">
        <f t="shared" si="4"/>
        <v>0</v>
      </c>
    </row>
    <row r="10" spans="1:55" x14ac:dyDescent="0.2">
      <c r="B10">
        <v>13464</v>
      </c>
      <c r="C10">
        <v>18991</v>
      </c>
      <c r="D10" t="s">
        <v>933</v>
      </c>
      <c r="E10" t="s">
        <v>934</v>
      </c>
      <c r="F10" t="s">
        <v>971</v>
      </c>
      <c r="G10" t="s">
        <v>849</v>
      </c>
      <c r="H10" t="s">
        <v>931</v>
      </c>
      <c r="I10" t="s">
        <v>521</v>
      </c>
      <c r="J10">
        <v>57</v>
      </c>
      <c r="K10" t="s">
        <v>972</v>
      </c>
      <c r="L10" t="s">
        <v>850</v>
      </c>
      <c r="M10">
        <v>1</v>
      </c>
      <c r="N10">
        <v>0</v>
      </c>
      <c r="O10">
        <v>0</v>
      </c>
      <c r="P10">
        <v>0</v>
      </c>
      <c r="Q10">
        <v>0</v>
      </c>
      <c r="R10">
        <v>0</v>
      </c>
      <c r="S10" t="s">
        <v>937</v>
      </c>
      <c r="T10" t="s">
        <v>851</v>
      </c>
      <c r="U10" t="s">
        <v>973</v>
      </c>
      <c r="V10" t="s">
        <v>974</v>
      </c>
      <c r="W10" t="s">
        <v>975</v>
      </c>
      <c r="X10">
        <v>45942</v>
      </c>
      <c r="Y10">
        <v>20252040</v>
      </c>
      <c r="Z10" t="s">
        <v>756</v>
      </c>
      <c r="AA10" t="s">
        <v>931</v>
      </c>
      <c r="AB10" s="40">
        <v>5</v>
      </c>
      <c r="AC10" s="40" t="str">
        <f t="shared" si="0"/>
        <v>h</v>
      </c>
      <c r="AD10">
        <f>COUNTIFS(events!$X:$X,"="&amp;game_rosters!$J10,events!$AQ:$AQ,"="&amp;game_rosters!$G10,events!$K:$K,"=Goal")</f>
        <v>0</v>
      </c>
      <c r="AE10">
        <f>COUNTIFS(events!$X:$X,"="&amp;game_rosters!$J10,events!$AQ:$AQ,"="&amp;game_rosters!$G10,events!$K:$K,"=Penalty")</f>
        <v>0</v>
      </c>
      <c r="AF10">
        <f>COUNTIFS(events!$X:$X,"="&amp;game_rosters!$J10,events!$AQ:$AQ,"="&amp;game_rosters!$G10,events!$O:$O,"=AssistPrimary")</f>
        <v>0</v>
      </c>
      <c r="AG10">
        <f>COUNTIFS(events!$X:$X,"="&amp;game_rosters!$J10,events!$AQ:$AQ,"="&amp;game_rosters!$G10,events!$O:$O,"=AssistSecondary")</f>
        <v>0</v>
      </c>
      <c r="AH10">
        <f t="shared" si="1"/>
        <v>0</v>
      </c>
      <c r="AI10">
        <f t="shared" si="2"/>
        <v>0</v>
      </c>
      <c r="AJ10">
        <f t="shared" si="3"/>
        <v>0</v>
      </c>
      <c r="AK10">
        <f t="shared" si="4"/>
        <v>0</v>
      </c>
    </row>
    <row r="11" spans="1:55" x14ac:dyDescent="0.2">
      <c r="B11">
        <v>13465</v>
      </c>
      <c r="C11">
        <v>18991</v>
      </c>
      <c r="D11" t="s">
        <v>933</v>
      </c>
      <c r="E11" t="s">
        <v>934</v>
      </c>
      <c r="F11" t="s">
        <v>976</v>
      </c>
      <c r="G11" t="s">
        <v>849</v>
      </c>
      <c r="H11" t="s">
        <v>931</v>
      </c>
      <c r="I11" t="s">
        <v>521</v>
      </c>
      <c r="J11">
        <v>69</v>
      </c>
      <c r="K11" t="s">
        <v>977</v>
      </c>
      <c r="L11" t="s">
        <v>852</v>
      </c>
      <c r="M11">
        <v>1</v>
      </c>
      <c r="N11">
        <v>0</v>
      </c>
      <c r="O11">
        <v>0</v>
      </c>
      <c r="P11">
        <v>0</v>
      </c>
      <c r="Q11">
        <v>0</v>
      </c>
      <c r="R11">
        <v>0</v>
      </c>
      <c r="S11" t="s">
        <v>937</v>
      </c>
      <c r="T11" t="s">
        <v>851</v>
      </c>
      <c r="U11" t="s">
        <v>978</v>
      </c>
      <c r="V11" t="s">
        <v>979</v>
      </c>
      <c r="W11" t="s">
        <v>980</v>
      </c>
      <c r="X11">
        <v>45942</v>
      </c>
      <c r="Y11">
        <v>20252040</v>
      </c>
      <c r="Z11" t="s">
        <v>756</v>
      </c>
      <c r="AA11" t="s">
        <v>931</v>
      </c>
      <c r="AB11" s="40">
        <v>3</v>
      </c>
      <c r="AC11" s="40" t="str">
        <f t="shared" si="0"/>
        <v>h</v>
      </c>
      <c r="AD11">
        <f>COUNTIFS(events!$X:$X,"="&amp;game_rosters!$J11,events!$AQ:$AQ,"="&amp;game_rosters!$G11,events!$K:$K,"=Goal")</f>
        <v>0</v>
      </c>
      <c r="AE11">
        <f>COUNTIFS(events!$X:$X,"="&amp;game_rosters!$J11,events!$AQ:$AQ,"="&amp;game_rosters!$G11,events!$K:$K,"=Penalty")</f>
        <v>0</v>
      </c>
      <c r="AF11">
        <f>COUNTIFS(events!$X:$X,"="&amp;game_rosters!$J11,events!$AQ:$AQ,"="&amp;game_rosters!$G11,events!$O:$O,"=AssistPrimary")</f>
        <v>0</v>
      </c>
      <c r="AG11">
        <f>COUNTIFS(events!$X:$X,"="&amp;game_rosters!$J11,events!$AQ:$AQ,"="&amp;game_rosters!$G11,events!$O:$O,"=AssistSecondary")</f>
        <v>0</v>
      </c>
      <c r="AH11">
        <f t="shared" si="1"/>
        <v>0</v>
      </c>
      <c r="AI11">
        <f t="shared" si="2"/>
        <v>0</v>
      </c>
      <c r="AJ11">
        <f t="shared" si="3"/>
        <v>0</v>
      </c>
      <c r="AK11">
        <f t="shared" si="4"/>
        <v>0</v>
      </c>
    </row>
    <row r="12" spans="1:55" x14ac:dyDescent="0.2">
      <c r="B12">
        <v>13466</v>
      </c>
      <c r="C12">
        <v>18991</v>
      </c>
      <c r="D12" t="s">
        <v>933</v>
      </c>
      <c r="E12" t="s">
        <v>934</v>
      </c>
      <c r="F12" t="s">
        <v>981</v>
      </c>
      <c r="G12" t="s">
        <v>849</v>
      </c>
      <c r="H12" t="s">
        <v>931</v>
      </c>
      <c r="I12" t="s">
        <v>521</v>
      </c>
      <c r="J12">
        <v>71</v>
      </c>
      <c r="K12" t="s">
        <v>982</v>
      </c>
      <c r="L12" t="s">
        <v>852</v>
      </c>
      <c r="M12">
        <v>1</v>
      </c>
      <c r="N12">
        <v>0</v>
      </c>
      <c r="O12">
        <v>0</v>
      </c>
      <c r="P12">
        <v>0</v>
      </c>
      <c r="Q12">
        <v>0</v>
      </c>
      <c r="R12">
        <v>0</v>
      </c>
      <c r="S12" t="s">
        <v>937</v>
      </c>
      <c r="T12" t="s">
        <v>851</v>
      </c>
      <c r="U12" t="s">
        <v>983</v>
      </c>
      <c r="V12" t="s">
        <v>984</v>
      </c>
      <c r="W12" t="s">
        <v>985</v>
      </c>
      <c r="X12">
        <v>45942</v>
      </c>
      <c r="Y12">
        <v>20252040</v>
      </c>
      <c r="Z12" t="s">
        <v>756</v>
      </c>
      <c r="AA12" t="s">
        <v>931</v>
      </c>
      <c r="AB12" s="40">
        <v>4</v>
      </c>
      <c r="AC12" s="40" t="str">
        <f t="shared" si="0"/>
        <v>h</v>
      </c>
      <c r="AD12">
        <f>COUNTIFS(events!$X:$X,"="&amp;game_rosters!$J12,events!$AQ:$AQ,"="&amp;game_rosters!$G12,events!$K:$K,"=Goal")</f>
        <v>0</v>
      </c>
      <c r="AE12">
        <f>COUNTIFS(events!$X:$X,"="&amp;game_rosters!$J12,events!$AQ:$AQ,"="&amp;game_rosters!$G12,events!$K:$K,"=Penalty")</f>
        <v>0</v>
      </c>
      <c r="AF12">
        <f>COUNTIFS(events!$X:$X,"="&amp;game_rosters!$J12,events!$AQ:$AQ,"="&amp;game_rosters!$G12,events!$O:$O,"=AssistPrimary")</f>
        <v>0</v>
      </c>
      <c r="AG12">
        <f>COUNTIFS(events!$X:$X,"="&amp;game_rosters!$J12,events!$AQ:$AQ,"="&amp;game_rosters!$G12,events!$O:$O,"=AssistSecondary")</f>
        <v>0</v>
      </c>
      <c r="AH12">
        <f t="shared" si="1"/>
        <v>0</v>
      </c>
      <c r="AI12">
        <f t="shared" si="2"/>
        <v>0</v>
      </c>
      <c r="AJ12">
        <f t="shared" si="3"/>
        <v>0</v>
      </c>
      <c r="AK12">
        <f t="shared" si="4"/>
        <v>0</v>
      </c>
    </row>
    <row r="13" spans="1:55" x14ac:dyDescent="0.2">
      <c r="B13">
        <v>13467</v>
      </c>
      <c r="C13">
        <v>18991</v>
      </c>
      <c r="D13" t="s">
        <v>933</v>
      </c>
      <c r="E13" t="s">
        <v>934</v>
      </c>
      <c r="F13" t="s">
        <v>986</v>
      </c>
      <c r="G13" t="s">
        <v>849</v>
      </c>
      <c r="H13" t="s">
        <v>931</v>
      </c>
      <c r="I13" t="s">
        <v>521</v>
      </c>
      <c r="J13">
        <v>73</v>
      </c>
      <c r="K13" t="s">
        <v>987</v>
      </c>
      <c r="L13" t="s">
        <v>852</v>
      </c>
      <c r="M13">
        <v>1</v>
      </c>
      <c r="N13">
        <v>0</v>
      </c>
      <c r="O13">
        <v>0</v>
      </c>
      <c r="P13">
        <v>0</v>
      </c>
      <c r="Q13">
        <v>0</v>
      </c>
      <c r="R13">
        <v>0</v>
      </c>
      <c r="S13" t="s">
        <v>937</v>
      </c>
      <c r="T13" t="s">
        <v>851</v>
      </c>
      <c r="U13" t="s">
        <v>988</v>
      </c>
      <c r="V13" t="s">
        <v>989</v>
      </c>
      <c r="W13" t="s">
        <v>990</v>
      </c>
      <c r="X13">
        <v>45942</v>
      </c>
      <c r="Y13">
        <v>20252040</v>
      </c>
      <c r="Z13" t="s">
        <v>756</v>
      </c>
      <c r="AA13" t="s">
        <v>931</v>
      </c>
      <c r="AB13" s="40">
        <v>5</v>
      </c>
      <c r="AC13" s="40" t="str">
        <f t="shared" si="0"/>
        <v>h</v>
      </c>
      <c r="AD13">
        <f>COUNTIFS(events!$X:$X,"="&amp;game_rosters!$J13,events!$AQ:$AQ,"="&amp;game_rosters!$G13,events!$K:$K,"=Goal")</f>
        <v>0</v>
      </c>
      <c r="AE13">
        <f>COUNTIFS(events!$X:$X,"="&amp;game_rosters!$J13,events!$AQ:$AQ,"="&amp;game_rosters!$G13,events!$K:$K,"=Penalty")</f>
        <v>0</v>
      </c>
      <c r="AF13">
        <f>COUNTIFS(events!$X:$X,"="&amp;game_rosters!$J13,events!$AQ:$AQ,"="&amp;game_rosters!$G13,events!$O:$O,"=AssistPrimary")</f>
        <v>0</v>
      </c>
      <c r="AG13">
        <f>COUNTIFS(events!$X:$X,"="&amp;game_rosters!$J13,events!$AQ:$AQ,"="&amp;game_rosters!$G13,events!$O:$O,"=AssistSecondary")</f>
        <v>0</v>
      </c>
      <c r="AH13">
        <f t="shared" si="1"/>
        <v>0</v>
      </c>
      <c r="AI13">
        <f t="shared" si="2"/>
        <v>0</v>
      </c>
      <c r="AJ13">
        <f t="shared" si="3"/>
        <v>0</v>
      </c>
      <c r="AK13">
        <f t="shared" si="4"/>
        <v>0</v>
      </c>
    </row>
    <row r="14" spans="1:55" x14ac:dyDescent="0.2">
      <c r="B14">
        <v>13468</v>
      </c>
      <c r="C14">
        <v>18991</v>
      </c>
      <c r="D14" t="s">
        <v>933</v>
      </c>
      <c r="E14" t="s">
        <v>934</v>
      </c>
      <c r="F14" t="s">
        <v>991</v>
      </c>
      <c r="G14" t="s">
        <v>849</v>
      </c>
      <c r="H14" t="s">
        <v>931</v>
      </c>
      <c r="I14" t="s">
        <v>521</v>
      </c>
      <c r="J14">
        <v>90</v>
      </c>
      <c r="K14" t="s">
        <v>992</v>
      </c>
      <c r="L14" t="s">
        <v>852</v>
      </c>
      <c r="M14">
        <v>1</v>
      </c>
      <c r="N14">
        <v>0</v>
      </c>
      <c r="O14">
        <v>0</v>
      </c>
      <c r="P14">
        <v>0</v>
      </c>
      <c r="Q14">
        <v>0</v>
      </c>
      <c r="R14">
        <v>0</v>
      </c>
      <c r="S14" t="s">
        <v>937</v>
      </c>
      <c r="T14" t="s">
        <v>851</v>
      </c>
      <c r="U14" t="s">
        <v>993</v>
      </c>
      <c r="V14" t="s">
        <v>994</v>
      </c>
      <c r="W14" t="s">
        <v>995</v>
      </c>
      <c r="X14">
        <v>45942</v>
      </c>
      <c r="Y14">
        <v>20252040</v>
      </c>
      <c r="Z14" t="s">
        <v>756</v>
      </c>
      <c r="AA14" t="s">
        <v>931</v>
      </c>
      <c r="AB14" s="40">
        <v>2</v>
      </c>
      <c r="AC14" s="40" t="str">
        <f t="shared" si="0"/>
        <v>h</v>
      </c>
      <c r="AD14">
        <f>COUNTIFS(events!$X:$X,"="&amp;game_rosters!$J14,events!$AQ:$AQ,"="&amp;game_rosters!$G14,events!$K:$K,"=Goal")</f>
        <v>0</v>
      </c>
      <c r="AE14">
        <f>COUNTIFS(events!$X:$X,"="&amp;game_rosters!$J14,events!$AQ:$AQ,"="&amp;game_rosters!$G14,events!$K:$K,"=Penalty")</f>
        <v>0</v>
      </c>
      <c r="AF14">
        <f>COUNTIFS(events!$X:$X,"="&amp;game_rosters!$J14,events!$AQ:$AQ,"="&amp;game_rosters!$G14,events!$O:$O,"=AssistPrimary")</f>
        <v>0</v>
      </c>
      <c r="AG14">
        <f>COUNTIFS(events!$X:$X,"="&amp;game_rosters!$J14,events!$AQ:$AQ,"="&amp;game_rosters!$G14,events!$O:$O,"=AssistSecondary")</f>
        <v>0</v>
      </c>
      <c r="AH14">
        <f t="shared" si="1"/>
        <v>0</v>
      </c>
      <c r="AI14">
        <f t="shared" si="2"/>
        <v>0</v>
      </c>
      <c r="AJ14">
        <f t="shared" si="3"/>
        <v>0</v>
      </c>
      <c r="AK14">
        <f t="shared" si="4"/>
        <v>0</v>
      </c>
    </row>
    <row r="15" spans="1:55" x14ac:dyDescent="0.2">
      <c r="B15">
        <v>13469</v>
      </c>
      <c r="C15">
        <v>18991</v>
      </c>
      <c r="D15" t="s">
        <v>934</v>
      </c>
      <c r="E15" t="s">
        <v>933</v>
      </c>
      <c r="F15" t="s">
        <v>996</v>
      </c>
      <c r="G15" t="s">
        <v>854</v>
      </c>
      <c r="H15" t="s">
        <v>521</v>
      </c>
      <c r="I15" t="s">
        <v>931</v>
      </c>
      <c r="J15">
        <v>9</v>
      </c>
      <c r="K15" t="s">
        <v>855</v>
      </c>
      <c r="L15" t="s">
        <v>850</v>
      </c>
      <c r="M15">
        <v>1</v>
      </c>
      <c r="N15">
        <v>0</v>
      </c>
      <c r="O15">
        <v>1</v>
      </c>
      <c r="P15">
        <v>0</v>
      </c>
      <c r="Q15">
        <v>0</v>
      </c>
      <c r="R15">
        <v>0</v>
      </c>
      <c r="S15" t="s">
        <v>851</v>
      </c>
      <c r="T15" t="s">
        <v>937</v>
      </c>
      <c r="U15" t="s">
        <v>997</v>
      </c>
      <c r="V15" t="s">
        <v>856</v>
      </c>
      <c r="W15" t="s">
        <v>857</v>
      </c>
      <c r="X15">
        <v>45942</v>
      </c>
      <c r="Y15">
        <v>20252040</v>
      </c>
      <c r="Z15" t="s">
        <v>756</v>
      </c>
      <c r="AA15" t="s">
        <v>521</v>
      </c>
      <c r="AB15" s="40">
        <v>4</v>
      </c>
      <c r="AC15" s="40" t="str">
        <f t="shared" si="0"/>
        <v>a</v>
      </c>
      <c r="AD15">
        <f>COUNTIFS(events!$X:$X,"="&amp;game_rosters!$J15,events!$AQ:$AQ,"="&amp;game_rosters!$G15,events!$K:$K,"=Goal")</f>
        <v>0</v>
      </c>
      <c r="AE15">
        <f>COUNTIFS(events!$X:$X,"="&amp;game_rosters!$J15,events!$AQ:$AQ,"="&amp;game_rosters!$G15,events!$K:$K,"=Penalty")</f>
        <v>0</v>
      </c>
      <c r="AF15">
        <f>COUNTIFS(events!$X:$X,"="&amp;game_rosters!$J15,events!$AQ:$AQ,"="&amp;game_rosters!$G15,events!$O:$O,"=AssistPrimary")</f>
        <v>0</v>
      </c>
      <c r="AG15">
        <f>COUNTIFS(events!$X:$X,"="&amp;game_rosters!$J15,events!$AQ:$AQ,"="&amp;game_rosters!$G15,events!$O:$O,"=AssistSecondary")</f>
        <v>0</v>
      </c>
      <c r="AH15">
        <f t="shared" si="1"/>
        <v>0</v>
      </c>
      <c r="AI15">
        <f t="shared" si="2"/>
        <v>0</v>
      </c>
      <c r="AJ15">
        <f t="shared" si="3"/>
        <v>0</v>
      </c>
      <c r="AK15">
        <f t="shared" si="4"/>
        <v>-1</v>
      </c>
    </row>
    <row r="16" spans="1:55" x14ac:dyDescent="0.2">
      <c r="B16">
        <v>13470</v>
      </c>
      <c r="C16">
        <v>18991</v>
      </c>
      <c r="D16" t="s">
        <v>934</v>
      </c>
      <c r="E16" t="s">
        <v>933</v>
      </c>
      <c r="F16" t="s">
        <v>998</v>
      </c>
      <c r="G16" t="s">
        <v>854</v>
      </c>
      <c r="H16" t="s">
        <v>521</v>
      </c>
      <c r="I16" t="s">
        <v>931</v>
      </c>
      <c r="J16">
        <v>14</v>
      </c>
      <c r="K16" t="s">
        <v>858</v>
      </c>
      <c r="L16" t="s">
        <v>852</v>
      </c>
      <c r="M16">
        <v>1</v>
      </c>
      <c r="N16">
        <v>0</v>
      </c>
      <c r="O16">
        <v>0</v>
      </c>
      <c r="P16">
        <v>0</v>
      </c>
      <c r="Q16">
        <v>0</v>
      </c>
      <c r="R16">
        <v>0</v>
      </c>
      <c r="S16" t="s">
        <v>851</v>
      </c>
      <c r="T16" t="s">
        <v>937</v>
      </c>
      <c r="U16" t="s">
        <v>999</v>
      </c>
      <c r="V16" t="s">
        <v>859</v>
      </c>
      <c r="W16" t="s">
        <v>860</v>
      </c>
      <c r="X16">
        <v>45942</v>
      </c>
      <c r="Y16">
        <v>20252040</v>
      </c>
      <c r="Z16" t="s">
        <v>756</v>
      </c>
      <c r="AA16" t="s">
        <v>521</v>
      </c>
      <c r="AB16" s="40">
        <v>4</v>
      </c>
      <c r="AC16" s="40" t="str">
        <f t="shared" si="0"/>
        <v>a</v>
      </c>
      <c r="AD16">
        <f>COUNTIFS(events!$X:$X,"="&amp;game_rosters!$J16,events!$AQ:$AQ,"="&amp;game_rosters!$G16,events!$K:$K,"=Goal")</f>
        <v>0</v>
      </c>
      <c r="AE16">
        <f>COUNTIFS(events!$X:$X,"="&amp;game_rosters!$J16,events!$AQ:$AQ,"="&amp;game_rosters!$G16,events!$K:$K,"=Penalty")</f>
        <v>0</v>
      </c>
      <c r="AF16">
        <f>COUNTIFS(events!$X:$X,"="&amp;game_rosters!$J16,events!$AQ:$AQ,"="&amp;game_rosters!$G16,events!$O:$O,"=AssistPrimary")</f>
        <v>0</v>
      </c>
      <c r="AG16">
        <f>COUNTIFS(events!$X:$X,"="&amp;game_rosters!$J16,events!$AQ:$AQ,"="&amp;game_rosters!$G16,events!$O:$O,"=AssistSecondary")</f>
        <v>0</v>
      </c>
      <c r="AH16">
        <f t="shared" si="1"/>
        <v>0</v>
      </c>
      <c r="AI16">
        <f t="shared" si="2"/>
        <v>0</v>
      </c>
      <c r="AJ16">
        <f t="shared" si="3"/>
        <v>0</v>
      </c>
      <c r="AK16">
        <f t="shared" si="4"/>
        <v>0</v>
      </c>
    </row>
    <row r="17" spans="2:37" x14ac:dyDescent="0.2">
      <c r="B17">
        <v>13471</v>
      </c>
      <c r="C17">
        <v>18991</v>
      </c>
      <c r="D17" t="s">
        <v>934</v>
      </c>
      <c r="E17" t="s">
        <v>933</v>
      </c>
      <c r="F17" t="s">
        <v>1000</v>
      </c>
      <c r="G17" t="s">
        <v>854</v>
      </c>
      <c r="H17" t="s">
        <v>521</v>
      </c>
      <c r="I17" t="s">
        <v>931</v>
      </c>
      <c r="J17">
        <v>22</v>
      </c>
      <c r="K17" t="s">
        <v>861</v>
      </c>
      <c r="L17" t="s">
        <v>850</v>
      </c>
      <c r="M17">
        <v>1</v>
      </c>
      <c r="N17">
        <v>0</v>
      </c>
      <c r="O17">
        <v>0</v>
      </c>
      <c r="P17">
        <v>0</v>
      </c>
      <c r="Q17">
        <v>0</v>
      </c>
      <c r="R17">
        <v>0</v>
      </c>
      <c r="S17" t="s">
        <v>851</v>
      </c>
      <c r="T17" t="s">
        <v>937</v>
      </c>
      <c r="U17" t="s">
        <v>1001</v>
      </c>
      <c r="V17" t="s">
        <v>862</v>
      </c>
      <c r="W17" t="s">
        <v>863</v>
      </c>
      <c r="X17">
        <v>45942</v>
      </c>
      <c r="Y17">
        <v>20252040</v>
      </c>
      <c r="Z17" t="s">
        <v>756</v>
      </c>
      <c r="AA17" t="s">
        <v>521</v>
      </c>
      <c r="AB17" s="40">
        <v>3</v>
      </c>
      <c r="AC17" s="40" t="str">
        <f t="shared" si="0"/>
        <v>a</v>
      </c>
      <c r="AD17">
        <f>COUNTIFS(events!$X:$X,"="&amp;game_rosters!$J17,events!$AQ:$AQ,"="&amp;game_rosters!$G17,events!$K:$K,"=Goal")</f>
        <v>0</v>
      </c>
      <c r="AE17">
        <f>COUNTIFS(events!$X:$X,"="&amp;game_rosters!$J17,events!$AQ:$AQ,"="&amp;game_rosters!$G17,events!$K:$K,"=Penalty")</f>
        <v>0</v>
      </c>
      <c r="AF17">
        <f>COUNTIFS(events!$X:$X,"="&amp;game_rosters!$J17,events!$AQ:$AQ,"="&amp;game_rosters!$G17,events!$O:$O,"=AssistPrimary")</f>
        <v>0</v>
      </c>
      <c r="AG17">
        <f>COUNTIFS(events!$X:$X,"="&amp;game_rosters!$J17,events!$AQ:$AQ,"="&amp;game_rosters!$G17,events!$O:$O,"=AssistSecondary")</f>
        <v>0</v>
      </c>
      <c r="AH17">
        <f t="shared" si="1"/>
        <v>0</v>
      </c>
      <c r="AI17">
        <f>AD17-N17</f>
        <v>0</v>
      </c>
      <c r="AJ17">
        <f t="shared" si="3"/>
        <v>0</v>
      </c>
      <c r="AK17">
        <f t="shared" si="4"/>
        <v>0</v>
      </c>
    </row>
    <row r="18" spans="2:37" x14ac:dyDescent="0.2">
      <c r="B18">
        <v>13472</v>
      </c>
      <c r="C18">
        <v>18991</v>
      </c>
      <c r="D18" t="s">
        <v>934</v>
      </c>
      <c r="E18" t="s">
        <v>933</v>
      </c>
      <c r="F18" t="s">
        <v>1002</v>
      </c>
      <c r="G18" t="s">
        <v>854</v>
      </c>
      <c r="H18" t="s">
        <v>521</v>
      </c>
      <c r="I18" t="s">
        <v>931</v>
      </c>
      <c r="J18">
        <v>24</v>
      </c>
      <c r="K18" t="s">
        <v>1003</v>
      </c>
      <c r="L18" t="s">
        <v>852</v>
      </c>
      <c r="M18">
        <v>1</v>
      </c>
      <c r="N18">
        <v>0</v>
      </c>
      <c r="O18">
        <v>2</v>
      </c>
      <c r="P18">
        <v>0</v>
      </c>
      <c r="Q18">
        <v>0</v>
      </c>
      <c r="R18">
        <v>0</v>
      </c>
      <c r="S18" t="s">
        <v>851</v>
      </c>
      <c r="T18" t="s">
        <v>937</v>
      </c>
      <c r="U18" t="s">
        <v>1004</v>
      </c>
      <c r="V18" t="s">
        <v>1005</v>
      </c>
      <c r="W18" t="s">
        <v>1006</v>
      </c>
      <c r="X18">
        <v>45942</v>
      </c>
      <c r="Y18">
        <v>20252040</v>
      </c>
      <c r="Z18" t="s">
        <v>756</v>
      </c>
      <c r="AA18" t="s">
        <v>521</v>
      </c>
      <c r="AB18" s="40">
        <v>2</v>
      </c>
      <c r="AC18" s="40" t="str">
        <f t="shared" si="0"/>
        <v>a</v>
      </c>
      <c r="AD18">
        <f>COUNTIFS(events!$X:$X,"="&amp;game_rosters!$J18,events!$AQ:$AQ,"="&amp;game_rosters!$G18,events!$K:$K,"=Goal")</f>
        <v>0</v>
      </c>
      <c r="AE18">
        <f>COUNTIFS(events!$X:$X,"="&amp;game_rosters!$J18,events!$AQ:$AQ,"="&amp;game_rosters!$G18,events!$K:$K,"=Penalty")</f>
        <v>0</v>
      </c>
      <c r="AF18">
        <f>COUNTIFS(events!$X:$X,"="&amp;game_rosters!$J18,events!$AQ:$AQ,"="&amp;game_rosters!$G18,events!$O:$O,"=AssistPrimary")</f>
        <v>0</v>
      </c>
      <c r="AG18">
        <f>COUNTIFS(events!$X:$X,"="&amp;game_rosters!$J18,events!$AQ:$AQ,"="&amp;game_rosters!$G18,events!$O:$O,"=AssistSecondary")</f>
        <v>0</v>
      </c>
      <c r="AH18">
        <f t="shared" si="1"/>
        <v>0</v>
      </c>
      <c r="AI18">
        <f t="shared" si="2"/>
        <v>0</v>
      </c>
      <c r="AJ18">
        <f t="shared" si="3"/>
        <v>0</v>
      </c>
      <c r="AK18">
        <f>AH18-O18</f>
        <v>-2</v>
      </c>
    </row>
    <row r="19" spans="2:37" x14ac:dyDescent="0.2">
      <c r="B19">
        <v>13473</v>
      </c>
      <c r="C19">
        <v>18991</v>
      </c>
      <c r="D19" t="s">
        <v>934</v>
      </c>
      <c r="E19" t="s">
        <v>933</v>
      </c>
      <c r="F19" t="s">
        <v>1007</v>
      </c>
      <c r="G19" t="s">
        <v>854</v>
      </c>
      <c r="H19" t="s">
        <v>521</v>
      </c>
      <c r="I19" t="s">
        <v>931</v>
      </c>
      <c r="J19">
        <v>39</v>
      </c>
      <c r="K19" t="s">
        <v>864</v>
      </c>
      <c r="L19" t="s">
        <v>853</v>
      </c>
      <c r="M19">
        <v>1</v>
      </c>
      <c r="N19">
        <v>0</v>
      </c>
      <c r="O19">
        <v>0</v>
      </c>
      <c r="P19">
        <v>1</v>
      </c>
      <c r="Q19">
        <v>0</v>
      </c>
      <c r="R19">
        <v>0</v>
      </c>
      <c r="S19" t="s">
        <v>851</v>
      </c>
      <c r="T19" t="s">
        <v>937</v>
      </c>
      <c r="U19" t="s">
        <v>1008</v>
      </c>
      <c r="V19" t="s">
        <v>865</v>
      </c>
      <c r="W19" t="s">
        <v>866</v>
      </c>
      <c r="X19">
        <v>45942</v>
      </c>
      <c r="Y19">
        <v>20252040</v>
      </c>
      <c r="Z19" t="s">
        <v>756</v>
      </c>
      <c r="AA19" t="s">
        <v>521</v>
      </c>
      <c r="AB19" s="40">
        <v>5</v>
      </c>
      <c r="AC19" s="40" t="str">
        <f t="shared" si="0"/>
        <v>a</v>
      </c>
      <c r="AD19">
        <f>COUNTIFS(events!$X:$X,"="&amp;game_rosters!$J19,events!$AQ:$AQ,"="&amp;game_rosters!$G19,events!$K:$K,"=Goal")</f>
        <v>0</v>
      </c>
      <c r="AE19">
        <f>COUNTIFS(events!$X:$X,"="&amp;game_rosters!$J19,events!$AQ:$AQ,"="&amp;game_rosters!$G19,events!$K:$K,"=Penalty")</f>
        <v>0</v>
      </c>
      <c r="AF19">
        <f>COUNTIFS(events!$X:$X,"="&amp;game_rosters!$J19,events!$AQ:$AQ,"="&amp;game_rosters!$G19,events!$O:$O,"=AssistPrimary")</f>
        <v>0</v>
      </c>
      <c r="AG19">
        <f>COUNTIFS(events!$X:$X,"="&amp;game_rosters!$J19,events!$AQ:$AQ,"="&amp;game_rosters!$G19,events!$O:$O,"=AssistSecondary")</f>
        <v>0</v>
      </c>
      <c r="AH19">
        <f t="shared" si="1"/>
        <v>0</v>
      </c>
      <c r="AI19">
        <f t="shared" si="2"/>
        <v>0</v>
      </c>
      <c r="AJ19">
        <f t="shared" si="3"/>
        <v>0</v>
      </c>
      <c r="AK19">
        <f t="shared" si="4"/>
        <v>0</v>
      </c>
    </row>
    <row r="20" spans="2:37" x14ac:dyDescent="0.2">
      <c r="B20">
        <v>13474</v>
      </c>
      <c r="C20">
        <v>18991</v>
      </c>
      <c r="D20" t="s">
        <v>934</v>
      </c>
      <c r="E20" t="s">
        <v>933</v>
      </c>
      <c r="F20" t="s">
        <v>1009</v>
      </c>
      <c r="G20" t="s">
        <v>854</v>
      </c>
      <c r="H20" t="s">
        <v>521</v>
      </c>
      <c r="I20" t="s">
        <v>931</v>
      </c>
      <c r="J20">
        <v>55</v>
      </c>
      <c r="K20" t="s">
        <v>867</v>
      </c>
      <c r="L20" t="s">
        <v>852</v>
      </c>
      <c r="M20">
        <v>1</v>
      </c>
      <c r="N20">
        <v>0</v>
      </c>
      <c r="O20">
        <v>0</v>
      </c>
      <c r="P20">
        <v>0</v>
      </c>
      <c r="Q20">
        <v>0</v>
      </c>
      <c r="R20">
        <v>0</v>
      </c>
      <c r="S20" t="s">
        <v>851</v>
      </c>
      <c r="T20" t="s">
        <v>937</v>
      </c>
      <c r="U20" t="s">
        <v>1010</v>
      </c>
      <c r="V20" t="s">
        <v>868</v>
      </c>
      <c r="W20" t="s">
        <v>869</v>
      </c>
      <c r="X20">
        <v>45942</v>
      </c>
      <c r="Y20">
        <v>20252040</v>
      </c>
      <c r="Z20" t="s">
        <v>756</v>
      </c>
      <c r="AA20" t="s">
        <v>521</v>
      </c>
      <c r="AB20" s="40">
        <v>3</v>
      </c>
      <c r="AC20" s="40" t="str">
        <f t="shared" si="0"/>
        <v>a</v>
      </c>
      <c r="AD20">
        <f>COUNTIFS(events!$X:$X,"="&amp;game_rosters!$J20,events!$AQ:$AQ,"="&amp;game_rosters!$G20,events!$K:$K,"=Goal")</f>
        <v>0</v>
      </c>
      <c r="AE20">
        <f>COUNTIFS(events!$X:$X,"="&amp;game_rosters!$J20,events!$AQ:$AQ,"="&amp;game_rosters!$G20,events!$K:$K,"=Penalty")</f>
        <v>0</v>
      </c>
      <c r="AF20">
        <f>COUNTIFS(events!$X:$X,"="&amp;game_rosters!$J20,events!$AQ:$AQ,"="&amp;game_rosters!$G20,events!$O:$O,"=AssistPrimary")</f>
        <v>0</v>
      </c>
      <c r="AG20">
        <f>COUNTIFS(events!$X:$X,"="&amp;game_rosters!$J20,events!$AQ:$AQ,"="&amp;game_rosters!$G20,events!$O:$O,"=AssistSecondary")</f>
        <v>0</v>
      </c>
      <c r="AH20">
        <f t="shared" si="1"/>
        <v>0</v>
      </c>
      <c r="AI20">
        <f t="shared" si="2"/>
        <v>0</v>
      </c>
      <c r="AJ20">
        <f t="shared" si="3"/>
        <v>0</v>
      </c>
      <c r="AK20">
        <f t="shared" si="4"/>
        <v>0</v>
      </c>
    </row>
    <row r="21" spans="2:37" x14ac:dyDescent="0.2">
      <c r="B21">
        <v>13475</v>
      </c>
      <c r="C21">
        <v>18991</v>
      </c>
      <c r="D21" t="s">
        <v>934</v>
      </c>
      <c r="E21" t="s">
        <v>933</v>
      </c>
      <c r="F21" t="s">
        <v>1011</v>
      </c>
      <c r="G21" t="s">
        <v>854</v>
      </c>
      <c r="H21" t="s">
        <v>521</v>
      </c>
      <c r="I21" t="s">
        <v>931</v>
      </c>
      <c r="J21">
        <v>61</v>
      </c>
      <c r="K21" t="s">
        <v>870</v>
      </c>
      <c r="L21" t="s">
        <v>852</v>
      </c>
      <c r="M21">
        <v>1</v>
      </c>
      <c r="N21">
        <v>0</v>
      </c>
      <c r="O21">
        <v>0</v>
      </c>
      <c r="P21">
        <v>0</v>
      </c>
      <c r="Q21">
        <v>0</v>
      </c>
      <c r="R21">
        <v>0</v>
      </c>
      <c r="S21" t="s">
        <v>851</v>
      </c>
      <c r="T21" t="s">
        <v>937</v>
      </c>
      <c r="U21" t="s">
        <v>1012</v>
      </c>
      <c r="V21" t="s">
        <v>871</v>
      </c>
      <c r="W21" t="s">
        <v>872</v>
      </c>
      <c r="X21">
        <v>45942</v>
      </c>
      <c r="Y21">
        <v>20252040</v>
      </c>
      <c r="Z21" t="s">
        <v>756</v>
      </c>
      <c r="AA21" t="s">
        <v>521</v>
      </c>
      <c r="AB21" s="40">
        <v>3</v>
      </c>
      <c r="AC21" s="40" t="str">
        <f t="shared" si="0"/>
        <v>a</v>
      </c>
      <c r="AD21">
        <f>COUNTIFS(events!$X:$X,"="&amp;game_rosters!$J21,events!$AQ:$AQ,"="&amp;game_rosters!$G21,events!$K:$K,"=Goal")</f>
        <v>0</v>
      </c>
      <c r="AE21">
        <f>COUNTIFS(events!$X:$X,"="&amp;game_rosters!$J21,events!$AQ:$AQ,"="&amp;game_rosters!$G21,events!$K:$K,"=Penalty")</f>
        <v>0</v>
      </c>
      <c r="AF21">
        <f>COUNTIFS(events!$X:$X,"="&amp;game_rosters!$J21,events!$AQ:$AQ,"="&amp;game_rosters!$G21,events!$O:$O,"=AssistPrimary")</f>
        <v>0</v>
      </c>
      <c r="AG21">
        <f>COUNTIFS(events!$X:$X,"="&amp;game_rosters!$J21,events!$AQ:$AQ,"="&amp;game_rosters!$G21,events!$O:$O,"=AssistSecondary")</f>
        <v>0</v>
      </c>
      <c r="AH21">
        <f t="shared" si="1"/>
        <v>0</v>
      </c>
      <c r="AI21">
        <f t="shared" si="2"/>
        <v>0</v>
      </c>
      <c r="AJ21">
        <f t="shared" si="3"/>
        <v>0</v>
      </c>
      <c r="AK21">
        <f t="shared" si="4"/>
        <v>0</v>
      </c>
    </row>
    <row r="22" spans="2:37" x14ac:dyDescent="0.2">
      <c r="B22">
        <v>13476</v>
      </c>
      <c r="C22">
        <v>18991</v>
      </c>
      <c r="D22" t="s">
        <v>934</v>
      </c>
      <c r="E22" t="s">
        <v>933</v>
      </c>
      <c r="F22" t="s">
        <v>1013</v>
      </c>
      <c r="G22" t="s">
        <v>854</v>
      </c>
      <c r="H22" t="s">
        <v>521</v>
      </c>
      <c r="I22" t="s">
        <v>931</v>
      </c>
      <c r="J22">
        <v>70</v>
      </c>
      <c r="K22" t="s">
        <v>873</v>
      </c>
      <c r="L22" t="s">
        <v>852</v>
      </c>
      <c r="M22">
        <v>1</v>
      </c>
      <c r="N22">
        <v>3</v>
      </c>
      <c r="O22">
        <v>1</v>
      </c>
      <c r="P22">
        <v>0</v>
      </c>
      <c r="Q22">
        <v>0</v>
      </c>
      <c r="R22">
        <v>0</v>
      </c>
      <c r="S22" t="s">
        <v>851</v>
      </c>
      <c r="T22" t="s">
        <v>937</v>
      </c>
      <c r="U22" t="s">
        <v>1014</v>
      </c>
      <c r="V22" t="s">
        <v>874</v>
      </c>
      <c r="W22" t="s">
        <v>875</v>
      </c>
      <c r="X22">
        <v>45942</v>
      </c>
      <c r="Y22">
        <v>20252040</v>
      </c>
      <c r="Z22" t="s">
        <v>756</v>
      </c>
      <c r="AA22" t="s">
        <v>521</v>
      </c>
      <c r="AB22" s="40">
        <v>6</v>
      </c>
      <c r="AC22" s="40" t="str">
        <f t="shared" si="0"/>
        <v>a</v>
      </c>
      <c r="AD22">
        <f>COUNTIFS(events!$X:$X,"="&amp;game_rosters!$J22,events!$AQ:$AQ,"="&amp;game_rosters!$G22,events!$K:$K,"=Goal")</f>
        <v>1</v>
      </c>
      <c r="AE22">
        <f>COUNTIFS(events!$X:$X,"="&amp;game_rosters!$J22,events!$AQ:$AQ,"="&amp;game_rosters!$G22,events!$K:$K,"=Penalty")</f>
        <v>0</v>
      </c>
      <c r="AF22">
        <f>COUNTIFS(events!$X:$X,"="&amp;game_rosters!$J22,events!$AQ:$AQ,"="&amp;game_rosters!$G22,events!$O:$O,"=AssistPrimary")</f>
        <v>0</v>
      </c>
      <c r="AG22">
        <f>COUNTIFS(events!$X:$X,"="&amp;game_rosters!$J22,events!$AQ:$AQ,"="&amp;game_rosters!$G22,events!$O:$O,"=AssistSecondary")</f>
        <v>0</v>
      </c>
      <c r="AH22">
        <f t="shared" si="1"/>
        <v>0</v>
      </c>
      <c r="AI22">
        <f t="shared" si="2"/>
        <v>-2</v>
      </c>
      <c r="AJ22">
        <f t="shared" si="3"/>
        <v>0</v>
      </c>
      <c r="AK22">
        <f t="shared" si="4"/>
        <v>-1</v>
      </c>
    </row>
    <row r="23" spans="2:37" x14ac:dyDescent="0.2">
      <c r="B23">
        <v>13477</v>
      </c>
      <c r="C23">
        <v>18991</v>
      </c>
      <c r="D23" t="s">
        <v>934</v>
      </c>
      <c r="E23" t="s">
        <v>933</v>
      </c>
      <c r="F23" t="s">
        <v>1015</v>
      </c>
      <c r="G23" t="s">
        <v>854</v>
      </c>
      <c r="H23" t="s">
        <v>521</v>
      </c>
      <c r="I23" t="s">
        <v>931</v>
      </c>
      <c r="J23">
        <v>75</v>
      </c>
      <c r="K23" t="s">
        <v>876</v>
      </c>
      <c r="L23" t="s">
        <v>852</v>
      </c>
      <c r="M23">
        <v>1</v>
      </c>
      <c r="N23">
        <v>0</v>
      </c>
      <c r="O23">
        <v>0</v>
      </c>
      <c r="P23">
        <v>0</v>
      </c>
      <c r="Q23">
        <v>0</v>
      </c>
      <c r="R23">
        <v>0</v>
      </c>
      <c r="S23" t="s">
        <v>851</v>
      </c>
      <c r="T23" t="s">
        <v>937</v>
      </c>
      <c r="U23" t="s">
        <v>1016</v>
      </c>
      <c r="V23" t="s">
        <v>877</v>
      </c>
      <c r="W23" t="s">
        <v>878</v>
      </c>
      <c r="X23">
        <v>45942</v>
      </c>
      <c r="Y23">
        <v>20252040</v>
      </c>
      <c r="Z23" t="s">
        <v>756</v>
      </c>
      <c r="AA23" t="s">
        <v>521</v>
      </c>
      <c r="AB23" s="40">
        <v>2</v>
      </c>
      <c r="AC23" s="40" t="str">
        <f t="shared" si="0"/>
        <v>a</v>
      </c>
      <c r="AD23">
        <f>COUNTIFS(events!$X:$X,"="&amp;game_rosters!$J23,events!$AQ:$AQ,"="&amp;game_rosters!$G23,events!$K:$K,"=Goal")</f>
        <v>0</v>
      </c>
      <c r="AE23">
        <f>COUNTIFS(events!$X:$X,"="&amp;game_rosters!$J23,events!$AQ:$AQ,"="&amp;game_rosters!$G23,events!$K:$K,"=Penalty")</f>
        <v>0</v>
      </c>
      <c r="AF23">
        <f>COUNTIFS(events!$X:$X,"="&amp;game_rosters!$J23,events!$AQ:$AQ,"="&amp;game_rosters!$G23,events!$O:$O,"=AssistPrimary")</f>
        <v>0</v>
      </c>
      <c r="AG23">
        <f>COUNTIFS(events!$X:$X,"="&amp;game_rosters!$J23,events!$AQ:$AQ,"="&amp;game_rosters!$G23,events!$O:$O,"=AssistSecondary")</f>
        <v>0</v>
      </c>
      <c r="AH23">
        <f t="shared" si="1"/>
        <v>0</v>
      </c>
      <c r="AI23">
        <f t="shared" si="2"/>
        <v>0</v>
      </c>
      <c r="AJ23">
        <f t="shared" si="3"/>
        <v>0</v>
      </c>
      <c r="AK23">
        <f t="shared" si="4"/>
        <v>0</v>
      </c>
    </row>
    <row r="24" spans="2:37" x14ac:dyDescent="0.2">
      <c r="B24">
        <v>13478</v>
      </c>
      <c r="C24">
        <v>18991</v>
      </c>
      <c r="D24" t="s">
        <v>934</v>
      </c>
      <c r="E24" t="s">
        <v>933</v>
      </c>
      <c r="F24" t="s">
        <v>1017</v>
      </c>
      <c r="G24" t="s">
        <v>854</v>
      </c>
      <c r="H24" t="s">
        <v>521</v>
      </c>
      <c r="I24" t="s">
        <v>931</v>
      </c>
      <c r="J24">
        <v>84</v>
      </c>
      <c r="K24" t="s">
        <v>879</v>
      </c>
      <c r="L24" t="s">
        <v>850</v>
      </c>
      <c r="M24">
        <v>1</v>
      </c>
      <c r="N24">
        <v>0</v>
      </c>
      <c r="O24">
        <v>1</v>
      </c>
      <c r="P24">
        <v>0</v>
      </c>
      <c r="Q24">
        <v>0</v>
      </c>
      <c r="R24">
        <v>0</v>
      </c>
      <c r="S24" t="s">
        <v>851</v>
      </c>
      <c r="T24" t="s">
        <v>937</v>
      </c>
      <c r="U24" t="s">
        <v>1018</v>
      </c>
      <c r="V24" t="s">
        <v>880</v>
      </c>
      <c r="W24" t="s">
        <v>881</v>
      </c>
      <c r="X24">
        <v>45942</v>
      </c>
      <c r="Y24">
        <v>20252040</v>
      </c>
      <c r="Z24" t="s">
        <v>756</v>
      </c>
      <c r="AA24" t="s">
        <v>521</v>
      </c>
      <c r="AB24" s="40">
        <v>5</v>
      </c>
      <c r="AC24" s="40" t="str">
        <f t="shared" si="0"/>
        <v>a</v>
      </c>
      <c r="AD24">
        <f>COUNTIFS(events!$X:$X,"="&amp;game_rosters!$J24,events!$AQ:$AQ,"="&amp;game_rosters!$G24,events!$K:$K,"=Goal")</f>
        <v>0</v>
      </c>
      <c r="AE24">
        <f>COUNTIFS(events!$X:$X,"="&amp;game_rosters!$J24,events!$AQ:$AQ,"="&amp;game_rosters!$G24,events!$K:$K,"=Penalty")</f>
        <v>0</v>
      </c>
      <c r="AF24">
        <f>COUNTIFS(events!$X:$X,"="&amp;game_rosters!$J24,events!$AQ:$AQ,"="&amp;game_rosters!$G24,events!$O:$O,"=AssistPrimary")</f>
        <v>0</v>
      </c>
      <c r="AG24">
        <f>COUNTIFS(events!$X:$X,"="&amp;game_rosters!$J24,events!$AQ:$AQ,"="&amp;game_rosters!$G24,events!$O:$O,"=AssistSecondary")</f>
        <v>1</v>
      </c>
      <c r="AH24">
        <f t="shared" si="1"/>
        <v>1</v>
      </c>
      <c r="AI24">
        <f t="shared" si="2"/>
        <v>0</v>
      </c>
      <c r="AJ24">
        <f t="shared" si="3"/>
        <v>0</v>
      </c>
      <c r="AK24">
        <f t="shared" si="4"/>
        <v>0</v>
      </c>
    </row>
    <row r="25" spans="2:37" x14ac:dyDescent="0.2">
      <c r="B25">
        <v>13479</v>
      </c>
      <c r="C25">
        <v>18991</v>
      </c>
      <c r="D25" t="s">
        <v>934</v>
      </c>
      <c r="E25" t="s">
        <v>933</v>
      </c>
      <c r="F25" t="s">
        <v>1019</v>
      </c>
      <c r="G25" t="s">
        <v>854</v>
      </c>
      <c r="H25" t="s">
        <v>521</v>
      </c>
      <c r="I25" t="s">
        <v>931</v>
      </c>
      <c r="J25">
        <v>87</v>
      </c>
      <c r="K25" t="s">
        <v>1020</v>
      </c>
      <c r="L25" t="s">
        <v>850</v>
      </c>
      <c r="M25">
        <v>1</v>
      </c>
      <c r="N25">
        <v>1</v>
      </c>
      <c r="O25">
        <v>0</v>
      </c>
      <c r="P25">
        <v>0</v>
      </c>
      <c r="Q25">
        <v>0</v>
      </c>
      <c r="R25">
        <v>0</v>
      </c>
      <c r="S25" t="s">
        <v>851</v>
      </c>
      <c r="T25" t="s">
        <v>937</v>
      </c>
      <c r="U25" t="s">
        <v>1021</v>
      </c>
      <c r="V25" t="s">
        <v>1022</v>
      </c>
      <c r="W25" t="s">
        <v>1023</v>
      </c>
      <c r="X25">
        <v>45942</v>
      </c>
      <c r="Y25">
        <v>20252040</v>
      </c>
      <c r="Z25" t="s">
        <v>756</v>
      </c>
      <c r="AA25" t="s">
        <v>521</v>
      </c>
      <c r="AB25" s="40">
        <v>5</v>
      </c>
      <c r="AC25" s="40" t="str">
        <f t="shared" si="0"/>
        <v>a</v>
      </c>
      <c r="AD25">
        <f>COUNTIFS(events!$X:$X,"="&amp;game_rosters!$J25,events!$AQ:$AQ,"="&amp;game_rosters!$G25,events!$K:$K,"=Goal")</f>
        <v>0</v>
      </c>
      <c r="AE25">
        <f>COUNTIFS(events!$X:$X,"="&amp;game_rosters!$J25,events!$AQ:$AQ,"="&amp;game_rosters!$G25,events!$K:$K,"=Penalty")</f>
        <v>0</v>
      </c>
      <c r="AF25">
        <f>COUNTIFS(events!$X:$X,"="&amp;game_rosters!$J25,events!$AQ:$AQ,"="&amp;game_rosters!$G25,events!$O:$O,"=AssistPrimary")</f>
        <v>0</v>
      </c>
      <c r="AG25">
        <f>COUNTIFS(events!$X:$X,"="&amp;game_rosters!$J25,events!$AQ:$AQ,"="&amp;game_rosters!$G25,events!$O:$O,"=AssistSecondary")</f>
        <v>0</v>
      </c>
      <c r="AH25">
        <f t="shared" si="1"/>
        <v>0</v>
      </c>
      <c r="AI25">
        <f t="shared" si="2"/>
        <v>-1</v>
      </c>
      <c r="AJ25">
        <f t="shared" si="3"/>
        <v>0</v>
      </c>
      <c r="AK25">
        <f t="shared" si="4"/>
        <v>0</v>
      </c>
    </row>
    <row r="26" spans="2:37" x14ac:dyDescent="0.2">
      <c r="B26">
        <v>13480</v>
      </c>
      <c r="C26">
        <v>18991</v>
      </c>
      <c r="D26" t="s">
        <v>934</v>
      </c>
      <c r="E26" t="s">
        <v>933</v>
      </c>
      <c r="F26" t="s">
        <v>1024</v>
      </c>
      <c r="G26" t="s">
        <v>854</v>
      </c>
      <c r="H26" t="s">
        <v>521</v>
      </c>
      <c r="I26" t="s">
        <v>931</v>
      </c>
      <c r="J26">
        <v>91</v>
      </c>
      <c r="K26" t="s">
        <v>882</v>
      </c>
      <c r="L26" t="s">
        <v>852</v>
      </c>
      <c r="M26">
        <v>1</v>
      </c>
      <c r="N26">
        <v>1</v>
      </c>
      <c r="O26">
        <v>1</v>
      </c>
      <c r="P26">
        <v>0</v>
      </c>
      <c r="Q26">
        <v>0</v>
      </c>
      <c r="R26">
        <v>0</v>
      </c>
      <c r="S26" t="s">
        <v>851</v>
      </c>
      <c r="T26" t="s">
        <v>937</v>
      </c>
      <c r="U26" t="s">
        <v>1025</v>
      </c>
      <c r="V26" t="s">
        <v>883</v>
      </c>
      <c r="W26" t="s">
        <v>884</v>
      </c>
      <c r="X26">
        <v>45942</v>
      </c>
      <c r="Y26">
        <v>20252040</v>
      </c>
      <c r="Z26" t="s">
        <v>756</v>
      </c>
      <c r="AA26" t="s">
        <v>521</v>
      </c>
      <c r="AB26" s="40">
        <v>4</v>
      </c>
      <c r="AC26" s="40" t="str">
        <f t="shared" si="0"/>
        <v>a</v>
      </c>
      <c r="AD26">
        <f>COUNTIFS(events!$X:$X,"="&amp;game_rosters!$J26,events!$AQ:$AQ,"="&amp;game_rosters!$G26,events!$K:$K,"=Goal")</f>
        <v>0</v>
      </c>
      <c r="AE26">
        <f>COUNTIFS(events!$X:$X,"="&amp;game_rosters!$J26,events!$AQ:$AQ,"="&amp;game_rosters!$G26,events!$K:$K,"=Penalty")</f>
        <v>0</v>
      </c>
      <c r="AF26">
        <f>COUNTIFS(events!$X:$X,"="&amp;game_rosters!$J26,events!$AQ:$AQ,"="&amp;game_rosters!$G26,events!$O:$O,"=AssistPrimary")</f>
        <v>1</v>
      </c>
      <c r="AG26">
        <f>COUNTIFS(events!$X:$X,"="&amp;game_rosters!$J26,events!$AQ:$AQ,"="&amp;game_rosters!$G26,events!$O:$O,"=AssistSecondary")</f>
        <v>0</v>
      </c>
      <c r="AH26">
        <f t="shared" si="1"/>
        <v>1</v>
      </c>
      <c r="AI26">
        <f t="shared" si="2"/>
        <v>-1</v>
      </c>
      <c r="AJ26">
        <f t="shared" si="3"/>
        <v>0</v>
      </c>
      <c r="AK26">
        <f t="shared" si="4"/>
        <v>0</v>
      </c>
    </row>
    <row r="27" spans="2:37" x14ac:dyDescent="0.2">
      <c r="B27">
        <v>13481</v>
      </c>
      <c r="C27">
        <v>18991</v>
      </c>
      <c r="D27" t="s">
        <v>934</v>
      </c>
      <c r="E27" t="s">
        <v>933</v>
      </c>
      <c r="F27" t="s">
        <v>1026</v>
      </c>
      <c r="G27" t="s">
        <v>854</v>
      </c>
      <c r="H27" t="s">
        <v>521</v>
      </c>
      <c r="I27" t="s">
        <v>931</v>
      </c>
      <c r="J27">
        <v>93</v>
      </c>
      <c r="K27" t="s">
        <v>885</v>
      </c>
      <c r="L27" t="s">
        <v>850</v>
      </c>
      <c r="M27">
        <v>1</v>
      </c>
      <c r="N27">
        <v>0</v>
      </c>
      <c r="O27">
        <v>0</v>
      </c>
      <c r="P27">
        <v>0</v>
      </c>
      <c r="Q27">
        <v>0</v>
      </c>
      <c r="R27">
        <v>0</v>
      </c>
      <c r="S27" t="s">
        <v>851</v>
      </c>
      <c r="T27" t="s">
        <v>937</v>
      </c>
      <c r="U27" t="s">
        <v>1027</v>
      </c>
      <c r="V27" t="s">
        <v>886</v>
      </c>
      <c r="W27" t="s">
        <v>887</v>
      </c>
      <c r="X27">
        <v>45942</v>
      </c>
      <c r="Y27">
        <v>20252040</v>
      </c>
      <c r="Z27" t="s">
        <v>756</v>
      </c>
      <c r="AA27" t="s">
        <v>521</v>
      </c>
      <c r="AB27" s="40">
        <v>3</v>
      </c>
      <c r="AC27" s="40" t="str">
        <f t="shared" si="0"/>
        <v>a</v>
      </c>
      <c r="AD27">
        <f>COUNTIFS(events!$X:$X,"="&amp;game_rosters!$J27,events!$AQ:$AQ,"="&amp;game_rosters!$G27,events!$K:$K,"=Goal")</f>
        <v>0</v>
      </c>
      <c r="AE27">
        <f>COUNTIFS(events!$X:$X,"="&amp;game_rosters!$J27,events!$AQ:$AQ,"="&amp;game_rosters!$G27,events!$K:$K,"=Penalty")</f>
        <v>0</v>
      </c>
      <c r="AF27">
        <f>COUNTIFS(events!$X:$X,"="&amp;game_rosters!$J27,events!$AQ:$AQ,"="&amp;game_rosters!$G27,events!$O:$O,"=AssistPrimary")</f>
        <v>0</v>
      </c>
      <c r="AG27">
        <f>COUNTIFS(events!$X:$X,"="&amp;game_rosters!$J27,events!$AQ:$AQ,"="&amp;game_rosters!$G27,events!$O:$O,"=AssistSecondary")</f>
        <v>0</v>
      </c>
      <c r="AH27">
        <f t="shared" si="1"/>
        <v>0</v>
      </c>
      <c r="AI27">
        <f t="shared" si="2"/>
        <v>0</v>
      </c>
      <c r="AJ27">
        <f t="shared" si="3"/>
        <v>0</v>
      </c>
      <c r="AK27">
        <f t="shared" si="4"/>
        <v>0</v>
      </c>
    </row>
    <row r="28" spans="2:37" x14ac:dyDescent="0.2">
      <c r="AC28" s="40" t="str">
        <f t="shared" si="0"/>
        <v/>
      </c>
    </row>
    <row r="29" spans="2:37" x14ac:dyDescent="0.2">
      <c r="AC29" s="40" t="str">
        <f t="shared" si="0"/>
        <v/>
      </c>
    </row>
    <row r="43" spans="3:4" x14ac:dyDescent="0.2">
      <c r="C43" t="s">
        <v>900</v>
      </c>
      <c r="D43" t="s">
        <v>901</v>
      </c>
    </row>
    <row r="44" spans="3:4" x14ac:dyDescent="0.2">
      <c r="C44" cm="1">
        <f t="array" ref="C44:C55">_xlfn._xlws.FILTER(J:J,G:G="home")</f>
        <v>1</v>
      </c>
      <c r="D44" cm="1">
        <f t="array" ref="D44:D56">_xlfn._xlws.FILTER(J:J,G:G="away")</f>
        <v>9</v>
      </c>
    </row>
    <row r="45" spans="3:4" x14ac:dyDescent="0.2">
      <c r="C45">
        <v>10</v>
      </c>
      <c r="D45">
        <v>14</v>
      </c>
    </row>
    <row r="46" spans="3:4" x14ac:dyDescent="0.2">
      <c r="C46">
        <v>16</v>
      </c>
      <c r="D46">
        <v>22</v>
      </c>
    </row>
    <row r="47" spans="3:4" x14ac:dyDescent="0.2">
      <c r="C47">
        <v>19</v>
      </c>
      <c r="D47">
        <v>24</v>
      </c>
    </row>
    <row r="48" spans="3:4" x14ac:dyDescent="0.2">
      <c r="C48">
        <v>21</v>
      </c>
      <c r="D48">
        <v>39</v>
      </c>
    </row>
    <row r="49" spans="3:4" x14ac:dyDescent="0.2">
      <c r="C49">
        <v>37</v>
      </c>
      <c r="D49">
        <v>55</v>
      </c>
    </row>
    <row r="50" spans="3:4" x14ac:dyDescent="0.2">
      <c r="C50">
        <v>41</v>
      </c>
      <c r="D50">
        <v>61</v>
      </c>
    </row>
    <row r="51" spans="3:4" x14ac:dyDescent="0.2">
      <c r="C51">
        <v>57</v>
      </c>
      <c r="D51">
        <v>70</v>
      </c>
    </row>
    <row r="52" spans="3:4" x14ac:dyDescent="0.2">
      <c r="C52">
        <v>69</v>
      </c>
      <c r="D52">
        <v>75</v>
      </c>
    </row>
    <row r="53" spans="3:4" x14ac:dyDescent="0.2">
      <c r="C53">
        <v>71</v>
      </c>
      <c r="D53">
        <v>84</v>
      </c>
    </row>
    <row r="54" spans="3:4" x14ac:dyDescent="0.2">
      <c r="C54">
        <v>73</v>
      </c>
      <c r="D54">
        <v>87</v>
      </c>
    </row>
    <row r="55" spans="3:4" x14ac:dyDescent="0.2">
      <c r="C55">
        <v>90</v>
      </c>
      <c r="D55">
        <v>91</v>
      </c>
    </row>
    <row r="56" spans="3:4" x14ac:dyDescent="0.2">
      <c r="D56">
        <v>93</v>
      </c>
    </row>
  </sheetData>
  <conditionalFormatting sqref="C44:D57">
    <cfRule type="duplicateValues" dxfId="1" priority="1"/>
  </conditionalFormatting>
  <conditionalFormatting sqref="AI1:AK1048576">
    <cfRule type="cellIs" dxfId="0" priority="2" operator="notEqual">
      <formula>0</formula>
    </cfRule>
  </conditionalFormatting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59</vt:i4>
      </vt:variant>
    </vt:vector>
  </HeadingPairs>
  <TitlesOfParts>
    <vt:vector size="66" baseType="lpstr">
      <vt:lpstr>examples</vt:lpstr>
      <vt:lpstr>Sheet1</vt:lpstr>
      <vt:lpstr>Rules</vt:lpstr>
      <vt:lpstr>Lists</vt:lpstr>
      <vt:lpstr>events</vt:lpstr>
      <vt:lpstr>shifts</vt:lpstr>
      <vt:lpstr>game_rosters</vt:lpstr>
      <vt:lpstr>DEfensive</vt:lpstr>
      <vt:lpstr>EventType</vt:lpstr>
      <vt:lpstr>Faceoff</vt:lpstr>
      <vt:lpstr>Goal</vt:lpstr>
      <vt:lpstr>Goal_PenaltyShot</vt:lpstr>
      <vt:lpstr>Goal_Scored</vt:lpstr>
      <vt:lpstr>Goal_Shootout</vt:lpstr>
      <vt:lpstr>LoosePuck</vt:lpstr>
      <vt:lpstr>Offensive</vt:lpstr>
      <vt:lpstr>Pass</vt:lpstr>
      <vt:lpstr>Pass_Completed</vt:lpstr>
      <vt:lpstr>Pass_Deflected</vt:lpstr>
      <vt:lpstr>Pass_Intercepted</vt:lpstr>
      <vt:lpstr>Pass_Missed</vt:lpstr>
      <vt:lpstr>Penalty</vt:lpstr>
      <vt:lpstr>Penalty_Major</vt:lpstr>
      <vt:lpstr>Penalty_Minor</vt:lpstr>
      <vt:lpstr>Penalty_Offsetting</vt:lpstr>
      <vt:lpstr>PenaltyShot_Missed</vt:lpstr>
      <vt:lpstr>PenaltyShot_OnNet</vt:lpstr>
      <vt:lpstr>PenaltyShot_Saved</vt:lpstr>
      <vt:lpstr>PenaltyShot_Shootout</vt:lpstr>
      <vt:lpstr>Play</vt:lpstr>
      <vt:lpstr>Play_Defensive</vt:lpstr>
      <vt:lpstr>Play_Offensive</vt:lpstr>
      <vt:lpstr>Possession</vt:lpstr>
      <vt:lpstr>Rebound</vt:lpstr>
      <vt:lpstr>Save</vt:lpstr>
      <vt:lpstr>Save_Freeze</vt:lpstr>
      <vt:lpstr>Save_Played</vt:lpstr>
      <vt:lpstr>Save_Rebound</vt:lpstr>
      <vt:lpstr>Shootout_Missed</vt:lpstr>
      <vt:lpstr>Shootout_OnNet</vt:lpstr>
      <vt:lpstr>Shootout_Saved</vt:lpstr>
      <vt:lpstr>Shot</vt:lpstr>
      <vt:lpstr>Shot_Blocked</vt:lpstr>
      <vt:lpstr>Shot_BlockedSameTeam</vt:lpstr>
      <vt:lpstr>Shot_Deflected</vt:lpstr>
      <vt:lpstr>Shot_DeflectedGoal</vt:lpstr>
      <vt:lpstr>Shot_DeflectedOnNetSaved</vt:lpstr>
      <vt:lpstr>Shot_Missed</vt:lpstr>
      <vt:lpstr>Shot_MissedPost</vt:lpstr>
      <vt:lpstr>Shot_OnNetGoal</vt:lpstr>
      <vt:lpstr>Shot_OnNetSaved</vt:lpstr>
      <vt:lpstr>Shot_TippedGoal</vt:lpstr>
      <vt:lpstr>Shot_TippedOnNetSaved</vt:lpstr>
      <vt:lpstr>Stoppage</vt:lpstr>
      <vt:lpstr>Stoppage_Other</vt:lpstr>
      <vt:lpstr>Stoppage_Period</vt:lpstr>
      <vt:lpstr>Stoppage_Play</vt:lpstr>
      <vt:lpstr>Turnover</vt:lpstr>
      <vt:lpstr>Turnover_Giveaway</vt:lpstr>
      <vt:lpstr>Turnover_Takeaway</vt:lpstr>
      <vt:lpstr>Zone_Entry</vt:lpstr>
      <vt:lpstr>Zone_Entry_Exit</vt:lpstr>
      <vt:lpstr>Zone_EntryFailed</vt:lpstr>
      <vt:lpstr>Zone_Exit</vt:lpstr>
      <vt:lpstr>Zone_ExitFailed</vt:lpstr>
      <vt:lpstr>Zone_Keepin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Ronnie Pinnell</dc:creator>
  <cp:lastModifiedBy>Ronnie Pinnell</cp:lastModifiedBy>
  <dcterms:created xsi:type="dcterms:W3CDTF">2025-08-29T17:51:06Z</dcterms:created>
  <dcterms:modified xsi:type="dcterms:W3CDTF">2026-01-12T19:26:13Z</dcterms:modified>
</cp:coreProperties>
</file>